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liejia\Desktop\T+3\common\excel\xls\Main\"/>
    </mc:Choice>
  </mc:AlternateContent>
  <xr:revisionPtr revIDLastSave="0" documentId="13_ncr:1_{BA6C464A-3C5A-4D7D-B2F1-FB7B0317E489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奖励配置表" sheetId="1" r:id="rId1"/>
    <sheet name="#索引" sheetId="2" r:id="rId2"/>
    <sheet name="#配表须知" sheetId="3" r:id="rId3"/>
    <sheet name="#TID_base_up" sheetId="4" r:id="rId4"/>
  </sheets>
  <externalReferences>
    <externalReference r:id="rId5"/>
  </externalReferences>
  <definedNames>
    <definedName name="_xlnm._FilterDatabase" localSheetId="0" hidden="1">奖励配置表!$A$131:$AE$165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9" i="2" l="1"/>
  <c r="A119" i="2" s="1"/>
  <c r="B119" i="2" s="1"/>
  <c r="B88" i="2"/>
  <c r="E88" i="2" s="1"/>
  <c r="A88" i="2"/>
  <c r="A118" i="2" s="1"/>
  <c r="B118" i="2" s="1"/>
  <c r="A85" i="2"/>
  <c r="A115" i="2" s="1"/>
  <c r="B115" i="2" s="1"/>
  <c r="B84" i="2"/>
  <c r="E84" i="2" s="1"/>
  <c r="A84" i="2"/>
  <c r="A114" i="2" s="1"/>
  <c r="B114" i="2" s="1"/>
  <c r="A81" i="2"/>
  <c r="A111" i="2" s="1"/>
  <c r="B111" i="2" s="1"/>
  <c r="B80" i="2"/>
  <c r="E80" i="2" s="1"/>
  <c r="A80" i="2"/>
  <c r="A110" i="2" s="1"/>
  <c r="B110" i="2" s="1"/>
  <c r="A77" i="2"/>
  <c r="A107" i="2" s="1"/>
  <c r="B107" i="2" s="1"/>
  <c r="B76" i="2"/>
  <c r="E76" i="2" s="1"/>
  <c r="A76" i="2"/>
  <c r="A106" i="2" s="1"/>
  <c r="B106" i="2" s="1"/>
  <c r="A73" i="2"/>
  <c r="A103" i="2" s="1"/>
  <c r="B103" i="2" s="1"/>
  <c r="B72" i="2"/>
  <c r="E72" i="2" s="1"/>
  <c r="A72" i="2"/>
  <c r="A102" i="2" s="1"/>
  <c r="B102" i="2" s="1"/>
  <c r="A69" i="2"/>
  <c r="A99" i="2" s="1"/>
  <c r="B99" i="2" s="1"/>
  <c r="B68" i="2"/>
  <c r="E68" i="2" s="1"/>
  <c r="A68" i="2"/>
  <c r="A98" i="2" s="1"/>
  <c r="B98" i="2" s="1"/>
  <c r="A65" i="2"/>
  <c r="A95" i="2" s="1"/>
  <c r="B95" i="2" s="1"/>
  <c r="B64" i="2"/>
  <c r="E64" i="2" s="1"/>
  <c r="A64" i="2"/>
  <c r="A94" i="2" s="1"/>
  <c r="B94" i="2" s="1"/>
  <c r="A61" i="2"/>
  <c r="A91" i="2" s="1"/>
  <c r="B60" i="2"/>
  <c r="E60" i="2" s="1"/>
  <c r="A60" i="2"/>
  <c r="A90" i="2" s="1"/>
  <c r="B59" i="2"/>
  <c r="E59" i="2" s="1"/>
  <c r="A59" i="2"/>
  <c r="A58" i="2"/>
  <c r="B58" i="2" s="1"/>
  <c r="A57" i="2"/>
  <c r="A87" i="2" s="1"/>
  <c r="B56" i="2"/>
  <c r="E56" i="2" s="1"/>
  <c r="A56" i="2"/>
  <c r="A86" i="2" s="1"/>
  <c r="B55" i="2"/>
  <c r="E55" i="2" s="1"/>
  <c r="A55" i="2"/>
  <c r="A54" i="2"/>
  <c r="B54" i="2" s="1"/>
  <c r="A53" i="2"/>
  <c r="A83" i="2" s="1"/>
  <c r="B52" i="2"/>
  <c r="E52" i="2" s="1"/>
  <c r="A52" i="2"/>
  <c r="A82" i="2" s="1"/>
  <c r="B51" i="2"/>
  <c r="E51" i="2" s="1"/>
  <c r="A51" i="2"/>
  <c r="A50" i="2"/>
  <c r="B50" i="2" s="1"/>
  <c r="A49" i="2"/>
  <c r="A79" i="2" s="1"/>
  <c r="B48" i="2"/>
  <c r="E48" i="2" s="1"/>
  <c r="A48" i="2"/>
  <c r="A78" i="2" s="1"/>
  <c r="B47" i="2"/>
  <c r="E47" i="2" s="1"/>
  <c r="A47" i="2"/>
  <c r="A46" i="2"/>
  <c r="B46" i="2" s="1"/>
  <c r="A45" i="2"/>
  <c r="A75" i="2" s="1"/>
  <c r="B44" i="2"/>
  <c r="E44" i="2" s="1"/>
  <c r="A44" i="2"/>
  <c r="A74" i="2" s="1"/>
  <c r="B43" i="2"/>
  <c r="E43" i="2" s="1"/>
  <c r="A43" i="2"/>
  <c r="A42" i="2"/>
  <c r="B42" i="2" s="1"/>
  <c r="A41" i="2"/>
  <c r="A71" i="2" s="1"/>
  <c r="B40" i="2"/>
  <c r="E40" i="2" s="1"/>
  <c r="A40" i="2"/>
  <c r="A70" i="2" s="1"/>
  <c r="B39" i="2"/>
  <c r="E39" i="2" s="1"/>
  <c r="A39" i="2"/>
  <c r="A38" i="2"/>
  <c r="B38" i="2" s="1"/>
  <c r="A37" i="2"/>
  <c r="A67" i="2" s="1"/>
  <c r="B36" i="2"/>
  <c r="E36" i="2" s="1"/>
  <c r="A36" i="2"/>
  <c r="A66" i="2" s="1"/>
  <c r="B35" i="2"/>
  <c r="E35" i="2" s="1"/>
  <c r="A35" i="2"/>
  <c r="A34" i="2"/>
  <c r="B34" i="2" s="1"/>
  <c r="A33" i="2"/>
  <c r="A63" i="2" s="1"/>
  <c r="B32" i="2"/>
  <c r="E32" i="2" s="1"/>
  <c r="A32" i="2"/>
  <c r="A62" i="2" s="1"/>
  <c r="W31" i="2"/>
  <c r="B31" i="2"/>
  <c r="E31" i="2" s="1"/>
  <c r="W30" i="2"/>
  <c r="B30" i="2"/>
  <c r="W29" i="2"/>
  <c r="B29" i="2"/>
  <c r="E29" i="2" s="1"/>
  <c r="W28" i="2"/>
  <c r="B28" i="2"/>
  <c r="E28" i="2" s="1"/>
  <c r="W27" i="2"/>
  <c r="B27" i="2"/>
  <c r="E27" i="2" s="1"/>
  <c r="W26" i="2"/>
  <c r="B26" i="2"/>
  <c r="E26" i="2" s="1"/>
  <c r="W25" i="2"/>
  <c r="B25" i="2"/>
  <c r="E25" i="2" s="1"/>
  <c r="W24" i="2"/>
  <c r="B24" i="2"/>
  <c r="E24" i="2" s="1"/>
  <c r="W23" i="2"/>
  <c r="B23" i="2"/>
  <c r="E23" i="2" s="1"/>
  <c r="W22" i="2"/>
  <c r="B22" i="2"/>
  <c r="W21" i="2"/>
  <c r="R21" i="2"/>
  <c r="S21" i="2" s="1"/>
  <c r="P21" i="2"/>
  <c r="B21" i="2"/>
  <c r="E21" i="2" s="1"/>
  <c r="W20" i="2"/>
  <c r="S20" i="2"/>
  <c r="R20" i="2"/>
  <c r="P20" i="2"/>
  <c r="B20" i="2"/>
  <c r="E20" i="2" s="1"/>
  <c r="W19" i="2"/>
  <c r="R19" i="2"/>
  <c r="S19" i="2" s="1"/>
  <c r="P19" i="2"/>
  <c r="B19" i="2"/>
  <c r="E19" i="2" s="1"/>
  <c r="W18" i="2"/>
  <c r="S18" i="2"/>
  <c r="R18" i="2"/>
  <c r="P18" i="2"/>
  <c r="B18" i="2"/>
  <c r="E18" i="2" s="1"/>
  <c r="W17" i="2"/>
  <c r="S17" i="2"/>
  <c r="R17" i="2"/>
  <c r="P17" i="2"/>
  <c r="B17" i="2"/>
  <c r="W16" i="2"/>
  <c r="S16" i="2"/>
  <c r="R16" i="2"/>
  <c r="P16" i="2"/>
  <c r="B16" i="2"/>
  <c r="E16" i="2" s="1"/>
  <c r="W15" i="2"/>
  <c r="R15" i="2"/>
  <c r="S15" i="2" s="1"/>
  <c r="P15" i="2"/>
  <c r="B15" i="2"/>
  <c r="E15" i="2" s="1"/>
  <c r="W14" i="2"/>
  <c r="S14" i="2"/>
  <c r="R14" i="2"/>
  <c r="P14" i="2"/>
  <c r="B14" i="2"/>
  <c r="E14" i="2" s="1"/>
  <c r="W13" i="2"/>
  <c r="R13" i="2"/>
  <c r="S13" i="2" s="1"/>
  <c r="P13" i="2"/>
  <c r="B13" i="2"/>
  <c r="E13" i="2" s="1"/>
  <c r="W12" i="2"/>
  <c r="S12" i="2"/>
  <c r="R12" i="2"/>
  <c r="P12" i="2"/>
  <c r="B12" i="2"/>
  <c r="E12" i="2" s="1"/>
  <c r="W11" i="2"/>
  <c r="R11" i="2"/>
  <c r="S11" i="2" s="1"/>
  <c r="P11" i="2"/>
  <c r="B11" i="2"/>
  <c r="E11" i="2" s="1"/>
  <c r="W10" i="2"/>
  <c r="S10" i="2"/>
  <c r="R10" i="2"/>
  <c r="P10" i="2"/>
  <c r="B10" i="2"/>
  <c r="E10" i="2" s="1"/>
  <c r="W9" i="2"/>
  <c r="S9" i="2"/>
  <c r="R9" i="2"/>
  <c r="P9" i="2"/>
  <c r="B9" i="2"/>
  <c r="E9" i="2" s="1"/>
  <c r="W8" i="2"/>
  <c r="S8" i="2"/>
  <c r="R8" i="2"/>
  <c r="P8" i="2"/>
  <c r="B8" i="2"/>
  <c r="E8" i="2" s="1"/>
  <c r="W7" i="2"/>
  <c r="R7" i="2"/>
  <c r="S7" i="2" s="1"/>
  <c r="P7" i="2"/>
  <c r="B7" i="2"/>
  <c r="E7" i="2" s="1"/>
  <c r="W6" i="2"/>
  <c r="S6" i="2"/>
  <c r="R6" i="2"/>
  <c r="P6" i="2"/>
  <c r="B6" i="2"/>
  <c r="E6" i="2" s="1"/>
  <c r="W5" i="2"/>
  <c r="R5" i="2"/>
  <c r="S5" i="2" s="1"/>
  <c r="P5" i="2"/>
  <c r="B5" i="2"/>
  <c r="E5" i="2" s="1"/>
  <c r="W4" i="2"/>
  <c r="S4" i="2"/>
  <c r="R4" i="2"/>
  <c r="P4" i="2"/>
  <c r="B4" i="2"/>
  <c r="E4" i="2" s="1"/>
  <c r="W3" i="2"/>
  <c r="R3" i="2"/>
  <c r="S3" i="2" s="1"/>
  <c r="P3" i="2"/>
  <c r="B3" i="2"/>
  <c r="E3" i="2" s="1"/>
  <c r="W2" i="2"/>
  <c r="S2" i="2"/>
  <c r="R2" i="2"/>
  <c r="P2" i="2"/>
  <c r="B2" i="2"/>
  <c r="E2" i="2" s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2" i="2" l="1"/>
  <c r="F2" i="2" s="1"/>
  <c r="G2" i="2" s="1"/>
  <c r="D9" i="2"/>
  <c r="F9" i="2" s="1"/>
  <c r="G9" i="2" s="1"/>
  <c r="D30" i="2"/>
  <c r="F30" i="2" s="1"/>
  <c r="G30" i="2" s="1"/>
  <c r="E30" i="2"/>
  <c r="D22" i="2"/>
  <c r="F22" i="2" s="1"/>
  <c r="G22" i="2" s="1"/>
  <c r="D17" i="2"/>
  <c r="F17" i="2" s="1"/>
  <c r="G17" i="2" s="1"/>
  <c r="E17" i="2"/>
  <c r="E22" i="2"/>
  <c r="D31" i="2"/>
  <c r="F31" i="2" s="1"/>
  <c r="G31" i="2" s="1"/>
  <c r="D4" i="2"/>
  <c r="F4" i="2" s="1"/>
  <c r="G4" i="2" s="1"/>
  <c r="D26" i="2"/>
  <c r="F26" i="2" s="1"/>
  <c r="G26" i="2" s="1"/>
  <c r="A96" i="2"/>
  <c r="B96" i="2" s="1"/>
  <c r="B66" i="2"/>
  <c r="B71" i="2"/>
  <c r="A101" i="2"/>
  <c r="B101" i="2" s="1"/>
  <c r="A112" i="2"/>
  <c r="B112" i="2" s="1"/>
  <c r="B82" i="2"/>
  <c r="B87" i="2"/>
  <c r="A117" i="2"/>
  <c r="B117" i="2" s="1"/>
  <c r="B63" i="2"/>
  <c r="A93" i="2"/>
  <c r="B93" i="2" s="1"/>
  <c r="A104" i="2"/>
  <c r="B104" i="2" s="1"/>
  <c r="B74" i="2"/>
  <c r="B79" i="2"/>
  <c r="A109" i="2"/>
  <c r="B109" i="2" s="1"/>
  <c r="A120" i="2"/>
  <c r="B120" i="2" s="1"/>
  <c r="B90" i="2"/>
  <c r="E99" i="2"/>
  <c r="D99" i="2"/>
  <c r="F99" i="2" s="1"/>
  <c r="G99" i="2" s="1"/>
  <c r="E34" i="2"/>
  <c r="D34" i="2"/>
  <c r="F34" i="2" s="1"/>
  <c r="G34" i="2" s="1"/>
  <c r="E50" i="2"/>
  <c r="D50" i="2"/>
  <c r="F50" i="2" s="1"/>
  <c r="G50" i="2" s="1"/>
  <c r="E102" i="2"/>
  <c r="D102" i="2"/>
  <c r="F102" i="2" s="1"/>
  <c r="G102" i="2" s="1"/>
  <c r="E111" i="2"/>
  <c r="D111" i="2"/>
  <c r="F111" i="2" s="1"/>
  <c r="G111" i="2" s="1"/>
  <c r="E38" i="2"/>
  <c r="D38" i="2"/>
  <c r="F38" i="2" s="1"/>
  <c r="G38" i="2" s="1"/>
  <c r="E110" i="2"/>
  <c r="D110" i="2"/>
  <c r="F110" i="2" s="1"/>
  <c r="G110" i="2" s="1"/>
  <c r="A100" i="2"/>
  <c r="B100" i="2" s="1"/>
  <c r="B70" i="2"/>
  <c r="B75" i="2"/>
  <c r="A105" i="2"/>
  <c r="B105" i="2" s="1"/>
  <c r="A116" i="2"/>
  <c r="B116" i="2" s="1"/>
  <c r="B86" i="2"/>
  <c r="B91" i="2"/>
  <c r="A121" i="2"/>
  <c r="B121" i="2" s="1"/>
  <c r="E114" i="2"/>
  <c r="D114" i="2"/>
  <c r="F114" i="2" s="1"/>
  <c r="G114" i="2" s="1"/>
  <c r="E46" i="2"/>
  <c r="D46" i="2"/>
  <c r="F46" i="2" s="1"/>
  <c r="G46" i="2" s="1"/>
  <c r="E94" i="2"/>
  <c r="D94" i="2"/>
  <c r="F94" i="2" s="1"/>
  <c r="G94" i="2" s="1"/>
  <c r="E103" i="2"/>
  <c r="D103" i="2"/>
  <c r="F103" i="2" s="1"/>
  <c r="G103" i="2" s="1"/>
  <c r="E106" i="2"/>
  <c r="D106" i="2"/>
  <c r="F106" i="2" s="1"/>
  <c r="G106" i="2" s="1"/>
  <c r="E115" i="2"/>
  <c r="D115" i="2"/>
  <c r="F115" i="2" s="1"/>
  <c r="G115" i="2" s="1"/>
  <c r="E42" i="2"/>
  <c r="D42" i="2"/>
  <c r="F42" i="2" s="1"/>
  <c r="G42" i="2" s="1"/>
  <c r="E58" i="2"/>
  <c r="D58" i="2"/>
  <c r="F58" i="2" s="1"/>
  <c r="G58" i="2" s="1"/>
  <c r="E95" i="2"/>
  <c r="D95" i="2"/>
  <c r="F95" i="2" s="1"/>
  <c r="G95" i="2" s="1"/>
  <c r="E118" i="2"/>
  <c r="D118" i="2"/>
  <c r="F118" i="2" s="1"/>
  <c r="G118" i="2" s="1"/>
  <c r="A92" i="2"/>
  <c r="B92" i="2" s="1"/>
  <c r="B62" i="2"/>
  <c r="B67" i="2"/>
  <c r="A97" i="2"/>
  <c r="B97" i="2" s="1"/>
  <c r="A108" i="2"/>
  <c r="B108" i="2" s="1"/>
  <c r="B78" i="2"/>
  <c r="B83" i="2"/>
  <c r="A113" i="2"/>
  <c r="B113" i="2" s="1"/>
  <c r="E98" i="2"/>
  <c r="D98" i="2"/>
  <c r="F98" i="2" s="1"/>
  <c r="G98" i="2" s="1"/>
  <c r="E107" i="2"/>
  <c r="D107" i="2"/>
  <c r="F107" i="2" s="1"/>
  <c r="G107" i="2" s="1"/>
  <c r="E54" i="2"/>
  <c r="D54" i="2"/>
  <c r="F54" i="2" s="1"/>
  <c r="G54" i="2" s="1"/>
  <c r="E119" i="2"/>
  <c r="D119" i="2"/>
  <c r="F119" i="2" s="1"/>
  <c r="G119" i="2" s="1"/>
  <c r="D5" i="2"/>
  <c r="F5" i="2" s="1"/>
  <c r="G5" i="2" s="1"/>
  <c r="D13" i="2"/>
  <c r="F13" i="2" s="1"/>
  <c r="G13" i="2" s="1"/>
  <c r="D21" i="2"/>
  <c r="F21" i="2" s="1"/>
  <c r="G21" i="2" s="1"/>
  <c r="D35" i="2"/>
  <c r="F35" i="2" s="1"/>
  <c r="G35" i="2" s="1"/>
  <c r="D39" i="2"/>
  <c r="F39" i="2" s="1"/>
  <c r="G39" i="2" s="1"/>
  <c r="D43" i="2"/>
  <c r="F43" i="2" s="1"/>
  <c r="G43" i="2" s="1"/>
  <c r="D47" i="2"/>
  <c r="F47" i="2" s="1"/>
  <c r="G47" i="2" s="1"/>
  <c r="D51" i="2"/>
  <c r="F51" i="2" s="1"/>
  <c r="G51" i="2" s="1"/>
  <c r="D55" i="2"/>
  <c r="F55" i="2" s="1"/>
  <c r="G55" i="2" s="1"/>
  <c r="D59" i="2"/>
  <c r="F59" i="2" s="1"/>
  <c r="G59" i="2" s="1"/>
  <c r="D6" i="2"/>
  <c r="F6" i="2" s="1"/>
  <c r="G6" i="2" s="1"/>
  <c r="D14" i="2"/>
  <c r="F14" i="2" s="1"/>
  <c r="G14" i="2" s="1"/>
  <c r="D7" i="2"/>
  <c r="F7" i="2" s="1"/>
  <c r="G7" i="2" s="1"/>
  <c r="D15" i="2"/>
  <c r="F15" i="2" s="1"/>
  <c r="G15" i="2" s="1"/>
  <c r="D8" i="2"/>
  <c r="F8" i="2" s="1"/>
  <c r="G8" i="2" s="1"/>
  <c r="D16" i="2"/>
  <c r="F16" i="2" s="1"/>
  <c r="G16" i="2" s="1"/>
  <c r="D25" i="2"/>
  <c r="F25" i="2" s="1"/>
  <c r="G25" i="2" s="1"/>
  <c r="D29" i="2"/>
  <c r="F29" i="2" s="1"/>
  <c r="G29" i="2" s="1"/>
  <c r="B33" i="2"/>
  <c r="B37" i="2"/>
  <c r="B41" i="2"/>
  <c r="B45" i="2"/>
  <c r="B49" i="2"/>
  <c r="B53" i="2"/>
  <c r="B57" i="2"/>
  <c r="B61" i="2"/>
  <c r="B65" i="2"/>
  <c r="B69" i="2"/>
  <c r="B73" i="2"/>
  <c r="B77" i="2"/>
  <c r="B81" i="2"/>
  <c r="B85" i="2"/>
  <c r="B89" i="2"/>
  <c r="D24" i="2"/>
  <c r="F24" i="2" s="1"/>
  <c r="G24" i="2" s="1"/>
  <c r="D28" i="2"/>
  <c r="F28" i="2" s="1"/>
  <c r="G28" i="2" s="1"/>
  <c r="D10" i="2"/>
  <c r="F10" i="2" s="1"/>
  <c r="G10" i="2" s="1"/>
  <c r="D18" i="2"/>
  <c r="F18" i="2" s="1"/>
  <c r="G18" i="2" s="1"/>
  <c r="D3" i="2"/>
  <c r="F3" i="2" s="1"/>
  <c r="G3" i="2" s="1"/>
  <c r="D11" i="2"/>
  <c r="F11" i="2" s="1"/>
  <c r="G11" i="2" s="1"/>
  <c r="D19" i="2"/>
  <c r="F19" i="2" s="1"/>
  <c r="G19" i="2" s="1"/>
  <c r="D32" i="2"/>
  <c r="F32" i="2" s="1"/>
  <c r="G32" i="2" s="1"/>
  <c r="D36" i="2"/>
  <c r="F36" i="2" s="1"/>
  <c r="G36" i="2" s="1"/>
  <c r="D40" i="2"/>
  <c r="F40" i="2" s="1"/>
  <c r="G40" i="2" s="1"/>
  <c r="D44" i="2"/>
  <c r="F44" i="2" s="1"/>
  <c r="G44" i="2" s="1"/>
  <c r="D48" i="2"/>
  <c r="F48" i="2" s="1"/>
  <c r="G48" i="2" s="1"/>
  <c r="D52" i="2"/>
  <c r="F52" i="2" s="1"/>
  <c r="G52" i="2" s="1"/>
  <c r="D56" i="2"/>
  <c r="F56" i="2" s="1"/>
  <c r="G56" i="2" s="1"/>
  <c r="D60" i="2"/>
  <c r="F60" i="2" s="1"/>
  <c r="G60" i="2" s="1"/>
  <c r="D64" i="2"/>
  <c r="F64" i="2" s="1"/>
  <c r="G64" i="2" s="1"/>
  <c r="D68" i="2"/>
  <c r="F68" i="2" s="1"/>
  <c r="G68" i="2" s="1"/>
  <c r="D72" i="2"/>
  <c r="F72" i="2" s="1"/>
  <c r="G72" i="2" s="1"/>
  <c r="D76" i="2"/>
  <c r="F76" i="2" s="1"/>
  <c r="G76" i="2" s="1"/>
  <c r="D80" i="2"/>
  <c r="F80" i="2" s="1"/>
  <c r="G80" i="2" s="1"/>
  <c r="D84" i="2"/>
  <c r="F84" i="2" s="1"/>
  <c r="G84" i="2" s="1"/>
  <c r="D88" i="2"/>
  <c r="F88" i="2" s="1"/>
  <c r="G88" i="2" s="1"/>
  <c r="D12" i="2"/>
  <c r="F12" i="2" s="1"/>
  <c r="G12" i="2" s="1"/>
  <c r="D20" i="2"/>
  <c r="F20" i="2" s="1"/>
  <c r="G20" i="2" s="1"/>
  <c r="D23" i="2"/>
  <c r="F23" i="2" s="1"/>
  <c r="G23" i="2" s="1"/>
  <c r="D27" i="2"/>
  <c r="F27" i="2" s="1"/>
  <c r="G27" i="2" s="1"/>
  <c r="E85" i="2" l="1"/>
  <c r="D85" i="2"/>
  <c r="F85" i="2" s="1"/>
  <c r="G85" i="2" s="1"/>
  <c r="E113" i="2"/>
  <c r="D113" i="2"/>
  <c r="F113" i="2" s="1"/>
  <c r="G113" i="2" s="1"/>
  <c r="E81" i="2"/>
  <c r="D81" i="2"/>
  <c r="F81" i="2" s="1"/>
  <c r="G81" i="2" s="1"/>
  <c r="E83" i="2"/>
  <c r="D83" i="2"/>
  <c r="F83" i="2" s="1"/>
  <c r="G83" i="2" s="1"/>
  <c r="E45" i="2"/>
  <c r="D45" i="2"/>
  <c r="F45" i="2" s="1"/>
  <c r="G45" i="2" s="1"/>
  <c r="E78" i="2"/>
  <c r="D78" i="2"/>
  <c r="F78" i="2" s="1"/>
  <c r="G78" i="2" s="1"/>
  <c r="E70" i="2"/>
  <c r="D70" i="2"/>
  <c r="F70" i="2" s="1"/>
  <c r="G70" i="2" s="1"/>
  <c r="E90" i="2"/>
  <c r="D90" i="2"/>
  <c r="F90" i="2" s="1"/>
  <c r="G90" i="2" s="1"/>
  <c r="E117" i="2"/>
  <c r="D117" i="2"/>
  <c r="F117" i="2" s="1"/>
  <c r="G117" i="2" s="1"/>
  <c r="E49" i="2"/>
  <c r="D49" i="2"/>
  <c r="F49" i="2" s="1"/>
  <c r="G49" i="2" s="1"/>
  <c r="E77" i="2"/>
  <c r="D77" i="2"/>
  <c r="F77" i="2" s="1"/>
  <c r="G77" i="2" s="1"/>
  <c r="E73" i="2"/>
  <c r="D73" i="2"/>
  <c r="F73" i="2" s="1"/>
  <c r="G73" i="2" s="1"/>
  <c r="E41" i="2"/>
  <c r="D41" i="2"/>
  <c r="F41" i="2" s="1"/>
  <c r="G41" i="2" s="1"/>
  <c r="E108" i="2"/>
  <c r="D108" i="2"/>
  <c r="F108" i="2" s="1"/>
  <c r="G108" i="2" s="1"/>
  <c r="E100" i="2"/>
  <c r="D100" i="2"/>
  <c r="F100" i="2" s="1"/>
  <c r="G100" i="2" s="1"/>
  <c r="E120" i="2"/>
  <c r="D120" i="2"/>
  <c r="F120" i="2" s="1"/>
  <c r="G120" i="2" s="1"/>
  <c r="E87" i="2"/>
  <c r="D87" i="2"/>
  <c r="F87" i="2" s="1"/>
  <c r="G87" i="2" s="1"/>
  <c r="E69" i="2"/>
  <c r="D69" i="2"/>
  <c r="F69" i="2" s="1"/>
  <c r="G69" i="2" s="1"/>
  <c r="E97" i="2"/>
  <c r="D97" i="2"/>
  <c r="F97" i="2" s="1"/>
  <c r="G97" i="2" s="1"/>
  <c r="E121" i="2"/>
  <c r="D121" i="2"/>
  <c r="F121" i="2" s="1"/>
  <c r="G121" i="2" s="1"/>
  <c r="E109" i="2"/>
  <c r="D109" i="2"/>
  <c r="F109" i="2" s="1"/>
  <c r="G109" i="2" s="1"/>
  <c r="E82" i="2"/>
  <c r="D82" i="2"/>
  <c r="F82" i="2" s="1"/>
  <c r="G82" i="2" s="1"/>
  <c r="E37" i="2"/>
  <c r="D37" i="2"/>
  <c r="F37" i="2" s="1"/>
  <c r="G37" i="2" s="1"/>
  <c r="E65" i="2"/>
  <c r="D65" i="2"/>
  <c r="F65" i="2" s="1"/>
  <c r="G65" i="2" s="1"/>
  <c r="E33" i="2"/>
  <c r="D33" i="2"/>
  <c r="F33" i="2" s="1"/>
  <c r="G33" i="2" s="1"/>
  <c r="E67" i="2"/>
  <c r="D67" i="2"/>
  <c r="F67" i="2" s="1"/>
  <c r="G67" i="2" s="1"/>
  <c r="E91" i="2"/>
  <c r="D91" i="2"/>
  <c r="F91" i="2" s="1"/>
  <c r="G91" i="2" s="1"/>
  <c r="E79" i="2"/>
  <c r="D79" i="2"/>
  <c r="F79" i="2" s="1"/>
  <c r="G79" i="2" s="1"/>
  <c r="E112" i="2"/>
  <c r="D112" i="2"/>
  <c r="F112" i="2" s="1"/>
  <c r="G112" i="2" s="1"/>
  <c r="E62" i="2"/>
  <c r="D62" i="2"/>
  <c r="F62" i="2" s="1"/>
  <c r="G62" i="2" s="1"/>
  <c r="E86" i="2"/>
  <c r="D86" i="2"/>
  <c r="F86" i="2" s="1"/>
  <c r="G86" i="2" s="1"/>
  <c r="E74" i="2"/>
  <c r="D74" i="2"/>
  <c r="F74" i="2" s="1"/>
  <c r="G74" i="2" s="1"/>
  <c r="E101" i="2"/>
  <c r="D101" i="2"/>
  <c r="F101" i="2" s="1"/>
  <c r="G101" i="2" s="1"/>
  <c r="E61" i="2"/>
  <c r="D61" i="2"/>
  <c r="F61" i="2" s="1"/>
  <c r="G61" i="2" s="1"/>
  <c r="E89" i="2"/>
  <c r="D89" i="2"/>
  <c r="F89" i="2" s="1"/>
  <c r="G89" i="2" s="1"/>
  <c r="E57" i="2"/>
  <c r="D57" i="2"/>
  <c r="F57" i="2" s="1"/>
  <c r="G57" i="2" s="1"/>
  <c r="E92" i="2"/>
  <c r="D92" i="2"/>
  <c r="F92" i="2" s="1"/>
  <c r="G92" i="2" s="1"/>
  <c r="E116" i="2"/>
  <c r="D116" i="2"/>
  <c r="F116" i="2" s="1"/>
  <c r="G116" i="2" s="1"/>
  <c r="E104" i="2"/>
  <c r="D104" i="2"/>
  <c r="F104" i="2" s="1"/>
  <c r="G104" i="2" s="1"/>
  <c r="E71" i="2"/>
  <c r="D71" i="2"/>
  <c r="F71" i="2" s="1"/>
  <c r="G71" i="2" s="1"/>
  <c r="E53" i="2"/>
  <c r="D53" i="2"/>
  <c r="F53" i="2" s="1"/>
  <c r="G53" i="2" s="1"/>
  <c r="E105" i="2"/>
  <c r="D105" i="2"/>
  <c r="F105" i="2" s="1"/>
  <c r="G105" i="2" s="1"/>
  <c r="E93" i="2"/>
  <c r="D93" i="2"/>
  <c r="F93" i="2" s="1"/>
  <c r="G93" i="2" s="1"/>
  <c r="E66" i="2"/>
  <c r="D66" i="2"/>
  <c r="F66" i="2" s="1"/>
  <c r="G66" i="2" s="1"/>
  <c r="E75" i="2"/>
  <c r="D75" i="2"/>
  <c r="F75" i="2" s="1"/>
  <c r="G75" i="2" s="1"/>
  <c r="E63" i="2"/>
  <c r="D63" i="2"/>
  <c r="F63" i="2" s="1"/>
  <c r="G63" i="2" s="1"/>
  <c r="E96" i="2"/>
  <c r="D96" i="2"/>
  <c r="F96" i="2" s="1"/>
  <c r="G9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chuckcgchen(陈长阁)</author>
    <author>Tencent_Go</author>
  </authors>
  <commentList>
    <comment ref="F2" authorId="0" shapeId="0" xr:uid="{00000000-0006-0000-0000-000001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chuckcgchen(陈长阁):
与【相对权重】一起确定随机出几项道具
</t>
        </r>
      </text>
    </comment>
    <comment ref="H2" authorId="0" shapeId="0" xr:uid="{00000000-0006-0000-0000-000002000000}">
      <text>
        <r>
          <rPr>
            <sz val="11"/>
            <color theme="1"/>
            <rFont val="宋体"/>
            <family val="3"/>
            <charset val="134"/>
            <scheme val="minor"/>
          </rPr>
          <t>chuckcgchen(陈长阁):
从最大数量最小数量里选择一个的权重</t>
        </r>
      </text>
    </comment>
    <comment ref="I2" authorId="0" shapeId="0" xr:uid="{00000000-0006-0000-0000-000003000000}">
      <text>
        <r>
          <rPr>
            <sz val="11"/>
            <color theme="1"/>
            <rFont val="宋体"/>
            <family val="3"/>
            <charset val="134"/>
            <scheme val="minor"/>
          </rPr>
          <t>chuckcgchen(陈长阁):
包内物体统一计算权重</t>
        </r>
      </text>
    </comment>
    <comment ref="J2" authorId="0" shapeId="0" xr:uid="{00000000-0006-0000-0000-000004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chuckcgchen(陈长阁):
单独概率值，和其他物品无关
</t>
        </r>
      </text>
    </comment>
    <comment ref="L2" authorId="0" shapeId="0" xr:uid="{00000000-0006-0000-0000-000005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chuckcgchen(陈长阁):
是否使用本表id列顺序作为显示顺序
bool值 true或false
</t>
        </r>
      </text>
    </comment>
    <comment ref="K3" authorId="1" shapeId="0" xr:uid="{00000000-0006-0000-0000-000006000000}">
      <text>
        <r>
          <rPr>
            <sz val="11"/>
            <color theme="1"/>
            <rFont val="宋体"/>
            <family val="3"/>
            <charset val="134"/>
            <scheme val="minor"/>
          </rPr>
          <t>Tencent_Go:
失效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lotxu(许多)</author>
  </authors>
  <commentList>
    <comment ref="B12" authorId="0" shapeId="0" xr:uid="{00000000-0006-0000-0100-000001000000}">
      <text>
        <r>
          <rPr>
            <sz val="11"/>
            <color theme="1"/>
            <rFont val="宋体"/>
            <family val="3"/>
            <charset val="134"/>
            <scheme val="minor"/>
          </rPr>
          <t>lotxu(许多):
1115版本扁鹊特殊处理，降低概率</t>
        </r>
      </text>
    </comment>
  </commentList>
</comments>
</file>

<file path=xl/sharedStrings.xml><?xml version="1.0" encoding="utf-8"?>
<sst xmlns="http://schemas.openxmlformats.org/spreadsheetml/2006/main" count="787" uniqueCount="311">
  <si>
    <t>convert(ResReward.proto, table_RewardConfData, RewardConfData_10.pbin)</t>
  </si>
  <si>
    <t>相对随机配置</t>
  </si>
  <si>
    <t>奖励ID</t>
  </si>
  <si>
    <t>策划描述</t>
  </si>
  <si>
    <t>道具id</t>
  </si>
  <si>
    <t>道具名称</t>
  </si>
  <si>
    <t>道具数量</t>
  </si>
  <si>
    <t>相对权重最小个数</t>
  </si>
  <si>
    <t>相对权重最大个数</t>
  </si>
  <si>
    <t>数量权重</t>
  </si>
  <si>
    <t>相对权重（整数）</t>
  </si>
  <si>
    <t>绝对概率[0,1]</t>
  </si>
  <si>
    <t>过期时间</t>
  </si>
  <si>
    <t>自定义顺序</t>
  </si>
  <si>
    <t>id</t>
  </si>
  <si>
    <t>item.id</t>
  </si>
  <si>
    <t>item.num</t>
  </si>
  <si>
    <t>minNum</t>
  </si>
  <si>
    <t>maxNum</t>
  </si>
  <si>
    <t>numWeight[;]</t>
  </si>
  <si>
    <t>item.relativeWeight</t>
  </si>
  <si>
    <t>item.absoluteProbability</t>
  </si>
  <si>
    <t>item.expire</t>
  </si>
  <si>
    <t>customizedOrder</t>
  </si>
  <si>
    <t>寻访第1次抽奖特殊礼包</t>
  </si>
  <si>
    <t>寻访正常掉落包</t>
  </si>
  <si>
    <t>寻访预览奖励包</t>
  </si>
  <si>
    <t>ID</t>
  </si>
  <si>
    <t>奖励名称</t>
  </si>
  <si>
    <t>奖励数量</t>
  </si>
  <si>
    <t>知名度</t>
  </si>
  <si>
    <t>奖励关联</t>
  </si>
  <si>
    <t>权重</t>
  </si>
  <si>
    <t>索引用</t>
  </si>
  <si>
    <t>总权值</t>
  </si>
  <si>
    <t>名人数量</t>
  </si>
  <si>
    <t>单一名人权值</t>
  </si>
  <si>
    <t>蓝</t>
  </si>
  <si>
    <t>蓝色名人碎片</t>
  </si>
  <si>
    <t>蓝色道具碎片</t>
  </si>
  <si>
    <t>橙</t>
  </si>
  <si>
    <t>S</t>
  </si>
  <si>
    <t>紫</t>
  </si>
  <si>
    <t>紫色名人碎片</t>
  </si>
  <si>
    <t>紫色道具碎片</t>
  </si>
  <si>
    <t>B</t>
  </si>
  <si>
    <t>A</t>
  </si>
  <si>
    <t>橙色名人碎片</t>
  </si>
  <si>
    <t>橙色道具碎片</t>
  </si>
  <si>
    <t>稀有橙</t>
  </si>
  <si>
    <t>稀有橙色名人碎片</t>
  </si>
  <si>
    <t>稀有橙色道具碎片</t>
  </si>
  <si>
    <t>绿</t>
  </si>
  <si>
    <t>100点名人经验</t>
  </si>
  <si>
    <t>绿色道具碎片</t>
  </si>
  <si>
    <t>分表须知</t>
  </si>
  <si>
    <t>* 每个策划占用10万ID段</t>
  </si>
  <si>
    <t>* 新增xlsx后需要将新表第一行pb名字和分表配置里对应起来(参考已有分表A1单元格的写法)</t>
  </si>
  <si>
    <t>* 告知服务器同学添加加载新分表的代码（ResMapAllServerLite.java.conv）</t>
  </si>
  <si>
    <t>* 新增分表后需转《奖励分表配置》并提交，后续只需要修改自己的分表即可</t>
  </si>
  <si>
    <t>奖励随机流程</t>
  </si>
  <si>
    <t>1. 产出【绝对概率】道具</t>
  </si>
  <si>
    <t>2. 产出【相对权重】道具</t>
  </si>
  <si>
    <t>3. 将第1步，第2步随机结果合并返回</t>
  </si>
  <si>
    <t>1.1对每个绝对概率道具进行一次随机，决定出不出</t>
  </si>
  <si>
    <t>2.1 将所有配置了相对权重的道具组建一个随机池子</t>
  </si>
  <si>
    <t>1.2 绝对概率配置范围为【0, 1】，配1必出，配置0必不出（用于预配置）</t>
  </si>
  <si>
    <t>2.2 如果配置了二项权重，则从最大最小两个数字中随机选一个数字n</t>
  </si>
  <si>
    <t>2.3 如果没配置二项权重，从最小最大数量范围中随机一个数字</t>
  </si>
  <si>
    <t>2.4 随机数为0不进行相对权重随机，随机数大于池子大小全出</t>
  </si>
  <si>
    <t>旧Key</t>
  </si>
  <si>
    <t>新Key</t>
  </si>
  <si>
    <t>文本</t>
  </si>
  <si>
    <t>vip经验50</t>
  </si>
  <si>
    <t>vip经验500</t>
  </si>
  <si>
    <t>征程金币</t>
  </si>
  <si>
    <t>经验书*10000</t>
  </si>
  <si>
    <t>技能点</t>
  </si>
  <si>
    <t>5分钟建造加速</t>
  </si>
  <si>
    <t>1万资源自选宝箱</t>
  </si>
  <si>
    <t>5分钟科技加速</t>
  </si>
  <si>
    <t>经验书*50000</t>
  </si>
  <si>
    <t>橙色技能升星道具</t>
  </si>
  <si>
    <t>经验书*100000</t>
  </si>
  <si>
    <t>10分钟建造加速</t>
  </si>
  <si>
    <t>帝国币</t>
  </si>
  <si>
    <t>10分钟科技加速</t>
  </si>
  <si>
    <t>10分钟通用加速</t>
  </si>
  <si>
    <t>自选英雄bp基础版-1</t>
  </si>
  <si>
    <t>自选英雄bp基础版-2</t>
  </si>
  <si>
    <t>自选英雄bp基础版-3</t>
  </si>
  <si>
    <t>自选英雄bp基础版-4</t>
  </si>
  <si>
    <t>自选英雄bp基础版-5</t>
  </si>
  <si>
    <t>自选英雄bp基础版-6</t>
  </si>
  <si>
    <t>自选英雄bp基础版-7</t>
  </si>
  <si>
    <t>自选英雄bp基础版-8</t>
  </si>
  <si>
    <t>自选英雄bp基础版-9</t>
  </si>
  <si>
    <t>自选英雄bp基础版-10</t>
  </si>
  <si>
    <t>自选英雄bp基础版-11</t>
  </si>
  <si>
    <t>自选英雄bp基础版-12</t>
  </si>
  <si>
    <t>自选英雄bp基础版-13</t>
  </si>
  <si>
    <t>自选英雄bp基础版-14</t>
  </si>
  <si>
    <t>自选英雄bp基础版-15</t>
  </si>
  <si>
    <t>自选英雄bp基础版-16</t>
  </si>
  <si>
    <t>自选英雄bp基础版-17</t>
  </si>
  <si>
    <t>自选英雄bp基础版-18</t>
  </si>
  <si>
    <t>自选英雄bp基础版-19</t>
  </si>
  <si>
    <t>自选英雄bp基础版-20</t>
  </si>
  <si>
    <t>自选英雄bp-1</t>
  </si>
  <si>
    <t>自选英雄bp-2</t>
  </si>
  <si>
    <t>自选英雄bp-3</t>
  </si>
  <si>
    <t>自选英雄bp-4</t>
  </si>
  <si>
    <t>自选英雄bp-5</t>
  </si>
  <si>
    <t>自选英雄bp-6</t>
  </si>
  <si>
    <t>自选英雄bp-7</t>
  </si>
  <si>
    <t>自选英雄bp-8</t>
  </si>
  <si>
    <t>自选英雄bp-9</t>
  </si>
  <si>
    <t>自选英雄bp-10</t>
  </si>
  <si>
    <t>自选英雄bp-11</t>
  </si>
  <si>
    <t>自选英雄bp-12</t>
  </si>
  <si>
    <t>自选英雄bp-13</t>
  </si>
  <si>
    <t>自选英雄bp-14</t>
  </si>
  <si>
    <t>自选英雄bp-15</t>
  </si>
  <si>
    <t>自选英雄bp-16</t>
  </si>
  <si>
    <t>自选英雄bp-17</t>
  </si>
  <si>
    <t>自选英雄bp-18</t>
  </si>
  <si>
    <t>自选英雄bp-19</t>
  </si>
  <si>
    <t>自选英雄bp-20</t>
  </si>
  <si>
    <t>征程金币0.99</t>
    <phoneticPr fontId="7" type="noConversion"/>
  </si>
  <si>
    <t>征程金币4.99</t>
    <phoneticPr fontId="7" type="noConversion"/>
  </si>
  <si>
    <t>征程金币9.99</t>
    <phoneticPr fontId="7" type="noConversion"/>
  </si>
  <si>
    <t>征程金币19.99</t>
    <phoneticPr fontId="7" type="noConversion"/>
  </si>
  <si>
    <t>征程金币49.99</t>
    <phoneticPr fontId="7" type="noConversion"/>
  </si>
  <si>
    <t>征程金币99.99</t>
    <phoneticPr fontId="7" type="noConversion"/>
  </si>
  <si>
    <t>技能点*500</t>
  </si>
  <si>
    <t>帝国币</t>
    <phoneticPr fontId="7" type="noConversion"/>
  </si>
  <si>
    <t>征程金币29.99</t>
    <phoneticPr fontId="7" type="noConversion"/>
  </si>
  <si>
    <t>铜币奖池招募券</t>
  </si>
  <si>
    <t>技能点1</t>
  </si>
  <si>
    <t>10万资源自选宝箱</t>
  </si>
  <si>
    <t>大奖池招募券</t>
  </si>
  <si>
    <t>档位奖励1</t>
    <phoneticPr fontId="7" type="noConversion"/>
  </si>
  <si>
    <t>档位奖励2</t>
    <phoneticPr fontId="7" type="noConversion"/>
  </si>
  <si>
    <t>档位奖励3</t>
    <phoneticPr fontId="7" type="noConversion"/>
  </si>
  <si>
    <t>档位奖励4</t>
    <phoneticPr fontId="7" type="noConversion"/>
  </si>
  <si>
    <t>档位奖励5</t>
    <phoneticPr fontId="7" type="noConversion"/>
  </si>
  <si>
    <t>排名奖励1</t>
  </si>
  <si>
    <t>1小时攻击加成（30%）</t>
  </si>
  <si>
    <t>1小时防御加成（30%）</t>
  </si>
  <si>
    <t>60分钟训练加速</t>
  </si>
  <si>
    <t>排名奖励2</t>
  </si>
  <si>
    <t>排名奖励3</t>
  </si>
  <si>
    <t>1小时攻击加成（10%）</t>
  </si>
  <si>
    <t/>
  </si>
  <si>
    <t>1小时防御加成（10%）</t>
  </si>
  <si>
    <t>排名奖励4</t>
  </si>
  <si>
    <t>排名奖励5</t>
  </si>
  <si>
    <t>排名奖励6</t>
  </si>
  <si>
    <t>排名奖励7</t>
  </si>
  <si>
    <t>排名奖励8</t>
  </si>
  <si>
    <t>midasbuy-vip-资源礼包</t>
    <phoneticPr fontId="7" type="noConversion"/>
  </si>
  <si>
    <t>100万资源自选宝箱</t>
    <phoneticPr fontId="7" type="noConversion"/>
  </si>
  <si>
    <t>midasbuy-vip-加速礼包</t>
    <phoneticPr fontId="7" type="noConversion"/>
  </si>
  <si>
    <t>midasbuy-vip-英雄勋章礼包</t>
    <phoneticPr fontId="7" type="noConversion"/>
  </si>
  <si>
    <t>midasbuy-vip-宝石礼包</t>
    <phoneticPr fontId="7" type="noConversion"/>
  </si>
  <si>
    <t>midasbuy-vip-英雄技能礼包</t>
    <phoneticPr fontId="7" type="noConversion"/>
  </si>
  <si>
    <t>通用加速1H</t>
  </si>
  <si>
    <t>通用橙色信物</t>
  </si>
  <si>
    <t>紫色随机宝石</t>
  </si>
  <si>
    <t>传说技能卷轴</t>
  </si>
  <si>
    <t>midasbuy-vip-装备精华礼包</t>
    <phoneticPr fontId="7" type="noConversion"/>
  </si>
  <si>
    <t>传奇锻造精华</t>
    <phoneticPr fontId="7" type="noConversion"/>
  </si>
  <si>
    <t>联盟航海任务积分10</t>
    <phoneticPr fontId="7" type="noConversion"/>
  </si>
  <si>
    <t>里程</t>
    <phoneticPr fontId="7" type="noConversion"/>
  </si>
  <si>
    <t>联盟航海补给点奖励1</t>
    <phoneticPr fontId="7" type="noConversion"/>
  </si>
  <si>
    <t>联盟航海补给点奖励2</t>
  </si>
  <si>
    <t>联盟航海补给点奖励3</t>
  </si>
  <si>
    <t>联盟航海终点奖励</t>
    <phoneticPr fontId="7" type="noConversion"/>
  </si>
  <si>
    <t>经验书*10000</t>
    <phoneticPr fontId="7" type="noConversion"/>
  </si>
  <si>
    <t>每日登录BP-普通奖励1</t>
    <phoneticPr fontId="7" type="noConversion"/>
  </si>
  <si>
    <t>每日登录BP-普通奖励2</t>
  </si>
  <si>
    <t>每日登录BP-普通奖励3</t>
  </si>
  <si>
    <t>每日登录BP-普通奖励4</t>
  </si>
  <si>
    <t>每日登录BP-普通奖励5</t>
  </si>
  <si>
    <t>每日登录BP-普通奖励6</t>
  </si>
  <si>
    <t>每日登录BP-普通奖励7</t>
  </si>
  <si>
    <t>每日登录BP-高级奖励1</t>
    <phoneticPr fontId="7" type="noConversion"/>
  </si>
  <si>
    <t>每日登录BP-高级奖励2</t>
  </si>
  <si>
    <t>每日登录BP-高级奖励3</t>
  </si>
  <si>
    <t>每日登录BP-高级奖励4</t>
  </si>
  <si>
    <t>每日登录BP-高级奖励5</t>
  </si>
  <si>
    <t>每日登录BP-高级奖励6</t>
  </si>
  <si>
    <t>每日登录BP-高级奖励7</t>
  </si>
  <si>
    <t>传说技能卷轴</t>
    <phoneticPr fontId="7" type="noConversion"/>
  </si>
  <si>
    <t>至高币消耗每日任务1</t>
    <phoneticPr fontId="7" type="noConversion"/>
  </si>
  <si>
    <t>至高奖章</t>
    <phoneticPr fontId="7" type="noConversion"/>
  </si>
  <si>
    <t>60分钟通用加速</t>
    <phoneticPr fontId="7" type="noConversion"/>
  </si>
  <si>
    <t>经验书*50000</t>
    <phoneticPr fontId="7" type="noConversion"/>
  </si>
  <si>
    <t>10万资源自选宝箱</t>
    <phoneticPr fontId="7" type="noConversion"/>
  </si>
  <si>
    <t>至高币消耗每日任务2</t>
    <phoneticPr fontId="7" type="noConversion"/>
  </si>
  <si>
    <t>至高币消耗每日任务3</t>
    <phoneticPr fontId="7" type="noConversion"/>
  </si>
  <si>
    <t>至高币消耗每日任务4</t>
  </si>
  <si>
    <t>至高币消耗每日任务5</t>
  </si>
  <si>
    <t>至高币消耗奖章任务1</t>
    <phoneticPr fontId="7" type="noConversion"/>
  </si>
  <si>
    <t>橙色兵种图纸自选宝箱</t>
    <phoneticPr fontId="7" type="noConversion"/>
  </si>
  <si>
    <t>橙色升阶道具1</t>
    <phoneticPr fontId="7" type="noConversion"/>
  </si>
  <si>
    <t>经验升级道具</t>
    <phoneticPr fontId="7" type="noConversion"/>
  </si>
  <si>
    <t>至高币消耗奖章任务2</t>
  </si>
  <si>
    <t>至高币消耗奖章任务3</t>
  </si>
  <si>
    <t>至高币消耗奖章任务4</t>
  </si>
  <si>
    <t>至高币消耗奖章任务5</t>
  </si>
  <si>
    <t>橙色升阶道具2</t>
    <phoneticPr fontId="7" type="noConversion"/>
  </si>
  <si>
    <t>10万资源自选宝箱（安全）</t>
  </si>
  <si>
    <t>30分钟科技加速</t>
  </si>
  <si>
    <t>30分钟训练加速</t>
  </si>
  <si>
    <t>30分钟建造加速</t>
  </si>
  <si>
    <t>君主体力补给（10）</t>
  </si>
  <si>
    <t>技能点*1000</t>
  </si>
  <si>
    <t>60分钟通用加速</t>
  </si>
  <si>
    <t>60分钟建造加速</t>
  </si>
  <si>
    <t>60分钟科技加速</t>
  </si>
  <si>
    <t>100万资源自选宝箱（安全）</t>
  </si>
  <si>
    <t>60分钟锻造加速</t>
  </si>
  <si>
    <t>50万资源自选宝箱（安全）</t>
  </si>
  <si>
    <t>传说图纸</t>
  </si>
  <si>
    <t>强化装备消耗材料</t>
  </si>
  <si>
    <t>突破橙装消耗材料</t>
  </si>
  <si>
    <t>蓝色宝石宝箱-随机</t>
  </si>
  <si>
    <t>全随机图纸</t>
  </si>
  <si>
    <t>陨铁</t>
  </si>
  <si>
    <t>60分钟科技加速</t>
    <phoneticPr fontId="7" type="noConversion"/>
  </si>
  <si>
    <t>橙色随机部位图纸</t>
  </si>
  <si>
    <t>60分钟建造加速</t>
    <phoneticPr fontId="7" type="noConversion"/>
  </si>
  <si>
    <t>60分钟训练加速</t>
    <phoneticPr fontId="7" type="noConversion"/>
  </si>
  <si>
    <t>20万资源自选宝箱</t>
    <phoneticPr fontId="7" type="noConversion"/>
  </si>
  <si>
    <t>联盟航海宝藏奖励1-1</t>
    <phoneticPr fontId="7" type="noConversion"/>
  </si>
  <si>
    <t>联盟航海宝藏奖励1-2</t>
  </si>
  <si>
    <t>联盟航海宝藏奖励1-3</t>
  </si>
  <si>
    <t>联盟航海宝藏奖励2-1</t>
    <phoneticPr fontId="7" type="noConversion"/>
  </si>
  <si>
    <t>联盟航海宝藏奖励2-2</t>
  </si>
  <si>
    <t>联盟航海宝藏奖励2-3</t>
  </si>
  <si>
    <t>联盟航海宝藏奖励3-1</t>
    <phoneticPr fontId="7" type="noConversion"/>
  </si>
  <si>
    <t>联盟航海宝藏奖励3-2</t>
  </si>
  <si>
    <t>联盟航海宝藏奖励3-3</t>
  </si>
  <si>
    <t>橙色随机部位图纸</t>
    <phoneticPr fontId="7" type="noConversion"/>
  </si>
  <si>
    <t>紫色宝石宝箱-随机</t>
    <phoneticPr fontId="7" type="noConversion"/>
  </si>
  <si>
    <t>绿色宝石宝箱-随机</t>
    <phoneticPr fontId="7" type="noConversion"/>
  </si>
  <si>
    <t>联盟航海任务积分20</t>
    <phoneticPr fontId="7" type="noConversion"/>
  </si>
  <si>
    <t>联盟航海任务积分100</t>
    <phoneticPr fontId="7" type="noConversion"/>
  </si>
  <si>
    <t>联盟航海周历奖励预览</t>
    <phoneticPr fontId="7" type="noConversion"/>
  </si>
  <si>
    <t>midasbuy-vip-精工锤礼包</t>
    <phoneticPr fontId="7" type="noConversion"/>
  </si>
  <si>
    <t>精工锤</t>
    <phoneticPr fontId="7" type="noConversion"/>
  </si>
  <si>
    <t>vip经验100</t>
  </si>
  <si>
    <t>vip经验1000</t>
  </si>
  <si>
    <t>换皮转盘抽奖0.99</t>
  </si>
  <si>
    <t>换皮转盘抽奖券</t>
  </si>
  <si>
    <t>换皮转盘抽奖1.99</t>
  </si>
  <si>
    <t>换皮转盘抽奖2.99</t>
  </si>
  <si>
    <t>换皮转盘抽奖4.99</t>
  </si>
  <si>
    <t>换皮转盘抽奖9.99</t>
  </si>
  <si>
    <t>换皮转盘抽奖19.99</t>
  </si>
  <si>
    <t>换皮转盘抽奖29.99</t>
  </si>
  <si>
    <t>换皮转盘抽奖49.99</t>
  </si>
  <si>
    <t>换皮转盘抽奖99.99</t>
  </si>
  <si>
    <t>换皮转盘开启奖励</t>
    <phoneticPr fontId="7" type="noConversion"/>
  </si>
  <si>
    <t>2小时训练加速</t>
    <phoneticPr fontId="7" type="noConversion"/>
  </si>
  <si>
    <t>8小时通用加速</t>
    <phoneticPr fontId="7" type="noConversion"/>
  </si>
  <si>
    <t>免费帝国币</t>
    <phoneticPr fontId="7" type="noConversion"/>
  </si>
  <si>
    <t>8小时建造加速</t>
    <phoneticPr fontId="7" type="noConversion"/>
  </si>
  <si>
    <t>8小时科技加速</t>
    <phoneticPr fontId="7" type="noConversion"/>
  </si>
  <si>
    <t>2小时通用加速</t>
    <phoneticPr fontId="7" type="noConversion"/>
  </si>
  <si>
    <t>英雄归来奖励</t>
    <phoneticPr fontId="7" type="noConversion"/>
  </si>
  <si>
    <t>英雄勋章</t>
    <phoneticPr fontId="7" type="noConversion"/>
  </si>
  <si>
    <t>1至高币（立即使用，不进背包）</t>
  </si>
  <si>
    <t>199至高币</t>
    <phoneticPr fontId="7" type="noConversion"/>
  </si>
  <si>
    <t>英雄回收商店-回收奖励</t>
    <phoneticPr fontId="7" type="noConversion"/>
  </si>
  <si>
    <t>英雄回收商店-兑换奖励</t>
    <phoneticPr fontId="7" type="noConversion"/>
  </si>
  <si>
    <t>英雄回收商店兑换券</t>
    <phoneticPr fontId="7" type="noConversion"/>
  </si>
  <si>
    <t>英雄集结币</t>
  </si>
  <si>
    <t>紫色英雄信物</t>
  </si>
  <si>
    <t>紫色技能升星道具</t>
  </si>
  <si>
    <t>通用技能解锁道具-橙</t>
  </si>
  <si>
    <t>英雄号角</t>
    <phoneticPr fontId="7" type="noConversion"/>
  </si>
  <si>
    <t>大卡池招募券</t>
    <phoneticPr fontId="7" type="noConversion"/>
  </si>
  <si>
    <t>小卡池招募券</t>
    <phoneticPr fontId="7" type="noConversion"/>
  </si>
  <si>
    <t>经验书*50000</t>
    <phoneticPr fontId="7" type="noConversion"/>
  </si>
  <si>
    <t>技能点*500</t>
    <phoneticPr fontId="7" type="noConversion"/>
  </si>
  <si>
    <t>英雄归来礼包-0.99</t>
    <phoneticPr fontId="7" type="noConversion"/>
  </si>
  <si>
    <t>英雄归来礼包-1.99</t>
    <phoneticPr fontId="7" type="noConversion"/>
  </si>
  <si>
    <t>英雄归来礼包-2.99</t>
    <phoneticPr fontId="7" type="noConversion"/>
  </si>
  <si>
    <t>英雄归来礼包-4.99</t>
    <phoneticPr fontId="7" type="noConversion"/>
  </si>
  <si>
    <t>英雄归来礼包-9.99</t>
    <phoneticPr fontId="7" type="noConversion"/>
  </si>
  <si>
    <t>英雄归来礼包-19.99</t>
    <phoneticPr fontId="7" type="noConversion"/>
  </si>
  <si>
    <t>技术点</t>
    <phoneticPr fontId="7" type="noConversion"/>
  </si>
  <si>
    <t>midasbuy-vip-技术点礼包</t>
    <phoneticPr fontId="7" type="noConversion"/>
  </si>
  <si>
    <t>S4最强君主副英雄信物宝箱</t>
    <phoneticPr fontId="7" type="noConversion"/>
  </si>
  <si>
    <t>巴巴罗萨</t>
    <phoneticPr fontId="7" type="noConversion"/>
  </si>
  <si>
    <t>杜加瓦蒂</t>
    <phoneticPr fontId="7" type="noConversion"/>
  </si>
  <si>
    <t>狄奥多拉</t>
    <phoneticPr fontId="7" type="noConversion"/>
  </si>
  <si>
    <t>凯撒</t>
    <phoneticPr fontId="7" type="noConversion"/>
  </si>
  <si>
    <t>查士丁尼一世</t>
    <phoneticPr fontId="7" type="noConversion"/>
  </si>
  <si>
    <t>关羽</t>
    <phoneticPr fontId="7" type="noConversion"/>
  </si>
  <si>
    <t>自选宝箱（可选数量）</t>
  </si>
  <si>
    <t>chooseNum</t>
  </si>
  <si>
    <t>midasbuy-vip-天火之晶礼包</t>
  </si>
  <si>
    <t>天火之晶</t>
  </si>
  <si>
    <t>midasbuy-vip-精金礼包</t>
  </si>
  <si>
    <t>精金</t>
  </si>
  <si>
    <t>midasbuy-vip-星钢礼包</t>
  </si>
  <si>
    <t>星钢</t>
  </si>
  <si>
    <t>英雄归来礼包-帝国币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</si>
</sst>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21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0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b/>
      <i/>
      <sz val="11"/>
      <color theme="0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name val="黑体"/>
      <family val="3"/>
      <charset val="134"/>
    </font>
    <font>
      <sz val="10"/>
      <color rgb="FF000000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1"/>
      <color rgb="FF3F3F3F"/>
      <name val="宋体"/>
      <family val="2"/>
      <charset val="134"/>
      <scheme val="minor"/>
    </font>
    <font>
      <sz val="10"/>
      <name val="微软雅黑"/>
      <family val="2"/>
      <charset val="134"/>
    </font>
    <font>
      <sz val="11"/>
      <color rgb="FF000000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11" borderId="5" applyNumberFormat="0" applyAlignment="0" applyProtection="0">
      <alignment vertical="center"/>
    </xf>
  </cellStyleXfs>
  <cellXfs count="89">
    <xf numFmtId="0" fontId="0" fillId="0" borderId="0" xfId="0" applyAlignment="1">
      <alignment vertical="center"/>
    </xf>
    <xf numFmtId="0" fontId="8" fillId="0" borderId="0" xfId="1" applyAlignment="1">
      <alignment vertical="center"/>
    </xf>
    <xf numFmtId="0" fontId="8" fillId="0" borderId="0" xfId="1" applyAlignment="1">
      <alignment vertical="center" wrapText="1"/>
    </xf>
    <xf numFmtId="0" fontId="9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38" fontId="9" fillId="5" borderId="1" xfId="0" applyNumberFormat="1" applyFont="1" applyFill="1" applyBorder="1" applyAlignment="1">
      <alignment horizontal="left" vertical="center"/>
    </xf>
    <xf numFmtId="38" fontId="9" fillId="6" borderId="1" xfId="0" applyNumberFormat="1" applyFont="1" applyFill="1" applyBorder="1" applyAlignment="1">
      <alignment horizontal="left" vertical="center"/>
    </xf>
    <xf numFmtId="38" fontId="6" fillId="7" borderId="1" xfId="0" applyNumberFormat="1" applyFont="1" applyFill="1" applyBorder="1" applyAlignment="1">
      <alignment horizontal="left" vertical="center"/>
    </xf>
    <xf numFmtId="38" fontId="6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8" fontId="6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4" borderId="1" xfId="1" applyFont="1" applyFill="1" applyBorder="1" applyAlignment="1">
      <alignment horizontal="left" vertical="center"/>
    </xf>
    <xf numFmtId="38" fontId="13" fillId="4" borderId="1" xfId="0" applyNumberFormat="1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2" fillId="4" borderId="1" xfId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0" fillId="0" borderId="0" xfId="0" applyAlignment="1"/>
    <xf numFmtId="176" fontId="8" fillId="0" borderId="0" xfId="1" applyNumberFormat="1" applyAlignment="1">
      <alignment vertical="center" wrapText="1"/>
    </xf>
    <xf numFmtId="176" fontId="8" fillId="2" borderId="0" xfId="1" applyNumberFormat="1" applyFill="1" applyAlignment="1">
      <alignment vertical="center" wrapText="1"/>
    </xf>
    <xf numFmtId="176" fontId="8" fillId="3" borderId="0" xfId="1" applyNumberFormat="1" applyFill="1" applyAlignment="1">
      <alignment vertical="center" wrapText="1"/>
    </xf>
    <xf numFmtId="176" fontId="8" fillId="4" borderId="0" xfId="1" applyNumberForma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8" borderId="1" xfId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3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" fillId="10" borderId="1" xfId="3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1" fillId="8" borderId="1" xfId="3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/>
    </xf>
    <xf numFmtId="0" fontId="0" fillId="8" borderId="1" xfId="0" applyFill="1" applyBorder="1" applyAlignment="1"/>
    <xf numFmtId="0" fontId="16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7" borderId="1" xfId="3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" fillId="7" borderId="1" xfId="1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" fillId="0" borderId="1" xfId="0" applyFont="1" applyBorder="1" applyAlignment="1"/>
    <xf numFmtId="0" fontId="0" fillId="10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38" fontId="6" fillId="10" borderId="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16" fillId="10" borderId="4" xfId="0" applyFont="1" applyFill="1" applyBorder="1" applyAlignment="1">
      <alignment horizontal="left" vertical="center"/>
    </xf>
    <xf numFmtId="0" fontId="18" fillId="11" borderId="5" xfId="4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1" fillId="12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1" xfId="3" applyFont="1" applyFill="1" applyBorder="1" applyAlignment="1">
      <alignment horizontal="center" vertical="center"/>
    </xf>
    <xf numFmtId="0" fontId="1" fillId="12" borderId="1" xfId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9" fillId="8" borderId="6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 vertical="center"/>
    </xf>
    <xf numFmtId="0" fontId="20" fillId="0" borderId="7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0" fontId="9" fillId="5" borderId="1" xfId="0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5">
    <cellStyle name="常规" xfId="0" builtinId="0"/>
    <cellStyle name="常规 2" xfId="1" xr:uid="{00000000-0005-0000-0000-000001000000}"/>
    <cellStyle name="常规 2 2" xfId="3" xr:uid="{621023A1-1F71-4BA4-8A98-70FC28541E91}"/>
    <cellStyle name="常规 4" xfId="2" xr:uid="{00000000-0005-0000-0000-000002000000}"/>
    <cellStyle name="输出" xfId="4" builtinId="21"/>
  </cellStyles>
  <dxfs count="42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ameDesigner_NoArt/common/excel/xls/Main/D_&#36947;&#20855;&#37197;&#3262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道具配置表"/>
      <sheetName val="科技道具组"/>
      <sheetName val="道具合成表"/>
      <sheetName val="#旧道具备份"/>
      <sheetName val="#配表须知"/>
    </sheetNames>
    <sheetDataSet>
      <sheetData sheetId="0">
        <row r="1">
          <cell r="A1" t="str">
            <v>convert(ResItem.proto, table_ItemConfData, ItemConfData.pbin)</v>
          </cell>
        </row>
        <row r="2">
          <cell r="A2" t="str">
            <v>道具ID</v>
          </cell>
          <cell r="B2" t="str">
            <v>商城商品ID</v>
          </cell>
          <cell r="C2" t="str">
            <v>策划</v>
          </cell>
          <cell r="D2" t="str">
            <v>备注</v>
          </cell>
        </row>
        <row r="3">
          <cell r="A3" t="str">
            <v>id</v>
          </cell>
          <cell r="B3" t="str">
            <v>commodityID</v>
          </cell>
        </row>
        <row r="4">
          <cell r="A4">
            <v>101</v>
          </cell>
          <cell r="C4" t="str">
            <v>teysosui</v>
          </cell>
          <cell r="D4" t="str">
            <v>1木材</v>
          </cell>
        </row>
        <row r="5">
          <cell r="A5">
            <v>102</v>
          </cell>
          <cell r="C5" t="str">
            <v>teysosui</v>
          </cell>
          <cell r="D5" t="str">
            <v>1食物</v>
          </cell>
        </row>
        <row r="6">
          <cell r="A6">
            <v>103</v>
          </cell>
          <cell r="C6" t="str">
            <v>teysosui</v>
          </cell>
          <cell r="D6" t="str">
            <v>1石头</v>
          </cell>
        </row>
        <row r="7">
          <cell r="A7">
            <v>104</v>
          </cell>
          <cell r="C7" t="str">
            <v>teysosui</v>
          </cell>
          <cell r="D7" t="str">
            <v>1黄金</v>
          </cell>
        </row>
        <row r="8">
          <cell r="A8">
            <v>111</v>
          </cell>
          <cell r="C8" t="str">
            <v>chuckiecui</v>
          </cell>
          <cell r="D8" t="str">
            <v>1千木材</v>
          </cell>
        </row>
        <row r="9">
          <cell r="A9">
            <v>112</v>
          </cell>
          <cell r="C9" t="str">
            <v>chuckiecui</v>
          </cell>
          <cell r="D9" t="str">
            <v>1千食物</v>
          </cell>
        </row>
        <row r="10">
          <cell r="A10">
            <v>113</v>
          </cell>
          <cell r="C10" t="str">
            <v>chuckiecui</v>
          </cell>
          <cell r="D10" t="str">
            <v>1千石头</v>
          </cell>
        </row>
        <row r="11">
          <cell r="A11">
            <v>114</v>
          </cell>
          <cell r="C11" t="str">
            <v>chuckiecui</v>
          </cell>
          <cell r="D11" t="str">
            <v>1千黄金</v>
          </cell>
        </row>
        <row r="12">
          <cell r="A12">
            <v>121</v>
          </cell>
          <cell r="C12" t="str">
            <v>teysosui</v>
          </cell>
          <cell r="D12" t="str">
            <v>1万木材</v>
          </cell>
        </row>
        <row r="13">
          <cell r="A13">
            <v>122</v>
          </cell>
          <cell r="C13" t="str">
            <v>teysosui</v>
          </cell>
          <cell r="D13" t="str">
            <v>1万食物</v>
          </cell>
        </row>
        <row r="14">
          <cell r="A14">
            <v>123</v>
          </cell>
          <cell r="C14" t="str">
            <v>teysosui</v>
          </cell>
          <cell r="D14" t="str">
            <v>1万石头</v>
          </cell>
        </row>
        <row r="15">
          <cell r="A15">
            <v>124</v>
          </cell>
          <cell r="C15" t="str">
            <v>teysosui</v>
          </cell>
          <cell r="D15" t="str">
            <v>1万黄金</v>
          </cell>
        </row>
        <row r="16">
          <cell r="A16">
            <v>131</v>
          </cell>
          <cell r="C16" t="str">
            <v>lotxu</v>
          </cell>
          <cell r="D16" t="str">
            <v>5万木材</v>
          </cell>
        </row>
        <row r="17">
          <cell r="A17">
            <v>132</v>
          </cell>
          <cell r="C17" t="str">
            <v>lotxu</v>
          </cell>
          <cell r="D17" t="str">
            <v>5万食物</v>
          </cell>
        </row>
        <row r="18">
          <cell r="A18">
            <v>133</v>
          </cell>
          <cell r="C18" t="str">
            <v>lotxu</v>
          </cell>
          <cell r="D18" t="str">
            <v>5万石头</v>
          </cell>
        </row>
        <row r="19">
          <cell r="A19">
            <v>134</v>
          </cell>
          <cell r="C19" t="str">
            <v>lotxu</v>
          </cell>
          <cell r="D19" t="str">
            <v>5万黄金</v>
          </cell>
        </row>
        <row r="20">
          <cell r="A20">
            <v>141</v>
          </cell>
          <cell r="C20" t="str">
            <v>lotxu</v>
          </cell>
          <cell r="D20" t="str">
            <v>10万木材</v>
          </cell>
        </row>
        <row r="21">
          <cell r="A21">
            <v>142</v>
          </cell>
          <cell r="C21" t="str">
            <v>lotxu</v>
          </cell>
          <cell r="D21" t="str">
            <v>10万食物</v>
          </cell>
        </row>
        <row r="22">
          <cell r="A22">
            <v>143</v>
          </cell>
          <cell r="C22" t="str">
            <v>lotxu</v>
          </cell>
          <cell r="D22" t="str">
            <v>10万石头</v>
          </cell>
        </row>
        <row r="23">
          <cell r="A23">
            <v>144</v>
          </cell>
          <cell r="C23" t="str">
            <v>lotxu</v>
          </cell>
          <cell r="D23" t="str">
            <v>10万黄金</v>
          </cell>
        </row>
        <row r="24">
          <cell r="A24">
            <v>151</v>
          </cell>
          <cell r="C24" t="str">
            <v>lotxu</v>
          </cell>
          <cell r="D24" t="str">
            <v>20万木材</v>
          </cell>
        </row>
        <row r="25">
          <cell r="A25">
            <v>152</v>
          </cell>
          <cell r="C25" t="str">
            <v>lotxu</v>
          </cell>
          <cell r="D25" t="str">
            <v>20万食物</v>
          </cell>
        </row>
        <row r="26">
          <cell r="A26">
            <v>153</v>
          </cell>
          <cell r="C26" t="str">
            <v>lotxu</v>
          </cell>
          <cell r="D26" t="str">
            <v>20万石头</v>
          </cell>
        </row>
        <row r="27">
          <cell r="A27">
            <v>154</v>
          </cell>
          <cell r="C27" t="str">
            <v>lotxu</v>
          </cell>
          <cell r="D27" t="str">
            <v>20万黄金</v>
          </cell>
        </row>
        <row r="28">
          <cell r="A28">
            <v>157</v>
          </cell>
          <cell r="C28" t="str">
            <v>lotxu</v>
          </cell>
          <cell r="D28" t="str">
            <v>50万食物</v>
          </cell>
        </row>
        <row r="29">
          <cell r="A29">
            <v>161</v>
          </cell>
          <cell r="C29" t="str">
            <v>lotxu</v>
          </cell>
          <cell r="D29" t="str">
            <v>100万木材</v>
          </cell>
        </row>
        <row r="30">
          <cell r="A30">
            <v>162</v>
          </cell>
          <cell r="C30" t="str">
            <v>lotxu</v>
          </cell>
          <cell r="D30" t="str">
            <v>100万食物</v>
          </cell>
        </row>
        <row r="31">
          <cell r="A31">
            <v>163</v>
          </cell>
          <cell r="C31" t="str">
            <v>lotxu</v>
          </cell>
          <cell r="D31" t="str">
            <v>100万石头</v>
          </cell>
        </row>
        <row r="32">
          <cell r="A32">
            <v>164</v>
          </cell>
          <cell r="C32" t="str">
            <v>lotxu</v>
          </cell>
          <cell r="D32" t="str">
            <v>100万黄金</v>
          </cell>
        </row>
        <row r="33">
          <cell r="A33">
            <v>201</v>
          </cell>
          <cell r="C33" t="str">
            <v>lotxu</v>
          </cell>
          <cell r="D33" t="str">
            <v>1级资源宝箱2千（木材、食物）</v>
          </cell>
        </row>
        <row r="34">
          <cell r="A34">
            <v>202</v>
          </cell>
          <cell r="C34" t="str">
            <v>lotxu</v>
          </cell>
          <cell r="D34" t="str">
            <v>2级资源宝箱3千（木材、食物、石头）</v>
          </cell>
        </row>
        <row r="35">
          <cell r="A35">
            <v>203</v>
          </cell>
          <cell r="C35" t="str">
            <v>lotxu</v>
          </cell>
          <cell r="D35" t="str">
            <v>3级资源宝箱4千（木材、食物、石头、黄金）</v>
          </cell>
        </row>
        <row r="36">
          <cell r="A36">
            <v>1001</v>
          </cell>
          <cell r="C36" t="str">
            <v>jianzili</v>
          </cell>
          <cell r="D36" t="str">
            <v>琼恩</v>
          </cell>
        </row>
        <row r="37">
          <cell r="A37">
            <v>1002</v>
          </cell>
          <cell r="C37" t="str">
            <v>jianzili</v>
          </cell>
          <cell r="D37" t="str">
            <v>影武者</v>
          </cell>
        </row>
        <row r="38">
          <cell r="A38">
            <v>1003</v>
          </cell>
          <cell r="C38" t="str">
            <v>jianzili</v>
          </cell>
          <cell r="D38" t="str">
            <v>尤里乌斯</v>
          </cell>
        </row>
        <row r="39">
          <cell r="A39">
            <v>1004</v>
          </cell>
          <cell r="C39" t="str">
            <v>jianzili</v>
          </cell>
          <cell r="D39" t="str">
            <v>艳后</v>
          </cell>
        </row>
        <row r="40">
          <cell r="A40">
            <v>1005</v>
          </cell>
          <cell r="C40" t="str">
            <v>jianzili</v>
          </cell>
          <cell r="D40" t="str">
            <v>武圣</v>
          </cell>
        </row>
        <row r="41">
          <cell r="A41">
            <v>1006</v>
          </cell>
          <cell r="C41" t="str">
            <v>jianzili</v>
          </cell>
          <cell r="D41" t="str">
            <v>亨利</v>
          </cell>
        </row>
        <row r="42">
          <cell r="A42">
            <v>1007</v>
          </cell>
          <cell r="C42" t="str">
            <v>jianzili</v>
          </cell>
          <cell r="D42" t="str">
            <v>项楚</v>
          </cell>
        </row>
        <row r="43">
          <cell r="A43">
            <v>1008</v>
          </cell>
          <cell r="C43" t="str">
            <v>jianzili</v>
          </cell>
          <cell r="D43" t="str">
            <v>康斯坦丁</v>
          </cell>
        </row>
        <row r="44">
          <cell r="A44">
            <v>1009</v>
          </cell>
          <cell r="C44" t="str">
            <v>jianzili</v>
          </cell>
          <cell r="D44" t="str">
            <v>魏兰</v>
          </cell>
        </row>
        <row r="45">
          <cell r="A45">
            <v>1010</v>
          </cell>
          <cell r="C45" t="str">
            <v>jianzili</v>
          </cell>
          <cell r="D45" t="str">
            <v>法典明君</v>
          </cell>
        </row>
        <row r="46">
          <cell r="A46">
            <v>1011</v>
          </cell>
          <cell r="C46" t="str">
            <v>jianzili</v>
          </cell>
          <cell r="D46" t="str">
            <v>不屈女王</v>
          </cell>
        </row>
        <row r="47">
          <cell r="A47">
            <v>1012</v>
          </cell>
          <cell r="C47" t="str">
            <v>jianzili</v>
          </cell>
          <cell r="D47" t="str">
            <v>真理骑士</v>
          </cell>
        </row>
        <row r="48">
          <cell r="A48">
            <v>1013</v>
          </cell>
          <cell r="C48" t="str">
            <v>jianzili</v>
          </cell>
          <cell r="D48" t="str">
            <v>温泉醒狮</v>
          </cell>
        </row>
        <row r="49">
          <cell r="A49">
            <v>1014</v>
          </cell>
          <cell r="C49" t="str">
            <v>jianzili</v>
          </cell>
          <cell r="D49" t="str">
            <v>兵家至圣</v>
          </cell>
        </row>
        <row r="50">
          <cell r="A50">
            <v>1015</v>
          </cell>
          <cell r="C50" t="str">
            <v>jianzili</v>
          </cell>
          <cell r="D50" t="str">
            <v>女帝</v>
          </cell>
        </row>
        <row r="51">
          <cell r="A51">
            <v>1016</v>
          </cell>
          <cell r="C51" t="str">
            <v>jianzili</v>
          </cell>
          <cell r="D51" t="str">
            <v xml:space="preserve">公正王 </v>
          </cell>
        </row>
        <row r="52">
          <cell r="A52">
            <v>1017</v>
          </cell>
          <cell r="C52" t="str">
            <v>jianzili</v>
          </cell>
          <cell r="D52" t="str">
            <v>弗德里希</v>
          </cell>
        </row>
        <row r="53">
          <cell r="A53">
            <v>1018</v>
          </cell>
          <cell r="C53" t="str">
            <v>jianzili</v>
          </cell>
          <cell r="D53" t="str">
            <v>乱世枭雄</v>
          </cell>
        </row>
        <row r="54">
          <cell r="A54">
            <v>1019</v>
          </cell>
          <cell r="C54" t="str">
            <v>jianzili</v>
          </cell>
          <cell r="D54" t="str">
            <v>铁血大帝</v>
          </cell>
        </row>
        <row r="55">
          <cell r="A55">
            <v>1020</v>
          </cell>
          <cell r="C55" t="str">
            <v>jianzili</v>
          </cell>
          <cell r="D55" t="str">
            <v>德丰府院君</v>
          </cell>
        </row>
        <row r="56">
          <cell r="A56">
            <v>1021</v>
          </cell>
          <cell r="C56" t="str">
            <v>jianzili</v>
          </cell>
          <cell r="D56" t="str">
            <v>骑士王</v>
          </cell>
        </row>
        <row r="57">
          <cell r="A57">
            <v>1022</v>
          </cell>
          <cell r="C57" t="str">
            <v>jianzili</v>
          </cell>
          <cell r="D57" t="str">
            <v>征服王</v>
          </cell>
        </row>
        <row r="58">
          <cell r="A58">
            <v>1023</v>
          </cell>
          <cell r="C58" t="str">
            <v>jianzili</v>
          </cell>
          <cell r="D58" t="str">
            <v>军略之主</v>
          </cell>
        </row>
        <row r="59">
          <cell r="A59">
            <v>1024</v>
          </cell>
          <cell r="C59" t="str">
            <v>waaaghwang</v>
          </cell>
          <cell r="D59" t="str">
            <v>卧龙夫人</v>
          </cell>
        </row>
        <row r="60">
          <cell r="A60">
            <v>1026</v>
          </cell>
          <cell r="C60" t="str">
            <v>waaaghwang</v>
          </cell>
          <cell r="D60" t="str">
            <v>龙胆神将</v>
          </cell>
        </row>
        <row r="61">
          <cell r="A61">
            <v>1027</v>
          </cell>
          <cell r="C61" t="str">
            <v>waaaghwang</v>
          </cell>
          <cell r="D61" t="str">
            <v>假面将军</v>
          </cell>
        </row>
        <row r="62">
          <cell r="A62">
            <v>1030</v>
          </cell>
          <cell r="C62" t="str">
            <v>doublehwang</v>
          </cell>
          <cell r="D62" t="str">
            <v>神勇右将</v>
          </cell>
        </row>
        <row r="63">
          <cell r="A63">
            <v>1031</v>
          </cell>
          <cell r="C63" t="str">
            <v>doublehwang</v>
          </cell>
          <cell r="D63" t="str">
            <v>天威左将</v>
          </cell>
        </row>
        <row r="64">
          <cell r="A64">
            <v>1032</v>
          </cell>
          <cell r="C64" t="str">
            <v>waaaghwang</v>
          </cell>
          <cell r="D64" t="str">
            <v>惩戒之鞭</v>
          </cell>
        </row>
        <row r="65">
          <cell r="A65">
            <v>1033</v>
          </cell>
          <cell r="C65" t="str">
            <v>waaaghwang</v>
          </cell>
          <cell r="D65" t="str">
            <v>卧龙</v>
          </cell>
        </row>
        <row r="66">
          <cell r="A66">
            <v>1035</v>
          </cell>
          <cell r="C66" t="str">
            <v>doublehwang</v>
          </cell>
          <cell r="D66" t="str">
            <v>兵仙</v>
          </cell>
        </row>
        <row r="67">
          <cell r="A67">
            <v>1036</v>
          </cell>
          <cell r="C67" t="str">
            <v>jackjxzhang</v>
          </cell>
          <cell r="D67" t="str">
            <v>安德莉娅</v>
          </cell>
        </row>
        <row r="68">
          <cell r="A68">
            <v>1201</v>
          </cell>
          <cell r="C68" t="str">
            <v>waaaghwang</v>
          </cell>
          <cell r="D68" t="str">
            <v>李道玄</v>
          </cell>
        </row>
        <row r="69">
          <cell r="A69">
            <v>1202</v>
          </cell>
          <cell r="C69" t="str">
            <v>waaaghwang</v>
          </cell>
          <cell r="D69" t="str">
            <v>纳尔西斯</v>
          </cell>
        </row>
        <row r="70">
          <cell r="A70">
            <v>1203</v>
          </cell>
          <cell r="C70" t="str">
            <v>waaaghwang</v>
          </cell>
          <cell r="D70" t="str">
            <v>雷欧</v>
          </cell>
        </row>
        <row r="71">
          <cell r="A71">
            <v>1204</v>
          </cell>
          <cell r="C71" t="str">
            <v>waaaghwang</v>
          </cell>
          <cell r="D71" t="str">
            <v>莱昂</v>
          </cell>
        </row>
        <row r="72">
          <cell r="A72">
            <v>1205</v>
          </cell>
          <cell r="C72" t="str">
            <v>waaaghwang</v>
          </cell>
          <cell r="D72" t="str">
            <v>巴尔达斯</v>
          </cell>
        </row>
        <row r="73">
          <cell r="A73">
            <v>1206</v>
          </cell>
          <cell r="C73" t="str">
            <v>waaaghwang</v>
          </cell>
          <cell r="D73" t="str">
            <v>阿克塞尔</v>
          </cell>
        </row>
        <row r="74">
          <cell r="A74">
            <v>1207</v>
          </cell>
          <cell r="C74" t="str">
            <v>waaaghwang</v>
          </cell>
          <cell r="D74" t="str">
            <v>武威</v>
          </cell>
        </row>
        <row r="75">
          <cell r="A75">
            <v>1208</v>
          </cell>
          <cell r="C75" t="str">
            <v>waaaghwang</v>
          </cell>
          <cell r="D75" t="str">
            <v>崔如意</v>
          </cell>
        </row>
        <row r="76">
          <cell r="A76">
            <v>1209</v>
          </cell>
          <cell r="C76" t="str">
            <v>waaaghwang</v>
          </cell>
          <cell r="D76" t="str">
            <v>尼诺</v>
          </cell>
        </row>
        <row r="77">
          <cell r="A77">
            <v>1210</v>
          </cell>
          <cell r="C77" t="str">
            <v>doublehwang</v>
          </cell>
          <cell r="D77" t="str">
            <v>克洛特</v>
          </cell>
        </row>
        <row r="78">
          <cell r="A78">
            <v>1211</v>
          </cell>
          <cell r="C78" t="str">
            <v>doublehwang</v>
          </cell>
          <cell r="D78" t="str">
            <v>高猛</v>
          </cell>
        </row>
        <row r="79">
          <cell r="A79">
            <v>2005</v>
          </cell>
          <cell r="B79">
            <v>59</v>
          </cell>
          <cell r="C79" t="str">
            <v>halelin</v>
          </cell>
          <cell r="D79" t="str">
            <v>新手奖池招募券</v>
          </cell>
        </row>
        <row r="80">
          <cell r="A80">
            <v>2020</v>
          </cell>
          <cell r="C80" t="str">
            <v>proqin</v>
          </cell>
          <cell r="D80" t="str">
            <v>技术点数</v>
          </cell>
        </row>
        <row r="81">
          <cell r="A81">
            <v>2021</v>
          </cell>
          <cell r="C81" t="str">
            <v>proqin</v>
          </cell>
          <cell r="D81" t="str">
            <v>文化点数</v>
          </cell>
        </row>
        <row r="82">
          <cell r="A82">
            <v>2022</v>
          </cell>
          <cell r="C82" t="str">
            <v>proqin</v>
          </cell>
          <cell r="D82" t="str">
            <v>传承点数</v>
          </cell>
        </row>
        <row r="83">
          <cell r="A83">
            <v>3006</v>
          </cell>
          <cell r="C83" t="str">
            <v>stelarzhang</v>
          </cell>
          <cell r="D83" t="str">
            <v>1行动令</v>
          </cell>
        </row>
        <row r="84">
          <cell r="A84">
            <v>3080</v>
          </cell>
          <cell r="B84">
            <v>40</v>
          </cell>
          <cell r="C84" t="str">
            <v>proqin</v>
          </cell>
          <cell r="D84" t="str">
            <v>君主改名券</v>
          </cell>
        </row>
        <row r="85">
          <cell r="A85">
            <v>4000</v>
          </cell>
          <cell r="C85" t="str">
            <v>ryanshen</v>
          </cell>
          <cell r="D85" t="str">
            <v>知识卷轴X1</v>
          </cell>
        </row>
        <row r="86">
          <cell r="A86">
            <v>4001</v>
          </cell>
          <cell r="C86" t="str">
            <v>ryanshen</v>
          </cell>
          <cell r="D86" t="str">
            <v>新手迁城</v>
          </cell>
        </row>
        <row r="87">
          <cell r="A87">
            <v>4002</v>
          </cell>
          <cell r="C87" t="str">
            <v>proqin</v>
          </cell>
          <cell r="D87" t="str">
            <v>知识卷轴X1000</v>
          </cell>
        </row>
        <row r="88">
          <cell r="A88">
            <v>4003</v>
          </cell>
          <cell r="C88" t="str">
            <v>ryanshen</v>
          </cell>
          <cell r="D88" t="str">
            <v>知识卷轴X100（暂时不要使用，无效）</v>
          </cell>
        </row>
        <row r="89">
          <cell r="A89">
            <v>4004</v>
          </cell>
          <cell r="C89" t="str">
            <v>ryanshen</v>
          </cell>
          <cell r="D89" t="str">
            <v>知识卷轴X200（暂时不要使用，无效）</v>
          </cell>
        </row>
        <row r="90">
          <cell r="A90">
            <v>4005</v>
          </cell>
          <cell r="C90" t="str">
            <v>ryanshen</v>
          </cell>
          <cell r="D90" t="str">
            <v>知识卷轴X500（暂时不要使用，无效）</v>
          </cell>
        </row>
        <row r="91">
          <cell r="A91">
            <v>4006</v>
          </cell>
          <cell r="C91" t="str">
            <v>praisegao</v>
          </cell>
          <cell r="D91" t="str">
            <v>民心选票</v>
          </cell>
        </row>
        <row r="92">
          <cell r="A92">
            <v>4007</v>
          </cell>
          <cell r="C92" t="str">
            <v>reniexu</v>
          </cell>
          <cell r="D92" t="str">
            <v>新手迁城（限时）</v>
          </cell>
        </row>
        <row r="93">
          <cell r="A93">
            <v>5005</v>
          </cell>
          <cell r="B93">
            <v>44</v>
          </cell>
          <cell r="C93" t="str">
            <v>chuckiecui</v>
          </cell>
          <cell r="D93" t="str">
            <v>随机迁城（有效，但暂不考虑投放）</v>
          </cell>
        </row>
        <row r="94">
          <cell r="A94">
            <v>5006</v>
          </cell>
          <cell r="C94" t="str">
            <v>wadegu</v>
          </cell>
          <cell r="D94" t="str">
            <v>免战声明</v>
          </cell>
        </row>
        <row r="95">
          <cell r="A95">
            <v>5007</v>
          </cell>
          <cell r="B95">
            <v>91</v>
          </cell>
          <cell r="C95" t="str">
            <v>jianzili</v>
          </cell>
          <cell r="D95" t="str">
            <v>3小时紧急免战声明</v>
          </cell>
        </row>
        <row r="96">
          <cell r="A96">
            <v>5008</v>
          </cell>
          <cell r="B96">
            <v>92</v>
          </cell>
          <cell r="C96" t="str">
            <v>jianzili</v>
          </cell>
          <cell r="D96" t="str">
            <v>8小时紧急免战声明</v>
          </cell>
        </row>
        <row r="97">
          <cell r="A97">
            <v>5010</v>
          </cell>
          <cell r="B97">
            <v>93</v>
          </cell>
          <cell r="C97" t="str">
            <v>jianzili</v>
          </cell>
          <cell r="D97" t="str">
            <v>12小时紧急免战声明</v>
          </cell>
        </row>
        <row r="98">
          <cell r="A98">
            <v>5014</v>
          </cell>
          <cell r="B98">
            <v>60</v>
          </cell>
          <cell r="C98" t="str">
            <v>waaaghwang</v>
          </cell>
          <cell r="D98" t="str">
            <v>城内木材24小时采集加速</v>
          </cell>
        </row>
        <row r="99">
          <cell r="A99">
            <v>5015</v>
          </cell>
          <cell r="B99">
            <v>61</v>
          </cell>
          <cell r="C99" t="str">
            <v>waaaghwang</v>
          </cell>
          <cell r="D99" t="str">
            <v>城内食物24小时采集加速</v>
          </cell>
        </row>
        <row r="100">
          <cell r="A100">
            <v>5016</v>
          </cell>
          <cell r="B100">
            <v>62</v>
          </cell>
          <cell r="C100" t="str">
            <v>waaaghwang</v>
          </cell>
          <cell r="D100" t="str">
            <v>城内石料24小时采集加速</v>
          </cell>
        </row>
        <row r="101">
          <cell r="A101">
            <v>5017</v>
          </cell>
          <cell r="B101">
            <v>63</v>
          </cell>
          <cell r="C101" t="str">
            <v>waaaghwang</v>
          </cell>
          <cell r="D101" t="str">
            <v>城内黄金24小时采集加速</v>
          </cell>
        </row>
        <row r="102">
          <cell r="A102">
            <v>5018</v>
          </cell>
          <cell r="B102">
            <v>64</v>
          </cell>
          <cell r="C102" t="str">
            <v>waaaghwang</v>
          </cell>
          <cell r="D102" t="str">
            <v>城内木材8小时采集加速</v>
          </cell>
        </row>
        <row r="103">
          <cell r="A103">
            <v>5019</v>
          </cell>
          <cell r="B103">
            <v>65</v>
          </cell>
          <cell r="C103" t="str">
            <v>waaaghwang</v>
          </cell>
          <cell r="D103" t="str">
            <v>城内食物8小时采集加速</v>
          </cell>
        </row>
        <row r="104">
          <cell r="A104">
            <v>5020</v>
          </cell>
          <cell r="B104">
            <v>66</v>
          </cell>
          <cell r="C104" t="str">
            <v>waaaghwang</v>
          </cell>
          <cell r="D104" t="str">
            <v>城内石料8小时采集加速</v>
          </cell>
        </row>
        <row r="105">
          <cell r="A105">
            <v>5021</v>
          </cell>
          <cell r="B105">
            <v>67</v>
          </cell>
          <cell r="C105" t="str">
            <v>waaaghwang</v>
          </cell>
          <cell r="D105" t="str">
            <v>城内黄金8小时采集加速</v>
          </cell>
        </row>
        <row r="106">
          <cell r="A106">
            <v>5031</v>
          </cell>
          <cell r="C106" t="str">
            <v>proqin</v>
          </cell>
          <cell r="D106" t="str">
            <v>屯兵上限（1万）</v>
          </cell>
        </row>
        <row r="107">
          <cell r="A107">
            <v>5032</v>
          </cell>
          <cell r="C107" t="str">
            <v>proqin</v>
          </cell>
          <cell r="D107" t="str">
            <v>屯兵上限（3万）</v>
          </cell>
        </row>
        <row r="108">
          <cell r="A108">
            <v>5033</v>
          </cell>
          <cell r="C108" t="str">
            <v>proqin</v>
          </cell>
          <cell r="D108" t="str">
            <v>屯兵上限（6万）</v>
          </cell>
        </row>
        <row r="109">
          <cell r="A109">
            <v>5034</v>
          </cell>
          <cell r="C109" t="str">
            <v>proqin</v>
          </cell>
          <cell r="D109" t="str">
            <v>屯兵上限（9万）</v>
          </cell>
        </row>
        <row r="110">
          <cell r="A110">
            <v>5035</v>
          </cell>
          <cell r="C110" t="str">
            <v>proqin</v>
          </cell>
          <cell r="D110" t="str">
            <v>屯兵上限（12万）</v>
          </cell>
        </row>
        <row r="111">
          <cell r="A111">
            <v>5041</v>
          </cell>
          <cell r="C111" t="str">
            <v>proqin</v>
          </cell>
          <cell r="D111" t="str">
            <v>英雄体力上限（20）</v>
          </cell>
        </row>
        <row r="112">
          <cell r="A112">
            <v>5042</v>
          </cell>
          <cell r="C112" t="str">
            <v>proqin</v>
          </cell>
          <cell r="D112" t="str">
            <v>英雄体力上限（40）</v>
          </cell>
        </row>
        <row r="113">
          <cell r="A113">
            <v>5043</v>
          </cell>
          <cell r="C113" t="str">
            <v>proqin</v>
          </cell>
          <cell r="D113" t="str">
            <v>英雄体力上限（60）</v>
          </cell>
        </row>
        <row r="114">
          <cell r="A114">
            <v>5101</v>
          </cell>
          <cell r="B114">
            <v>70</v>
          </cell>
          <cell r="C114" t="str">
            <v>halelin</v>
          </cell>
          <cell r="D114" t="str">
            <v>1小时战争扩编（2万）</v>
          </cell>
        </row>
        <row r="115">
          <cell r="A115">
            <v>5102</v>
          </cell>
          <cell r="B115">
            <v>71</v>
          </cell>
          <cell r="C115" t="str">
            <v>halelin</v>
          </cell>
          <cell r="D115" t="str">
            <v>1小时战争扩编（5万）</v>
          </cell>
        </row>
        <row r="116">
          <cell r="A116">
            <v>5103</v>
          </cell>
          <cell r="C116" t="str">
            <v>halelin</v>
          </cell>
          <cell r="D116" t="str">
            <v>1小时战争扩编（8万）</v>
          </cell>
        </row>
        <row r="117">
          <cell r="A117">
            <v>5104</v>
          </cell>
          <cell r="C117" t="str">
            <v>halelin</v>
          </cell>
          <cell r="D117" t="str">
            <v>1小时战争扩编（10万）</v>
          </cell>
        </row>
        <row r="118">
          <cell r="A118">
            <v>5200</v>
          </cell>
          <cell r="B118">
            <v>83</v>
          </cell>
          <cell r="C118" t="str">
            <v>halelin</v>
          </cell>
          <cell r="D118" t="str">
            <v>1小时攻击加成（10%）</v>
          </cell>
        </row>
        <row r="119">
          <cell r="A119">
            <v>5201</v>
          </cell>
          <cell r="B119">
            <v>84</v>
          </cell>
          <cell r="C119" t="str">
            <v>halelin</v>
          </cell>
          <cell r="D119" t="str">
            <v>1小时攻击加成（30%）</v>
          </cell>
        </row>
        <row r="120">
          <cell r="A120">
            <v>5202</v>
          </cell>
          <cell r="B120">
            <v>85</v>
          </cell>
          <cell r="C120" t="str">
            <v>halelin</v>
          </cell>
          <cell r="D120" t="str">
            <v>1小时攻击加成（40%）</v>
          </cell>
        </row>
        <row r="121">
          <cell r="A121">
            <v>5300</v>
          </cell>
          <cell r="B121">
            <v>87</v>
          </cell>
          <cell r="C121" t="str">
            <v>halelin</v>
          </cell>
          <cell r="D121" t="str">
            <v>1小时防御加成（10%）</v>
          </cell>
        </row>
        <row r="122">
          <cell r="A122">
            <v>5301</v>
          </cell>
          <cell r="B122">
            <v>88</v>
          </cell>
          <cell r="C122" t="str">
            <v>halelin</v>
          </cell>
          <cell r="D122" t="str">
            <v>1小时防御加成（30%）</v>
          </cell>
        </row>
        <row r="123">
          <cell r="A123">
            <v>5302</v>
          </cell>
          <cell r="B123">
            <v>89</v>
          </cell>
          <cell r="C123" t="str">
            <v>halelin</v>
          </cell>
          <cell r="D123" t="str">
            <v>1小时防御加成（40%）</v>
          </cell>
        </row>
        <row r="124">
          <cell r="A124">
            <v>6002</v>
          </cell>
          <cell r="C124" t="str">
            <v>teysosui</v>
          </cell>
          <cell r="D124" t="str">
            <v>1分钟科技加速</v>
          </cell>
        </row>
        <row r="125">
          <cell r="A125">
            <v>6003</v>
          </cell>
          <cell r="C125" t="str">
            <v>teysosui</v>
          </cell>
          <cell r="D125" t="str">
            <v>1分钟训练加速</v>
          </cell>
        </row>
        <row r="126">
          <cell r="A126">
            <v>6020</v>
          </cell>
          <cell r="C126" t="str">
            <v>teysosui</v>
          </cell>
          <cell r="D126" t="str">
            <v>5分钟建造加速</v>
          </cell>
        </row>
        <row r="127">
          <cell r="A127">
            <v>6021</v>
          </cell>
          <cell r="C127" t="str">
            <v>teysosui</v>
          </cell>
          <cell r="D127" t="str">
            <v>1小时建造加速</v>
          </cell>
        </row>
        <row r="128">
          <cell r="A128">
            <v>6022</v>
          </cell>
          <cell r="C128" t="str">
            <v>teysosui</v>
          </cell>
          <cell r="D128" t="str">
            <v>2小时建造加速</v>
          </cell>
        </row>
        <row r="129">
          <cell r="A129">
            <v>6023</v>
          </cell>
          <cell r="C129" t="str">
            <v>teysosui</v>
          </cell>
          <cell r="D129" t="str">
            <v>8小时建造加速</v>
          </cell>
        </row>
        <row r="130">
          <cell r="A130">
            <v>6024</v>
          </cell>
          <cell r="C130" t="str">
            <v>teysosui</v>
          </cell>
          <cell r="D130" t="str">
            <v>12小时建造加速</v>
          </cell>
        </row>
        <row r="131">
          <cell r="A131">
            <v>6025</v>
          </cell>
          <cell r="C131" t="str">
            <v>teysosui</v>
          </cell>
          <cell r="D131" t="str">
            <v>24小时建造加速</v>
          </cell>
        </row>
        <row r="132">
          <cell r="A132">
            <v>6030</v>
          </cell>
          <cell r="C132" t="str">
            <v>teysosui</v>
          </cell>
          <cell r="D132" t="str">
            <v>5分钟科技加速</v>
          </cell>
        </row>
        <row r="133">
          <cell r="A133">
            <v>6031</v>
          </cell>
          <cell r="C133" t="str">
            <v>teysosui</v>
          </cell>
          <cell r="D133" t="str">
            <v>1小时科技加速</v>
          </cell>
        </row>
        <row r="134">
          <cell r="A134">
            <v>6032</v>
          </cell>
          <cell r="C134" t="str">
            <v>teysosui</v>
          </cell>
          <cell r="D134" t="str">
            <v>2小时科技加速</v>
          </cell>
        </row>
        <row r="135">
          <cell r="A135">
            <v>6033</v>
          </cell>
          <cell r="C135" t="str">
            <v>teysosui</v>
          </cell>
          <cell r="D135" t="str">
            <v>8小时科技加速</v>
          </cell>
        </row>
        <row r="136">
          <cell r="A136">
            <v>6034</v>
          </cell>
          <cell r="C136" t="str">
            <v>teysosui</v>
          </cell>
          <cell r="D136" t="str">
            <v>12小时科技加速</v>
          </cell>
        </row>
        <row r="137">
          <cell r="A137">
            <v>6035</v>
          </cell>
          <cell r="C137" t="str">
            <v>teysosui</v>
          </cell>
          <cell r="D137" t="str">
            <v>24小时科技加速</v>
          </cell>
        </row>
        <row r="138">
          <cell r="A138">
            <v>6040</v>
          </cell>
          <cell r="C138" t="str">
            <v>teysosui</v>
          </cell>
          <cell r="D138" t="str">
            <v>5分钟训练加速</v>
          </cell>
        </row>
        <row r="139">
          <cell r="A139">
            <v>6041</v>
          </cell>
          <cell r="C139" t="str">
            <v>teysosui</v>
          </cell>
          <cell r="D139" t="str">
            <v>1小时训练加速</v>
          </cell>
        </row>
        <row r="140">
          <cell r="A140">
            <v>6042</v>
          </cell>
          <cell r="C140" t="str">
            <v>teysosui</v>
          </cell>
          <cell r="D140" t="str">
            <v>2小时训练加速</v>
          </cell>
        </row>
        <row r="141">
          <cell r="A141">
            <v>6043</v>
          </cell>
          <cell r="C141" t="str">
            <v>teysosui</v>
          </cell>
          <cell r="D141" t="str">
            <v>8小时训练加速</v>
          </cell>
        </row>
        <row r="142">
          <cell r="A142">
            <v>6044</v>
          </cell>
          <cell r="C142" t="str">
            <v>teysosui</v>
          </cell>
          <cell r="D142" t="str">
            <v>12小时训练加速</v>
          </cell>
        </row>
        <row r="143">
          <cell r="A143">
            <v>6045</v>
          </cell>
          <cell r="C143" t="str">
            <v>teysosui</v>
          </cell>
          <cell r="D143" t="str">
            <v>24小时训练加速</v>
          </cell>
        </row>
        <row r="144">
          <cell r="A144">
            <v>6050</v>
          </cell>
          <cell r="C144" t="str">
            <v>teysosui</v>
          </cell>
          <cell r="D144" t="str">
            <v>5分钟治疗加速</v>
          </cell>
        </row>
        <row r="145">
          <cell r="A145">
            <v>6051</v>
          </cell>
          <cell r="C145" t="str">
            <v>teysosui</v>
          </cell>
          <cell r="D145" t="str">
            <v>1小时治疗加速</v>
          </cell>
        </row>
        <row r="146">
          <cell r="A146">
            <v>6052</v>
          </cell>
          <cell r="C146" t="str">
            <v>teysosui</v>
          </cell>
          <cell r="D146" t="str">
            <v>2小时治疗加速</v>
          </cell>
        </row>
        <row r="147">
          <cell r="A147">
            <v>6053</v>
          </cell>
          <cell r="C147" t="str">
            <v>teysosui</v>
          </cell>
          <cell r="D147" t="str">
            <v>8小时治疗加速</v>
          </cell>
        </row>
        <row r="148">
          <cell r="A148">
            <v>6054</v>
          </cell>
          <cell r="C148" t="str">
            <v>teysosui</v>
          </cell>
          <cell r="D148" t="str">
            <v>12小时治疗加速</v>
          </cell>
        </row>
        <row r="149">
          <cell r="A149">
            <v>6055</v>
          </cell>
          <cell r="C149" t="str">
            <v>teysosui</v>
          </cell>
          <cell r="D149" t="str">
            <v>24小时治疗加速</v>
          </cell>
        </row>
        <row r="150">
          <cell r="A150">
            <v>6501</v>
          </cell>
          <cell r="B150">
            <v>74</v>
          </cell>
          <cell r="C150" t="str">
            <v>ryanshen</v>
          </cell>
          <cell r="D150" t="str">
            <v>号角聊天喇叭</v>
          </cell>
        </row>
        <row r="151">
          <cell r="A151">
            <v>6502</v>
          </cell>
          <cell r="C151" t="str">
            <v>ryanshen</v>
          </cell>
          <cell r="D151" t="str">
            <v>一方英主之旗</v>
          </cell>
        </row>
        <row r="152">
          <cell r="A152">
            <v>6503</v>
          </cell>
          <cell r="C152" t="str">
            <v>ryanshen</v>
          </cell>
          <cell r="D152" t="str">
            <v>乱世雄主之旗</v>
          </cell>
        </row>
        <row r="153">
          <cell r="A153">
            <v>6504</v>
          </cell>
          <cell r="C153" t="str">
            <v>ryanshen</v>
          </cell>
          <cell r="D153" t="str">
            <v>天下霸主之旗</v>
          </cell>
        </row>
        <row r="154">
          <cell r="A154">
            <v>6671</v>
          </cell>
          <cell r="B154">
            <v>75</v>
          </cell>
          <cell r="C154" t="str">
            <v>algao</v>
          </cell>
          <cell r="D154" t="str">
            <v>1荣耀积分</v>
          </cell>
        </row>
        <row r="155">
          <cell r="A155">
            <v>6672</v>
          </cell>
          <cell r="C155" t="str">
            <v>algao</v>
          </cell>
          <cell r="D155" t="str">
            <v>帝国之星</v>
          </cell>
        </row>
        <row r="156">
          <cell r="A156">
            <v>6673</v>
          </cell>
          <cell r="C156" t="str">
            <v>algao</v>
          </cell>
          <cell r="D156" t="str">
            <v>更多更多(不会获得的道具,仅用来表示还有更多奖励)</v>
          </cell>
        </row>
        <row r="157">
          <cell r="A157">
            <v>6680</v>
          </cell>
          <cell r="C157" t="str">
            <v>jianzili</v>
          </cell>
          <cell r="D157" t="str">
            <v>城市风格切换券</v>
          </cell>
        </row>
        <row r="158">
          <cell r="A158">
            <v>6681</v>
          </cell>
          <cell r="C158" t="str">
            <v>lotxu</v>
          </cell>
          <cell r="D158" t="str">
            <v>1铜币（进背包）</v>
          </cell>
        </row>
        <row r="159">
          <cell r="A159">
            <v>6682</v>
          </cell>
          <cell r="C159" t="str">
            <v>lotxu</v>
          </cell>
          <cell r="D159" t="str">
            <v>1铜币（立即使用，不进背包）</v>
          </cell>
        </row>
        <row r="160">
          <cell r="A160">
            <v>7000</v>
          </cell>
          <cell r="C160" t="str">
            <v>lotxu</v>
          </cell>
          <cell r="D160" t="str">
            <v>1钻石（进背包）</v>
          </cell>
        </row>
        <row r="161">
          <cell r="A161">
            <v>7001</v>
          </cell>
          <cell r="C161" t="str">
            <v>lotxu</v>
          </cell>
          <cell r="D161" t="str">
            <v>1钻石（立即使用，不进背包）</v>
          </cell>
        </row>
        <row r="162">
          <cell r="A162">
            <v>7002</v>
          </cell>
          <cell r="C162" t="str">
            <v>lotxu</v>
          </cell>
          <cell r="D162" t="str">
            <v>1银币（进背包）</v>
          </cell>
        </row>
        <row r="163">
          <cell r="A163">
            <v>7003</v>
          </cell>
          <cell r="C163" t="str">
            <v>lotxu</v>
          </cell>
          <cell r="D163" t="str">
            <v>1银币（立即使用，不进背包）</v>
          </cell>
        </row>
        <row r="164">
          <cell r="A164">
            <v>7004</v>
          </cell>
          <cell r="C164" t="str">
            <v>lotxu</v>
          </cell>
          <cell r="D164" t="str">
            <v>10银币（立即使用，不进背包）</v>
          </cell>
        </row>
        <row r="165">
          <cell r="A165">
            <v>7005</v>
          </cell>
          <cell r="C165" t="str">
            <v>lotxu</v>
          </cell>
          <cell r="D165" t="str">
            <v>50银币（立即使用，不进背包）</v>
          </cell>
        </row>
        <row r="166">
          <cell r="A166">
            <v>7006</v>
          </cell>
          <cell r="C166" t="str">
            <v>lotxu</v>
          </cell>
          <cell r="D166" t="str">
            <v>100银币（立即使用，不进背包）</v>
          </cell>
        </row>
        <row r="167">
          <cell r="A167">
            <v>7007</v>
          </cell>
          <cell r="C167" t="str">
            <v>lotxu</v>
          </cell>
          <cell r="D167" t="str">
            <v>100铜币（立即使用，不进背包）</v>
          </cell>
        </row>
        <row r="168">
          <cell r="A168">
            <v>7008</v>
          </cell>
          <cell r="C168" t="str">
            <v>lotxu</v>
          </cell>
          <cell r="D168" t="str">
            <v>1000铜币（立即使用，不进背包）</v>
          </cell>
        </row>
        <row r="169">
          <cell r="A169">
            <v>7009</v>
          </cell>
          <cell r="C169" t="str">
            <v>lotxu</v>
          </cell>
          <cell r="D169" t="str">
            <v>10000铜币（立即使用，不进背包）</v>
          </cell>
        </row>
        <row r="170">
          <cell r="A170">
            <v>7010</v>
          </cell>
          <cell r="C170" t="str">
            <v>yanhaoyhli</v>
          </cell>
          <cell r="D170" t="str">
            <v>军演币</v>
          </cell>
        </row>
        <row r="171">
          <cell r="A171">
            <v>7100</v>
          </cell>
          <cell r="C171" t="str">
            <v>tychewang</v>
          </cell>
          <cell r="D171" t="str">
            <v>联盟币</v>
          </cell>
        </row>
        <row r="172">
          <cell r="A172">
            <v>8001</v>
          </cell>
          <cell r="C172" t="str">
            <v>tychewang</v>
          </cell>
          <cell r="D172" t="str">
            <v>100联盟资金</v>
          </cell>
        </row>
        <row r="173">
          <cell r="A173">
            <v>8002</v>
          </cell>
          <cell r="C173" t="str">
            <v>ryanshen</v>
          </cell>
          <cell r="D173" t="str">
            <v>技术点数(仅展示不要使用不要使用）</v>
          </cell>
        </row>
        <row r="174">
          <cell r="A174">
            <v>8003</v>
          </cell>
          <cell r="C174" t="str">
            <v>ryanshen</v>
          </cell>
          <cell r="D174" t="str">
            <v>文化点数(仅展示不要使用）</v>
          </cell>
        </row>
        <row r="175">
          <cell r="A175">
            <v>8004</v>
          </cell>
          <cell r="C175" t="str">
            <v>ryanshen</v>
          </cell>
          <cell r="D175" t="str">
            <v>木材(仅展示不要使用）</v>
          </cell>
        </row>
        <row r="176">
          <cell r="A176">
            <v>8005</v>
          </cell>
          <cell r="C176" t="str">
            <v>ryanshen</v>
          </cell>
          <cell r="D176" t="str">
            <v>食物(仅展示不要使用）</v>
          </cell>
        </row>
        <row r="177">
          <cell r="A177">
            <v>8006</v>
          </cell>
          <cell r="C177" t="str">
            <v>ryanshen</v>
          </cell>
          <cell r="D177" t="str">
            <v>石头(仅展示不要使用）</v>
          </cell>
        </row>
        <row r="178">
          <cell r="A178">
            <v>8007</v>
          </cell>
          <cell r="C178" t="str">
            <v>ryanshen</v>
          </cell>
          <cell r="D178" t="str">
            <v>黄金(仅展示不要使用）</v>
          </cell>
        </row>
        <row r="179">
          <cell r="A179">
            <v>8008</v>
          </cell>
          <cell r="C179" t="str">
            <v>ryanshen</v>
          </cell>
          <cell r="D179" t="str">
            <v>知识卷轴(仅展示不要使用）</v>
          </cell>
        </row>
        <row r="180">
          <cell r="A180">
            <v>8009</v>
          </cell>
          <cell r="C180" t="str">
            <v>ryanshen</v>
          </cell>
          <cell r="D180" t="str">
            <v>铜币(仅展示不要使用）</v>
          </cell>
        </row>
        <row r="181">
          <cell r="A181">
            <v>8010</v>
          </cell>
          <cell r="C181" t="str">
            <v>ryanshen</v>
          </cell>
          <cell r="D181" t="str">
            <v>银币(仅展示不要使用）</v>
          </cell>
        </row>
        <row r="182">
          <cell r="A182">
            <v>9001</v>
          </cell>
          <cell r="C182" t="str">
            <v>lotxu</v>
          </cell>
          <cell r="D182" t="str">
            <v>村民进背包</v>
          </cell>
        </row>
        <row r="183">
          <cell r="A183">
            <v>9035</v>
          </cell>
          <cell r="C183" t="str">
            <v>ryanshen</v>
          </cell>
          <cell r="D183" t="str">
            <v>最高等级剑士直接使用X1</v>
          </cell>
        </row>
        <row r="184">
          <cell r="A184">
            <v>9036</v>
          </cell>
          <cell r="C184" t="str">
            <v>ryanshen</v>
          </cell>
          <cell r="D184" t="str">
            <v>最高等级枪兵直接使用X1</v>
          </cell>
        </row>
        <row r="185">
          <cell r="A185">
            <v>9037</v>
          </cell>
          <cell r="C185" t="str">
            <v>ryanshen</v>
          </cell>
          <cell r="D185" t="str">
            <v>最高等级骑兵直接使用X1</v>
          </cell>
        </row>
        <row r="186">
          <cell r="A186">
            <v>9038</v>
          </cell>
          <cell r="C186" t="str">
            <v>ryanshen</v>
          </cell>
          <cell r="D186" t="str">
            <v>最高等级弓兵直接使用X1</v>
          </cell>
        </row>
        <row r="187">
          <cell r="A187">
            <v>9039</v>
          </cell>
          <cell r="C187" t="str">
            <v>ryanshen</v>
          </cell>
          <cell r="D187" t="str">
            <v>最高等级剑士进背包X1</v>
          </cell>
        </row>
        <row r="188">
          <cell r="A188">
            <v>9040</v>
          </cell>
          <cell r="C188" t="str">
            <v>ryanshen</v>
          </cell>
          <cell r="D188" t="str">
            <v>最高等级枪兵进背包X1</v>
          </cell>
        </row>
        <row r="189">
          <cell r="A189">
            <v>9041</v>
          </cell>
          <cell r="C189" t="str">
            <v>ryanshen</v>
          </cell>
          <cell r="D189" t="str">
            <v>最高等级骑兵进背包X1</v>
          </cell>
        </row>
        <row r="190">
          <cell r="A190">
            <v>9042</v>
          </cell>
          <cell r="C190" t="str">
            <v>ryanshen</v>
          </cell>
          <cell r="D190" t="str">
            <v>最高等级弓兵进背包X1</v>
          </cell>
        </row>
        <row r="191">
          <cell r="A191">
            <v>9043</v>
          </cell>
          <cell r="C191" t="str">
            <v>ryanshen</v>
          </cell>
          <cell r="D191" t="str">
            <v>最高等级剑士直接使用X100</v>
          </cell>
        </row>
        <row r="192">
          <cell r="A192">
            <v>9044</v>
          </cell>
          <cell r="C192" t="str">
            <v>ryanshen</v>
          </cell>
          <cell r="D192" t="str">
            <v>最高等级枪兵直接使用X100</v>
          </cell>
        </row>
        <row r="193">
          <cell r="A193">
            <v>9045</v>
          </cell>
          <cell r="C193" t="str">
            <v>ryanshen</v>
          </cell>
          <cell r="D193" t="str">
            <v>最高等级骑兵直接使用X100</v>
          </cell>
        </row>
        <row r="194">
          <cell r="A194">
            <v>9046</v>
          </cell>
          <cell r="C194" t="str">
            <v>ryanshen</v>
          </cell>
          <cell r="D194" t="str">
            <v>最高等级弓兵直接使用X100</v>
          </cell>
        </row>
        <row r="195">
          <cell r="A195">
            <v>9047</v>
          </cell>
          <cell r="C195" t="str">
            <v>ryanshen</v>
          </cell>
          <cell r="D195" t="str">
            <v>最高等级剑士直接使用X1000</v>
          </cell>
        </row>
        <row r="196">
          <cell r="A196">
            <v>9048</v>
          </cell>
          <cell r="C196" t="str">
            <v>ryanshen</v>
          </cell>
          <cell r="D196" t="str">
            <v>最高等级枪兵直接使用X1000</v>
          </cell>
        </row>
        <row r="197">
          <cell r="A197">
            <v>9049</v>
          </cell>
          <cell r="C197" t="str">
            <v>ryanshen</v>
          </cell>
          <cell r="D197" t="str">
            <v>最高等级骑兵直接使用X1000</v>
          </cell>
        </row>
        <row r="198">
          <cell r="A198">
            <v>9050</v>
          </cell>
          <cell r="C198" t="str">
            <v>ryanshen</v>
          </cell>
          <cell r="D198" t="str">
            <v>最高等级弓兵直接使用X1000</v>
          </cell>
        </row>
        <row r="199">
          <cell r="A199">
            <v>14011</v>
          </cell>
          <cell r="C199" t="str">
            <v>kakiwang</v>
          </cell>
          <cell r="D199" t="str">
            <v>100点酒馆人气值</v>
          </cell>
        </row>
        <row r="200">
          <cell r="A200">
            <v>14012</v>
          </cell>
          <cell r="C200" t="str">
            <v>kakiwang</v>
          </cell>
          <cell r="D200" t="str">
            <v>300点酒馆人气值</v>
          </cell>
        </row>
        <row r="201">
          <cell r="A201">
            <v>14013</v>
          </cell>
          <cell r="C201" t="str">
            <v>kakiwang</v>
          </cell>
          <cell r="D201" t="str">
            <v>500点酒馆人气值</v>
          </cell>
        </row>
        <row r="202">
          <cell r="A202">
            <v>14014</v>
          </cell>
          <cell r="C202" t="str">
            <v>kakiwang</v>
          </cell>
          <cell r="D202" t="str">
            <v>1000点酒馆人气值</v>
          </cell>
        </row>
        <row r="203">
          <cell r="A203">
            <v>14016</v>
          </cell>
          <cell r="C203" t="str">
            <v>kakiwang</v>
          </cell>
          <cell r="D203" t="str">
            <v>2000点酒馆人气值</v>
          </cell>
        </row>
        <row r="204">
          <cell r="A204">
            <v>14017</v>
          </cell>
          <cell r="C204" t="str">
            <v>kakiwang</v>
          </cell>
          <cell r="D204" t="str">
            <v>3000点酒馆人气值</v>
          </cell>
        </row>
        <row r="205">
          <cell r="A205">
            <v>14018</v>
          </cell>
          <cell r="C205" t="str">
            <v>kakiwang</v>
          </cell>
          <cell r="D205" t="str">
            <v>5000点酒馆人气值</v>
          </cell>
        </row>
        <row r="206">
          <cell r="A206">
            <v>14101</v>
          </cell>
          <cell r="C206" t="str">
            <v>kakiwang</v>
          </cell>
          <cell r="D206" t="str">
            <v>陆芊岚</v>
          </cell>
        </row>
        <row r="207">
          <cell r="A207">
            <v>14105</v>
          </cell>
          <cell r="C207" t="str">
            <v>kakiwang</v>
          </cell>
          <cell r="D207" t="str">
            <v>顾盼儿</v>
          </cell>
        </row>
        <row r="208">
          <cell r="A208">
            <v>14106</v>
          </cell>
          <cell r="C208" t="str">
            <v>kakiwang</v>
          </cell>
          <cell r="D208" t="str">
            <v>穆离</v>
          </cell>
        </row>
        <row r="209">
          <cell r="A209">
            <v>14107</v>
          </cell>
          <cell r="C209" t="str">
            <v>kakiwang</v>
          </cell>
          <cell r="D209" t="str">
            <v>伊丽莎白</v>
          </cell>
        </row>
        <row r="210">
          <cell r="A210">
            <v>14108</v>
          </cell>
          <cell r="C210" t="str">
            <v>kakiwang</v>
          </cell>
          <cell r="D210" t="str">
            <v>娜娜丽</v>
          </cell>
        </row>
        <row r="211">
          <cell r="A211">
            <v>14109</v>
          </cell>
          <cell r="C211" t="str">
            <v>kakiwang</v>
          </cell>
          <cell r="D211" t="str">
            <v>埃托雷</v>
          </cell>
        </row>
        <row r="212">
          <cell r="A212">
            <v>14201</v>
          </cell>
          <cell r="C212" t="str">
            <v>kakiwang</v>
          </cell>
          <cell r="D212" t="str">
            <v>维托里奥</v>
          </cell>
        </row>
        <row r="213">
          <cell r="A213">
            <v>14202</v>
          </cell>
          <cell r="C213" t="str">
            <v>kakiwang</v>
          </cell>
          <cell r="D213" t="str">
            <v>苏安</v>
          </cell>
        </row>
        <row r="214">
          <cell r="A214">
            <v>14203</v>
          </cell>
          <cell r="C214" t="str">
            <v>kakiwang</v>
          </cell>
          <cell r="D214" t="str">
            <v>范文定</v>
          </cell>
        </row>
        <row r="215">
          <cell r="A215">
            <v>14204</v>
          </cell>
          <cell r="C215" t="str">
            <v>kakiwang</v>
          </cell>
          <cell r="D215" t="str">
            <v>亚历山德罗</v>
          </cell>
        </row>
        <row r="216">
          <cell r="A216">
            <v>14206</v>
          </cell>
          <cell r="C216" t="str">
            <v>kakiwang</v>
          </cell>
          <cell r="D216" t="str">
            <v>杜若</v>
          </cell>
        </row>
        <row r="217">
          <cell r="A217">
            <v>14207</v>
          </cell>
          <cell r="C217" t="str">
            <v>kakiwang</v>
          </cell>
          <cell r="D217" t="str">
            <v>艾洛缇丝</v>
          </cell>
        </row>
        <row r="218">
          <cell r="A218">
            <v>14301</v>
          </cell>
          <cell r="C218" t="str">
            <v>kakiwang</v>
          </cell>
          <cell r="D218" t="str">
            <v>梅芙</v>
          </cell>
        </row>
        <row r="219">
          <cell r="A219">
            <v>14302</v>
          </cell>
          <cell r="C219" t="str">
            <v>kakiwang</v>
          </cell>
          <cell r="D219" t="str">
            <v>卡尔维斯</v>
          </cell>
        </row>
        <row r="220">
          <cell r="A220">
            <v>14303</v>
          </cell>
          <cell r="C220" t="str">
            <v>kakiwang</v>
          </cell>
          <cell r="D220" t="str">
            <v>霍尔格</v>
          </cell>
        </row>
        <row r="221">
          <cell r="A221">
            <v>14304</v>
          </cell>
          <cell r="C221" t="str">
            <v>kakiwang</v>
          </cell>
          <cell r="D221" t="str">
            <v>沐南风</v>
          </cell>
        </row>
        <row r="222">
          <cell r="A222">
            <v>14305</v>
          </cell>
          <cell r="C222" t="str">
            <v>kakiwang</v>
          </cell>
          <cell r="D222" t="str">
            <v>拉维妮娅</v>
          </cell>
        </row>
        <row r="223">
          <cell r="A223">
            <v>14306</v>
          </cell>
          <cell r="C223" t="str">
            <v>kakiwang</v>
          </cell>
          <cell r="D223" t="str">
            <v>杰拉尔德</v>
          </cell>
        </row>
        <row r="224">
          <cell r="A224">
            <v>14307</v>
          </cell>
          <cell r="C224" t="str">
            <v>kakiwang</v>
          </cell>
          <cell r="D224" t="str">
            <v>元元公主</v>
          </cell>
        </row>
        <row r="225">
          <cell r="A225">
            <v>14308</v>
          </cell>
          <cell r="C225" t="str">
            <v>kakiwang</v>
          </cell>
          <cell r="D225" t="str">
            <v>卢卡</v>
          </cell>
        </row>
        <row r="226">
          <cell r="A226">
            <v>14309</v>
          </cell>
          <cell r="C226" t="str">
            <v>kakiwang</v>
          </cell>
          <cell r="D226" t="str">
            <v>爱德华多</v>
          </cell>
        </row>
        <row r="227">
          <cell r="A227">
            <v>14312</v>
          </cell>
          <cell r="C227" t="str">
            <v>kakiwang</v>
          </cell>
          <cell r="D227" t="str">
            <v>鱼妙妙</v>
          </cell>
        </row>
        <row r="228">
          <cell r="A228">
            <v>14313</v>
          </cell>
          <cell r="C228" t="str">
            <v>kakiwang</v>
          </cell>
          <cell r="D228" t="str">
            <v>玛丽夫人</v>
          </cell>
        </row>
        <row r="229">
          <cell r="A229">
            <v>14314</v>
          </cell>
          <cell r="C229" t="str">
            <v>kakiwang</v>
          </cell>
          <cell r="D229" t="str">
            <v>琼鸣玉</v>
          </cell>
        </row>
        <row r="230">
          <cell r="A230">
            <v>14315</v>
          </cell>
          <cell r="C230" t="str">
            <v>kakiwang</v>
          </cell>
          <cell r="D230" t="str">
            <v>姚清珏</v>
          </cell>
        </row>
        <row r="231">
          <cell r="A231">
            <v>14316</v>
          </cell>
          <cell r="C231" t="str">
            <v>kakiwang</v>
          </cell>
          <cell r="D231" t="str">
            <v>姬闾</v>
          </cell>
        </row>
        <row r="232">
          <cell r="A232">
            <v>14317</v>
          </cell>
          <cell r="C232" t="str">
            <v>ryanshen</v>
          </cell>
          <cell r="D232" t="str">
            <v>卡多姆</v>
          </cell>
        </row>
        <row r="233">
          <cell r="A233">
            <v>14318</v>
          </cell>
          <cell r="C233" t="str">
            <v>ryanshen</v>
          </cell>
          <cell r="D233" t="str">
            <v>巴希斯</v>
          </cell>
        </row>
        <row r="234">
          <cell r="A234">
            <v>14319</v>
          </cell>
          <cell r="C234" t="str">
            <v>ryanshen</v>
          </cell>
          <cell r="D234" t="str">
            <v>约恩</v>
          </cell>
        </row>
        <row r="235">
          <cell r="A235">
            <v>15000</v>
          </cell>
          <cell r="C235" t="str">
            <v>jianzili</v>
          </cell>
          <cell r="D235" t="str">
            <v>寻访令</v>
          </cell>
        </row>
        <row r="236">
          <cell r="A236">
            <v>16000</v>
          </cell>
          <cell r="C236" t="str">
            <v>Richwthuang</v>
          </cell>
          <cell r="D236" t="str">
            <v>马可波罗的笔记王国地图</v>
          </cell>
        </row>
        <row r="237">
          <cell r="A237">
            <v>17000</v>
          </cell>
          <cell r="C237" t="str">
            <v>Jensencheng</v>
          </cell>
          <cell r="D237" t="str">
            <v>冒险经验+1</v>
          </cell>
        </row>
        <row r="238">
          <cell r="A238">
            <v>17001</v>
          </cell>
          <cell r="C238" t="str">
            <v>Jensencheng</v>
          </cell>
          <cell r="D238" t="str">
            <v>冒险经验+10</v>
          </cell>
        </row>
        <row r="239">
          <cell r="A239">
            <v>17002</v>
          </cell>
          <cell r="C239" t="str">
            <v>Jensencheng</v>
          </cell>
          <cell r="D239" t="str">
            <v>冒险经验+50</v>
          </cell>
        </row>
        <row r="240">
          <cell r="A240">
            <v>17003</v>
          </cell>
          <cell r="C240" t="str">
            <v>Jensencheng</v>
          </cell>
          <cell r="D240" t="str">
            <v>冒险经验+100</v>
          </cell>
        </row>
        <row r="241">
          <cell r="A241">
            <v>17100</v>
          </cell>
          <cell r="C241" t="str">
            <v>Jensencheng</v>
          </cell>
          <cell r="D241" t="str">
            <v>冒险冒险次数+1</v>
          </cell>
        </row>
        <row r="242">
          <cell r="A242">
            <v>17200</v>
          </cell>
          <cell r="C242" t="str">
            <v>Jensencheng</v>
          </cell>
          <cell r="D242" t="str">
            <v>名人博学值+100</v>
          </cell>
        </row>
        <row r="243">
          <cell r="A243">
            <v>17201</v>
          </cell>
          <cell r="C243" t="str">
            <v>Jensencheng</v>
          </cell>
          <cell r="D243" t="str">
            <v>名人博学值+200</v>
          </cell>
        </row>
        <row r="244">
          <cell r="A244">
            <v>17202</v>
          </cell>
          <cell r="C244" t="str">
            <v>Jensencheng</v>
          </cell>
          <cell r="D244" t="str">
            <v>名人博学值+500</v>
          </cell>
        </row>
        <row r="245">
          <cell r="A245">
            <v>17203</v>
          </cell>
          <cell r="C245" t="str">
            <v>Jensencheng</v>
          </cell>
          <cell r="D245" t="str">
            <v>名人博学值+1000</v>
          </cell>
        </row>
        <row r="246">
          <cell r="A246">
            <v>17204</v>
          </cell>
          <cell r="C246" t="str">
            <v>Jensencheng</v>
          </cell>
          <cell r="D246" t="str">
            <v>名人博学值+1</v>
          </cell>
        </row>
        <row r="247">
          <cell r="A247">
            <v>17300</v>
          </cell>
          <cell r="C247" t="str">
            <v>ryanshen</v>
          </cell>
          <cell r="D247" t="str">
            <v>名人冒险宝箱（蓝）</v>
          </cell>
        </row>
        <row r="248">
          <cell r="A248">
            <v>17301</v>
          </cell>
          <cell r="C248" t="str">
            <v>ryanshen</v>
          </cell>
          <cell r="D248" t="str">
            <v>名人冒险宝箱（紫）</v>
          </cell>
        </row>
        <row r="249">
          <cell r="A249">
            <v>17302</v>
          </cell>
          <cell r="C249" t="str">
            <v>ryanshen</v>
          </cell>
          <cell r="D249" t="str">
            <v>名人冒险宝箱（橙）</v>
          </cell>
        </row>
        <row r="250">
          <cell r="A250">
            <v>19001</v>
          </cell>
          <cell r="C250" t="str">
            <v>waaaghwang</v>
          </cell>
          <cell r="D250" t="str">
            <v>琼恩</v>
          </cell>
        </row>
        <row r="251">
          <cell r="A251">
            <v>19002</v>
          </cell>
          <cell r="C251" t="str">
            <v>waaaghwang</v>
          </cell>
          <cell r="D251" t="str">
            <v>影武者</v>
          </cell>
        </row>
        <row r="252">
          <cell r="A252">
            <v>19003</v>
          </cell>
          <cell r="C252" t="str">
            <v>waaaghwang</v>
          </cell>
          <cell r="D252" t="str">
            <v>尤里乌斯</v>
          </cell>
        </row>
        <row r="253">
          <cell r="A253">
            <v>19004</v>
          </cell>
          <cell r="C253" t="str">
            <v>waaaghwang</v>
          </cell>
          <cell r="D253" t="str">
            <v>艳后</v>
          </cell>
        </row>
        <row r="254">
          <cell r="A254">
            <v>19005</v>
          </cell>
          <cell r="C254" t="str">
            <v>waaaghwang</v>
          </cell>
          <cell r="D254" t="str">
            <v>武圣</v>
          </cell>
        </row>
        <row r="255">
          <cell r="A255">
            <v>19006</v>
          </cell>
          <cell r="C255" t="str">
            <v>waaaghwang</v>
          </cell>
          <cell r="D255" t="str">
            <v>亨利</v>
          </cell>
        </row>
        <row r="256">
          <cell r="A256">
            <v>19007</v>
          </cell>
          <cell r="C256" t="str">
            <v>waaaghwang</v>
          </cell>
          <cell r="D256" t="str">
            <v>项楚</v>
          </cell>
        </row>
        <row r="257">
          <cell r="A257">
            <v>19008</v>
          </cell>
          <cell r="C257" t="str">
            <v>waaaghwang</v>
          </cell>
          <cell r="D257" t="str">
            <v>康斯坦丁</v>
          </cell>
        </row>
        <row r="258">
          <cell r="A258">
            <v>19009</v>
          </cell>
          <cell r="C258" t="str">
            <v>waaaghwang</v>
          </cell>
          <cell r="D258" t="str">
            <v>魏兰</v>
          </cell>
        </row>
        <row r="259">
          <cell r="A259">
            <v>19010</v>
          </cell>
          <cell r="C259" t="str">
            <v>doublehwang</v>
          </cell>
          <cell r="D259" t="str">
            <v>法典明君</v>
          </cell>
        </row>
        <row r="260">
          <cell r="A260">
            <v>19011</v>
          </cell>
          <cell r="C260" t="str">
            <v>waaaghwang</v>
          </cell>
          <cell r="D260" t="str">
            <v>不屈女王</v>
          </cell>
        </row>
        <row r="261">
          <cell r="A261">
            <v>19012</v>
          </cell>
          <cell r="C261" t="str">
            <v>waaaghwang</v>
          </cell>
          <cell r="D261" t="str">
            <v>真理骑士</v>
          </cell>
        </row>
        <row r="262">
          <cell r="A262">
            <v>19013</v>
          </cell>
          <cell r="C262" t="str">
            <v>waaaghwang</v>
          </cell>
          <cell r="D262" t="str">
            <v>温泉醒狮</v>
          </cell>
        </row>
        <row r="263">
          <cell r="A263">
            <v>19014</v>
          </cell>
          <cell r="C263" t="str">
            <v>waaaghwang</v>
          </cell>
          <cell r="D263" t="str">
            <v>兵家至圣</v>
          </cell>
        </row>
        <row r="264">
          <cell r="A264">
            <v>19015</v>
          </cell>
          <cell r="C264" t="str">
            <v>waaaghwang</v>
          </cell>
          <cell r="D264" t="str">
            <v>女帝</v>
          </cell>
        </row>
        <row r="265">
          <cell r="A265">
            <v>19016</v>
          </cell>
          <cell r="C265" t="str">
            <v>waaaghwang</v>
          </cell>
          <cell r="D265" t="str">
            <v xml:space="preserve">公正王 </v>
          </cell>
        </row>
        <row r="266">
          <cell r="A266">
            <v>19017</v>
          </cell>
          <cell r="C266" t="str">
            <v>waaaghwang</v>
          </cell>
          <cell r="D266" t="str">
            <v>弗德里希</v>
          </cell>
        </row>
        <row r="267">
          <cell r="A267">
            <v>19018</v>
          </cell>
          <cell r="C267" t="str">
            <v>waaaghwang</v>
          </cell>
          <cell r="D267" t="str">
            <v>乱世枭雄</v>
          </cell>
        </row>
        <row r="268">
          <cell r="A268">
            <v>19019</v>
          </cell>
          <cell r="C268" t="str">
            <v>waaaghwang</v>
          </cell>
          <cell r="D268" t="str">
            <v>铁血大帝</v>
          </cell>
        </row>
        <row r="269">
          <cell r="A269">
            <v>19020</v>
          </cell>
          <cell r="C269" t="str">
            <v>waaaghwang</v>
          </cell>
          <cell r="D269" t="str">
            <v>德丰府院君</v>
          </cell>
        </row>
        <row r="270">
          <cell r="A270">
            <v>19021</v>
          </cell>
          <cell r="C270" t="str">
            <v>waaaghwang</v>
          </cell>
          <cell r="D270" t="str">
            <v>骑士王</v>
          </cell>
        </row>
        <row r="271">
          <cell r="A271">
            <v>19022</v>
          </cell>
          <cell r="C271" t="str">
            <v>waaaghwang</v>
          </cell>
          <cell r="D271" t="str">
            <v>征服王</v>
          </cell>
        </row>
        <row r="272">
          <cell r="A272">
            <v>19023</v>
          </cell>
          <cell r="C272" t="str">
            <v>doublehwang</v>
          </cell>
          <cell r="D272" t="str">
            <v>军略之主</v>
          </cell>
        </row>
        <row r="273">
          <cell r="A273">
            <v>19024</v>
          </cell>
          <cell r="C273" t="str">
            <v>waaaghwang</v>
          </cell>
          <cell r="D273" t="str">
            <v>卧龙夫人</v>
          </cell>
        </row>
        <row r="274">
          <cell r="A274">
            <v>19026</v>
          </cell>
          <cell r="C274" t="str">
            <v>waaaghwang</v>
          </cell>
          <cell r="D274" t="str">
            <v>龙胆神将</v>
          </cell>
        </row>
        <row r="275">
          <cell r="A275">
            <v>19027</v>
          </cell>
          <cell r="C275" t="str">
            <v>waaaghwang</v>
          </cell>
          <cell r="D275" t="str">
            <v>假面将军</v>
          </cell>
        </row>
        <row r="276">
          <cell r="A276">
            <v>19030</v>
          </cell>
          <cell r="C276" t="str">
            <v>waaaghwang</v>
          </cell>
          <cell r="D276" t="str">
            <v>神勇右将</v>
          </cell>
        </row>
        <row r="277">
          <cell r="A277">
            <v>19031</v>
          </cell>
          <cell r="C277" t="str">
            <v>waaaghwang</v>
          </cell>
          <cell r="D277" t="str">
            <v>天威左将</v>
          </cell>
        </row>
        <row r="278">
          <cell r="A278">
            <v>19032</v>
          </cell>
          <cell r="C278" t="str">
            <v>waaaghwang</v>
          </cell>
          <cell r="D278" t="str">
            <v>惩戒之鞭</v>
          </cell>
        </row>
        <row r="279">
          <cell r="A279">
            <v>19033</v>
          </cell>
          <cell r="C279" t="str">
            <v>waaaghwang</v>
          </cell>
          <cell r="D279" t="str">
            <v>卧龙</v>
          </cell>
        </row>
        <row r="280">
          <cell r="A280">
            <v>19035</v>
          </cell>
          <cell r="C280" t="str">
            <v>doublehwang</v>
          </cell>
          <cell r="D280" t="str">
            <v>兵仙</v>
          </cell>
        </row>
        <row r="281">
          <cell r="A281">
            <v>19036</v>
          </cell>
          <cell r="C281" t="str">
            <v>jackjxzhang</v>
          </cell>
          <cell r="D281" t="str">
            <v>安德莉娅</v>
          </cell>
        </row>
        <row r="282">
          <cell r="A282">
            <v>19201</v>
          </cell>
          <cell r="C282" t="str">
            <v>waaaghwang</v>
          </cell>
          <cell r="D282" t="str">
            <v>李道玄碎片</v>
          </cell>
        </row>
        <row r="283">
          <cell r="A283">
            <v>19202</v>
          </cell>
          <cell r="C283" t="str">
            <v>waaaghwang</v>
          </cell>
          <cell r="D283" t="str">
            <v>纳尔西斯碎片</v>
          </cell>
        </row>
        <row r="284">
          <cell r="A284">
            <v>19203</v>
          </cell>
          <cell r="C284" t="str">
            <v>waaaghwang</v>
          </cell>
          <cell r="D284" t="str">
            <v>雷欧碎片</v>
          </cell>
        </row>
        <row r="285">
          <cell r="A285">
            <v>19204</v>
          </cell>
          <cell r="C285" t="str">
            <v>waaaghwang</v>
          </cell>
          <cell r="D285" t="str">
            <v>莱昂碎片</v>
          </cell>
        </row>
        <row r="286">
          <cell r="A286">
            <v>19205</v>
          </cell>
          <cell r="C286" t="str">
            <v>waaaghwang</v>
          </cell>
          <cell r="D286" t="str">
            <v>巴尔达斯碎片</v>
          </cell>
        </row>
        <row r="287">
          <cell r="A287">
            <v>19206</v>
          </cell>
          <cell r="C287" t="str">
            <v>waaaghwang</v>
          </cell>
          <cell r="D287" t="str">
            <v>阿克塞尔碎片</v>
          </cell>
        </row>
        <row r="288">
          <cell r="A288">
            <v>19207</v>
          </cell>
          <cell r="C288" t="str">
            <v>waaaghwang</v>
          </cell>
          <cell r="D288" t="str">
            <v>武威碎片</v>
          </cell>
        </row>
        <row r="289">
          <cell r="A289">
            <v>19208</v>
          </cell>
          <cell r="C289" t="str">
            <v>waaaghwang</v>
          </cell>
          <cell r="D289" t="str">
            <v>崔如意碎片</v>
          </cell>
        </row>
        <row r="290">
          <cell r="A290">
            <v>19209</v>
          </cell>
          <cell r="C290" t="str">
            <v>waaaghwang</v>
          </cell>
          <cell r="D290" t="str">
            <v>尼诺碎片</v>
          </cell>
        </row>
        <row r="291">
          <cell r="A291">
            <v>19210</v>
          </cell>
          <cell r="C291" t="str">
            <v>doublehwang</v>
          </cell>
          <cell r="D291" t="str">
            <v>克洛特碎片</v>
          </cell>
        </row>
        <row r="292">
          <cell r="A292">
            <v>19211</v>
          </cell>
          <cell r="C292" t="str">
            <v>doublehwang</v>
          </cell>
          <cell r="D292" t="str">
            <v>高猛碎片</v>
          </cell>
        </row>
        <row r="293">
          <cell r="A293">
            <v>19212</v>
          </cell>
          <cell r="C293" t="str">
            <v>joestarzhao</v>
          </cell>
          <cell r="D293" t="str">
            <v>袁夏碎片</v>
          </cell>
        </row>
        <row r="294">
          <cell r="A294">
            <v>20000</v>
          </cell>
          <cell r="C294" t="str">
            <v>waaaghwang</v>
          </cell>
          <cell r="D294" t="str">
            <v>技能点1</v>
          </cell>
        </row>
        <row r="295">
          <cell r="A295">
            <v>20001</v>
          </cell>
          <cell r="C295" t="str">
            <v>waaaghwang</v>
          </cell>
          <cell r="D295" t="str">
            <v>火球轰击</v>
          </cell>
        </row>
        <row r="296">
          <cell r="A296">
            <v>20002</v>
          </cell>
          <cell r="C296" t="str">
            <v>waaaghwang</v>
          </cell>
          <cell r="D296" t="str">
            <v>巨石冲击</v>
          </cell>
        </row>
        <row r="297">
          <cell r="A297">
            <v>20003</v>
          </cell>
          <cell r="C297" t="str">
            <v>waaaghwang</v>
          </cell>
          <cell r="D297" t="str">
            <v>攻城大师</v>
          </cell>
        </row>
        <row r="298">
          <cell r="A298">
            <v>20004</v>
          </cell>
          <cell r="C298" t="str">
            <v>waaaghwang</v>
          </cell>
          <cell r="D298" t="str">
            <v>迸裂</v>
          </cell>
        </row>
        <row r="299">
          <cell r="A299">
            <v>20005</v>
          </cell>
          <cell r="C299" t="str">
            <v>waaaghwang</v>
          </cell>
          <cell r="D299" t="str">
            <v>怒火猛攻</v>
          </cell>
        </row>
        <row r="300">
          <cell r="A300">
            <v>20006</v>
          </cell>
          <cell r="C300" t="str">
            <v>waaaghwang</v>
          </cell>
          <cell r="D300" t="str">
            <v>风卷残云</v>
          </cell>
        </row>
        <row r="301">
          <cell r="A301">
            <v>20007</v>
          </cell>
          <cell r="C301" t="str">
            <v>waaaghwang</v>
          </cell>
          <cell r="D301" t="str">
            <v>天地无双斩</v>
          </cell>
        </row>
        <row r="302">
          <cell r="A302">
            <v>20008</v>
          </cell>
          <cell r="C302" t="str">
            <v>waaaghwang</v>
          </cell>
          <cell r="D302" t="str">
            <v>毁灭的预示</v>
          </cell>
        </row>
        <row r="303">
          <cell r="A303">
            <v>20009</v>
          </cell>
          <cell r="C303" t="str">
            <v>waaaghwang</v>
          </cell>
          <cell r="D303" t="str">
            <v>正义裁决</v>
          </cell>
        </row>
        <row r="304">
          <cell r="A304">
            <v>20011</v>
          </cell>
          <cell r="C304" t="str">
            <v>waaaghwang</v>
          </cell>
          <cell r="D304" t="str">
            <v>光明护佑</v>
          </cell>
        </row>
        <row r="305">
          <cell r="A305">
            <v>20012</v>
          </cell>
          <cell r="C305" t="str">
            <v>waaaghwang</v>
          </cell>
          <cell r="D305" t="str">
            <v>沉默誓言</v>
          </cell>
        </row>
        <row r="306">
          <cell r="A306">
            <v>20013</v>
          </cell>
          <cell r="C306" t="str">
            <v>waaaghwang</v>
          </cell>
          <cell r="D306" t="str">
            <v>三重攻势</v>
          </cell>
        </row>
        <row r="307">
          <cell r="A307">
            <v>20014</v>
          </cell>
          <cell r="C307" t="str">
            <v>waaaghwang</v>
          </cell>
          <cell r="D307" t="str">
            <v>命运操弄</v>
          </cell>
        </row>
        <row r="308">
          <cell r="A308">
            <v>20015</v>
          </cell>
          <cell r="C308" t="str">
            <v>waaaghwang</v>
          </cell>
          <cell r="D308" t="str">
            <v>战争祝福</v>
          </cell>
        </row>
        <row r="309">
          <cell r="A309">
            <v>20016</v>
          </cell>
          <cell r="C309" t="str">
            <v>waaaghwang</v>
          </cell>
          <cell r="D309" t="str">
            <v>军神赠礼</v>
          </cell>
        </row>
        <row r="310">
          <cell r="A310">
            <v>20017</v>
          </cell>
          <cell r="C310" t="str">
            <v>waaaghwang</v>
          </cell>
          <cell r="D310" t="str">
            <v>名门之后</v>
          </cell>
        </row>
        <row r="311">
          <cell r="A311">
            <v>20018</v>
          </cell>
          <cell r="C311" t="str">
            <v>waaaghwang</v>
          </cell>
          <cell r="D311" t="str">
            <v>战术冲锋</v>
          </cell>
        </row>
        <row r="312">
          <cell r="A312">
            <v>20019</v>
          </cell>
          <cell r="C312" t="str">
            <v>waaaghwang</v>
          </cell>
          <cell r="D312" t="str">
            <v>冲锋的极意</v>
          </cell>
        </row>
        <row r="313">
          <cell r="A313">
            <v>20020</v>
          </cell>
          <cell r="C313" t="str">
            <v>waaaghwang</v>
          </cell>
          <cell r="D313" t="str">
            <v>连击</v>
          </cell>
        </row>
        <row r="314">
          <cell r="A314">
            <v>20021</v>
          </cell>
          <cell r="C314" t="str">
            <v>waaaghwang</v>
          </cell>
          <cell r="D314" t="str">
            <v>丰收祝福</v>
          </cell>
        </row>
        <row r="315">
          <cell r="A315">
            <v>20022</v>
          </cell>
          <cell r="C315" t="str">
            <v>waaaghwang</v>
          </cell>
          <cell r="D315" t="str">
            <v>孤注一掷</v>
          </cell>
        </row>
        <row r="316">
          <cell r="A316">
            <v>20023</v>
          </cell>
          <cell r="C316" t="str">
            <v>waaaghwang</v>
          </cell>
          <cell r="D316" t="str">
            <v>狂怒血脉</v>
          </cell>
        </row>
        <row r="317">
          <cell r="A317">
            <v>20024</v>
          </cell>
          <cell r="C317" t="str">
            <v>waaaghwang</v>
          </cell>
          <cell r="D317" t="str">
            <v>怒不可遏</v>
          </cell>
        </row>
        <row r="318">
          <cell r="A318">
            <v>20025</v>
          </cell>
          <cell r="C318" t="str">
            <v>waaaghwang</v>
          </cell>
          <cell r="D318" t="str">
            <v>钢铁之躯</v>
          </cell>
        </row>
        <row r="319">
          <cell r="A319">
            <v>20026</v>
          </cell>
          <cell r="C319" t="str">
            <v>waaaghwang</v>
          </cell>
          <cell r="D319" t="str">
            <v>破怒斩</v>
          </cell>
        </row>
        <row r="320">
          <cell r="A320">
            <v>20027</v>
          </cell>
          <cell r="C320" t="str">
            <v>waaaghwang</v>
          </cell>
          <cell r="D320" t="str">
            <v>战争狂热</v>
          </cell>
        </row>
        <row r="321">
          <cell r="A321">
            <v>20028</v>
          </cell>
          <cell r="C321" t="str">
            <v>waaaghwang</v>
          </cell>
          <cell r="D321" t="str">
            <v>致命一击</v>
          </cell>
        </row>
        <row r="322">
          <cell r="A322">
            <v>20029</v>
          </cell>
          <cell r="C322" t="str">
            <v>waaaghwang</v>
          </cell>
          <cell r="D322" t="str">
            <v>胜利军规</v>
          </cell>
        </row>
        <row r="323">
          <cell r="A323">
            <v>20030</v>
          </cell>
          <cell r="C323" t="str">
            <v>waaaghwang</v>
          </cell>
          <cell r="D323" t="str">
            <v>怒涛之击</v>
          </cell>
        </row>
        <row r="324">
          <cell r="A324">
            <v>20031</v>
          </cell>
          <cell r="C324" t="str">
            <v>waaaghwang</v>
          </cell>
          <cell r="D324" t="str">
            <v>慈悲终结</v>
          </cell>
        </row>
        <row r="325">
          <cell r="A325">
            <v>20032</v>
          </cell>
          <cell r="C325" t="str">
            <v>waaaghwang</v>
          </cell>
          <cell r="D325" t="str">
            <v>撕裂</v>
          </cell>
        </row>
        <row r="326">
          <cell r="A326">
            <v>20033</v>
          </cell>
          <cell r="C326" t="str">
            <v>waaaghwang</v>
          </cell>
          <cell r="D326" t="str">
            <v>不屈战意</v>
          </cell>
        </row>
        <row r="327">
          <cell r="A327">
            <v>20034</v>
          </cell>
          <cell r="C327" t="str">
            <v>waaaghwang</v>
          </cell>
          <cell r="D327" t="str">
            <v>持久战</v>
          </cell>
        </row>
        <row r="328">
          <cell r="A328">
            <v>20035</v>
          </cell>
          <cell r="C328" t="str">
            <v>waaaghwang</v>
          </cell>
          <cell r="D328" t="str">
            <v>惩戒者</v>
          </cell>
        </row>
        <row r="329">
          <cell r="A329">
            <v>20036</v>
          </cell>
          <cell r="C329" t="str">
            <v>waaaghwang</v>
          </cell>
          <cell r="D329" t="str">
            <v>破敌之眼</v>
          </cell>
        </row>
        <row r="330">
          <cell r="A330">
            <v>20037</v>
          </cell>
          <cell r="C330" t="str">
            <v>waaaghwang</v>
          </cell>
          <cell r="D330" t="str">
            <v>反戈一击</v>
          </cell>
        </row>
        <row r="331">
          <cell r="A331">
            <v>20039</v>
          </cell>
          <cell r="C331" t="str">
            <v>waaaghwang</v>
          </cell>
          <cell r="D331" t="str">
            <v>文武双全</v>
          </cell>
        </row>
        <row r="332">
          <cell r="A332">
            <v>20040</v>
          </cell>
          <cell r="C332" t="str">
            <v>waaaghwang</v>
          </cell>
          <cell r="D332" t="str">
            <v>反击</v>
          </cell>
        </row>
        <row r="333">
          <cell r="A333">
            <v>20041</v>
          </cell>
          <cell r="C333" t="str">
            <v>waaaghwang</v>
          </cell>
          <cell r="D333" t="str">
            <v>饥渴之刃</v>
          </cell>
        </row>
        <row r="334">
          <cell r="A334">
            <v>20042</v>
          </cell>
          <cell r="C334" t="str">
            <v>waaaghwang</v>
          </cell>
          <cell r="D334" t="str">
            <v>百战之体</v>
          </cell>
        </row>
        <row r="335">
          <cell r="A335">
            <v>20043</v>
          </cell>
          <cell r="C335" t="str">
            <v>waaaghwang</v>
          </cell>
          <cell r="D335" t="str">
            <v>剑盾突击</v>
          </cell>
        </row>
        <row r="336">
          <cell r="A336">
            <v>20044</v>
          </cell>
          <cell r="C336" t="str">
            <v>waaaghwang</v>
          </cell>
          <cell r="D336" t="str">
            <v>震慑猛击</v>
          </cell>
        </row>
        <row r="337">
          <cell r="A337">
            <v>20045</v>
          </cell>
          <cell r="C337" t="str">
            <v>waaaghwang</v>
          </cell>
          <cell r="D337" t="str">
            <v>不屈信念</v>
          </cell>
        </row>
        <row r="338">
          <cell r="A338">
            <v>20046</v>
          </cell>
          <cell r="C338" t="str">
            <v>waaaghwang</v>
          </cell>
          <cell r="D338" t="str">
            <v>敏锐洞察</v>
          </cell>
        </row>
        <row r="339">
          <cell r="A339">
            <v>20047</v>
          </cell>
          <cell r="C339" t="str">
            <v>waaaghwang</v>
          </cell>
          <cell r="D339" t="str">
            <v>以战养战</v>
          </cell>
        </row>
        <row r="340">
          <cell r="A340">
            <v>20048</v>
          </cell>
          <cell r="C340" t="str">
            <v>waaaghwang</v>
          </cell>
          <cell r="D340" t="str">
            <v>冲击</v>
          </cell>
        </row>
        <row r="341">
          <cell r="A341">
            <v>20049</v>
          </cell>
          <cell r="C341" t="str">
            <v>waaaghwang</v>
          </cell>
          <cell r="D341" t="str">
            <v>休整</v>
          </cell>
        </row>
        <row r="342">
          <cell r="A342">
            <v>20050</v>
          </cell>
          <cell r="C342" t="str">
            <v>waaaghwang</v>
          </cell>
          <cell r="D342" t="str">
            <v>奇袭</v>
          </cell>
        </row>
        <row r="343">
          <cell r="A343">
            <v>20051</v>
          </cell>
          <cell r="C343" t="str">
            <v>waaaghwang</v>
          </cell>
          <cell r="D343" t="str">
            <v>二连斩</v>
          </cell>
        </row>
        <row r="344">
          <cell r="A344">
            <v>20052</v>
          </cell>
          <cell r="C344" t="str">
            <v>waaaghwang</v>
          </cell>
          <cell r="D344" t="str">
            <v>攻城战术</v>
          </cell>
        </row>
        <row r="345">
          <cell r="A345">
            <v>20053</v>
          </cell>
          <cell r="C345" t="str">
            <v>waaaghwang</v>
          </cell>
          <cell r="D345" t="str">
            <v>锐锋</v>
          </cell>
        </row>
        <row r="346">
          <cell r="A346">
            <v>20054</v>
          </cell>
          <cell r="C346" t="str">
            <v>waaaghwang</v>
          </cell>
          <cell r="D346" t="str">
            <v>激怒</v>
          </cell>
        </row>
        <row r="347">
          <cell r="A347">
            <v>20055</v>
          </cell>
          <cell r="C347" t="str">
            <v>waaaghwang</v>
          </cell>
          <cell r="D347" t="str">
            <v>战斗训练</v>
          </cell>
        </row>
        <row r="348">
          <cell r="A348">
            <v>20056</v>
          </cell>
          <cell r="C348" t="str">
            <v>waaaghwang</v>
          </cell>
          <cell r="D348" t="str">
            <v>防守训练</v>
          </cell>
        </row>
        <row r="349">
          <cell r="A349">
            <v>20057</v>
          </cell>
          <cell r="C349" t="str">
            <v>waaaghwang</v>
          </cell>
          <cell r="D349" t="str">
            <v>谋略训练</v>
          </cell>
        </row>
        <row r="350">
          <cell r="A350">
            <v>20058</v>
          </cell>
          <cell r="C350" t="str">
            <v>waaaghwang</v>
          </cell>
          <cell r="D350" t="str">
            <v>攻城训练</v>
          </cell>
        </row>
        <row r="351">
          <cell r="A351">
            <v>20059</v>
          </cell>
          <cell r="C351" t="str">
            <v>waaaghwang</v>
          </cell>
          <cell r="D351" t="str">
            <v>铁壁</v>
          </cell>
        </row>
        <row r="352">
          <cell r="A352">
            <v>20060</v>
          </cell>
          <cell r="C352" t="str">
            <v>waaaghwang</v>
          </cell>
          <cell r="D352" t="str">
            <v>燎天之火</v>
          </cell>
        </row>
        <row r="353">
          <cell r="A353">
            <v>20061</v>
          </cell>
          <cell r="C353" t="str">
            <v>waaaghwang</v>
          </cell>
          <cell r="D353" t="str">
            <v>泰山压顶</v>
          </cell>
        </row>
        <row r="354">
          <cell r="A354">
            <v>20062</v>
          </cell>
          <cell r="C354" t="str">
            <v>waaaghwang</v>
          </cell>
          <cell r="D354" t="str">
            <v>明心静气</v>
          </cell>
        </row>
        <row r="355">
          <cell r="A355">
            <v>20063</v>
          </cell>
          <cell r="C355" t="str">
            <v>waaaghwang</v>
          </cell>
          <cell r="D355" t="str">
            <v>灵光乍现</v>
          </cell>
        </row>
        <row r="356">
          <cell r="A356">
            <v>20064</v>
          </cell>
          <cell r="C356" t="str">
            <v>waaaghwang</v>
          </cell>
          <cell r="D356" t="str">
            <v>胜利的代价</v>
          </cell>
        </row>
        <row r="357">
          <cell r="A357">
            <v>20065</v>
          </cell>
          <cell r="C357" t="str">
            <v>waaaghwang</v>
          </cell>
          <cell r="D357" t="str">
            <v>避芒击惰</v>
          </cell>
        </row>
        <row r="358">
          <cell r="A358">
            <v>20066</v>
          </cell>
          <cell r="C358" t="str">
            <v>waaaghwang</v>
          </cell>
          <cell r="D358" t="str">
            <v>怒击扬智</v>
          </cell>
        </row>
        <row r="359">
          <cell r="A359">
            <v>20067</v>
          </cell>
          <cell r="C359" t="str">
            <v>waaaghwang</v>
          </cell>
          <cell r="D359" t="str">
            <v>奋迅</v>
          </cell>
        </row>
        <row r="360">
          <cell r="A360">
            <v>20068</v>
          </cell>
          <cell r="C360" t="str">
            <v>waaaghwang</v>
          </cell>
          <cell r="D360" t="str">
            <v>王者之剑</v>
          </cell>
        </row>
        <row r="361">
          <cell r="A361">
            <v>20069</v>
          </cell>
          <cell r="C361" t="str">
            <v>waaaghwang</v>
          </cell>
          <cell r="D361" t="str">
            <v>列阵御敌</v>
          </cell>
        </row>
        <row r="362">
          <cell r="A362">
            <v>20070</v>
          </cell>
          <cell r="C362" t="str">
            <v>waaaghwang</v>
          </cell>
          <cell r="D362" t="str">
            <v>冲冠一怒</v>
          </cell>
        </row>
        <row r="363">
          <cell r="A363">
            <v>20071</v>
          </cell>
          <cell r="C363" t="str">
            <v>waaaghwang</v>
          </cell>
          <cell r="D363" t="str">
            <v>利刃攻心</v>
          </cell>
        </row>
        <row r="364">
          <cell r="A364">
            <v>20072</v>
          </cell>
          <cell r="C364" t="str">
            <v>waaaghwang</v>
          </cell>
          <cell r="D364" t="str">
            <v>弱点进攻</v>
          </cell>
        </row>
        <row r="365">
          <cell r="A365">
            <v>20073</v>
          </cell>
          <cell r="C365" t="str">
            <v>waaaghwang</v>
          </cell>
          <cell r="D365" t="str">
            <v>侵蚀之焰</v>
          </cell>
        </row>
        <row r="366">
          <cell r="A366">
            <v>20074</v>
          </cell>
          <cell r="C366" t="str">
            <v>jialuoqian</v>
          </cell>
          <cell r="D366" t="str">
            <v>压迫之袭</v>
          </cell>
        </row>
        <row r="367">
          <cell r="A367">
            <v>20075</v>
          </cell>
          <cell r="C367" t="str">
            <v>jialuoqian</v>
          </cell>
          <cell r="D367" t="str">
            <v>追击本能</v>
          </cell>
        </row>
        <row r="368">
          <cell r="A368">
            <v>20076</v>
          </cell>
          <cell r="C368" t="str">
            <v>jialuoqian</v>
          </cell>
          <cell r="D368" t="str">
            <v>英勇时刻</v>
          </cell>
        </row>
        <row r="369">
          <cell r="A369">
            <v>20077</v>
          </cell>
          <cell r="C369" t="str">
            <v>jialuoqian</v>
          </cell>
          <cell r="D369" t="str">
            <v>暴烈勇猛</v>
          </cell>
        </row>
        <row r="370">
          <cell r="A370">
            <v>21001</v>
          </cell>
          <cell r="C370" t="str">
            <v>joestarzhao</v>
          </cell>
          <cell r="D370" t="str">
            <v>城池耐久回复加速200%(测试)</v>
          </cell>
        </row>
        <row r="371">
          <cell r="A371">
            <v>22001</v>
          </cell>
          <cell r="C371" t="str">
            <v>waaaghwang</v>
          </cell>
          <cell r="D371" t="str">
            <v>火球轰击信物</v>
          </cell>
        </row>
        <row r="372">
          <cell r="A372">
            <v>22002</v>
          </cell>
          <cell r="C372" t="str">
            <v>waaaghwang</v>
          </cell>
          <cell r="D372" t="str">
            <v>巨石冲击信物</v>
          </cell>
        </row>
        <row r="373">
          <cell r="A373">
            <v>22003</v>
          </cell>
          <cell r="C373" t="str">
            <v>waaaghwang</v>
          </cell>
          <cell r="D373" t="str">
            <v>攻城大师信物</v>
          </cell>
        </row>
        <row r="374">
          <cell r="A374">
            <v>22004</v>
          </cell>
          <cell r="C374" t="str">
            <v>waaaghwang</v>
          </cell>
          <cell r="D374" t="str">
            <v>迸裂信物</v>
          </cell>
        </row>
        <row r="375">
          <cell r="A375">
            <v>22005</v>
          </cell>
          <cell r="C375" t="str">
            <v>waaaghwang</v>
          </cell>
          <cell r="D375" t="str">
            <v>怒火猛攻信物</v>
          </cell>
        </row>
        <row r="376">
          <cell r="A376">
            <v>22006</v>
          </cell>
          <cell r="C376" t="str">
            <v>waaaghwang</v>
          </cell>
          <cell r="D376" t="str">
            <v>风卷残云信物</v>
          </cell>
        </row>
        <row r="377">
          <cell r="A377">
            <v>22007</v>
          </cell>
          <cell r="C377" t="str">
            <v>waaaghwang</v>
          </cell>
          <cell r="D377" t="str">
            <v>天地无双斩信物</v>
          </cell>
        </row>
        <row r="378">
          <cell r="A378">
            <v>22008</v>
          </cell>
          <cell r="C378" t="str">
            <v>waaaghwang</v>
          </cell>
          <cell r="D378" t="str">
            <v>毁灭的预示信物</v>
          </cell>
        </row>
        <row r="379">
          <cell r="A379">
            <v>22009</v>
          </cell>
          <cell r="C379" t="str">
            <v>waaaghwang</v>
          </cell>
          <cell r="D379" t="str">
            <v>正义裁决信物</v>
          </cell>
        </row>
        <row r="380">
          <cell r="A380">
            <v>22011</v>
          </cell>
          <cell r="C380" t="str">
            <v>waaaghwang</v>
          </cell>
          <cell r="D380" t="str">
            <v>光明护佑信物</v>
          </cell>
        </row>
        <row r="381">
          <cell r="A381">
            <v>22012</v>
          </cell>
          <cell r="C381" t="str">
            <v>waaaghwang</v>
          </cell>
          <cell r="D381" t="str">
            <v>沉默誓言信物</v>
          </cell>
        </row>
        <row r="382">
          <cell r="A382">
            <v>22013</v>
          </cell>
          <cell r="C382" t="str">
            <v>waaaghwang</v>
          </cell>
          <cell r="D382" t="str">
            <v>三重攻势信物</v>
          </cell>
        </row>
        <row r="383">
          <cell r="A383">
            <v>22014</v>
          </cell>
          <cell r="C383" t="str">
            <v>waaaghwang</v>
          </cell>
          <cell r="D383" t="str">
            <v>命运操弄信物</v>
          </cell>
        </row>
        <row r="384">
          <cell r="A384">
            <v>22015</v>
          </cell>
          <cell r="C384" t="str">
            <v>waaaghwang</v>
          </cell>
          <cell r="D384" t="str">
            <v>战争祝福信物</v>
          </cell>
        </row>
        <row r="385">
          <cell r="A385">
            <v>22016</v>
          </cell>
          <cell r="C385" t="str">
            <v>waaaghwang</v>
          </cell>
          <cell r="D385" t="str">
            <v>军神赠礼信物</v>
          </cell>
        </row>
        <row r="386">
          <cell r="A386">
            <v>22017</v>
          </cell>
          <cell r="C386" t="str">
            <v>waaaghwang</v>
          </cell>
          <cell r="D386" t="str">
            <v>名门之后信物</v>
          </cell>
        </row>
        <row r="387">
          <cell r="A387">
            <v>22018</v>
          </cell>
          <cell r="C387" t="str">
            <v>waaaghwang</v>
          </cell>
          <cell r="D387" t="str">
            <v>战术冲锋信物</v>
          </cell>
        </row>
        <row r="388">
          <cell r="A388">
            <v>22019</v>
          </cell>
          <cell r="C388" t="str">
            <v>waaaghwang</v>
          </cell>
          <cell r="D388" t="str">
            <v>冲锋的极意信物</v>
          </cell>
        </row>
        <row r="389">
          <cell r="A389">
            <v>22020</v>
          </cell>
          <cell r="C389" t="str">
            <v>waaaghwang</v>
          </cell>
          <cell r="D389" t="str">
            <v>连击信物</v>
          </cell>
        </row>
        <row r="390">
          <cell r="A390">
            <v>22021</v>
          </cell>
          <cell r="C390" t="str">
            <v>waaaghwang</v>
          </cell>
          <cell r="D390" t="str">
            <v>丰收祝福信物</v>
          </cell>
        </row>
        <row r="391">
          <cell r="A391">
            <v>22022</v>
          </cell>
          <cell r="C391" t="str">
            <v>waaaghwang</v>
          </cell>
          <cell r="D391" t="str">
            <v>孤注一掷信物</v>
          </cell>
        </row>
        <row r="392">
          <cell r="A392">
            <v>22023</v>
          </cell>
          <cell r="C392" t="str">
            <v>waaaghwang</v>
          </cell>
          <cell r="D392" t="str">
            <v>狂怒血脉信物</v>
          </cell>
        </row>
        <row r="393">
          <cell r="A393">
            <v>22024</v>
          </cell>
          <cell r="C393" t="str">
            <v>waaaghwang</v>
          </cell>
          <cell r="D393" t="str">
            <v>怒不可遏信物</v>
          </cell>
        </row>
        <row r="394">
          <cell r="A394">
            <v>22025</v>
          </cell>
          <cell r="C394" t="str">
            <v>waaaghwang</v>
          </cell>
          <cell r="D394" t="str">
            <v>钢铁之躯信物</v>
          </cell>
        </row>
        <row r="395">
          <cell r="A395">
            <v>22026</v>
          </cell>
          <cell r="C395" t="str">
            <v>waaaghwang</v>
          </cell>
          <cell r="D395" t="str">
            <v>破怒斩信物</v>
          </cell>
        </row>
        <row r="396">
          <cell r="A396">
            <v>22027</v>
          </cell>
          <cell r="C396" t="str">
            <v>waaaghwang</v>
          </cell>
          <cell r="D396" t="str">
            <v>战争狂热信物</v>
          </cell>
        </row>
        <row r="397">
          <cell r="A397">
            <v>22028</v>
          </cell>
          <cell r="C397" t="str">
            <v>waaaghwang</v>
          </cell>
          <cell r="D397" t="str">
            <v>致命一击信物</v>
          </cell>
        </row>
        <row r="398">
          <cell r="A398">
            <v>22029</v>
          </cell>
          <cell r="C398" t="str">
            <v>waaaghwang</v>
          </cell>
          <cell r="D398" t="str">
            <v>胜利军规信物</v>
          </cell>
        </row>
        <row r="399">
          <cell r="A399">
            <v>22030</v>
          </cell>
          <cell r="C399" t="str">
            <v>waaaghwang</v>
          </cell>
          <cell r="D399" t="str">
            <v>怒涛之击信物</v>
          </cell>
        </row>
        <row r="400">
          <cell r="A400">
            <v>22031</v>
          </cell>
          <cell r="C400" t="str">
            <v>waaaghwang</v>
          </cell>
          <cell r="D400" t="str">
            <v>慈悲终结信物</v>
          </cell>
        </row>
        <row r="401">
          <cell r="A401">
            <v>22032</v>
          </cell>
          <cell r="C401" t="str">
            <v>waaaghwang</v>
          </cell>
          <cell r="D401" t="str">
            <v>撕裂信物</v>
          </cell>
        </row>
        <row r="402">
          <cell r="A402">
            <v>22033</v>
          </cell>
          <cell r="C402" t="str">
            <v>waaaghwang</v>
          </cell>
          <cell r="D402" t="str">
            <v>不屈战意信物</v>
          </cell>
        </row>
        <row r="403">
          <cell r="A403">
            <v>22034</v>
          </cell>
          <cell r="C403" t="str">
            <v>waaaghwang</v>
          </cell>
          <cell r="D403" t="str">
            <v>持久战信物</v>
          </cell>
        </row>
        <row r="404">
          <cell r="A404">
            <v>22035</v>
          </cell>
          <cell r="C404" t="str">
            <v>waaaghwang</v>
          </cell>
          <cell r="D404" t="str">
            <v>惩戒者信物</v>
          </cell>
        </row>
        <row r="405">
          <cell r="A405">
            <v>22036</v>
          </cell>
          <cell r="C405" t="str">
            <v>waaaghwang</v>
          </cell>
          <cell r="D405" t="str">
            <v>破敌之眼信物</v>
          </cell>
        </row>
        <row r="406">
          <cell r="A406">
            <v>22037</v>
          </cell>
          <cell r="C406" t="str">
            <v>waaaghwang</v>
          </cell>
          <cell r="D406" t="str">
            <v>反戈一击信物</v>
          </cell>
        </row>
        <row r="407">
          <cell r="A407">
            <v>22039</v>
          </cell>
          <cell r="C407" t="str">
            <v>waaaghwang</v>
          </cell>
          <cell r="D407" t="str">
            <v>文武双全信物</v>
          </cell>
        </row>
        <row r="408">
          <cell r="A408">
            <v>22040</v>
          </cell>
          <cell r="C408" t="str">
            <v>waaaghwang</v>
          </cell>
          <cell r="D408" t="str">
            <v>反击信物</v>
          </cell>
        </row>
        <row r="409">
          <cell r="A409">
            <v>22041</v>
          </cell>
          <cell r="C409" t="str">
            <v>waaaghwang</v>
          </cell>
          <cell r="D409" t="str">
            <v>饥渴之刃信物</v>
          </cell>
        </row>
        <row r="410">
          <cell r="A410">
            <v>22042</v>
          </cell>
          <cell r="C410" t="str">
            <v>waaaghwang</v>
          </cell>
          <cell r="D410" t="str">
            <v>百战之体信物</v>
          </cell>
        </row>
        <row r="411">
          <cell r="A411">
            <v>22043</v>
          </cell>
          <cell r="C411" t="str">
            <v>waaaghwang</v>
          </cell>
          <cell r="D411" t="str">
            <v>剑盾突击信物</v>
          </cell>
        </row>
        <row r="412">
          <cell r="A412">
            <v>22044</v>
          </cell>
          <cell r="C412" t="str">
            <v>waaaghwang</v>
          </cell>
          <cell r="D412" t="str">
            <v>震慑猛击信物</v>
          </cell>
        </row>
        <row r="413">
          <cell r="A413">
            <v>22045</v>
          </cell>
          <cell r="C413" t="str">
            <v>waaaghwang</v>
          </cell>
          <cell r="D413" t="str">
            <v>不屈信念信物</v>
          </cell>
        </row>
        <row r="414">
          <cell r="A414">
            <v>22046</v>
          </cell>
          <cell r="C414" t="str">
            <v>waaaghwang</v>
          </cell>
          <cell r="D414" t="str">
            <v>敏锐洞察信物</v>
          </cell>
        </row>
        <row r="415">
          <cell r="A415">
            <v>22047</v>
          </cell>
          <cell r="C415" t="str">
            <v>waaaghwang</v>
          </cell>
          <cell r="D415" t="str">
            <v>以战养战信物</v>
          </cell>
        </row>
        <row r="416">
          <cell r="A416">
            <v>22048</v>
          </cell>
          <cell r="C416" t="str">
            <v>waaaghwang</v>
          </cell>
          <cell r="D416" t="str">
            <v>冲击信物</v>
          </cell>
        </row>
        <row r="417">
          <cell r="A417">
            <v>22049</v>
          </cell>
          <cell r="C417" t="str">
            <v>waaaghwang</v>
          </cell>
          <cell r="D417" t="str">
            <v>休整信物</v>
          </cell>
        </row>
        <row r="418">
          <cell r="A418">
            <v>22050</v>
          </cell>
          <cell r="C418" t="str">
            <v>waaaghwang</v>
          </cell>
          <cell r="D418" t="str">
            <v>奇袭信物</v>
          </cell>
        </row>
        <row r="419">
          <cell r="A419">
            <v>22051</v>
          </cell>
          <cell r="C419" t="str">
            <v>waaaghwang</v>
          </cell>
          <cell r="D419" t="str">
            <v>二连斩信物</v>
          </cell>
        </row>
        <row r="420">
          <cell r="A420">
            <v>22052</v>
          </cell>
          <cell r="C420" t="str">
            <v>waaaghwang</v>
          </cell>
          <cell r="D420" t="str">
            <v>攻城战术信物</v>
          </cell>
        </row>
        <row r="421">
          <cell r="A421">
            <v>22053</v>
          </cell>
          <cell r="C421" t="str">
            <v>waaaghwang</v>
          </cell>
          <cell r="D421" t="str">
            <v>锐锋信物</v>
          </cell>
        </row>
        <row r="422">
          <cell r="A422">
            <v>22054</v>
          </cell>
          <cell r="C422" t="str">
            <v>waaaghwang</v>
          </cell>
          <cell r="D422" t="str">
            <v>激怒信物</v>
          </cell>
        </row>
        <row r="423">
          <cell r="A423">
            <v>22055</v>
          </cell>
          <cell r="C423" t="str">
            <v>waaaghwang</v>
          </cell>
          <cell r="D423" t="str">
            <v>战斗训练信物</v>
          </cell>
        </row>
        <row r="424">
          <cell r="A424">
            <v>22056</v>
          </cell>
          <cell r="C424" t="str">
            <v>waaaghwang</v>
          </cell>
          <cell r="D424" t="str">
            <v>防守训练信物</v>
          </cell>
        </row>
        <row r="425">
          <cell r="A425">
            <v>22057</v>
          </cell>
          <cell r="C425" t="str">
            <v>waaaghwang</v>
          </cell>
          <cell r="D425" t="str">
            <v>谋略训练信物</v>
          </cell>
        </row>
        <row r="426">
          <cell r="A426">
            <v>22058</v>
          </cell>
          <cell r="C426" t="str">
            <v>waaaghwang</v>
          </cell>
          <cell r="D426" t="str">
            <v>攻城训练信物</v>
          </cell>
        </row>
        <row r="427">
          <cell r="A427">
            <v>22059</v>
          </cell>
          <cell r="C427" t="str">
            <v>waaaghwang</v>
          </cell>
          <cell r="D427" t="str">
            <v>铁壁信物</v>
          </cell>
        </row>
        <row r="428">
          <cell r="A428">
            <v>22060</v>
          </cell>
          <cell r="C428" t="str">
            <v>waaaghwang</v>
          </cell>
          <cell r="D428" t="str">
            <v>燎天之火信物</v>
          </cell>
        </row>
        <row r="429">
          <cell r="A429">
            <v>22061</v>
          </cell>
          <cell r="C429" t="str">
            <v>waaaghwang</v>
          </cell>
          <cell r="D429" t="str">
            <v>泰山压顶信物</v>
          </cell>
        </row>
        <row r="430">
          <cell r="A430">
            <v>22062</v>
          </cell>
          <cell r="C430" t="str">
            <v>waaaghwang</v>
          </cell>
          <cell r="D430" t="str">
            <v>明心静气信物</v>
          </cell>
        </row>
        <row r="431">
          <cell r="A431">
            <v>22063</v>
          </cell>
          <cell r="C431" t="str">
            <v>waaaghwang</v>
          </cell>
          <cell r="D431" t="str">
            <v>灵光乍现信物</v>
          </cell>
        </row>
        <row r="432">
          <cell r="A432">
            <v>22064</v>
          </cell>
          <cell r="C432" t="str">
            <v>waaaghwang</v>
          </cell>
          <cell r="D432" t="str">
            <v>胜利的代价信物</v>
          </cell>
        </row>
        <row r="433">
          <cell r="A433">
            <v>22065</v>
          </cell>
          <cell r="C433" t="str">
            <v>waaaghwang</v>
          </cell>
          <cell r="D433" t="str">
            <v>避芒击惰信物</v>
          </cell>
        </row>
        <row r="434">
          <cell r="A434">
            <v>22066</v>
          </cell>
          <cell r="C434" t="str">
            <v>waaaghwang</v>
          </cell>
          <cell r="D434" t="str">
            <v>怒击扬智信物</v>
          </cell>
        </row>
        <row r="435">
          <cell r="A435">
            <v>22067</v>
          </cell>
          <cell r="C435" t="str">
            <v>waaaghwang</v>
          </cell>
          <cell r="D435" t="str">
            <v>奋迅信物</v>
          </cell>
        </row>
        <row r="436">
          <cell r="A436">
            <v>22068</v>
          </cell>
          <cell r="C436" t="str">
            <v>waaaghwang</v>
          </cell>
          <cell r="D436" t="str">
            <v>王者之剑信物</v>
          </cell>
        </row>
        <row r="437">
          <cell r="A437">
            <v>22069</v>
          </cell>
          <cell r="C437" t="str">
            <v>waaaghwang</v>
          </cell>
          <cell r="D437" t="str">
            <v>列阵御敌信物</v>
          </cell>
        </row>
        <row r="438">
          <cell r="A438">
            <v>22070</v>
          </cell>
          <cell r="C438" t="str">
            <v>waaaghwang</v>
          </cell>
          <cell r="D438" t="str">
            <v>冲冠一怒信物</v>
          </cell>
        </row>
        <row r="439">
          <cell r="A439">
            <v>22071</v>
          </cell>
          <cell r="C439" t="str">
            <v>waaaghwang</v>
          </cell>
          <cell r="D439" t="str">
            <v>利刃攻心信物</v>
          </cell>
        </row>
        <row r="440">
          <cell r="A440">
            <v>22072</v>
          </cell>
          <cell r="C440" t="str">
            <v>waaaghwang</v>
          </cell>
          <cell r="D440" t="str">
            <v>弱点进攻信物</v>
          </cell>
        </row>
        <row r="441">
          <cell r="A441">
            <v>22073</v>
          </cell>
          <cell r="C441" t="str">
            <v>waaaghwang</v>
          </cell>
          <cell r="D441" t="str">
            <v>侵蚀之焰信物</v>
          </cell>
        </row>
        <row r="442">
          <cell r="A442">
            <v>22074</v>
          </cell>
          <cell r="C442" t="str">
            <v>jialuoqian</v>
          </cell>
          <cell r="D442" t="str">
            <v>压迫之袭信物</v>
          </cell>
        </row>
        <row r="443">
          <cell r="A443">
            <v>22075</v>
          </cell>
          <cell r="C443" t="str">
            <v>jialuoqian</v>
          </cell>
          <cell r="D443" t="str">
            <v>追击本能信物</v>
          </cell>
        </row>
        <row r="444">
          <cell r="A444">
            <v>22076</v>
          </cell>
          <cell r="C444" t="str">
            <v>jialuoqian</v>
          </cell>
          <cell r="D444" t="str">
            <v>英勇时刻信物</v>
          </cell>
        </row>
        <row r="445">
          <cell r="A445">
            <v>22077</v>
          </cell>
          <cell r="C445" t="str">
            <v>jialuoqian</v>
          </cell>
          <cell r="D445" t="str">
            <v>暴烈勇猛信物</v>
          </cell>
        </row>
        <row r="446">
          <cell r="A446">
            <v>23001</v>
          </cell>
          <cell r="C446" t="str">
            <v>waaaghwang</v>
          </cell>
          <cell r="D446" t="str">
            <v>紫色信物</v>
          </cell>
        </row>
        <row r="447">
          <cell r="A447">
            <v>23002</v>
          </cell>
          <cell r="C447" t="str">
            <v>waaaghwang</v>
          </cell>
          <cell r="D447" t="str">
            <v>橙色信物</v>
          </cell>
        </row>
        <row r="448">
          <cell r="A448">
            <v>24001</v>
          </cell>
          <cell r="C448" t="str">
            <v>richwthuang</v>
          </cell>
          <cell r="D448" t="str">
            <v>白龙驹·骁骑</v>
          </cell>
        </row>
        <row r="449">
          <cell r="A449">
            <v>24002</v>
          </cell>
          <cell r="C449" t="str">
            <v>richwthuang</v>
          </cell>
          <cell r="D449" t="str">
            <v>赤兔马·骁骑</v>
          </cell>
        </row>
        <row r="450">
          <cell r="A450">
            <v>24003</v>
          </cell>
          <cell r="C450" t="str">
            <v>richwthuang</v>
          </cell>
          <cell r="D450" t="str">
            <v>什伐赤·骁骑</v>
          </cell>
        </row>
        <row r="451">
          <cell r="A451">
            <v>24004</v>
          </cell>
          <cell r="C451" t="str">
            <v>richwthuang</v>
          </cell>
          <cell r="D451" t="str">
            <v>玉狮子·骁骑</v>
          </cell>
        </row>
        <row r="452">
          <cell r="A452">
            <v>24005</v>
          </cell>
          <cell r="C452" t="str">
            <v>richwthuang</v>
          </cell>
          <cell r="D452" t="str">
            <v>诺曼·骁骑</v>
          </cell>
        </row>
        <row r="453">
          <cell r="A453">
            <v>24006</v>
          </cell>
          <cell r="C453" t="str">
            <v>richwthuang</v>
          </cell>
          <cell r="D453" t="str">
            <v>九花虬·骁骑</v>
          </cell>
        </row>
        <row r="454">
          <cell r="A454">
            <v>24007</v>
          </cell>
          <cell r="C454" t="str">
            <v>richwthuang</v>
          </cell>
          <cell r="D454" t="str">
            <v>惊帆·骁骑</v>
          </cell>
        </row>
        <row r="455">
          <cell r="A455">
            <v>24008</v>
          </cell>
          <cell r="C455" t="str">
            <v>richwthuang</v>
          </cell>
          <cell r="D455" t="str">
            <v>达尔克·骁骑</v>
          </cell>
        </row>
        <row r="456">
          <cell r="A456">
            <v>24009</v>
          </cell>
          <cell r="C456" t="str">
            <v>richwthuang</v>
          </cell>
          <cell r="D456" t="str">
            <v>照夜白·骁骑</v>
          </cell>
        </row>
        <row r="457">
          <cell r="A457">
            <v>24010</v>
          </cell>
          <cell r="C457" t="str">
            <v>richwthuang</v>
          </cell>
          <cell r="D457" t="str">
            <v>乌骓马·枪魂</v>
          </cell>
        </row>
        <row r="458">
          <cell r="A458">
            <v>24011</v>
          </cell>
          <cell r="C458" t="str">
            <v>richwthuang</v>
          </cell>
          <cell r="D458" t="str">
            <v>贺兰巅·枪魂</v>
          </cell>
        </row>
        <row r="459">
          <cell r="A459">
            <v>24012</v>
          </cell>
          <cell r="C459" t="str">
            <v>richwthuang</v>
          </cell>
          <cell r="D459" t="str">
            <v>诺曼·枪魂</v>
          </cell>
        </row>
        <row r="460">
          <cell r="A460">
            <v>24013</v>
          </cell>
          <cell r="C460" t="str">
            <v>richwthuang</v>
          </cell>
          <cell r="D460" t="str">
            <v>九花虬·枪魂</v>
          </cell>
        </row>
        <row r="461">
          <cell r="A461">
            <v>24014</v>
          </cell>
          <cell r="C461" t="str">
            <v>richwthuang</v>
          </cell>
          <cell r="D461" t="str">
            <v>惊帆·枪魂</v>
          </cell>
        </row>
        <row r="462">
          <cell r="A462">
            <v>24015</v>
          </cell>
          <cell r="C462" t="str">
            <v>richwthuang</v>
          </cell>
          <cell r="D462" t="str">
            <v>达尔克·骁骑</v>
          </cell>
        </row>
        <row r="463">
          <cell r="A463">
            <v>24016</v>
          </cell>
          <cell r="C463" t="str">
            <v>richwthuang</v>
          </cell>
          <cell r="D463" t="str">
            <v>照夜白·枪魂</v>
          </cell>
        </row>
        <row r="464">
          <cell r="A464">
            <v>24017</v>
          </cell>
          <cell r="C464" t="str">
            <v>richwthuang</v>
          </cell>
          <cell r="D464" t="str">
            <v>珀伽索斯·剑心</v>
          </cell>
        </row>
        <row r="465">
          <cell r="A465">
            <v>24018</v>
          </cell>
          <cell r="C465" t="str">
            <v>richwthuang</v>
          </cell>
          <cell r="D465" t="str">
            <v>绝影·剑心</v>
          </cell>
        </row>
        <row r="466">
          <cell r="A466">
            <v>24019</v>
          </cell>
          <cell r="C466" t="str">
            <v>richwthuang</v>
          </cell>
          <cell r="D466" t="str">
            <v>诺曼·剑心</v>
          </cell>
        </row>
        <row r="467">
          <cell r="A467">
            <v>24020</v>
          </cell>
          <cell r="C467" t="str">
            <v>richwthuang</v>
          </cell>
          <cell r="D467" t="str">
            <v>九花虬·剑心</v>
          </cell>
        </row>
        <row r="468">
          <cell r="A468">
            <v>24021</v>
          </cell>
          <cell r="C468" t="str">
            <v>richwthuang</v>
          </cell>
          <cell r="D468" t="str">
            <v>惊帆·剑心</v>
          </cell>
        </row>
        <row r="469">
          <cell r="A469">
            <v>24022</v>
          </cell>
          <cell r="C469" t="str">
            <v>richwthuang</v>
          </cell>
          <cell r="D469" t="str">
            <v>达尔克·剑心</v>
          </cell>
        </row>
        <row r="470">
          <cell r="A470">
            <v>24023</v>
          </cell>
          <cell r="C470" t="str">
            <v>richwthuang</v>
          </cell>
          <cell r="D470" t="str">
            <v>照夜白·剑心</v>
          </cell>
        </row>
        <row r="471">
          <cell r="A471">
            <v>24024</v>
          </cell>
          <cell r="C471" t="str">
            <v>richwthuang</v>
          </cell>
          <cell r="D471" t="str">
            <v>玉狮子·弓首</v>
          </cell>
        </row>
        <row r="472">
          <cell r="A472">
            <v>24025</v>
          </cell>
          <cell r="C472" t="str">
            <v>richwthuang</v>
          </cell>
          <cell r="D472" t="str">
            <v>绝影·弓首</v>
          </cell>
        </row>
        <row r="473">
          <cell r="A473">
            <v>24026</v>
          </cell>
          <cell r="C473" t="str">
            <v>richwthuang</v>
          </cell>
          <cell r="D473" t="str">
            <v>诺曼·弓首</v>
          </cell>
        </row>
        <row r="474">
          <cell r="A474">
            <v>24027</v>
          </cell>
          <cell r="C474" t="str">
            <v>richwthuang</v>
          </cell>
          <cell r="D474" t="str">
            <v>九花虬·弓首</v>
          </cell>
        </row>
        <row r="475">
          <cell r="A475">
            <v>24028</v>
          </cell>
          <cell r="C475" t="str">
            <v>richwthuang</v>
          </cell>
          <cell r="D475" t="str">
            <v>惊帆·弓首</v>
          </cell>
        </row>
        <row r="476">
          <cell r="A476">
            <v>24029</v>
          </cell>
          <cell r="C476" t="str">
            <v>richwthuang</v>
          </cell>
          <cell r="D476" t="str">
            <v>达尔克·弓首</v>
          </cell>
        </row>
        <row r="477">
          <cell r="A477">
            <v>24030</v>
          </cell>
          <cell r="C477" t="str">
            <v>richwthuang</v>
          </cell>
          <cell r="D477" t="str">
            <v>照夜白·弓首</v>
          </cell>
        </row>
        <row r="478">
          <cell r="A478">
            <v>24201</v>
          </cell>
          <cell r="C478" t="str">
            <v>richwthuang</v>
          </cell>
          <cell r="D478" t="str">
            <v>大宛马</v>
          </cell>
        </row>
        <row r="479">
          <cell r="A479">
            <v>24202</v>
          </cell>
          <cell r="C479" t="str">
            <v>richwthuang</v>
          </cell>
          <cell r="D479" t="str">
            <v>草原马</v>
          </cell>
        </row>
        <row r="480">
          <cell r="A480">
            <v>25001</v>
          </cell>
          <cell r="C480" t="str">
            <v>richwthuang</v>
          </cell>
          <cell r="D480" t="str">
            <v>坐骑粮草</v>
          </cell>
        </row>
        <row r="481">
          <cell r="A481">
            <v>25002</v>
          </cell>
          <cell r="C481" t="str">
            <v>richwthuang</v>
          </cell>
          <cell r="D481" t="str">
            <v>驯马手记</v>
          </cell>
        </row>
        <row r="482">
          <cell r="A482">
            <v>25003</v>
          </cell>
          <cell r="C482" t="str">
            <v>richwthuang</v>
          </cell>
          <cell r="D482" t="str">
            <v>驯马典籍</v>
          </cell>
        </row>
        <row r="483">
          <cell r="A483">
            <v>25004</v>
          </cell>
          <cell r="C483" t="str">
            <v>richwthuang</v>
          </cell>
          <cell r="D483" t="str">
            <v>马铠精铁</v>
          </cell>
        </row>
        <row r="484">
          <cell r="A484">
            <v>30000</v>
          </cell>
          <cell r="C484" t="str">
            <v>pinoyao</v>
          </cell>
          <cell r="D484" t="str">
            <v>势力基金高级奖励</v>
          </cell>
        </row>
        <row r="485">
          <cell r="A485">
            <v>30001</v>
          </cell>
          <cell r="C485" t="str">
            <v>lotxu</v>
          </cell>
          <cell r="D485" t="str">
            <v>3级资源宝箱4千（木材、食物、石头、黄金）</v>
          </cell>
        </row>
        <row r="486">
          <cell r="A486">
            <v>30002</v>
          </cell>
          <cell r="C486" t="str">
            <v>lotxu</v>
          </cell>
          <cell r="D486" t="str">
            <v>3级资源宝箱4千（木材、食物、石头、黄金）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94"/>
  <sheetViews>
    <sheetView tabSelected="1" zoomScaleNormal="100" workbookViewId="0">
      <pane xSplit="4" ySplit="3" topLeftCell="E467" activePane="bottomRight" state="frozen"/>
      <selection pane="topRight" activeCell="E1" sqref="E1"/>
      <selection pane="bottomLeft" activeCell="A4" sqref="A4"/>
      <selection pane="bottomRight" activeCell="G500" sqref="G500"/>
    </sheetView>
  </sheetViews>
  <sheetFormatPr defaultColWidth="9" defaultRowHeight="16.5" customHeight="1" x14ac:dyDescent="0.25"/>
  <cols>
    <col min="1" max="1" width="12.453125" style="11" customWidth="1"/>
    <col min="2" max="2" width="21.6328125" style="5" customWidth="1"/>
    <col min="3" max="3" width="10.08984375" style="5" customWidth="1"/>
    <col min="4" max="4" width="35.6328125" style="5" customWidth="1"/>
    <col min="5" max="5" width="12.36328125" style="5" bestFit="1" customWidth="1"/>
    <col min="6" max="6" width="15.90625" style="5" customWidth="1"/>
    <col min="7" max="7" width="16.90625" style="5" customWidth="1"/>
    <col min="8" max="8" width="14.36328125" style="5" customWidth="1"/>
    <col min="9" max="9" width="19.90625" style="5" customWidth="1"/>
    <col min="10" max="10" width="24.90625" style="5" customWidth="1"/>
    <col min="11" max="11" width="14.08984375" style="5" bestFit="1" customWidth="1"/>
    <col min="12" max="12" width="18" style="5" customWidth="1"/>
    <col min="13" max="21" width="18.90625" style="5" customWidth="1"/>
    <col min="22" max="30" width="15.6328125" style="5" customWidth="1"/>
    <col min="31" max="31" width="9" style="5" customWidth="1"/>
    <col min="32" max="16384" width="9" style="5"/>
  </cols>
  <sheetData>
    <row r="1" spans="1:30" s="26" customFormat="1" ht="16.5" customHeight="1" x14ac:dyDescent="0.25">
      <c r="A1" s="8" t="s">
        <v>0</v>
      </c>
      <c r="F1" s="86" t="s">
        <v>1</v>
      </c>
      <c r="G1" s="87"/>
      <c r="H1" s="87"/>
      <c r="I1" s="88"/>
      <c r="M1" s="83"/>
    </row>
    <row r="2" spans="1:30" s="3" customFormat="1" ht="16.5" customHeight="1" x14ac:dyDescent="0.25">
      <c r="A2" s="9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302</v>
      </c>
      <c r="V2" s="4"/>
      <c r="W2" s="4"/>
      <c r="X2" s="4"/>
      <c r="Y2" s="4"/>
      <c r="Z2" s="4"/>
      <c r="AA2" s="4"/>
      <c r="AB2" s="4"/>
      <c r="AC2" s="4"/>
      <c r="AD2" s="4"/>
    </row>
    <row r="3" spans="1:30" s="6" customFormat="1" ht="16.5" customHeight="1" x14ac:dyDescent="0.25">
      <c r="A3" s="10" t="s">
        <v>14</v>
      </c>
      <c r="C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  <c r="L3" s="6" t="s">
        <v>23</v>
      </c>
      <c r="M3" s="6" t="s">
        <v>303</v>
      </c>
      <c r="V3" s="7"/>
      <c r="W3" s="7"/>
      <c r="X3" s="7"/>
      <c r="Y3" s="7"/>
      <c r="Z3" s="7"/>
      <c r="AA3" s="7"/>
      <c r="AB3" s="7"/>
      <c r="AC3" s="7"/>
      <c r="AD3" s="7"/>
    </row>
    <row r="4" spans="1:30" ht="16.5" customHeight="1" x14ac:dyDescent="0.25">
      <c r="A4" s="11">
        <v>1800001</v>
      </c>
      <c r="B4" s="13" t="s">
        <v>24</v>
      </c>
      <c r="C4" s="5">
        <v>14304</v>
      </c>
      <c r="D4" s="5" t="str">
        <f>VLOOKUP(C4,[1]道具配置表!$A:$D,4,FALSE)</f>
        <v>沐南风</v>
      </c>
      <c r="E4" s="5">
        <v>10</v>
      </c>
      <c r="F4" s="5">
        <v>1</v>
      </c>
      <c r="G4" s="5">
        <v>1</v>
      </c>
      <c r="I4" s="19">
        <v>10000</v>
      </c>
      <c r="L4" s="5">
        <v>1</v>
      </c>
    </row>
    <row r="5" spans="1:30" s="17" customFormat="1" ht="16.5" customHeight="1" x14ac:dyDescent="0.25">
      <c r="A5" s="16">
        <v>1800002</v>
      </c>
      <c r="B5" s="17" t="s">
        <v>25</v>
      </c>
      <c r="C5" s="14">
        <v>14101</v>
      </c>
      <c r="D5" s="5" t="str">
        <f>VLOOKUP(C5,[1]道具配置表!$A:$D,4,FALSE)</f>
        <v>陆芊岚</v>
      </c>
      <c r="E5" s="17">
        <v>1</v>
      </c>
      <c r="F5" s="17">
        <v>1</v>
      </c>
      <c r="G5" s="17">
        <v>1</v>
      </c>
      <c r="I5" s="20">
        <v>50</v>
      </c>
      <c r="L5" s="17">
        <v>1</v>
      </c>
    </row>
    <row r="6" spans="1:30" s="17" customFormat="1" ht="16.5" customHeight="1" x14ac:dyDescent="0.25">
      <c r="A6" s="16"/>
      <c r="C6" s="14">
        <v>14105</v>
      </c>
      <c r="D6" s="5" t="str">
        <f>VLOOKUP(C6,[1]道具配置表!$A:$D,4,FALSE)</f>
        <v>顾盼儿</v>
      </c>
      <c r="E6" s="17">
        <v>1</v>
      </c>
      <c r="I6" s="20">
        <v>50</v>
      </c>
      <c r="L6" s="17">
        <v>2</v>
      </c>
    </row>
    <row r="7" spans="1:30" s="17" customFormat="1" ht="16.5" customHeight="1" x14ac:dyDescent="0.25">
      <c r="A7" s="16"/>
      <c r="C7" s="14">
        <v>14106</v>
      </c>
      <c r="D7" s="5" t="str">
        <f>VLOOKUP(C7,[1]道具配置表!$A:$D,4,FALSE)</f>
        <v>穆离</v>
      </c>
      <c r="E7" s="17">
        <v>1</v>
      </c>
      <c r="I7" s="20">
        <v>50</v>
      </c>
      <c r="L7" s="17">
        <v>3</v>
      </c>
    </row>
    <row r="8" spans="1:30" s="17" customFormat="1" ht="16.5" customHeight="1" x14ac:dyDescent="0.25">
      <c r="A8" s="16"/>
      <c r="C8" s="14">
        <v>14107</v>
      </c>
      <c r="D8" s="5" t="str">
        <f>VLOOKUP(C8,[1]道具配置表!$A:$D,4,FALSE)</f>
        <v>伊丽莎白</v>
      </c>
      <c r="E8" s="17">
        <v>1</v>
      </c>
      <c r="I8" s="20">
        <v>50</v>
      </c>
      <c r="L8" s="17">
        <v>4</v>
      </c>
    </row>
    <row r="9" spans="1:30" s="17" customFormat="1" ht="16.5" customHeight="1" x14ac:dyDescent="0.25">
      <c r="A9" s="16"/>
      <c r="C9" s="14">
        <v>14108</v>
      </c>
      <c r="D9" s="5" t="str">
        <f>VLOOKUP(C9,[1]道具配置表!$A:$D,4,FALSE)</f>
        <v>娜娜丽</v>
      </c>
      <c r="E9" s="17">
        <v>1</v>
      </c>
      <c r="I9" s="20">
        <v>1200</v>
      </c>
      <c r="L9" s="17">
        <v>5</v>
      </c>
    </row>
    <row r="10" spans="1:30" s="17" customFormat="1" ht="16.5" customHeight="1" x14ac:dyDescent="0.25">
      <c r="A10" s="16"/>
      <c r="C10" s="14">
        <v>14109</v>
      </c>
      <c r="D10" s="5" t="str">
        <f>VLOOKUP(C10,[1]道具配置表!$A:$D,4,FALSE)</f>
        <v>埃托雷</v>
      </c>
      <c r="E10" s="17">
        <v>1</v>
      </c>
      <c r="I10" s="20">
        <v>166</v>
      </c>
      <c r="L10" s="17">
        <v>6</v>
      </c>
    </row>
    <row r="11" spans="1:30" s="17" customFormat="1" ht="16.5" customHeight="1" x14ac:dyDescent="0.25">
      <c r="A11" s="16"/>
      <c r="C11" s="14">
        <v>14201</v>
      </c>
      <c r="D11" s="5" t="str">
        <f>VLOOKUP(C11,[1]道具配置表!$A:$D,4,FALSE)</f>
        <v>维托里奥</v>
      </c>
      <c r="E11" s="17">
        <v>1</v>
      </c>
      <c r="I11" s="20">
        <v>50</v>
      </c>
      <c r="L11" s="17">
        <v>7</v>
      </c>
    </row>
    <row r="12" spans="1:30" s="17" customFormat="1" ht="16.5" customHeight="1" x14ac:dyDescent="0.25">
      <c r="A12" s="16"/>
      <c r="C12" s="14">
        <v>14202</v>
      </c>
      <c r="D12" s="5" t="str">
        <f>VLOOKUP(C12,[1]道具配置表!$A:$D,4,FALSE)</f>
        <v>苏安</v>
      </c>
      <c r="E12" s="17">
        <v>1</v>
      </c>
      <c r="I12" s="20">
        <v>166</v>
      </c>
      <c r="L12" s="17">
        <v>8</v>
      </c>
    </row>
    <row r="13" spans="1:30" s="17" customFormat="1" ht="16.5" customHeight="1" x14ac:dyDescent="0.25">
      <c r="A13" s="16"/>
      <c r="C13" s="14">
        <v>14203</v>
      </c>
      <c r="D13" s="5" t="str">
        <f>VLOOKUP(C13,[1]道具配置表!$A:$D,4,FALSE)</f>
        <v>范文定</v>
      </c>
      <c r="E13" s="17">
        <v>1</v>
      </c>
      <c r="I13" s="20">
        <v>10</v>
      </c>
      <c r="L13" s="17">
        <v>9</v>
      </c>
    </row>
    <row r="14" spans="1:30" s="17" customFormat="1" ht="16.5" customHeight="1" x14ac:dyDescent="0.25">
      <c r="A14" s="16"/>
      <c r="C14" s="14">
        <v>14204</v>
      </c>
      <c r="D14" s="5" t="str">
        <f>VLOOKUP(C14,[1]道具配置表!$A:$D,4,FALSE)</f>
        <v>亚历山德罗</v>
      </c>
      <c r="E14" s="17">
        <v>1</v>
      </c>
      <c r="I14" s="20">
        <v>10</v>
      </c>
      <c r="L14" s="17">
        <v>10</v>
      </c>
    </row>
    <row r="15" spans="1:30" s="17" customFormat="1" ht="16.5" customHeight="1" x14ac:dyDescent="0.25">
      <c r="A15" s="16"/>
      <c r="C15" s="14">
        <v>14206</v>
      </c>
      <c r="D15" s="5" t="str">
        <f>VLOOKUP(C15,[1]道具配置表!$A:$D,4,FALSE)</f>
        <v>杜若</v>
      </c>
      <c r="E15" s="17">
        <v>1</v>
      </c>
      <c r="I15" s="20">
        <v>10</v>
      </c>
      <c r="L15" s="17">
        <v>11</v>
      </c>
    </row>
    <row r="16" spans="1:30" s="17" customFormat="1" ht="16.5" customHeight="1" x14ac:dyDescent="0.25">
      <c r="A16" s="16"/>
      <c r="C16" s="14">
        <v>14207</v>
      </c>
      <c r="D16" s="5" t="str">
        <f>VLOOKUP(C16,[1]道具配置表!$A:$D,4,FALSE)</f>
        <v>艾洛缇丝</v>
      </c>
      <c r="E16" s="17">
        <v>1</v>
      </c>
      <c r="I16" s="20">
        <v>1200</v>
      </c>
      <c r="L16" s="17">
        <v>12</v>
      </c>
    </row>
    <row r="17" spans="1:12" s="17" customFormat="1" ht="16.5" customHeight="1" x14ac:dyDescent="0.25">
      <c r="A17" s="16"/>
      <c r="C17" s="14">
        <v>14301</v>
      </c>
      <c r="D17" s="5" t="str">
        <f>VLOOKUP(C17,[1]道具配置表!$A:$D,4,FALSE)</f>
        <v>梅芙</v>
      </c>
      <c r="E17" s="17">
        <v>1</v>
      </c>
      <c r="I17" s="20">
        <v>1200</v>
      </c>
      <c r="L17" s="17">
        <v>13</v>
      </c>
    </row>
    <row r="18" spans="1:12" s="17" customFormat="1" ht="16.5" customHeight="1" x14ac:dyDescent="0.25">
      <c r="A18" s="16"/>
      <c r="C18" s="14">
        <v>14302</v>
      </c>
      <c r="D18" s="5" t="str">
        <f>VLOOKUP(C18,[1]道具配置表!$A:$D,4,FALSE)</f>
        <v>卡尔维斯</v>
      </c>
      <c r="E18" s="17">
        <v>1</v>
      </c>
      <c r="I18" s="20">
        <v>166</v>
      </c>
      <c r="L18" s="17">
        <v>14</v>
      </c>
    </row>
    <row r="19" spans="1:12" s="17" customFormat="1" ht="16.5" customHeight="1" x14ac:dyDescent="0.25">
      <c r="A19" s="16"/>
      <c r="C19" s="14">
        <v>14303</v>
      </c>
      <c r="D19" s="5" t="str">
        <f>VLOOKUP(C19,[1]道具配置表!$A:$D,4,FALSE)</f>
        <v>霍尔格</v>
      </c>
      <c r="E19" s="17">
        <v>1</v>
      </c>
      <c r="I19" s="20">
        <v>166</v>
      </c>
      <c r="L19" s="17">
        <v>15</v>
      </c>
    </row>
    <row r="20" spans="1:12" s="17" customFormat="1" ht="16.5" customHeight="1" x14ac:dyDescent="0.25">
      <c r="A20" s="16"/>
      <c r="C20" s="14">
        <v>14304</v>
      </c>
      <c r="D20" s="5" t="str">
        <f>VLOOKUP(C20,[1]道具配置表!$A:$D,4,FALSE)</f>
        <v>沐南风</v>
      </c>
      <c r="E20" s="17">
        <v>1</v>
      </c>
      <c r="I20" s="20">
        <v>166</v>
      </c>
      <c r="L20" s="17">
        <v>16</v>
      </c>
    </row>
    <row r="21" spans="1:12" s="17" customFormat="1" ht="16.5" customHeight="1" x14ac:dyDescent="0.25">
      <c r="A21" s="16"/>
      <c r="C21" s="14">
        <v>14305</v>
      </c>
      <c r="D21" s="5" t="str">
        <f>VLOOKUP(C21,[1]道具配置表!$A:$D,4,FALSE)</f>
        <v>拉维妮娅</v>
      </c>
      <c r="E21" s="17">
        <v>1</v>
      </c>
      <c r="I21" s="20">
        <v>166</v>
      </c>
      <c r="L21" s="17">
        <v>17</v>
      </c>
    </row>
    <row r="22" spans="1:12" s="17" customFormat="1" ht="16.5" customHeight="1" x14ac:dyDescent="0.25">
      <c r="A22" s="16"/>
      <c r="C22" s="14">
        <v>14306</v>
      </c>
      <c r="D22" s="5" t="str">
        <f>VLOOKUP(C22,[1]道具配置表!$A:$D,4,FALSE)</f>
        <v>杰拉尔德</v>
      </c>
      <c r="E22" s="17">
        <v>1</v>
      </c>
      <c r="I22" s="20">
        <v>166</v>
      </c>
      <c r="L22" s="17">
        <v>18</v>
      </c>
    </row>
    <row r="23" spans="1:12" s="17" customFormat="1" ht="16.5" customHeight="1" x14ac:dyDescent="0.25">
      <c r="A23" s="16"/>
      <c r="C23" s="14">
        <v>14307</v>
      </c>
      <c r="D23" s="5" t="str">
        <f>VLOOKUP(C23,[1]道具配置表!$A:$D,4,FALSE)</f>
        <v>元元公主</v>
      </c>
      <c r="E23" s="17">
        <v>1</v>
      </c>
      <c r="I23" s="20">
        <v>166</v>
      </c>
      <c r="L23" s="17">
        <v>19</v>
      </c>
    </row>
    <row r="24" spans="1:12" s="17" customFormat="1" ht="16.5" customHeight="1" x14ac:dyDescent="0.25">
      <c r="A24" s="16"/>
      <c r="C24" s="14">
        <v>14308</v>
      </c>
      <c r="D24" s="5" t="str">
        <f>VLOOKUP(C24,[1]道具配置表!$A:$D,4,FALSE)</f>
        <v>卢卡</v>
      </c>
      <c r="E24" s="17">
        <v>1</v>
      </c>
      <c r="I24" s="20">
        <v>166</v>
      </c>
      <c r="L24" s="17">
        <v>20</v>
      </c>
    </row>
    <row r="25" spans="1:12" s="17" customFormat="1" ht="16.5" customHeight="1" x14ac:dyDescent="0.25">
      <c r="A25" s="16"/>
      <c r="C25" s="14">
        <v>14309</v>
      </c>
      <c r="D25" s="5" t="str">
        <f>VLOOKUP(C25,[1]道具配置表!$A:$D,4,FALSE)</f>
        <v>爱德华多</v>
      </c>
      <c r="E25" s="17">
        <v>1</v>
      </c>
      <c r="I25" s="20">
        <v>166</v>
      </c>
      <c r="L25" s="17">
        <v>21</v>
      </c>
    </row>
    <row r="26" spans="1:12" s="17" customFormat="1" ht="16.5" customHeight="1" x14ac:dyDescent="0.25">
      <c r="A26" s="16"/>
      <c r="C26" s="14">
        <v>14312</v>
      </c>
      <c r="D26" s="5" t="str">
        <f>VLOOKUP(C26,[1]道具配置表!$A:$D,4,FALSE)</f>
        <v>鱼妙妙</v>
      </c>
      <c r="E26" s="17">
        <v>1</v>
      </c>
      <c r="I26" s="20">
        <v>50</v>
      </c>
      <c r="L26" s="17">
        <v>22</v>
      </c>
    </row>
    <row r="27" spans="1:12" s="17" customFormat="1" ht="16.5" customHeight="1" x14ac:dyDescent="0.25">
      <c r="A27" s="16"/>
      <c r="C27" s="14">
        <v>14313</v>
      </c>
      <c r="D27" s="5" t="str">
        <f>VLOOKUP(C27,[1]道具配置表!$A:$D,4,FALSE)</f>
        <v>玛丽夫人</v>
      </c>
      <c r="E27" s="17">
        <v>1</v>
      </c>
      <c r="I27" s="20">
        <v>166</v>
      </c>
      <c r="L27" s="17">
        <v>23</v>
      </c>
    </row>
    <row r="28" spans="1:12" s="17" customFormat="1" ht="16.5" customHeight="1" x14ac:dyDescent="0.25">
      <c r="A28" s="16"/>
      <c r="C28" s="14">
        <v>14314</v>
      </c>
      <c r="D28" s="5" t="str">
        <f>VLOOKUP(C28,[1]道具配置表!$A:$D,4,FALSE)</f>
        <v>琼鸣玉</v>
      </c>
      <c r="E28" s="17">
        <v>1</v>
      </c>
      <c r="I28" s="20">
        <v>1200</v>
      </c>
      <c r="L28" s="17">
        <v>24</v>
      </c>
    </row>
    <row r="29" spans="1:12" s="17" customFormat="1" ht="16.5" customHeight="1" x14ac:dyDescent="0.25">
      <c r="A29" s="16"/>
      <c r="C29" s="14">
        <v>14315</v>
      </c>
      <c r="D29" s="5" t="str">
        <f>VLOOKUP(C29,[1]道具配置表!$A:$D,4,FALSE)</f>
        <v>姚清珏</v>
      </c>
      <c r="E29" s="17">
        <v>1</v>
      </c>
      <c r="I29" s="20">
        <v>10</v>
      </c>
      <c r="L29" s="17">
        <v>25</v>
      </c>
    </row>
    <row r="30" spans="1:12" s="17" customFormat="1" ht="16.5" customHeight="1" x14ac:dyDescent="0.25">
      <c r="A30" s="16"/>
      <c r="C30" s="14">
        <v>14316</v>
      </c>
      <c r="D30" s="5" t="str">
        <f>VLOOKUP(C30,[1]道具配置表!$A:$D,4,FALSE)</f>
        <v>姬闾</v>
      </c>
      <c r="E30" s="17">
        <v>1</v>
      </c>
      <c r="I30" s="20">
        <v>166</v>
      </c>
      <c r="L30" s="17">
        <v>26</v>
      </c>
    </row>
    <row r="31" spans="1:12" s="17" customFormat="1" ht="16.5" customHeight="1" x14ac:dyDescent="0.25">
      <c r="A31" s="16"/>
      <c r="C31" s="14">
        <v>14317</v>
      </c>
      <c r="D31" s="5" t="str">
        <f>VLOOKUP(C31,[1]道具配置表!$A:$D,4,FALSE)</f>
        <v>卡多姆</v>
      </c>
      <c r="E31" s="17">
        <v>1</v>
      </c>
      <c r="I31" s="20">
        <v>10</v>
      </c>
      <c r="L31" s="17">
        <v>27</v>
      </c>
    </row>
    <row r="32" spans="1:12" s="17" customFormat="1" ht="16.5" customHeight="1" x14ac:dyDescent="0.25">
      <c r="A32" s="16"/>
      <c r="C32" s="14">
        <v>14318</v>
      </c>
      <c r="D32" s="5" t="str">
        <f>VLOOKUP(C32,[1]道具配置表!$A:$D,4,FALSE)</f>
        <v>巴希斯</v>
      </c>
      <c r="E32" s="17">
        <v>1</v>
      </c>
      <c r="I32" s="20">
        <v>10</v>
      </c>
      <c r="L32" s="17">
        <v>28</v>
      </c>
    </row>
    <row r="33" spans="1:13" s="17" customFormat="1" ht="16.5" customHeight="1" x14ac:dyDescent="0.25">
      <c r="A33" s="16"/>
      <c r="C33" s="14">
        <v>14319</v>
      </c>
      <c r="D33" s="5" t="str">
        <f>VLOOKUP(C33,[1]道具配置表!$A:$D,4,FALSE)</f>
        <v>约恩</v>
      </c>
      <c r="E33" s="17">
        <v>1</v>
      </c>
      <c r="I33" s="20">
        <v>1200</v>
      </c>
      <c r="L33" s="17">
        <v>29</v>
      </c>
    </row>
    <row r="34" spans="1:13" s="17" customFormat="1" ht="16.5" customHeight="1" x14ac:dyDescent="0.25">
      <c r="A34" s="16"/>
      <c r="C34" s="14">
        <v>17200</v>
      </c>
      <c r="D34" s="5" t="str">
        <f>VLOOKUP(C34,[1]道具配置表!$A:$D,4,FALSE)</f>
        <v>名人博学值+100</v>
      </c>
      <c r="E34" s="17">
        <v>1</v>
      </c>
      <c r="I34" s="20">
        <v>4000</v>
      </c>
      <c r="L34" s="17">
        <v>30</v>
      </c>
    </row>
    <row r="35" spans="1:13" s="17" customFormat="1" ht="16.5" customHeight="1" x14ac:dyDescent="0.25">
      <c r="A35" s="16"/>
      <c r="C35" s="14">
        <v>14101</v>
      </c>
      <c r="D35" s="5" t="str">
        <f>VLOOKUP(C35,[1]道具配置表!$A:$D,4,FALSE)</f>
        <v>陆芊岚</v>
      </c>
      <c r="E35" s="17">
        <v>2</v>
      </c>
      <c r="I35" s="20">
        <v>25</v>
      </c>
      <c r="L35" s="17">
        <v>31</v>
      </c>
    </row>
    <row r="36" spans="1:13" s="17" customFormat="1" ht="16.5" customHeight="1" x14ac:dyDescent="0.25">
      <c r="A36" s="16"/>
      <c r="C36" s="14">
        <v>14105</v>
      </c>
      <c r="D36" s="5" t="str">
        <f>VLOOKUP(C36,[1]道具配置表!$A:$D,4,FALSE)</f>
        <v>顾盼儿</v>
      </c>
      <c r="E36" s="17">
        <v>2</v>
      </c>
      <c r="I36" s="20">
        <v>25</v>
      </c>
      <c r="L36" s="17">
        <v>32</v>
      </c>
    </row>
    <row r="37" spans="1:13" s="17" customFormat="1" ht="16.5" customHeight="1" x14ac:dyDescent="0.25">
      <c r="A37" s="16"/>
      <c r="C37" s="14">
        <v>14106</v>
      </c>
      <c r="D37" s="5" t="str">
        <f>VLOOKUP(C37,[1]道具配置表!$A:$D,4,FALSE)</f>
        <v>穆离</v>
      </c>
      <c r="E37" s="17">
        <v>2</v>
      </c>
      <c r="I37" s="20">
        <v>25</v>
      </c>
      <c r="L37" s="17">
        <v>33</v>
      </c>
    </row>
    <row r="38" spans="1:13" s="17" customFormat="1" ht="16.5" customHeight="1" x14ac:dyDescent="0.25">
      <c r="A38" s="16"/>
      <c r="C38" s="14">
        <v>14107</v>
      </c>
      <c r="D38" s="5" t="str">
        <f>VLOOKUP(C38,[1]道具配置表!$A:$D,4,FALSE)</f>
        <v>伊丽莎白</v>
      </c>
      <c r="E38" s="17">
        <v>2</v>
      </c>
      <c r="I38" s="20">
        <v>25</v>
      </c>
      <c r="L38" s="17">
        <v>34</v>
      </c>
    </row>
    <row r="39" spans="1:13" s="17" customFormat="1" ht="16.5" customHeight="1" x14ac:dyDescent="0.25">
      <c r="A39" s="16"/>
      <c r="C39" s="14">
        <v>14108</v>
      </c>
      <c r="D39" s="5" t="str">
        <f>VLOOKUP(C39,[1]道具配置表!$A:$D,4,FALSE)</f>
        <v>娜娜丽</v>
      </c>
      <c r="E39" s="17">
        <v>2</v>
      </c>
      <c r="I39" s="20">
        <v>600</v>
      </c>
      <c r="L39" s="17">
        <v>35</v>
      </c>
    </row>
    <row r="40" spans="1:13" s="17" customFormat="1" ht="16.5" customHeight="1" x14ac:dyDescent="0.25">
      <c r="A40" s="16"/>
      <c r="C40" s="14">
        <v>14109</v>
      </c>
      <c r="D40" s="5" t="str">
        <f>VLOOKUP(C40,[1]道具配置表!$A:$D,4,FALSE)</f>
        <v>埃托雷</v>
      </c>
      <c r="E40" s="17">
        <v>2</v>
      </c>
      <c r="I40" s="20">
        <v>83</v>
      </c>
      <c r="L40" s="17">
        <v>36</v>
      </c>
    </row>
    <row r="41" spans="1:13" s="17" customFormat="1" ht="16.5" customHeight="1" x14ac:dyDescent="0.25">
      <c r="A41" s="16"/>
      <c r="C41" s="14">
        <v>14201</v>
      </c>
      <c r="D41" s="5" t="str">
        <f>VLOOKUP(C41,[1]道具配置表!$A:$D,4,FALSE)</f>
        <v>维托里奥</v>
      </c>
      <c r="E41" s="17">
        <v>2</v>
      </c>
      <c r="I41" s="20">
        <v>25</v>
      </c>
      <c r="L41" s="17">
        <v>37</v>
      </c>
    </row>
    <row r="42" spans="1:13" s="17" customFormat="1" ht="16.5" customHeight="1" x14ac:dyDescent="0.25">
      <c r="A42" s="16"/>
      <c r="C42" s="23">
        <v>14202</v>
      </c>
      <c r="D42" s="23" t="str">
        <f>VLOOKUP(C42,[1]道具配置表!$A:$D,4,FALSE)</f>
        <v>苏安</v>
      </c>
      <c r="E42" s="24">
        <v>2</v>
      </c>
      <c r="F42" s="24"/>
      <c r="G42" s="24"/>
      <c r="H42" s="24"/>
      <c r="I42" s="25">
        <v>83</v>
      </c>
      <c r="J42" s="24"/>
      <c r="K42" s="24"/>
      <c r="L42" s="24">
        <v>38</v>
      </c>
      <c r="M42" s="24"/>
    </row>
    <row r="43" spans="1:13" s="17" customFormat="1" ht="16.5" customHeight="1" x14ac:dyDescent="0.25">
      <c r="A43" s="16"/>
      <c r="C43" s="23">
        <v>14203</v>
      </c>
      <c r="D43" s="23" t="str">
        <f>VLOOKUP(C43,[1]道具配置表!$A:$D,4,FALSE)</f>
        <v>范文定</v>
      </c>
      <c r="E43" s="24">
        <v>2</v>
      </c>
      <c r="F43" s="24"/>
      <c r="G43" s="24"/>
      <c r="H43" s="24"/>
      <c r="I43" s="25">
        <v>5</v>
      </c>
      <c r="J43" s="24"/>
      <c r="K43" s="24"/>
      <c r="L43" s="24">
        <v>39</v>
      </c>
      <c r="M43" s="24"/>
    </row>
    <row r="44" spans="1:13" s="22" customFormat="1" ht="16.5" customHeight="1" x14ac:dyDescent="0.25">
      <c r="A44" s="21"/>
      <c r="C44" s="23">
        <v>14204</v>
      </c>
      <c r="D44" s="23" t="str">
        <f>VLOOKUP(C44,[1]道具配置表!$A:$D,4,FALSE)</f>
        <v>亚历山德罗</v>
      </c>
      <c r="E44" s="24">
        <v>2</v>
      </c>
      <c r="F44" s="24"/>
      <c r="G44" s="24"/>
      <c r="H44" s="24"/>
      <c r="I44" s="25">
        <v>5</v>
      </c>
      <c r="J44" s="24"/>
      <c r="K44" s="24"/>
      <c r="L44" s="24">
        <v>40</v>
      </c>
      <c r="M44" s="24"/>
    </row>
    <row r="45" spans="1:13" s="17" customFormat="1" ht="16.5" customHeight="1" x14ac:dyDescent="0.25">
      <c r="A45" s="16"/>
      <c r="C45" s="23">
        <v>14206</v>
      </c>
      <c r="D45" s="23" t="str">
        <f>VLOOKUP(C45,[1]道具配置表!$A:$D,4,FALSE)</f>
        <v>杜若</v>
      </c>
      <c r="E45" s="24">
        <v>2</v>
      </c>
      <c r="F45" s="24"/>
      <c r="G45" s="24"/>
      <c r="H45" s="24"/>
      <c r="I45" s="25">
        <v>5</v>
      </c>
      <c r="J45" s="24"/>
      <c r="K45" s="24"/>
      <c r="L45" s="24">
        <v>41</v>
      </c>
      <c r="M45" s="24"/>
    </row>
    <row r="46" spans="1:13" s="17" customFormat="1" ht="16.5" customHeight="1" x14ac:dyDescent="0.25">
      <c r="A46" s="16"/>
      <c r="C46" s="14">
        <v>14207</v>
      </c>
      <c r="D46" s="5" t="str">
        <f>VLOOKUP(C46,[1]道具配置表!$A:$D,4,FALSE)</f>
        <v>艾洛缇丝</v>
      </c>
      <c r="E46" s="17">
        <v>2</v>
      </c>
      <c r="I46" s="20">
        <v>600</v>
      </c>
      <c r="L46" s="17">
        <v>42</v>
      </c>
    </row>
    <row r="47" spans="1:13" s="17" customFormat="1" ht="16.5" customHeight="1" x14ac:dyDescent="0.25">
      <c r="A47" s="16"/>
      <c r="C47" s="14">
        <v>14301</v>
      </c>
      <c r="D47" s="5" t="str">
        <f>VLOOKUP(C47,[1]道具配置表!$A:$D,4,FALSE)</f>
        <v>梅芙</v>
      </c>
      <c r="E47" s="17">
        <v>2</v>
      </c>
      <c r="I47" s="20">
        <v>600</v>
      </c>
      <c r="L47" s="17">
        <v>43</v>
      </c>
    </row>
    <row r="48" spans="1:13" s="17" customFormat="1" ht="16.5" customHeight="1" x14ac:dyDescent="0.25">
      <c r="A48" s="16"/>
      <c r="C48" s="14">
        <v>14302</v>
      </c>
      <c r="D48" s="5" t="str">
        <f>VLOOKUP(C48,[1]道具配置表!$A:$D,4,FALSE)</f>
        <v>卡尔维斯</v>
      </c>
      <c r="E48" s="17">
        <v>2</v>
      </c>
      <c r="I48" s="20">
        <v>83</v>
      </c>
      <c r="L48" s="17">
        <v>44</v>
      </c>
    </row>
    <row r="49" spans="1:12" s="17" customFormat="1" ht="16.5" customHeight="1" x14ac:dyDescent="0.25">
      <c r="A49" s="16"/>
      <c r="C49" s="14">
        <v>14303</v>
      </c>
      <c r="D49" s="5" t="str">
        <f>VLOOKUP(C49,[1]道具配置表!$A:$D,4,FALSE)</f>
        <v>霍尔格</v>
      </c>
      <c r="E49" s="17">
        <v>2</v>
      </c>
      <c r="I49" s="20">
        <v>83</v>
      </c>
      <c r="L49" s="17">
        <v>45</v>
      </c>
    </row>
    <row r="50" spans="1:12" s="17" customFormat="1" ht="16.5" customHeight="1" x14ac:dyDescent="0.25">
      <c r="A50" s="16"/>
      <c r="C50" s="14">
        <v>14304</v>
      </c>
      <c r="D50" s="5" t="str">
        <f>VLOOKUP(C50,[1]道具配置表!$A:$D,4,FALSE)</f>
        <v>沐南风</v>
      </c>
      <c r="E50" s="17">
        <v>2</v>
      </c>
      <c r="I50" s="20">
        <v>83</v>
      </c>
      <c r="L50" s="17">
        <v>46</v>
      </c>
    </row>
    <row r="51" spans="1:12" s="17" customFormat="1" ht="16.5" customHeight="1" x14ac:dyDescent="0.25">
      <c r="A51" s="16"/>
      <c r="C51" s="14">
        <v>14305</v>
      </c>
      <c r="D51" s="5" t="str">
        <f>VLOOKUP(C51,[1]道具配置表!$A:$D,4,FALSE)</f>
        <v>拉维妮娅</v>
      </c>
      <c r="E51" s="17">
        <v>2</v>
      </c>
      <c r="I51" s="20">
        <v>83</v>
      </c>
      <c r="L51" s="17">
        <v>47</v>
      </c>
    </row>
    <row r="52" spans="1:12" s="17" customFormat="1" ht="16.5" customHeight="1" x14ac:dyDescent="0.25">
      <c r="A52" s="16"/>
      <c r="C52" s="14">
        <v>14306</v>
      </c>
      <c r="D52" s="5" t="str">
        <f>VLOOKUP(C52,[1]道具配置表!$A:$D,4,FALSE)</f>
        <v>杰拉尔德</v>
      </c>
      <c r="E52" s="17">
        <v>2</v>
      </c>
      <c r="I52" s="20">
        <v>83</v>
      </c>
      <c r="L52" s="17">
        <v>48</v>
      </c>
    </row>
    <row r="53" spans="1:12" s="17" customFormat="1" ht="16.5" customHeight="1" x14ac:dyDescent="0.25">
      <c r="A53" s="16"/>
      <c r="C53" s="14">
        <v>14307</v>
      </c>
      <c r="D53" s="5" t="str">
        <f>VLOOKUP(C53,[1]道具配置表!$A:$D,4,FALSE)</f>
        <v>元元公主</v>
      </c>
      <c r="E53" s="17">
        <v>2</v>
      </c>
      <c r="I53" s="20">
        <v>83</v>
      </c>
      <c r="L53" s="17">
        <v>49</v>
      </c>
    </row>
    <row r="54" spans="1:12" s="17" customFormat="1" ht="16.5" customHeight="1" x14ac:dyDescent="0.25">
      <c r="A54" s="16"/>
      <c r="C54" s="14">
        <v>14308</v>
      </c>
      <c r="D54" s="5" t="str">
        <f>VLOOKUP(C54,[1]道具配置表!$A:$D,4,FALSE)</f>
        <v>卢卡</v>
      </c>
      <c r="E54" s="17">
        <v>2</v>
      </c>
      <c r="I54" s="20">
        <v>83</v>
      </c>
      <c r="L54" s="17">
        <v>50</v>
      </c>
    </row>
    <row r="55" spans="1:12" s="17" customFormat="1" ht="16.5" customHeight="1" x14ac:dyDescent="0.25">
      <c r="A55" s="16"/>
      <c r="C55" s="14">
        <v>14309</v>
      </c>
      <c r="D55" s="5" t="str">
        <f>VLOOKUP(C55,[1]道具配置表!$A:$D,4,FALSE)</f>
        <v>爱德华多</v>
      </c>
      <c r="E55" s="17">
        <v>2</v>
      </c>
      <c r="I55" s="20">
        <v>83</v>
      </c>
      <c r="L55" s="17">
        <v>51</v>
      </c>
    </row>
    <row r="56" spans="1:12" s="17" customFormat="1" ht="16.5" customHeight="1" x14ac:dyDescent="0.25">
      <c r="A56" s="16"/>
      <c r="C56" s="14">
        <v>14312</v>
      </c>
      <c r="D56" s="5" t="str">
        <f>VLOOKUP(C56,[1]道具配置表!$A:$D,4,FALSE)</f>
        <v>鱼妙妙</v>
      </c>
      <c r="E56" s="17">
        <v>2</v>
      </c>
      <c r="I56" s="20">
        <v>25</v>
      </c>
      <c r="L56" s="17">
        <v>52</v>
      </c>
    </row>
    <row r="57" spans="1:12" s="17" customFormat="1" ht="16.5" customHeight="1" x14ac:dyDescent="0.25">
      <c r="A57" s="16"/>
      <c r="C57" s="14">
        <v>14313</v>
      </c>
      <c r="D57" s="5" t="str">
        <f>VLOOKUP(C57,[1]道具配置表!$A:$D,4,FALSE)</f>
        <v>玛丽夫人</v>
      </c>
      <c r="E57" s="17">
        <v>2</v>
      </c>
      <c r="I57" s="20">
        <v>83</v>
      </c>
      <c r="L57" s="17">
        <v>53</v>
      </c>
    </row>
    <row r="58" spans="1:12" s="17" customFormat="1" ht="16.5" customHeight="1" x14ac:dyDescent="0.25">
      <c r="A58" s="16"/>
      <c r="C58" s="14">
        <v>14314</v>
      </c>
      <c r="D58" s="5" t="str">
        <f>VLOOKUP(C58,[1]道具配置表!$A:$D,4,FALSE)</f>
        <v>琼鸣玉</v>
      </c>
      <c r="E58" s="17">
        <v>2</v>
      </c>
      <c r="I58" s="20">
        <v>600</v>
      </c>
      <c r="L58" s="17">
        <v>54</v>
      </c>
    </row>
    <row r="59" spans="1:12" s="17" customFormat="1" ht="16.5" customHeight="1" x14ac:dyDescent="0.25">
      <c r="A59" s="16"/>
      <c r="C59" s="14">
        <v>14315</v>
      </c>
      <c r="D59" s="5" t="str">
        <f>VLOOKUP(C59,[1]道具配置表!$A:$D,4,FALSE)</f>
        <v>姚清珏</v>
      </c>
      <c r="E59" s="17">
        <v>2</v>
      </c>
      <c r="I59" s="20">
        <v>5</v>
      </c>
      <c r="L59" s="17">
        <v>55</v>
      </c>
    </row>
    <row r="60" spans="1:12" s="17" customFormat="1" ht="16.5" customHeight="1" x14ac:dyDescent="0.25">
      <c r="A60" s="16"/>
      <c r="C60" s="14">
        <v>14316</v>
      </c>
      <c r="D60" s="5" t="str">
        <f>VLOOKUP(C60,[1]道具配置表!$A:$D,4,FALSE)</f>
        <v>姬闾</v>
      </c>
      <c r="E60" s="17">
        <v>2</v>
      </c>
      <c r="I60" s="20">
        <v>83</v>
      </c>
      <c r="L60" s="17">
        <v>56</v>
      </c>
    </row>
    <row r="61" spans="1:12" s="17" customFormat="1" ht="16.5" customHeight="1" x14ac:dyDescent="0.25">
      <c r="A61" s="16"/>
      <c r="C61" s="14">
        <v>14317</v>
      </c>
      <c r="D61" s="5" t="str">
        <f>VLOOKUP(C61,[1]道具配置表!$A:$D,4,FALSE)</f>
        <v>卡多姆</v>
      </c>
      <c r="E61" s="17">
        <v>2</v>
      </c>
      <c r="I61" s="20">
        <v>5</v>
      </c>
      <c r="L61" s="17">
        <v>57</v>
      </c>
    </row>
    <row r="62" spans="1:12" s="17" customFormat="1" ht="16.5" customHeight="1" x14ac:dyDescent="0.25">
      <c r="A62" s="16"/>
      <c r="C62" s="14">
        <v>14318</v>
      </c>
      <c r="D62" s="5" t="str">
        <f>VLOOKUP(C62,[1]道具配置表!$A:$D,4,FALSE)</f>
        <v>巴希斯</v>
      </c>
      <c r="E62" s="17">
        <v>2</v>
      </c>
      <c r="I62" s="20">
        <v>5</v>
      </c>
      <c r="L62" s="17">
        <v>58</v>
      </c>
    </row>
    <row r="63" spans="1:12" s="17" customFormat="1" ht="16.5" customHeight="1" x14ac:dyDescent="0.25">
      <c r="A63" s="16"/>
      <c r="C63" s="14">
        <v>14319</v>
      </c>
      <c r="D63" s="5" t="str">
        <f>VLOOKUP(C63,[1]道具配置表!$A:$D,4,FALSE)</f>
        <v>约恩</v>
      </c>
      <c r="E63" s="17">
        <v>2</v>
      </c>
      <c r="I63" s="20">
        <v>600</v>
      </c>
      <c r="L63" s="17">
        <v>59</v>
      </c>
    </row>
    <row r="64" spans="1:12" s="17" customFormat="1" ht="16.5" customHeight="1" x14ac:dyDescent="0.25">
      <c r="A64" s="16"/>
      <c r="C64" s="14">
        <v>17200</v>
      </c>
      <c r="D64" s="5" t="str">
        <f>VLOOKUP(C64,[1]道具配置表!$A:$D,4,FALSE)</f>
        <v>名人博学值+100</v>
      </c>
      <c r="E64" s="17">
        <v>2</v>
      </c>
      <c r="I64" s="20">
        <v>2000</v>
      </c>
      <c r="L64" s="17">
        <v>60</v>
      </c>
    </row>
    <row r="65" spans="1:12" s="17" customFormat="1" ht="16.5" customHeight="1" x14ac:dyDescent="0.25">
      <c r="A65" s="16"/>
      <c r="C65" s="14">
        <v>14101</v>
      </c>
      <c r="D65" s="5" t="str">
        <f>VLOOKUP(C65,[1]道具配置表!$A:$D,4,FALSE)</f>
        <v>陆芊岚</v>
      </c>
      <c r="E65" s="17">
        <v>4</v>
      </c>
      <c r="I65" s="20">
        <v>12</v>
      </c>
      <c r="L65" s="17">
        <v>61</v>
      </c>
    </row>
    <row r="66" spans="1:12" s="17" customFormat="1" ht="16.5" customHeight="1" x14ac:dyDescent="0.25">
      <c r="A66" s="16"/>
      <c r="C66" s="14">
        <v>14105</v>
      </c>
      <c r="D66" s="5" t="str">
        <f>VLOOKUP(C66,[1]道具配置表!$A:$D,4,FALSE)</f>
        <v>顾盼儿</v>
      </c>
      <c r="E66" s="17">
        <v>4</v>
      </c>
      <c r="I66" s="20">
        <v>12</v>
      </c>
      <c r="L66" s="17">
        <v>62</v>
      </c>
    </row>
    <row r="67" spans="1:12" s="17" customFormat="1" ht="16.5" customHeight="1" x14ac:dyDescent="0.25">
      <c r="A67" s="16"/>
      <c r="C67" s="14">
        <v>14106</v>
      </c>
      <c r="D67" s="5" t="str">
        <f>VLOOKUP(C67,[1]道具配置表!$A:$D,4,FALSE)</f>
        <v>穆离</v>
      </c>
      <c r="E67" s="17">
        <v>4</v>
      </c>
      <c r="I67" s="20">
        <v>12</v>
      </c>
      <c r="L67" s="17">
        <v>63</v>
      </c>
    </row>
    <row r="68" spans="1:12" s="17" customFormat="1" ht="16.5" customHeight="1" x14ac:dyDescent="0.25">
      <c r="A68" s="16"/>
      <c r="C68" s="14">
        <v>14107</v>
      </c>
      <c r="D68" s="5" t="str">
        <f>VLOOKUP(C68,[1]道具配置表!$A:$D,4,FALSE)</f>
        <v>伊丽莎白</v>
      </c>
      <c r="E68" s="17">
        <v>4</v>
      </c>
      <c r="I68" s="20">
        <v>12</v>
      </c>
      <c r="L68" s="17">
        <v>64</v>
      </c>
    </row>
    <row r="69" spans="1:12" s="17" customFormat="1" ht="16.5" customHeight="1" x14ac:dyDescent="0.25">
      <c r="A69" s="16"/>
      <c r="C69" s="14">
        <v>14108</v>
      </c>
      <c r="D69" s="5" t="str">
        <f>VLOOKUP(C69,[1]道具配置表!$A:$D,4,FALSE)</f>
        <v>娜娜丽</v>
      </c>
      <c r="E69" s="17">
        <v>4</v>
      </c>
      <c r="I69" s="20">
        <v>300</v>
      </c>
      <c r="L69" s="17">
        <v>65</v>
      </c>
    </row>
    <row r="70" spans="1:12" s="17" customFormat="1" ht="16.5" customHeight="1" x14ac:dyDescent="0.25">
      <c r="A70" s="16"/>
      <c r="C70" s="14">
        <v>14109</v>
      </c>
      <c r="D70" s="5" t="str">
        <f>VLOOKUP(C70,[1]道具配置表!$A:$D,4,FALSE)</f>
        <v>埃托雷</v>
      </c>
      <c r="E70" s="17">
        <v>4</v>
      </c>
      <c r="I70" s="20">
        <v>41</v>
      </c>
      <c r="L70" s="17">
        <v>66</v>
      </c>
    </row>
    <row r="71" spans="1:12" s="17" customFormat="1" ht="16.5" customHeight="1" x14ac:dyDescent="0.25">
      <c r="A71" s="16"/>
      <c r="C71" s="14">
        <v>14201</v>
      </c>
      <c r="D71" s="5" t="str">
        <f>VLOOKUP(C71,[1]道具配置表!$A:$D,4,FALSE)</f>
        <v>维托里奥</v>
      </c>
      <c r="E71" s="17">
        <v>4</v>
      </c>
      <c r="I71" s="20">
        <v>12</v>
      </c>
      <c r="L71" s="17">
        <v>67</v>
      </c>
    </row>
    <row r="72" spans="1:12" s="17" customFormat="1" ht="16.5" customHeight="1" x14ac:dyDescent="0.25">
      <c r="A72" s="16"/>
      <c r="C72" s="14">
        <v>14202</v>
      </c>
      <c r="D72" s="5" t="str">
        <f>VLOOKUP(C72,[1]道具配置表!$A:$D,4,FALSE)</f>
        <v>苏安</v>
      </c>
      <c r="E72" s="17">
        <v>4</v>
      </c>
      <c r="I72" s="20">
        <v>41</v>
      </c>
      <c r="L72" s="17">
        <v>68</v>
      </c>
    </row>
    <row r="73" spans="1:12" s="17" customFormat="1" ht="16.5" customHeight="1" x14ac:dyDescent="0.25">
      <c r="A73" s="16"/>
      <c r="C73" s="14">
        <v>14203</v>
      </c>
      <c r="D73" s="5" t="str">
        <f>VLOOKUP(C73,[1]道具配置表!$A:$D,4,FALSE)</f>
        <v>范文定</v>
      </c>
      <c r="E73" s="17">
        <v>4</v>
      </c>
      <c r="I73" s="20">
        <v>2</v>
      </c>
      <c r="L73" s="17">
        <v>69</v>
      </c>
    </row>
    <row r="74" spans="1:12" s="17" customFormat="1" ht="16.5" customHeight="1" x14ac:dyDescent="0.25">
      <c r="A74" s="16"/>
      <c r="C74" s="14">
        <v>14204</v>
      </c>
      <c r="D74" s="5" t="str">
        <f>VLOOKUP(C74,[1]道具配置表!$A:$D,4,FALSE)</f>
        <v>亚历山德罗</v>
      </c>
      <c r="E74" s="17">
        <v>4</v>
      </c>
      <c r="I74" s="20">
        <v>2</v>
      </c>
      <c r="L74" s="17">
        <v>70</v>
      </c>
    </row>
    <row r="75" spans="1:12" s="17" customFormat="1" ht="16.5" customHeight="1" x14ac:dyDescent="0.25">
      <c r="A75" s="16"/>
      <c r="C75" s="14">
        <v>14206</v>
      </c>
      <c r="D75" s="5" t="str">
        <f>VLOOKUP(C75,[1]道具配置表!$A:$D,4,FALSE)</f>
        <v>杜若</v>
      </c>
      <c r="E75" s="17">
        <v>4</v>
      </c>
      <c r="I75" s="20">
        <v>2</v>
      </c>
      <c r="L75" s="17">
        <v>71</v>
      </c>
    </row>
    <row r="76" spans="1:12" s="17" customFormat="1" ht="16.5" customHeight="1" x14ac:dyDescent="0.25">
      <c r="A76" s="16"/>
      <c r="C76" s="14">
        <v>14207</v>
      </c>
      <c r="D76" s="5" t="str">
        <f>VLOOKUP(C76,[1]道具配置表!$A:$D,4,FALSE)</f>
        <v>艾洛缇丝</v>
      </c>
      <c r="E76" s="17">
        <v>4</v>
      </c>
      <c r="I76" s="20">
        <v>300</v>
      </c>
      <c r="L76" s="17">
        <v>72</v>
      </c>
    </row>
    <row r="77" spans="1:12" s="17" customFormat="1" ht="16.5" customHeight="1" x14ac:dyDescent="0.25">
      <c r="A77" s="16"/>
      <c r="C77" s="14">
        <v>14301</v>
      </c>
      <c r="D77" s="5" t="str">
        <f>VLOOKUP(C77,[1]道具配置表!$A:$D,4,FALSE)</f>
        <v>梅芙</v>
      </c>
      <c r="E77" s="17">
        <v>4</v>
      </c>
      <c r="I77" s="20">
        <v>300</v>
      </c>
      <c r="L77" s="17">
        <v>73</v>
      </c>
    </row>
    <row r="78" spans="1:12" s="17" customFormat="1" ht="16.5" customHeight="1" x14ac:dyDescent="0.25">
      <c r="A78" s="16"/>
      <c r="C78" s="14">
        <v>14302</v>
      </c>
      <c r="D78" s="5" t="str">
        <f>VLOOKUP(C78,[1]道具配置表!$A:$D,4,FALSE)</f>
        <v>卡尔维斯</v>
      </c>
      <c r="E78" s="17">
        <v>4</v>
      </c>
      <c r="I78" s="20">
        <v>41</v>
      </c>
      <c r="L78" s="17">
        <v>74</v>
      </c>
    </row>
    <row r="79" spans="1:12" s="17" customFormat="1" ht="16.5" customHeight="1" x14ac:dyDescent="0.25">
      <c r="A79" s="16"/>
      <c r="C79" s="14">
        <v>14303</v>
      </c>
      <c r="D79" s="5" t="str">
        <f>VLOOKUP(C79,[1]道具配置表!$A:$D,4,FALSE)</f>
        <v>霍尔格</v>
      </c>
      <c r="E79" s="17">
        <v>4</v>
      </c>
      <c r="I79" s="20">
        <v>41</v>
      </c>
      <c r="L79" s="17">
        <v>75</v>
      </c>
    </row>
    <row r="80" spans="1:12" s="17" customFormat="1" ht="16.5" customHeight="1" x14ac:dyDescent="0.25">
      <c r="A80" s="16"/>
      <c r="C80" s="14">
        <v>14304</v>
      </c>
      <c r="D80" s="5" t="str">
        <f>VLOOKUP(C80,[1]道具配置表!$A:$D,4,FALSE)</f>
        <v>沐南风</v>
      </c>
      <c r="E80" s="17">
        <v>4</v>
      </c>
      <c r="I80" s="20">
        <v>41</v>
      </c>
      <c r="L80" s="17">
        <v>76</v>
      </c>
    </row>
    <row r="81" spans="1:12" s="17" customFormat="1" ht="16.5" customHeight="1" x14ac:dyDescent="0.25">
      <c r="A81" s="16"/>
      <c r="C81" s="14">
        <v>14305</v>
      </c>
      <c r="D81" s="5" t="str">
        <f>VLOOKUP(C81,[1]道具配置表!$A:$D,4,FALSE)</f>
        <v>拉维妮娅</v>
      </c>
      <c r="E81" s="17">
        <v>4</v>
      </c>
      <c r="I81" s="20">
        <v>41</v>
      </c>
      <c r="L81" s="17">
        <v>77</v>
      </c>
    </row>
    <row r="82" spans="1:12" s="17" customFormat="1" ht="16.5" customHeight="1" x14ac:dyDescent="0.25">
      <c r="A82" s="16"/>
      <c r="C82" s="14">
        <v>14306</v>
      </c>
      <c r="D82" s="5" t="str">
        <f>VLOOKUP(C82,[1]道具配置表!$A:$D,4,FALSE)</f>
        <v>杰拉尔德</v>
      </c>
      <c r="E82" s="17">
        <v>4</v>
      </c>
      <c r="I82" s="20">
        <v>41</v>
      </c>
      <c r="L82" s="17">
        <v>78</v>
      </c>
    </row>
    <row r="83" spans="1:12" s="17" customFormat="1" ht="16.5" customHeight="1" x14ac:dyDescent="0.25">
      <c r="A83" s="16"/>
      <c r="C83" s="14">
        <v>14307</v>
      </c>
      <c r="D83" s="5" t="str">
        <f>VLOOKUP(C83,[1]道具配置表!$A:$D,4,FALSE)</f>
        <v>元元公主</v>
      </c>
      <c r="E83" s="17">
        <v>4</v>
      </c>
      <c r="I83" s="20">
        <v>41</v>
      </c>
      <c r="L83" s="17">
        <v>79</v>
      </c>
    </row>
    <row r="84" spans="1:12" s="17" customFormat="1" ht="16.5" customHeight="1" x14ac:dyDescent="0.25">
      <c r="A84" s="16"/>
      <c r="C84" s="14">
        <v>14308</v>
      </c>
      <c r="D84" s="5" t="str">
        <f>VLOOKUP(C84,[1]道具配置表!$A:$D,4,FALSE)</f>
        <v>卢卡</v>
      </c>
      <c r="E84" s="17">
        <v>4</v>
      </c>
      <c r="I84" s="20">
        <v>41</v>
      </c>
      <c r="L84" s="17">
        <v>80</v>
      </c>
    </row>
    <row r="85" spans="1:12" s="17" customFormat="1" ht="16.5" customHeight="1" x14ac:dyDescent="0.25">
      <c r="A85" s="16"/>
      <c r="C85" s="14">
        <v>14309</v>
      </c>
      <c r="D85" s="5" t="str">
        <f>VLOOKUP(C85,[1]道具配置表!$A:$D,4,FALSE)</f>
        <v>爱德华多</v>
      </c>
      <c r="E85" s="17">
        <v>4</v>
      </c>
      <c r="I85" s="20">
        <v>41</v>
      </c>
      <c r="L85" s="17">
        <v>81</v>
      </c>
    </row>
    <row r="86" spans="1:12" s="17" customFormat="1" ht="16.5" customHeight="1" x14ac:dyDescent="0.25">
      <c r="A86" s="16"/>
      <c r="C86" s="14">
        <v>14312</v>
      </c>
      <c r="D86" s="5" t="str">
        <f>VLOOKUP(C86,[1]道具配置表!$A:$D,4,FALSE)</f>
        <v>鱼妙妙</v>
      </c>
      <c r="E86" s="17">
        <v>4</v>
      </c>
      <c r="I86" s="20">
        <v>12</v>
      </c>
      <c r="L86" s="17">
        <v>82</v>
      </c>
    </row>
    <row r="87" spans="1:12" s="17" customFormat="1" ht="16.5" customHeight="1" x14ac:dyDescent="0.25">
      <c r="A87" s="16"/>
      <c r="C87" s="14">
        <v>14313</v>
      </c>
      <c r="D87" s="5" t="str">
        <f>VLOOKUP(C87,[1]道具配置表!$A:$D,4,FALSE)</f>
        <v>玛丽夫人</v>
      </c>
      <c r="E87" s="17">
        <v>4</v>
      </c>
      <c r="I87" s="20">
        <v>41</v>
      </c>
      <c r="L87" s="17">
        <v>83</v>
      </c>
    </row>
    <row r="88" spans="1:12" s="17" customFormat="1" ht="16.5" customHeight="1" x14ac:dyDescent="0.25">
      <c r="A88" s="16"/>
      <c r="C88" s="14">
        <v>14314</v>
      </c>
      <c r="D88" s="5" t="str">
        <f>VLOOKUP(C88,[1]道具配置表!$A:$D,4,FALSE)</f>
        <v>琼鸣玉</v>
      </c>
      <c r="E88" s="17">
        <v>4</v>
      </c>
      <c r="I88" s="20">
        <v>300</v>
      </c>
      <c r="L88" s="17">
        <v>84</v>
      </c>
    </row>
    <row r="89" spans="1:12" s="17" customFormat="1" ht="16.5" customHeight="1" x14ac:dyDescent="0.25">
      <c r="A89" s="16"/>
      <c r="C89" s="14">
        <v>14315</v>
      </c>
      <c r="D89" s="5" t="str">
        <f>VLOOKUP(C89,[1]道具配置表!$A:$D,4,FALSE)</f>
        <v>姚清珏</v>
      </c>
      <c r="E89" s="17">
        <v>4</v>
      </c>
      <c r="I89" s="20">
        <v>2</v>
      </c>
      <c r="L89" s="17">
        <v>85</v>
      </c>
    </row>
    <row r="90" spans="1:12" s="17" customFormat="1" ht="16.5" customHeight="1" x14ac:dyDescent="0.25">
      <c r="A90" s="16"/>
      <c r="C90" s="14">
        <v>14316</v>
      </c>
      <c r="D90" s="5" t="str">
        <f>VLOOKUP(C90,[1]道具配置表!$A:$D,4,FALSE)</f>
        <v>姬闾</v>
      </c>
      <c r="E90" s="17">
        <v>4</v>
      </c>
      <c r="I90" s="20">
        <v>41</v>
      </c>
      <c r="L90" s="17">
        <v>86</v>
      </c>
    </row>
    <row r="91" spans="1:12" s="17" customFormat="1" ht="16.5" customHeight="1" x14ac:dyDescent="0.25">
      <c r="A91" s="16"/>
      <c r="C91" s="14">
        <v>14317</v>
      </c>
      <c r="D91" s="5" t="str">
        <f>VLOOKUP(C91,[1]道具配置表!$A:$D,4,FALSE)</f>
        <v>卡多姆</v>
      </c>
      <c r="E91" s="17">
        <v>4</v>
      </c>
      <c r="I91" s="20">
        <v>2</v>
      </c>
      <c r="L91" s="17">
        <v>87</v>
      </c>
    </row>
    <row r="92" spans="1:12" s="17" customFormat="1" ht="16.5" customHeight="1" x14ac:dyDescent="0.25">
      <c r="A92" s="16"/>
      <c r="C92" s="14">
        <v>14318</v>
      </c>
      <c r="D92" s="5" t="str">
        <f>VLOOKUP(C92,[1]道具配置表!$A:$D,4,FALSE)</f>
        <v>巴希斯</v>
      </c>
      <c r="E92" s="17">
        <v>4</v>
      </c>
      <c r="I92" s="20">
        <v>2</v>
      </c>
      <c r="L92" s="17">
        <v>88</v>
      </c>
    </row>
    <row r="93" spans="1:12" s="17" customFormat="1" ht="16.5" customHeight="1" x14ac:dyDescent="0.25">
      <c r="A93" s="16"/>
      <c r="C93" s="14">
        <v>14319</v>
      </c>
      <c r="D93" s="5" t="str">
        <f>VLOOKUP(C93,[1]道具配置表!$A:$D,4,FALSE)</f>
        <v>约恩</v>
      </c>
      <c r="E93" s="17">
        <v>4</v>
      </c>
      <c r="I93" s="20">
        <v>300</v>
      </c>
      <c r="L93" s="17">
        <v>89</v>
      </c>
    </row>
    <row r="94" spans="1:12" s="17" customFormat="1" ht="16.5" customHeight="1" x14ac:dyDescent="0.25">
      <c r="A94" s="16"/>
      <c r="C94" s="14">
        <v>17200</v>
      </c>
      <c r="D94" s="5" t="str">
        <f>VLOOKUP(C94,[1]道具配置表!$A:$D,4,FALSE)</f>
        <v>名人博学值+100</v>
      </c>
      <c r="E94" s="17">
        <v>4</v>
      </c>
      <c r="I94" s="20">
        <v>1000</v>
      </c>
      <c r="L94" s="17">
        <v>90</v>
      </c>
    </row>
    <row r="95" spans="1:12" s="17" customFormat="1" ht="16.5" customHeight="1" x14ac:dyDescent="0.25">
      <c r="A95" s="16"/>
      <c r="C95" s="14">
        <v>14101</v>
      </c>
      <c r="D95" s="5" t="str">
        <f>VLOOKUP(C95,[1]道具配置表!$A:$D,4,FALSE)</f>
        <v>陆芊岚</v>
      </c>
      <c r="E95" s="17">
        <v>10</v>
      </c>
      <c r="I95" s="20">
        <v>6</v>
      </c>
      <c r="L95" s="17">
        <v>91</v>
      </c>
    </row>
    <row r="96" spans="1:12" s="17" customFormat="1" ht="16.5" customHeight="1" x14ac:dyDescent="0.25">
      <c r="A96" s="16"/>
      <c r="C96" s="14">
        <v>14105</v>
      </c>
      <c r="D96" s="5" t="str">
        <f>VLOOKUP(C96,[1]道具配置表!$A:$D,4,FALSE)</f>
        <v>顾盼儿</v>
      </c>
      <c r="E96" s="17">
        <v>10</v>
      </c>
      <c r="I96" s="20">
        <v>6</v>
      </c>
      <c r="L96" s="17">
        <v>92</v>
      </c>
    </row>
    <row r="97" spans="1:12" s="17" customFormat="1" ht="16.5" customHeight="1" x14ac:dyDescent="0.25">
      <c r="A97" s="16"/>
      <c r="C97" s="14">
        <v>14106</v>
      </c>
      <c r="D97" s="5" t="str">
        <f>VLOOKUP(C97,[1]道具配置表!$A:$D,4,FALSE)</f>
        <v>穆离</v>
      </c>
      <c r="E97" s="17">
        <v>10</v>
      </c>
      <c r="I97" s="20">
        <v>6</v>
      </c>
      <c r="L97" s="17">
        <v>93</v>
      </c>
    </row>
    <row r="98" spans="1:12" s="17" customFormat="1" ht="16.5" customHeight="1" x14ac:dyDescent="0.25">
      <c r="A98" s="16"/>
      <c r="C98" s="14">
        <v>14107</v>
      </c>
      <c r="D98" s="5" t="str">
        <f>VLOOKUP(C98,[1]道具配置表!$A:$D,4,FALSE)</f>
        <v>伊丽莎白</v>
      </c>
      <c r="E98" s="17">
        <v>10</v>
      </c>
      <c r="I98" s="20">
        <v>6</v>
      </c>
      <c r="L98" s="17">
        <v>94</v>
      </c>
    </row>
    <row r="99" spans="1:12" s="17" customFormat="1" ht="16.5" customHeight="1" x14ac:dyDescent="0.25">
      <c r="A99" s="16"/>
      <c r="C99" s="14">
        <v>14108</v>
      </c>
      <c r="D99" s="5" t="str">
        <f>VLOOKUP(C99,[1]道具配置表!$A:$D,4,FALSE)</f>
        <v>娜娜丽</v>
      </c>
      <c r="E99" s="17">
        <v>10</v>
      </c>
      <c r="I99" s="20">
        <v>150</v>
      </c>
      <c r="L99" s="17">
        <v>95</v>
      </c>
    </row>
    <row r="100" spans="1:12" s="17" customFormat="1" ht="16.5" customHeight="1" x14ac:dyDescent="0.25">
      <c r="A100" s="16"/>
      <c r="C100" s="14">
        <v>14109</v>
      </c>
      <c r="D100" s="5" t="str">
        <f>VLOOKUP(C100,[1]道具配置表!$A:$D,4,FALSE)</f>
        <v>埃托雷</v>
      </c>
      <c r="E100" s="17">
        <v>10</v>
      </c>
      <c r="I100" s="20">
        <v>20</v>
      </c>
      <c r="L100" s="17">
        <v>96</v>
      </c>
    </row>
    <row r="101" spans="1:12" s="17" customFormat="1" ht="16.5" customHeight="1" x14ac:dyDescent="0.25">
      <c r="A101" s="16"/>
      <c r="C101" s="14">
        <v>14201</v>
      </c>
      <c r="D101" s="5" t="str">
        <f>VLOOKUP(C101,[1]道具配置表!$A:$D,4,FALSE)</f>
        <v>维托里奥</v>
      </c>
      <c r="E101" s="17">
        <v>10</v>
      </c>
      <c r="I101" s="20">
        <v>6</v>
      </c>
      <c r="L101" s="17">
        <v>97</v>
      </c>
    </row>
    <row r="102" spans="1:12" s="17" customFormat="1" ht="16.5" customHeight="1" x14ac:dyDescent="0.25">
      <c r="A102" s="16"/>
      <c r="C102" s="14">
        <v>14202</v>
      </c>
      <c r="D102" s="5" t="str">
        <f>VLOOKUP(C102,[1]道具配置表!$A:$D,4,FALSE)</f>
        <v>苏安</v>
      </c>
      <c r="E102" s="17">
        <v>10</v>
      </c>
      <c r="I102" s="20">
        <v>20</v>
      </c>
      <c r="L102" s="17">
        <v>98</v>
      </c>
    </row>
    <row r="103" spans="1:12" s="17" customFormat="1" ht="16.5" customHeight="1" x14ac:dyDescent="0.25">
      <c r="A103" s="16"/>
      <c r="C103" s="14">
        <v>14203</v>
      </c>
      <c r="D103" s="5" t="str">
        <f>VLOOKUP(C103,[1]道具配置表!$A:$D,4,FALSE)</f>
        <v>范文定</v>
      </c>
      <c r="E103" s="17">
        <v>10</v>
      </c>
      <c r="I103" s="20">
        <v>1</v>
      </c>
      <c r="L103" s="17">
        <v>99</v>
      </c>
    </row>
    <row r="104" spans="1:12" s="17" customFormat="1" ht="16.5" customHeight="1" x14ac:dyDescent="0.25">
      <c r="A104" s="16"/>
      <c r="C104" s="14">
        <v>14204</v>
      </c>
      <c r="D104" s="5" t="str">
        <f>VLOOKUP(C104,[1]道具配置表!$A:$D,4,FALSE)</f>
        <v>亚历山德罗</v>
      </c>
      <c r="E104" s="17">
        <v>10</v>
      </c>
      <c r="I104" s="20">
        <v>1</v>
      </c>
      <c r="L104" s="17">
        <v>100</v>
      </c>
    </row>
    <row r="105" spans="1:12" s="17" customFormat="1" ht="16.5" customHeight="1" x14ac:dyDescent="0.25">
      <c r="A105" s="16"/>
      <c r="C105" s="14">
        <v>14206</v>
      </c>
      <c r="D105" s="5" t="str">
        <f>VLOOKUP(C105,[1]道具配置表!$A:$D,4,FALSE)</f>
        <v>杜若</v>
      </c>
      <c r="E105" s="17">
        <v>10</v>
      </c>
      <c r="I105" s="20">
        <v>1</v>
      </c>
      <c r="L105" s="17">
        <v>101</v>
      </c>
    </row>
    <row r="106" spans="1:12" s="17" customFormat="1" ht="16.5" customHeight="1" x14ac:dyDescent="0.25">
      <c r="A106" s="16"/>
      <c r="C106" s="14">
        <v>14207</v>
      </c>
      <c r="D106" s="5" t="str">
        <f>VLOOKUP(C106,[1]道具配置表!$A:$D,4,FALSE)</f>
        <v>艾洛缇丝</v>
      </c>
      <c r="E106" s="17">
        <v>10</v>
      </c>
      <c r="I106" s="20">
        <v>150</v>
      </c>
      <c r="L106" s="17">
        <v>102</v>
      </c>
    </row>
    <row r="107" spans="1:12" s="17" customFormat="1" ht="16.5" customHeight="1" x14ac:dyDescent="0.25">
      <c r="A107" s="16"/>
      <c r="C107" s="14">
        <v>14301</v>
      </c>
      <c r="D107" s="5" t="str">
        <f>VLOOKUP(C107,[1]道具配置表!$A:$D,4,FALSE)</f>
        <v>梅芙</v>
      </c>
      <c r="E107" s="17">
        <v>10</v>
      </c>
      <c r="I107" s="20">
        <v>150</v>
      </c>
      <c r="L107" s="17">
        <v>103</v>
      </c>
    </row>
    <row r="108" spans="1:12" s="17" customFormat="1" ht="16.5" customHeight="1" x14ac:dyDescent="0.25">
      <c r="A108" s="16"/>
      <c r="C108" s="14">
        <v>14302</v>
      </c>
      <c r="D108" s="5" t="str">
        <f>VLOOKUP(C108,[1]道具配置表!$A:$D,4,FALSE)</f>
        <v>卡尔维斯</v>
      </c>
      <c r="E108" s="17">
        <v>10</v>
      </c>
      <c r="I108" s="20">
        <v>20</v>
      </c>
      <c r="L108" s="17">
        <v>104</v>
      </c>
    </row>
    <row r="109" spans="1:12" s="17" customFormat="1" ht="16.5" customHeight="1" x14ac:dyDescent="0.25">
      <c r="A109" s="16"/>
      <c r="C109" s="14">
        <v>14303</v>
      </c>
      <c r="D109" s="5" t="str">
        <f>VLOOKUP(C109,[1]道具配置表!$A:$D,4,FALSE)</f>
        <v>霍尔格</v>
      </c>
      <c r="E109" s="17">
        <v>10</v>
      </c>
      <c r="I109" s="20">
        <v>20</v>
      </c>
      <c r="L109" s="17">
        <v>105</v>
      </c>
    </row>
    <row r="110" spans="1:12" s="17" customFormat="1" ht="16.5" customHeight="1" x14ac:dyDescent="0.25">
      <c r="A110" s="16"/>
      <c r="C110" s="14">
        <v>14304</v>
      </c>
      <c r="D110" s="5" t="str">
        <f>VLOOKUP(C110,[1]道具配置表!$A:$D,4,FALSE)</f>
        <v>沐南风</v>
      </c>
      <c r="E110" s="17">
        <v>10</v>
      </c>
      <c r="I110" s="20">
        <v>20</v>
      </c>
      <c r="L110" s="17">
        <v>106</v>
      </c>
    </row>
    <row r="111" spans="1:12" s="17" customFormat="1" ht="16.5" customHeight="1" x14ac:dyDescent="0.25">
      <c r="A111" s="16"/>
      <c r="C111" s="14">
        <v>14305</v>
      </c>
      <c r="D111" s="5" t="str">
        <f>VLOOKUP(C111,[1]道具配置表!$A:$D,4,FALSE)</f>
        <v>拉维妮娅</v>
      </c>
      <c r="E111" s="17">
        <v>10</v>
      </c>
      <c r="I111" s="20">
        <v>20</v>
      </c>
      <c r="L111" s="17">
        <v>107</v>
      </c>
    </row>
    <row r="112" spans="1:12" s="17" customFormat="1" ht="16.5" customHeight="1" x14ac:dyDescent="0.25">
      <c r="A112" s="16"/>
      <c r="C112" s="14">
        <v>14306</v>
      </c>
      <c r="D112" s="5" t="str">
        <f>VLOOKUP(C112,[1]道具配置表!$A:$D,4,FALSE)</f>
        <v>杰拉尔德</v>
      </c>
      <c r="E112" s="17">
        <v>10</v>
      </c>
      <c r="I112" s="20">
        <v>20</v>
      </c>
      <c r="L112" s="17">
        <v>108</v>
      </c>
    </row>
    <row r="113" spans="1:12" s="17" customFormat="1" ht="16.5" customHeight="1" x14ac:dyDescent="0.25">
      <c r="A113" s="16"/>
      <c r="C113" s="14">
        <v>14307</v>
      </c>
      <c r="D113" s="5" t="str">
        <f>VLOOKUP(C113,[1]道具配置表!$A:$D,4,FALSE)</f>
        <v>元元公主</v>
      </c>
      <c r="E113" s="17">
        <v>10</v>
      </c>
      <c r="I113" s="20">
        <v>20</v>
      </c>
      <c r="L113" s="17">
        <v>109</v>
      </c>
    </row>
    <row r="114" spans="1:12" s="17" customFormat="1" ht="16.5" customHeight="1" x14ac:dyDescent="0.25">
      <c r="A114" s="16"/>
      <c r="C114" s="14">
        <v>14308</v>
      </c>
      <c r="D114" s="5" t="str">
        <f>VLOOKUP(C114,[1]道具配置表!$A:$D,4,FALSE)</f>
        <v>卢卡</v>
      </c>
      <c r="E114" s="17">
        <v>10</v>
      </c>
      <c r="I114" s="20">
        <v>20</v>
      </c>
      <c r="L114" s="17">
        <v>110</v>
      </c>
    </row>
    <row r="115" spans="1:12" s="17" customFormat="1" ht="16.5" customHeight="1" x14ac:dyDescent="0.25">
      <c r="A115" s="16"/>
      <c r="C115" s="14">
        <v>14309</v>
      </c>
      <c r="D115" s="5" t="str">
        <f>VLOOKUP(C115,[1]道具配置表!$A:$D,4,FALSE)</f>
        <v>爱德华多</v>
      </c>
      <c r="E115" s="17">
        <v>10</v>
      </c>
      <c r="I115" s="20">
        <v>20</v>
      </c>
      <c r="L115" s="17">
        <v>111</v>
      </c>
    </row>
    <row r="116" spans="1:12" s="17" customFormat="1" ht="16.5" customHeight="1" x14ac:dyDescent="0.25">
      <c r="A116" s="16"/>
      <c r="C116" s="14">
        <v>14312</v>
      </c>
      <c r="D116" s="5" t="str">
        <f>VLOOKUP(C116,[1]道具配置表!$A:$D,4,FALSE)</f>
        <v>鱼妙妙</v>
      </c>
      <c r="E116" s="17">
        <v>10</v>
      </c>
      <c r="I116" s="20">
        <v>6</v>
      </c>
      <c r="L116" s="17">
        <v>112</v>
      </c>
    </row>
    <row r="117" spans="1:12" s="17" customFormat="1" ht="16.5" customHeight="1" x14ac:dyDescent="0.25">
      <c r="A117" s="16"/>
      <c r="C117" s="14">
        <v>14313</v>
      </c>
      <c r="D117" s="5" t="str">
        <f>VLOOKUP(C117,[1]道具配置表!$A:$D,4,FALSE)</f>
        <v>玛丽夫人</v>
      </c>
      <c r="E117" s="17">
        <v>10</v>
      </c>
      <c r="I117" s="20">
        <v>20</v>
      </c>
      <c r="L117" s="17">
        <v>113</v>
      </c>
    </row>
    <row r="118" spans="1:12" s="17" customFormat="1" ht="16.5" customHeight="1" x14ac:dyDescent="0.25">
      <c r="A118" s="16"/>
      <c r="C118" s="14">
        <v>14314</v>
      </c>
      <c r="D118" s="5" t="str">
        <f>VLOOKUP(C118,[1]道具配置表!$A:$D,4,FALSE)</f>
        <v>琼鸣玉</v>
      </c>
      <c r="E118" s="17">
        <v>10</v>
      </c>
      <c r="I118" s="20">
        <v>150</v>
      </c>
      <c r="L118" s="17">
        <v>114</v>
      </c>
    </row>
    <row r="119" spans="1:12" s="17" customFormat="1" ht="16.5" customHeight="1" x14ac:dyDescent="0.25">
      <c r="A119" s="16"/>
      <c r="C119" s="14">
        <v>14315</v>
      </c>
      <c r="D119" s="5" t="str">
        <f>VLOOKUP(C119,[1]道具配置表!$A:$D,4,FALSE)</f>
        <v>姚清珏</v>
      </c>
      <c r="E119" s="17">
        <v>10</v>
      </c>
      <c r="I119" s="20">
        <v>1</v>
      </c>
      <c r="L119" s="17">
        <v>115</v>
      </c>
    </row>
    <row r="120" spans="1:12" s="17" customFormat="1" ht="16.5" customHeight="1" x14ac:dyDescent="0.25">
      <c r="A120" s="16"/>
      <c r="C120" s="14">
        <v>14316</v>
      </c>
      <c r="D120" s="5" t="str">
        <f>VLOOKUP(C120,[1]道具配置表!$A:$D,4,FALSE)</f>
        <v>姬闾</v>
      </c>
      <c r="E120" s="17">
        <v>10</v>
      </c>
      <c r="I120" s="20">
        <v>20</v>
      </c>
      <c r="L120" s="17">
        <v>116</v>
      </c>
    </row>
    <row r="121" spans="1:12" s="17" customFormat="1" ht="16.5" customHeight="1" x14ac:dyDescent="0.25">
      <c r="A121" s="16"/>
      <c r="C121" s="14">
        <v>14317</v>
      </c>
      <c r="D121" s="5" t="str">
        <f>VLOOKUP(C121,[1]道具配置表!$A:$D,4,FALSE)</f>
        <v>卡多姆</v>
      </c>
      <c r="E121" s="17">
        <v>10</v>
      </c>
      <c r="I121" s="20">
        <v>1</v>
      </c>
      <c r="L121" s="17">
        <v>117</v>
      </c>
    </row>
    <row r="122" spans="1:12" s="17" customFormat="1" ht="16.5" customHeight="1" x14ac:dyDescent="0.25">
      <c r="A122" s="16"/>
      <c r="C122" s="14">
        <v>14318</v>
      </c>
      <c r="D122" s="5" t="str">
        <f>VLOOKUP(C122,[1]道具配置表!$A:$D,4,FALSE)</f>
        <v>巴希斯</v>
      </c>
      <c r="E122" s="17">
        <v>10</v>
      </c>
      <c r="I122" s="20">
        <v>1</v>
      </c>
      <c r="L122" s="17">
        <v>118</v>
      </c>
    </row>
    <row r="123" spans="1:12" s="17" customFormat="1" ht="16.5" customHeight="1" x14ac:dyDescent="0.25">
      <c r="A123" s="16"/>
      <c r="C123" s="14">
        <v>14319</v>
      </c>
      <c r="D123" s="5" t="str">
        <f>VLOOKUP(C123,[1]道具配置表!$A:$D,4,FALSE)</f>
        <v>约恩</v>
      </c>
      <c r="E123" s="17">
        <v>10</v>
      </c>
      <c r="I123" s="20">
        <v>150</v>
      </c>
      <c r="L123" s="17">
        <v>119</v>
      </c>
    </row>
    <row r="124" spans="1:12" s="17" customFormat="1" ht="16.5" customHeight="1" x14ac:dyDescent="0.25">
      <c r="A124" s="16"/>
      <c r="C124" s="14">
        <v>17200</v>
      </c>
      <c r="D124" s="5" t="str">
        <f>VLOOKUP(C124,[1]道具配置表!$A:$D,4,FALSE)</f>
        <v>名人博学值+100</v>
      </c>
      <c r="E124" s="17">
        <v>10</v>
      </c>
      <c r="I124" s="20">
        <v>500</v>
      </c>
      <c r="L124" s="17">
        <v>120</v>
      </c>
    </row>
    <row r="125" spans="1:12" ht="16.5" customHeight="1" x14ac:dyDescent="0.25">
      <c r="A125" s="11">
        <v>1800113</v>
      </c>
      <c r="B125" s="18" t="s">
        <v>26</v>
      </c>
      <c r="C125" s="5">
        <v>14107</v>
      </c>
      <c r="D125" s="5" t="str">
        <f>VLOOKUP(C125,[1]道具配置表!$A:$D,4,FALSE)</f>
        <v>伊丽莎白</v>
      </c>
      <c r="E125" s="5">
        <v>1</v>
      </c>
      <c r="F125" s="5">
        <v>1</v>
      </c>
      <c r="G125" s="5">
        <v>1</v>
      </c>
      <c r="I125" s="19">
        <v>10000</v>
      </c>
      <c r="L125" s="5">
        <v>16</v>
      </c>
    </row>
    <row r="126" spans="1:12" ht="16.5" customHeight="1" x14ac:dyDescent="0.25">
      <c r="A126" s="11">
        <v>1800114</v>
      </c>
      <c r="B126" s="12" t="s">
        <v>26</v>
      </c>
      <c r="C126" s="5">
        <v>14107</v>
      </c>
      <c r="D126" s="5" t="str">
        <f>VLOOKUP(C126,[1]道具配置表!$A:$D,4,FALSE)</f>
        <v>伊丽莎白</v>
      </c>
      <c r="E126" s="5">
        <v>5</v>
      </c>
      <c r="F126" s="5">
        <v>1</v>
      </c>
      <c r="G126" s="5">
        <v>1</v>
      </c>
      <c r="I126" s="19">
        <v>10000</v>
      </c>
      <c r="L126" s="5">
        <v>17</v>
      </c>
    </row>
    <row r="127" spans="1:12" ht="16.5" customHeight="1" x14ac:dyDescent="0.25">
      <c r="A127" s="11">
        <v>1800115</v>
      </c>
      <c r="B127" s="12" t="s">
        <v>26</v>
      </c>
      <c r="C127" s="5">
        <v>14107</v>
      </c>
      <c r="D127" s="5" t="str">
        <f>VLOOKUP(C127,[1]道具配置表!$A:$D,4,FALSE)</f>
        <v>伊丽莎白</v>
      </c>
      <c r="E127" s="5">
        <v>10</v>
      </c>
      <c r="F127" s="5">
        <v>1</v>
      </c>
      <c r="G127" s="5">
        <v>1</v>
      </c>
      <c r="I127" s="19">
        <v>10000</v>
      </c>
      <c r="L127" s="5">
        <v>18</v>
      </c>
    </row>
    <row r="128" spans="1:12" ht="16.5" customHeight="1" x14ac:dyDescent="0.25">
      <c r="A128" s="11">
        <v>1800116</v>
      </c>
      <c r="B128" s="12" t="s">
        <v>26</v>
      </c>
      <c r="C128" s="5">
        <v>14107</v>
      </c>
      <c r="D128" s="5" t="str">
        <f>VLOOKUP(C128,[1]道具配置表!$A:$D,4,FALSE)</f>
        <v>伊丽莎白</v>
      </c>
      <c r="E128" s="5">
        <v>20</v>
      </c>
      <c r="F128" s="5">
        <v>1</v>
      </c>
      <c r="G128" s="5">
        <v>1</v>
      </c>
      <c r="I128" s="19">
        <v>10000</v>
      </c>
      <c r="L128" s="5">
        <v>19</v>
      </c>
    </row>
    <row r="129" spans="1:14" ht="16.5" customHeight="1" x14ac:dyDescent="0.25">
      <c r="B129" s="12"/>
    </row>
    <row r="130" spans="1:14" ht="16.5" customHeight="1" x14ac:dyDescent="0.25">
      <c r="B130" s="12"/>
    </row>
    <row r="131" spans="1:14" ht="16.5" customHeight="1" x14ac:dyDescent="0.45">
      <c r="A131" s="32">
        <v>1811001</v>
      </c>
      <c r="B131" s="33" t="s">
        <v>128</v>
      </c>
      <c r="C131" s="34">
        <v>64001</v>
      </c>
      <c r="D131" s="34" t="s">
        <v>75</v>
      </c>
      <c r="E131" s="35">
        <v>200</v>
      </c>
      <c r="F131" s="35">
        <v>5</v>
      </c>
      <c r="G131" s="35">
        <v>5</v>
      </c>
      <c r="H131" s="33"/>
      <c r="I131" s="35">
        <v>10000</v>
      </c>
      <c r="J131" s="33"/>
      <c r="K131" s="33"/>
      <c r="L131" s="33" t="b">
        <v>1</v>
      </c>
      <c r="M131" s="33"/>
      <c r="N131" s="33"/>
    </row>
    <row r="132" spans="1:14" ht="16.5" customHeight="1" x14ac:dyDescent="0.45">
      <c r="A132" s="33"/>
      <c r="B132" s="33"/>
      <c r="C132" s="34">
        <v>7228</v>
      </c>
      <c r="D132" s="34" t="s">
        <v>76</v>
      </c>
      <c r="E132" s="35">
        <v>5</v>
      </c>
      <c r="F132" s="35"/>
      <c r="G132" s="35"/>
      <c r="H132" s="33"/>
      <c r="I132" s="35">
        <v>10000</v>
      </c>
      <c r="J132" s="33"/>
      <c r="K132" s="33"/>
      <c r="L132" s="33" t="b">
        <v>1</v>
      </c>
      <c r="M132" s="33"/>
      <c r="N132" s="33"/>
    </row>
    <row r="133" spans="1:14" ht="16.5" customHeight="1" x14ac:dyDescent="0.45">
      <c r="A133" s="33"/>
      <c r="B133" s="33"/>
      <c r="C133" s="27">
        <v>2065</v>
      </c>
      <c r="D133" s="34" t="s">
        <v>134</v>
      </c>
      <c r="E133" s="35">
        <v>1</v>
      </c>
      <c r="F133" s="35"/>
      <c r="G133" s="35"/>
      <c r="H133" s="33"/>
      <c r="I133" s="35">
        <v>10000</v>
      </c>
      <c r="J133" s="33"/>
      <c r="K133" s="33"/>
      <c r="L133" s="33" t="b">
        <v>1</v>
      </c>
      <c r="M133" s="33"/>
      <c r="N133" s="33"/>
    </row>
    <row r="134" spans="1:14" ht="16.5" customHeight="1" x14ac:dyDescent="0.45">
      <c r="A134" s="33"/>
      <c r="B134" s="33"/>
      <c r="C134" s="34">
        <v>6999</v>
      </c>
      <c r="D134" s="34" t="s">
        <v>135</v>
      </c>
      <c r="E134" s="35">
        <v>500</v>
      </c>
      <c r="F134" s="35"/>
      <c r="G134" s="35"/>
      <c r="H134" s="33"/>
      <c r="I134" s="35">
        <v>10000</v>
      </c>
      <c r="J134" s="33"/>
      <c r="K134" s="33"/>
      <c r="L134" s="33" t="b">
        <v>1</v>
      </c>
      <c r="M134" s="33"/>
      <c r="N134" s="33"/>
    </row>
    <row r="135" spans="1:14" ht="16.5" customHeight="1" x14ac:dyDescent="0.45">
      <c r="A135" s="33"/>
      <c r="B135" s="33"/>
      <c r="C135" s="34">
        <v>49603</v>
      </c>
      <c r="D135" s="34" t="s">
        <v>73</v>
      </c>
      <c r="E135" s="35">
        <v>5</v>
      </c>
      <c r="F135" s="35"/>
      <c r="G135" s="35"/>
      <c r="H135" s="33"/>
      <c r="I135" s="35">
        <v>10000</v>
      </c>
      <c r="J135" s="33"/>
      <c r="K135" s="33"/>
      <c r="L135" s="33" t="b">
        <v>1</v>
      </c>
      <c r="M135" s="33"/>
      <c r="N135" s="33"/>
    </row>
    <row r="136" spans="1:14" ht="16.5" customHeight="1" x14ac:dyDescent="0.45">
      <c r="A136" s="32">
        <v>1811002</v>
      </c>
      <c r="B136" s="33" t="s">
        <v>129</v>
      </c>
      <c r="C136" s="34">
        <v>64001</v>
      </c>
      <c r="D136" s="34" t="s">
        <v>75</v>
      </c>
      <c r="E136" s="35">
        <v>500</v>
      </c>
      <c r="F136" s="35">
        <v>5</v>
      </c>
      <c r="G136" s="35">
        <v>5</v>
      </c>
      <c r="H136" s="33"/>
      <c r="I136" s="35">
        <v>10000</v>
      </c>
      <c r="J136" s="33"/>
      <c r="K136" s="33"/>
      <c r="L136" s="33" t="b">
        <v>1</v>
      </c>
      <c r="M136" s="33"/>
      <c r="N136" s="33"/>
    </row>
    <row r="137" spans="1:14" ht="16.5" customHeight="1" x14ac:dyDescent="0.45">
      <c r="A137" s="33"/>
      <c r="B137" s="33"/>
      <c r="C137" s="34">
        <v>7228</v>
      </c>
      <c r="D137" s="34" t="s">
        <v>76</v>
      </c>
      <c r="E137" s="35">
        <v>5</v>
      </c>
      <c r="F137" s="35"/>
      <c r="G137" s="35"/>
      <c r="H137" s="33"/>
      <c r="I137" s="35">
        <v>10000</v>
      </c>
      <c r="J137" s="33"/>
      <c r="K137" s="33"/>
      <c r="L137" s="33" t="b">
        <v>1</v>
      </c>
      <c r="M137" s="33"/>
      <c r="N137" s="33"/>
    </row>
    <row r="138" spans="1:14" ht="16.5" customHeight="1" x14ac:dyDescent="0.45">
      <c r="A138" s="33"/>
      <c r="B138" s="33"/>
      <c r="C138" s="27">
        <v>2065</v>
      </c>
      <c r="D138" s="34" t="s">
        <v>134</v>
      </c>
      <c r="E138" s="35">
        <v>1</v>
      </c>
      <c r="F138" s="35"/>
      <c r="G138" s="35"/>
      <c r="H138" s="33"/>
      <c r="I138" s="35">
        <v>10000</v>
      </c>
      <c r="J138" s="33"/>
      <c r="K138" s="33"/>
      <c r="L138" s="33" t="b">
        <v>1</v>
      </c>
      <c r="M138" s="33"/>
      <c r="N138" s="33"/>
    </row>
    <row r="139" spans="1:14" ht="16.5" customHeight="1" x14ac:dyDescent="0.45">
      <c r="A139" s="33"/>
      <c r="B139" s="33"/>
      <c r="C139" s="34">
        <v>6999</v>
      </c>
      <c r="D139" s="34" t="s">
        <v>135</v>
      </c>
      <c r="E139" s="35">
        <v>2500</v>
      </c>
      <c r="F139" s="35"/>
      <c r="G139" s="35"/>
      <c r="H139" s="33"/>
      <c r="I139" s="35">
        <v>10000</v>
      </c>
      <c r="J139" s="33"/>
      <c r="K139" s="33"/>
      <c r="L139" s="33" t="b">
        <v>1</v>
      </c>
      <c r="M139" s="33"/>
      <c r="N139" s="33"/>
    </row>
    <row r="140" spans="1:14" ht="16.5" customHeight="1" x14ac:dyDescent="0.45">
      <c r="A140" s="33"/>
      <c r="B140" s="33"/>
      <c r="C140" s="34">
        <v>49603</v>
      </c>
      <c r="D140" s="34" t="s">
        <v>73</v>
      </c>
      <c r="E140" s="35">
        <v>25</v>
      </c>
      <c r="F140" s="35"/>
      <c r="G140" s="35"/>
      <c r="H140" s="33"/>
      <c r="I140" s="35">
        <v>10000</v>
      </c>
      <c r="J140" s="33"/>
      <c r="K140" s="33"/>
      <c r="L140" s="33" t="b">
        <v>1</v>
      </c>
      <c r="M140" s="33"/>
      <c r="N140" s="33"/>
    </row>
    <row r="141" spans="1:14" ht="16.5" customHeight="1" x14ac:dyDescent="0.45">
      <c r="A141" s="32">
        <v>1811003</v>
      </c>
      <c r="B141" s="33" t="s">
        <v>130</v>
      </c>
      <c r="C141" s="34">
        <v>64001</v>
      </c>
      <c r="D141" s="34" t="s">
        <v>75</v>
      </c>
      <c r="E141" s="35">
        <v>800</v>
      </c>
      <c r="F141" s="35">
        <v>5</v>
      </c>
      <c r="G141" s="35">
        <v>5</v>
      </c>
      <c r="H141" s="33"/>
      <c r="I141" s="35">
        <v>10000</v>
      </c>
      <c r="J141" s="33"/>
      <c r="K141" s="33"/>
      <c r="L141" s="33" t="b">
        <v>1</v>
      </c>
      <c r="M141" s="33"/>
      <c r="N141" s="33"/>
    </row>
    <row r="142" spans="1:14" ht="16.5" customHeight="1" x14ac:dyDescent="0.45">
      <c r="A142" s="33"/>
      <c r="B142" s="33"/>
      <c r="C142" s="34">
        <v>7228</v>
      </c>
      <c r="D142" s="34" t="s">
        <v>76</v>
      </c>
      <c r="E142" s="35">
        <v>5</v>
      </c>
      <c r="F142" s="35"/>
      <c r="G142" s="35"/>
      <c r="H142" s="33"/>
      <c r="I142" s="35">
        <v>10000</v>
      </c>
      <c r="J142" s="33"/>
      <c r="K142" s="33"/>
      <c r="L142" s="33" t="b">
        <v>1</v>
      </c>
      <c r="M142" s="33"/>
      <c r="N142" s="33"/>
    </row>
    <row r="143" spans="1:14" ht="16.5" customHeight="1" x14ac:dyDescent="0.45">
      <c r="A143" s="33"/>
      <c r="B143" s="33"/>
      <c r="C143" s="27">
        <v>2065</v>
      </c>
      <c r="D143" s="34" t="s">
        <v>134</v>
      </c>
      <c r="E143" s="35">
        <v>1</v>
      </c>
      <c r="F143" s="35"/>
      <c r="G143" s="35"/>
      <c r="H143" s="33"/>
      <c r="I143" s="35">
        <v>10000</v>
      </c>
      <c r="J143" s="33"/>
      <c r="K143" s="33"/>
      <c r="L143" s="33" t="b">
        <v>1</v>
      </c>
      <c r="M143" s="33"/>
      <c r="N143" s="33"/>
    </row>
    <row r="144" spans="1:14" ht="16.5" customHeight="1" x14ac:dyDescent="0.45">
      <c r="A144" s="33"/>
      <c r="B144" s="33"/>
      <c r="C144" s="34">
        <v>6999</v>
      </c>
      <c r="D144" s="34" t="s">
        <v>135</v>
      </c>
      <c r="E144" s="35">
        <v>5000</v>
      </c>
      <c r="F144" s="35"/>
      <c r="G144" s="35"/>
      <c r="H144" s="33"/>
      <c r="I144" s="35">
        <v>10000</v>
      </c>
      <c r="J144" s="33"/>
      <c r="K144" s="33"/>
      <c r="L144" s="33" t="b">
        <v>1</v>
      </c>
      <c r="M144" s="33"/>
      <c r="N144" s="33"/>
    </row>
    <row r="145" spans="1:14" ht="16.5" customHeight="1" x14ac:dyDescent="0.45">
      <c r="A145" s="33"/>
      <c r="B145" s="33"/>
      <c r="C145" s="34">
        <v>49603</v>
      </c>
      <c r="D145" s="34" t="s">
        <v>73</v>
      </c>
      <c r="E145" s="35">
        <v>50</v>
      </c>
      <c r="F145" s="35"/>
      <c r="G145" s="35"/>
      <c r="H145" s="33"/>
      <c r="I145" s="35">
        <v>10000</v>
      </c>
      <c r="J145" s="33"/>
      <c r="K145" s="33"/>
      <c r="L145" s="33" t="b">
        <v>1</v>
      </c>
      <c r="M145" s="33"/>
      <c r="N145" s="33"/>
    </row>
    <row r="146" spans="1:14" ht="16.5" customHeight="1" x14ac:dyDescent="0.45">
      <c r="A146" s="32">
        <v>1811004</v>
      </c>
      <c r="B146" s="33" t="s">
        <v>131</v>
      </c>
      <c r="C146" s="34">
        <v>64001</v>
      </c>
      <c r="D146" s="34" t="s">
        <v>75</v>
      </c>
      <c r="E146" s="35">
        <v>1000</v>
      </c>
      <c r="F146" s="35">
        <v>5</v>
      </c>
      <c r="G146" s="35">
        <v>5</v>
      </c>
      <c r="H146" s="33"/>
      <c r="I146" s="35">
        <v>10000</v>
      </c>
      <c r="J146" s="33"/>
      <c r="K146" s="33"/>
      <c r="L146" s="33" t="b">
        <v>1</v>
      </c>
      <c r="M146" s="33"/>
      <c r="N146" s="33"/>
    </row>
    <row r="147" spans="1:14" ht="16.5" customHeight="1" x14ac:dyDescent="0.45">
      <c r="A147" s="33"/>
      <c r="B147" s="33"/>
      <c r="C147" s="34">
        <v>7228</v>
      </c>
      <c r="D147" s="34" t="s">
        <v>76</v>
      </c>
      <c r="E147" s="35">
        <v>10</v>
      </c>
      <c r="F147" s="35"/>
      <c r="G147" s="35"/>
      <c r="H147" s="33"/>
      <c r="I147" s="35">
        <v>10000</v>
      </c>
      <c r="J147" s="33"/>
      <c r="K147" s="33"/>
      <c r="L147" s="33" t="b">
        <v>1</v>
      </c>
      <c r="M147" s="33"/>
      <c r="N147" s="33"/>
    </row>
    <row r="148" spans="1:14" ht="16.5" customHeight="1" x14ac:dyDescent="0.45">
      <c r="A148" s="33"/>
      <c r="B148" s="33"/>
      <c r="C148" s="27">
        <v>2065</v>
      </c>
      <c r="D148" s="34" t="s">
        <v>134</v>
      </c>
      <c r="E148" s="35">
        <v>2</v>
      </c>
      <c r="F148" s="35"/>
      <c r="G148" s="35"/>
      <c r="H148" s="33"/>
      <c r="I148" s="35">
        <v>10000</v>
      </c>
      <c r="J148" s="33"/>
      <c r="K148" s="33"/>
      <c r="L148" s="33" t="b">
        <v>1</v>
      </c>
      <c r="M148" s="33"/>
      <c r="N148" s="33"/>
    </row>
    <row r="149" spans="1:14" ht="16.5" customHeight="1" x14ac:dyDescent="0.45">
      <c r="A149" s="33"/>
      <c r="B149" s="33"/>
      <c r="C149" s="34">
        <v>6999</v>
      </c>
      <c r="D149" s="34" t="s">
        <v>135</v>
      </c>
      <c r="E149" s="35">
        <v>10000</v>
      </c>
      <c r="F149" s="35"/>
      <c r="G149" s="35"/>
      <c r="H149" s="33"/>
      <c r="I149" s="35">
        <v>10000</v>
      </c>
      <c r="J149" s="33"/>
      <c r="K149" s="33"/>
      <c r="L149" s="33" t="b">
        <v>1</v>
      </c>
      <c r="M149" s="33"/>
      <c r="N149" s="33"/>
    </row>
    <row r="150" spans="1:14" ht="16.5" customHeight="1" x14ac:dyDescent="0.45">
      <c r="A150" s="33"/>
      <c r="B150" s="33"/>
      <c r="C150" s="34">
        <v>49603</v>
      </c>
      <c r="D150" s="34" t="s">
        <v>73</v>
      </c>
      <c r="E150" s="35">
        <v>100</v>
      </c>
      <c r="F150" s="35"/>
      <c r="G150" s="35"/>
      <c r="H150" s="33"/>
      <c r="I150" s="35">
        <v>10000</v>
      </c>
      <c r="J150" s="33"/>
      <c r="K150" s="33"/>
      <c r="L150" s="33" t="b">
        <v>1</v>
      </c>
      <c r="M150" s="33"/>
      <c r="N150" s="33"/>
    </row>
    <row r="151" spans="1:14" ht="16.5" customHeight="1" x14ac:dyDescent="0.45">
      <c r="A151" s="32">
        <v>1811005</v>
      </c>
      <c r="B151" s="33" t="s">
        <v>136</v>
      </c>
      <c r="C151" s="34">
        <v>64001</v>
      </c>
      <c r="D151" s="34" t="s">
        <v>75</v>
      </c>
      <c r="E151" s="35">
        <v>1400</v>
      </c>
      <c r="F151" s="35">
        <v>5</v>
      </c>
      <c r="G151" s="35">
        <v>5</v>
      </c>
      <c r="H151" s="33"/>
      <c r="I151" s="35">
        <v>10000</v>
      </c>
      <c r="J151" s="33"/>
      <c r="K151" s="33"/>
      <c r="L151" s="33" t="b">
        <v>1</v>
      </c>
      <c r="M151" s="33"/>
      <c r="N151" s="33"/>
    </row>
    <row r="152" spans="1:14" ht="16.5" customHeight="1" x14ac:dyDescent="0.45">
      <c r="A152" s="33"/>
      <c r="B152" s="33"/>
      <c r="C152" s="34">
        <v>7228</v>
      </c>
      <c r="D152" s="34" t="s">
        <v>76</v>
      </c>
      <c r="E152" s="35">
        <v>20</v>
      </c>
      <c r="F152" s="35"/>
      <c r="G152" s="35"/>
      <c r="H152" s="33"/>
      <c r="I152" s="35">
        <v>10000</v>
      </c>
      <c r="J152" s="33"/>
      <c r="K152" s="33"/>
      <c r="L152" s="33" t="b">
        <v>1</v>
      </c>
      <c r="M152" s="33"/>
      <c r="N152" s="33"/>
    </row>
    <row r="153" spans="1:14" ht="16.5" customHeight="1" x14ac:dyDescent="0.45">
      <c r="A153" s="33"/>
      <c r="B153" s="33"/>
      <c r="C153" s="27">
        <v>2065</v>
      </c>
      <c r="D153" s="34" t="s">
        <v>134</v>
      </c>
      <c r="E153" s="35">
        <v>3</v>
      </c>
      <c r="F153" s="35"/>
      <c r="G153" s="35"/>
      <c r="H153" s="33"/>
      <c r="I153" s="35">
        <v>10000</v>
      </c>
      <c r="J153" s="33"/>
      <c r="K153" s="33"/>
      <c r="L153" s="33" t="b">
        <v>1</v>
      </c>
      <c r="M153" s="33"/>
      <c r="N153" s="33"/>
    </row>
    <row r="154" spans="1:14" ht="16.5" customHeight="1" x14ac:dyDescent="0.45">
      <c r="A154" s="33"/>
      <c r="B154" s="33"/>
      <c r="C154" s="34">
        <v>6999</v>
      </c>
      <c r="D154" s="34" t="s">
        <v>135</v>
      </c>
      <c r="E154" s="35">
        <v>15000</v>
      </c>
      <c r="F154" s="35"/>
      <c r="G154" s="35"/>
      <c r="H154" s="33"/>
      <c r="I154" s="35">
        <v>10000</v>
      </c>
      <c r="J154" s="33"/>
      <c r="K154" s="33"/>
      <c r="L154" s="33" t="b">
        <v>1</v>
      </c>
      <c r="M154" s="33"/>
      <c r="N154" s="33"/>
    </row>
    <row r="155" spans="1:14" ht="16.5" customHeight="1" x14ac:dyDescent="0.45">
      <c r="A155" s="33"/>
      <c r="B155" s="33"/>
      <c r="C155" s="34">
        <v>49605</v>
      </c>
      <c r="D155" s="34" t="s">
        <v>74</v>
      </c>
      <c r="E155" s="35">
        <v>15</v>
      </c>
      <c r="F155" s="35"/>
      <c r="G155" s="35"/>
      <c r="H155" s="33"/>
      <c r="I155" s="35">
        <v>10000</v>
      </c>
      <c r="J155" s="33"/>
      <c r="K155" s="33"/>
      <c r="L155" s="33" t="b">
        <v>1</v>
      </c>
      <c r="M155" s="33"/>
      <c r="N155" s="33"/>
    </row>
    <row r="156" spans="1:14" ht="16.5" customHeight="1" x14ac:dyDescent="0.45">
      <c r="A156" s="32">
        <v>1811006</v>
      </c>
      <c r="B156" s="33" t="s">
        <v>132</v>
      </c>
      <c r="C156" s="34">
        <v>64001</v>
      </c>
      <c r="D156" s="34" t="s">
        <v>75</v>
      </c>
      <c r="E156" s="35">
        <v>2000</v>
      </c>
      <c r="F156" s="35">
        <v>5</v>
      </c>
      <c r="G156" s="35">
        <v>5</v>
      </c>
      <c r="H156" s="33"/>
      <c r="I156" s="35">
        <v>10000</v>
      </c>
      <c r="J156" s="33"/>
      <c r="K156" s="33"/>
      <c r="L156" s="33" t="b">
        <v>1</v>
      </c>
      <c r="M156" s="33"/>
      <c r="N156" s="33"/>
    </row>
    <row r="157" spans="1:14" ht="16.5" customHeight="1" x14ac:dyDescent="0.45">
      <c r="A157" s="33"/>
      <c r="B157" s="33"/>
      <c r="C157" s="34">
        <v>7228</v>
      </c>
      <c r="D157" s="34" t="s">
        <v>76</v>
      </c>
      <c r="E157" s="35">
        <v>30</v>
      </c>
      <c r="F157" s="35"/>
      <c r="G157" s="35"/>
      <c r="H157" s="33"/>
      <c r="I157" s="35">
        <v>10000</v>
      </c>
      <c r="J157" s="33"/>
      <c r="K157" s="33"/>
      <c r="L157" s="33" t="b">
        <v>1</v>
      </c>
      <c r="M157" s="33"/>
      <c r="N157" s="33"/>
    </row>
    <row r="158" spans="1:14" ht="16.5" customHeight="1" x14ac:dyDescent="0.45">
      <c r="A158" s="33"/>
      <c r="B158" s="33"/>
      <c r="C158" s="27">
        <v>2065</v>
      </c>
      <c r="D158" s="34" t="s">
        <v>134</v>
      </c>
      <c r="E158" s="35">
        <v>4</v>
      </c>
      <c r="F158" s="35"/>
      <c r="G158" s="35"/>
      <c r="H158" s="33"/>
      <c r="I158" s="35">
        <v>10000</v>
      </c>
      <c r="J158" s="33"/>
      <c r="K158" s="33"/>
      <c r="L158" s="33" t="b">
        <v>1</v>
      </c>
      <c r="M158" s="33"/>
      <c r="N158" s="33"/>
    </row>
    <row r="159" spans="1:14" ht="16.5" customHeight="1" x14ac:dyDescent="0.45">
      <c r="A159" s="33"/>
      <c r="B159" s="33"/>
      <c r="C159" s="34">
        <v>6999</v>
      </c>
      <c r="D159" s="34" t="s">
        <v>135</v>
      </c>
      <c r="E159" s="35">
        <v>25000</v>
      </c>
      <c r="F159" s="35"/>
      <c r="G159" s="35"/>
      <c r="H159" s="33"/>
      <c r="I159" s="35">
        <v>10000</v>
      </c>
      <c r="J159" s="33"/>
      <c r="K159" s="33"/>
      <c r="L159" s="33" t="b">
        <v>1</v>
      </c>
      <c r="M159" s="33"/>
      <c r="N159" s="33"/>
    </row>
    <row r="160" spans="1:14" ht="16.5" customHeight="1" x14ac:dyDescent="0.45">
      <c r="A160" s="33"/>
      <c r="B160" s="33"/>
      <c r="C160" s="34">
        <v>49605</v>
      </c>
      <c r="D160" s="34" t="s">
        <v>74</v>
      </c>
      <c r="E160" s="35">
        <v>25</v>
      </c>
      <c r="F160" s="35"/>
      <c r="G160" s="35"/>
      <c r="H160" s="33"/>
      <c r="I160" s="35">
        <v>10000</v>
      </c>
      <c r="J160" s="33"/>
      <c r="K160" s="33"/>
      <c r="L160" s="33" t="b">
        <v>1</v>
      </c>
      <c r="M160" s="33"/>
      <c r="N160" s="33"/>
    </row>
    <row r="161" spans="1:14" ht="16.5" customHeight="1" x14ac:dyDescent="0.45">
      <c r="A161" s="32">
        <v>1811007</v>
      </c>
      <c r="B161" s="33" t="s">
        <v>133</v>
      </c>
      <c r="C161" s="34">
        <v>64001</v>
      </c>
      <c r="D161" s="34" t="s">
        <v>75</v>
      </c>
      <c r="E161" s="35">
        <v>3000</v>
      </c>
      <c r="F161" s="35">
        <v>5</v>
      </c>
      <c r="G161" s="35">
        <v>5</v>
      </c>
      <c r="H161" s="33"/>
      <c r="I161" s="35">
        <v>10000</v>
      </c>
      <c r="J161" s="33"/>
      <c r="K161" s="33"/>
      <c r="L161" s="33" t="b">
        <v>1</v>
      </c>
      <c r="M161" s="33"/>
      <c r="N161" s="33"/>
    </row>
    <row r="162" spans="1:14" ht="16.5" customHeight="1" x14ac:dyDescent="0.45">
      <c r="A162" s="33"/>
      <c r="B162" s="33"/>
      <c r="C162" s="34">
        <v>7228</v>
      </c>
      <c r="D162" s="34" t="s">
        <v>76</v>
      </c>
      <c r="E162" s="35">
        <v>30</v>
      </c>
      <c r="F162" s="35"/>
      <c r="G162" s="35"/>
      <c r="H162" s="33"/>
      <c r="I162" s="35">
        <v>10000</v>
      </c>
      <c r="J162" s="33"/>
      <c r="K162" s="33"/>
      <c r="L162" s="33" t="b">
        <v>1</v>
      </c>
      <c r="M162" s="33"/>
      <c r="N162" s="33"/>
    </row>
    <row r="163" spans="1:14" ht="16.5" customHeight="1" x14ac:dyDescent="0.45">
      <c r="B163" s="12"/>
      <c r="C163" s="27">
        <v>2065</v>
      </c>
      <c r="D163" s="34" t="s">
        <v>134</v>
      </c>
      <c r="E163" s="35">
        <v>4</v>
      </c>
      <c r="F163" s="35"/>
      <c r="G163" s="35"/>
      <c r="H163" s="33"/>
      <c r="I163" s="35">
        <v>10000</v>
      </c>
      <c r="J163" s="33"/>
      <c r="K163" s="33"/>
      <c r="L163" s="33" t="b">
        <v>1</v>
      </c>
    </row>
    <row r="164" spans="1:14" ht="16.5" customHeight="1" x14ac:dyDescent="0.45">
      <c r="B164" s="12"/>
      <c r="C164" s="34">
        <v>6999</v>
      </c>
      <c r="D164" s="34" t="s">
        <v>135</v>
      </c>
      <c r="E164" s="35">
        <v>50000</v>
      </c>
      <c r="F164" s="35"/>
      <c r="G164" s="35"/>
      <c r="H164" s="33"/>
      <c r="I164" s="35">
        <v>10000</v>
      </c>
      <c r="J164" s="33"/>
      <c r="K164" s="33"/>
      <c r="L164" s="33" t="b">
        <v>1</v>
      </c>
    </row>
    <row r="165" spans="1:14" ht="16.5" customHeight="1" x14ac:dyDescent="0.45">
      <c r="B165" s="12"/>
      <c r="C165" s="34">
        <v>49605</v>
      </c>
      <c r="D165" s="34" t="s">
        <v>74</v>
      </c>
      <c r="E165" s="35">
        <v>50</v>
      </c>
      <c r="F165" s="35"/>
      <c r="G165" s="35"/>
      <c r="H165" s="33"/>
      <c r="I165" s="35">
        <v>10000</v>
      </c>
      <c r="J165" s="33"/>
      <c r="K165" s="33"/>
      <c r="L165" s="33" t="b">
        <v>1</v>
      </c>
    </row>
    <row r="166" spans="1:14" ht="16.5" customHeight="1" x14ac:dyDescent="0.25">
      <c r="B166" s="12"/>
    </row>
    <row r="167" spans="1:14" ht="16.5" customHeight="1" x14ac:dyDescent="0.25">
      <c r="B167" s="12"/>
    </row>
    <row r="168" spans="1:14" ht="16.5" customHeight="1" x14ac:dyDescent="0.25">
      <c r="A168" s="36">
        <v>1811011</v>
      </c>
      <c r="B168" s="37" t="s">
        <v>88</v>
      </c>
      <c r="C168" s="37">
        <v>7228</v>
      </c>
      <c r="D168" s="37" t="s">
        <v>76</v>
      </c>
      <c r="E168" s="37">
        <v>5</v>
      </c>
      <c r="F168" s="37">
        <v>1</v>
      </c>
      <c r="G168" s="37">
        <v>1</v>
      </c>
      <c r="H168" s="37"/>
      <c r="I168" s="37">
        <v>10000</v>
      </c>
      <c r="J168" s="37"/>
      <c r="K168" s="37"/>
      <c r="L168" s="38" t="b">
        <v>1</v>
      </c>
      <c r="M168" s="37"/>
      <c r="N168" s="37"/>
    </row>
    <row r="169" spans="1:14" ht="16.5" customHeight="1" x14ac:dyDescent="0.25">
      <c r="A169" s="36">
        <v>1811012</v>
      </c>
      <c r="B169" s="37" t="s">
        <v>89</v>
      </c>
      <c r="C169" s="37">
        <v>20000</v>
      </c>
      <c r="D169" s="37" t="s">
        <v>77</v>
      </c>
      <c r="E169" s="37">
        <v>300</v>
      </c>
      <c r="F169" s="37">
        <v>1</v>
      </c>
      <c r="G169" s="37">
        <v>1</v>
      </c>
      <c r="H169" s="37"/>
      <c r="I169" s="37">
        <v>10000</v>
      </c>
      <c r="J169" s="37"/>
      <c r="K169" s="37"/>
      <c r="L169" s="38" t="b">
        <v>1</v>
      </c>
      <c r="M169" s="37"/>
      <c r="N169" s="37"/>
    </row>
    <row r="170" spans="1:14" ht="16.5" customHeight="1" x14ac:dyDescent="0.25">
      <c r="A170" s="36">
        <v>1811013</v>
      </c>
      <c r="B170" s="37" t="s">
        <v>90</v>
      </c>
      <c r="C170" s="37">
        <v>6121</v>
      </c>
      <c r="D170" s="37" t="s">
        <v>78</v>
      </c>
      <c r="E170" s="37">
        <v>1</v>
      </c>
      <c r="F170" s="37">
        <v>1</v>
      </c>
      <c r="G170" s="37">
        <v>1</v>
      </c>
      <c r="H170" s="37"/>
      <c r="I170" s="37">
        <v>10000</v>
      </c>
      <c r="J170" s="37"/>
      <c r="K170" s="37"/>
      <c r="L170" s="38" t="b">
        <v>1</v>
      </c>
      <c r="M170" s="37"/>
      <c r="N170" s="37"/>
    </row>
    <row r="171" spans="1:14" ht="16.5" customHeight="1" x14ac:dyDescent="0.25">
      <c r="A171" s="36">
        <v>1811014</v>
      </c>
      <c r="B171" s="37" t="s">
        <v>91</v>
      </c>
      <c r="C171" s="37">
        <v>502</v>
      </c>
      <c r="D171" s="37" t="s">
        <v>79</v>
      </c>
      <c r="E171" s="37">
        <v>3</v>
      </c>
      <c r="F171" s="37">
        <v>1</v>
      </c>
      <c r="G171" s="37">
        <v>1</v>
      </c>
      <c r="H171" s="37"/>
      <c r="I171" s="37">
        <v>10000</v>
      </c>
      <c r="J171" s="37"/>
      <c r="K171" s="37"/>
      <c r="L171" s="38" t="b">
        <v>1</v>
      </c>
      <c r="M171" s="37"/>
      <c r="N171" s="37"/>
    </row>
    <row r="172" spans="1:14" ht="16.5" customHeight="1" x14ac:dyDescent="0.25">
      <c r="A172" s="36">
        <v>1811015</v>
      </c>
      <c r="B172" s="37" t="s">
        <v>92</v>
      </c>
      <c r="C172" s="36">
        <v>6141</v>
      </c>
      <c r="D172" s="36" t="s">
        <v>80</v>
      </c>
      <c r="E172" s="37">
        <v>1</v>
      </c>
      <c r="F172" s="37">
        <v>1</v>
      </c>
      <c r="G172" s="37">
        <v>1</v>
      </c>
      <c r="H172" s="37"/>
      <c r="I172" s="37">
        <v>10000</v>
      </c>
      <c r="J172" s="37"/>
      <c r="K172" s="37"/>
      <c r="L172" s="38" t="b">
        <v>1</v>
      </c>
      <c r="M172" s="37"/>
      <c r="N172" s="37"/>
    </row>
    <row r="173" spans="1:14" ht="16.5" customHeight="1" x14ac:dyDescent="0.25">
      <c r="A173" s="36">
        <v>1811016</v>
      </c>
      <c r="B173" s="37" t="s">
        <v>93</v>
      </c>
      <c r="C173" s="36">
        <v>502</v>
      </c>
      <c r="D173" s="36" t="s">
        <v>79</v>
      </c>
      <c r="E173" s="37">
        <v>6</v>
      </c>
      <c r="F173" s="37">
        <v>1</v>
      </c>
      <c r="G173" s="37">
        <v>1</v>
      </c>
      <c r="H173" s="37"/>
      <c r="I173" s="37">
        <v>10000</v>
      </c>
      <c r="J173" s="37"/>
      <c r="K173" s="37"/>
      <c r="L173" s="38" t="b">
        <v>1</v>
      </c>
      <c r="M173" s="37"/>
      <c r="N173" s="37"/>
    </row>
    <row r="174" spans="1:14" ht="16.5" customHeight="1" x14ac:dyDescent="0.25">
      <c r="A174" s="36">
        <v>1811017</v>
      </c>
      <c r="B174" s="37" t="s">
        <v>94</v>
      </c>
      <c r="C174" s="36">
        <v>7229</v>
      </c>
      <c r="D174" s="36" t="s">
        <v>81</v>
      </c>
      <c r="E174" s="37">
        <v>3</v>
      </c>
      <c r="F174" s="37">
        <v>1</v>
      </c>
      <c r="G174" s="37">
        <v>1</v>
      </c>
      <c r="H174" s="37"/>
      <c r="I174" s="37">
        <v>10000</v>
      </c>
      <c r="J174" s="37"/>
      <c r="K174" s="37"/>
      <c r="L174" s="38" t="b">
        <v>1</v>
      </c>
      <c r="M174" s="37"/>
      <c r="N174" s="37"/>
    </row>
    <row r="175" spans="1:14" ht="16.5" customHeight="1" x14ac:dyDescent="0.25">
      <c r="A175" s="36">
        <v>1811018</v>
      </c>
      <c r="B175" s="37" t="s">
        <v>95</v>
      </c>
      <c r="C175" s="36">
        <v>20000</v>
      </c>
      <c r="D175" s="36" t="s">
        <v>77</v>
      </c>
      <c r="E175" s="37">
        <v>400</v>
      </c>
      <c r="F175" s="37">
        <v>1</v>
      </c>
      <c r="G175" s="37">
        <v>1</v>
      </c>
      <c r="H175" s="37"/>
      <c r="I175" s="37">
        <v>10000</v>
      </c>
      <c r="J175" s="37"/>
      <c r="K175" s="37"/>
      <c r="L175" s="38" t="b">
        <v>1</v>
      </c>
      <c r="M175" s="37"/>
      <c r="N175" s="37"/>
    </row>
    <row r="176" spans="1:14" ht="16.5" customHeight="1" x14ac:dyDescent="0.25">
      <c r="A176" s="36">
        <v>1811019</v>
      </c>
      <c r="B176" s="37" t="s">
        <v>96</v>
      </c>
      <c r="C176" s="37">
        <v>2000003</v>
      </c>
      <c r="D176" s="37" t="s">
        <v>82</v>
      </c>
      <c r="E176" s="37">
        <v>1</v>
      </c>
      <c r="F176" s="37">
        <v>1</v>
      </c>
      <c r="G176" s="37">
        <v>1</v>
      </c>
      <c r="H176" s="37"/>
      <c r="I176" s="37">
        <v>10000</v>
      </c>
      <c r="J176" s="37"/>
      <c r="K176" s="37"/>
      <c r="L176" s="38" t="b">
        <v>1</v>
      </c>
      <c r="M176" s="37"/>
      <c r="N176" s="37"/>
    </row>
    <row r="177" spans="1:14" ht="16.5" customHeight="1" x14ac:dyDescent="0.25">
      <c r="A177" s="36">
        <v>1811020</v>
      </c>
      <c r="B177" s="37" t="s">
        <v>97</v>
      </c>
      <c r="C177" s="40">
        <v>64001</v>
      </c>
      <c r="D177" s="40" t="s">
        <v>75</v>
      </c>
      <c r="E177" s="37">
        <v>100</v>
      </c>
      <c r="F177" s="37">
        <v>1</v>
      </c>
      <c r="G177" s="37">
        <v>1</v>
      </c>
      <c r="H177" s="37"/>
      <c r="I177" s="37">
        <v>10000</v>
      </c>
      <c r="J177" s="37"/>
      <c r="K177" s="37"/>
      <c r="L177" s="38" t="b">
        <v>1</v>
      </c>
      <c r="M177" s="37"/>
      <c r="N177" s="37"/>
    </row>
    <row r="178" spans="1:14" ht="16.5" customHeight="1" x14ac:dyDescent="0.25">
      <c r="A178" s="36">
        <v>1811021</v>
      </c>
      <c r="B178" s="37" t="s">
        <v>98</v>
      </c>
      <c r="C178" s="37">
        <v>7230</v>
      </c>
      <c r="D178" s="37" t="s">
        <v>83</v>
      </c>
      <c r="E178" s="37">
        <v>3</v>
      </c>
      <c r="F178" s="37">
        <v>1</v>
      </c>
      <c r="G178" s="37">
        <v>1</v>
      </c>
      <c r="H178" s="37"/>
      <c r="I178" s="37">
        <v>10000</v>
      </c>
      <c r="J178" s="37"/>
      <c r="K178" s="37"/>
      <c r="L178" s="38" t="b">
        <v>1</v>
      </c>
      <c r="M178" s="37"/>
      <c r="N178" s="37"/>
    </row>
    <row r="179" spans="1:14" ht="16.5" customHeight="1" x14ac:dyDescent="0.25">
      <c r="A179" s="36">
        <v>1811022</v>
      </c>
      <c r="B179" s="37" t="s">
        <v>99</v>
      </c>
      <c r="C179" s="37">
        <v>20000</v>
      </c>
      <c r="D179" s="37" t="s">
        <v>77</v>
      </c>
      <c r="E179" s="37">
        <v>800</v>
      </c>
      <c r="F179" s="37">
        <v>1</v>
      </c>
      <c r="G179" s="37">
        <v>1</v>
      </c>
      <c r="H179" s="37"/>
      <c r="I179" s="37">
        <v>10000</v>
      </c>
      <c r="J179" s="37"/>
      <c r="K179" s="37"/>
      <c r="L179" s="38" t="b">
        <v>1</v>
      </c>
      <c r="M179" s="37"/>
      <c r="N179" s="37"/>
    </row>
    <row r="180" spans="1:14" ht="16.5" customHeight="1" x14ac:dyDescent="0.25">
      <c r="A180" s="36">
        <v>1811023</v>
      </c>
      <c r="B180" s="37" t="s">
        <v>100</v>
      </c>
      <c r="C180" s="37">
        <v>6121</v>
      </c>
      <c r="D180" s="37" t="s">
        <v>78</v>
      </c>
      <c r="E180" s="37">
        <v>2</v>
      </c>
      <c r="F180" s="37">
        <v>1</v>
      </c>
      <c r="G180" s="37">
        <v>1</v>
      </c>
      <c r="H180" s="37"/>
      <c r="I180" s="37">
        <v>10000</v>
      </c>
      <c r="J180" s="37"/>
      <c r="K180" s="37"/>
      <c r="L180" s="38" t="b">
        <v>1</v>
      </c>
      <c r="M180" s="37"/>
      <c r="N180" s="37"/>
    </row>
    <row r="181" spans="1:14" ht="16.5" customHeight="1" x14ac:dyDescent="0.25">
      <c r="A181" s="36">
        <v>1811024</v>
      </c>
      <c r="B181" s="37" t="s">
        <v>101</v>
      </c>
      <c r="C181" s="37">
        <v>502</v>
      </c>
      <c r="D181" s="37" t="s">
        <v>79</v>
      </c>
      <c r="E181" s="37">
        <v>9</v>
      </c>
      <c r="F181" s="37">
        <v>1</v>
      </c>
      <c r="G181" s="37">
        <v>1</v>
      </c>
      <c r="H181" s="37"/>
      <c r="I181" s="37">
        <v>10000</v>
      </c>
      <c r="J181" s="37"/>
      <c r="K181" s="37"/>
      <c r="L181" s="38" t="b">
        <v>1</v>
      </c>
      <c r="M181" s="37"/>
      <c r="N181" s="37"/>
    </row>
    <row r="182" spans="1:14" ht="16.5" customHeight="1" x14ac:dyDescent="0.25">
      <c r="A182" s="36">
        <v>1811025</v>
      </c>
      <c r="B182" s="37" t="s">
        <v>102</v>
      </c>
      <c r="C182" s="36">
        <v>6141</v>
      </c>
      <c r="D182" s="36" t="s">
        <v>80</v>
      </c>
      <c r="E182" s="37">
        <v>2</v>
      </c>
      <c r="F182" s="37">
        <v>1</v>
      </c>
      <c r="G182" s="37">
        <v>1</v>
      </c>
      <c r="H182" s="37"/>
      <c r="I182" s="37">
        <v>10000</v>
      </c>
      <c r="J182" s="37"/>
      <c r="K182" s="37"/>
      <c r="L182" s="38" t="b">
        <v>1</v>
      </c>
      <c r="M182" s="37"/>
      <c r="N182" s="37"/>
    </row>
    <row r="183" spans="1:14" ht="16.5" customHeight="1" x14ac:dyDescent="0.25">
      <c r="A183" s="36">
        <v>1811026</v>
      </c>
      <c r="B183" s="37" t="s">
        <v>103</v>
      </c>
      <c r="C183" s="36">
        <v>7230</v>
      </c>
      <c r="D183" s="36" t="s">
        <v>83</v>
      </c>
      <c r="E183" s="37">
        <v>5</v>
      </c>
      <c r="F183" s="37">
        <v>1</v>
      </c>
      <c r="G183" s="37">
        <v>1</v>
      </c>
      <c r="H183" s="37"/>
      <c r="I183" s="37">
        <v>10000</v>
      </c>
      <c r="J183" s="37"/>
      <c r="K183" s="37"/>
      <c r="L183" s="38" t="b">
        <v>1</v>
      </c>
      <c r="M183" s="37"/>
      <c r="N183" s="37"/>
    </row>
    <row r="184" spans="1:14" ht="16.5" customHeight="1" x14ac:dyDescent="0.25">
      <c r="A184" s="36">
        <v>1811027</v>
      </c>
      <c r="B184" s="37" t="s">
        <v>104</v>
      </c>
      <c r="C184" s="36">
        <v>502</v>
      </c>
      <c r="D184" s="36" t="s">
        <v>79</v>
      </c>
      <c r="E184" s="37">
        <v>15</v>
      </c>
      <c r="F184" s="37">
        <v>1</v>
      </c>
      <c r="G184" s="37">
        <v>1</v>
      </c>
      <c r="H184" s="37"/>
      <c r="I184" s="37">
        <v>10000</v>
      </c>
      <c r="J184" s="37"/>
      <c r="K184" s="37"/>
      <c r="L184" s="38" t="b">
        <v>1</v>
      </c>
      <c r="M184" s="37"/>
      <c r="N184" s="37"/>
    </row>
    <row r="185" spans="1:14" ht="16.5" customHeight="1" x14ac:dyDescent="0.25">
      <c r="A185" s="36">
        <v>1811028</v>
      </c>
      <c r="B185" s="37" t="s">
        <v>105</v>
      </c>
      <c r="C185" s="36">
        <v>20000</v>
      </c>
      <c r="D185" s="36" t="s">
        <v>77</v>
      </c>
      <c r="E185" s="37">
        <v>1000</v>
      </c>
      <c r="F185" s="37">
        <v>1</v>
      </c>
      <c r="G185" s="37">
        <v>1</v>
      </c>
      <c r="H185" s="37"/>
      <c r="I185" s="37">
        <v>10000</v>
      </c>
      <c r="J185" s="37"/>
      <c r="K185" s="37"/>
      <c r="L185" s="38" t="b">
        <v>1</v>
      </c>
      <c r="M185" s="37"/>
      <c r="N185" s="37"/>
    </row>
    <row r="186" spans="1:14" ht="16.5" customHeight="1" x14ac:dyDescent="0.25">
      <c r="A186" s="36">
        <v>1811029</v>
      </c>
      <c r="B186" s="37" t="s">
        <v>106</v>
      </c>
      <c r="C186" s="37">
        <v>2000003</v>
      </c>
      <c r="D186" s="37" t="s">
        <v>82</v>
      </c>
      <c r="E186" s="37">
        <v>1</v>
      </c>
      <c r="F186" s="37">
        <v>1</v>
      </c>
      <c r="G186" s="37">
        <v>1</v>
      </c>
      <c r="H186" s="37"/>
      <c r="I186" s="37">
        <v>10000</v>
      </c>
      <c r="J186" s="37"/>
      <c r="K186" s="37"/>
      <c r="L186" s="38" t="b">
        <v>1</v>
      </c>
      <c r="M186" s="37"/>
      <c r="N186" s="37"/>
    </row>
    <row r="187" spans="1:14" ht="16.5" customHeight="1" x14ac:dyDescent="0.25">
      <c r="A187" s="36">
        <v>1811030</v>
      </c>
      <c r="B187" s="37" t="s">
        <v>107</v>
      </c>
      <c r="C187" s="40">
        <v>64001</v>
      </c>
      <c r="D187" s="40" t="s">
        <v>75</v>
      </c>
      <c r="E187" s="37">
        <v>100</v>
      </c>
      <c r="F187" s="37">
        <v>1</v>
      </c>
      <c r="G187" s="37">
        <v>1</v>
      </c>
      <c r="H187" s="37"/>
      <c r="I187" s="37">
        <v>10000</v>
      </c>
      <c r="J187" s="37"/>
      <c r="K187" s="37"/>
      <c r="L187" s="38" t="b">
        <v>1</v>
      </c>
      <c r="M187" s="37"/>
      <c r="N187" s="37"/>
    </row>
    <row r="188" spans="1:14" ht="16.5" customHeight="1" x14ac:dyDescent="0.25">
      <c r="A188" s="36">
        <v>1811031</v>
      </c>
      <c r="B188" s="37" t="s">
        <v>108</v>
      </c>
      <c r="C188" s="41">
        <v>64001</v>
      </c>
      <c r="D188" s="41" t="s">
        <v>75</v>
      </c>
      <c r="E188" s="37">
        <v>1000</v>
      </c>
      <c r="F188" s="37">
        <v>1</v>
      </c>
      <c r="G188" s="37">
        <v>1</v>
      </c>
      <c r="H188" s="37"/>
      <c r="I188" s="37">
        <v>10000</v>
      </c>
      <c r="J188" s="37"/>
      <c r="K188" s="37"/>
      <c r="L188" s="38" t="b">
        <v>1</v>
      </c>
      <c r="M188" s="37"/>
      <c r="N188" s="37"/>
    </row>
    <row r="189" spans="1:14" ht="16.5" customHeight="1" x14ac:dyDescent="0.25">
      <c r="A189" s="36">
        <v>1811032</v>
      </c>
      <c r="B189" s="37" t="s">
        <v>109</v>
      </c>
      <c r="C189" s="37">
        <v>7229</v>
      </c>
      <c r="D189" s="37" t="s">
        <v>81</v>
      </c>
      <c r="E189" s="37">
        <v>3</v>
      </c>
      <c r="F189" s="37">
        <v>1</v>
      </c>
      <c r="G189" s="37">
        <v>1</v>
      </c>
      <c r="H189" s="37"/>
      <c r="I189" s="37">
        <v>10000</v>
      </c>
      <c r="J189" s="37"/>
      <c r="K189" s="37"/>
      <c r="L189" s="38" t="b">
        <v>1</v>
      </c>
      <c r="M189" s="37"/>
      <c r="N189" s="37"/>
    </row>
    <row r="190" spans="1:14" ht="16.5" customHeight="1" x14ac:dyDescent="0.25">
      <c r="A190" s="36">
        <v>1811033</v>
      </c>
      <c r="B190" s="37" t="s">
        <v>110</v>
      </c>
      <c r="C190" s="37">
        <v>20000</v>
      </c>
      <c r="D190" s="37" t="s">
        <v>77</v>
      </c>
      <c r="E190" s="37">
        <v>1000</v>
      </c>
      <c r="F190" s="37">
        <v>1</v>
      </c>
      <c r="G190" s="37">
        <v>1</v>
      </c>
      <c r="H190" s="37"/>
      <c r="I190" s="37">
        <v>10000</v>
      </c>
      <c r="J190" s="37"/>
      <c r="K190" s="37"/>
      <c r="L190" s="38" t="b">
        <v>1</v>
      </c>
      <c r="M190" s="37"/>
      <c r="N190" s="37"/>
    </row>
    <row r="191" spans="1:14" ht="16.5" customHeight="1" x14ac:dyDescent="0.25">
      <c r="A191" s="36">
        <v>1811034</v>
      </c>
      <c r="B191" s="37" t="s">
        <v>111</v>
      </c>
      <c r="C191" s="37">
        <v>6122</v>
      </c>
      <c r="D191" s="37" t="s">
        <v>84</v>
      </c>
      <c r="E191" s="37">
        <v>1</v>
      </c>
      <c r="F191" s="37">
        <v>1</v>
      </c>
      <c r="G191" s="37">
        <v>1</v>
      </c>
      <c r="H191" s="37"/>
      <c r="I191" s="37">
        <v>10000</v>
      </c>
      <c r="J191" s="37"/>
      <c r="K191" s="37"/>
      <c r="L191" s="38" t="b">
        <v>1</v>
      </c>
      <c r="M191" s="37"/>
      <c r="N191" s="37"/>
    </row>
    <row r="192" spans="1:14" ht="16.5" customHeight="1" x14ac:dyDescent="0.25">
      <c r="A192" s="36">
        <v>1811035</v>
      </c>
      <c r="B192" s="37" t="s">
        <v>112</v>
      </c>
      <c r="C192" s="39">
        <v>7003</v>
      </c>
      <c r="D192" s="39" t="s">
        <v>85</v>
      </c>
      <c r="E192" s="37">
        <v>500</v>
      </c>
      <c r="F192" s="37">
        <v>1</v>
      </c>
      <c r="G192" s="37">
        <v>1</v>
      </c>
      <c r="H192" s="37"/>
      <c r="I192" s="37">
        <v>10000</v>
      </c>
      <c r="J192" s="37"/>
      <c r="K192" s="37"/>
      <c r="L192" s="38" t="b">
        <v>1</v>
      </c>
      <c r="M192" s="37"/>
      <c r="N192" s="37"/>
    </row>
    <row r="193" spans="1:14" ht="16.5" customHeight="1" x14ac:dyDescent="0.25">
      <c r="A193" s="36">
        <v>1811036</v>
      </c>
      <c r="B193" s="37" t="s">
        <v>113</v>
      </c>
      <c r="C193" s="36">
        <v>7229</v>
      </c>
      <c r="D193" s="36" t="s">
        <v>81</v>
      </c>
      <c r="E193" s="37">
        <v>7</v>
      </c>
      <c r="F193" s="37">
        <v>1</v>
      </c>
      <c r="G193" s="37">
        <v>1</v>
      </c>
      <c r="H193" s="37"/>
      <c r="I193" s="37">
        <v>10000</v>
      </c>
      <c r="J193" s="37"/>
      <c r="K193" s="37"/>
      <c r="L193" s="38" t="b">
        <v>1</v>
      </c>
      <c r="M193" s="37"/>
      <c r="N193" s="37"/>
    </row>
    <row r="194" spans="1:14" ht="16.5" customHeight="1" x14ac:dyDescent="0.25">
      <c r="A194" s="36">
        <v>1811037</v>
      </c>
      <c r="B194" s="37" t="s">
        <v>114</v>
      </c>
      <c r="C194" s="37">
        <v>2000003</v>
      </c>
      <c r="D194" s="37" t="s">
        <v>82</v>
      </c>
      <c r="E194" s="37">
        <v>3</v>
      </c>
      <c r="F194" s="37">
        <v>1</v>
      </c>
      <c r="G194" s="37">
        <v>1</v>
      </c>
      <c r="H194" s="37"/>
      <c r="I194" s="37">
        <v>10000</v>
      </c>
      <c r="J194" s="37"/>
      <c r="K194" s="37"/>
      <c r="L194" s="38" t="b">
        <v>1</v>
      </c>
      <c r="M194" s="37"/>
      <c r="N194" s="37"/>
    </row>
    <row r="195" spans="1:14" ht="16.5" customHeight="1" x14ac:dyDescent="0.25">
      <c r="A195" s="36">
        <v>1811038</v>
      </c>
      <c r="B195" s="37" t="s">
        <v>115</v>
      </c>
      <c r="C195" s="37">
        <v>6142</v>
      </c>
      <c r="D195" s="37" t="s">
        <v>86</v>
      </c>
      <c r="E195" s="37">
        <v>1</v>
      </c>
      <c r="F195" s="37">
        <v>1</v>
      </c>
      <c r="G195" s="37">
        <v>1</v>
      </c>
      <c r="H195" s="37"/>
      <c r="I195" s="37">
        <v>10000</v>
      </c>
      <c r="J195" s="37"/>
      <c r="K195" s="37"/>
      <c r="L195" s="38" t="b">
        <v>1</v>
      </c>
      <c r="M195" s="37"/>
      <c r="N195" s="37"/>
    </row>
    <row r="196" spans="1:14" ht="16.5" customHeight="1" x14ac:dyDescent="0.25">
      <c r="A196" s="36">
        <v>1811039</v>
      </c>
      <c r="B196" s="37" t="s">
        <v>116</v>
      </c>
      <c r="C196" s="37">
        <v>20000</v>
      </c>
      <c r="D196" s="37" t="s">
        <v>77</v>
      </c>
      <c r="E196" s="37">
        <v>2500</v>
      </c>
      <c r="F196" s="37">
        <v>1</v>
      </c>
      <c r="G196" s="37">
        <v>1</v>
      </c>
      <c r="H196" s="37"/>
      <c r="I196" s="37">
        <v>10000</v>
      </c>
      <c r="J196" s="37"/>
      <c r="K196" s="37"/>
      <c r="L196" s="38" t="b">
        <v>1</v>
      </c>
      <c r="M196" s="37"/>
      <c r="N196" s="37"/>
    </row>
    <row r="197" spans="1:14" ht="16.5" customHeight="1" x14ac:dyDescent="0.25">
      <c r="A197" s="36">
        <v>1811040</v>
      </c>
      <c r="B197" s="37" t="s">
        <v>117</v>
      </c>
      <c r="C197" s="42">
        <v>64001</v>
      </c>
      <c r="D197" s="42" t="s">
        <v>75</v>
      </c>
      <c r="E197" s="37">
        <v>500</v>
      </c>
      <c r="F197" s="37">
        <v>1</v>
      </c>
      <c r="G197" s="37">
        <v>1</v>
      </c>
      <c r="H197" s="37"/>
      <c r="I197" s="37">
        <v>10000</v>
      </c>
      <c r="J197" s="37"/>
      <c r="K197" s="37"/>
      <c r="L197" s="38" t="b">
        <v>1</v>
      </c>
      <c r="M197" s="37"/>
      <c r="N197" s="37"/>
    </row>
    <row r="198" spans="1:14" ht="16.5" customHeight="1" x14ac:dyDescent="0.25">
      <c r="A198" s="36">
        <v>1811041</v>
      </c>
      <c r="B198" s="37" t="s">
        <v>118</v>
      </c>
      <c r="C198" s="36">
        <v>7230</v>
      </c>
      <c r="D198" s="36" t="s">
        <v>83</v>
      </c>
      <c r="E198" s="37">
        <v>5</v>
      </c>
      <c r="F198" s="37">
        <v>1</v>
      </c>
      <c r="G198" s="37">
        <v>1</v>
      </c>
      <c r="H198" s="37"/>
      <c r="I198" s="37">
        <v>10000</v>
      </c>
      <c r="J198" s="37"/>
      <c r="K198" s="37"/>
      <c r="L198" s="38" t="b">
        <v>1</v>
      </c>
      <c r="M198" s="37"/>
      <c r="N198" s="37"/>
    </row>
    <row r="199" spans="1:14" ht="16.5" customHeight="1" x14ac:dyDescent="0.25">
      <c r="A199" s="36">
        <v>1811042</v>
      </c>
      <c r="B199" s="37" t="s">
        <v>119</v>
      </c>
      <c r="C199" s="37">
        <v>6122</v>
      </c>
      <c r="D199" s="37" t="s">
        <v>84</v>
      </c>
      <c r="E199" s="37">
        <v>2</v>
      </c>
      <c r="F199" s="37">
        <v>1</v>
      </c>
      <c r="G199" s="37">
        <v>1</v>
      </c>
      <c r="H199" s="37"/>
      <c r="I199" s="37">
        <v>10000</v>
      </c>
      <c r="J199" s="37"/>
      <c r="K199" s="37"/>
      <c r="L199" s="38" t="b">
        <v>1</v>
      </c>
      <c r="M199" s="37"/>
      <c r="N199" s="37"/>
    </row>
    <row r="200" spans="1:14" ht="16.5" customHeight="1" x14ac:dyDescent="0.25">
      <c r="A200" s="36">
        <v>1811043</v>
      </c>
      <c r="B200" s="37" t="s">
        <v>120</v>
      </c>
      <c r="C200" s="37">
        <v>20000</v>
      </c>
      <c r="D200" s="37" t="s">
        <v>77</v>
      </c>
      <c r="E200" s="37">
        <v>6000</v>
      </c>
      <c r="F200" s="37">
        <v>1</v>
      </c>
      <c r="G200" s="37">
        <v>1</v>
      </c>
      <c r="H200" s="37"/>
      <c r="I200" s="37">
        <v>10000</v>
      </c>
      <c r="J200" s="37"/>
      <c r="K200" s="37"/>
      <c r="L200" s="38" t="b">
        <v>1</v>
      </c>
      <c r="M200" s="37"/>
      <c r="N200" s="37"/>
    </row>
    <row r="201" spans="1:14" ht="16.5" customHeight="1" x14ac:dyDescent="0.25">
      <c r="A201" s="36">
        <v>1811044</v>
      </c>
      <c r="B201" s="37" t="s">
        <v>121</v>
      </c>
      <c r="C201" s="37">
        <v>6142</v>
      </c>
      <c r="D201" s="37" t="s">
        <v>86</v>
      </c>
      <c r="E201" s="37">
        <v>2</v>
      </c>
      <c r="F201" s="37">
        <v>1</v>
      </c>
      <c r="G201" s="37">
        <v>1</v>
      </c>
      <c r="H201" s="37"/>
      <c r="I201" s="37">
        <v>10000</v>
      </c>
      <c r="J201" s="37"/>
      <c r="K201" s="37"/>
      <c r="L201" s="38" t="b">
        <v>1</v>
      </c>
      <c r="M201" s="37"/>
      <c r="N201" s="37"/>
    </row>
    <row r="202" spans="1:14" ht="16.5" customHeight="1" x14ac:dyDescent="0.25">
      <c r="A202" s="36">
        <v>1811045</v>
      </c>
      <c r="B202" s="37" t="s">
        <v>122</v>
      </c>
      <c r="C202" s="39">
        <v>7003</v>
      </c>
      <c r="D202" s="39" t="s">
        <v>85</v>
      </c>
      <c r="E202" s="37">
        <v>1000</v>
      </c>
      <c r="F202" s="37">
        <v>1</v>
      </c>
      <c r="G202" s="37">
        <v>1</v>
      </c>
      <c r="H202" s="37"/>
      <c r="I202" s="37">
        <v>10000</v>
      </c>
      <c r="J202" s="37"/>
      <c r="K202" s="37"/>
      <c r="L202" s="38" t="b">
        <v>1</v>
      </c>
      <c r="M202" s="37"/>
      <c r="N202" s="37"/>
    </row>
    <row r="203" spans="1:14" ht="16.5" customHeight="1" x14ac:dyDescent="0.25">
      <c r="A203" s="36">
        <v>1811046</v>
      </c>
      <c r="B203" s="37" t="s">
        <v>123</v>
      </c>
      <c r="C203" s="36">
        <v>7230</v>
      </c>
      <c r="D203" s="36" t="s">
        <v>83</v>
      </c>
      <c r="E203" s="37">
        <v>10</v>
      </c>
      <c r="F203" s="37">
        <v>1</v>
      </c>
      <c r="G203" s="37">
        <v>1</v>
      </c>
      <c r="H203" s="37"/>
      <c r="I203" s="37">
        <v>10000</v>
      </c>
      <c r="J203" s="37"/>
      <c r="K203" s="37"/>
      <c r="L203" s="38" t="b">
        <v>1</v>
      </c>
      <c r="M203" s="37"/>
      <c r="N203" s="37"/>
    </row>
    <row r="204" spans="1:14" ht="16.5" customHeight="1" x14ac:dyDescent="0.25">
      <c r="A204" s="36">
        <v>1811047</v>
      </c>
      <c r="B204" s="37" t="s">
        <v>124</v>
      </c>
      <c r="C204" s="37">
        <v>6102</v>
      </c>
      <c r="D204" s="37" t="s">
        <v>87</v>
      </c>
      <c r="E204" s="37">
        <v>3</v>
      </c>
      <c r="F204" s="37">
        <v>1</v>
      </c>
      <c r="G204" s="37">
        <v>1</v>
      </c>
      <c r="H204" s="37"/>
      <c r="I204" s="37">
        <v>10000</v>
      </c>
      <c r="J204" s="37"/>
      <c r="K204" s="37"/>
      <c r="L204" s="38" t="b">
        <v>1</v>
      </c>
      <c r="M204" s="37"/>
      <c r="N204" s="37"/>
    </row>
    <row r="205" spans="1:14" ht="16.5" customHeight="1" x14ac:dyDescent="0.25">
      <c r="A205" s="36">
        <v>1811048</v>
      </c>
      <c r="B205" s="37" t="s">
        <v>125</v>
      </c>
      <c r="C205" s="37">
        <v>20000</v>
      </c>
      <c r="D205" s="37" t="s">
        <v>77</v>
      </c>
      <c r="E205" s="37">
        <v>8000</v>
      </c>
      <c r="F205" s="37">
        <v>1</v>
      </c>
      <c r="G205" s="37">
        <v>1</v>
      </c>
      <c r="H205" s="37"/>
      <c r="I205" s="37">
        <v>10000</v>
      </c>
      <c r="J205" s="37"/>
      <c r="K205" s="37"/>
      <c r="L205" s="38" t="b">
        <v>1</v>
      </c>
      <c r="M205" s="37"/>
      <c r="N205" s="37"/>
    </row>
    <row r="206" spans="1:14" ht="16.5" customHeight="1" x14ac:dyDescent="0.25">
      <c r="A206" s="36">
        <v>1811049</v>
      </c>
      <c r="B206" s="37" t="s">
        <v>126</v>
      </c>
      <c r="C206" s="37">
        <v>2000003</v>
      </c>
      <c r="D206" s="37" t="s">
        <v>82</v>
      </c>
      <c r="E206" s="37">
        <v>5</v>
      </c>
      <c r="F206" s="37">
        <v>1</v>
      </c>
      <c r="G206" s="37">
        <v>1</v>
      </c>
      <c r="H206" s="37"/>
      <c r="I206" s="37">
        <v>10000</v>
      </c>
      <c r="J206" s="37"/>
      <c r="K206" s="37"/>
      <c r="L206" s="38" t="b">
        <v>1</v>
      </c>
      <c r="M206" s="37"/>
      <c r="N206" s="37"/>
    </row>
    <row r="207" spans="1:14" ht="16.5" customHeight="1" x14ac:dyDescent="0.25">
      <c r="A207" s="36">
        <v>1811050</v>
      </c>
      <c r="B207" s="37" t="s">
        <v>127</v>
      </c>
      <c r="C207" s="42">
        <v>64001</v>
      </c>
      <c r="D207" s="42" t="s">
        <v>75</v>
      </c>
      <c r="E207" s="37">
        <v>500</v>
      </c>
      <c r="F207" s="37">
        <v>1</v>
      </c>
      <c r="G207" s="37">
        <v>1</v>
      </c>
      <c r="H207" s="37"/>
      <c r="I207" s="37">
        <v>10000</v>
      </c>
      <c r="J207" s="37"/>
      <c r="K207" s="37"/>
      <c r="L207" s="38" t="b">
        <v>1</v>
      </c>
      <c r="M207" s="37"/>
      <c r="N207" s="37"/>
    </row>
    <row r="208" spans="1:14" s="44" customFormat="1" ht="16.5" customHeight="1" x14ac:dyDescent="0.25">
      <c r="A208" s="32">
        <v>1811051</v>
      </c>
      <c r="B208" s="45" t="s">
        <v>141</v>
      </c>
      <c r="C208" s="43">
        <v>2006</v>
      </c>
      <c r="D208" s="43" t="s">
        <v>137</v>
      </c>
      <c r="E208" s="47">
        <v>2</v>
      </c>
      <c r="F208" s="44">
        <v>4</v>
      </c>
      <c r="G208" s="44">
        <v>4</v>
      </c>
      <c r="I208" s="45">
        <v>10000</v>
      </c>
      <c r="J208" s="45"/>
      <c r="K208" s="45"/>
      <c r="L208" s="34" t="b">
        <v>1</v>
      </c>
    </row>
    <row r="209" spans="1:12" s="44" customFormat="1" ht="16.5" customHeight="1" x14ac:dyDescent="0.25">
      <c r="A209" s="47"/>
      <c r="B209" s="47"/>
      <c r="C209" s="48">
        <v>7228</v>
      </c>
      <c r="D209" s="48" t="s">
        <v>76</v>
      </c>
      <c r="E209" s="47">
        <v>10</v>
      </c>
      <c r="I209" s="45">
        <v>10000</v>
      </c>
      <c r="J209" s="45"/>
      <c r="K209" s="45"/>
      <c r="L209" s="34" t="b">
        <v>1</v>
      </c>
    </row>
    <row r="210" spans="1:12" s="44" customFormat="1" ht="16.5" customHeight="1" x14ac:dyDescent="0.25">
      <c r="A210" s="47"/>
      <c r="B210" s="47"/>
      <c r="C210" s="43">
        <v>20000</v>
      </c>
      <c r="D210" s="46" t="s">
        <v>138</v>
      </c>
      <c r="E210" s="47">
        <v>500</v>
      </c>
      <c r="I210" s="45">
        <v>10000</v>
      </c>
      <c r="J210" s="45"/>
      <c r="K210" s="45"/>
      <c r="L210" s="34" t="b">
        <v>1</v>
      </c>
    </row>
    <row r="211" spans="1:12" s="44" customFormat="1" ht="16.5" customHeight="1" x14ac:dyDescent="0.25">
      <c r="A211" s="47"/>
      <c r="B211" s="47"/>
      <c r="C211" s="48">
        <v>504</v>
      </c>
      <c r="D211" s="48" t="s">
        <v>139</v>
      </c>
      <c r="E211" s="47">
        <v>1</v>
      </c>
      <c r="I211" s="45">
        <v>10000</v>
      </c>
      <c r="J211" s="45"/>
      <c r="K211" s="45"/>
      <c r="L211" s="34" t="b">
        <v>1</v>
      </c>
    </row>
    <row r="212" spans="1:12" s="44" customFormat="1" ht="16.5" customHeight="1" x14ac:dyDescent="0.25">
      <c r="A212" s="32">
        <v>1811052</v>
      </c>
      <c r="B212" s="45" t="s">
        <v>142</v>
      </c>
      <c r="C212" s="43">
        <v>2006</v>
      </c>
      <c r="D212" s="43" t="s">
        <v>137</v>
      </c>
      <c r="E212" s="47">
        <v>4</v>
      </c>
      <c r="F212" s="44">
        <v>4</v>
      </c>
      <c r="G212" s="44">
        <v>4</v>
      </c>
      <c r="I212" s="45">
        <v>10000</v>
      </c>
      <c r="J212" s="45"/>
      <c r="K212" s="45"/>
      <c r="L212" s="34" t="b">
        <v>1</v>
      </c>
    </row>
    <row r="213" spans="1:12" s="44" customFormat="1" ht="16.5" customHeight="1" x14ac:dyDescent="0.25">
      <c r="A213" s="47"/>
      <c r="B213" s="47"/>
      <c r="C213" s="48">
        <v>7228</v>
      </c>
      <c r="D213" s="48" t="s">
        <v>76</v>
      </c>
      <c r="E213" s="47">
        <v>15</v>
      </c>
      <c r="I213" s="45">
        <v>10000</v>
      </c>
      <c r="J213" s="45"/>
      <c r="K213" s="45"/>
      <c r="L213" s="34" t="b">
        <v>1</v>
      </c>
    </row>
    <row r="214" spans="1:12" s="44" customFormat="1" ht="16.5" customHeight="1" x14ac:dyDescent="0.25">
      <c r="A214" s="47"/>
      <c r="B214" s="47"/>
      <c r="C214" s="43">
        <v>20000</v>
      </c>
      <c r="D214" s="46" t="s">
        <v>138</v>
      </c>
      <c r="E214" s="47">
        <v>550</v>
      </c>
      <c r="I214" s="45">
        <v>10000</v>
      </c>
      <c r="J214" s="45"/>
      <c r="K214" s="45"/>
      <c r="L214" s="34" t="b">
        <v>1</v>
      </c>
    </row>
    <row r="215" spans="1:12" s="44" customFormat="1" ht="16.5" customHeight="1" x14ac:dyDescent="0.25">
      <c r="A215" s="47"/>
      <c r="B215" s="47"/>
      <c r="C215" s="48">
        <v>504</v>
      </c>
      <c r="D215" s="48" t="s">
        <v>139</v>
      </c>
      <c r="E215" s="47">
        <v>2</v>
      </c>
      <c r="I215" s="45">
        <v>10000</v>
      </c>
      <c r="J215" s="45"/>
      <c r="K215" s="45"/>
      <c r="L215" s="34" t="b">
        <v>1</v>
      </c>
    </row>
    <row r="216" spans="1:12" s="44" customFormat="1" ht="16.5" customHeight="1" x14ac:dyDescent="0.25">
      <c r="A216" s="32">
        <v>1811053</v>
      </c>
      <c r="B216" s="45" t="s">
        <v>143</v>
      </c>
      <c r="C216" s="43">
        <v>2007</v>
      </c>
      <c r="D216" s="43" t="s">
        <v>140</v>
      </c>
      <c r="E216" s="47">
        <v>1</v>
      </c>
      <c r="F216" s="44">
        <v>4</v>
      </c>
      <c r="G216" s="44">
        <v>4</v>
      </c>
      <c r="I216" s="45">
        <v>10000</v>
      </c>
      <c r="J216" s="45"/>
      <c r="K216" s="45"/>
      <c r="L216" s="34" t="b">
        <v>1</v>
      </c>
    </row>
    <row r="217" spans="1:12" s="44" customFormat="1" ht="16.5" customHeight="1" x14ac:dyDescent="0.25">
      <c r="A217" s="47"/>
      <c r="B217" s="47"/>
      <c r="C217" s="48">
        <v>7228</v>
      </c>
      <c r="D217" s="48" t="s">
        <v>76</v>
      </c>
      <c r="E217" s="47">
        <v>20</v>
      </c>
      <c r="I217" s="45">
        <v>10000</v>
      </c>
      <c r="J217" s="45"/>
      <c r="K217" s="45"/>
      <c r="L217" s="34" t="b">
        <v>1</v>
      </c>
    </row>
    <row r="218" spans="1:12" s="44" customFormat="1" ht="16.5" customHeight="1" x14ac:dyDescent="0.25">
      <c r="A218" s="47"/>
      <c r="B218" s="47"/>
      <c r="C218" s="43">
        <v>20000</v>
      </c>
      <c r="D218" s="46" t="s">
        <v>138</v>
      </c>
      <c r="E218" s="47">
        <v>600</v>
      </c>
      <c r="I218" s="45">
        <v>10000</v>
      </c>
      <c r="J218" s="45"/>
      <c r="K218" s="45"/>
      <c r="L218" s="34" t="b">
        <v>1</v>
      </c>
    </row>
    <row r="219" spans="1:12" s="44" customFormat="1" ht="16.5" customHeight="1" x14ac:dyDescent="0.25">
      <c r="A219" s="47"/>
      <c r="B219" s="47"/>
      <c r="C219" s="48">
        <v>504</v>
      </c>
      <c r="D219" s="48" t="s">
        <v>139</v>
      </c>
      <c r="E219" s="47">
        <v>3</v>
      </c>
      <c r="I219" s="45">
        <v>10000</v>
      </c>
      <c r="J219" s="45"/>
      <c r="K219" s="45"/>
      <c r="L219" s="34" t="b">
        <v>1</v>
      </c>
    </row>
    <row r="220" spans="1:12" s="44" customFormat="1" ht="16.5" customHeight="1" x14ac:dyDescent="0.25">
      <c r="A220" s="32">
        <v>1811054</v>
      </c>
      <c r="B220" s="45" t="s">
        <v>144</v>
      </c>
      <c r="C220" s="43">
        <v>2007</v>
      </c>
      <c r="D220" s="43" t="s">
        <v>140</v>
      </c>
      <c r="E220" s="47">
        <v>2</v>
      </c>
      <c r="F220" s="44">
        <v>4</v>
      </c>
      <c r="G220" s="44">
        <v>4</v>
      </c>
      <c r="I220" s="45">
        <v>10000</v>
      </c>
      <c r="J220" s="45"/>
      <c r="K220" s="45"/>
      <c r="L220" s="34" t="b">
        <v>1</v>
      </c>
    </row>
    <row r="221" spans="1:12" s="44" customFormat="1" ht="16.5" customHeight="1" x14ac:dyDescent="0.25">
      <c r="A221" s="47"/>
      <c r="B221" s="47"/>
      <c r="C221" s="48">
        <v>7228</v>
      </c>
      <c r="D221" s="48" t="s">
        <v>76</v>
      </c>
      <c r="E221" s="47">
        <v>25</v>
      </c>
      <c r="I221" s="45">
        <v>10000</v>
      </c>
      <c r="J221" s="45"/>
      <c r="K221" s="45"/>
      <c r="L221" s="34" t="b">
        <v>1</v>
      </c>
    </row>
    <row r="222" spans="1:12" s="44" customFormat="1" ht="16.5" customHeight="1" x14ac:dyDescent="0.25">
      <c r="A222" s="47"/>
      <c r="B222" s="47"/>
      <c r="C222" s="43">
        <v>20000</v>
      </c>
      <c r="D222" s="46" t="s">
        <v>138</v>
      </c>
      <c r="E222" s="47">
        <v>650</v>
      </c>
      <c r="I222" s="45">
        <v>10000</v>
      </c>
      <c r="J222" s="45"/>
      <c r="K222" s="45"/>
      <c r="L222" s="34" t="b">
        <v>1</v>
      </c>
    </row>
    <row r="223" spans="1:12" s="44" customFormat="1" ht="16.5" customHeight="1" x14ac:dyDescent="0.25">
      <c r="A223" s="47"/>
      <c r="B223" s="47"/>
      <c r="C223" s="48">
        <v>504</v>
      </c>
      <c r="D223" s="48" t="s">
        <v>139</v>
      </c>
      <c r="E223" s="47">
        <v>4</v>
      </c>
      <c r="I223" s="45">
        <v>10000</v>
      </c>
      <c r="J223" s="45"/>
      <c r="K223" s="45"/>
      <c r="L223" s="34" t="b">
        <v>1</v>
      </c>
    </row>
    <row r="224" spans="1:12" s="44" customFormat="1" ht="16.5" customHeight="1" x14ac:dyDescent="0.25">
      <c r="A224" s="32">
        <v>1811055</v>
      </c>
      <c r="B224" s="45" t="s">
        <v>145</v>
      </c>
      <c r="C224" s="43">
        <v>2007</v>
      </c>
      <c r="D224" s="43" t="s">
        <v>140</v>
      </c>
      <c r="E224" s="47">
        <v>3</v>
      </c>
      <c r="F224" s="44">
        <v>4</v>
      </c>
      <c r="G224" s="44">
        <v>4</v>
      </c>
      <c r="I224" s="45">
        <v>10000</v>
      </c>
      <c r="J224" s="45"/>
      <c r="K224" s="45"/>
      <c r="L224" s="34" t="b">
        <v>1</v>
      </c>
    </row>
    <row r="225" spans="1:12" s="44" customFormat="1" ht="16.5" customHeight="1" x14ac:dyDescent="0.25">
      <c r="A225" s="47"/>
      <c r="B225" s="47"/>
      <c r="C225" s="48">
        <v>7228</v>
      </c>
      <c r="D225" s="48" t="s">
        <v>76</v>
      </c>
      <c r="E225" s="47">
        <v>30</v>
      </c>
      <c r="I225" s="45">
        <v>10000</v>
      </c>
      <c r="J225" s="45"/>
      <c r="K225" s="45"/>
      <c r="L225" s="34" t="b">
        <v>1</v>
      </c>
    </row>
    <row r="226" spans="1:12" s="44" customFormat="1" ht="16.5" customHeight="1" x14ac:dyDescent="0.25">
      <c r="A226" s="47"/>
      <c r="B226" s="47"/>
      <c r="C226" s="43">
        <v>20000</v>
      </c>
      <c r="D226" s="46" t="s">
        <v>138</v>
      </c>
      <c r="E226" s="47">
        <v>700</v>
      </c>
      <c r="I226" s="45">
        <v>10000</v>
      </c>
      <c r="J226" s="45"/>
      <c r="K226" s="45"/>
      <c r="L226" s="34" t="b">
        <v>1</v>
      </c>
    </row>
    <row r="227" spans="1:12" s="44" customFormat="1" ht="16.5" customHeight="1" x14ac:dyDescent="0.25">
      <c r="A227" s="47"/>
      <c r="B227" s="47"/>
      <c r="C227" s="48">
        <v>504</v>
      </c>
      <c r="D227" s="48" t="s">
        <v>139</v>
      </c>
      <c r="E227" s="47">
        <v>5</v>
      </c>
      <c r="I227" s="45">
        <v>10000</v>
      </c>
      <c r="J227" s="45"/>
      <c r="K227" s="45"/>
      <c r="L227" s="34" t="b">
        <v>1</v>
      </c>
    </row>
    <row r="228" spans="1:12" s="44" customFormat="1" ht="16.5" customHeight="1" x14ac:dyDescent="0.25">
      <c r="A228" s="32">
        <v>1811056</v>
      </c>
      <c r="B228" s="47" t="s">
        <v>146</v>
      </c>
      <c r="C228" s="43">
        <v>5201</v>
      </c>
      <c r="D228" s="43" t="s">
        <v>147</v>
      </c>
      <c r="E228" s="47">
        <v>1</v>
      </c>
      <c r="F228" s="44">
        <v>4</v>
      </c>
      <c r="G228" s="44">
        <v>4</v>
      </c>
      <c r="I228" s="45">
        <v>10000</v>
      </c>
      <c r="J228" s="45"/>
      <c r="K228" s="45"/>
      <c r="L228" s="34" t="b">
        <v>1</v>
      </c>
    </row>
    <row r="229" spans="1:12" s="44" customFormat="1" ht="16.5" customHeight="1" x14ac:dyDescent="0.25">
      <c r="A229" s="47"/>
      <c r="B229" s="47"/>
      <c r="C229" s="43">
        <v>5301</v>
      </c>
      <c r="D229" s="43" t="s">
        <v>148</v>
      </c>
      <c r="E229" s="47">
        <v>1</v>
      </c>
      <c r="I229" s="45">
        <v>10000</v>
      </c>
      <c r="J229" s="45"/>
      <c r="K229" s="45"/>
      <c r="L229" s="34" t="b">
        <v>1</v>
      </c>
    </row>
    <row r="230" spans="1:12" s="44" customFormat="1" ht="16.5" customHeight="1" x14ac:dyDescent="0.25">
      <c r="A230" s="47"/>
      <c r="B230" s="47"/>
      <c r="C230" s="43">
        <v>6165</v>
      </c>
      <c r="D230" s="43" t="s">
        <v>149</v>
      </c>
      <c r="E230" s="47">
        <v>20</v>
      </c>
      <c r="I230" s="45">
        <v>10000</v>
      </c>
      <c r="J230" s="45"/>
      <c r="K230" s="45"/>
      <c r="L230" s="34" t="b">
        <v>1</v>
      </c>
    </row>
    <row r="231" spans="1:12" s="44" customFormat="1" ht="16.5" customHeight="1" x14ac:dyDescent="0.25">
      <c r="A231" s="47"/>
      <c r="B231" s="47"/>
      <c r="C231" s="43">
        <v>502</v>
      </c>
      <c r="D231" s="43" t="s">
        <v>79</v>
      </c>
      <c r="E231" s="47">
        <v>100</v>
      </c>
      <c r="I231" s="45">
        <v>10000</v>
      </c>
      <c r="J231" s="45"/>
      <c r="K231" s="45"/>
      <c r="L231" s="34" t="b">
        <v>1</v>
      </c>
    </row>
    <row r="232" spans="1:12" s="44" customFormat="1" ht="16.5" customHeight="1" x14ac:dyDescent="0.25">
      <c r="A232" s="49">
        <v>1811057</v>
      </c>
      <c r="B232" s="47" t="s">
        <v>150</v>
      </c>
      <c r="C232" s="43">
        <v>5301</v>
      </c>
      <c r="D232" s="43" t="s">
        <v>148</v>
      </c>
      <c r="E232" s="47">
        <v>1</v>
      </c>
      <c r="F232" s="44">
        <v>3</v>
      </c>
      <c r="G232" s="44">
        <v>3</v>
      </c>
      <c r="I232" s="45">
        <v>10000</v>
      </c>
      <c r="J232" s="45"/>
      <c r="K232" s="45"/>
      <c r="L232" s="34" t="b">
        <v>1</v>
      </c>
    </row>
    <row r="233" spans="1:12" s="44" customFormat="1" ht="16.5" customHeight="1" x14ac:dyDescent="0.25">
      <c r="A233" s="49"/>
      <c r="B233" s="47"/>
      <c r="C233" s="43">
        <v>6165</v>
      </c>
      <c r="D233" s="43" t="s">
        <v>149</v>
      </c>
      <c r="E233" s="47">
        <v>15</v>
      </c>
      <c r="I233" s="45">
        <v>10000</v>
      </c>
      <c r="J233" s="45"/>
      <c r="K233" s="45"/>
      <c r="L233" s="34" t="b">
        <v>1</v>
      </c>
    </row>
    <row r="234" spans="1:12" s="44" customFormat="1" ht="16.5" customHeight="1" x14ac:dyDescent="0.25">
      <c r="A234" s="49"/>
      <c r="B234" s="47"/>
      <c r="C234" s="43">
        <v>502</v>
      </c>
      <c r="D234" s="43" t="s">
        <v>79</v>
      </c>
      <c r="E234" s="47">
        <v>75</v>
      </c>
      <c r="I234" s="45">
        <v>10000</v>
      </c>
      <c r="J234" s="45"/>
      <c r="K234" s="45"/>
      <c r="L234" s="34" t="b">
        <v>1</v>
      </c>
    </row>
    <row r="235" spans="1:12" s="44" customFormat="1" ht="16.5" customHeight="1" x14ac:dyDescent="0.25">
      <c r="A235" s="49">
        <v>1811058</v>
      </c>
      <c r="B235" s="47" t="s">
        <v>151</v>
      </c>
      <c r="C235" s="43">
        <v>5200</v>
      </c>
      <c r="D235" s="43" t="s">
        <v>152</v>
      </c>
      <c r="E235" s="47">
        <v>1</v>
      </c>
      <c r="F235" s="44">
        <v>4</v>
      </c>
      <c r="G235" s="44">
        <v>4</v>
      </c>
      <c r="I235" s="45">
        <v>10000</v>
      </c>
      <c r="J235" s="45"/>
      <c r="K235" s="45"/>
      <c r="L235" s="34" t="b">
        <v>1</v>
      </c>
    </row>
    <row r="236" spans="1:12" s="44" customFormat="1" ht="16.5" customHeight="1" x14ac:dyDescent="0.25">
      <c r="A236" s="49"/>
      <c r="B236" s="47" t="s">
        <v>153</v>
      </c>
      <c r="C236" s="43">
        <v>5300</v>
      </c>
      <c r="D236" s="43" t="s">
        <v>154</v>
      </c>
      <c r="E236" s="47">
        <v>1</v>
      </c>
      <c r="I236" s="45">
        <v>10000</v>
      </c>
      <c r="J236" s="45"/>
      <c r="K236" s="45"/>
      <c r="L236" s="34" t="b">
        <v>1</v>
      </c>
    </row>
    <row r="237" spans="1:12" s="44" customFormat="1" ht="16.5" customHeight="1" x14ac:dyDescent="0.25">
      <c r="A237" s="49"/>
      <c r="B237" s="47" t="s">
        <v>153</v>
      </c>
      <c r="C237" s="43">
        <v>6165</v>
      </c>
      <c r="D237" s="43" t="s">
        <v>149</v>
      </c>
      <c r="E237" s="47">
        <v>10</v>
      </c>
      <c r="I237" s="45">
        <v>10000</v>
      </c>
      <c r="J237" s="45"/>
      <c r="K237" s="45"/>
      <c r="L237" s="34" t="b">
        <v>1</v>
      </c>
    </row>
    <row r="238" spans="1:12" s="44" customFormat="1" ht="16.5" customHeight="1" x14ac:dyDescent="0.25">
      <c r="A238" s="49"/>
      <c r="B238" s="47" t="s">
        <v>153</v>
      </c>
      <c r="C238" s="43">
        <v>502</v>
      </c>
      <c r="D238" s="43" t="s">
        <v>79</v>
      </c>
      <c r="E238" s="47">
        <v>50</v>
      </c>
      <c r="I238" s="45">
        <v>10000</v>
      </c>
      <c r="J238" s="45"/>
      <c r="K238" s="45"/>
      <c r="L238" s="34" t="b">
        <v>1</v>
      </c>
    </row>
    <row r="239" spans="1:12" s="44" customFormat="1" ht="16.5" customHeight="1" x14ac:dyDescent="0.25">
      <c r="A239" s="49">
        <v>1811059</v>
      </c>
      <c r="B239" s="47" t="s">
        <v>155</v>
      </c>
      <c r="C239" s="43">
        <v>5300</v>
      </c>
      <c r="D239" s="43" t="s">
        <v>154</v>
      </c>
      <c r="E239" s="47">
        <v>1</v>
      </c>
      <c r="F239" s="44">
        <v>3</v>
      </c>
      <c r="G239" s="44">
        <v>3</v>
      </c>
      <c r="I239" s="45">
        <v>10000</v>
      </c>
      <c r="J239" s="45"/>
      <c r="K239" s="45"/>
      <c r="L239" s="34" t="b">
        <v>1</v>
      </c>
    </row>
    <row r="240" spans="1:12" s="44" customFormat="1" ht="16.5" customHeight="1" x14ac:dyDescent="0.25">
      <c r="A240" s="49"/>
      <c r="B240" s="47" t="s">
        <v>153</v>
      </c>
      <c r="C240" s="43">
        <v>6165</v>
      </c>
      <c r="D240" s="43" t="s">
        <v>149</v>
      </c>
      <c r="E240" s="47">
        <v>8</v>
      </c>
      <c r="I240" s="45">
        <v>10000</v>
      </c>
      <c r="J240" s="45"/>
      <c r="K240" s="45"/>
      <c r="L240" s="34" t="b">
        <v>1</v>
      </c>
    </row>
    <row r="241" spans="1:13" s="44" customFormat="1" ht="16.5" customHeight="1" x14ac:dyDescent="0.25">
      <c r="A241" s="49"/>
      <c r="B241" s="47" t="s">
        <v>153</v>
      </c>
      <c r="C241" s="43">
        <v>502</v>
      </c>
      <c r="D241" s="43" t="s">
        <v>79</v>
      </c>
      <c r="E241" s="47">
        <v>40</v>
      </c>
      <c r="I241" s="45">
        <v>10000</v>
      </c>
      <c r="J241" s="45"/>
      <c r="K241" s="45"/>
      <c r="L241" s="34" t="b">
        <v>1</v>
      </c>
    </row>
    <row r="242" spans="1:13" s="44" customFormat="1" ht="16.5" customHeight="1" x14ac:dyDescent="0.25">
      <c r="A242" s="49">
        <v>1811060</v>
      </c>
      <c r="B242" s="47" t="s">
        <v>156</v>
      </c>
      <c r="C242" s="43">
        <v>6165</v>
      </c>
      <c r="D242" s="43" t="s">
        <v>149</v>
      </c>
      <c r="E242" s="47">
        <v>6</v>
      </c>
      <c r="F242" s="44">
        <v>2</v>
      </c>
      <c r="G242" s="44">
        <v>2</v>
      </c>
      <c r="I242" s="45">
        <v>10000</v>
      </c>
      <c r="J242" s="45"/>
      <c r="K242" s="45"/>
      <c r="L242" s="34" t="b">
        <v>1</v>
      </c>
    </row>
    <row r="243" spans="1:13" s="44" customFormat="1" ht="16.5" customHeight="1" x14ac:dyDescent="0.25">
      <c r="A243" s="49"/>
      <c r="B243" s="47" t="s">
        <v>153</v>
      </c>
      <c r="C243" s="43">
        <v>502</v>
      </c>
      <c r="D243" s="43" t="s">
        <v>79</v>
      </c>
      <c r="E243" s="47">
        <v>30</v>
      </c>
      <c r="I243" s="45">
        <v>10000</v>
      </c>
      <c r="J243" s="45"/>
      <c r="K243" s="45"/>
      <c r="L243" s="34" t="b">
        <v>1</v>
      </c>
    </row>
    <row r="244" spans="1:13" s="44" customFormat="1" ht="16.5" customHeight="1" x14ac:dyDescent="0.25">
      <c r="A244" s="49">
        <v>1811061</v>
      </c>
      <c r="B244" s="47" t="s">
        <v>157</v>
      </c>
      <c r="C244" s="43">
        <v>6165</v>
      </c>
      <c r="D244" s="43" t="s">
        <v>149</v>
      </c>
      <c r="E244" s="47">
        <v>4</v>
      </c>
      <c r="F244" s="44">
        <v>2</v>
      </c>
      <c r="G244" s="44">
        <v>2</v>
      </c>
      <c r="I244" s="45">
        <v>10000</v>
      </c>
      <c r="J244" s="45"/>
      <c r="K244" s="45"/>
      <c r="L244" s="34" t="b">
        <v>1</v>
      </c>
    </row>
    <row r="245" spans="1:13" s="44" customFormat="1" ht="16.5" customHeight="1" x14ac:dyDescent="0.25">
      <c r="A245" s="49"/>
      <c r="B245" s="47" t="s">
        <v>153</v>
      </c>
      <c r="C245" s="43">
        <v>502</v>
      </c>
      <c r="D245" s="43" t="s">
        <v>79</v>
      </c>
      <c r="E245" s="47">
        <v>20</v>
      </c>
      <c r="I245" s="45">
        <v>10000</v>
      </c>
      <c r="J245" s="45"/>
      <c r="K245" s="45"/>
      <c r="L245" s="34" t="b">
        <v>1</v>
      </c>
    </row>
    <row r="246" spans="1:13" s="44" customFormat="1" ht="16.5" customHeight="1" x14ac:dyDescent="0.25">
      <c r="A246" s="49">
        <v>1811062</v>
      </c>
      <c r="B246" s="47" t="s">
        <v>158</v>
      </c>
      <c r="C246" s="43">
        <v>6165</v>
      </c>
      <c r="D246" s="43" t="s">
        <v>149</v>
      </c>
      <c r="E246" s="47">
        <v>2</v>
      </c>
      <c r="F246" s="44">
        <v>2</v>
      </c>
      <c r="G246" s="44">
        <v>2</v>
      </c>
      <c r="I246" s="45">
        <v>10000</v>
      </c>
      <c r="J246" s="45"/>
      <c r="K246" s="45"/>
      <c r="L246" s="34" t="b">
        <v>1</v>
      </c>
    </row>
    <row r="247" spans="1:13" s="44" customFormat="1" ht="16.5" customHeight="1" x14ac:dyDescent="0.25">
      <c r="A247" s="49"/>
      <c r="B247" s="47" t="s">
        <v>153</v>
      </c>
      <c r="C247" s="43">
        <v>502</v>
      </c>
      <c r="D247" s="43" t="s">
        <v>79</v>
      </c>
      <c r="E247" s="47">
        <v>10</v>
      </c>
      <c r="I247" s="45">
        <v>10000</v>
      </c>
      <c r="J247" s="45"/>
      <c r="K247" s="45"/>
      <c r="L247" s="34" t="b">
        <v>1</v>
      </c>
    </row>
    <row r="248" spans="1:13" s="44" customFormat="1" ht="16.5" customHeight="1" x14ac:dyDescent="0.25">
      <c r="A248" s="49">
        <v>1811063</v>
      </c>
      <c r="B248" s="47" t="s">
        <v>159</v>
      </c>
      <c r="C248" s="43">
        <v>6165</v>
      </c>
      <c r="D248" s="43" t="s">
        <v>149</v>
      </c>
      <c r="E248" s="47">
        <v>1</v>
      </c>
      <c r="F248" s="44">
        <v>2</v>
      </c>
      <c r="G248" s="44">
        <v>2</v>
      </c>
      <c r="I248" s="45">
        <v>10000</v>
      </c>
      <c r="J248" s="45"/>
      <c r="K248" s="45"/>
      <c r="L248" s="34" t="b">
        <v>1</v>
      </c>
    </row>
    <row r="249" spans="1:13" s="44" customFormat="1" ht="16.5" customHeight="1" x14ac:dyDescent="0.25">
      <c r="A249" s="47"/>
      <c r="B249" s="47"/>
      <c r="C249" s="43">
        <v>502</v>
      </c>
      <c r="D249" s="43" t="s">
        <v>79</v>
      </c>
      <c r="E249" s="47">
        <v>5</v>
      </c>
      <c r="I249" s="45">
        <v>10000</v>
      </c>
      <c r="J249" s="45"/>
      <c r="K249" s="45"/>
      <c r="L249" s="34" t="b">
        <v>1</v>
      </c>
    </row>
    <row r="250" spans="1:13" ht="16.5" customHeight="1" x14ac:dyDescent="0.25">
      <c r="A250" s="49">
        <v>1811064</v>
      </c>
      <c r="B250" s="45" t="s">
        <v>160</v>
      </c>
      <c r="C250" s="32">
        <v>517</v>
      </c>
      <c r="D250" s="43" t="s">
        <v>161</v>
      </c>
      <c r="E250" s="45">
        <v>100</v>
      </c>
      <c r="F250" s="45">
        <v>1</v>
      </c>
      <c r="G250" s="45">
        <v>1</v>
      </c>
      <c r="H250" s="45"/>
      <c r="I250" s="32">
        <v>10000</v>
      </c>
      <c r="J250" s="32"/>
      <c r="K250" s="32"/>
      <c r="L250" s="34" t="b">
        <v>1</v>
      </c>
      <c r="M250" s="32"/>
    </row>
    <row r="251" spans="1:13" ht="16.5" customHeight="1" x14ac:dyDescent="0.25">
      <c r="A251" s="49">
        <v>1811065</v>
      </c>
      <c r="B251" s="45" t="s">
        <v>162</v>
      </c>
      <c r="C251" s="32">
        <v>6105</v>
      </c>
      <c r="D251" s="43" t="s">
        <v>166</v>
      </c>
      <c r="E251" s="45">
        <v>500</v>
      </c>
      <c r="F251" s="45">
        <v>1</v>
      </c>
      <c r="G251" s="45">
        <v>1</v>
      </c>
      <c r="H251" s="45"/>
      <c r="I251" s="32">
        <v>10000</v>
      </c>
      <c r="J251" s="32"/>
      <c r="K251" s="32"/>
      <c r="L251" s="34" t="b">
        <v>1</v>
      </c>
    </row>
    <row r="252" spans="1:13" ht="16.5" customHeight="1" x14ac:dyDescent="0.25">
      <c r="A252" s="49">
        <v>1811066</v>
      </c>
      <c r="B252" s="45" t="s">
        <v>163</v>
      </c>
      <c r="C252" s="32">
        <v>123002</v>
      </c>
      <c r="D252" s="43" t="s">
        <v>167</v>
      </c>
      <c r="E252" s="45">
        <v>30</v>
      </c>
      <c r="F252" s="45">
        <v>1</v>
      </c>
      <c r="G252" s="45">
        <v>1</v>
      </c>
      <c r="H252" s="45"/>
      <c r="I252" s="32">
        <v>10000</v>
      </c>
      <c r="J252" s="32"/>
      <c r="K252" s="32"/>
      <c r="L252" s="34" t="b">
        <v>1</v>
      </c>
    </row>
    <row r="253" spans="1:13" ht="16.5" customHeight="1" x14ac:dyDescent="0.25">
      <c r="A253" s="49">
        <v>1811067</v>
      </c>
      <c r="B253" s="45" t="s">
        <v>164</v>
      </c>
      <c r="C253" s="32">
        <v>56216</v>
      </c>
      <c r="D253" s="43" t="s">
        <v>168</v>
      </c>
      <c r="E253" s="45">
        <v>20</v>
      </c>
      <c r="F253" s="45">
        <v>1</v>
      </c>
      <c r="G253" s="45">
        <v>1</v>
      </c>
      <c r="H253" s="45"/>
      <c r="I253" s="32">
        <v>10000</v>
      </c>
      <c r="J253" s="32"/>
      <c r="K253" s="32"/>
      <c r="L253" s="34" t="b">
        <v>1</v>
      </c>
    </row>
    <row r="254" spans="1:13" ht="16.5" customHeight="1" x14ac:dyDescent="0.25">
      <c r="A254" s="49">
        <v>1811068</v>
      </c>
      <c r="B254" s="45" t="s">
        <v>165</v>
      </c>
      <c r="C254" s="32">
        <v>2000003</v>
      </c>
      <c r="D254" s="43" t="s">
        <v>169</v>
      </c>
      <c r="E254" s="45">
        <v>50</v>
      </c>
      <c r="F254" s="45">
        <v>1</v>
      </c>
      <c r="G254" s="45">
        <v>1</v>
      </c>
      <c r="H254" s="45"/>
      <c r="I254" s="32">
        <v>10000</v>
      </c>
      <c r="J254" s="32"/>
      <c r="K254" s="32"/>
      <c r="L254" s="34" t="b">
        <v>1</v>
      </c>
    </row>
    <row r="255" spans="1:13" ht="16.5" customHeight="1" x14ac:dyDescent="0.25">
      <c r="A255" s="49">
        <v>1811069</v>
      </c>
      <c r="B255" s="45" t="s">
        <v>170</v>
      </c>
      <c r="C255" s="32">
        <v>56198</v>
      </c>
      <c r="D255" s="43" t="s">
        <v>171</v>
      </c>
      <c r="E255" s="45">
        <v>8</v>
      </c>
      <c r="F255" s="45">
        <v>1</v>
      </c>
      <c r="G255" s="45">
        <v>1</v>
      </c>
      <c r="H255" s="45"/>
      <c r="I255" s="32">
        <v>10000</v>
      </c>
      <c r="J255" s="32"/>
      <c r="K255" s="32"/>
      <c r="L255" s="34" t="b">
        <v>1</v>
      </c>
    </row>
    <row r="256" spans="1:13" ht="16.5" customHeight="1" x14ac:dyDescent="0.25">
      <c r="A256" s="53">
        <v>1811101</v>
      </c>
      <c r="B256" s="54" t="s">
        <v>172</v>
      </c>
      <c r="C256" s="55">
        <v>64008</v>
      </c>
      <c r="D256" s="56" t="s">
        <v>173</v>
      </c>
      <c r="E256" s="54">
        <v>10</v>
      </c>
      <c r="F256" s="54">
        <v>1</v>
      </c>
      <c r="G256" s="54">
        <v>1</v>
      </c>
      <c r="H256" s="54"/>
      <c r="I256" s="55">
        <v>10000</v>
      </c>
      <c r="J256" s="55"/>
      <c r="K256" s="55"/>
      <c r="L256" s="57" t="b">
        <v>1</v>
      </c>
    </row>
    <row r="257" spans="1:12" ht="16.5" customHeight="1" x14ac:dyDescent="0.25">
      <c r="A257" s="53">
        <v>1811102</v>
      </c>
      <c r="B257" s="54" t="s">
        <v>247</v>
      </c>
      <c r="C257" s="55">
        <v>64008</v>
      </c>
      <c r="D257" s="56" t="s">
        <v>173</v>
      </c>
      <c r="E257" s="54">
        <v>20</v>
      </c>
      <c r="F257" s="54">
        <v>1</v>
      </c>
      <c r="G257" s="54">
        <v>1</v>
      </c>
      <c r="H257" s="54"/>
      <c r="I257" s="55">
        <v>10000</v>
      </c>
      <c r="J257" s="55"/>
      <c r="K257" s="55"/>
      <c r="L257" s="57" t="b">
        <v>1</v>
      </c>
    </row>
    <row r="258" spans="1:12" ht="16.5" customHeight="1" x14ac:dyDescent="0.25">
      <c r="A258" s="53">
        <v>1811103</v>
      </c>
      <c r="B258" s="54" t="s">
        <v>248</v>
      </c>
      <c r="C258" s="55">
        <v>64008</v>
      </c>
      <c r="D258" s="56" t="s">
        <v>173</v>
      </c>
      <c r="E258" s="54">
        <v>100</v>
      </c>
      <c r="F258" s="54">
        <v>1</v>
      </c>
      <c r="G258" s="54">
        <v>1</v>
      </c>
      <c r="H258" s="54"/>
      <c r="I258" s="55">
        <v>10000</v>
      </c>
      <c r="J258" s="55"/>
      <c r="K258" s="55"/>
      <c r="L258" s="57" t="b">
        <v>1</v>
      </c>
    </row>
    <row r="259" spans="1:12" ht="16.5" customHeight="1" x14ac:dyDescent="0.25">
      <c r="A259" s="53">
        <v>1811110</v>
      </c>
      <c r="B259" s="54" t="s">
        <v>249</v>
      </c>
      <c r="C259" s="32">
        <v>123002</v>
      </c>
      <c r="D259" s="43" t="s">
        <v>167</v>
      </c>
      <c r="E259" s="54">
        <v>1</v>
      </c>
      <c r="F259" s="54">
        <v>1</v>
      </c>
      <c r="G259" s="54">
        <v>1</v>
      </c>
      <c r="H259" s="54"/>
      <c r="I259" s="55">
        <v>10000</v>
      </c>
      <c r="J259" s="55"/>
      <c r="K259" s="55"/>
      <c r="L259" s="57" t="b">
        <v>1</v>
      </c>
    </row>
    <row r="260" spans="1:12" ht="16.5" customHeight="1" x14ac:dyDescent="0.25">
      <c r="A260" s="53"/>
      <c r="B260" s="54"/>
      <c r="C260" s="55">
        <v>56202</v>
      </c>
      <c r="D260" s="52" t="s">
        <v>244</v>
      </c>
      <c r="E260" s="52">
        <v>1</v>
      </c>
      <c r="F260" s="54">
        <v>1</v>
      </c>
      <c r="G260" s="54">
        <v>1</v>
      </c>
      <c r="H260" s="54"/>
      <c r="I260" s="55">
        <v>10000</v>
      </c>
      <c r="J260" s="55"/>
      <c r="K260" s="55"/>
      <c r="L260" s="57" t="b">
        <v>1</v>
      </c>
    </row>
    <row r="261" spans="1:12" ht="16.5" customHeight="1" x14ac:dyDescent="0.25">
      <c r="A261" s="53"/>
      <c r="B261" s="54"/>
      <c r="C261" s="55">
        <v>56005</v>
      </c>
      <c r="D261" s="52" t="s">
        <v>205</v>
      </c>
      <c r="E261" s="52">
        <v>5</v>
      </c>
      <c r="F261" s="54">
        <v>1</v>
      </c>
      <c r="G261" s="54">
        <v>1</v>
      </c>
      <c r="H261" s="54"/>
      <c r="I261" s="55">
        <v>10000</v>
      </c>
      <c r="J261" s="55"/>
      <c r="K261" s="55"/>
      <c r="L261" s="57" t="b">
        <v>1</v>
      </c>
    </row>
    <row r="262" spans="1:12" ht="16.5" customHeight="1" x14ac:dyDescent="0.25">
      <c r="A262" s="53"/>
      <c r="B262" s="54"/>
      <c r="C262" s="55">
        <v>56216</v>
      </c>
      <c r="D262" s="52" t="s">
        <v>245</v>
      </c>
      <c r="E262" s="52">
        <v>1</v>
      </c>
      <c r="F262" s="54">
        <v>1</v>
      </c>
      <c r="G262" s="54">
        <v>1</v>
      </c>
      <c r="H262" s="54"/>
      <c r="I262" s="55">
        <v>10000</v>
      </c>
      <c r="J262" s="55"/>
      <c r="K262" s="55"/>
      <c r="L262" s="57" t="b">
        <v>1</v>
      </c>
    </row>
    <row r="263" spans="1:12" ht="16.5" customHeight="1" x14ac:dyDescent="0.25">
      <c r="A263" s="53">
        <v>1811111</v>
      </c>
      <c r="B263" s="54" t="s">
        <v>174</v>
      </c>
      <c r="C263" s="55">
        <v>7229</v>
      </c>
      <c r="D263" s="56" t="s">
        <v>197</v>
      </c>
      <c r="E263" s="54">
        <v>5</v>
      </c>
      <c r="F263" s="54">
        <v>3</v>
      </c>
      <c r="G263" s="54">
        <v>3</v>
      </c>
      <c r="H263" s="54"/>
      <c r="I263" s="55">
        <v>10000</v>
      </c>
      <c r="J263" s="55"/>
      <c r="K263" s="55"/>
      <c r="L263" s="57" t="b">
        <v>1</v>
      </c>
    </row>
    <row r="264" spans="1:12" ht="16.5" customHeight="1" x14ac:dyDescent="0.25">
      <c r="A264" s="53"/>
      <c r="B264" s="6"/>
      <c r="C264" s="27">
        <v>2064</v>
      </c>
      <c r="D264" s="58" t="s">
        <v>217</v>
      </c>
      <c r="E264" s="54">
        <v>1</v>
      </c>
      <c r="F264" s="54"/>
      <c r="G264" s="54"/>
      <c r="H264" s="54"/>
      <c r="I264" s="55">
        <v>10000</v>
      </c>
      <c r="J264" s="55"/>
      <c r="K264" s="55"/>
      <c r="L264" s="57" t="b">
        <v>1</v>
      </c>
    </row>
    <row r="265" spans="1:12" ht="16.5" customHeight="1" x14ac:dyDescent="0.25">
      <c r="A265" s="53"/>
      <c r="B265" s="6"/>
      <c r="C265" s="55">
        <v>6125</v>
      </c>
      <c r="D265" s="53" t="s">
        <v>219</v>
      </c>
      <c r="E265" s="54">
        <v>3</v>
      </c>
      <c r="F265" s="54"/>
      <c r="G265" s="54"/>
      <c r="H265" s="54"/>
      <c r="I265" s="55">
        <v>10000</v>
      </c>
      <c r="J265" s="55"/>
      <c r="K265" s="55"/>
      <c r="L265" s="57" t="b">
        <v>1</v>
      </c>
    </row>
    <row r="266" spans="1:12" ht="16.5" customHeight="1" x14ac:dyDescent="0.25">
      <c r="A266" s="53">
        <v>1811112</v>
      </c>
      <c r="B266" s="54" t="s">
        <v>175</v>
      </c>
      <c r="C266" s="55">
        <v>56203</v>
      </c>
      <c r="D266" s="53" t="s">
        <v>228</v>
      </c>
      <c r="E266" s="53">
        <v>1</v>
      </c>
      <c r="F266" s="54">
        <v>3</v>
      </c>
      <c r="G266" s="54">
        <v>3</v>
      </c>
      <c r="H266" s="54"/>
      <c r="I266" s="55">
        <v>10000</v>
      </c>
      <c r="J266" s="55"/>
      <c r="K266" s="55"/>
      <c r="L266" s="57" t="b">
        <v>1</v>
      </c>
    </row>
    <row r="267" spans="1:12" ht="16.5" customHeight="1" x14ac:dyDescent="0.25">
      <c r="A267" s="53"/>
      <c r="B267" s="6"/>
      <c r="C267" s="55">
        <v>6201</v>
      </c>
      <c r="D267" s="53" t="s">
        <v>222</v>
      </c>
      <c r="E267" s="53">
        <v>2</v>
      </c>
      <c r="F267" s="54"/>
      <c r="G267" s="54"/>
      <c r="H267" s="54"/>
      <c r="I267" s="55">
        <v>10000</v>
      </c>
      <c r="J267" s="55"/>
      <c r="K267" s="55"/>
      <c r="L267" s="57" t="b">
        <v>1</v>
      </c>
    </row>
    <row r="268" spans="1:12" ht="16.5" customHeight="1" x14ac:dyDescent="0.25">
      <c r="A268" s="53"/>
      <c r="B268" s="6"/>
      <c r="C268" s="55">
        <v>56001</v>
      </c>
      <c r="D268" s="53" t="s">
        <v>229</v>
      </c>
      <c r="E268" s="53">
        <v>400</v>
      </c>
      <c r="F268" s="54"/>
      <c r="G268" s="54"/>
      <c r="H268" s="54"/>
      <c r="I268" s="55">
        <v>10000</v>
      </c>
      <c r="J268" s="55"/>
      <c r="K268" s="55"/>
      <c r="L268" s="57" t="b">
        <v>1</v>
      </c>
    </row>
    <row r="269" spans="1:12" ht="16.5" customHeight="1" x14ac:dyDescent="0.25">
      <c r="A269" s="53">
        <v>1811113</v>
      </c>
      <c r="B269" s="54" t="s">
        <v>176</v>
      </c>
      <c r="C269" s="55">
        <v>56203</v>
      </c>
      <c r="D269" s="53" t="s">
        <v>228</v>
      </c>
      <c r="E269" s="53">
        <v>1</v>
      </c>
      <c r="F269" s="54">
        <v>3</v>
      </c>
      <c r="G269" s="54">
        <v>3</v>
      </c>
      <c r="H269" s="54"/>
      <c r="I269" s="55">
        <v>10000</v>
      </c>
      <c r="J269" s="55"/>
      <c r="K269" s="55"/>
      <c r="L269" s="57" t="b">
        <v>1</v>
      </c>
    </row>
    <row r="270" spans="1:12" ht="16.5" customHeight="1" x14ac:dyDescent="0.25">
      <c r="A270" s="53"/>
      <c r="B270" s="6"/>
      <c r="C270" s="55">
        <v>56214</v>
      </c>
      <c r="D270" s="60" t="s">
        <v>246</v>
      </c>
      <c r="E270" s="53">
        <v>2</v>
      </c>
      <c r="F270" s="54"/>
      <c r="G270" s="54"/>
      <c r="H270" s="54"/>
      <c r="I270" s="55">
        <v>10000</v>
      </c>
      <c r="J270" s="55"/>
      <c r="K270" s="55"/>
      <c r="L270" s="57" t="b">
        <v>1</v>
      </c>
    </row>
    <row r="271" spans="1:12" ht="16.5" customHeight="1" x14ac:dyDescent="0.25">
      <c r="A271" s="53"/>
      <c r="B271" s="54"/>
      <c r="C271" s="55">
        <v>6145</v>
      </c>
      <c r="D271" s="53" t="s">
        <v>230</v>
      </c>
      <c r="E271" s="59">
        <v>3</v>
      </c>
      <c r="F271" s="54"/>
      <c r="G271" s="54"/>
      <c r="H271" s="54"/>
      <c r="I271" s="55">
        <v>10000</v>
      </c>
      <c r="J271" s="55"/>
      <c r="K271" s="55"/>
      <c r="L271" s="57" t="b">
        <v>1</v>
      </c>
    </row>
    <row r="272" spans="1:12" ht="16.5" customHeight="1" x14ac:dyDescent="0.25">
      <c r="A272" s="53">
        <v>1811114</v>
      </c>
      <c r="B272" s="54" t="s">
        <v>177</v>
      </c>
      <c r="C272" s="55">
        <v>56202</v>
      </c>
      <c r="D272" s="53" t="s">
        <v>231</v>
      </c>
      <c r="E272" s="54">
        <v>1</v>
      </c>
      <c r="F272" s="54">
        <v>5</v>
      </c>
      <c r="G272" s="54">
        <v>5</v>
      </c>
      <c r="H272" s="54"/>
      <c r="I272" s="55">
        <v>10000</v>
      </c>
      <c r="J272" s="55"/>
      <c r="K272" s="55"/>
      <c r="L272" s="57" t="b">
        <v>1</v>
      </c>
    </row>
    <row r="273" spans="1:12" ht="16.5" customHeight="1" x14ac:dyDescent="0.25">
      <c r="A273" s="53"/>
      <c r="B273" s="54"/>
      <c r="C273" s="55">
        <v>56002</v>
      </c>
      <c r="D273" s="53" t="s">
        <v>206</v>
      </c>
      <c r="E273" s="54">
        <v>200</v>
      </c>
      <c r="F273" s="54"/>
      <c r="G273" s="54"/>
      <c r="H273" s="54"/>
      <c r="I273" s="55">
        <v>10000</v>
      </c>
      <c r="J273" s="55"/>
      <c r="K273" s="55"/>
      <c r="L273" s="57" t="b">
        <v>1</v>
      </c>
    </row>
    <row r="274" spans="1:12" ht="16.5" customHeight="1" x14ac:dyDescent="0.25">
      <c r="A274" s="53"/>
      <c r="B274" s="54"/>
      <c r="C274" s="55">
        <v>6125</v>
      </c>
      <c r="D274" s="53" t="s">
        <v>232</v>
      </c>
      <c r="E274" s="54">
        <v>5</v>
      </c>
      <c r="F274" s="54"/>
      <c r="G274" s="54"/>
      <c r="H274" s="54"/>
      <c r="I274" s="55">
        <v>10000</v>
      </c>
      <c r="J274" s="55"/>
      <c r="K274" s="55"/>
      <c r="L274" s="57" t="b">
        <v>1</v>
      </c>
    </row>
    <row r="275" spans="1:12" ht="16.5" customHeight="1" x14ac:dyDescent="0.25">
      <c r="A275" s="53"/>
      <c r="B275" s="54"/>
      <c r="C275" s="55">
        <v>6165</v>
      </c>
      <c r="D275" s="53" t="s">
        <v>233</v>
      </c>
      <c r="E275" s="54">
        <v>5</v>
      </c>
      <c r="F275" s="54"/>
      <c r="G275" s="54"/>
      <c r="H275" s="54"/>
      <c r="I275" s="55">
        <v>10000</v>
      </c>
      <c r="J275" s="55"/>
      <c r="K275" s="55"/>
      <c r="L275" s="57" t="b">
        <v>1</v>
      </c>
    </row>
    <row r="276" spans="1:12" ht="16.5" customHeight="1" x14ac:dyDescent="0.25">
      <c r="A276" s="53"/>
      <c r="B276" s="54"/>
      <c r="C276" s="55">
        <v>505</v>
      </c>
      <c r="D276" s="53" t="s">
        <v>234</v>
      </c>
      <c r="E276" s="54">
        <v>8</v>
      </c>
      <c r="F276" s="54"/>
      <c r="G276" s="54"/>
      <c r="H276" s="54"/>
      <c r="I276" s="55">
        <v>10000</v>
      </c>
      <c r="J276" s="55"/>
      <c r="K276" s="55"/>
      <c r="L276" s="57" t="b">
        <v>1</v>
      </c>
    </row>
    <row r="277" spans="1:12" ht="16.5" customHeight="1" x14ac:dyDescent="0.25">
      <c r="A277" s="53">
        <v>1811121</v>
      </c>
      <c r="B277" s="54" t="s">
        <v>235</v>
      </c>
      <c r="C277" s="55">
        <v>6125</v>
      </c>
      <c r="D277" s="52" t="s">
        <v>232</v>
      </c>
      <c r="E277" s="54">
        <v>5</v>
      </c>
      <c r="F277" s="54">
        <v>1</v>
      </c>
      <c r="G277" s="54">
        <v>1</v>
      </c>
      <c r="H277" s="54"/>
      <c r="I277" s="55">
        <v>10000</v>
      </c>
      <c r="J277" s="55"/>
      <c r="K277" s="55"/>
      <c r="L277" s="57" t="b">
        <v>1</v>
      </c>
    </row>
    <row r="278" spans="1:12" ht="16.5" customHeight="1" x14ac:dyDescent="0.25">
      <c r="A278" s="53">
        <v>1811122</v>
      </c>
      <c r="B278" s="54" t="s">
        <v>236</v>
      </c>
      <c r="C278" s="55">
        <v>6145</v>
      </c>
      <c r="D278" s="52" t="s">
        <v>230</v>
      </c>
      <c r="E278" s="54">
        <v>10</v>
      </c>
      <c r="F278" s="54">
        <v>1</v>
      </c>
      <c r="G278" s="54">
        <v>1</v>
      </c>
      <c r="H278" s="54"/>
      <c r="I278" s="55">
        <v>10000</v>
      </c>
      <c r="J278" s="55"/>
      <c r="K278" s="55"/>
      <c r="L278" s="57" t="b">
        <v>1</v>
      </c>
    </row>
    <row r="279" spans="1:12" ht="16.5" customHeight="1" x14ac:dyDescent="0.25">
      <c r="A279" s="53">
        <v>1811123</v>
      </c>
      <c r="B279" s="54" t="s">
        <v>237</v>
      </c>
      <c r="C279" s="32">
        <v>123002</v>
      </c>
      <c r="D279" s="43" t="s">
        <v>167</v>
      </c>
      <c r="E279" s="54">
        <v>1</v>
      </c>
      <c r="F279" s="54">
        <v>1</v>
      </c>
      <c r="G279" s="54">
        <v>1</v>
      </c>
      <c r="H279" s="54"/>
      <c r="I279" s="55">
        <v>10000</v>
      </c>
      <c r="J279" s="55"/>
      <c r="K279" s="55"/>
      <c r="L279" s="57" t="b">
        <v>1</v>
      </c>
    </row>
    <row r="280" spans="1:12" ht="16.5" customHeight="1" x14ac:dyDescent="0.25">
      <c r="A280" s="53">
        <v>1811124</v>
      </c>
      <c r="B280" s="54" t="s">
        <v>238</v>
      </c>
      <c r="C280" s="55">
        <v>56202</v>
      </c>
      <c r="D280" s="52" t="s">
        <v>244</v>
      </c>
      <c r="E280" s="52">
        <v>1</v>
      </c>
      <c r="F280" s="54">
        <v>1</v>
      </c>
      <c r="G280" s="54">
        <v>1</v>
      </c>
      <c r="H280" s="54"/>
      <c r="I280" s="55">
        <v>10000</v>
      </c>
      <c r="J280" s="55"/>
      <c r="K280" s="55"/>
      <c r="L280" s="57" t="b">
        <v>1</v>
      </c>
    </row>
    <row r="281" spans="1:12" ht="16.5" customHeight="1" x14ac:dyDescent="0.25">
      <c r="A281" s="53">
        <v>1811125</v>
      </c>
      <c r="B281" s="54" t="s">
        <v>239</v>
      </c>
      <c r="C281" s="55">
        <v>56002</v>
      </c>
      <c r="D281" s="52" t="s">
        <v>206</v>
      </c>
      <c r="E281" s="52">
        <v>100</v>
      </c>
      <c r="F281" s="54">
        <v>1</v>
      </c>
      <c r="G281" s="54">
        <v>1</v>
      </c>
      <c r="H281" s="54"/>
      <c r="I281" s="55">
        <v>10000</v>
      </c>
      <c r="J281" s="55"/>
      <c r="K281" s="55"/>
      <c r="L281" s="57" t="b">
        <v>1</v>
      </c>
    </row>
    <row r="282" spans="1:12" ht="16.5" customHeight="1" x14ac:dyDescent="0.25">
      <c r="A282" s="53">
        <v>1811126</v>
      </c>
      <c r="B282" s="54" t="s">
        <v>240</v>
      </c>
      <c r="C282" s="55">
        <v>56005</v>
      </c>
      <c r="D282" s="52" t="s">
        <v>205</v>
      </c>
      <c r="E282" s="52">
        <v>5</v>
      </c>
      <c r="F282" s="54">
        <v>1</v>
      </c>
      <c r="G282" s="54">
        <v>1</v>
      </c>
      <c r="H282" s="54"/>
      <c r="I282" s="55">
        <v>10000</v>
      </c>
      <c r="J282" s="55"/>
      <c r="K282" s="55"/>
      <c r="L282" s="57" t="b">
        <v>1</v>
      </c>
    </row>
    <row r="283" spans="1:12" ht="16.5" customHeight="1" x14ac:dyDescent="0.25">
      <c r="A283" s="53">
        <v>1811127</v>
      </c>
      <c r="B283" s="54" t="s">
        <v>241</v>
      </c>
      <c r="C283" s="55">
        <v>56202</v>
      </c>
      <c r="D283" s="52" t="s">
        <v>244</v>
      </c>
      <c r="E283" s="52">
        <v>1</v>
      </c>
      <c r="F283" s="54">
        <v>1</v>
      </c>
      <c r="G283" s="54">
        <v>1</v>
      </c>
      <c r="H283" s="54"/>
      <c r="I283" s="55">
        <v>10000</v>
      </c>
      <c r="J283" s="55"/>
      <c r="K283" s="55"/>
      <c r="L283" s="57" t="b">
        <v>1</v>
      </c>
    </row>
    <row r="284" spans="1:12" ht="16.5" customHeight="1" x14ac:dyDescent="0.25">
      <c r="A284" s="53">
        <v>1811128</v>
      </c>
      <c r="B284" s="54" t="s">
        <v>242</v>
      </c>
      <c r="C284" s="55">
        <v>56216</v>
      </c>
      <c r="D284" s="52" t="s">
        <v>245</v>
      </c>
      <c r="E284" s="52">
        <v>1</v>
      </c>
      <c r="F284" s="54">
        <v>1</v>
      </c>
      <c r="G284" s="54">
        <v>1</v>
      </c>
      <c r="H284" s="54"/>
      <c r="I284" s="55">
        <v>10000</v>
      </c>
      <c r="J284" s="55"/>
      <c r="K284" s="55"/>
      <c r="L284" s="57" t="b">
        <v>1</v>
      </c>
    </row>
    <row r="285" spans="1:12" ht="16.5" customHeight="1" x14ac:dyDescent="0.25">
      <c r="A285" s="53">
        <v>1811129</v>
      </c>
      <c r="B285" s="54" t="s">
        <v>243</v>
      </c>
      <c r="C285" s="6">
        <v>56002</v>
      </c>
      <c r="D285" s="52" t="s">
        <v>206</v>
      </c>
      <c r="E285" s="52">
        <v>500</v>
      </c>
      <c r="F285" s="54">
        <v>1</v>
      </c>
      <c r="G285" s="54">
        <v>1</v>
      </c>
      <c r="H285" s="54"/>
      <c r="I285" s="55">
        <v>10000</v>
      </c>
      <c r="J285" s="55"/>
      <c r="K285" s="55"/>
      <c r="L285" s="57" t="b">
        <v>1</v>
      </c>
    </row>
    <row r="286" spans="1:12" ht="16.5" customHeight="1" x14ac:dyDescent="0.25">
      <c r="A286" s="49">
        <v>1811131</v>
      </c>
      <c r="B286" s="18" t="s">
        <v>179</v>
      </c>
      <c r="C286" s="32">
        <v>514</v>
      </c>
      <c r="D286" s="43" t="s">
        <v>212</v>
      </c>
      <c r="E286" s="45">
        <v>1</v>
      </c>
      <c r="F286" s="45">
        <v>1</v>
      </c>
      <c r="G286" s="45">
        <v>1</v>
      </c>
      <c r="H286" s="45"/>
      <c r="I286" s="32">
        <v>10000</v>
      </c>
      <c r="J286" s="32"/>
      <c r="K286" s="32"/>
      <c r="L286" s="34" t="b">
        <v>1</v>
      </c>
    </row>
    <row r="287" spans="1:12" ht="16.5" customHeight="1" x14ac:dyDescent="0.25">
      <c r="A287" s="49">
        <v>1811132</v>
      </c>
      <c r="B287" s="18" t="s">
        <v>180</v>
      </c>
      <c r="C287" s="50">
        <v>6144</v>
      </c>
      <c r="D287" s="50" t="s">
        <v>213</v>
      </c>
      <c r="E287" s="45">
        <v>1</v>
      </c>
      <c r="F287" s="45">
        <v>1</v>
      </c>
      <c r="G287" s="45">
        <v>1</v>
      </c>
      <c r="H287" s="45"/>
      <c r="I287" s="32">
        <v>10000</v>
      </c>
      <c r="J287" s="32"/>
      <c r="K287" s="32"/>
      <c r="L287" s="34" t="b">
        <v>1</v>
      </c>
    </row>
    <row r="288" spans="1:12" ht="16.5" customHeight="1" x14ac:dyDescent="0.25">
      <c r="A288" s="49">
        <v>1811133</v>
      </c>
      <c r="B288" s="18" t="s">
        <v>181</v>
      </c>
      <c r="C288" s="50">
        <v>6124</v>
      </c>
      <c r="D288" s="50" t="s">
        <v>215</v>
      </c>
      <c r="E288" s="45">
        <v>1</v>
      </c>
      <c r="F288" s="45">
        <v>1</v>
      </c>
      <c r="G288" s="45">
        <v>1</v>
      </c>
      <c r="H288" s="45"/>
      <c r="I288" s="32">
        <v>10000</v>
      </c>
      <c r="J288" s="32"/>
      <c r="K288" s="32"/>
      <c r="L288" s="34" t="b">
        <v>1</v>
      </c>
    </row>
    <row r="289" spans="1:12" ht="16.5" customHeight="1" x14ac:dyDescent="0.25">
      <c r="A289" s="49">
        <v>1811134</v>
      </c>
      <c r="B289" s="18" t="s">
        <v>182</v>
      </c>
      <c r="C289" s="50">
        <v>6164</v>
      </c>
      <c r="D289" s="50" t="s">
        <v>214</v>
      </c>
      <c r="E289" s="45">
        <v>1</v>
      </c>
      <c r="F289" s="45">
        <v>1</v>
      </c>
      <c r="G289" s="45">
        <v>1</v>
      </c>
      <c r="H289" s="45"/>
      <c r="I289" s="32">
        <v>10000</v>
      </c>
      <c r="J289" s="32"/>
      <c r="K289" s="32"/>
      <c r="L289" s="34" t="b">
        <v>1</v>
      </c>
    </row>
    <row r="290" spans="1:12" ht="16.5" customHeight="1" x14ac:dyDescent="0.25">
      <c r="A290" s="49">
        <v>1811135</v>
      </c>
      <c r="B290" s="18" t="s">
        <v>183</v>
      </c>
      <c r="C290" s="50">
        <v>3013</v>
      </c>
      <c r="D290" s="50" t="s">
        <v>216</v>
      </c>
      <c r="E290" s="45">
        <v>2</v>
      </c>
      <c r="F290" s="45">
        <v>1</v>
      </c>
      <c r="G290" s="45">
        <v>1</v>
      </c>
      <c r="H290" s="45"/>
      <c r="I290" s="32">
        <v>10000</v>
      </c>
      <c r="J290" s="32"/>
      <c r="K290" s="32"/>
      <c r="L290" s="34" t="b">
        <v>1</v>
      </c>
    </row>
    <row r="291" spans="1:12" ht="16.5" customHeight="1" x14ac:dyDescent="0.25">
      <c r="A291" s="49">
        <v>1811136</v>
      </c>
      <c r="B291" s="18" t="s">
        <v>184</v>
      </c>
      <c r="C291" s="50">
        <v>7228</v>
      </c>
      <c r="D291" s="50" t="s">
        <v>178</v>
      </c>
      <c r="E291" s="45">
        <v>10</v>
      </c>
      <c r="F291" s="45">
        <v>1</v>
      </c>
      <c r="G291" s="45">
        <v>1</v>
      </c>
      <c r="H291" s="45"/>
      <c r="I291" s="32">
        <v>10000</v>
      </c>
      <c r="J291" s="32"/>
      <c r="K291" s="32"/>
      <c r="L291" s="34" t="b">
        <v>1</v>
      </c>
    </row>
    <row r="292" spans="1:12" ht="16.5" customHeight="1" x14ac:dyDescent="0.25">
      <c r="A292" s="49">
        <v>1811137</v>
      </c>
      <c r="B292" s="18" t="s">
        <v>185</v>
      </c>
      <c r="C292" s="27">
        <v>2064</v>
      </c>
      <c r="D292" s="50" t="s">
        <v>217</v>
      </c>
      <c r="E292" s="45">
        <v>1</v>
      </c>
      <c r="F292" s="45">
        <v>1</v>
      </c>
      <c r="G292" s="45">
        <v>1</v>
      </c>
      <c r="H292" s="45"/>
      <c r="I292" s="32">
        <v>10000</v>
      </c>
      <c r="J292" s="32"/>
      <c r="K292" s="32"/>
      <c r="L292" s="34" t="b">
        <v>1</v>
      </c>
    </row>
    <row r="293" spans="1:12" ht="16.5" customHeight="1" x14ac:dyDescent="0.25">
      <c r="A293" s="49">
        <v>1811138</v>
      </c>
      <c r="B293" s="18" t="s">
        <v>186</v>
      </c>
      <c r="C293" s="50">
        <v>6125</v>
      </c>
      <c r="D293" s="50" t="s">
        <v>219</v>
      </c>
      <c r="E293" s="45">
        <v>5</v>
      </c>
      <c r="F293" s="45">
        <v>2</v>
      </c>
      <c r="G293" s="45">
        <v>2</v>
      </c>
      <c r="H293" s="45"/>
      <c r="I293" s="32">
        <v>10000</v>
      </c>
      <c r="J293" s="32"/>
      <c r="K293" s="32"/>
      <c r="L293" s="34" t="b">
        <v>1</v>
      </c>
    </row>
    <row r="294" spans="1:12" ht="16.5" customHeight="1" x14ac:dyDescent="0.25">
      <c r="A294" s="49"/>
      <c r="B294" s="18"/>
      <c r="C294" s="50">
        <v>6105</v>
      </c>
      <c r="D294" s="50" t="s">
        <v>218</v>
      </c>
      <c r="E294" s="45">
        <v>5</v>
      </c>
      <c r="F294" s="45"/>
      <c r="G294" s="45"/>
      <c r="H294" s="45"/>
      <c r="I294" s="32">
        <v>10000</v>
      </c>
      <c r="J294" s="32"/>
      <c r="K294" s="32"/>
      <c r="L294" s="34" t="b">
        <v>1</v>
      </c>
    </row>
    <row r="295" spans="1:12" ht="16.5" customHeight="1" x14ac:dyDescent="0.25">
      <c r="A295" s="49">
        <v>1811139</v>
      </c>
      <c r="B295" s="18" t="s">
        <v>187</v>
      </c>
      <c r="C295" s="50">
        <v>6145</v>
      </c>
      <c r="D295" s="50" t="s">
        <v>220</v>
      </c>
      <c r="E295" s="45">
        <v>5</v>
      </c>
      <c r="F295" s="45">
        <v>1</v>
      </c>
      <c r="G295" s="45">
        <v>1</v>
      </c>
      <c r="H295" s="45"/>
      <c r="I295" s="32">
        <v>10000</v>
      </c>
      <c r="J295" s="32"/>
      <c r="K295" s="32"/>
      <c r="L295" s="34" t="b">
        <v>1</v>
      </c>
    </row>
    <row r="296" spans="1:12" ht="16.5" customHeight="1" x14ac:dyDescent="0.25">
      <c r="A296" s="49">
        <v>1811140</v>
      </c>
      <c r="B296" s="18" t="s">
        <v>188</v>
      </c>
      <c r="C296" s="50">
        <v>6165</v>
      </c>
      <c r="D296" s="50" t="s">
        <v>149</v>
      </c>
      <c r="E296" s="45">
        <v>5</v>
      </c>
      <c r="F296" s="45">
        <v>2</v>
      </c>
      <c r="G296" s="45">
        <v>2</v>
      </c>
      <c r="H296" s="45"/>
      <c r="I296" s="32">
        <v>10000</v>
      </c>
      <c r="J296" s="32"/>
      <c r="K296" s="32"/>
      <c r="L296" s="34" t="b">
        <v>1</v>
      </c>
    </row>
    <row r="297" spans="1:12" ht="16.5" customHeight="1" x14ac:dyDescent="0.25">
      <c r="A297" s="49"/>
      <c r="B297" s="18"/>
      <c r="C297" s="50">
        <v>6105</v>
      </c>
      <c r="D297" s="50" t="s">
        <v>218</v>
      </c>
      <c r="E297" s="45">
        <v>5</v>
      </c>
      <c r="F297" s="45"/>
      <c r="G297" s="45"/>
      <c r="H297" s="45"/>
      <c r="I297" s="32">
        <v>10000</v>
      </c>
      <c r="J297" s="32"/>
      <c r="K297" s="32"/>
      <c r="L297" s="34" t="b">
        <v>1</v>
      </c>
    </row>
    <row r="298" spans="1:12" ht="16.5" customHeight="1" x14ac:dyDescent="0.25">
      <c r="A298" s="49">
        <v>1811141</v>
      </c>
      <c r="B298" s="18" t="s">
        <v>189</v>
      </c>
      <c r="C298" s="50">
        <v>7228</v>
      </c>
      <c r="D298" s="50" t="s">
        <v>178</v>
      </c>
      <c r="E298" s="45">
        <v>50</v>
      </c>
      <c r="F298" s="45">
        <v>1</v>
      </c>
      <c r="G298" s="45">
        <v>1</v>
      </c>
      <c r="H298" s="45"/>
      <c r="I298" s="32">
        <v>10000</v>
      </c>
      <c r="J298" s="32"/>
      <c r="K298" s="32"/>
      <c r="L298" s="34" t="b">
        <v>1</v>
      </c>
    </row>
    <row r="299" spans="1:12" ht="16.5" customHeight="1" x14ac:dyDescent="0.25">
      <c r="A299" s="49">
        <v>1811142</v>
      </c>
      <c r="B299" s="18" t="s">
        <v>190</v>
      </c>
      <c r="C299" s="27">
        <v>2064</v>
      </c>
      <c r="D299" s="50" t="s">
        <v>217</v>
      </c>
      <c r="E299" s="45">
        <v>5</v>
      </c>
      <c r="F299" s="45">
        <v>1</v>
      </c>
      <c r="G299" s="45">
        <v>1</v>
      </c>
      <c r="H299" s="45"/>
      <c r="I299" s="32">
        <v>10000</v>
      </c>
      <c r="J299" s="32"/>
      <c r="K299" s="32"/>
      <c r="L299" s="34" t="b">
        <v>1</v>
      </c>
    </row>
    <row r="300" spans="1:12" ht="16.5" customHeight="1" x14ac:dyDescent="0.25">
      <c r="A300" s="49">
        <v>1811143</v>
      </c>
      <c r="B300" s="18" t="s">
        <v>191</v>
      </c>
      <c r="C300" s="50">
        <v>517</v>
      </c>
      <c r="D300" s="50" t="s">
        <v>221</v>
      </c>
      <c r="E300" s="45">
        <v>1</v>
      </c>
      <c r="F300" s="45">
        <v>1</v>
      </c>
      <c r="G300" s="45">
        <v>1</v>
      </c>
      <c r="H300" s="45"/>
      <c r="I300" s="32">
        <v>10000</v>
      </c>
      <c r="J300" s="32"/>
      <c r="K300" s="32"/>
      <c r="L300" s="34" t="b">
        <v>1</v>
      </c>
    </row>
    <row r="301" spans="1:12" ht="16.5" customHeight="1" x14ac:dyDescent="0.25">
      <c r="A301" s="49">
        <v>1811144</v>
      </c>
      <c r="B301" s="18" t="s">
        <v>192</v>
      </c>
      <c r="C301" s="32">
        <v>2000003</v>
      </c>
      <c r="D301" s="43" t="s">
        <v>193</v>
      </c>
      <c r="E301" s="45">
        <v>4</v>
      </c>
      <c r="F301" s="45">
        <v>2</v>
      </c>
      <c r="G301" s="45">
        <v>2</v>
      </c>
      <c r="H301" s="45"/>
      <c r="I301" s="32">
        <v>10000</v>
      </c>
      <c r="J301" s="32"/>
      <c r="K301" s="32"/>
      <c r="L301" s="34" t="b">
        <v>1</v>
      </c>
    </row>
    <row r="302" spans="1:12" ht="16.5" customHeight="1" x14ac:dyDescent="0.25">
      <c r="C302" s="50">
        <v>2007</v>
      </c>
      <c r="D302" s="50" t="s">
        <v>140</v>
      </c>
      <c r="E302" s="45">
        <v>1</v>
      </c>
      <c r="I302" s="32">
        <v>10000</v>
      </c>
      <c r="J302" s="32"/>
      <c r="K302" s="32"/>
      <c r="L302" s="34" t="b">
        <v>1</v>
      </c>
    </row>
    <row r="303" spans="1:12" ht="16.5" customHeight="1" x14ac:dyDescent="0.25">
      <c r="A303" s="49">
        <v>1811151</v>
      </c>
      <c r="B303" s="18" t="s">
        <v>194</v>
      </c>
      <c r="C303" s="32">
        <v>64013</v>
      </c>
      <c r="D303" s="43" t="s">
        <v>195</v>
      </c>
      <c r="E303" s="45">
        <v>1</v>
      </c>
      <c r="F303" s="45">
        <v>4</v>
      </c>
      <c r="G303" s="45">
        <v>4</v>
      </c>
      <c r="H303" s="45"/>
      <c r="I303" s="32">
        <v>10000</v>
      </c>
      <c r="J303" s="32"/>
      <c r="K303" s="32"/>
      <c r="L303" s="34" t="b">
        <v>1</v>
      </c>
    </row>
    <row r="304" spans="1:12" ht="16.5" customHeight="1" x14ac:dyDescent="0.25">
      <c r="C304" s="32">
        <v>6105</v>
      </c>
      <c r="D304" s="43" t="s">
        <v>196</v>
      </c>
      <c r="E304" s="45">
        <v>1</v>
      </c>
      <c r="F304" s="45"/>
      <c r="G304" s="45"/>
      <c r="H304" s="45"/>
      <c r="I304" s="32">
        <v>10000</v>
      </c>
      <c r="J304" s="32"/>
      <c r="K304" s="32"/>
      <c r="L304" s="34" t="b">
        <v>1</v>
      </c>
    </row>
    <row r="305" spans="1:12" ht="16.5" customHeight="1" x14ac:dyDescent="0.25">
      <c r="C305" s="32">
        <v>7229</v>
      </c>
      <c r="D305" s="43" t="s">
        <v>197</v>
      </c>
      <c r="E305" s="45">
        <v>1</v>
      </c>
      <c r="F305" s="45"/>
      <c r="G305" s="45"/>
      <c r="H305" s="45"/>
      <c r="I305" s="32">
        <v>10000</v>
      </c>
      <c r="J305" s="32"/>
      <c r="K305" s="32"/>
      <c r="L305" s="34" t="b">
        <v>1</v>
      </c>
    </row>
    <row r="306" spans="1:12" ht="16.5" customHeight="1" x14ac:dyDescent="0.25">
      <c r="C306" s="32">
        <v>504</v>
      </c>
      <c r="D306" s="43" t="s">
        <v>198</v>
      </c>
      <c r="E306" s="45">
        <v>5</v>
      </c>
      <c r="F306" s="45"/>
      <c r="G306" s="45"/>
      <c r="H306" s="45"/>
      <c r="I306" s="32">
        <v>10000</v>
      </c>
      <c r="J306" s="32"/>
      <c r="K306" s="32"/>
      <c r="L306" s="34" t="b">
        <v>1</v>
      </c>
    </row>
    <row r="307" spans="1:12" ht="16.5" customHeight="1" x14ac:dyDescent="0.25">
      <c r="A307" s="49">
        <v>1811152</v>
      </c>
      <c r="B307" s="18" t="s">
        <v>199</v>
      </c>
      <c r="C307" s="32">
        <v>64013</v>
      </c>
      <c r="D307" s="43" t="s">
        <v>195</v>
      </c>
      <c r="E307" s="45">
        <v>2</v>
      </c>
      <c r="F307" s="45">
        <v>4</v>
      </c>
      <c r="G307" s="45">
        <v>4</v>
      </c>
      <c r="H307" s="45"/>
      <c r="I307" s="32">
        <v>10000</v>
      </c>
      <c r="J307" s="32"/>
      <c r="K307" s="32"/>
      <c r="L307" s="34" t="b">
        <v>1</v>
      </c>
    </row>
    <row r="308" spans="1:12" ht="16.5" customHeight="1" x14ac:dyDescent="0.25">
      <c r="C308" s="32">
        <v>6105</v>
      </c>
      <c r="D308" s="43" t="s">
        <v>196</v>
      </c>
      <c r="E308" s="45">
        <v>2</v>
      </c>
      <c r="F308" s="45"/>
      <c r="G308" s="45"/>
      <c r="H308" s="45"/>
      <c r="I308" s="32">
        <v>10000</v>
      </c>
      <c r="J308" s="32"/>
      <c r="K308" s="32"/>
      <c r="L308" s="34" t="b">
        <v>1</v>
      </c>
    </row>
    <row r="309" spans="1:12" ht="16.5" customHeight="1" x14ac:dyDescent="0.25">
      <c r="C309" s="32">
        <v>7229</v>
      </c>
      <c r="D309" s="43" t="s">
        <v>197</v>
      </c>
      <c r="E309" s="45">
        <v>2</v>
      </c>
      <c r="F309" s="45"/>
      <c r="G309" s="45"/>
      <c r="H309" s="45"/>
      <c r="I309" s="32">
        <v>10000</v>
      </c>
      <c r="J309" s="32"/>
      <c r="K309" s="32"/>
      <c r="L309" s="34" t="b">
        <v>1</v>
      </c>
    </row>
    <row r="310" spans="1:12" ht="16.5" customHeight="1" x14ac:dyDescent="0.25">
      <c r="C310" s="32">
        <v>504</v>
      </c>
      <c r="D310" s="43" t="s">
        <v>198</v>
      </c>
      <c r="E310" s="45">
        <v>10</v>
      </c>
      <c r="F310" s="45"/>
      <c r="G310" s="45"/>
      <c r="H310" s="45"/>
      <c r="I310" s="32">
        <v>10000</v>
      </c>
      <c r="J310" s="32"/>
      <c r="K310" s="32"/>
      <c r="L310" s="34" t="b">
        <v>1</v>
      </c>
    </row>
    <row r="311" spans="1:12" ht="16.5" customHeight="1" x14ac:dyDescent="0.25">
      <c r="A311" s="49">
        <v>1811153</v>
      </c>
      <c r="B311" s="18" t="s">
        <v>200</v>
      </c>
      <c r="C311" s="32">
        <v>64013</v>
      </c>
      <c r="D311" s="43" t="s">
        <v>195</v>
      </c>
      <c r="E311" s="45">
        <v>3</v>
      </c>
      <c r="F311" s="45">
        <v>4</v>
      </c>
      <c r="G311" s="45">
        <v>4</v>
      </c>
      <c r="H311" s="45"/>
      <c r="I311" s="32">
        <v>10000</v>
      </c>
      <c r="J311" s="32"/>
      <c r="K311" s="32"/>
      <c r="L311" s="34" t="b">
        <v>1</v>
      </c>
    </row>
    <row r="312" spans="1:12" ht="16.5" customHeight="1" x14ac:dyDescent="0.25">
      <c r="C312" s="32">
        <v>6105</v>
      </c>
      <c r="D312" s="43" t="s">
        <v>196</v>
      </c>
      <c r="E312" s="45">
        <v>3</v>
      </c>
      <c r="F312" s="45"/>
      <c r="G312" s="45"/>
      <c r="H312" s="45"/>
      <c r="I312" s="32">
        <v>10000</v>
      </c>
      <c r="J312" s="32"/>
      <c r="K312" s="32"/>
      <c r="L312" s="34" t="b">
        <v>1</v>
      </c>
    </row>
    <row r="313" spans="1:12" ht="16.5" customHeight="1" x14ac:dyDescent="0.25">
      <c r="C313" s="32">
        <v>7229</v>
      </c>
      <c r="D313" s="43" t="s">
        <v>197</v>
      </c>
      <c r="E313" s="45">
        <v>3</v>
      </c>
      <c r="F313" s="45"/>
      <c r="G313" s="45"/>
      <c r="H313" s="45"/>
      <c r="I313" s="32">
        <v>10000</v>
      </c>
      <c r="J313" s="32"/>
      <c r="K313" s="32"/>
      <c r="L313" s="34" t="b">
        <v>1</v>
      </c>
    </row>
    <row r="314" spans="1:12" ht="16.5" customHeight="1" x14ac:dyDescent="0.25">
      <c r="C314" s="32">
        <v>504</v>
      </c>
      <c r="D314" s="43" t="s">
        <v>198</v>
      </c>
      <c r="E314" s="45">
        <v>15</v>
      </c>
      <c r="F314" s="45"/>
      <c r="G314" s="45"/>
      <c r="H314" s="45"/>
      <c r="I314" s="32">
        <v>10000</v>
      </c>
      <c r="J314" s="32"/>
      <c r="K314" s="32"/>
      <c r="L314" s="34" t="b">
        <v>1</v>
      </c>
    </row>
    <row r="315" spans="1:12" ht="16.5" customHeight="1" x14ac:dyDescent="0.25">
      <c r="A315" s="49">
        <v>1811154</v>
      </c>
      <c r="B315" s="18" t="s">
        <v>201</v>
      </c>
      <c r="C315" s="32">
        <v>64013</v>
      </c>
      <c r="D315" s="43" t="s">
        <v>195</v>
      </c>
      <c r="E315" s="45">
        <v>10</v>
      </c>
      <c r="F315" s="45">
        <v>4</v>
      </c>
      <c r="G315" s="45">
        <v>4</v>
      </c>
      <c r="H315" s="45"/>
      <c r="I315" s="32">
        <v>10000</v>
      </c>
      <c r="J315" s="32"/>
      <c r="K315" s="32"/>
      <c r="L315" s="34" t="b">
        <v>1</v>
      </c>
    </row>
    <row r="316" spans="1:12" ht="16.5" customHeight="1" x14ac:dyDescent="0.25">
      <c r="C316" s="32">
        <v>6105</v>
      </c>
      <c r="D316" s="43" t="s">
        <v>196</v>
      </c>
      <c r="E316" s="45">
        <v>6</v>
      </c>
      <c r="F316" s="45"/>
      <c r="G316" s="45"/>
      <c r="H316" s="45"/>
      <c r="I316" s="32">
        <v>10000</v>
      </c>
      <c r="J316" s="32"/>
      <c r="K316" s="32"/>
      <c r="L316" s="34" t="b">
        <v>1</v>
      </c>
    </row>
    <row r="317" spans="1:12" ht="16.5" customHeight="1" x14ac:dyDescent="0.25">
      <c r="C317" s="32">
        <v>7229</v>
      </c>
      <c r="D317" s="43" t="s">
        <v>197</v>
      </c>
      <c r="E317" s="45">
        <v>6</v>
      </c>
      <c r="F317" s="45"/>
      <c r="G317" s="45"/>
      <c r="H317" s="45"/>
      <c r="I317" s="32">
        <v>10000</v>
      </c>
      <c r="J317" s="32"/>
      <c r="K317" s="32"/>
      <c r="L317" s="34" t="b">
        <v>1</v>
      </c>
    </row>
    <row r="318" spans="1:12" ht="16.5" customHeight="1" x14ac:dyDescent="0.25">
      <c r="C318" s="32">
        <v>504</v>
      </c>
      <c r="D318" s="43" t="s">
        <v>198</v>
      </c>
      <c r="E318" s="45">
        <v>30</v>
      </c>
      <c r="F318" s="45"/>
      <c r="G318" s="45"/>
      <c r="H318" s="45"/>
      <c r="I318" s="32">
        <v>10000</v>
      </c>
      <c r="J318" s="32"/>
      <c r="K318" s="32"/>
      <c r="L318" s="34" t="b">
        <v>1</v>
      </c>
    </row>
    <row r="319" spans="1:12" ht="16.5" customHeight="1" x14ac:dyDescent="0.25">
      <c r="A319" s="49">
        <v>1811155</v>
      </c>
      <c r="B319" s="18" t="s">
        <v>202</v>
      </c>
      <c r="C319" s="32">
        <v>64013</v>
      </c>
      <c r="D319" s="43" t="s">
        <v>195</v>
      </c>
      <c r="E319" s="45">
        <v>20</v>
      </c>
      <c r="F319" s="45">
        <v>4</v>
      </c>
      <c r="G319" s="45">
        <v>4</v>
      </c>
      <c r="H319" s="45"/>
      <c r="I319" s="32">
        <v>10000</v>
      </c>
      <c r="J319" s="32"/>
      <c r="K319" s="32"/>
      <c r="L319" s="34" t="b">
        <v>1</v>
      </c>
    </row>
    <row r="320" spans="1:12" ht="16.5" customHeight="1" x14ac:dyDescent="0.25">
      <c r="C320" s="32">
        <v>6105</v>
      </c>
      <c r="D320" s="43" t="s">
        <v>196</v>
      </c>
      <c r="E320" s="45">
        <v>10</v>
      </c>
      <c r="F320" s="45"/>
      <c r="G320" s="45"/>
      <c r="H320" s="45"/>
      <c r="I320" s="32">
        <v>10000</v>
      </c>
      <c r="J320" s="32"/>
      <c r="K320" s="32"/>
      <c r="L320" s="34" t="b">
        <v>1</v>
      </c>
    </row>
    <row r="321" spans="1:12" ht="16.5" customHeight="1" x14ac:dyDescent="0.25">
      <c r="C321" s="32">
        <v>7229</v>
      </c>
      <c r="D321" s="43" t="s">
        <v>197</v>
      </c>
      <c r="E321" s="45">
        <v>10</v>
      </c>
      <c r="F321" s="45"/>
      <c r="G321" s="45"/>
      <c r="H321" s="45"/>
      <c r="I321" s="32">
        <v>10000</v>
      </c>
      <c r="J321" s="32"/>
      <c r="K321" s="32"/>
      <c r="L321" s="34" t="b">
        <v>1</v>
      </c>
    </row>
    <row r="322" spans="1:12" ht="16.5" customHeight="1" x14ac:dyDescent="0.25">
      <c r="C322" s="32">
        <v>504</v>
      </c>
      <c r="D322" s="43" t="s">
        <v>198</v>
      </c>
      <c r="E322" s="45">
        <v>40</v>
      </c>
      <c r="F322" s="45"/>
      <c r="G322" s="45"/>
      <c r="H322" s="45"/>
      <c r="I322" s="32">
        <v>10000</v>
      </c>
      <c r="J322" s="32"/>
      <c r="K322" s="32"/>
      <c r="L322" s="34" t="b">
        <v>1</v>
      </c>
    </row>
    <row r="323" spans="1:12" ht="16.5" customHeight="1" x14ac:dyDescent="0.25">
      <c r="A323" s="49">
        <v>1811156</v>
      </c>
      <c r="B323" s="18" t="s">
        <v>203</v>
      </c>
      <c r="C323" s="32">
        <v>49553</v>
      </c>
      <c r="D323" s="43" t="s">
        <v>204</v>
      </c>
      <c r="E323" s="45">
        <v>1</v>
      </c>
      <c r="F323" s="45">
        <v>3</v>
      </c>
      <c r="G323" s="45">
        <v>3</v>
      </c>
      <c r="H323" s="45"/>
      <c r="I323" s="32">
        <v>10000</v>
      </c>
      <c r="J323" s="32"/>
      <c r="K323" s="32"/>
      <c r="L323" s="34" t="b">
        <v>1</v>
      </c>
    </row>
    <row r="324" spans="1:12" ht="16.5" customHeight="1" x14ac:dyDescent="0.25">
      <c r="C324" s="32">
        <v>56005</v>
      </c>
      <c r="D324" s="43" t="s">
        <v>205</v>
      </c>
      <c r="E324" s="45">
        <v>20</v>
      </c>
      <c r="F324" s="45"/>
      <c r="G324" s="45"/>
      <c r="H324" s="45"/>
      <c r="I324" s="32">
        <v>10000</v>
      </c>
      <c r="J324" s="32"/>
      <c r="K324" s="32"/>
      <c r="L324" s="34" t="b">
        <v>1</v>
      </c>
    </row>
    <row r="325" spans="1:12" ht="16.5" customHeight="1" x14ac:dyDescent="0.25">
      <c r="C325" s="32">
        <v>56002</v>
      </c>
      <c r="D325" s="43" t="s">
        <v>206</v>
      </c>
      <c r="E325" s="45">
        <v>400</v>
      </c>
      <c r="F325" s="45"/>
      <c r="G325" s="45"/>
      <c r="H325" s="45"/>
      <c r="I325" s="32">
        <v>10000</v>
      </c>
      <c r="J325" s="32"/>
      <c r="K325" s="32"/>
      <c r="L325" s="34" t="b">
        <v>1</v>
      </c>
    </row>
    <row r="326" spans="1:12" ht="16.5" customHeight="1" x14ac:dyDescent="0.25">
      <c r="A326" s="49">
        <v>1811157</v>
      </c>
      <c r="B326" s="18" t="s">
        <v>207</v>
      </c>
      <c r="C326" s="32">
        <v>49553</v>
      </c>
      <c r="D326" s="43" t="s">
        <v>204</v>
      </c>
      <c r="E326" s="45">
        <v>1</v>
      </c>
      <c r="F326" s="45">
        <v>3</v>
      </c>
      <c r="G326" s="45">
        <v>3</v>
      </c>
      <c r="H326" s="45"/>
      <c r="I326" s="32">
        <v>10000</v>
      </c>
      <c r="J326" s="32"/>
      <c r="K326" s="32"/>
      <c r="L326" s="34" t="b">
        <v>1</v>
      </c>
    </row>
    <row r="327" spans="1:12" ht="16.5" customHeight="1" x14ac:dyDescent="0.25">
      <c r="C327" s="32">
        <v>56005</v>
      </c>
      <c r="D327" s="43" t="s">
        <v>205</v>
      </c>
      <c r="E327" s="45">
        <v>25</v>
      </c>
      <c r="F327" s="45"/>
      <c r="G327" s="45"/>
      <c r="H327" s="45"/>
      <c r="I327" s="32">
        <v>10000</v>
      </c>
      <c r="J327" s="32"/>
      <c r="K327" s="32"/>
      <c r="L327" s="34" t="b">
        <v>1</v>
      </c>
    </row>
    <row r="328" spans="1:12" ht="16.5" customHeight="1" x14ac:dyDescent="0.25">
      <c r="C328" s="32">
        <v>56002</v>
      </c>
      <c r="D328" s="43" t="s">
        <v>206</v>
      </c>
      <c r="E328" s="45">
        <v>450</v>
      </c>
      <c r="F328" s="45"/>
      <c r="G328" s="45"/>
      <c r="H328" s="45"/>
      <c r="I328" s="32">
        <v>10000</v>
      </c>
      <c r="J328" s="32"/>
      <c r="K328" s="32"/>
      <c r="L328" s="34" t="b">
        <v>1</v>
      </c>
    </row>
    <row r="329" spans="1:12" ht="16.5" customHeight="1" x14ac:dyDescent="0.25">
      <c r="A329" s="49">
        <v>1811158</v>
      </c>
      <c r="B329" s="18" t="s">
        <v>208</v>
      </c>
      <c r="C329" s="32">
        <v>49553</v>
      </c>
      <c r="D329" s="43" t="s">
        <v>204</v>
      </c>
      <c r="E329" s="45">
        <v>2</v>
      </c>
      <c r="F329" s="45">
        <v>3</v>
      </c>
      <c r="G329" s="45">
        <v>3</v>
      </c>
      <c r="H329" s="45"/>
      <c r="I329" s="32">
        <v>10000</v>
      </c>
      <c r="J329" s="32"/>
      <c r="K329" s="32"/>
      <c r="L329" s="34" t="b">
        <v>1</v>
      </c>
    </row>
    <row r="330" spans="1:12" ht="16.5" customHeight="1" x14ac:dyDescent="0.25">
      <c r="C330" s="32">
        <v>56005</v>
      </c>
      <c r="D330" s="43" t="s">
        <v>205</v>
      </c>
      <c r="E330" s="45">
        <v>30</v>
      </c>
      <c r="F330" s="45"/>
      <c r="G330" s="45"/>
      <c r="H330" s="45"/>
      <c r="I330" s="32">
        <v>10000</v>
      </c>
      <c r="J330" s="32"/>
      <c r="K330" s="32"/>
      <c r="L330" s="34" t="b">
        <v>1</v>
      </c>
    </row>
    <row r="331" spans="1:12" ht="16.5" customHeight="1" x14ac:dyDescent="0.25">
      <c r="C331" s="32">
        <v>56002</v>
      </c>
      <c r="D331" s="43" t="s">
        <v>206</v>
      </c>
      <c r="E331" s="45">
        <v>500</v>
      </c>
      <c r="F331" s="45"/>
      <c r="G331" s="45"/>
      <c r="H331" s="45"/>
      <c r="I331" s="32">
        <v>10000</v>
      </c>
      <c r="J331" s="32"/>
      <c r="K331" s="32"/>
      <c r="L331" s="34" t="b">
        <v>1</v>
      </c>
    </row>
    <row r="332" spans="1:12" ht="16.5" customHeight="1" x14ac:dyDescent="0.25">
      <c r="A332" s="49">
        <v>1811159</v>
      </c>
      <c r="B332" s="18" t="s">
        <v>209</v>
      </c>
      <c r="C332" s="32">
        <v>49553</v>
      </c>
      <c r="D332" s="43" t="s">
        <v>204</v>
      </c>
      <c r="E332" s="45">
        <v>3</v>
      </c>
      <c r="F332" s="45">
        <v>3</v>
      </c>
      <c r="G332" s="45">
        <v>3</v>
      </c>
      <c r="H332" s="45"/>
      <c r="I332" s="32">
        <v>10000</v>
      </c>
      <c r="J332" s="32"/>
      <c r="K332" s="32"/>
      <c r="L332" s="34" t="b">
        <v>1</v>
      </c>
    </row>
    <row r="333" spans="1:12" ht="16.5" customHeight="1" x14ac:dyDescent="0.25">
      <c r="C333" s="32">
        <v>56026</v>
      </c>
      <c r="D333" s="43" t="s">
        <v>211</v>
      </c>
      <c r="E333" s="45">
        <v>5</v>
      </c>
      <c r="F333" s="45"/>
      <c r="G333" s="45"/>
      <c r="H333" s="45"/>
      <c r="I333" s="32">
        <v>10000</v>
      </c>
      <c r="J333" s="32"/>
      <c r="K333" s="32"/>
      <c r="L333" s="34" t="b">
        <v>1</v>
      </c>
    </row>
    <row r="334" spans="1:12" ht="16.5" customHeight="1" x14ac:dyDescent="0.25">
      <c r="C334" s="32">
        <v>56002</v>
      </c>
      <c r="D334" s="43" t="s">
        <v>206</v>
      </c>
      <c r="E334" s="45">
        <v>600</v>
      </c>
      <c r="F334" s="45"/>
      <c r="G334" s="45"/>
      <c r="H334" s="45"/>
      <c r="I334" s="32">
        <v>10000</v>
      </c>
      <c r="J334" s="32"/>
      <c r="K334" s="32"/>
      <c r="L334" s="34" t="b">
        <v>1</v>
      </c>
    </row>
    <row r="335" spans="1:12" ht="16.5" customHeight="1" x14ac:dyDescent="0.25">
      <c r="A335" s="49">
        <v>1811160</v>
      </c>
      <c r="B335" s="18" t="s">
        <v>210</v>
      </c>
      <c r="C335" s="32">
        <v>49553</v>
      </c>
      <c r="D335" s="43" t="s">
        <v>204</v>
      </c>
      <c r="E335" s="45">
        <v>4</v>
      </c>
      <c r="F335" s="45">
        <v>3</v>
      </c>
      <c r="G335" s="45">
        <v>3</v>
      </c>
      <c r="H335" s="45"/>
      <c r="I335" s="32">
        <v>10000</v>
      </c>
      <c r="J335" s="32"/>
      <c r="K335" s="32"/>
      <c r="L335" s="34" t="b">
        <v>1</v>
      </c>
    </row>
    <row r="336" spans="1:12" ht="16.5" customHeight="1" x14ac:dyDescent="0.25">
      <c r="C336" s="32">
        <v>56026</v>
      </c>
      <c r="D336" s="43" t="s">
        <v>211</v>
      </c>
      <c r="E336" s="45">
        <v>10</v>
      </c>
      <c r="F336" s="45"/>
      <c r="G336" s="45"/>
      <c r="H336" s="45"/>
      <c r="I336" s="32">
        <v>10000</v>
      </c>
      <c r="J336" s="32"/>
      <c r="K336" s="32"/>
      <c r="L336" s="34" t="b">
        <v>1</v>
      </c>
    </row>
    <row r="337" spans="1:12" ht="16.5" customHeight="1" x14ac:dyDescent="0.25">
      <c r="C337" s="32">
        <v>56002</v>
      </c>
      <c r="D337" s="43" t="s">
        <v>206</v>
      </c>
      <c r="E337" s="45">
        <v>700</v>
      </c>
      <c r="F337" s="45"/>
      <c r="G337" s="45"/>
      <c r="H337" s="45"/>
      <c r="I337" s="32">
        <v>10000</v>
      </c>
      <c r="J337" s="32"/>
      <c r="K337" s="32"/>
      <c r="L337" s="34" t="b">
        <v>1</v>
      </c>
    </row>
    <row r="338" spans="1:12" ht="16.5" customHeight="1" x14ac:dyDescent="0.25">
      <c r="A338" s="49">
        <v>1811161</v>
      </c>
      <c r="B338" s="18" t="s">
        <v>179</v>
      </c>
      <c r="C338" s="32">
        <v>514</v>
      </c>
      <c r="D338" s="43" t="s">
        <v>212</v>
      </c>
      <c r="E338" s="45">
        <v>1</v>
      </c>
      <c r="F338" s="45">
        <v>1</v>
      </c>
      <c r="G338" s="45">
        <v>1</v>
      </c>
      <c r="H338" s="45"/>
      <c r="I338" s="32">
        <v>10000</v>
      </c>
      <c r="J338" s="32"/>
      <c r="K338" s="32"/>
      <c r="L338" s="34" t="b">
        <v>1</v>
      </c>
    </row>
    <row r="339" spans="1:12" ht="16.5" customHeight="1" x14ac:dyDescent="0.25">
      <c r="A339" s="49">
        <v>1811162</v>
      </c>
      <c r="B339" s="18" t="s">
        <v>180</v>
      </c>
      <c r="C339" s="50">
        <v>6144</v>
      </c>
      <c r="D339" s="50" t="s">
        <v>213</v>
      </c>
      <c r="E339" s="45">
        <v>1</v>
      </c>
      <c r="F339" s="45">
        <v>1</v>
      </c>
      <c r="G339" s="45">
        <v>1</v>
      </c>
      <c r="H339" s="45"/>
      <c r="I339" s="32">
        <v>10000</v>
      </c>
      <c r="J339" s="32"/>
      <c r="K339" s="32"/>
      <c r="L339" s="34" t="b">
        <v>1</v>
      </c>
    </row>
    <row r="340" spans="1:12" ht="16.5" customHeight="1" x14ac:dyDescent="0.25">
      <c r="A340" s="49">
        <v>1811163</v>
      </c>
      <c r="B340" s="18" t="s">
        <v>181</v>
      </c>
      <c r="C340" s="50">
        <v>6124</v>
      </c>
      <c r="D340" s="50" t="s">
        <v>215</v>
      </c>
      <c r="E340" s="45">
        <v>1</v>
      </c>
      <c r="F340" s="45">
        <v>1</v>
      </c>
      <c r="G340" s="45">
        <v>1</v>
      </c>
      <c r="H340" s="45"/>
      <c r="I340" s="32">
        <v>10000</v>
      </c>
      <c r="J340" s="32"/>
      <c r="K340" s="32"/>
      <c r="L340" s="34" t="b">
        <v>1</v>
      </c>
    </row>
    <row r="341" spans="1:12" ht="16.5" customHeight="1" x14ac:dyDescent="0.25">
      <c r="A341" s="49">
        <v>1811164</v>
      </c>
      <c r="B341" s="18" t="s">
        <v>182</v>
      </c>
      <c r="C341" s="50">
        <v>6164</v>
      </c>
      <c r="D341" s="50" t="s">
        <v>214</v>
      </c>
      <c r="E341" s="45">
        <v>1</v>
      </c>
      <c r="F341" s="45">
        <v>1</v>
      </c>
      <c r="G341" s="45">
        <v>1</v>
      </c>
      <c r="H341" s="45"/>
      <c r="I341" s="32">
        <v>10000</v>
      </c>
      <c r="J341" s="32"/>
      <c r="K341" s="32"/>
      <c r="L341" s="34" t="b">
        <v>1</v>
      </c>
    </row>
    <row r="342" spans="1:12" ht="16.5" customHeight="1" x14ac:dyDescent="0.25">
      <c r="A342" s="49">
        <v>1811165</v>
      </c>
      <c r="B342" s="18" t="s">
        <v>183</v>
      </c>
      <c r="C342" s="50">
        <v>3013</v>
      </c>
      <c r="D342" s="50" t="s">
        <v>216</v>
      </c>
      <c r="E342" s="45">
        <v>2</v>
      </c>
      <c r="F342" s="45">
        <v>1</v>
      </c>
      <c r="G342" s="45">
        <v>1</v>
      </c>
      <c r="H342" s="45"/>
      <c r="I342" s="32">
        <v>10000</v>
      </c>
      <c r="J342" s="32"/>
      <c r="K342" s="32"/>
      <c r="L342" s="34" t="b">
        <v>1</v>
      </c>
    </row>
    <row r="343" spans="1:12" ht="16.5" customHeight="1" x14ac:dyDescent="0.25">
      <c r="A343" s="49">
        <v>1811166</v>
      </c>
      <c r="B343" s="18" t="s">
        <v>184</v>
      </c>
      <c r="C343" s="50">
        <v>7228</v>
      </c>
      <c r="D343" s="50" t="s">
        <v>178</v>
      </c>
      <c r="E343" s="45">
        <v>10</v>
      </c>
      <c r="F343" s="45">
        <v>1</v>
      </c>
      <c r="G343" s="45">
        <v>1</v>
      </c>
      <c r="H343" s="45"/>
      <c r="I343" s="32">
        <v>10000</v>
      </c>
      <c r="J343" s="32"/>
      <c r="K343" s="32"/>
      <c r="L343" s="34" t="b">
        <v>1</v>
      </c>
    </row>
    <row r="344" spans="1:12" ht="16.5" customHeight="1" x14ac:dyDescent="0.25">
      <c r="A344" s="49">
        <v>1811167</v>
      </c>
      <c r="B344" s="18" t="s">
        <v>185</v>
      </c>
      <c r="C344" s="27">
        <v>2064</v>
      </c>
      <c r="D344" s="50" t="s">
        <v>217</v>
      </c>
      <c r="E344" s="45">
        <v>1</v>
      </c>
      <c r="F344" s="45">
        <v>1</v>
      </c>
      <c r="G344" s="45">
        <v>1</v>
      </c>
      <c r="H344" s="45"/>
      <c r="I344" s="32">
        <v>10000</v>
      </c>
      <c r="J344" s="32"/>
      <c r="K344" s="32"/>
      <c r="L344" s="34" t="b">
        <v>1</v>
      </c>
    </row>
    <row r="345" spans="1:12" ht="16.5" customHeight="1" x14ac:dyDescent="0.25">
      <c r="A345" s="49">
        <v>1811168</v>
      </c>
      <c r="B345" s="18" t="s">
        <v>186</v>
      </c>
      <c r="C345" s="50">
        <v>6165</v>
      </c>
      <c r="D345" s="50" t="s">
        <v>149</v>
      </c>
      <c r="E345" s="45">
        <v>5</v>
      </c>
      <c r="F345" s="45">
        <v>2</v>
      </c>
      <c r="G345" s="45">
        <v>2</v>
      </c>
      <c r="H345" s="45"/>
      <c r="I345" s="32">
        <v>10000</v>
      </c>
      <c r="J345" s="32"/>
      <c r="K345" s="32"/>
      <c r="L345" s="34" t="b">
        <v>1</v>
      </c>
    </row>
    <row r="346" spans="1:12" ht="16.5" customHeight="1" x14ac:dyDescent="0.25">
      <c r="A346" s="49"/>
      <c r="B346" s="18"/>
      <c r="C346" s="50">
        <v>6105</v>
      </c>
      <c r="D346" s="50" t="s">
        <v>218</v>
      </c>
      <c r="E346" s="45">
        <v>5</v>
      </c>
      <c r="F346" s="45"/>
      <c r="G346" s="45"/>
      <c r="H346" s="45"/>
      <c r="I346" s="32">
        <v>10000</v>
      </c>
      <c r="J346" s="32"/>
      <c r="K346" s="32"/>
      <c r="L346" s="34" t="b">
        <v>1</v>
      </c>
    </row>
    <row r="347" spans="1:12" ht="16.5" customHeight="1" x14ac:dyDescent="0.25">
      <c r="A347" s="49">
        <v>1811169</v>
      </c>
      <c r="B347" s="18" t="s">
        <v>187</v>
      </c>
      <c r="C347" s="50">
        <v>7228</v>
      </c>
      <c r="D347" s="50" t="s">
        <v>178</v>
      </c>
      <c r="E347" s="45">
        <v>40</v>
      </c>
      <c r="F347" s="45">
        <v>1</v>
      </c>
      <c r="G347" s="45">
        <v>1</v>
      </c>
      <c r="H347" s="45"/>
      <c r="I347" s="32">
        <v>10000</v>
      </c>
      <c r="J347" s="32"/>
      <c r="K347" s="32"/>
      <c r="L347" s="34" t="b">
        <v>1</v>
      </c>
    </row>
    <row r="348" spans="1:12" ht="16.5" customHeight="1" x14ac:dyDescent="0.25">
      <c r="A348" s="49">
        <v>1811170</v>
      </c>
      <c r="B348" s="18" t="s">
        <v>188</v>
      </c>
      <c r="C348" s="50">
        <v>56202</v>
      </c>
      <c r="D348" s="50" t="s">
        <v>224</v>
      </c>
      <c r="E348" s="45">
        <v>1</v>
      </c>
      <c r="F348" s="45">
        <v>2</v>
      </c>
      <c r="G348" s="45">
        <v>2</v>
      </c>
      <c r="H348" s="45"/>
      <c r="I348" s="32">
        <v>10000</v>
      </c>
      <c r="J348" s="32"/>
      <c r="K348" s="32"/>
      <c r="L348" s="34" t="b">
        <v>1</v>
      </c>
    </row>
    <row r="349" spans="1:12" ht="16.5" customHeight="1" x14ac:dyDescent="0.25">
      <c r="A349" s="49"/>
      <c r="B349" s="18"/>
      <c r="C349" s="50">
        <v>6201</v>
      </c>
      <c r="D349" s="51" t="s">
        <v>222</v>
      </c>
      <c r="E349" s="45">
        <v>5</v>
      </c>
      <c r="F349" s="45"/>
      <c r="G349" s="45"/>
      <c r="H349" s="45"/>
      <c r="I349" s="32">
        <v>10000</v>
      </c>
      <c r="J349" s="32"/>
      <c r="K349" s="32"/>
      <c r="L349" s="34" t="b">
        <v>1</v>
      </c>
    </row>
    <row r="350" spans="1:12" ht="16.5" customHeight="1" x14ac:dyDescent="0.25">
      <c r="A350" s="49">
        <v>1811171</v>
      </c>
      <c r="B350" s="18" t="s">
        <v>189</v>
      </c>
      <c r="C350" s="50">
        <v>516</v>
      </c>
      <c r="D350" s="50" t="s">
        <v>223</v>
      </c>
      <c r="E350" s="45">
        <v>1</v>
      </c>
      <c r="F350" s="45">
        <v>1</v>
      </c>
      <c r="G350" s="45">
        <v>1</v>
      </c>
      <c r="H350" s="45"/>
      <c r="I350" s="32">
        <v>10000</v>
      </c>
      <c r="J350" s="32"/>
      <c r="K350" s="32"/>
      <c r="L350" s="34" t="b">
        <v>1</v>
      </c>
    </row>
    <row r="351" spans="1:12" ht="16.5" customHeight="1" x14ac:dyDescent="0.25">
      <c r="A351" s="49">
        <v>1811172</v>
      </c>
      <c r="B351" s="18" t="s">
        <v>190</v>
      </c>
      <c r="C351" s="27">
        <v>2064</v>
      </c>
      <c r="D351" s="50" t="s">
        <v>217</v>
      </c>
      <c r="E351" s="45">
        <v>5</v>
      </c>
      <c r="F351" s="45">
        <v>1</v>
      </c>
      <c r="G351" s="45">
        <v>1</v>
      </c>
      <c r="H351" s="45"/>
      <c r="I351" s="32">
        <v>10000</v>
      </c>
      <c r="J351" s="32"/>
      <c r="K351" s="32"/>
      <c r="L351" s="34" t="b">
        <v>1</v>
      </c>
    </row>
    <row r="352" spans="1:12" ht="16.5" customHeight="1" x14ac:dyDescent="0.25">
      <c r="A352" s="49">
        <v>1811173</v>
      </c>
      <c r="B352" s="18" t="s">
        <v>191</v>
      </c>
      <c r="C352" s="50">
        <v>56002</v>
      </c>
      <c r="D352" s="50" t="s">
        <v>225</v>
      </c>
      <c r="E352" s="45">
        <v>400</v>
      </c>
      <c r="F352" s="45">
        <v>1</v>
      </c>
      <c r="G352" s="45">
        <v>1</v>
      </c>
      <c r="H352" s="45"/>
      <c r="I352" s="32">
        <v>10000</v>
      </c>
      <c r="J352" s="32"/>
      <c r="K352" s="32"/>
      <c r="L352" s="34" t="b">
        <v>1</v>
      </c>
    </row>
    <row r="353" spans="1:16" ht="16.5" customHeight="1" x14ac:dyDescent="0.25">
      <c r="A353" s="49">
        <v>1811174</v>
      </c>
      <c r="B353" s="18" t="s">
        <v>192</v>
      </c>
      <c r="C353" s="50">
        <v>56005</v>
      </c>
      <c r="D353" s="50" t="s">
        <v>226</v>
      </c>
      <c r="E353" s="45">
        <v>1</v>
      </c>
      <c r="F353" s="45">
        <v>2</v>
      </c>
      <c r="G353" s="45">
        <v>2</v>
      </c>
      <c r="H353" s="45"/>
      <c r="I353" s="32">
        <v>10000</v>
      </c>
      <c r="J353" s="32"/>
      <c r="K353" s="32"/>
      <c r="L353" s="34" t="b">
        <v>1</v>
      </c>
    </row>
    <row r="354" spans="1:16" ht="16.5" customHeight="1" x14ac:dyDescent="0.25">
      <c r="C354" s="50">
        <v>56215</v>
      </c>
      <c r="D354" s="51" t="s">
        <v>227</v>
      </c>
      <c r="E354" s="45">
        <v>1</v>
      </c>
      <c r="F354" s="45"/>
      <c r="G354" s="45"/>
      <c r="H354" s="45"/>
      <c r="I354" s="32">
        <v>10000</v>
      </c>
      <c r="J354" s="32"/>
      <c r="K354" s="32"/>
      <c r="L354" s="34" t="b">
        <v>1</v>
      </c>
    </row>
    <row r="355" spans="1:16" ht="16.5" customHeight="1" x14ac:dyDescent="0.25">
      <c r="A355" s="49">
        <v>1811070</v>
      </c>
      <c r="B355" s="45" t="s">
        <v>250</v>
      </c>
      <c r="C355" s="32">
        <v>49520</v>
      </c>
      <c r="D355" s="43" t="s">
        <v>251</v>
      </c>
      <c r="E355" s="45">
        <v>70</v>
      </c>
      <c r="F355" s="45">
        <v>1</v>
      </c>
      <c r="G355" s="45">
        <v>1</v>
      </c>
      <c r="H355" s="45"/>
      <c r="I355" s="32">
        <v>10000</v>
      </c>
      <c r="J355" s="32"/>
      <c r="K355" s="32"/>
      <c r="L355" s="34" t="b">
        <v>1</v>
      </c>
    </row>
    <row r="356" spans="1:16" s="62" customFormat="1" x14ac:dyDescent="0.45">
      <c r="A356" s="32">
        <v>1811201</v>
      </c>
      <c r="B356" s="33" t="s">
        <v>254</v>
      </c>
      <c r="C356" s="34">
        <v>49555</v>
      </c>
      <c r="D356" s="34" t="s">
        <v>255</v>
      </c>
      <c r="E356" s="35">
        <v>2</v>
      </c>
      <c r="F356" s="35">
        <v>2</v>
      </c>
      <c r="G356" s="35">
        <v>2</v>
      </c>
      <c r="H356" s="33"/>
      <c r="I356" s="35">
        <v>10000</v>
      </c>
      <c r="J356" s="33"/>
      <c r="K356" s="33"/>
      <c r="L356" s="33" t="b">
        <v>1</v>
      </c>
      <c r="M356" s="5"/>
      <c r="O356" s="33"/>
      <c r="P356" s="61"/>
    </row>
    <row r="357" spans="1:16" s="62" customFormat="1" x14ac:dyDescent="0.45">
      <c r="A357" s="33"/>
      <c r="B357" s="33"/>
      <c r="C357" s="35">
        <v>49603</v>
      </c>
      <c r="D357" s="35" t="s">
        <v>73</v>
      </c>
      <c r="E357" s="35">
        <v>5</v>
      </c>
      <c r="F357" s="33"/>
      <c r="G357" s="33"/>
      <c r="H357" s="33"/>
      <c r="I357" s="33">
        <v>10000</v>
      </c>
      <c r="J357" s="33"/>
      <c r="K357" s="33"/>
      <c r="L357" s="33" t="b">
        <v>1</v>
      </c>
      <c r="M357" s="5"/>
      <c r="O357" s="33"/>
      <c r="P357" s="61"/>
    </row>
    <row r="358" spans="1:16" s="62" customFormat="1" x14ac:dyDescent="0.45">
      <c r="A358" s="32">
        <v>1811202</v>
      </c>
      <c r="B358" s="33" t="s">
        <v>256</v>
      </c>
      <c r="C358" s="34">
        <v>49555</v>
      </c>
      <c r="D358" s="34" t="s">
        <v>255</v>
      </c>
      <c r="E358" s="35">
        <v>3</v>
      </c>
      <c r="F358" s="35">
        <v>2</v>
      </c>
      <c r="G358" s="35">
        <v>2</v>
      </c>
      <c r="H358" s="33"/>
      <c r="I358" s="35">
        <v>10000</v>
      </c>
      <c r="J358" s="33"/>
      <c r="K358" s="33"/>
      <c r="L358" s="33" t="b">
        <v>1</v>
      </c>
      <c r="M358" s="5"/>
      <c r="O358" s="33"/>
      <c r="P358" s="61"/>
    </row>
    <row r="359" spans="1:16" s="62" customFormat="1" x14ac:dyDescent="0.45">
      <c r="A359" s="33"/>
      <c r="B359" s="33"/>
      <c r="C359" s="35">
        <v>49604</v>
      </c>
      <c r="D359" s="35" t="s">
        <v>252</v>
      </c>
      <c r="E359" s="35">
        <v>5</v>
      </c>
      <c r="F359" s="33"/>
      <c r="G359" s="33"/>
      <c r="H359" s="33"/>
      <c r="I359" s="33">
        <v>10000</v>
      </c>
      <c r="J359" s="33"/>
      <c r="K359" s="33"/>
      <c r="L359" s="33" t="b">
        <v>1</v>
      </c>
      <c r="M359" s="5"/>
      <c r="O359" s="33"/>
      <c r="P359" s="61"/>
    </row>
    <row r="360" spans="1:16" s="62" customFormat="1" x14ac:dyDescent="0.45">
      <c r="A360" s="32">
        <v>1811203</v>
      </c>
      <c r="B360" s="33" t="s">
        <v>257</v>
      </c>
      <c r="C360" s="34">
        <v>49555</v>
      </c>
      <c r="D360" s="34" t="s">
        <v>255</v>
      </c>
      <c r="E360" s="35">
        <v>4</v>
      </c>
      <c r="F360" s="35">
        <v>2</v>
      </c>
      <c r="G360" s="35">
        <v>2</v>
      </c>
      <c r="H360" s="33"/>
      <c r="I360" s="35">
        <v>10000</v>
      </c>
      <c r="J360" s="33"/>
      <c r="K360" s="33"/>
      <c r="L360" s="33" t="b">
        <v>1</v>
      </c>
      <c r="M360" s="5"/>
      <c r="O360" s="33"/>
      <c r="P360" s="61"/>
    </row>
    <row r="361" spans="1:16" s="62" customFormat="1" x14ac:dyDescent="0.45">
      <c r="A361" s="33"/>
      <c r="B361" s="33"/>
      <c r="C361" s="35">
        <v>49603</v>
      </c>
      <c r="D361" s="35" t="s">
        <v>73</v>
      </c>
      <c r="E361" s="35">
        <v>15</v>
      </c>
      <c r="F361" s="33"/>
      <c r="G361" s="33"/>
      <c r="H361" s="33"/>
      <c r="I361" s="33">
        <v>10000</v>
      </c>
      <c r="J361" s="33"/>
      <c r="K361" s="33"/>
      <c r="L361" s="33" t="b">
        <v>1</v>
      </c>
      <c r="M361" s="5"/>
      <c r="O361" s="33"/>
      <c r="P361" s="61"/>
    </row>
    <row r="362" spans="1:16" s="62" customFormat="1" x14ac:dyDescent="0.45">
      <c r="A362" s="32">
        <v>1811204</v>
      </c>
      <c r="B362" s="33" t="s">
        <v>258</v>
      </c>
      <c r="C362" s="34">
        <v>49555</v>
      </c>
      <c r="D362" s="34" t="s">
        <v>255</v>
      </c>
      <c r="E362" s="35">
        <v>6</v>
      </c>
      <c r="F362" s="35">
        <v>2</v>
      </c>
      <c r="G362" s="35">
        <v>2</v>
      </c>
      <c r="H362" s="33"/>
      <c r="I362" s="35">
        <v>10000</v>
      </c>
      <c r="J362" s="33"/>
      <c r="K362" s="33"/>
      <c r="L362" s="33" t="b">
        <v>1</v>
      </c>
      <c r="M362" s="5"/>
      <c r="O362" s="33"/>
      <c r="P362" s="61"/>
    </row>
    <row r="363" spans="1:16" s="62" customFormat="1" x14ac:dyDescent="0.45">
      <c r="A363" s="33"/>
      <c r="B363" s="33"/>
      <c r="C363" s="35">
        <v>49603</v>
      </c>
      <c r="D363" s="35" t="s">
        <v>73</v>
      </c>
      <c r="E363" s="35">
        <v>25</v>
      </c>
      <c r="F363" s="33"/>
      <c r="G363" s="33"/>
      <c r="H363" s="33"/>
      <c r="I363" s="33">
        <v>10000</v>
      </c>
      <c r="J363" s="33"/>
      <c r="K363" s="33"/>
      <c r="L363" s="33" t="b">
        <v>1</v>
      </c>
      <c r="M363" s="5"/>
      <c r="O363" s="33"/>
      <c r="P363" s="61"/>
    </row>
    <row r="364" spans="1:16" s="62" customFormat="1" x14ac:dyDescent="0.45">
      <c r="A364" s="32">
        <v>1811205</v>
      </c>
      <c r="B364" s="33" t="s">
        <v>259</v>
      </c>
      <c r="C364" s="34">
        <v>49555</v>
      </c>
      <c r="D364" s="34" t="s">
        <v>255</v>
      </c>
      <c r="E364" s="35">
        <v>10</v>
      </c>
      <c r="F364" s="35">
        <v>2</v>
      </c>
      <c r="G364" s="35">
        <v>2</v>
      </c>
      <c r="H364" s="33"/>
      <c r="I364" s="35">
        <v>10000</v>
      </c>
      <c r="J364" s="33"/>
      <c r="K364" s="33"/>
      <c r="L364" s="33" t="b">
        <v>1</v>
      </c>
      <c r="M364" s="5"/>
      <c r="O364" s="33"/>
      <c r="P364" s="61"/>
    </row>
    <row r="365" spans="1:16" s="62" customFormat="1" x14ac:dyDescent="0.45">
      <c r="A365" s="33"/>
      <c r="B365" s="33"/>
      <c r="C365" s="35">
        <v>49605</v>
      </c>
      <c r="D365" s="35" t="s">
        <v>74</v>
      </c>
      <c r="E365" s="35">
        <v>5</v>
      </c>
      <c r="F365" s="33"/>
      <c r="G365" s="33"/>
      <c r="H365" s="33"/>
      <c r="I365" s="33">
        <v>10000</v>
      </c>
      <c r="J365" s="33"/>
      <c r="K365" s="33"/>
      <c r="L365" s="33" t="b">
        <v>1</v>
      </c>
      <c r="M365" s="5"/>
      <c r="O365" s="33"/>
      <c r="P365" s="61"/>
    </row>
    <row r="366" spans="1:16" s="62" customFormat="1" x14ac:dyDescent="0.45">
      <c r="A366" s="32">
        <v>1811206</v>
      </c>
      <c r="B366" s="33" t="s">
        <v>260</v>
      </c>
      <c r="C366" s="34">
        <v>49555</v>
      </c>
      <c r="D366" s="34" t="s">
        <v>255</v>
      </c>
      <c r="E366" s="35">
        <v>18</v>
      </c>
      <c r="F366" s="35">
        <v>2</v>
      </c>
      <c r="G366" s="35">
        <v>2</v>
      </c>
      <c r="H366" s="33"/>
      <c r="I366" s="35">
        <v>10000</v>
      </c>
      <c r="J366" s="33"/>
      <c r="K366" s="33"/>
      <c r="L366" s="33" t="b">
        <v>1</v>
      </c>
      <c r="M366" s="5"/>
      <c r="O366" s="33"/>
      <c r="P366" s="61"/>
    </row>
    <row r="367" spans="1:16" s="62" customFormat="1" x14ac:dyDescent="0.45">
      <c r="A367" s="33"/>
      <c r="B367" s="33"/>
      <c r="C367" s="35">
        <v>49606</v>
      </c>
      <c r="D367" s="35" t="s">
        <v>253</v>
      </c>
      <c r="E367" s="35">
        <v>5</v>
      </c>
      <c r="F367" s="33"/>
      <c r="G367" s="33"/>
      <c r="H367" s="33"/>
      <c r="I367" s="33">
        <v>10000</v>
      </c>
      <c r="J367" s="33"/>
      <c r="K367" s="33"/>
      <c r="L367" s="33" t="b">
        <v>1</v>
      </c>
      <c r="M367" s="5"/>
      <c r="O367" s="33"/>
      <c r="P367" s="61"/>
    </row>
    <row r="368" spans="1:16" s="62" customFormat="1" x14ac:dyDescent="0.45">
      <c r="A368" s="32">
        <v>1811207</v>
      </c>
      <c r="B368" s="33" t="s">
        <v>261</v>
      </c>
      <c r="C368" s="34">
        <v>49555</v>
      </c>
      <c r="D368" s="34" t="s">
        <v>255</v>
      </c>
      <c r="E368" s="35">
        <v>27</v>
      </c>
      <c r="F368" s="35">
        <v>2</v>
      </c>
      <c r="G368" s="35">
        <v>2</v>
      </c>
      <c r="H368" s="33"/>
      <c r="I368" s="35">
        <v>10000</v>
      </c>
      <c r="J368" s="33"/>
      <c r="K368" s="33"/>
      <c r="L368" s="33" t="b">
        <v>1</v>
      </c>
      <c r="M368" s="5"/>
      <c r="O368" s="33"/>
      <c r="P368" s="61"/>
    </row>
    <row r="369" spans="1:16" s="62" customFormat="1" x14ac:dyDescent="0.45">
      <c r="A369" s="33"/>
      <c r="B369" s="33"/>
      <c r="C369" s="35">
        <v>49605</v>
      </c>
      <c r="D369" s="35" t="s">
        <v>74</v>
      </c>
      <c r="E369" s="35">
        <v>15</v>
      </c>
      <c r="F369" s="33"/>
      <c r="G369" s="33"/>
      <c r="H369" s="33"/>
      <c r="I369" s="33">
        <v>10000</v>
      </c>
      <c r="J369" s="33"/>
      <c r="K369" s="33"/>
      <c r="L369" s="33" t="b">
        <v>1</v>
      </c>
      <c r="M369" s="5"/>
      <c r="O369" s="33"/>
      <c r="P369" s="61"/>
    </row>
    <row r="370" spans="1:16" s="62" customFormat="1" x14ac:dyDescent="0.45">
      <c r="A370" s="32">
        <v>1811208</v>
      </c>
      <c r="B370" s="33" t="s">
        <v>262</v>
      </c>
      <c r="C370" s="34">
        <v>49555</v>
      </c>
      <c r="D370" s="34" t="s">
        <v>255</v>
      </c>
      <c r="E370" s="35">
        <v>37</v>
      </c>
      <c r="F370" s="35">
        <v>2</v>
      </c>
      <c r="G370" s="35">
        <v>2</v>
      </c>
      <c r="H370" s="33"/>
      <c r="I370" s="35">
        <v>10000</v>
      </c>
      <c r="J370" s="33"/>
      <c r="K370" s="33"/>
      <c r="L370" s="33" t="b">
        <v>1</v>
      </c>
      <c r="M370" s="5"/>
      <c r="O370" s="33"/>
      <c r="P370" s="61"/>
    </row>
    <row r="371" spans="1:16" s="62" customFormat="1" x14ac:dyDescent="0.45">
      <c r="A371" s="33"/>
      <c r="B371" s="33"/>
      <c r="C371" s="35">
        <v>49605</v>
      </c>
      <c r="D371" s="35" t="s">
        <v>74</v>
      </c>
      <c r="E371" s="35">
        <v>25</v>
      </c>
      <c r="F371" s="33"/>
      <c r="G371" s="33"/>
      <c r="H371" s="33"/>
      <c r="I371" s="33">
        <v>10000</v>
      </c>
      <c r="J371" s="33"/>
      <c r="K371" s="33"/>
      <c r="L371" s="33" t="b">
        <v>1</v>
      </c>
      <c r="M371" s="5"/>
      <c r="O371" s="33"/>
      <c r="P371" s="61"/>
    </row>
    <row r="372" spans="1:16" s="62" customFormat="1" x14ac:dyDescent="0.45">
      <c r="A372" s="32">
        <v>1811209</v>
      </c>
      <c r="B372" s="33" t="s">
        <v>263</v>
      </c>
      <c r="C372" s="34">
        <v>49555</v>
      </c>
      <c r="D372" s="34" t="s">
        <v>255</v>
      </c>
      <c r="E372" s="35">
        <v>74</v>
      </c>
      <c r="F372" s="35">
        <v>2</v>
      </c>
      <c r="G372" s="35">
        <v>2</v>
      </c>
      <c r="H372" s="33"/>
      <c r="I372" s="35">
        <v>10000</v>
      </c>
      <c r="J372" s="33"/>
      <c r="K372" s="33"/>
      <c r="L372" s="33" t="b">
        <v>1</v>
      </c>
      <c r="M372" s="5"/>
      <c r="O372" s="33"/>
      <c r="P372" s="61"/>
    </row>
    <row r="373" spans="1:16" s="62" customFormat="1" x14ac:dyDescent="0.45">
      <c r="A373" s="33"/>
      <c r="B373" s="33"/>
      <c r="C373" s="35">
        <v>49605</v>
      </c>
      <c r="D373" s="35" t="s">
        <v>74</v>
      </c>
      <c r="E373" s="35">
        <v>50</v>
      </c>
      <c r="F373" s="33"/>
      <c r="G373" s="33"/>
      <c r="H373" s="33"/>
      <c r="I373" s="33">
        <v>10000</v>
      </c>
      <c r="J373" s="33"/>
      <c r="K373" s="33"/>
      <c r="L373" s="33" t="b">
        <v>1</v>
      </c>
      <c r="M373" s="5"/>
      <c r="O373" s="33"/>
      <c r="P373" s="61"/>
    </row>
    <row r="374" spans="1:16" s="62" customFormat="1" x14ac:dyDescent="0.45">
      <c r="A374" s="32">
        <v>1811210</v>
      </c>
      <c r="B374" s="33" t="s">
        <v>264</v>
      </c>
      <c r="C374" s="34">
        <v>49555</v>
      </c>
      <c r="D374" s="34" t="s">
        <v>255</v>
      </c>
      <c r="E374" s="35">
        <v>3</v>
      </c>
      <c r="F374" s="35">
        <v>1</v>
      </c>
      <c r="G374" s="35">
        <v>1</v>
      </c>
      <c r="H374" s="33"/>
      <c r="I374" s="35">
        <v>10000</v>
      </c>
      <c r="J374" s="33"/>
      <c r="K374" s="33"/>
      <c r="L374" s="33" t="b">
        <v>1</v>
      </c>
      <c r="M374" s="5"/>
      <c r="O374" s="33"/>
      <c r="P374" s="61"/>
    </row>
    <row r="375" spans="1:16" ht="16.5" customHeight="1" x14ac:dyDescent="0.25">
      <c r="A375" s="63">
        <v>1811231</v>
      </c>
      <c r="B375" s="64" t="s">
        <v>179</v>
      </c>
      <c r="C375" s="41">
        <v>514</v>
      </c>
      <c r="D375" s="65" t="s">
        <v>212</v>
      </c>
      <c r="E375" s="40">
        <v>1</v>
      </c>
      <c r="F375" s="40">
        <v>1</v>
      </c>
      <c r="G375" s="40">
        <v>1</v>
      </c>
      <c r="H375" s="40"/>
      <c r="I375" s="41">
        <v>10000</v>
      </c>
      <c r="J375" s="41"/>
      <c r="K375" s="41"/>
      <c r="L375" s="66" t="b">
        <v>1</v>
      </c>
    </row>
    <row r="376" spans="1:16" ht="16.5" customHeight="1" x14ac:dyDescent="0.25">
      <c r="A376" s="63">
        <v>1811232</v>
      </c>
      <c r="B376" s="64" t="s">
        <v>180</v>
      </c>
      <c r="C376" s="67">
        <v>6144</v>
      </c>
      <c r="D376" s="67" t="s">
        <v>213</v>
      </c>
      <c r="E376" s="40">
        <v>1</v>
      </c>
      <c r="F376" s="40">
        <v>1</v>
      </c>
      <c r="G376" s="40">
        <v>1</v>
      </c>
      <c r="H376" s="40"/>
      <c r="I376" s="41">
        <v>10000</v>
      </c>
      <c r="J376" s="41"/>
      <c r="K376" s="41"/>
      <c r="L376" s="66" t="b">
        <v>1</v>
      </c>
    </row>
    <row r="377" spans="1:16" ht="16.5" customHeight="1" x14ac:dyDescent="0.25">
      <c r="A377" s="63">
        <v>1811233</v>
      </c>
      <c r="B377" s="64" t="s">
        <v>181</v>
      </c>
      <c r="C377" s="67">
        <v>6124</v>
      </c>
      <c r="D377" s="67" t="s">
        <v>215</v>
      </c>
      <c r="E377" s="40">
        <v>1</v>
      </c>
      <c r="F377" s="40">
        <v>1</v>
      </c>
      <c r="G377" s="40">
        <v>1</v>
      </c>
      <c r="H377" s="40"/>
      <c r="I377" s="41">
        <v>10000</v>
      </c>
      <c r="J377" s="41"/>
      <c r="K377" s="41"/>
      <c r="L377" s="66" t="b">
        <v>1</v>
      </c>
    </row>
    <row r="378" spans="1:16" ht="16.5" customHeight="1" x14ac:dyDescent="0.25">
      <c r="A378" s="63">
        <v>1811234</v>
      </c>
      <c r="B378" s="64" t="s">
        <v>182</v>
      </c>
      <c r="C378" s="67">
        <v>6164</v>
      </c>
      <c r="D378" s="67" t="s">
        <v>214</v>
      </c>
      <c r="E378" s="40">
        <v>1</v>
      </c>
      <c r="F378" s="40">
        <v>1</v>
      </c>
      <c r="G378" s="40">
        <v>1</v>
      </c>
      <c r="H378" s="40"/>
      <c r="I378" s="41">
        <v>10000</v>
      </c>
      <c r="J378" s="41"/>
      <c r="K378" s="41"/>
      <c r="L378" s="66" t="b">
        <v>1</v>
      </c>
    </row>
    <row r="379" spans="1:16" ht="16.5" customHeight="1" x14ac:dyDescent="0.25">
      <c r="A379" s="63">
        <v>1811235</v>
      </c>
      <c r="B379" s="64" t="s">
        <v>183</v>
      </c>
      <c r="C379" s="67">
        <v>3013</v>
      </c>
      <c r="D379" s="67" t="s">
        <v>216</v>
      </c>
      <c r="E379" s="40">
        <v>2</v>
      </c>
      <c r="F379" s="40">
        <v>1</v>
      </c>
      <c r="G379" s="40">
        <v>1</v>
      </c>
      <c r="H379" s="40"/>
      <c r="I379" s="41">
        <v>10000</v>
      </c>
      <c r="J379" s="41"/>
      <c r="K379" s="41"/>
      <c r="L379" s="66" t="b">
        <v>1</v>
      </c>
    </row>
    <row r="380" spans="1:16" ht="16.5" customHeight="1" x14ac:dyDescent="0.25">
      <c r="A380" s="63">
        <v>1811236</v>
      </c>
      <c r="B380" s="64" t="s">
        <v>184</v>
      </c>
      <c r="C380" s="67">
        <v>7228</v>
      </c>
      <c r="D380" s="67" t="s">
        <v>178</v>
      </c>
      <c r="E380" s="40">
        <v>10</v>
      </c>
      <c r="F380" s="40">
        <v>1</v>
      </c>
      <c r="G380" s="40">
        <v>1</v>
      </c>
      <c r="H380" s="40"/>
      <c r="I380" s="41">
        <v>10000</v>
      </c>
      <c r="J380" s="41"/>
      <c r="K380" s="41"/>
      <c r="L380" s="66" t="b">
        <v>1</v>
      </c>
    </row>
    <row r="381" spans="1:16" ht="16.5" customHeight="1" x14ac:dyDescent="0.25">
      <c r="A381" s="63">
        <v>1811237</v>
      </c>
      <c r="B381" s="64" t="s">
        <v>185</v>
      </c>
      <c r="C381" s="27">
        <v>2064</v>
      </c>
      <c r="D381" s="67" t="s">
        <v>217</v>
      </c>
      <c r="E381" s="40">
        <v>1</v>
      </c>
      <c r="F381" s="40">
        <v>1</v>
      </c>
      <c r="G381" s="40">
        <v>1</v>
      </c>
      <c r="H381" s="40"/>
      <c r="I381" s="41">
        <v>10000</v>
      </c>
      <c r="J381" s="41"/>
      <c r="K381" s="41"/>
      <c r="L381" s="66" t="b">
        <v>1</v>
      </c>
    </row>
    <row r="382" spans="1:16" ht="16.5" customHeight="1" x14ac:dyDescent="0.25">
      <c r="A382" s="63">
        <v>1811238</v>
      </c>
      <c r="B382" s="64" t="s">
        <v>186</v>
      </c>
      <c r="C382" s="67">
        <v>517</v>
      </c>
      <c r="D382" s="67" t="s">
        <v>221</v>
      </c>
      <c r="E382" s="40">
        <v>1</v>
      </c>
      <c r="F382" s="40">
        <v>2</v>
      </c>
      <c r="G382" s="40">
        <v>2</v>
      </c>
      <c r="H382" s="40"/>
      <c r="I382" s="41">
        <v>10000</v>
      </c>
      <c r="J382" s="41"/>
      <c r="K382" s="41"/>
      <c r="L382" s="66" t="b">
        <v>1</v>
      </c>
    </row>
    <row r="383" spans="1:16" ht="16.5" customHeight="1" x14ac:dyDescent="0.25">
      <c r="A383" s="63"/>
      <c r="B383" s="64"/>
      <c r="C383" s="67">
        <v>6128</v>
      </c>
      <c r="D383" s="67" t="s">
        <v>268</v>
      </c>
      <c r="E383" s="40">
        <v>1</v>
      </c>
      <c r="F383" s="40"/>
      <c r="G383" s="40"/>
      <c r="H383" s="40"/>
      <c r="I383" s="41">
        <v>10000</v>
      </c>
      <c r="J383" s="41"/>
      <c r="K383" s="41"/>
      <c r="L383" s="66" t="b">
        <v>1</v>
      </c>
    </row>
    <row r="384" spans="1:16" ht="16.5" customHeight="1" x14ac:dyDescent="0.25">
      <c r="A384" s="63">
        <v>1811239</v>
      </c>
      <c r="B384" s="64" t="s">
        <v>187</v>
      </c>
      <c r="C384" s="67">
        <v>6165</v>
      </c>
      <c r="D384" s="67" t="s">
        <v>149</v>
      </c>
      <c r="E384" s="40">
        <v>5</v>
      </c>
      <c r="F384" s="40">
        <v>1</v>
      </c>
      <c r="G384" s="40">
        <v>1</v>
      </c>
      <c r="H384" s="40"/>
      <c r="I384" s="41">
        <v>10000</v>
      </c>
      <c r="J384" s="41"/>
      <c r="K384" s="41"/>
      <c r="L384" s="66" t="b">
        <v>1</v>
      </c>
    </row>
    <row r="385" spans="1:12" ht="16.5" customHeight="1" x14ac:dyDescent="0.25">
      <c r="A385" s="63">
        <v>1811240</v>
      </c>
      <c r="B385" s="64" t="s">
        <v>188</v>
      </c>
      <c r="C385" s="67">
        <v>6148</v>
      </c>
      <c r="D385" s="67" t="s">
        <v>269</v>
      </c>
      <c r="E385" s="40">
        <v>1</v>
      </c>
      <c r="F385" s="40">
        <v>2</v>
      </c>
      <c r="G385" s="40">
        <v>2</v>
      </c>
      <c r="H385" s="40"/>
      <c r="I385" s="41">
        <v>10000</v>
      </c>
      <c r="J385" s="41"/>
      <c r="K385" s="41"/>
      <c r="L385" s="66" t="b">
        <v>1</v>
      </c>
    </row>
    <row r="386" spans="1:12" ht="16.5" customHeight="1" x14ac:dyDescent="0.25">
      <c r="A386" s="63"/>
      <c r="B386" s="64"/>
      <c r="C386" s="67">
        <v>2007</v>
      </c>
      <c r="D386" s="67" t="s">
        <v>140</v>
      </c>
      <c r="E386" s="40">
        <v>1</v>
      </c>
      <c r="F386" s="40"/>
      <c r="G386" s="40"/>
      <c r="H386" s="40"/>
      <c r="I386" s="41">
        <v>10000</v>
      </c>
      <c r="J386" s="41"/>
      <c r="K386" s="41"/>
      <c r="L386" s="66" t="b">
        <v>1</v>
      </c>
    </row>
    <row r="387" spans="1:12" ht="16.5" customHeight="1" x14ac:dyDescent="0.25">
      <c r="A387" s="63">
        <v>1811241</v>
      </c>
      <c r="B387" s="64" t="s">
        <v>189</v>
      </c>
      <c r="C387" s="67">
        <v>6106</v>
      </c>
      <c r="D387" s="67" t="s">
        <v>270</v>
      </c>
      <c r="E387" s="40">
        <v>2</v>
      </c>
      <c r="F387" s="40">
        <v>1</v>
      </c>
      <c r="G387" s="40">
        <v>1</v>
      </c>
      <c r="H387" s="40"/>
      <c r="I387" s="41">
        <v>10000</v>
      </c>
      <c r="J387" s="41"/>
      <c r="K387" s="41"/>
      <c r="L387" s="66" t="b">
        <v>1</v>
      </c>
    </row>
    <row r="388" spans="1:12" ht="16.5" customHeight="1" x14ac:dyDescent="0.25">
      <c r="A388" s="63">
        <v>1811242</v>
      </c>
      <c r="B388" s="64" t="s">
        <v>190</v>
      </c>
      <c r="C388" s="27">
        <v>2064</v>
      </c>
      <c r="D388" s="67" t="s">
        <v>217</v>
      </c>
      <c r="E388" s="40">
        <v>5</v>
      </c>
      <c r="F388" s="40">
        <v>1</v>
      </c>
      <c r="G388" s="40">
        <v>1</v>
      </c>
      <c r="H388" s="40"/>
      <c r="I388" s="41">
        <v>10000</v>
      </c>
      <c r="J388" s="41"/>
      <c r="K388" s="41"/>
      <c r="L388" s="66" t="b">
        <v>1</v>
      </c>
    </row>
    <row r="389" spans="1:12" ht="16.5" customHeight="1" x14ac:dyDescent="0.25">
      <c r="A389" s="63">
        <v>1811243</v>
      </c>
      <c r="B389" s="64" t="s">
        <v>191</v>
      </c>
      <c r="C389" s="67">
        <v>7228</v>
      </c>
      <c r="D389" s="67" t="s">
        <v>178</v>
      </c>
      <c r="E389" s="40">
        <v>50</v>
      </c>
      <c r="F389" s="40">
        <v>1</v>
      </c>
      <c r="G389" s="40">
        <v>1</v>
      </c>
      <c r="H389" s="40"/>
      <c r="I389" s="41">
        <v>10000</v>
      </c>
      <c r="J389" s="41"/>
      <c r="K389" s="41"/>
      <c r="L389" s="66" t="b">
        <v>1</v>
      </c>
    </row>
    <row r="390" spans="1:12" ht="16.5" customHeight="1" x14ac:dyDescent="0.25">
      <c r="A390" s="63">
        <v>1811244</v>
      </c>
      <c r="B390" s="64" t="s">
        <v>192</v>
      </c>
      <c r="C390" s="55">
        <v>7003</v>
      </c>
      <c r="D390" s="60" t="s">
        <v>267</v>
      </c>
      <c r="E390" s="53">
        <v>500</v>
      </c>
      <c r="F390" s="40">
        <v>2</v>
      </c>
      <c r="G390" s="40">
        <v>2</v>
      </c>
      <c r="H390" s="40"/>
      <c r="I390" s="41">
        <v>10000</v>
      </c>
      <c r="J390" s="41"/>
      <c r="K390" s="41"/>
      <c r="L390" s="66" t="b">
        <v>1</v>
      </c>
    </row>
    <row r="391" spans="1:12" ht="16.5" customHeight="1" x14ac:dyDescent="0.25">
      <c r="A391" s="68"/>
      <c r="B391" s="69"/>
      <c r="C391" s="41">
        <v>2000003</v>
      </c>
      <c r="D391" s="65" t="s">
        <v>193</v>
      </c>
      <c r="E391" s="40">
        <v>4</v>
      </c>
      <c r="F391" s="69"/>
      <c r="G391" s="69"/>
      <c r="H391" s="69"/>
      <c r="I391" s="41">
        <v>10000</v>
      </c>
      <c r="J391" s="41"/>
      <c r="K391" s="41"/>
      <c r="L391" s="66" t="b">
        <v>1</v>
      </c>
    </row>
    <row r="392" spans="1:12" ht="16.5" customHeight="1" x14ac:dyDescent="0.25">
      <c r="A392" s="63">
        <v>1811261</v>
      </c>
      <c r="B392" s="64" t="s">
        <v>179</v>
      </c>
      <c r="C392" s="41">
        <v>514</v>
      </c>
      <c r="D392" s="65" t="s">
        <v>212</v>
      </c>
      <c r="E392" s="40">
        <v>1</v>
      </c>
      <c r="F392" s="40">
        <v>1</v>
      </c>
      <c r="G392" s="40">
        <v>1</v>
      </c>
      <c r="H392" s="40"/>
      <c r="I392" s="41">
        <v>10000</v>
      </c>
      <c r="J392" s="41"/>
      <c r="K392" s="41"/>
      <c r="L392" s="66" t="b">
        <v>1</v>
      </c>
    </row>
    <row r="393" spans="1:12" ht="16.5" customHeight="1" x14ac:dyDescent="0.25">
      <c r="A393" s="63">
        <v>1811262</v>
      </c>
      <c r="B393" s="64" t="s">
        <v>180</v>
      </c>
      <c r="C393" s="67">
        <v>3013</v>
      </c>
      <c r="D393" s="67" t="s">
        <v>216</v>
      </c>
      <c r="E393" s="40">
        <v>2</v>
      </c>
      <c r="F393" s="40">
        <v>1</v>
      </c>
      <c r="G393" s="40">
        <v>1</v>
      </c>
      <c r="H393" s="40"/>
      <c r="I393" s="41">
        <v>10000</v>
      </c>
      <c r="J393" s="41"/>
      <c r="K393" s="41"/>
      <c r="L393" s="66" t="b">
        <v>1</v>
      </c>
    </row>
    <row r="394" spans="1:12" ht="16.5" customHeight="1" x14ac:dyDescent="0.25">
      <c r="A394" s="63">
        <v>1811263</v>
      </c>
      <c r="B394" s="64" t="s">
        <v>181</v>
      </c>
      <c r="C394" s="67">
        <v>6124</v>
      </c>
      <c r="D394" s="67" t="s">
        <v>215</v>
      </c>
      <c r="E394" s="40">
        <v>1</v>
      </c>
      <c r="F394" s="40">
        <v>1</v>
      </c>
      <c r="G394" s="40">
        <v>1</v>
      </c>
      <c r="H394" s="40"/>
      <c r="I394" s="41">
        <v>10000</v>
      </c>
      <c r="J394" s="41"/>
      <c r="K394" s="41"/>
      <c r="L394" s="66" t="b">
        <v>1</v>
      </c>
    </row>
    <row r="395" spans="1:12" ht="16.5" customHeight="1" x14ac:dyDescent="0.25">
      <c r="A395" s="63">
        <v>1811264</v>
      </c>
      <c r="B395" s="64" t="s">
        <v>182</v>
      </c>
      <c r="C395" s="67">
        <v>7228</v>
      </c>
      <c r="D395" s="67" t="s">
        <v>178</v>
      </c>
      <c r="E395" s="40">
        <v>10</v>
      </c>
      <c r="F395" s="40">
        <v>1</v>
      </c>
      <c r="G395" s="40">
        <v>1</v>
      </c>
      <c r="H395" s="40"/>
      <c r="I395" s="41">
        <v>10000</v>
      </c>
      <c r="J395" s="41"/>
      <c r="K395" s="41"/>
      <c r="L395" s="66" t="b">
        <v>1</v>
      </c>
    </row>
    <row r="396" spans="1:12" ht="16.5" customHeight="1" x14ac:dyDescent="0.25">
      <c r="A396" s="63">
        <v>1811265</v>
      </c>
      <c r="B396" s="64" t="s">
        <v>183</v>
      </c>
      <c r="C396" s="67">
        <v>6144</v>
      </c>
      <c r="D396" s="67" t="s">
        <v>213</v>
      </c>
      <c r="E396" s="40">
        <v>1</v>
      </c>
      <c r="F396" s="40">
        <v>1</v>
      </c>
      <c r="G396" s="40">
        <v>1</v>
      </c>
      <c r="H396" s="40"/>
      <c r="I396" s="41">
        <v>10000</v>
      </c>
      <c r="J396" s="41"/>
      <c r="K396" s="41"/>
      <c r="L396" s="66" t="b">
        <v>1</v>
      </c>
    </row>
    <row r="397" spans="1:12" ht="16.5" customHeight="1" x14ac:dyDescent="0.25">
      <c r="A397" s="63">
        <v>1811266</v>
      </c>
      <c r="B397" s="64" t="s">
        <v>184</v>
      </c>
      <c r="C397" s="27">
        <v>2064</v>
      </c>
      <c r="D397" s="67" t="s">
        <v>217</v>
      </c>
      <c r="E397" s="40">
        <v>1</v>
      </c>
      <c r="F397" s="40">
        <v>1</v>
      </c>
      <c r="G397" s="40">
        <v>1</v>
      </c>
      <c r="H397" s="40"/>
      <c r="I397" s="41">
        <v>10000</v>
      </c>
      <c r="J397" s="41"/>
      <c r="K397" s="41"/>
      <c r="L397" s="66" t="b">
        <v>1</v>
      </c>
    </row>
    <row r="398" spans="1:12" ht="16.5" customHeight="1" x14ac:dyDescent="0.25">
      <c r="A398" s="63">
        <v>1811267</v>
      </c>
      <c r="B398" s="64" t="s">
        <v>185</v>
      </c>
      <c r="C398" s="55">
        <v>56203</v>
      </c>
      <c r="D398" s="53" t="s">
        <v>228</v>
      </c>
      <c r="E398" s="53">
        <v>1</v>
      </c>
      <c r="F398" s="40">
        <v>1</v>
      </c>
      <c r="G398" s="40">
        <v>1</v>
      </c>
      <c r="H398" s="40"/>
      <c r="I398" s="41">
        <v>10000</v>
      </c>
      <c r="J398" s="41"/>
      <c r="K398" s="41"/>
      <c r="L398" s="66" t="b">
        <v>1</v>
      </c>
    </row>
    <row r="399" spans="1:12" ht="16.5" customHeight="1" x14ac:dyDescent="0.25">
      <c r="A399" s="63">
        <v>1811268</v>
      </c>
      <c r="B399" s="64" t="s">
        <v>186</v>
      </c>
      <c r="C399" s="67">
        <v>6166</v>
      </c>
      <c r="D399" s="67" t="s">
        <v>265</v>
      </c>
      <c r="E399" s="40">
        <v>1</v>
      </c>
      <c r="F399" s="40">
        <v>2</v>
      </c>
      <c r="G399" s="40">
        <v>2</v>
      </c>
      <c r="H399" s="40"/>
      <c r="I399" s="41">
        <v>10000</v>
      </c>
      <c r="J399" s="41"/>
      <c r="K399" s="41"/>
      <c r="L399" s="66" t="b">
        <v>1</v>
      </c>
    </row>
    <row r="400" spans="1:12" ht="16.5" customHeight="1" x14ac:dyDescent="0.25">
      <c r="A400" s="63"/>
      <c r="B400" s="64"/>
      <c r="C400" s="67">
        <v>6108</v>
      </c>
      <c r="D400" s="67" t="s">
        <v>266</v>
      </c>
      <c r="E400" s="40">
        <v>1</v>
      </c>
      <c r="F400" s="40"/>
      <c r="G400" s="40"/>
      <c r="H400" s="40"/>
      <c r="I400" s="41">
        <v>10000</v>
      </c>
      <c r="J400" s="41"/>
      <c r="K400" s="41"/>
      <c r="L400" s="66" t="b">
        <v>1</v>
      </c>
    </row>
    <row r="401" spans="1:12" ht="16.5" customHeight="1" x14ac:dyDescent="0.25">
      <c r="A401" s="63">
        <v>1811269</v>
      </c>
      <c r="B401" s="64" t="s">
        <v>187</v>
      </c>
      <c r="C401" s="67">
        <v>516</v>
      </c>
      <c r="D401" s="67" t="s">
        <v>223</v>
      </c>
      <c r="E401" s="40">
        <v>1</v>
      </c>
      <c r="F401" s="40">
        <v>1</v>
      </c>
      <c r="G401" s="40">
        <v>1</v>
      </c>
      <c r="H401" s="40"/>
      <c r="I401" s="41">
        <v>10000</v>
      </c>
      <c r="J401" s="41"/>
      <c r="K401" s="41"/>
      <c r="L401" s="66" t="b">
        <v>1</v>
      </c>
    </row>
    <row r="402" spans="1:12" ht="16.5" customHeight="1" x14ac:dyDescent="0.25">
      <c r="A402" s="63">
        <v>1811270</v>
      </c>
      <c r="B402" s="64" t="s">
        <v>188</v>
      </c>
      <c r="C402" s="41">
        <v>2000003</v>
      </c>
      <c r="D402" s="65" t="s">
        <v>193</v>
      </c>
      <c r="E402" s="40">
        <v>1</v>
      </c>
      <c r="F402" s="40">
        <v>2</v>
      </c>
      <c r="G402" s="40">
        <v>2</v>
      </c>
      <c r="H402" s="40"/>
      <c r="I402" s="41">
        <v>10000</v>
      </c>
      <c r="J402" s="41"/>
      <c r="K402" s="41"/>
      <c r="L402" s="66" t="b">
        <v>1</v>
      </c>
    </row>
    <row r="403" spans="1:12" ht="16.5" customHeight="1" x14ac:dyDescent="0.25">
      <c r="A403" s="63"/>
      <c r="B403" s="64"/>
      <c r="C403" s="67">
        <v>56202</v>
      </c>
      <c r="D403" s="67" t="s">
        <v>224</v>
      </c>
      <c r="E403" s="40">
        <v>1</v>
      </c>
      <c r="F403" s="40"/>
      <c r="G403" s="40"/>
      <c r="H403" s="40"/>
      <c r="I403" s="41">
        <v>10000</v>
      </c>
      <c r="J403" s="41"/>
      <c r="K403" s="41"/>
      <c r="L403" s="66" t="b">
        <v>1</v>
      </c>
    </row>
    <row r="404" spans="1:12" ht="16.5" customHeight="1" x14ac:dyDescent="0.25">
      <c r="A404" s="63">
        <v>1811271</v>
      </c>
      <c r="B404" s="64" t="s">
        <v>189</v>
      </c>
      <c r="C404" s="67">
        <v>7228</v>
      </c>
      <c r="D404" s="67" t="s">
        <v>178</v>
      </c>
      <c r="E404" s="40">
        <v>40</v>
      </c>
      <c r="F404" s="40">
        <v>1</v>
      </c>
      <c r="G404" s="40">
        <v>1</v>
      </c>
      <c r="H404" s="40"/>
      <c r="I404" s="41">
        <v>10000</v>
      </c>
      <c r="J404" s="41"/>
      <c r="K404" s="41"/>
      <c r="L404" s="66" t="b">
        <v>1</v>
      </c>
    </row>
    <row r="405" spans="1:12" ht="16.5" customHeight="1" x14ac:dyDescent="0.25">
      <c r="A405" s="63">
        <v>1811272</v>
      </c>
      <c r="B405" s="64" t="s">
        <v>190</v>
      </c>
      <c r="C405" s="67">
        <v>56002</v>
      </c>
      <c r="D405" s="67" t="s">
        <v>225</v>
      </c>
      <c r="E405" s="40">
        <v>400</v>
      </c>
      <c r="F405" s="40">
        <v>1</v>
      </c>
      <c r="G405" s="40">
        <v>1</v>
      </c>
      <c r="H405" s="40"/>
      <c r="I405" s="41">
        <v>10000</v>
      </c>
      <c r="J405" s="41"/>
      <c r="K405" s="41"/>
      <c r="L405" s="66" t="b">
        <v>1</v>
      </c>
    </row>
    <row r="406" spans="1:12" ht="16.5" customHeight="1" x14ac:dyDescent="0.25">
      <c r="A406" s="63">
        <v>1811273</v>
      </c>
      <c r="B406" s="64" t="s">
        <v>191</v>
      </c>
      <c r="C406" s="27">
        <v>2064</v>
      </c>
      <c r="D406" s="67" t="s">
        <v>217</v>
      </c>
      <c r="E406" s="40">
        <v>5</v>
      </c>
      <c r="F406" s="40">
        <v>1</v>
      </c>
      <c r="G406" s="40">
        <v>1</v>
      </c>
      <c r="H406" s="40"/>
      <c r="I406" s="41">
        <v>10000</v>
      </c>
      <c r="J406" s="41"/>
      <c r="K406" s="41"/>
      <c r="L406" s="66" t="b">
        <v>1</v>
      </c>
    </row>
    <row r="407" spans="1:12" ht="16.5" customHeight="1" x14ac:dyDescent="0.25">
      <c r="A407" s="63">
        <v>1811274</v>
      </c>
      <c r="B407" s="64" t="s">
        <v>192</v>
      </c>
      <c r="C407" s="55">
        <v>7003</v>
      </c>
      <c r="D407" s="60" t="s">
        <v>267</v>
      </c>
      <c r="E407" s="53">
        <v>500</v>
      </c>
      <c r="F407" s="40">
        <v>2</v>
      </c>
      <c r="G407" s="40">
        <v>2</v>
      </c>
      <c r="H407" s="40"/>
      <c r="I407" s="41">
        <v>10000</v>
      </c>
      <c r="J407" s="41"/>
      <c r="K407" s="41"/>
      <c r="L407" s="66" t="b">
        <v>1</v>
      </c>
    </row>
    <row r="408" spans="1:12" ht="16.5" customHeight="1" x14ac:dyDescent="0.25">
      <c r="A408" s="68"/>
      <c r="B408" s="69"/>
      <c r="C408" s="67">
        <v>56215</v>
      </c>
      <c r="D408" s="70" t="s">
        <v>227</v>
      </c>
      <c r="E408" s="40">
        <v>1</v>
      </c>
      <c r="F408" s="40"/>
      <c r="G408" s="40"/>
      <c r="H408" s="40"/>
      <c r="I408" s="41">
        <v>10000</v>
      </c>
      <c r="J408" s="41"/>
      <c r="K408" s="41"/>
      <c r="L408" s="66" t="b">
        <v>1</v>
      </c>
    </row>
    <row r="409" spans="1:12" ht="16.5" customHeight="1" x14ac:dyDescent="0.25">
      <c r="A409" s="32">
        <v>1811281</v>
      </c>
      <c r="B409" s="18" t="s">
        <v>271</v>
      </c>
      <c r="C409" s="71">
        <v>119047</v>
      </c>
      <c r="D409" s="18" t="s">
        <v>272</v>
      </c>
      <c r="E409" s="5">
        <v>5</v>
      </c>
      <c r="F409" s="40">
        <v>1</v>
      </c>
      <c r="G409" s="40">
        <v>1</v>
      </c>
      <c r="H409" s="40"/>
      <c r="I409" s="41">
        <v>10000</v>
      </c>
      <c r="J409" s="41"/>
      <c r="K409" s="41"/>
      <c r="L409" s="66" t="b">
        <v>1</v>
      </c>
    </row>
    <row r="410" spans="1:12" ht="16.5" customHeight="1" x14ac:dyDescent="0.25">
      <c r="A410" s="32">
        <v>1811282</v>
      </c>
      <c r="B410" s="18" t="s">
        <v>271</v>
      </c>
      <c r="C410" s="71">
        <v>119014</v>
      </c>
      <c r="D410" s="18" t="s">
        <v>272</v>
      </c>
      <c r="E410" s="5">
        <v>5</v>
      </c>
      <c r="F410" s="40">
        <v>1</v>
      </c>
      <c r="G410" s="40">
        <v>1</v>
      </c>
      <c r="H410" s="40"/>
      <c r="I410" s="41">
        <v>10000</v>
      </c>
      <c r="J410" s="41"/>
      <c r="K410" s="41"/>
      <c r="L410" s="66" t="b">
        <v>1</v>
      </c>
    </row>
    <row r="411" spans="1:12" ht="16.5" customHeight="1" x14ac:dyDescent="0.25">
      <c r="A411" s="32">
        <v>1811283</v>
      </c>
      <c r="B411" s="18" t="s">
        <v>271</v>
      </c>
      <c r="C411" s="71">
        <v>119042</v>
      </c>
      <c r="D411" s="18" t="s">
        <v>272</v>
      </c>
      <c r="E411" s="5">
        <v>5</v>
      </c>
      <c r="F411" s="40">
        <v>1</v>
      </c>
      <c r="G411" s="40">
        <v>1</v>
      </c>
      <c r="H411" s="40"/>
      <c r="I411" s="41">
        <v>10000</v>
      </c>
      <c r="J411" s="41"/>
      <c r="K411" s="41"/>
      <c r="L411" s="66" t="b">
        <v>1</v>
      </c>
    </row>
    <row r="412" spans="1:12" ht="16.5" customHeight="1" x14ac:dyDescent="0.25">
      <c r="A412" s="32">
        <v>1811284</v>
      </c>
      <c r="B412" s="18" t="s">
        <v>271</v>
      </c>
      <c r="C412" s="71">
        <v>119032</v>
      </c>
      <c r="D412" s="18" t="s">
        <v>272</v>
      </c>
      <c r="E412" s="5">
        <v>5</v>
      </c>
      <c r="F412" s="40">
        <v>1</v>
      </c>
      <c r="G412" s="40">
        <v>1</v>
      </c>
      <c r="H412" s="40"/>
      <c r="I412" s="41">
        <v>10000</v>
      </c>
      <c r="J412" s="41"/>
      <c r="K412" s="41"/>
      <c r="L412" s="66" t="b">
        <v>1</v>
      </c>
    </row>
    <row r="413" spans="1:12" ht="16.5" customHeight="1" x14ac:dyDescent="0.25">
      <c r="A413" s="32">
        <v>1811285</v>
      </c>
      <c r="B413" s="18" t="s">
        <v>271</v>
      </c>
      <c r="C413" s="71">
        <v>119077</v>
      </c>
      <c r="D413" s="18" t="s">
        <v>272</v>
      </c>
      <c r="E413" s="5">
        <v>5</v>
      </c>
      <c r="F413" s="40">
        <v>1</v>
      </c>
      <c r="G413" s="40">
        <v>1</v>
      </c>
      <c r="H413" s="40"/>
      <c r="I413" s="41">
        <v>10000</v>
      </c>
      <c r="J413" s="41"/>
      <c r="K413" s="41"/>
      <c r="L413" s="66" t="b">
        <v>1</v>
      </c>
    </row>
    <row r="414" spans="1:12" ht="16.5" customHeight="1" x14ac:dyDescent="0.25">
      <c r="A414" s="32">
        <v>1811286</v>
      </c>
      <c r="B414" s="18" t="s">
        <v>271</v>
      </c>
      <c r="C414" s="71">
        <v>119023</v>
      </c>
      <c r="D414" s="18" t="s">
        <v>272</v>
      </c>
      <c r="E414" s="5">
        <v>5</v>
      </c>
      <c r="F414" s="40">
        <v>1</v>
      </c>
      <c r="G414" s="40">
        <v>1</v>
      </c>
      <c r="H414" s="40"/>
      <c r="I414" s="41">
        <v>10000</v>
      </c>
      <c r="J414" s="41"/>
      <c r="K414" s="41"/>
      <c r="L414" s="66" t="b">
        <v>1</v>
      </c>
    </row>
    <row r="415" spans="1:12" ht="16.5" customHeight="1" x14ac:dyDescent="0.25">
      <c r="A415" s="32">
        <v>1811401</v>
      </c>
      <c r="B415" s="18" t="s">
        <v>271</v>
      </c>
      <c r="C415" s="78">
        <v>119036</v>
      </c>
      <c r="D415" s="18" t="s">
        <v>272</v>
      </c>
      <c r="E415" s="5">
        <v>5</v>
      </c>
      <c r="F415" s="40">
        <v>1</v>
      </c>
      <c r="G415" s="40">
        <v>1</v>
      </c>
      <c r="H415" s="40"/>
      <c r="I415" s="41">
        <v>10000</v>
      </c>
      <c r="J415" s="41"/>
      <c r="K415" s="41"/>
      <c r="L415" s="66" t="b">
        <v>1</v>
      </c>
    </row>
    <row r="416" spans="1:12" ht="16.5" customHeight="1" x14ac:dyDescent="0.25">
      <c r="A416" s="32">
        <v>1811402</v>
      </c>
      <c r="B416" s="18" t="s">
        <v>271</v>
      </c>
      <c r="C416" s="78">
        <v>119001</v>
      </c>
      <c r="D416" s="18" t="s">
        <v>272</v>
      </c>
      <c r="E416" s="5">
        <v>5</v>
      </c>
      <c r="F416" s="40">
        <v>1</v>
      </c>
      <c r="G416" s="40">
        <v>1</v>
      </c>
      <c r="H416" s="40"/>
      <c r="I416" s="41">
        <v>10000</v>
      </c>
      <c r="J416" s="41"/>
      <c r="K416" s="41"/>
      <c r="L416" s="66" t="b">
        <v>1</v>
      </c>
    </row>
    <row r="417" spans="1:12" ht="16.5" customHeight="1" x14ac:dyDescent="0.25">
      <c r="A417" s="32">
        <v>1811403</v>
      </c>
      <c r="B417" s="18" t="s">
        <v>271</v>
      </c>
      <c r="C417" s="78">
        <v>119056</v>
      </c>
      <c r="D417" s="18" t="s">
        <v>272</v>
      </c>
      <c r="E417" s="5">
        <v>5</v>
      </c>
      <c r="F417" s="40">
        <v>1</v>
      </c>
      <c r="G417" s="40">
        <v>1</v>
      </c>
      <c r="H417" s="40"/>
      <c r="I417" s="41">
        <v>10000</v>
      </c>
      <c r="J417" s="41"/>
      <c r="K417" s="41"/>
      <c r="L417" s="66" t="b">
        <v>1</v>
      </c>
    </row>
    <row r="418" spans="1:12" ht="16.5" customHeight="1" x14ac:dyDescent="0.25">
      <c r="A418" s="32">
        <v>1811404</v>
      </c>
      <c r="B418" s="18" t="s">
        <v>271</v>
      </c>
      <c r="C418" s="78">
        <v>119005</v>
      </c>
      <c r="D418" s="18" t="s">
        <v>272</v>
      </c>
      <c r="E418" s="5">
        <v>5</v>
      </c>
      <c r="F418" s="40">
        <v>1</v>
      </c>
      <c r="G418" s="40">
        <v>1</v>
      </c>
      <c r="H418" s="40"/>
      <c r="I418" s="41">
        <v>10000</v>
      </c>
      <c r="J418" s="41"/>
      <c r="K418" s="41"/>
      <c r="L418" s="66" t="b">
        <v>1</v>
      </c>
    </row>
    <row r="419" spans="1:12" ht="16.5" customHeight="1" x14ac:dyDescent="0.25">
      <c r="A419" s="32">
        <v>1811405</v>
      </c>
      <c r="B419" s="18" t="s">
        <v>271</v>
      </c>
      <c r="C419" s="78">
        <v>119061</v>
      </c>
      <c r="D419" s="18" t="s">
        <v>272</v>
      </c>
      <c r="E419" s="5">
        <v>5</v>
      </c>
      <c r="F419" s="40">
        <v>1</v>
      </c>
      <c r="G419" s="40">
        <v>1</v>
      </c>
      <c r="H419" s="40"/>
      <c r="I419" s="41">
        <v>10000</v>
      </c>
      <c r="J419" s="41"/>
      <c r="K419" s="41"/>
      <c r="L419" s="66" t="b">
        <v>1</v>
      </c>
    </row>
    <row r="420" spans="1:12" ht="16.5" customHeight="1" x14ac:dyDescent="0.25">
      <c r="A420" s="32">
        <v>1811406</v>
      </c>
      <c r="B420" s="18" t="s">
        <v>271</v>
      </c>
      <c r="C420" s="78">
        <v>119016</v>
      </c>
      <c r="D420" s="18" t="s">
        <v>272</v>
      </c>
      <c r="E420" s="5">
        <v>5</v>
      </c>
      <c r="F420" s="40">
        <v>1</v>
      </c>
      <c r="G420" s="40">
        <v>1</v>
      </c>
      <c r="H420" s="40"/>
      <c r="I420" s="41">
        <v>10000</v>
      </c>
      <c r="J420" s="41"/>
      <c r="K420" s="41"/>
      <c r="L420" s="66" t="b">
        <v>1</v>
      </c>
    </row>
    <row r="421" spans="1:12" ht="16.5" customHeight="1" x14ac:dyDescent="0.25">
      <c r="A421" s="32">
        <v>1811407</v>
      </c>
      <c r="B421" s="18" t="s">
        <v>271</v>
      </c>
      <c r="C421" s="78">
        <v>119062</v>
      </c>
      <c r="D421" s="18" t="s">
        <v>272</v>
      </c>
      <c r="E421" s="5">
        <v>5</v>
      </c>
      <c r="F421" s="40">
        <v>1</v>
      </c>
      <c r="G421" s="40">
        <v>1</v>
      </c>
      <c r="H421" s="40"/>
      <c r="I421" s="41">
        <v>10000</v>
      </c>
      <c r="J421" s="41"/>
      <c r="K421" s="41"/>
      <c r="L421" s="66" t="b">
        <v>1</v>
      </c>
    </row>
    <row r="422" spans="1:12" ht="16.5" customHeight="1" x14ac:dyDescent="0.25">
      <c r="A422" s="32">
        <v>1811408</v>
      </c>
      <c r="B422" s="18" t="s">
        <v>271</v>
      </c>
      <c r="C422" s="78">
        <v>119063</v>
      </c>
      <c r="D422" s="18" t="s">
        <v>272</v>
      </c>
      <c r="E422" s="5">
        <v>5</v>
      </c>
      <c r="F422" s="40">
        <v>1</v>
      </c>
      <c r="G422" s="40">
        <v>1</v>
      </c>
      <c r="H422" s="40"/>
      <c r="I422" s="41">
        <v>10000</v>
      </c>
      <c r="J422" s="41"/>
      <c r="K422" s="41"/>
      <c r="L422" s="66" t="b">
        <v>1</v>
      </c>
    </row>
    <row r="423" spans="1:12" ht="16.5" customHeight="1" x14ac:dyDescent="0.25">
      <c r="A423" s="32">
        <v>1811409</v>
      </c>
      <c r="B423" s="18" t="s">
        <v>271</v>
      </c>
      <c r="C423" s="78">
        <v>119064</v>
      </c>
      <c r="D423" s="18" t="s">
        <v>272</v>
      </c>
      <c r="E423" s="5">
        <v>5</v>
      </c>
      <c r="F423" s="40">
        <v>1</v>
      </c>
      <c r="G423" s="40">
        <v>1</v>
      </c>
      <c r="H423" s="40"/>
      <c r="I423" s="41">
        <v>10000</v>
      </c>
      <c r="J423" s="41"/>
      <c r="K423" s="41"/>
      <c r="L423" s="66" t="b">
        <v>1</v>
      </c>
    </row>
    <row r="424" spans="1:12" ht="16.5" customHeight="1" x14ac:dyDescent="0.25">
      <c r="A424" s="32">
        <v>1811410</v>
      </c>
      <c r="B424" s="18" t="s">
        <v>271</v>
      </c>
      <c r="C424" s="78">
        <v>119003</v>
      </c>
      <c r="D424" s="18" t="s">
        <v>272</v>
      </c>
      <c r="E424" s="5">
        <v>5</v>
      </c>
      <c r="F424" s="40">
        <v>1</v>
      </c>
      <c r="G424" s="40">
        <v>1</v>
      </c>
      <c r="H424" s="40"/>
      <c r="I424" s="41">
        <v>10000</v>
      </c>
      <c r="J424" s="41"/>
      <c r="K424" s="41"/>
      <c r="L424" s="66" t="b">
        <v>1</v>
      </c>
    </row>
    <row r="425" spans="1:12" ht="16.5" customHeight="1" x14ac:dyDescent="0.25">
      <c r="A425" s="32">
        <v>1811411</v>
      </c>
      <c r="B425" s="18" t="s">
        <v>271</v>
      </c>
      <c r="C425" s="78">
        <v>119092</v>
      </c>
      <c r="D425" s="18" t="s">
        <v>272</v>
      </c>
      <c r="E425" s="5">
        <v>5</v>
      </c>
      <c r="F425" s="40">
        <v>1</v>
      </c>
      <c r="G425" s="40">
        <v>1</v>
      </c>
      <c r="H425" s="40"/>
      <c r="I425" s="41">
        <v>10000</v>
      </c>
      <c r="J425" s="41"/>
      <c r="K425" s="41"/>
      <c r="L425" s="66" t="b">
        <v>1</v>
      </c>
    </row>
    <row r="426" spans="1:12" ht="16.5" customHeight="1" x14ac:dyDescent="0.25">
      <c r="A426" s="32">
        <v>1811287</v>
      </c>
      <c r="B426" s="18" t="s">
        <v>271</v>
      </c>
      <c r="C426" s="71">
        <v>119047</v>
      </c>
      <c r="D426" s="18" t="s">
        <v>272</v>
      </c>
      <c r="E426" s="5">
        <v>10</v>
      </c>
      <c r="F426" s="40">
        <v>1</v>
      </c>
      <c r="G426" s="40">
        <v>1</v>
      </c>
      <c r="H426" s="40"/>
      <c r="I426" s="41">
        <v>10000</v>
      </c>
      <c r="J426" s="41"/>
      <c r="K426" s="41"/>
      <c r="L426" s="66" t="b">
        <v>1</v>
      </c>
    </row>
    <row r="427" spans="1:12" ht="16.5" customHeight="1" x14ac:dyDescent="0.25">
      <c r="A427" s="32">
        <v>1811288</v>
      </c>
      <c r="B427" s="18" t="s">
        <v>271</v>
      </c>
      <c r="C427" s="71">
        <v>119014</v>
      </c>
      <c r="D427" s="18" t="s">
        <v>272</v>
      </c>
      <c r="E427" s="5">
        <v>10</v>
      </c>
      <c r="F427" s="40">
        <v>1</v>
      </c>
      <c r="G427" s="40">
        <v>1</v>
      </c>
      <c r="H427" s="40"/>
      <c r="I427" s="41">
        <v>10000</v>
      </c>
      <c r="J427" s="41"/>
      <c r="K427" s="41"/>
      <c r="L427" s="66" t="b">
        <v>1</v>
      </c>
    </row>
    <row r="428" spans="1:12" ht="16.5" customHeight="1" x14ac:dyDescent="0.25">
      <c r="A428" s="32">
        <v>1811289</v>
      </c>
      <c r="B428" s="18" t="s">
        <v>271</v>
      </c>
      <c r="C428" s="71">
        <v>119042</v>
      </c>
      <c r="D428" s="18" t="s">
        <v>272</v>
      </c>
      <c r="E428" s="5">
        <v>10</v>
      </c>
      <c r="F428" s="40">
        <v>1</v>
      </c>
      <c r="G428" s="40">
        <v>1</v>
      </c>
      <c r="H428" s="40"/>
      <c r="I428" s="41">
        <v>10000</v>
      </c>
      <c r="J428" s="41"/>
      <c r="K428" s="41"/>
      <c r="L428" s="66" t="b">
        <v>1</v>
      </c>
    </row>
    <row r="429" spans="1:12" ht="16.5" customHeight="1" x14ac:dyDescent="0.25">
      <c r="A429" s="32">
        <v>1811290</v>
      </c>
      <c r="B429" s="18" t="s">
        <v>271</v>
      </c>
      <c r="C429" s="71">
        <v>119032</v>
      </c>
      <c r="D429" s="18" t="s">
        <v>272</v>
      </c>
      <c r="E429" s="5">
        <v>10</v>
      </c>
      <c r="F429" s="40">
        <v>1</v>
      </c>
      <c r="G429" s="40">
        <v>1</v>
      </c>
      <c r="H429" s="40"/>
      <c r="I429" s="41">
        <v>10000</v>
      </c>
      <c r="J429" s="41"/>
      <c r="K429" s="41"/>
      <c r="L429" s="66" t="b">
        <v>1</v>
      </c>
    </row>
    <row r="430" spans="1:12" ht="16.5" customHeight="1" x14ac:dyDescent="0.25">
      <c r="A430" s="32">
        <v>1811291</v>
      </c>
      <c r="B430" s="18" t="s">
        <v>271</v>
      </c>
      <c r="C430" s="71">
        <v>119077</v>
      </c>
      <c r="D430" s="18" t="s">
        <v>272</v>
      </c>
      <c r="E430" s="5">
        <v>10</v>
      </c>
      <c r="F430" s="40">
        <v>1</v>
      </c>
      <c r="G430" s="40">
        <v>1</v>
      </c>
      <c r="H430" s="40"/>
      <c r="I430" s="41">
        <v>10000</v>
      </c>
      <c r="J430" s="41"/>
      <c r="K430" s="41"/>
      <c r="L430" s="66" t="b">
        <v>1</v>
      </c>
    </row>
    <row r="431" spans="1:12" ht="16.5" customHeight="1" x14ac:dyDescent="0.25">
      <c r="A431" s="32">
        <v>1811292</v>
      </c>
      <c r="B431" s="18" t="s">
        <v>271</v>
      </c>
      <c r="C431" s="71">
        <v>119023</v>
      </c>
      <c r="D431" s="18" t="s">
        <v>272</v>
      </c>
      <c r="E431" s="5">
        <v>10</v>
      </c>
      <c r="F431" s="40">
        <v>1</v>
      </c>
      <c r="G431" s="40">
        <v>1</v>
      </c>
      <c r="H431" s="40"/>
      <c r="I431" s="41">
        <v>10000</v>
      </c>
      <c r="J431" s="41"/>
      <c r="K431" s="41"/>
      <c r="L431" s="66" t="b">
        <v>1</v>
      </c>
    </row>
    <row r="432" spans="1:12" ht="16.5" customHeight="1" x14ac:dyDescent="0.25">
      <c r="A432" s="32">
        <v>1811421</v>
      </c>
      <c r="B432" s="18" t="s">
        <v>271</v>
      </c>
      <c r="C432" s="78">
        <v>119036</v>
      </c>
      <c r="D432" s="18" t="s">
        <v>272</v>
      </c>
      <c r="E432" s="5">
        <v>10</v>
      </c>
      <c r="F432" s="40">
        <v>1</v>
      </c>
      <c r="G432" s="40">
        <v>1</v>
      </c>
      <c r="H432" s="40"/>
      <c r="I432" s="41">
        <v>10000</v>
      </c>
      <c r="J432" s="41"/>
      <c r="K432" s="41"/>
      <c r="L432" s="66" t="b">
        <v>1</v>
      </c>
    </row>
    <row r="433" spans="1:12" ht="16.5" customHeight="1" x14ac:dyDescent="0.25">
      <c r="A433" s="32">
        <v>1811422</v>
      </c>
      <c r="B433" s="18" t="s">
        <v>271</v>
      </c>
      <c r="C433" s="78">
        <v>119001</v>
      </c>
      <c r="D433" s="18" t="s">
        <v>272</v>
      </c>
      <c r="E433" s="5">
        <v>10</v>
      </c>
      <c r="F433" s="40">
        <v>1</v>
      </c>
      <c r="G433" s="40">
        <v>1</v>
      </c>
      <c r="H433" s="40"/>
      <c r="I433" s="41">
        <v>10000</v>
      </c>
      <c r="J433" s="41"/>
      <c r="K433" s="41"/>
      <c r="L433" s="66" t="b">
        <v>1</v>
      </c>
    </row>
    <row r="434" spans="1:12" ht="16.5" customHeight="1" x14ac:dyDescent="0.25">
      <c r="A434" s="32">
        <v>1811423</v>
      </c>
      <c r="B434" s="18" t="s">
        <v>271</v>
      </c>
      <c r="C434" s="78">
        <v>119056</v>
      </c>
      <c r="D434" s="18" t="s">
        <v>272</v>
      </c>
      <c r="E434" s="5">
        <v>10</v>
      </c>
      <c r="F434" s="40">
        <v>1</v>
      </c>
      <c r="G434" s="40">
        <v>1</v>
      </c>
      <c r="H434" s="40"/>
      <c r="I434" s="41">
        <v>10000</v>
      </c>
      <c r="J434" s="41"/>
      <c r="K434" s="41"/>
      <c r="L434" s="66" t="b">
        <v>1</v>
      </c>
    </row>
    <row r="435" spans="1:12" ht="16.5" customHeight="1" x14ac:dyDescent="0.25">
      <c r="A435" s="32">
        <v>1811424</v>
      </c>
      <c r="B435" s="18" t="s">
        <v>271</v>
      </c>
      <c r="C435" s="78">
        <v>119005</v>
      </c>
      <c r="D435" s="18" t="s">
        <v>272</v>
      </c>
      <c r="E435" s="5">
        <v>10</v>
      </c>
      <c r="F435" s="40">
        <v>1</v>
      </c>
      <c r="G435" s="40">
        <v>1</v>
      </c>
      <c r="H435" s="40"/>
      <c r="I435" s="41">
        <v>10000</v>
      </c>
      <c r="J435" s="41"/>
      <c r="K435" s="41"/>
      <c r="L435" s="66" t="b">
        <v>1</v>
      </c>
    </row>
    <row r="436" spans="1:12" ht="16.5" customHeight="1" x14ac:dyDescent="0.25">
      <c r="A436" s="32">
        <v>1811425</v>
      </c>
      <c r="B436" s="18" t="s">
        <v>271</v>
      </c>
      <c r="C436" s="78">
        <v>119061</v>
      </c>
      <c r="D436" s="18" t="s">
        <v>272</v>
      </c>
      <c r="E436" s="5">
        <v>10</v>
      </c>
      <c r="F436" s="40">
        <v>1</v>
      </c>
      <c r="G436" s="40">
        <v>1</v>
      </c>
      <c r="H436" s="40"/>
      <c r="I436" s="41">
        <v>10000</v>
      </c>
      <c r="J436" s="41"/>
      <c r="K436" s="41"/>
      <c r="L436" s="66" t="b">
        <v>1</v>
      </c>
    </row>
    <row r="437" spans="1:12" ht="16.5" customHeight="1" x14ac:dyDescent="0.25">
      <c r="A437" s="32">
        <v>1811426</v>
      </c>
      <c r="B437" s="18" t="s">
        <v>271</v>
      </c>
      <c r="C437" s="78">
        <v>119016</v>
      </c>
      <c r="D437" s="18" t="s">
        <v>272</v>
      </c>
      <c r="E437" s="5">
        <v>10</v>
      </c>
      <c r="F437" s="40">
        <v>1</v>
      </c>
      <c r="G437" s="40">
        <v>1</v>
      </c>
      <c r="H437" s="40"/>
      <c r="I437" s="41">
        <v>10000</v>
      </c>
      <c r="J437" s="41"/>
      <c r="K437" s="41"/>
      <c r="L437" s="66" t="b">
        <v>1</v>
      </c>
    </row>
    <row r="438" spans="1:12" ht="16.5" customHeight="1" x14ac:dyDescent="0.25">
      <c r="A438" s="32">
        <v>1811427</v>
      </c>
      <c r="B438" s="18" t="s">
        <v>271</v>
      </c>
      <c r="C438" s="78">
        <v>119062</v>
      </c>
      <c r="D438" s="18" t="s">
        <v>272</v>
      </c>
      <c r="E438" s="5">
        <v>10</v>
      </c>
      <c r="F438" s="40">
        <v>1</v>
      </c>
      <c r="G438" s="40">
        <v>1</v>
      </c>
      <c r="H438" s="40"/>
      <c r="I438" s="41">
        <v>10000</v>
      </c>
      <c r="J438" s="41"/>
      <c r="K438" s="41"/>
      <c r="L438" s="66" t="b">
        <v>1</v>
      </c>
    </row>
    <row r="439" spans="1:12" ht="16.5" customHeight="1" x14ac:dyDescent="0.25">
      <c r="A439" s="32">
        <v>1811428</v>
      </c>
      <c r="B439" s="18" t="s">
        <v>271</v>
      </c>
      <c r="C439" s="78">
        <v>119063</v>
      </c>
      <c r="D439" s="18" t="s">
        <v>272</v>
      </c>
      <c r="E439" s="5">
        <v>10</v>
      </c>
      <c r="F439" s="40">
        <v>1</v>
      </c>
      <c r="G439" s="40">
        <v>1</v>
      </c>
      <c r="H439" s="40"/>
      <c r="I439" s="41">
        <v>10000</v>
      </c>
      <c r="J439" s="41"/>
      <c r="K439" s="41"/>
      <c r="L439" s="66" t="b">
        <v>1</v>
      </c>
    </row>
    <row r="440" spans="1:12" ht="16.5" customHeight="1" x14ac:dyDescent="0.25">
      <c r="A440" s="32">
        <v>1811429</v>
      </c>
      <c r="B440" s="18" t="s">
        <v>271</v>
      </c>
      <c r="C440" s="78">
        <v>119064</v>
      </c>
      <c r="D440" s="18" t="s">
        <v>272</v>
      </c>
      <c r="E440" s="5">
        <v>10</v>
      </c>
      <c r="F440" s="40">
        <v>1</v>
      </c>
      <c r="G440" s="40">
        <v>1</v>
      </c>
      <c r="H440" s="40"/>
      <c r="I440" s="41">
        <v>10000</v>
      </c>
      <c r="J440" s="41"/>
      <c r="K440" s="41"/>
      <c r="L440" s="66" t="b">
        <v>1</v>
      </c>
    </row>
    <row r="441" spans="1:12" ht="16.5" customHeight="1" x14ac:dyDescent="0.25">
      <c r="A441" s="32">
        <v>1811430</v>
      </c>
      <c r="B441" s="18" t="s">
        <v>271</v>
      </c>
      <c r="C441" s="78">
        <v>119003</v>
      </c>
      <c r="D441" s="18" t="s">
        <v>272</v>
      </c>
      <c r="E441" s="5">
        <v>10</v>
      </c>
      <c r="F441" s="40">
        <v>1</v>
      </c>
      <c r="G441" s="40">
        <v>1</v>
      </c>
      <c r="H441" s="40"/>
      <c r="I441" s="41">
        <v>10000</v>
      </c>
      <c r="J441" s="41"/>
      <c r="K441" s="41"/>
      <c r="L441" s="66" t="b">
        <v>1</v>
      </c>
    </row>
    <row r="442" spans="1:12" ht="16.5" customHeight="1" x14ac:dyDescent="0.25">
      <c r="A442" s="32">
        <v>1811431</v>
      </c>
      <c r="B442" s="18" t="s">
        <v>271</v>
      </c>
      <c r="C442" s="78">
        <v>119092</v>
      </c>
      <c r="D442" s="18" t="s">
        <v>272</v>
      </c>
      <c r="E442" s="5">
        <v>10</v>
      </c>
      <c r="F442" s="40">
        <v>1</v>
      </c>
      <c r="G442" s="40">
        <v>1</v>
      </c>
      <c r="H442" s="40"/>
      <c r="I442" s="41">
        <v>10000</v>
      </c>
      <c r="J442" s="41"/>
      <c r="K442" s="41"/>
      <c r="L442" s="66" t="b">
        <v>1</v>
      </c>
    </row>
    <row r="443" spans="1:12" ht="16.5" customHeight="1" x14ac:dyDescent="0.25">
      <c r="A443" s="32">
        <v>1811293</v>
      </c>
      <c r="B443" s="18" t="s">
        <v>271</v>
      </c>
      <c r="C443" s="71">
        <v>119047</v>
      </c>
      <c r="D443" s="18" t="s">
        <v>272</v>
      </c>
      <c r="E443" s="5">
        <v>20</v>
      </c>
      <c r="F443" s="40">
        <v>1</v>
      </c>
      <c r="G443" s="40">
        <v>1</v>
      </c>
      <c r="H443" s="40"/>
      <c r="I443" s="41">
        <v>10000</v>
      </c>
      <c r="J443" s="41"/>
      <c r="K443" s="41"/>
      <c r="L443" s="66" t="b">
        <v>1</v>
      </c>
    </row>
    <row r="444" spans="1:12" ht="16.5" customHeight="1" x14ac:dyDescent="0.25">
      <c r="A444" s="32">
        <v>1811294</v>
      </c>
      <c r="B444" s="18" t="s">
        <v>271</v>
      </c>
      <c r="C444" s="71">
        <v>119014</v>
      </c>
      <c r="D444" s="18" t="s">
        <v>272</v>
      </c>
      <c r="E444" s="5">
        <v>20</v>
      </c>
      <c r="F444" s="40">
        <v>1</v>
      </c>
      <c r="G444" s="40">
        <v>1</v>
      </c>
      <c r="H444" s="40"/>
      <c r="I444" s="41">
        <v>10000</v>
      </c>
      <c r="J444" s="41"/>
      <c r="K444" s="41"/>
      <c r="L444" s="66" t="b">
        <v>1</v>
      </c>
    </row>
    <row r="445" spans="1:12" ht="16.5" customHeight="1" x14ac:dyDescent="0.25">
      <c r="A445" s="32">
        <v>1811295</v>
      </c>
      <c r="B445" s="18" t="s">
        <v>271</v>
      </c>
      <c r="C445" s="71">
        <v>119042</v>
      </c>
      <c r="D445" s="18" t="s">
        <v>272</v>
      </c>
      <c r="E445" s="5">
        <v>20</v>
      </c>
      <c r="F445" s="40">
        <v>1</v>
      </c>
      <c r="G445" s="40">
        <v>1</v>
      </c>
      <c r="H445" s="40"/>
      <c r="I445" s="41">
        <v>10000</v>
      </c>
      <c r="J445" s="41"/>
      <c r="K445" s="41"/>
      <c r="L445" s="66" t="b">
        <v>1</v>
      </c>
    </row>
    <row r="446" spans="1:12" ht="16.5" customHeight="1" x14ac:dyDescent="0.25">
      <c r="A446" s="32">
        <v>1811296</v>
      </c>
      <c r="B446" s="18" t="s">
        <v>271</v>
      </c>
      <c r="C446" s="71">
        <v>119032</v>
      </c>
      <c r="D446" s="18" t="s">
        <v>272</v>
      </c>
      <c r="E446" s="5">
        <v>20</v>
      </c>
      <c r="F446" s="40">
        <v>1</v>
      </c>
      <c r="G446" s="40">
        <v>1</v>
      </c>
      <c r="H446" s="40"/>
      <c r="I446" s="41">
        <v>10000</v>
      </c>
      <c r="J446" s="41"/>
      <c r="K446" s="41"/>
      <c r="L446" s="66" t="b">
        <v>1</v>
      </c>
    </row>
    <row r="447" spans="1:12" ht="16.5" customHeight="1" x14ac:dyDescent="0.25">
      <c r="A447" s="32">
        <v>1811297</v>
      </c>
      <c r="B447" s="18" t="s">
        <v>271</v>
      </c>
      <c r="C447" s="71">
        <v>119077</v>
      </c>
      <c r="D447" s="18" t="s">
        <v>272</v>
      </c>
      <c r="E447" s="5">
        <v>20</v>
      </c>
      <c r="F447" s="40">
        <v>1</v>
      </c>
      <c r="G447" s="40">
        <v>1</v>
      </c>
      <c r="H447" s="40"/>
      <c r="I447" s="41">
        <v>10000</v>
      </c>
      <c r="J447" s="41"/>
      <c r="K447" s="41"/>
      <c r="L447" s="66" t="b">
        <v>1</v>
      </c>
    </row>
    <row r="448" spans="1:12" ht="16.5" customHeight="1" x14ac:dyDescent="0.25">
      <c r="A448" s="32">
        <v>1811298</v>
      </c>
      <c r="B448" s="18" t="s">
        <v>271</v>
      </c>
      <c r="C448" s="71">
        <v>119023</v>
      </c>
      <c r="D448" s="18" t="s">
        <v>272</v>
      </c>
      <c r="E448" s="5">
        <v>20</v>
      </c>
      <c r="F448" s="40">
        <v>1</v>
      </c>
      <c r="G448" s="40">
        <v>1</v>
      </c>
      <c r="H448" s="40"/>
      <c r="I448" s="41">
        <v>10000</v>
      </c>
      <c r="J448" s="41"/>
      <c r="K448" s="41"/>
      <c r="L448" s="66" t="b">
        <v>1</v>
      </c>
    </row>
    <row r="449" spans="1:12" ht="16.5" customHeight="1" x14ac:dyDescent="0.25">
      <c r="A449" s="32">
        <v>1811441</v>
      </c>
      <c r="B449" s="18" t="s">
        <v>271</v>
      </c>
      <c r="C449" s="78">
        <v>119036</v>
      </c>
      <c r="D449" s="18" t="s">
        <v>272</v>
      </c>
      <c r="E449" s="5">
        <v>20</v>
      </c>
      <c r="F449" s="40">
        <v>1</v>
      </c>
      <c r="G449" s="40">
        <v>1</v>
      </c>
      <c r="H449" s="40"/>
      <c r="I449" s="41">
        <v>10000</v>
      </c>
      <c r="J449" s="41"/>
      <c r="K449" s="41"/>
      <c r="L449" s="66" t="b">
        <v>1</v>
      </c>
    </row>
    <row r="450" spans="1:12" ht="16.5" customHeight="1" x14ac:dyDescent="0.25">
      <c r="A450" s="32">
        <v>1811442</v>
      </c>
      <c r="B450" s="18" t="s">
        <v>271</v>
      </c>
      <c r="C450" s="78">
        <v>119001</v>
      </c>
      <c r="D450" s="18" t="s">
        <v>272</v>
      </c>
      <c r="E450" s="5">
        <v>20</v>
      </c>
      <c r="F450" s="40">
        <v>1</v>
      </c>
      <c r="G450" s="40">
        <v>1</v>
      </c>
      <c r="H450" s="40"/>
      <c r="I450" s="41">
        <v>10000</v>
      </c>
      <c r="J450" s="41"/>
      <c r="K450" s="41"/>
      <c r="L450" s="66" t="b">
        <v>1</v>
      </c>
    </row>
    <row r="451" spans="1:12" ht="16.5" customHeight="1" x14ac:dyDescent="0.25">
      <c r="A451" s="32">
        <v>1811443</v>
      </c>
      <c r="B451" s="18" t="s">
        <v>271</v>
      </c>
      <c r="C451" s="78">
        <v>119056</v>
      </c>
      <c r="D451" s="18" t="s">
        <v>272</v>
      </c>
      <c r="E451" s="5">
        <v>20</v>
      </c>
      <c r="F451" s="40">
        <v>1</v>
      </c>
      <c r="G451" s="40">
        <v>1</v>
      </c>
      <c r="H451" s="40"/>
      <c r="I451" s="41">
        <v>10000</v>
      </c>
      <c r="J451" s="41"/>
      <c r="K451" s="41"/>
      <c r="L451" s="66" t="b">
        <v>1</v>
      </c>
    </row>
    <row r="452" spans="1:12" ht="16.5" customHeight="1" x14ac:dyDescent="0.25">
      <c r="A452" s="32">
        <v>1811444</v>
      </c>
      <c r="B452" s="18" t="s">
        <v>271</v>
      </c>
      <c r="C452" s="78">
        <v>119005</v>
      </c>
      <c r="D452" s="18" t="s">
        <v>272</v>
      </c>
      <c r="E452" s="5">
        <v>20</v>
      </c>
      <c r="F452" s="40">
        <v>1</v>
      </c>
      <c r="G452" s="40">
        <v>1</v>
      </c>
      <c r="H452" s="40"/>
      <c r="I452" s="41">
        <v>10000</v>
      </c>
      <c r="J452" s="41"/>
      <c r="K452" s="41"/>
      <c r="L452" s="66" t="b">
        <v>1</v>
      </c>
    </row>
    <row r="453" spans="1:12" ht="16.5" customHeight="1" x14ac:dyDescent="0.25">
      <c r="A453" s="32">
        <v>1811445</v>
      </c>
      <c r="B453" s="18" t="s">
        <v>271</v>
      </c>
      <c r="C453" s="78">
        <v>119061</v>
      </c>
      <c r="D453" s="18" t="s">
        <v>272</v>
      </c>
      <c r="E453" s="5">
        <v>20</v>
      </c>
      <c r="F453" s="40">
        <v>1</v>
      </c>
      <c r="G453" s="40">
        <v>1</v>
      </c>
      <c r="H453" s="40"/>
      <c r="I453" s="41">
        <v>10000</v>
      </c>
      <c r="J453" s="41"/>
      <c r="K453" s="41"/>
      <c r="L453" s="66" t="b">
        <v>1</v>
      </c>
    </row>
    <row r="454" spans="1:12" ht="16.5" customHeight="1" x14ac:dyDescent="0.25">
      <c r="A454" s="32">
        <v>1811446</v>
      </c>
      <c r="B454" s="18" t="s">
        <v>271</v>
      </c>
      <c r="C454" s="78">
        <v>119016</v>
      </c>
      <c r="D454" s="18" t="s">
        <v>272</v>
      </c>
      <c r="E454" s="5">
        <v>20</v>
      </c>
      <c r="F454" s="40">
        <v>1</v>
      </c>
      <c r="G454" s="40">
        <v>1</v>
      </c>
      <c r="H454" s="40"/>
      <c r="I454" s="41">
        <v>10000</v>
      </c>
      <c r="J454" s="41"/>
      <c r="K454" s="41"/>
      <c r="L454" s="66" t="b">
        <v>1</v>
      </c>
    </row>
    <row r="455" spans="1:12" ht="16.5" customHeight="1" x14ac:dyDescent="0.25">
      <c r="A455" s="32">
        <v>1811447</v>
      </c>
      <c r="B455" s="18" t="s">
        <v>271</v>
      </c>
      <c r="C455" s="78">
        <v>119062</v>
      </c>
      <c r="D455" s="18" t="s">
        <v>272</v>
      </c>
      <c r="E455" s="5">
        <v>20</v>
      </c>
      <c r="F455" s="40">
        <v>1</v>
      </c>
      <c r="G455" s="40">
        <v>1</v>
      </c>
      <c r="H455" s="40"/>
      <c r="I455" s="41">
        <v>10000</v>
      </c>
      <c r="J455" s="41"/>
      <c r="K455" s="41"/>
      <c r="L455" s="66" t="b">
        <v>1</v>
      </c>
    </row>
    <row r="456" spans="1:12" ht="16.5" customHeight="1" x14ac:dyDescent="0.25">
      <c r="A456" s="32">
        <v>1811448</v>
      </c>
      <c r="B456" s="18" t="s">
        <v>271</v>
      </c>
      <c r="C456" s="78">
        <v>119063</v>
      </c>
      <c r="D456" s="18" t="s">
        <v>272</v>
      </c>
      <c r="E456" s="5">
        <v>20</v>
      </c>
      <c r="F456" s="40">
        <v>1</v>
      </c>
      <c r="G456" s="40">
        <v>1</v>
      </c>
      <c r="H456" s="40"/>
      <c r="I456" s="41">
        <v>10000</v>
      </c>
      <c r="J456" s="41"/>
      <c r="K456" s="41"/>
      <c r="L456" s="66" t="b">
        <v>1</v>
      </c>
    </row>
    <row r="457" spans="1:12" ht="16.5" customHeight="1" x14ac:dyDescent="0.25">
      <c r="A457" s="32">
        <v>1811449</v>
      </c>
      <c r="B457" s="18" t="s">
        <v>271</v>
      </c>
      <c r="C457" s="78">
        <v>119064</v>
      </c>
      <c r="D457" s="18" t="s">
        <v>272</v>
      </c>
      <c r="E457" s="5">
        <v>20</v>
      </c>
      <c r="F457" s="40">
        <v>1</v>
      </c>
      <c r="G457" s="40">
        <v>1</v>
      </c>
      <c r="H457" s="40"/>
      <c r="I457" s="41">
        <v>10000</v>
      </c>
      <c r="J457" s="41"/>
      <c r="K457" s="41"/>
      <c r="L457" s="66" t="b">
        <v>1</v>
      </c>
    </row>
    <row r="458" spans="1:12" ht="16.5" customHeight="1" x14ac:dyDescent="0.25">
      <c r="A458" s="32">
        <v>1811450</v>
      </c>
      <c r="B458" s="18" t="s">
        <v>271</v>
      </c>
      <c r="C458" s="78">
        <v>119003</v>
      </c>
      <c r="D458" s="18" t="s">
        <v>272</v>
      </c>
      <c r="E458" s="5">
        <v>20</v>
      </c>
      <c r="F458" s="40">
        <v>1</v>
      </c>
      <c r="G458" s="40">
        <v>1</v>
      </c>
      <c r="H458" s="40"/>
      <c r="I458" s="41">
        <v>10000</v>
      </c>
      <c r="J458" s="41"/>
      <c r="K458" s="41"/>
      <c r="L458" s="66" t="b">
        <v>1</v>
      </c>
    </row>
    <row r="459" spans="1:12" ht="16.5" customHeight="1" x14ac:dyDescent="0.25">
      <c r="A459" s="32">
        <v>1811451</v>
      </c>
      <c r="B459" s="18" t="s">
        <v>271</v>
      </c>
      <c r="C459" s="78">
        <v>119092</v>
      </c>
      <c r="D459" s="18" t="s">
        <v>272</v>
      </c>
      <c r="E459" s="5">
        <v>20</v>
      </c>
      <c r="F459" s="40">
        <v>1</v>
      </c>
      <c r="G459" s="40">
        <v>1</v>
      </c>
      <c r="H459" s="40"/>
      <c r="I459" s="41">
        <v>10000</v>
      </c>
      <c r="J459" s="41"/>
      <c r="K459" s="41"/>
      <c r="L459" s="66" t="b">
        <v>1</v>
      </c>
    </row>
    <row r="460" spans="1:12" ht="16.5" customHeight="1" x14ac:dyDescent="0.25">
      <c r="A460" s="45">
        <v>1811071</v>
      </c>
      <c r="B460" s="45" t="s">
        <v>274</v>
      </c>
      <c r="C460" s="32">
        <v>49609</v>
      </c>
      <c r="D460" s="32" t="s">
        <v>273</v>
      </c>
      <c r="E460" s="45">
        <v>199</v>
      </c>
      <c r="F460" s="45">
        <v>1</v>
      </c>
      <c r="G460" s="45">
        <v>1</v>
      </c>
      <c r="H460" s="45"/>
      <c r="I460" s="32">
        <v>10000</v>
      </c>
      <c r="J460" s="32"/>
      <c r="K460" s="32"/>
      <c r="L460" s="34" t="b">
        <v>1</v>
      </c>
    </row>
    <row r="461" spans="1:12" ht="16.5" customHeight="1" x14ac:dyDescent="0.25">
      <c r="A461" s="53">
        <v>1811301</v>
      </c>
      <c r="B461" s="77" t="s">
        <v>275</v>
      </c>
      <c r="C461" s="55">
        <v>64027</v>
      </c>
      <c r="D461" s="56" t="s">
        <v>277</v>
      </c>
      <c r="E461" s="54">
        <v>50</v>
      </c>
      <c r="F461" s="54">
        <v>1</v>
      </c>
      <c r="G461" s="54">
        <v>1</v>
      </c>
      <c r="H461" s="54"/>
      <c r="I461" s="55">
        <v>10000</v>
      </c>
      <c r="J461" s="55"/>
      <c r="K461" s="55"/>
      <c r="L461" s="57" t="b">
        <v>1</v>
      </c>
    </row>
    <row r="462" spans="1:12" ht="16.5" customHeight="1" x14ac:dyDescent="0.25">
      <c r="A462" s="53">
        <v>1811302</v>
      </c>
      <c r="B462" s="77" t="s">
        <v>275</v>
      </c>
      <c r="C462" s="55">
        <v>64027</v>
      </c>
      <c r="D462" s="56" t="s">
        <v>277</v>
      </c>
      <c r="E462" s="54">
        <v>250</v>
      </c>
      <c r="F462" s="54">
        <v>1</v>
      </c>
      <c r="G462" s="54">
        <v>1</v>
      </c>
      <c r="H462" s="54"/>
      <c r="I462" s="55">
        <v>10000</v>
      </c>
      <c r="J462" s="55"/>
      <c r="K462" s="55"/>
      <c r="L462" s="57" t="b">
        <v>1</v>
      </c>
    </row>
    <row r="463" spans="1:12" ht="16.5" customHeight="1" x14ac:dyDescent="0.25">
      <c r="A463" s="72">
        <v>1811304</v>
      </c>
      <c r="B463" s="73" t="s">
        <v>276</v>
      </c>
      <c r="C463" s="74">
        <v>49537</v>
      </c>
      <c r="D463" s="72" t="s">
        <v>278</v>
      </c>
      <c r="E463" s="75">
        <v>1</v>
      </c>
      <c r="F463" s="75">
        <v>1</v>
      </c>
      <c r="G463" s="75">
        <v>1</v>
      </c>
      <c r="H463" s="75"/>
      <c r="I463" s="74">
        <v>10000</v>
      </c>
      <c r="J463" s="74"/>
      <c r="K463" s="74"/>
      <c r="L463" s="76" t="b">
        <v>1</v>
      </c>
    </row>
    <row r="464" spans="1:12" ht="16.5" customHeight="1" x14ac:dyDescent="0.25">
      <c r="A464" s="72">
        <v>1811305</v>
      </c>
      <c r="B464" s="73" t="s">
        <v>276</v>
      </c>
      <c r="C464" s="74">
        <v>123001</v>
      </c>
      <c r="D464" s="72" t="s">
        <v>279</v>
      </c>
      <c r="E464" s="75">
        <v>1</v>
      </c>
      <c r="F464" s="75">
        <v>1</v>
      </c>
      <c r="G464" s="75">
        <v>1</v>
      </c>
      <c r="H464" s="75"/>
      <c r="I464" s="74">
        <v>10000</v>
      </c>
      <c r="J464" s="74"/>
      <c r="K464" s="74"/>
      <c r="L464" s="76" t="b">
        <v>1</v>
      </c>
    </row>
    <row r="465" spans="1:12" ht="16.5" customHeight="1" x14ac:dyDescent="0.25">
      <c r="A465" s="72">
        <v>1811306</v>
      </c>
      <c r="B465" s="73" t="s">
        <v>276</v>
      </c>
      <c r="C465" s="74">
        <v>2000003</v>
      </c>
      <c r="D465" s="72" t="s">
        <v>82</v>
      </c>
      <c r="E465" s="75">
        <v>1</v>
      </c>
      <c r="F465" s="75">
        <v>1</v>
      </c>
      <c r="G465" s="75">
        <v>1</v>
      </c>
      <c r="H465" s="75"/>
      <c r="I465" s="74">
        <v>10000</v>
      </c>
      <c r="J465" s="74"/>
      <c r="K465" s="74"/>
      <c r="L465" s="76" t="b">
        <v>1</v>
      </c>
    </row>
    <row r="466" spans="1:12" ht="16.5" customHeight="1" x14ac:dyDescent="0.25">
      <c r="A466" s="72">
        <v>1811307</v>
      </c>
      <c r="B466" s="73" t="s">
        <v>276</v>
      </c>
      <c r="C466" s="74">
        <v>2000002</v>
      </c>
      <c r="D466" s="72" t="s">
        <v>280</v>
      </c>
      <c r="E466" s="75">
        <v>1</v>
      </c>
      <c r="F466" s="75">
        <v>1</v>
      </c>
      <c r="G466" s="75">
        <v>1</v>
      </c>
      <c r="H466" s="75"/>
      <c r="I466" s="74">
        <v>10000</v>
      </c>
      <c r="J466" s="74"/>
      <c r="K466" s="74"/>
      <c r="L466" s="76" t="b">
        <v>1</v>
      </c>
    </row>
    <row r="467" spans="1:12" ht="16.5" customHeight="1" x14ac:dyDescent="0.25">
      <c r="A467" s="72">
        <v>1811308</v>
      </c>
      <c r="B467" s="73" t="s">
        <v>276</v>
      </c>
      <c r="C467" s="74">
        <v>2000500</v>
      </c>
      <c r="D467" s="72" t="s">
        <v>281</v>
      </c>
      <c r="E467" s="75">
        <v>1</v>
      </c>
      <c r="F467" s="75">
        <v>1</v>
      </c>
      <c r="G467" s="75">
        <v>1</v>
      </c>
      <c r="H467" s="75"/>
      <c r="I467" s="74">
        <v>10000</v>
      </c>
      <c r="J467" s="74"/>
      <c r="K467" s="74"/>
      <c r="L467" s="76" t="b">
        <v>1</v>
      </c>
    </row>
    <row r="468" spans="1:12" ht="16.5" customHeight="1" x14ac:dyDescent="0.25">
      <c r="A468" s="72">
        <v>1811309</v>
      </c>
      <c r="B468" s="73" t="s">
        <v>276</v>
      </c>
      <c r="C468" s="74">
        <v>2007</v>
      </c>
      <c r="D468" s="82" t="s">
        <v>283</v>
      </c>
      <c r="E468" s="75">
        <v>1</v>
      </c>
      <c r="F468" s="75">
        <v>1</v>
      </c>
      <c r="G468" s="75">
        <v>1</v>
      </c>
      <c r="H468" s="75"/>
      <c r="I468" s="74">
        <v>10000</v>
      </c>
      <c r="J468" s="74"/>
      <c r="K468" s="74"/>
      <c r="L468" s="76" t="b">
        <v>1</v>
      </c>
    </row>
    <row r="469" spans="1:12" ht="16.5" customHeight="1" x14ac:dyDescent="0.25">
      <c r="A469" s="72">
        <v>1811310</v>
      </c>
      <c r="B469" s="73" t="s">
        <v>276</v>
      </c>
      <c r="C469" s="74">
        <v>2006</v>
      </c>
      <c r="D469" s="82" t="s">
        <v>284</v>
      </c>
      <c r="E469" s="75">
        <v>1</v>
      </c>
      <c r="F469" s="75">
        <v>1</v>
      </c>
      <c r="G469" s="75">
        <v>1</v>
      </c>
      <c r="H469" s="75"/>
      <c r="I469" s="74">
        <v>10000</v>
      </c>
      <c r="J469" s="74"/>
      <c r="K469" s="74"/>
      <c r="L469" s="76" t="b">
        <v>1</v>
      </c>
    </row>
    <row r="470" spans="1:12" ht="16.5" customHeight="1" x14ac:dyDescent="0.25">
      <c r="A470" s="72">
        <v>1811318</v>
      </c>
      <c r="B470" s="73" t="s">
        <v>276</v>
      </c>
      <c r="C470" s="74">
        <v>7229</v>
      </c>
      <c r="D470" s="82" t="s">
        <v>285</v>
      </c>
      <c r="E470" s="75">
        <v>1</v>
      </c>
      <c r="F470" s="75">
        <v>1</v>
      </c>
      <c r="G470" s="75">
        <v>1</v>
      </c>
      <c r="H470" s="75"/>
      <c r="I470" s="74">
        <v>10000</v>
      </c>
      <c r="J470" s="74"/>
      <c r="K470" s="74"/>
      <c r="L470" s="76" t="b">
        <v>1</v>
      </c>
    </row>
    <row r="471" spans="1:12" ht="16.5" customHeight="1" x14ac:dyDescent="0.25">
      <c r="A471" s="72">
        <v>1811319</v>
      </c>
      <c r="B471" s="73" t="s">
        <v>276</v>
      </c>
      <c r="C471" s="27">
        <v>2065</v>
      </c>
      <c r="D471" s="82" t="s">
        <v>286</v>
      </c>
      <c r="E471" s="75">
        <v>1</v>
      </c>
      <c r="F471" s="75">
        <v>1</v>
      </c>
      <c r="G471" s="75">
        <v>1</v>
      </c>
      <c r="H471" s="75"/>
      <c r="I471" s="74">
        <v>10000</v>
      </c>
      <c r="J471" s="74"/>
      <c r="K471" s="74"/>
      <c r="L471" s="76" t="b">
        <v>1</v>
      </c>
    </row>
    <row r="472" spans="1:12" s="44" customFormat="1" ht="16.5" customHeight="1" x14ac:dyDescent="0.4">
      <c r="A472" s="79">
        <v>1811311</v>
      </c>
      <c r="B472" s="80" t="s">
        <v>310</v>
      </c>
      <c r="C472" s="32">
        <v>64028</v>
      </c>
      <c r="D472" s="81" t="s">
        <v>282</v>
      </c>
      <c r="E472" s="52">
        <v>100</v>
      </c>
      <c r="F472" s="75">
        <v>1</v>
      </c>
      <c r="G472" s="75">
        <v>1</v>
      </c>
      <c r="H472" s="75"/>
      <c r="I472" s="74">
        <v>10000</v>
      </c>
      <c r="J472" s="74"/>
      <c r="K472" s="74"/>
      <c r="L472" s="75" t="b">
        <v>1</v>
      </c>
    </row>
    <row r="473" spans="1:12" s="44" customFormat="1" ht="16.5" customHeight="1" x14ac:dyDescent="0.4">
      <c r="A473" s="79">
        <v>1811312</v>
      </c>
      <c r="B473" s="80" t="s">
        <v>287</v>
      </c>
      <c r="C473" s="32">
        <v>64028</v>
      </c>
      <c r="D473" s="81" t="s">
        <v>282</v>
      </c>
      <c r="E473" s="52">
        <v>150</v>
      </c>
      <c r="F473" s="75">
        <v>2</v>
      </c>
      <c r="G473" s="75">
        <v>2</v>
      </c>
      <c r="H473" s="75"/>
      <c r="I473" s="74">
        <v>10000</v>
      </c>
      <c r="J473" s="74"/>
      <c r="K473" s="74"/>
      <c r="L473" s="76" t="b">
        <v>1</v>
      </c>
    </row>
    <row r="474" spans="1:12" s="44" customFormat="1" ht="16.5" customHeight="1" x14ac:dyDescent="0.4">
      <c r="A474" s="79"/>
      <c r="B474" s="80"/>
      <c r="C474" s="35">
        <v>49603</v>
      </c>
      <c r="D474" s="35" t="s">
        <v>73</v>
      </c>
      <c r="E474" s="35">
        <v>5</v>
      </c>
      <c r="F474" s="75"/>
      <c r="G474" s="75"/>
      <c r="H474" s="75"/>
      <c r="I474" s="74">
        <v>10000</v>
      </c>
      <c r="J474" s="74"/>
      <c r="K474" s="74"/>
      <c r="L474" s="76" t="b">
        <v>1</v>
      </c>
    </row>
    <row r="475" spans="1:12" s="44" customFormat="1" ht="16.5" customHeight="1" x14ac:dyDescent="0.4">
      <c r="A475" s="79">
        <v>1811313</v>
      </c>
      <c r="B475" s="80" t="s">
        <v>288</v>
      </c>
      <c r="C475" s="32">
        <v>64028</v>
      </c>
      <c r="D475" s="81" t="s">
        <v>282</v>
      </c>
      <c r="E475" s="52">
        <v>250</v>
      </c>
      <c r="F475" s="75">
        <v>2</v>
      </c>
      <c r="G475" s="75">
        <v>2</v>
      </c>
      <c r="H475" s="75"/>
      <c r="I475" s="74">
        <v>10000</v>
      </c>
      <c r="J475" s="74"/>
      <c r="K475" s="74"/>
      <c r="L475" s="76" t="b">
        <v>1</v>
      </c>
    </row>
    <row r="476" spans="1:12" s="44" customFormat="1" ht="16.5" customHeight="1" x14ac:dyDescent="0.4">
      <c r="A476" s="79"/>
      <c r="B476" s="80"/>
      <c r="C476" s="35">
        <v>49604</v>
      </c>
      <c r="D476" s="35" t="s">
        <v>252</v>
      </c>
      <c r="E476" s="35">
        <v>5</v>
      </c>
      <c r="F476" s="75"/>
      <c r="G476" s="75"/>
      <c r="H476" s="75"/>
      <c r="I476" s="74">
        <v>10000</v>
      </c>
      <c r="J476" s="74"/>
      <c r="K476" s="74"/>
      <c r="L476" s="76" t="b">
        <v>1</v>
      </c>
    </row>
    <row r="477" spans="1:12" s="44" customFormat="1" ht="16.5" customHeight="1" x14ac:dyDescent="0.4">
      <c r="A477" s="79">
        <v>1811314</v>
      </c>
      <c r="B477" s="80" t="s">
        <v>289</v>
      </c>
      <c r="C477" s="32">
        <v>64028</v>
      </c>
      <c r="D477" s="81" t="s">
        <v>282</v>
      </c>
      <c r="E477" s="52">
        <v>350</v>
      </c>
      <c r="F477" s="75">
        <v>2</v>
      </c>
      <c r="G477" s="75">
        <v>2</v>
      </c>
      <c r="H477" s="75"/>
      <c r="I477" s="74">
        <v>10000</v>
      </c>
      <c r="J477" s="74"/>
      <c r="K477" s="74"/>
      <c r="L477" s="76" t="b">
        <v>1</v>
      </c>
    </row>
    <row r="478" spans="1:12" s="44" customFormat="1" ht="16.5" customHeight="1" x14ac:dyDescent="0.4">
      <c r="A478" s="79"/>
      <c r="B478" s="80"/>
      <c r="C478" s="35">
        <v>49603</v>
      </c>
      <c r="D478" s="35" t="s">
        <v>73</v>
      </c>
      <c r="E478" s="35">
        <v>15</v>
      </c>
      <c r="F478" s="75"/>
      <c r="G478" s="75"/>
      <c r="H478" s="75"/>
      <c r="I478" s="74">
        <v>10000</v>
      </c>
      <c r="J478" s="74"/>
      <c r="K478" s="74"/>
      <c r="L478" s="76" t="b">
        <v>1</v>
      </c>
    </row>
    <row r="479" spans="1:12" s="44" customFormat="1" ht="16.5" customHeight="1" x14ac:dyDescent="0.4">
      <c r="A479" s="79">
        <v>1811315</v>
      </c>
      <c r="B479" s="80" t="s">
        <v>290</v>
      </c>
      <c r="C479" s="32">
        <v>64028</v>
      </c>
      <c r="D479" s="81" t="s">
        <v>282</v>
      </c>
      <c r="E479" s="52">
        <v>550</v>
      </c>
      <c r="F479" s="75">
        <v>2</v>
      </c>
      <c r="G479" s="75">
        <v>2</v>
      </c>
      <c r="H479" s="75"/>
      <c r="I479" s="74">
        <v>10000</v>
      </c>
      <c r="J479" s="74"/>
      <c r="K479" s="74"/>
      <c r="L479" s="76" t="b">
        <v>1</v>
      </c>
    </row>
    <row r="480" spans="1:12" s="44" customFormat="1" ht="16.5" customHeight="1" x14ac:dyDescent="0.4">
      <c r="A480" s="79"/>
      <c r="B480" s="80"/>
      <c r="C480" s="35">
        <v>49603</v>
      </c>
      <c r="D480" s="35" t="s">
        <v>73</v>
      </c>
      <c r="E480" s="35">
        <v>25</v>
      </c>
      <c r="F480" s="75"/>
      <c r="G480" s="75"/>
      <c r="H480" s="75"/>
      <c r="I480" s="74">
        <v>10000</v>
      </c>
      <c r="J480" s="74"/>
      <c r="K480" s="74"/>
      <c r="L480" s="76" t="b">
        <v>1</v>
      </c>
    </row>
    <row r="481" spans="1:13" s="44" customFormat="1" ht="16.5" customHeight="1" x14ac:dyDescent="0.4">
      <c r="A481" s="79">
        <v>1811316</v>
      </c>
      <c r="B481" s="80" t="s">
        <v>291</v>
      </c>
      <c r="C481" s="32">
        <v>64028</v>
      </c>
      <c r="D481" s="81" t="s">
        <v>282</v>
      </c>
      <c r="E481" s="52">
        <v>1000</v>
      </c>
      <c r="F481" s="75">
        <v>2</v>
      </c>
      <c r="G481" s="75">
        <v>2</v>
      </c>
      <c r="H481" s="75"/>
      <c r="I481" s="74">
        <v>10000</v>
      </c>
      <c r="J481" s="74"/>
      <c r="K481" s="74"/>
      <c r="L481" s="76" t="b">
        <v>1</v>
      </c>
    </row>
    <row r="482" spans="1:13" s="44" customFormat="1" ht="16.5" customHeight="1" x14ac:dyDescent="0.4">
      <c r="A482" s="79"/>
      <c r="B482" s="80"/>
      <c r="C482" s="35">
        <v>49605</v>
      </c>
      <c r="D482" s="35" t="s">
        <v>74</v>
      </c>
      <c r="E482" s="35">
        <v>5</v>
      </c>
      <c r="F482" s="75"/>
      <c r="G482" s="75"/>
      <c r="H482" s="75"/>
      <c r="I482" s="74">
        <v>10000</v>
      </c>
      <c r="J482" s="74"/>
      <c r="K482" s="74"/>
      <c r="L482" s="76" t="b">
        <v>1</v>
      </c>
    </row>
    <row r="483" spans="1:13" s="44" customFormat="1" ht="16.5" customHeight="1" x14ac:dyDescent="0.4">
      <c r="A483" s="79">
        <v>1811317</v>
      </c>
      <c r="B483" s="80" t="s">
        <v>292</v>
      </c>
      <c r="C483" s="32">
        <v>64028</v>
      </c>
      <c r="D483" s="81" t="s">
        <v>282</v>
      </c>
      <c r="E483" s="52">
        <v>2000</v>
      </c>
      <c r="F483" s="75">
        <v>2</v>
      </c>
      <c r="G483" s="75">
        <v>2</v>
      </c>
      <c r="H483" s="75"/>
      <c r="I483" s="74">
        <v>10000</v>
      </c>
      <c r="J483" s="74"/>
      <c r="K483" s="74"/>
      <c r="L483" s="76" t="b">
        <v>1</v>
      </c>
    </row>
    <row r="484" spans="1:13" ht="16.5" customHeight="1" x14ac:dyDescent="0.25">
      <c r="A484" s="49"/>
      <c r="C484" s="35">
        <v>49606</v>
      </c>
      <c r="D484" s="35" t="s">
        <v>253</v>
      </c>
      <c r="E484" s="35">
        <v>5</v>
      </c>
      <c r="F484" s="75"/>
      <c r="G484" s="75"/>
      <c r="H484" s="75"/>
      <c r="I484" s="74">
        <v>10000</v>
      </c>
      <c r="J484" s="74"/>
      <c r="K484" s="74"/>
      <c r="L484" s="76" t="b">
        <v>1</v>
      </c>
    </row>
    <row r="485" spans="1:13" ht="16.5" customHeight="1" x14ac:dyDescent="0.25">
      <c r="A485" s="49">
        <v>1811072</v>
      </c>
      <c r="B485" s="45" t="s">
        <v>294</v>
      </c>
      <c r="C485" s="32">
        <v>56413</v>
      </c>
      <c r="D485" s="43" t="s">
        <v>293</v>
      </c>
      <c r="E485" s="45">
        <v>750</v>
      </c>
      <c r="F485" s="45">
        <v>1</v>
      </c>
      <c r="G485" s="45">
        <v>1</v>
      </c>
      <c r="H485" s="45"/>
      <c r="I485" s="32">
        <v>10000</v>
      </c>
      <c r="J485" s="32"/>
      <c r="K485" s="32"/>
      <c r="L485" s="34" t="b">
        <v>1</v>
      </c>
    </row>
    <row r="486" spans="1:13" ht="16.5" customHeight="1" x14ac:dyDescent="0.4">
      <c r="A486" s="79">
        <v>1811321</v>
      </c>
      <c r="B486" s="45" t="s">
        <v>295</v>
      </c>
      <c r="C486" s="32">
        <v>119017</v>
      </c>
      <c r="D486" s="43" t="s">
        <v>296</v>
      </c>
      <c r="E486" s="5">
        <v>1</v>
      </c>
      <c r="F486" s="45"/>
      <c r="G486" s="45"/>
      <c r="I486" s="32">
        <v>10000</v>
      </c>
      <c r="L486" s="34" t="b">
        <v>1</v>
      </c>
      <c r="M486" s="5">
        <v>1</v>
      </c>
    </row>
    <row r="487" spans="1:13" ht="16.5" customHeight="1" x14ac:dyDescent="0.25">
      <c r="C487" s="32">
        <v>119076</v>
      </c>
      <c r="D487" s="43" t="s">
        <v>297</v>
      </c>
      <c r="E487" s="5">
        <v>1</v>
      </c>
      <c r="F487" s="45"/>
      <c r="G487" s="45"/>
      <c r="I487" s="32">
        <v>10000</v>
      </c>
      <c r="L487" s="34" t="b">
        <v>1</v>
      </c>
    </row>
    <row r="488" spans="1:13" ht="16.5" customHeight="1" x14ac:dyDescent="0.25">
      <c r="C488" s="32">
        <v>119062</v>
      </c>
      <c r="D488" s="43" t="s">
        <v>298</v>
      </c>
      <c r="E488" s="5">
        <v>1</v>
      </c>
      <c r="F488" s="45"/>
      <c r="G488" s="45"/>
      <c r="I488" s="32">
        <v>10000</v>
      </c>
      <c r="L488" s="34" t="b">
        <v>1</v>
      </c>
    </row>
    <row r="489" spans="1:13" ht="16.5" customHeight="1" x14ac:dyDescent="0.25">
      <c r="C489" s="32">
        <v>119003</v>
      </c>
      <c r="D489" s="43" t="s">
        <v>299</v>
      </c>
      <c r="E489" s="5">
        <v>1</v>
      </c>
      <c r="F489" s="45"/>
      <c r="G489" s="45"/>
      <c r="I489" s="32">
        <v>10000</v>
      </c>
      <c r="L489" s="34" t="b">
        <v>1</v>
      </c>
    </row>
    <row r="490" spans="1:13" ht="16.5" customHeight="1" x14ac:dyDescent="0.25">
      <c r="C490" s="32">
        <v>119010</v>
      </c>
      <c r="D490" s="43" t="s">
        <v>300</v>
      </c>
      <c r="E490" s="5">
        <v>1</v>
      </c>
      <c r="F490" s="45"/>
      <c r="G490" s="45"/>
      <c r="I490" s="32">
        <v>10000</v>
      </c>
      <c r="L490" s="34" t="b">
        <v>1</v>
      </c>
    </row>
    <row r="491" spans="1:13" ht="16.5" customHeight="1" x14ac:dyDescent="0.25">
      <c r="C491" s="32">
        <v>119005</v>
      </c>
      <c r="D491" s="43" t="s">
        <v>301</v>
      </c>
      <c r="E491" s="5">
        <v>1</v>
      </c>
      <c r="F491" s="45"/>
      <c r="G491" s="45"/>
      <c r="I491" s="32">
        <v>10000</v>
      </c>
      <c r="L491" s="34" t="b">
        <v>1</v>
      </c>
    </row>
    <row r="492" spans="1:13" ht="16.5" customHeight="1" x14ac:dyDescent="0.4">
      <c r="A492" s="79">
        <v>1811073</v>
      </c>
      <c r="B492" s="79" t="s">
        <v>304</v>
      </c>
      <c r="C492" s="79">
        <v>56026</v>
      </c>
      <c r="D492" s="79" t="s">
        <v>305</v>
      </c>
      <c r="E492" s="79">
        <v>100</v>
      </c>
      <c r="F492" s="75">
        <v>1</v>
      </c>
      <c r="G492" s="75">
        <v>1</v>
      </c>
      <c r="H492" s="75"/>
      <c r="I492" s="74">
        <v>10000</v>
      </c>
      <c r="J492" s="74"/>
      <c r="K492" s="74"/>
      <c r="L492" s="76" t="b">
        <v>1</v>
      </c>
      <c r="M492" s="84"/>
    </row>
    <row r="493" spans="1:13" ht="16.5" customHeight="1" x14ac:dyDescent="0.4">
      <c r="A493" s="79">
        <v>1811074</v>
      </c>
      <c r="B493" s="79" t="s">
        <v>306</v>
      </c>
      <c r="C493" s="79">
        <v>49078</v>
      </c>
      <c r="D493" s="79" t="s">
        <v>307</v>
      </c>
      <c r="E493" s="79">
        <v>70</v>
      </c>
      <c r="F493" s="75">
        <v>1</v>
      </c>
      <c r="G493" s="75">
        <v>1</v>
      </c>
      <c r="H493" s="75"/>
      <c r="I493" s="74">
        <v>10000</v>
      </c>
      <c r="J493" s="74"/>
      <c r="K493" s="74"/>
      <c r="L493" s="76" t="b">
        <v>1</v>
      </c>
      <c r="M493" s="85"/>
    </row>
    <row r="494" spans="1:13" ht="16.5" customHeight="1" x14ac:dyDescent="0.4">
      <c r="A494" s="79">
        <v>1811075</v>
      </c>
      <c r="B494" s="79" t="s">
        <v>308</v>
      </c>
      <c r="C494" s="79">
        <v>49118</v>
      </c>
      <c r="D494" s="79" t="s">
        <v>309</v>
      </c>
      <c r="E494" s="79">
        <v>7</v>
      </c>
      <c r="F494" s="75">
        <v>1</v>
      </c>
      <c r="G494" s="75">
        <v>1</v>
      </c>
      <c r="H494" s="75"/>
      <c r="I494" s="74">
        <v>10000</v>
      </c>
      <c r="J494" s="74"/>
      <c r="K494" s="74"/>
      <c r="L494" s="76" t="b">
        <v>1</v>
      </c>
      <c r="M494" s="85"/>
    </row>
  </sheetData>
  <autoFilter ref="A131:AE165" xr:uid="{00000000-0001-0000-0000-000000000000}"/>
  <mergeCells count="1">
    <mergeCell ref="F1:I1"/>
  </mergeCells>
  <phoneticPr fontId="7" type="noConversion"/>
  <conditionalFormatting sqref="A131:A162">
    <cfRule type="duplicateValues" dxfId="426" priority="606"/>
    <cfRule type="duplicateValues" dxfId="425" priority="609"/>
  </conditionalFormatting>
  <conditionalFormatting sqref="A168:A208">
    <cfRule type="duplicateValues" dxfId="424" priority="574"/>
    <cfRule type="duplicateValues" dxfId="423" priority="572"/>
    <cfRule type="duplicateValues" dxfId="422" priority="573"/>
    <cfRule type="duplicateValues" dxfId="421" priority="587"/>
    <cfRule type="duplicateValues" dxfId="420" priority="571"/>
    <cfRule type="duplicateValues" dxfId="419" priority="570"/>
  </conditionalFormatting>
  <conditionalFormatting sqref="A212">
    <cfRule type="duplicateValues" dxfId="418" priority="452"/>
    <cfRule type="duplicateValues" dxfId="417" priority="451"/>
    <cfRule type="duplicateValues" dxfId="416" priority="449"/>
    <cfRule type="duplicateValues" dxfId="415" priority="450"/>
    <cfRule type="duplicateValues" dxfId="414" priority="453"/>
    <cfRule type="duplicateValues" dxfId="413" priority="454"/>
  </conditionalFormatting>
  <conditionalFormatting sqref="A216">
    <cfRule type="duplicateValues" dxfId="412" priority="445"/>
    <cfRule type="duplicateValues" dxfId="411" priority="448"/>
    <cfRule type="duplicateValues" dxfId="410" priority="447"/>
    <cfRule type="duplicateValues" dxfId="409" priority="446"/>
    <cfRule type="duplicateValues" dxfId="408" priority="443"/>
    <cfRule type="duplicateValues" dxfId="407" priority="444"/>
  </conditionalFormatting>
  <conditionalFormatting sqref="A220">
    <cfRule type="duplicateValues" dxfId="406" priority="438"/>
    <cfRule type="duplicateValues" dxfId="405" priority="440"/>
    <cfRule type="duplicateValues" dxfId="404" priority="441"/>
    <cfRule type="duplicateValues" dxfId="403" priority="437"/>
    <cfRule type="duplicateValues" dxfId="402" priority="439"/>
    <cfRule type="duplicateValues" dxfId="401" priority="442"/>
  </conditionalFormatting>
  <conditionalFormatting sqref="A224">
    <cfRule type="duplicateValues" dxfId="400" priority="435"/>
    <cfRule type="duplicateValues" dxfId="399" priority="436"/>
    <cfRule type="duplicateValues" dxfId="398" priority="432"/>
    <cfRule type="duplicateValues" dxfId="397" priority="431"/>
    <cfRule type="duplicateValues" dxfId="396" priority="433"/>
    <cfRule type="duplicateValues" dxfId="395" priority="434"/>
  </conditionalFormatting>
  <conditionalFormatting sqref="A228">
    <cfRule type="duplicateValues" dxfId="394" priority="250"/>
    <cfRule type="duplicateValues" dxfId="393" priority="249"/>
    <cfRule type="duplicateValues" dxfId="392" priority="248"/>
    <cfRule type="duplicateValues" dxfId="391" priority="247"/>
    <cfRule type="duplicateValues" dxfId="390" priority="252"/>
    <cfRule type="duplicateValues" dxfId="389" priority="251"/>
  </conditionalFormatting>
  <conditionalFormatting sqref="A307 A315">
    <cfRule type="duplicateValues" dxfId="388" priority="147"/>
  </conditionalFormatting>
  <conditionalFormatting sqref="A311 A319">
    <cfRule type="duplicateValues" dxfId="387" priority="146"/>
  </conditionalFormatting>
  <conditionalFormatting sqref="A323 A326 A329 A332 A335">
    <cfRule type="duplicateValues" dxfId="386" priority="143"/>
  </conditionalFormatting>
  <conditionalFormatting sqref="A356:A374">
    <cfRule type="duplicateValues" dxfId="385" priority="76"/>
    <cfRule type="duplicateValues" dxfId="384" priority="67"/>
    <cfRule type="duplicateValues" dxfId="383" priority="68"/>
    <cfRule type="duplicateValues" dxfId="382" priority="69"/>
    <cfRule type="duplicateValues" dxfId="381" priority="70"/>
    <cfRule type="duplicateValues" dxfId="380" priority="71"/>
    <cfRule type="duplicateValues" dxfId="379" priority="73"/>
    <cfRule type="duplicateValues" dxfId="378" priority="74"/>
    <cfRule type="duplicateValues" dxfId="377" priority="75"/>
    <cfRule type="duplicateValues" dxfId="376" priority="77"/>
    <cfRule type="duplicateValues" dxfId="375" priority="78"/>
    <cfRule type="duplicateValues" dxfId="374" priority="72"/>
    <cfRule type="duplicateValues" dxfId="373" priority="80"/>
    <cfRule type="duplicateValues" dxfId="372" priority="81"/>
    <cfRule type="duplicateValues" dxfId="371" priority="82"/>
    <cfRule type="duplicateValues" dxfId="370" priority="79"/>
  </conditionalFormatting>
  <conditionalFormatting sqref="A409:A459">
    <cfRule type="duplicateValues" dxfId="369" priority="623"/>
    <cfRule type="duplicateValues" dxfId="368" priority="622"/>
    <cfRule type="duplicateValues" dxfId="367" priority="621"/>
    <cfRule type="duplicateValues" dxfId="366" priority="620"/>
    <cfRule type="duplicateValues" dxfId="365" priority="630"/>
    <cfRule type="duplicateValues" dxfId="364" priority="635"/>
    <cfRule type="duplicateValues" dxfId="363" priority="634"/>
    <cfRule type="duplicateValues" dxfId="362" priority="633"/>
    <cfRule type="duplicateValues" dxfId="361" priority="632"/>
    <cfRule type="duplicateValues" dxfId="360" priority="631"/>
    <cfRule type="duplicateValues" dxfId="359" priority="629"/>
    <cfRule type="duplicateValues" dxfId="358" priority="628"/>
    <cfRule type="duplicateValues" dxfId="357" priority="627"/>
    <cfRule type="duplicateValues" dxfId="356" priority="626"/>
    <cfRule type="duplicateValues" dxfId="355" priority="625"/>
    <cfRule type="duplicateValues" dxfId="354" priority="624"/>
  </conditionalFormatting>
  <conditionalFormatting sqref="A460">
    <cfRule type="duplicateValues" dxfId="353" priority="36"/>
    <cfRule type="duplicateValues" dxfId="352" priority="43"/>
    <cfRule type="duplicateValues" dxfId="351" priority="45"/>
    <cfRule type="duplicateValues" dxfId="350" priority="44"/>
    <cfRule type="duplicateValues" dxfId="349" priority="38"/>
    <cfRule type="duplicateValues" dxfId="348" priority="37"/>
    <cfRule type="duplicateValues" dxfId="347" priority="35"/>
    <cfRule type="duplicateValues" dxfId="346" priority="34"/>
    <cfRule type="duplicateValues" dxfId="345" priority="33"/>
    <cfRule type="duplicateValues" dxfId="344" priority="32"/>
    <cfRule type="duplicateValues" dxfId="343" priority="39"/>
    <cfRule type="duplicateValues" dxfId="342" priority="40"/>
    <cfRule type="duplicateValues" dxfId="341" priority="41"/>
    <cfRule type="duplicateValues" dxfId="340" priority="42"/>
    <cfRule type="duplicateValues" dxfId="339" priority="49"/>
    <cfRule type="duplicateValues" dxfId="338" priority="48"/>
    <cfRule type="duplicateValues" dxfId="337" priority="47"/>
    <cfRule type="duplicateValues" dxfId="336" priority="46"/>
  </conditionalFormatting>
  <conditionalFormatting sqref="A473:A483">
    <cfRule type="duplicateValues" dxfId="335" priority="30"/>
    <cfRule type="duplicateValues" dxfId="334" priority="31"/>
    <cfRule type="duplicateValues" dxfId="333" priority="28"/>
    <cfRule type="duplicateValues" dxfId="332" priority="27"/>
    <cfRule type="duplicateValues" dxfId="331" priority="29"/>
  </conditionalFormatting>
  <conditionalFormatting sqref="A483">
    <cfRule type="duplicateValues" dxfId="330" priority="26"/>
  </conditionalFormatting>
  <conditionalFormatting sqref="A484:A485 A1:A459 A461:A471 A487:A491 A496:A1048576">
    <cfRule type="duplicateValues" dxfId="329" priority="66"/>
  </conditionalFormatting>
  <conditionalFormatting sqref="A484:A485 A324:A325 A327:A328 A330:A331 A333:A334 A1:A303 A336:A355 A375:A459 A461:A471 A487:A491 A496:A1048576">
    <cfRule type="duplicateValues" dxfId="328" priority="246"/>
  </conditionalFormatting>
  <conditionalFormatting sqref="A486">
    <cfRule type="duplicateValues" dxfId="327" priority="25"/>
    <cfRule type="duplicateValues" dxfId="326" priority="24"/>
    <cfRule type="duplicateValues" dxfId="325" priority="23"/>
    <cfRule type="duplicateValues" dxfId="324" priority="22"/>
    <cfRule type="duplicateValues" dxfId="323" priority="21"/>
    <cfRule type="duplicateValues" dxfId="322" priority="20"/>
  </conditionalFormatting>
  <conditionalFormatting sqref="A492:E494">
    <cfRule type="duplicateValues" dxfId="321" priority="8"/>
    <cfRule type="duplicateValues" dxfId="320" priority="9"/>
    <cfRule type="duplicateValues" dxfId="319" priority="6"/>
    <cfRule type="duplicateValues" dxfId="318" priority="7"/>
    <cfRule type="duplicateValues" dxfId="317" priority="10"/>
    <cfRule type="duplicateValues" dxfId="316" priority="11"/>
  </conditionalFormatting>
  <conditionalFormatting sqref="C192">
    <cfRule type="duplicateValues" dxfId="315" priority="585"/>
    <cfRule type="duplicateValues" dxfId="314" priority="584"/>
    <cfRule type="duplicateValues" dxfId="313" priority="586"/>
  </conditionalFormatting>
  <conditionalFormatting sqref="C197">
    <cfRule type="duplicateValues" dxfId="312" priority="582"/>
    <cfRule type="duplicateValues" dxfId="311" priority="581"/>
    <cfRule type="duplicateValues" dxfId="310" priority="583"/>
  </conditionalFormatting>
  <conditionalFormatting sqref="C202">
    <cfRule type="duplicateValues" dxfId="309" priority="580"/>
    <cfRule type="duplicateValues" dxfId="308" priority="579"/>
    <cfRule type="duplicateValues" dxfId="307" priority="578"/>
  </conditionalFormatting>
  <conditionalFormatting sqref="C207">
    <cfRule type="duplicateValues" dxfId="306" priority="576"/>
    <cfRule type="duplicateValues" dxfId="305" priority="575"/>
    <cfRule type="duplicateValues" dxfId="304" priority="577"/>
  </conditionalFormatting>
  <conditionalFormatting sqref="C208">
    <cfRule type="duplicateValues" dxfId="303" priority="549"/>
    <cfRule type="duplicateValues" dxfId="302" priority="550"/>
    <cfRule type="duplicateValues" dxfId="301" priority="551"/>
    <cfRule type="duplicateValues" dxfId="300" priority="552"/>
    <cfRule type="duplicateValues" dxfId="299" priority="554"/>
    <cfRule type="duplicateValues" dxfId="298" priority="555"/>
    <cfRule type="duplicateValues" dxfId="297" priority="556"/>
    <cfRule type="duplicateValues" dxfId="296" priority="557"/>
    <cfRule type="duplicateValues" dxfId="295" priority="553"/>
    <cfRule type="duplicateValues" dxfId="294" priority="547"/>
    <cfRule type="duplicateValues" dxfId="293" priority="548"/>
  </conditionalFormatting>
  <conditionalFormatting sqref="C210">
    <cfRule type="duplicateValues" dxfId="292" priority="535"/>
    <cfRule type="duplicateValues" dxfId="291" priority="532"/>
    <cfRule type="duplicateValues" dxfId="290" priority="531"/>
    <cfRule type="duplicateValues" dxfId="289" priority="530"/>
    <cfRule type="duplicateValues" dxfId="288" priority="529"/>
    <cfRule type="duplicateValues" dxfId="287" priority="528"/>
    <cfRule type="duplicateValues" dxfId="286" priority="527"/>
    <cfRule type="duplicateValues" dxfId="285" priority="526"/>
    <cfRule type="duplicateValues" dxfId="284" priority="525"/>
    <cfRule type="duplicateValues" dxfId="283" priority="534"/>
    <cfRule type="duplicateValues" dxfId="282" priority="533"/>
  </conditionalFormatting>
  <conditionalFormatting sqref="C212">
    <cfRule type="duplicateValues" dxfId="281" priority="546"/>
    <cfRule type="duplicateValues" dxfId="280" priority="545"/>
    <cfRule type="duplicateValues" dxfId="279" priority="544"/>
    <cfRule type="duplicateValues" dxfId="278" priority="543"/>
    <cfRule type="duplicateValues" dxfId="277" priority="542"/>
    <cfRule type="duplicateValues" dxfId="276" priority="541"/>
    <cfRule type="duplicateValues" dxfId="275" priority="540"/>
    <cfRule type="duplicateValues" dxfId="274" priority="539"/>
    <cfRule type="duplicateValues" dxfId="273" priority="538"/>
    <cfRule type="duplicateValues" dxfId="272" priority="537"/>
    <cfRule type="duplicateValues" dxfId="271" priority="536"/>
  </conditionalFormatting>
  <conditionalFormatting sqref="C214">
    <cfRule type="duplicateValues" dxfId="270" priority="566"/>
    <cfRule type="duplicateValues" dxfId="269" priority="565"/>
    <cfRule type="duplicateValues" dxfId="268" priority="564"/>
    <cfRule type="duplicateValues" dxfId="267" priority="563"/>
    <cfRule type="duplicateValues" dxfId="266" priority="562"/>
    <cfRule type="duplicateValues" dxfId="265" priority="561"/>
    <cfRule type="duplicateValues" dxfId="264" priority="560"/>
    <cfRule type="duplicateValues" dxfId="263" priority="567"/>
    <cfRule type="duplicateValues" dxfId="262" priority="569"/>
    <cfRule type="duplicateValues" dxfId="261" priority="559"/>
    <cfRule type="duplicateValues" dxfId="260" priority="568"/>
  </conditionalFormatting>
  <conditionalFormatting sqref="C216">
    <cfRule type="duplicateValues" dxfId="259" priority="516"/>
    <cfRule type="duplicateValues" dxfId="258" priority="523"/>
    <cfRule type="duplicateValues" dxfId="257" priority="522"/>
    <cfRule type="duplicateValues" dxfId="256" priority="521"/>
    <cfRule type="duplicateValues" dxfId="255" priority="520"/>
    <cfRule type="duplicateValues" dxfId="254" priority="519"/>
    <cfRule type="duplicateValues" dxfId="253" priority="518"/>
    <cfRule type="duplicateValues" dxfId="252" priority="517"/>
    <cfRule type="duplicateValues" dxfId="251" priority="513"/>
    <cfRule type="duplicateValues" dxfId="250" priority="515"/>
    <cfRule type="duplicateValues" dxfId="249" priority="514"/>
  </conditionalFormatting>
  <conditionalFormatting sqref="C218">
    <cfRule type="duplicateValues" dxfId="248" priority="512"/>
    <cfRule type="duplicateValues" dxfId="247" priority="511"/>
    <cfRule type="duplicateValues" dxfId="246" priority="510"/>
    <cfRule type="duplicateValues" dxfId="245" priority="509"/>
    <cfRule type="duplicateValues" dxfId="244" priority="508"/>
    <cfRule type="duplicateValues" dxfId="243" priority="507"/>
    <cfRule type="duplicateValues" dxfId="242" priority="506"/>
    <cfRule type="duplicateValues" dxfId="241" priority="505"/>
    <cfRule type="duplicateValues" dxfId="240" priority="504"/>
    <cfRule type="duplicateValues" dxfId="239" priority="503"/>
    <cfRule type="duplicateValues" dxfId="238" priority="502"/>
  </conditionalFormatting>
  <conditionalFormatting sqref="C220">
    <cfRule type="duplicateValues" dxfId="237" priority="498"/>
    <cfRule type="duplicateValues" dxfId="236" priority="497"/>
    <cfRule type="duplicateValues" dxfId="235" priority="496"/>
    <cfRule type="duplicateValues" dxfId="234" priority="500"/>
    <cfRule type="duplicateValues" dxfId="233" priority="494"/>
    <cfRule type="duplicateValues" dxfId="232" priority="493"/>
    <cfRule type="duplicateValues" dxfId="231" priority="492"/>
    <cfRule type="duplicateValues" dxfId="230" priority="491"/>
    <cfRule type="duplicateValues" dxfId="229" priority="490"/>
    <cfRule type="duplicateValues" dxfId="228" priority="495"/>
    <cfRule type="duplicateValues" dxfId="227" priority="499"/>
  </conditionalFormatting>
  <conditionalFormatting sqref="C222">
    <cfRule type="duplicateValues" dxfId="226" priority="487"/>
    <cfRule type="duplicateValues" dxfId="225" priority="489"/>
    <cfRule type="duplicateValues" dxfId="224" priority="485"/>
    <cfRule type="duplicateValues" dxfId="223" priority="484"/>
    <cfRule type="duplicateValues" dxfId="222" priority="483"/>
    <cfRule type="duplicateValues" dxfId="221" priority="482"/>
    <cfRule type="duplicateValues" dxfId="220" priority="481"/>
    <cfRule type="duplicateValues" dxfId="219" priority="480"/>
    <cfRule type="duplicateValues" dxfId="218" priority="479"/>
    <cfRule type="duplicateValues" dxfId="217" priority="488"/>
    <cfRule type="duplicateValues" dxfId="216" priority="486"/>
  </conditionalFormatting>
  <conditionalFormatting sqref="C224">
    <cfRule type="duplicateValues" dxfId="215" priority="475"/>
    <cfRule type="duplicateValues" dxfId="214" priority="474"/>
    <cfRule type="duplicateValues" dxfId="213" priority="473"/>
    <cfRule type="duplicateValues" dxfId="212" priority="472"/>
    <cfRule type="duplicateValues" dxfId="211" priority="471"/>
    <cfRule type="duplicateValues" dxfId="210" priority="470"/>
    <cfRule type="duplicateValues" dxfId="209" priority="469"/>
    <cfRule type="duplicateValues" dxfId="208" priority="468"/>
    <cfRule type="duplicateValues" dxfId="207" priority="467"/>
    <cfRule type="duplicateValues" dxfId="206" priority="477"/>
    <cfRule type="duplicateValues" dxfId="205" priority="476"/>
  </conditionalFormatting>
  <conditionalFormatting sqref="C226">
    <cfRule type="duplicateValues" dxfId="204" priority="464"/>
    <cfRule type="duplicateValues" dxfId="203" priority="460"/>
    <cfRule type="duplicateValues" dxfId="202" priority="466"/>
    <cfRule type="duplicateValues" dxfId="201" priority="456"/>
    <cfRule type="duplicateValues" dxfId="200" priority="457"/>
    <cfRule type="duplicateValues" dxfId="199" priority="462"/>
    <cfRule type="duplicateValues" dxfId="198" priority="458"/>
    <cfRule type="duplicateValues" dxfId="197" priority="459"/>
    <cfRule type="duplicateValues" dxfId="196" priority="463"/>
    <cfRule type="duplicateValues" dxfId="195" priority="461"/>
    <cfRule type="duplicateValues" dxfId="194" priority="465"/>
  </conditionalFormatting>
  <conditionalFormatting sqref="C228">
    <cfRule type="duplicateValues" dxfId="193" priority="422"/>
    <cfRule type="duplicateValues" dxfId="192" priority="423"/>
    <cfRule type="duplicateValues" dxfId="191" priority="424"/>
    <cfRule type="duplicateValues" dxfId="190" priority="425"/>
    <cfRule type="duplicateValues" dxfId="189" priority="426"/>
    <cfRule type="duplicateValues" dxfId="188" priority="427"/>
    <cfRule type="duplicateValues" dxfId="187" priority="429"/>
    <cfRule type="duplicateValues" dxfId="186" priority="430"/>
    <cfRule type="duplicateValues" dxfId="185" priority="420"/>
    <cfRule type="duplicateValues" dxfId="184" priority="428"/>
    <cfRule type="duplicateValues" dxfId="183" priority="421"/>
  </conditionalFormatting>
  <conditionalFormatting sqref="C229">
    <cfRule type="duplicateValues" dxfId="182" priority="419"/>
    <cfRule type="duplicateValues" dxfId="181" priority="418"/>
    <cfRule type="duplicateValues" dxfId="180" priority="417"/>
    <cfRule type="duplicateValues" dxfId="179" priority="416"/>
    <cfRule type="duplicateValues" dxfId="178" priority="415"/>
    <cfRule type="duplicateValues" dxfId="177" priority="414"/>
    <cfRule type="duplicateValues" dxfId="176" priority="413"/>
    <cfRule type="duplicateValues" dxfId="175" priority="412"/>
    <cfRule type="duplicateValues" dxfId="174" priority="409"/>
    <cfRule type="duplicateValues" dxfId="173" priority="410"/>
    <cfRule type="duplicateValues" dxfId="172" priority="411"/>
  </conditionalFormatting>
  <conditionalFormatting sqref="C230">
    <cfRule type="duplicateValues" dxfId="171" priority="405"/>
    <cfRule type="duplicateValues" dxfId="170" priority="406"/>
    <cfRule type="duplicateValues" dxfId="169" priority="407"/>
    <cfRule type="duplicateValues" dxfId="168" priority="408"/>
    <cfRule type="duplicateValues" dxfId="167" priority="403"/>
    <cfRule type="duplicateValues" dxfId="166" priority="404"/>
  </conditionalFormatting>
  <conditionalFormatting sqref="C231">
    <cfRule type="duplicateValues" dxfId="165" priority="399"/>
    <cfRule type="duplicateValues" dxfId="164" priority="401"/>
    <cfRule type="duplicateValues" dxfId="163" priority="402"/>
    <cfRule type="duplicateValues" dxfId="162" priority="395"/>
    <cfRule type="duplicateValues" dxfId="161" priority="400"/>
    <cfRule type="duplicateValues" dxfId="160" priority="398"/>
    <cfRule type="duplicateValues" dxfId="159" priority="397"/>
    <cfRule type="duplicateValues" dxfId="158" priority="396"/>
  </conditionalFormatting>
  <conditionalFormatting sqref="C232">
    <cfRule type="duplicateValues" dxfId="157" priority="394"/>
    <cfRule type="duplicateValues" dxfId="156" priority="385"/>
    <cfRule type="duplicateValues" dxfId="155" priority="392"/>
    <cfRule type="duplicateValues" dxfId="154" priority="384"/>
    <cfRule type="duplicateValues" dxfId="153" priority="386"/>
    <cfRule type="duplicateValues" dxfId="152" priority="387"/>
    <cfRule type="duplicateValues" dxfId="151" priority="388"/>
    <cfRule type="duplicateValues" dxfId="150" priority="389"/>
    <cfRule type="duplicateValues" dxfId="149" priority="390"/>
    <cfRule type="duplicateValues" dxfId="148" priority="393"/>
    <cfRule type="duplicateValues" dxfId="147" priority="391"/>
  </conditionalFormatting>
  <conditionalFormatting sqref="C233">
    <cfRule type="duplicateValues" dxfId="146" priority="383"/>
    <cfRule type="duplicateValues" dxfId="145" priority="382"/>
    <cfRule type="duplicateValues" dxfId="144" priority="381"/>
    <cfRule type="duplicateValues" dxfId="143" priority="380"/>
    <cfRule type="duplicateValues" dxfId="142" priority="379"/>
    <cfRule type="duplicateValues" dxfId="141" priority="378"/>
  </conditionalFormatting>
  <conditionalFormatting sqref="C234">
    <cfRule type="duplicateValues" dxfId="140" priority="374"/>
    <cfRule type="duplicateValues" dxfId="139" priority="377"/>
    <cfRule type="duplicateValues" dxfId="138" priority="376"/>
    <cfRule type="duplicateValues" dxfId="137" priority="375"/>
    <cfRule type="duplicateValues" dxfId="136" priority="373"/>
    <cfRule type="duplicateValues" dxfId="135" priority="372"/>
    <cfRule type="duplicateValues" dxfId="134" priority="371"/>
    <cfRule type="duplicateValues" dxfId="133" priority="370"/>
  </conditionalFormatting>
  <conditionalFormatting sqref="C235">
    <cfRule type="duplicateValues" dxfId="132" priority="369"/>
    <cfRule type="duplicateValues" dxfId="131" priority="368"/>
    <cfRule type="duplicateValues" dxfId="130" priority="367"/>
    <cfRule type="duplicateValues" dxfId="129" priority="366"/>
    <cfRule type="duplicateValues" dxfId="128" priority="365"/>
    <cfRule type="duplicateValues" dxfId="127" priority="364"/>
    <cfRule type="duplicateValues" dxfId="126" priority="363"/>
    <cfRule type="duplicateValues" dxfId="125" priority="361"/>
    <cfRule type="duplicateValues" dxfId="124" priority="360"/>
    <cfRule type="duplicateValues" dxfId="123" priority="359"/>
    <cfRule type="duplicateValues" dxfId="122" priority="362"/>
  </conditionalFormatting>
  <conditionalFormatting sqref="C236">
    <cfRule type="duplicateValues" dxfId="121" priority="351"/>
    <cfRule type="duplicateValues" dxfId="120" priority="355"/>
    <cfRule type="duplicateValues" dxfId="119" priority="358"/>
    <cfRule type="duplicateValues" dxfId="118" priority="357"/>
    <cfRule type="duplicateValues" dxfId="117" priority="353"/>
    <cfRule type="duplicateValues" dxfId="116" priority="352"/>
    <cfRule type="duplicateValues" dxfId="115" priority="354"/>
    <cfRule type="duplicateValues" dxfId="114" priority="356"/>
    <cfRule type="duplicateValues" dxfId="113" priority="348"/>
    <cfRule type="duplicateValues" dxfId="112" priority="349"/>
    <cfRule type="duplicateValues" dxfId="111" priority="350"/>
  </conditionalFormatting>
  <conditionalFormatting sqref="C237">
    <cfRule type="duplicateValues" dxfId="110" priority="347"/>
    <cfRule type="duplicateValues" dxfId="109" priority="343"/>
    <cfRule type="duplicateValues" dxfId="108" priority="346"/>
    <cfRule type="duplicateValues" dxfId="107" priority="344"/>
    <cfRule type="duplicateValues" dxfId="106" priority="345"/>
    <cfRule type="duplicateValues" dxfId="105" priority="342"/>
  </conditionalFormatting>
  <conditionalFormatting sqref="C238">
    <cfRule type="duplicateValues" dxfId="104" priority="336"/>
    <cfRule type="duplicateValues" dxfId="103" priority="337"/>
    <cfRule type="duplicateValues" dxfId="102" priority="338"/>
    <cfRule type="duplicateValues" dxfId="101" priority="334"/>
    <cfRule type="duplicateValues" dxfId="100" priority="335"/>
    <cfRule type="duplicateValues" dxfId="99" priority="341"/>
    <cfRule type="duplicateValues" dxfId="98" priority="340"/>
    <cfRule type="duplicateValues" dxfId="97" priority="339"/>
  </conditionalFormatting>
  <conditionalFormatting sqref="C239">
    <cfRule type="duplicateValues" dxfId="96" priority="324"/>
    <cfRule type="duplicateValues" dxfId="95" priority="323"/>
    <cfRule type="duplicateValues" dxfId="94" priority="325"/>
    <cfRule type="duplicateValues" dxfId="93" priority="326"/>
    <cfRule type="duplicateValues" dxfId="92" priority="327"/>
    <cfRule type="duplicateValues" dxfId="91" priority="328"/>
    <cfRule type="duplicateValues" dxfId="90" priority="329"/>
    <cfRule type="duplicateValues" dxfId="89" priority="330"/>
    <cfRule type="duplicateValues" dxfId="88" priority="332"/>
    <cfRule type="duplicateValues" dxfId="87" priority="333"/>
    <cfRule type="duplicateValues" dxfId="86" priority="331"/>
  </conditionalFormatting>
  <conditionalFormatting sqref="C240">
    <cfRule type="duplicateValues" dxfId="85" priority="317"/>
    <cfRule type="duplicateValues" dxfId="84" priority="318"/>
    <cfRule type="duplicateValues" dxfId="83" priority="319"/>
    <cfRule type="duplicateValues" dxfId="82" priority="320"/>
    <cfRule type="duplicateValues" dxfId="81" priority="321"/>
    <cfRule type="duplicateValues" dxfId="80" priority="322"/>
  </conditionalFormatting>
  <conditionalFormatting sqref="C241">
    <cfRule type="duplicateValues" dxfId="79" priority="312"/>
    <cfRule type="duplicateValues" dxfId="78" priority="313"/>
    <cfRule type="duplicateValues" dxfId="77" priority="314"/>
    <cfRule type="duplicateValues" dxfId="76" priority="316"/>
    <cfRule type="duplicateValues" dxfId="75" priority="315"/>
    <cfRule type="duplicateValues" dxfId="74" priority="309"/>
    <cfRule type="duplicateValues" dxfId="73" priority="310"/>
    <cfRule type="duplicateValues" dxfId="72" priority="311"/>
  </conditionalFormatting>
  <conditionalFormatting sqref="C242">
    <cfRule type="duplicateValues" dxfId="71" priority="307"/>
    <cfRule type="duplicateValues" dxfId="70" priority="308"/>
    <cfRule type="duplicateValues" dxfId="69" priority="306"/>
    <cfRule type="duplicateValues" dxfId="68" priority="305"/>
    <cfRule type="duplicateValues" dxfId="67" priority="304"/>
    <cfRule type="duplicateValues" dxfId="66" priority="303"/>
  </conditionalFormatting>
  <conditionalFormatting sqref="C243">
    <cfRule type="duplicateValues" dxfId="65" priority="302"/>
    <cfRule type="duplicateValues" dxfId="64" priority="295"/>
    <cfRule type="duplicateValues" dxfId="63" priority="296"/>
    <cfRule type="duplicateValues" dxfId="62" priority="297"/>
    <cfRule type="duplicateValues" dxfId="61" priority="298"/>
    <cfRule type="duplicateValues" dxfId="60" priority="299"/>
    <cfRule type="duplicateValues" dxfId="59" priority="300"/>
    <cfRule type="duplicateValues" dxfId="58" priority="301"/>
  </conditionalFormatting>
  <conditionalFormatting sqref="C244">
    <cfRule type="duplicateValues" dxfId="57" priority="290"/>
    <cfRule type="duplicateValues" dxfId="56" priority="289"/>
    <cfRule type="duplicateValues" dxfId="55" priority="294"/>
    <cfRule type="duplicateValues" dxfId="54" priority="293"/>
    <cfRule type="duplicateValues" dxfId="53" priority="292"/>
    <cfRule type="duplicateValues" dxfId="52" priority="291"/>
  </conditionalFormatting>
  <conditionalFormatting sqref="C245">
    <cfRule type="duplicateValues" dxfId="51" priority="287"/>
    <cfRule type="duplicateValues" dxfId="50" priority="284"/>
    <cfRule type="duplicateValues" dxfId="49" priority="281"/>
    <cfRule type="duplicateValues" dxfId="48" priority="288"/>
    <cfRule type="duplicateValues" dxfId="47" priority="286"/>
    <cfRule type="duplicateValues" dxfId="46" priority="282"/>
    <cfRule type="duplicateValues" dxfId="45" priority="285"/>
    <cfRule type="duplicateValues" dxfId="44" priority="283"/>
  </conditionalFormatting>
  <conditionalFormatting sqref="C246">
    <cfRule type="duplicateValues" dxfId="43" priority="280"/>
    <cfRule type="duplicateValues" dxfId="42" priority="278"/>
    <cfRule type="duplicateValues" dxfId="41" priority="275"/>
    <cfRule type="duplicateValues" dxfId="40" priority="276"/>
    <cfRule type="duplicateValues" dxfId="39" priority="277"/>
    <cfRule type="duplicateValues" dxfId="38" priority="279"/>
  </conditionalFormatting>
  <conditionalFormatting sqref="C247">
    <cfRule type="duplicateValues" dxfId="37" priority="273"/>
    <cfRule type="duplicateValues" dxfId="36" priority="272"/>
    <cfRule type="duplicateValues" dxfId="35" priority="271"/>
    <cfRule type="duplicateValues" dxfId="34" priority="269"/>
    <cfRule type="duplicateValues" dxfId="33" priority="268"/>
    <cfRule type="duplicateValues" dxfId="32" priority="267"/>
    <cfRule type="duplicateValues" dxfId="31" priority="274"/>
    <cfRule type="duplicateValues" dxfId="30" priority="270"/>
  </conditionalFormatting>
  <conditionalFormatting sqref="C248">
    <cfRule type="duplicateValues" dxfId="29" priority="262"/>
    <cfRule type="duplicateValues" dxfId="28" priority="266"/>
    <cfRule type="duplicateValues" dxfId="27" priority="263"/>
    <cfRule type="duplicateValues" dxfId="26" priority="264"/>
    <cfRule type="duplicateValues" dxfId="25" priority="265"/>
    <cfRule type="duplicateValues" dxfId="24" priority="261"/>
  </conditionalFormatting>
  <conditionalFormatting sqref="C249">
    <cfRule type="duplicateValues" dxfId="23" priority="253"/>
    <cfRule type="duplicateValues" dxfId="22" priority="256"/>
    <cfRule type="duplicateValues" dxfId="21" priority="254"/>
    <cfRule type="duplicateValues" dxfId="20" priority="255"/>
    <cfRule type="duplicateValues" dxfId="19" priority="260"/>
    <cfRule type="duplicateValues" dxfId="18" priority="259"/>
    <cfRule type="duplicateValues" dxfId="17" priority="258"/>
    <cfRule type="duplicateValues" dxfId="16" priority="257"/>
  </conditionalFormatting>
  <conditionalFormatting sqref="D210">
    <cfRule type="duplicateValues" dxfId="15" priority="524"/>
  </conditionalFormatting>
  <conditionalFormatting sqref="D214">
    <cfRule type="duplicateValues" dxfId="14" priority="558"/>
  </conditionalFormatting>
  <conditionalFormatting sqref="D218">
    <cfRule type="duplicateValues" dxfId="13" priority="501"/>
  </conditionalFormatting>
  <conditionalFormatting sqref="D222">
    <cfRule type="duplicateValues" dxfId="12" priority="478"/>
  </conditionalFormatting>
  <conditionalFormatting sqref="D226">
    <cfRule type="duplicateValues" dxfId="11" priority="455"/>
  </conditionalFormatting>
  <conditionalFormatting sqref="A472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1"/>
  <sheetViews>
    <sheetView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Q2" sqref="Q2:Q21"/>
    </sheetView>
  </sheetViews>
  <sheetFormatPr defaultColWidth="9" defaultRowHeight="16.5" x14ac:dyDescent="0.25"/>
  <cols>
    <col min="1" max="1" width="9.08984375" style="14" bestFit="1" customWidth="1"/>
    <col min="2" max="2" width="28.36328125" style="14" bestFit="1" customWidth="1"/>
    <col min="3" max="3" width="10.90625" style="14" customWidth="1"/>
    <col min="4" max="4" width="11.90625" style="14" customWidth="1"/>
    <col min="5" max="5" width="32" style="14" bestFit="1" customWidth="1"/>
    <col min="6" max="6" width="20.08984375" style="14" customWidth="1"/>
    <col min="7" max="7" width="11.453125" style="14" customWidth="1"/>
    <col min="8" max="12" width="9" style="14" customWidth="1"/>
    <col min="13" max="14" width="17.81640625" style="14" bestFit="1" customWidth="1"/>
    <col min="15" max="15" width="9.08984375" style="14" customWidth="1"/>
    <col min="16" max="16" width="21.1796875" style="14" bestFit="1" customWidth="1"/>
    <col min="17" max="17" width="11.453125" style="14" customWidth="1"/>
    <col min="18" max="18" width="9.6328125" style="14" customWidth="1"/>
    <col min="19" max="19" width="13.6328125" style="14" customWidth="1"/>
    <col min="20" max="22" width="9" style="14" customWidth="1"/>
    <col min="23" max="23" width="28.36328125" style="14" bestFit="1" customWidth="1"/>
    <col min="24" max="24" width="9" style="14" customWidth="1"/>
    <col min="25" max="16384" width="9" style="14"/>
  </cols>
  <sheetData>
    <row r="1" spans="1:26" s="3" customFormat="1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G1" s="3" t="s">
        <v>32</v>
      </c>
      <c r="M1" s="3" t="s">
        <v>28</v>
      </c>
      <c r="N1" s="3" t="s">
        <v>33</v>
      </c>
      <c r="O1" s="3" t="s">
        <v>29</v>
      </c>
      <c r="P1" s="3" t="s">
        <v>31</v>
      </c>
      <c r="Q1" s="3" t="s">
        <v>34</v>
      </c>
      <c r="R1" s="3" t="s">
        <v>35</v>
      </c>
      <c r="S1" s="3" t="s">
        <v>36</v>
      </c>
    </row>
    <row r="2" spans="1:26" x14ac:dyDescent="0.25">
      <c r="A2" s="14">
        <v>14101</v>
      </c>
      <c r="B2" s="23" t="str">
        <f>VLOOKUP(A2,[1]道具配置表!$A:$D,4,FALSE)</f>
        <v>陆芊岚</v>
      </c>
      <c r="C2" s="14">
        <v>1</v>
      </c>
      <c r="D2" s="14" t="str">
        <f t="shared" ref="D2:D33" si="0">VLOOKUP(B2,$W:$X,2,FALSE)</f>
        <v>橙</v>
      </c>
      <c r="E2" s="14" t="str">
        <f t="shared" ref="E2:E33" si="1">CONCATENATE(B2,"x",C2)</f>
        <v>陆芊岚x1</v>
      </c>
      <c r="F2" s="14" t="str">
        <f t="shared" ref="F2:F33" si="2">D2&amp;"色道具碎片"&amp;"X"&amp;C2</f>
        <v>橙色道具碎片X1</v>
      </c>
      <c r="G2" s="14">
        <f t="shared" ref="G2:G33" si="3">VLOOKUP(F2,$P$2:$S$21,4,FALSE)</f>
        <v>50</v>
      </c>
      <c r="L2" s="18" t="s">
        <v>37</v>
      </c>
      <c r="M2" s="15" t="s">
        <v>38</v>
      </c>
      <c r="N2" s="18" t="s">
        <v>39</v>
      </c>
      <c r="O2" s="14">
        <v>1</v>
      </c>
      <c r="P2" s="14" t="str">
        <f t="shared" ref="P2:P21" si="4">CONCATENATE($N2,"x",$O2)</f>
        <v>蓝色道具碎片x1</v>
      </c>
      <c r="Q2" s="14">
        <v>6000</v>
      </c>
      <c r="R2" s="14">
        <f t="shared" ref="R2:R21" si="5">COUNTIF(X:X,L2)</f>
        <v>5</v>
      </c>
      <c r="S2" s="14">
        <f t="shared" ref="S2:S21" si="6">INT(Q2/R2)</f>
        <v>1200</v>
      </c>
      <c r="T2" s="15"/>
      <c r="V2" s="23">
        <v>14101</v>
      </c>
      <c r="W2" s="23" t="str">
        <f>VLOOKUP(V2,[1]道具配置表!$A:$D,4,FALSE)</f>
        <v>陆芊岚</v>
      </c>
      <c r="X2" s="14" t="s">
        <v>40</v>
      </c>
      <c r="Y2" s="23">
        <v>14101</v>
      </c>
      <c r="Z2" s="14" t="s">
        <v>41</v>
      </c>
    </row>
    <row r="3" spans="1:26" x14ac:dyDescent="0.25">
      <c r="A3" s="14">
        <v>14105</v>
      </c>
      <c r="B3" s="23" t="str">
        <f>VLOOKUP(A3,[1]道具配置表!$A:$D,4,FALSE)</f>
        <v>顾盼儿</v>
      </c>
      <c r="C3" s="14">
        <v>1</v>
      </c>
      <c r="D3" s="14" t="str">
        <f t="shared" si="0"/>
        <v>橙</v>
      </c>
      <c r="E3" s="14" t="str">
        <f t="shared" si="1"/>
        <v>顾盼儿x1</v>
      </c>
      <c r="F3" s="14" t="str">
        <f t="shared" si="2"/>
        <v>橙色道具碎片X1</v>
      </c>
      <c r="G3" s="14">
        <f t="shared" si="3"/>
        <v>50</v>
      </c>
      <c r="L3" s="18" t="s">
        <v>37</v>
      </c>
      <c r="M3" s="14" t="s">
        <v>38</v>
      </c>
      <c r="N3" s="14" t="s">
        <v>39</v>
      </c>
      <c r="O3" s="14">
        <v>2</v>
      </c>
      <c r="P3" s="14" t="str">
        <f t="shared" si="4"/>
        <v>蓝色道具碎片x2</v>
      </c>
      <c r="Q3" s="14">
        <v>3000</v>
      </c>
      <c r="R3" s="14">
        <f t="shared" si="5"/>
        <v>5</v>
      </c>
      <c r="S3" s="14">
        <f t="shared" si="6"/>
        <v>600</v>
      </c>
      <c r="V3" s="23">
        <v>14105</v>
      </c>
      <c r="W3" s="23" t="str">
        <f>VLOOKUP(V3,[1]道具配置表!$A:$D,4,FALSE)</f>
        <v>顾盼儿</v>
      </c>
      <c r="X3" s="14" t="s">
        <v>40</v>
      </c>
      <c r="Y3" s="23">
        <v>14105</v>
      </c>
      <c r="Z3" s="14" t="s">
        <v>41</v>
      </c>
    </row>
    <row r="4" spans="1:26" x14ac:dyDescent="0.25">
      <c r="A4" s="14">
        <v>14106</v>
      </c>
      <c r="B4" s="23" t="str">
        <f>VLOOKUP(A4,[1]道具配置表!$A:$D,4,FALSE)</f>
        <v>穆离</v>
      </c>
      <c r="C4" s="14">
        <v>1</v>
      </c>
      <c r="D4" s="14" t="str">
        <f t="shared" si="0"/>
        <v>橙</v>
      </c>
      <c r="E4" s="14" t="str">
        <f t="shared" si="1"/>
        <v>穆离x1</v>
      </c>
      <c r="F4" s="14" t="str">
        <f t="shared" si="2"/>
        <v>橙色道具碎片X1</v>
      </c>
      <c r="G4" s="14">
        <f t="shared" si="3"/>
        <v>50</v>
      </c>
      <c r="L4" s="18" t="s">
        <v>37</v>
      </c>
      <c r="M4" s="14" t="s">
        <v>38</v>
      </c>
      <c r="N4" s="14" t="s">
        <v>39</v>
      </c>
      <c r="O4" s="14">
        <v>4</v>
      </c>
      <c r="P4" s="14" t="str">
        <f t="shared" si="4"/>
        <v>蓝色道具碎片x4</v>
      </c>
      <c r="Q4" s="14">
        <v>1500</v>
      </c>
      <c r="R4" s="14">
        <f t="shared" si="5"/>
        <v>5</v>
      </c>
      <c r="S4" s="14">
        <f t="shared" si="6"/>
        <v>300</v>
      </c>
      <c r="V4" s="23">
        <v>14106</v>
      </c>
      <c r="W4" s="23" t="str">
        <f>VLOOKUP(V4,[1]道具配置表!$A:$D,4,FALSE)</f>
        <v>穆离</v>
      </c>
      <c r="X4" s="14" t="s">
        <v>40</v>
      </c>
      <c r="Y4" s="23">
        <v>14106</v>
      </c>
      <c r="Z4" s="14" t="s">
        <v>41</v>
      </c>
    </row>
    <row r="5" spans="1:26" x14ac:dyDescent="0.25">
      <c r="A5" s="14">
        <v>14107</v>
      </c>
      <c r="B5" s="23" t="str">
        <f>VLOOKUP(A5,[1]道具配置表!$A:$D,4,FALSE)</f>
        <v>伊丽莎白</v>
      </c>
      <c r="C5" s="14">
        <v>1</v>
      </c>
      <c r="D5" s="14" t="str">
        <f t="shared" si="0"/>
        <v>橙</v>
      </c>
      <c r="E5" s="14" t="str">
        <f t="shared" si="1"/>
        <v>伊丽莎白x1</v>
      </c>
      <c r="F5" s="14" t="str">
        <f t="shared" si="2"/>
        <v>橙色道具碎片X1</v>
      </c>
      <c r="G5" s="14">
        <f t="shared" si="3"/>
        <v>50</v>
      </c>
      <c r="L5" s="18" t="s">
        <v>37</v>
      </c>
      <c r="M5" s="14" t="s">
        <v>38</v>
      </c>
      <c r="N5" s="14" t="s">
        <v>39</v>
      </c>
      <c r="O5" s="14">
        <v>10</v>
      </c>
      <c r="P5" s="14" t="str">
        <f t="shared" si="4"/>
        <v>蓝色道具碎片x10</v>
      </c>
      <c r="Q5" s="14">
        <v>750</v>
      </c>
      <c r="R5" s="14">
        <f t="shared" si="5"/>
        <v>5</v>
      </c>
      <c r="S5" s="14">
        <f t="shared" si="6"/>
        <v>150</v>
      </c>
      <c r="V5" s="23">
        <v>14107</v>
      </c>
      <c r="W5" s="23" t="str">
        <f>VLOOKUP(V5,[1]道具配置表!$A:$D,4,FALSE)</f>
        <v>伊丽莎白</v>
      </c>
      <c r="X5" s="14" t="s">
        <v>40</v>
      </c>
      <c r="Y5" s="23">
        <v>14107</v>
      </c>
      <c r="Z5" s="14" t="s">
        <v>41</v>
      </c>
    </row>
    <row r="6" spans="1:26" x14ac:dyDescent="0.25">
      <c r="A6" s="14">
        <v>14108</v>
      </c>
      <c r="B6" s="23" t="str">
        <f>VLOOKUP(A6,[1]道具配置表!$A:$D,4,FALSE)</f>
        <v>娜娜丽</v>
      </c>
      <c r="C6" s="14">
        <v>1</v>
      </c>
      <c r="D6" s="14" t="str">
        <f t="shared" si="0"/>
        <v>蓝</v>
      </c>
      <c r="E6" s="14" t="str">
        <f t="shared" si="1"/>
        <v>娜娜丽x1</v>
      </c>
      <c r="F6" s="14" t="str">
        <f t="shared" si="2"/>
        <v>蓝色道具碎片X1</v>
      </c>
      <c r="G6" s="14">
        <f t="shared" si="3"/>
        <v>1200</v>
      </c>
      <c r="L6" s="18" t="s">
        <v>42</v>
      </c>
      <c r="M6" s="14" t="s">
        <v>43</v>
      </c>
      <c r="N6" s="14" t="s">
        <v>44</v>
      </c>
      <c r="O6" s="14">
        <v>1</v>
      </c>
      <c r="P6" s="14" t="str">
        <f t="shared" si="4"/>
        <v>紫色道具碎片x1</v>
      </c>
      <c r="Q6" s="14">
        <v>2000</v>
      </c>
      <c r="R6" s="14">
        <f t="shared" si="5"/>
        <v>12</v>
      </c>
      <c r="S6" s="14">
        <f t="shared" si="6"/>
        <v>166</v>
      </c>
      <c r="V6" s="23">
        <v>14108</v>
      </c>
      <c r="W6" s="23" t="str">
        <f>VLOOKUP(V6,[1]道具配置表!$A:$D,4,FALSE)</f>
        <v>娜娜丽</v>
      </c>
      <c r="X6" s="14" t="s">
        <v>37</v>
      </c>
      <c r="Y6" s="23">
        <v>14108</v>
      </c>
      <c r="Z6" s="14" t="s">
        <v>45</v>
      </c>
    </row>
    <row r="7" spans="1:26" x14ac:dyDescent="0.25">
      <c r="A7" s="14">
        <v>14109</v>
      </c>
      <c r="B7" s="23" t="str">
        <f>VLOOKUP(A7,[1]道具配置表!$A:$D,4,FALSE)</f>
        <v>埃托雷</v>
      </c>
      <c r="C7" s="14">
        <v>1</v>
      </c>
      <c r="D7" s="14" t="str">
        <f t="shared" si="0"/>
        <v>紫</v>
      </c>
      <c r="E7" s="14" t="str">
        <f t="shared" si="1"/>
        <v>埃托雷x1</v>
      </c>
      <c r="F7" s="14" t="str">
        <f t="shared" si="2"/>
        <v>紫色道具碎片X1</v>
      </c>
      <c r="G7" s="14">
        <f t="shared" si="3"/>
        <v>166</v>
      </c>
      <c r="L7" s="18" t="s">
        <v>42</v>
      </c>
      <c r="M7" s="14" t="s">
        <v>43</v>
      </c>
      <c r="N7" s="14" t="s">
        <v>44</v>
      </c>
      <c r="O7" s="14">
        <v>2</v>
      </c>
      <c r="P7" s="14" t="str">
        <f t="shared" si="4"/>
        <v>紫色道具碎片x2</v>
      </c>
      <c r="Q7" s="14">
        <v>1000</v>
      </c>
      <c r="R7" s="14">
        <f t="shared" si="5"/>
        <v>12</v>
      </c>
      <c r="S7" s="14">
        <f t="shared" si="6"/>
        <v>83</v>
      </c>
      <c r="V7" s="23">
        <v>14109</v>
      </c>
      <c r="W7" s="23" t="str">
        <f>VLOOKUP(V7,[1]道具配置表!$A:$D,4,FALSE)</f>
        <v>埃托雷</v>
      </c>
      <c r="X7" s="14" t="s">
        <v>42</v>
      </c>
      <c r="Y7" s="23">
        <v>14109</v>
      </c>
      <c r="Z7" s="14" t="s">
        <v>46</v>
      </c>
    </row>
    <row r="8" spans="1:26" x14ac:dyDescent="0.25">
      <c r="A8" s="14">
        <v>14201</v>
      </c>
      <c r="B8" s="23" t="str">
        <f>VLOOKUP(A8,[1]道具配置表!$A:$D,4,FALSE)</f>
        <v>维托里奥</v>
      </c>
      <c r="C8" s="14">
        <v>1</v>
      </c>
      <c r="D8" s="14" t="str">
        <f t="shared" si="0"/>
        <v>橙</v>
      </c>
      <c r="E8" s="14" t="str">
        <f t="shared" si="1"/>
        <v>维托里奥x1</v>
      </c>
      <c r="F8" s="14" t="str">
        <f t="shared" si="2"/>
        <v>橙色道具碎片X1</v>
      </c>
      <c r="G8" s="14">
        <f t="shared" si="3"/>
        <v>50</v>
      </c>
      <c r="L8" s="18" t="s">
        <v>42</v>
      </c>
      <c r="M8" s="14" t="s">
        <v>43</v>
      </c>
      <c r="N8" s="14" t="s">
        <v>44</v>
      </c>
      <c r="O8" s="14">
        <v>4</v>
      </c>
      <c r="P8" s="14" t="str">
        <f t="shared" si="4"/>
        <v>紫色道具碎片x4</v>
      </c>
      <c r="Q8" s="14">
        <v>500</v>
      </c>
      <c r="R8" s="14">
        <f t="shared" si="5"/>
        <v>12</v>
      </c>
      <c r="S8" s="14">
        <f t="shared" si="6"/>
        <v>41</v>
      </c>
      <c r="V8" s="23">
        <v>14201</v>
      </c>
      <c r="W8" s="23" t="str">
        <f>VLOOKUP(V8,[1]道具配置表!$A:$D,4,FALSE)</f>
        <v>维托里奥</v>
      </c>
      <c r="X8" s="14" t="s">
        <v>40</v>
      </c>
      <c r="Y8" s="23">
        <v>14201</v>
      </c>
      <c r="Z8" s="14" t="s">
        <v>41</v>
      </c>
    </row>
    <row r="9" spans="1:26" x14ac:dyDescent="0.25">
      <c r="A9" s="14">
        <v>14202</v>
      </c>
      <c r="B9" s="23" t="str">
        <f>VLOOKUP(A9,[1]道具配置表!$A:$D,4,FALSE)</f>
        <v>苏安</v>
      </c>
      <c r="C9" s="14">
        <v>1</v>
      </c>
      <c r="D9" s="14" t="str">
        <f t="shared" si="0"/>
        <v>紫</v>
      </c>
      <c r="E9" s="14" t="str">
        <f t="shared" si="1"/>
        <v>苏安x1</v>
      </c>
      <c r="F9" s="14" t="str">
        <f t="shared" si="2"/>
        <v>紫色道具碎片X1</v>
      </c>
      <c r="G9" s="14">
        <f t="shared" si="3"/>
        <v>166</v>
      </c>
      <c r="L9" s="18" t="s">
        <v>42</v>
      </c>
      <c r="M9" s="14" t="s">
        <v>43</v>
      </c>
      <c r="N9" s="14" t="s">
        <v>44</v>
      </c>
      <c r="O9" s="14">
        <v>10</v>
      </c>
      <c r="P9" s="14" t="str">
        <f t="shared" si="4"/>
        <v>紫色道具碎片x10</v>
      </c>
      <c r="Q9" s="14">
        <v>250</v>
      </c>
      <c r="R9" s="14">
        <f t="shared" si="5"/>
        <v>12</v>
      </c>
      <c r="S9" s="14">
        <f t="shared" si="6"/>
        <v>20</v>
      </c>
      <c r="V9" s="23">
        <v>14202</v>
      </c>
      <c r="W9" s="23" t="str">
        <f>VLOOKUP(V9,[1]道具配置表!$A:$D,4,FALSE)</f>
        <v>苏安</v>
      </c>
      <c r="X9" s="14" t="s">
        <v>42</v>
      </c>
      <c r="Y9" s="23">
        <v>14202</v>
      </c>
      <c r="Z9" s="14" t="s">
        <v>46</v>
      </c>
    </row>
    <row r="10" spans="1:26" x14ac:dyDescent="0.25">
      <c r="A10" s="14">
        <v>14203</v>
      </c>
      <c r="B10" s="23" t="str">
        <f>VLOOKUP(A10,[1]道具配置表!$A:$D,4,FALSE)</f>
        <v>范文定</v>
      </c>
      <c r="C10" s="14">
        <v>1</v>
      </c>
      <c r="D10" s="14" t="str">
        <f t="shared" si="0"/>
        <v>稀有橙</v>
      </c>
      <c r="E10" s="14" t="str">
        <f t="shared" si="1"/>
        <v>范文定x1</v>
      </c>
      <c r="F10" s="14" t="str">
        <f t="shared" si="2"/>
        <v>稀有橙色道具碎片X1</v>
      </c>
      <c r="G10" s="14">
        <f t="shared" si="3"/>
        <v>10</v>
      </c>
      <c r="L10" s="18" t="s">
        <v>40</v>
      </c>
      <c r="M10" s="18" t="s">
        <v>47</v>
      </c>
      <c r="N10" s="18" t="s">
        <v>48</v>
      </c>
      <c r="O10" s="14">
        <v>1</v>
      </c>
      <c r="P10" s="14" t="str">
        <f t="shared" si="4"/>
        <v>橙色道具碎片x1</v>
      </c>
      <c r="Q10" s="14">
        <v>300</v>
      </c>
      <c r="R10" s="14">
        <f t="shared" si="5"/>
        <v>6</v>
      </c>
      <c r="S10" s="14">
        <f t="shared" si="6"/>
        <v>50</v>
      </c>
      <c r="V10" s="23">
        <v>14203</v>
      </c>
      <c r="W10" s="23" t="str">
        <f>VLOOKUP(V10,[1]道具配置表!$A:$D,4,FALSE)</f>
        <v>范文定</v>
      </c>
      <c r="X10" s="18" t="s">
        <v>49</v>
      </c>
      <c r="Y10" s="23">
        <v>14203</v>
      </c>
      <c r="Z10" s="14" t="s">
        <v>41</v>
      </c>
    </row>
    <row r="11" spans="1:26" x14ac:dyDescent="0.25">
      <c r="A11" s="14">
        <v>14204</v>
      </c>
      <c r="B11" s="23" t="str">
        <f>VLOOKUP(A11,[1]道具配置表!$A:$D,4,FALSE)</f>
        <v>亚历山德罗</v>
      </c>
      <c r="C11" s="14">
        <v>1</v>
      </c>
      <c r="D11" s="14" t="str">
        <f t="shared" si="0"/>
        <v>稀有橙</v>
      </c>
      <c r="E11" s="14" t="str">
        <f t="shared" si="1"/>
        <v>亚历山德罗x1</v>
      </c>
      <c r="F11" s="14" t="str">
        <f t="shared" si="2"/>
        <v>稀有橙色道具碎片X1</v>
      </c>
      <c r="G11" s="14">
        <f t="shared" si="3"/>
        <v>10</v>
      </c>
      <c r="L11" s="18" t="s">
        <v>40</v>
      </c>
      <c r="M11" s="14" t="s">
        <v>47</v>
      </c>
      <c r="N11" s="14" t="s">
        <v>48</v>
      </c>
      <c r="O11" s="14">
        <v>2</v>
      </c>
      <c r="P11" s="14" t="str">
        <f t="shared" si="4"/>
        <v>橙色道具碎片x2</v>
      </c>
      <c r="Q11" s="14">
        <v>150</v>
      </c>
      <c r="R11" s="14">
        <f t="shared" si="5"/>
        <v>6</v>
      </c>
      <c r="S11" s="14">
        <f t="shared" si="6"/>
        <v>25</v>
      </c>
      <c r="V11" s="23">
        <v>14204</v>
      </c>
      <c r="W11" s="23" t="str">
        <f>VLOOKUP(V11,[1]道具配置表!$A:$D,4,FALSE)</f>
        <v>亚历山德罗</v>
      </c>
      <c r="X11" s="18" t="s">
        <v>49</v>
      </c>
      <c r="Y11" s="23">
        <v>14204</v>
      </c>
      <c r="Z11" s="14" t="s">
        <v>41</v>
      </c>
    </row>
    <row r="12" spans="1:26" x14ac:dyDescent="0.25">
      <c r="A12" s="14">
        <v>14206</v>
      </c>
      <c r="B12" s="23" t="str">
        <f>VLOOKUP(A12,[1]道具配置表!$A:$D,4,FALSE)</f>
        <v>杜若</v>
      </c>
      <c r="C12" s="14">
        <v>1</v>
      </c>
      <c r="D12" s="14" t="str">
        <f t="shared" si="0"/>
        <v>稀有橙</v>
      </c>
      <c r="E12" s="14" t="str">
        <f t="shared" si="1"/>
        <v>杜若x1</v>
      </c>
      <c r="F12" s="14" t="str">
        <f t="shared" si="2"/>
        <v>稀有橙色道具碎片X1</v>
      </c>
      <c r="G12" s="14">
        <f t="shared" si="3"/>
        <v>10</v>
      </c>
      <c r="L12" s="18" t="s">
        <v>40</v>
      </c>
      <c r="M12" s="14" t="s">
        <v>47</v>
      </c>
      <c r="N12" s="14" t="s">
        <v>48</v>
      </c>
      <c r="O12" s="14">
        <v>4</v>
      </c>
      <c r="P12" s="14" t="str">
        <f t="shared" si="4"/>
        <v>橙色道具碎片x4</v>
      </c>
      <c r="Q12" s="14">
        <v>75</v>
      </c>
      <c r="R12" s="14">
        <f t="shared" si="5"/>
        <v>6</v>
      </c>
      <c r="S12" s="14">
        <f t="shared" si="6"/>
        <v>12</v>
      </c>
      <c r="V12" s="23">
        <v>14206</v>
      </c>
      <c r="W12" s="23" t="str">
        <f>VLOOKUP(V12,[1]道具配置表!$A:$D,4,FALSE)</f>
        <v>杜若</v>
      </c>
      <c r="X12" s="18" t="s">
        <v>49</v>
      </c>
      <c r="Y12" s="23">
        <v>14206</v>
      </c>
      <c r="Z12" s="14" t="s">
        <v>41</v>
      </c>
    </row>
    <row r="13" spans="1:26" x14ac:dyDescent="0.25">
      <c r="A13" s="14">
        <v>14207</v>
      </c>
      <c r="B13" s="23" t="str">
        <f>VLOOKUP(A13,[1]道具配置表!$A:$D,4,FALSE)</f>
        <v>艾洛缇丝</v>
      </c>
      <c r="C13" s="14">
        <v>1</v>
      </c>
      <c r="D13" s="14" t="str">
        <f t="shared" si="0"/>
        <v>蓝</v>
      </c>
      <c r="E13" s="14" t="str">
        <f t="shared" si="1"/>
        <v>艾洛缇丝x1</v>
      </c>
      <c r="F13" s="14" t="str">
        <f t="shared" si="2"/>
        <v>蓝色道具碎片X1</v>
      </c>
      <c r="G13" s="14">
        <f t="shared" si="3"/>
        <v>1200</v>
      </c>
      <c r="L13" s="18" t="s">
        <v>40</v>
      </c>
      <c r="M13" s="14" t="s">
        <v>47</v>
      </c>
      <c r="N13" s="14" t="s">
        <v>48</v>
      </c>
      <c r="O13" s="14">
        <v>10</v>
      </c>
      <c r="P13" s="14" t="str">
        <f t="shared" si="4"/>
        <v>橙色道具碎片x10</v>
      </c>
      <c r="Q13" s="14">
        <v>37</v>
      </c>
      <c r="R13" s="14">
        <f t="shared" si="5"/>
        <v>6</v>
      </c>
      <c r="S13" s="14">
        <f t="shared" si="6"/>
        <v>6</v>
      </c>
      <c r="V13" s="23">
        <v>14207</v>
      </c>
      <c r="W13" s="23" t="str">
        <f>VLOOKUP(V13,[1]道具配置表!$A:$D,4,FALSE)</f>
        <v>艾洛缇丝</v>
      </c>
      <c r="X13" s="14" t="s">
        <v>37</v>
      </c>
      <c r="Y13" s="23">
        <v>14207</v>
      </c>
      <c r="Z13" s="14" t="s">
        <v>45</v>
      </c>
    </row>
    <row r="14" spans="1:26" x14ac:dyDescent="0.25">
      <c r="A14" s="14">
        <v>14301</v>
      </c>
      <c r="B14" s="23" t="str">
        <f>VLOOKUP(A14,[1]道具配置表!$A:$D,4,FALSE)</f>
        <v>梅芙</v>
      </c>
      <c r="C14" s="14">
        <v>1</v>
      </c>
      <c r="D14" s="14" t="str">
        <f t="shared" si="0"/>
        <v>蓝</v>
      </c>
      <c r="E14" s="14" t="str">
        <f t="shared" si="1"/>
        <v>梅芙x1</v>
      </c>
      <c r="F14" s="14" t="str">
        <f t="shared" si="2"/>
        <v>蓝色道具碎片X1</v>
      </c>
      <c r="G14" s="14">
        <f t="shared" si="3"/>
        <v>1200</v>
      </c>
      <c r="L14" s="18" t="s">
        <v>49</v>
      </c>
      <c r="M14" s="18" t="s">
        <v>50</v>
      </c>
      <c r="N14" s="18" t="s">
        <v>51</v>
      </c>
      <c r="O14" s="14">
        <v>1</v>
      </c>
      <c r="P14" s="14" t="str">
        <f t="shared" si="4"/>
        <v>稀有橙色道具碎片x1</v>
      </c>
      <c r="Q14" s="14">
        <v>60</v>
      </c>
      <c r="R14" s="14">
        <f t="shared" si="5"/>
        <v>6</v>
      </c>
      <c r="S14" s="14">
        <f t="shared" si="6"/>
        <v>10</v>
      </c>
      <c r="V14" s="23">
        <v>14301</v>
      </c>
      <c r="W14" s="23" t="str">
        <f>VLOOKUP(V14,[1]道具配置表!$A:$D,4,FALSE)</f>
        <v>梅芙</v>
      </c>
      <c r="X14" s="14" t="s">
        <v>37</v>
      </c>
      <c r="Y14" s="23">
        <v>14301</v>
      </c>
      <c r="Z14" s="14" t="s">
        <v>45</v>
      </c>
    </row>
    <row r="15" spans="1:26" x14ac:dyDescent="0.25">
      <c r="A15" s="14">
        <v>14302</v>
      </c>
      <c r="B15" s="23" t="str">
        <f>VLOOKUP(A15,[1]道具配置表!$A:$D,4,FALSE)</f>
        <v>卡尔维斯</v>
      </c>
      <c r="C15" s="14">
        <v>1</v>
      </c>
      <c r="D15" s="14" t="str">
        <f t="shared" si="0"/>
        <v>紫</v>
      </c>
      <c r="E15" s="14" t="str">
        <f t="shared" si="1"/>
        <v>卡尔维斯x1</v>
      </c>
      <c r="F15" s="14" t="str">
        <f t="shared" si="2"/>
        <v>紫色道具碎片X1</v>
      </c>
      <c r="G15" s="14">
        <f t="shared" si="3"/>
        <v>166</v>
      </c>
      <c r="L15" s="18" t="s">
        <v>49</v>
      </c>
      <c r="M15" s="18" t="s">
        <v>50</v>
      </c>
      <c r="N15" s="18" t="s">
        <v>51</v>
      </c>
      <c r="O15" s="14">
        <v>2</v>
      </c>
      <c r="P15" s="14" t="str">
        <f t="shared" si="4"/>
        <v>稀有橙色道具碎片x2</v>
      </c>
      <c r="Q15" s="14">
        <v>30</v>
      </c>
      <c r="R15" s="14">
        <f t="shared" si="5"/>
        <v>6</v>
      </c>
      <c r="S15" s="14">
        <f t="shared" si="6"/>
        <v>5</v>
      </c>
      <c r="V15" s="23">
        <v>14302</v>
      </c>
      <c r="W15" s="23" t="str">
        <f>VLOOKUP(V15,[1]道具配置表!$A:$D,4,FALSE)</f>
        <v>卡尔维斯</v>
      </c>
      <c r="X15" s="14" t="s">
        <v>42</v>
      </c>
      <c r="Y15" s="23">
        <v>14302</v>
      </c>
      <c r="Z15" s="14" t="s">
        <v>46</v>
      </c>
    </row>
    <row r="16" spans="1:26" x14ac:dyDescent="0.25">
      <c r="A16" s="14">
        <v>14303</v>
      </c>
      <c r="B16" s="23" t="str">
        <f>VLOOKUP(A16,[1]道具配置表!$A:$D,4,FALSE)</f>
        <v>霍尔格</v>
      </c>
      <c r="C16" s="14">
        <v>1</v>
      </c>
      <c r="D16" s="14" t="str">
        <f t="shared" si="0"/>
        <v>紫</v>
      </c>
      <c r="E16" s="14" t="str">
        <f t="shared" si="1"/>
        <v>霍尔格x1</v>
      </c>
      <c r="F16" s="14" t="str">
        <f t="shared" si="2"/>
        <v>紫色道具碎片X1</v>
      </c>
      <c r="G16" s="14">
        <f t="shared" si="3"/>
        <v>166</v>
      </c>
      <c r="L16" s="18" t="s">
        <v>49</v>
      </c>
      <c r="M16" s="18" t="s">
        <v>50</v>
      </c>
      <c r="N16" s="18" t="s">
        <v>51</v>
      </c>
      <c r="O16" s="14">
        <v>4</v>
      </c>
      <c r="P16" s="14" t="str">
        <f t="shared" si="4"/>
        <v>稀有橙色道具碎片x4</v>
      </c>
      <c r="Q16" s="14">
        <v>15</v>
      </c>
      <c r="R16" s="14">
        <f t="shared" si="5"/>
        <v>6</v>
      </c>
      <c r="S16" s="14">
        <f t="shared" si="6"/>
        <v>2</v>
      </c>
      <c r="V16" s="23">
        <v>14303</v>
      </c>
      <c r="W16" s="23" t="str">
        <f>VLOOKUP(V16,[1]道具配置表!$A:$D,4,FALSE)</f>
        <v>霍尔格</v>
      </c>
      <c r="X16" s="14" t="s">
        <v>42</v>
      </c>
      <c r="Y16" s="23">
        <v>14303</v>
      </c>
      <c r="Z16" s="14" t="s">
        <v>46</v>
      </c>
    </row>
    <row r="17" spans="1:26" x14ac:dyDescent="0.25">
      <c r="A17" s="14">
        <v>14304</v>
      </c>
      <c r="B17" s="23" t="str">
        <f>VLOOKUP(A17,[1]道具配置表!$A:$D,4,FALSE)</f>
        <v>沐南风</v>
      </c>
      <c r="C17" s="14">
        <v>1</v>
      </c>
      <c r="D17" s="14" t="str">
        <f t="shared" si="0"/>
        <v>紫</v>
      </c>
      <c r="E17" s="14" t="str">
        <f t="shared" si="1"/>
        <v>沐南风x1</v>
      </c>
      <c r="F17" s="14" t="str">
        <f t="shared" si="2"/>
        <v>紫色道具碎片X1</v>
      </c>
      <c r="G17" s="14">
        <f t="shared" si="3"/>
        <v>166</v>
      </c>
      <c r="L17" s="18" t="s">
        <v>49</v>
      </c>
      <c r="M17" s="18" t="s">
        <v>50</v>
      </c>
      <c r="N17" s="18" t="s">
        <v>51</v>
      </c>
      <c r="O17" s="14">
        <v>10</v>
      </c>
      <c r="P17" s="14" t="str">
        <f t="shared" si="4"/>
        <v>稀有橙色道具碎片x10</v>
      </c>
      <c r="Q17" s="14">
        <v>7</v>
      </c>
      <c r="R17" s="14">
        <f t="shared" si="5"/>
        <v>6</v>
      </c>
      <c r="S17" s="14">
        <f t="shared" si="6"/>
        <v>1</v>
      </c>
      <c r="V17" s="23">
        <v>14304</v>
      </c>
      <c r="W17" s="23" t="str">
        <f>VLOOKUP(V17,[1]道具配置表!$A:$D,4,FALSE)</f>
        <v>沐南风</v>
      </c>
      <c r="X17" s="14" t="s">
        <v>42</v>
      </c>
      <c r="Y17" s="23">
        <v>14304</v>
      </c>
      <c r="Z17" s="14" t="s">
        <v>46</v>
      </c>
    </row>
    <row r="18" spans="1:26" x14ac:dyDescent="0.25">
      <c r="A18" s="14">
        <v>14305</v>
      </c>
      <c r="B18" s="23" t="str">
        <f>VLOOKUP(A18,[1]道具配置表!$A:$D,4,FALSE)</f>
        <v>拉维妮娅</v>
      </c>
      <c r="C18" s="14">
        <v>1</v>
      </c>
      <c r="D18" s="14" t="str">
        <f t="shared" si="0"/>
        <v>紫</v>
      </c>
      <c r="E18" s="14" t="str">
        <f t="shared" si="1"/>
        <v>拉维妮娅x1</v>
      </c>
      <c r="F18" s="14" t="str">
        <f t="shared" si="2"/>
        <v>紫色道具碎片X1</v>
      </c>
      <c r="G18" s="14">
        <f t="shared" si="3"/>
        <v>166</v>
      </c>
      <c r="L18" s="18" t="s">
        <v>52</v>
      </c>
      <c r="M18" s="18" t="s">
        <v>53</v>
      </c>
      <c r="N18" s="18" t="s">
        <v>54</v>
      </c>
      <c r="O18" s="14">
        <v>1</v>
      </c>
      <c r="P18" s="14" t="str">
        <f t="shared" si="4"/>
        <v>绿色道具碎片x1</v>
      </c>
      <c r="Q18" s="14">
        <v>4000</v>
      </c>
      <c r="R18" s="14">
        <f t="shared" si="5"/>
        <v>1</v>
      </c>
      <c r="S18" s="14">
        <f t="shared" si="6"/>
        <v>4000</v>
      </c>
      <c r="V18" s="23">
        <v>14305</v>
      </c>
      <c r="W18" s="23" t="str">
        <f>VLOOKUP(V18,[1]道具配置表!$A:$D,4,FALSE)</f>
        <v>拉维妮娅</v>
      </c>
      <c r="X18" s="14" t="s">
        <v>42</v>
      </c>
      <c r="Y18" s="23">
        <v>14305</v>
      </c>
      <c r="Z18" s="14" t="s">
        <v>46</v>
      </c>
    </row>
    <row r="19" spans="1:26" x14ac:dyDescent="0.25">
      <c r="A19" s="14">
        <v>14306</v>
      </c>
      <c r="B19" s="23" t="str">
        <f>VLOOKUP(A19,[1]道具配置表!$A:$D,4,FALSE)</f>
        <v>杰拉尔德</v>
      </c>
      <c r="C19" s="14">
        <v>1</v>
      </c>
      <c r="D19" s="14" t="str">
        <f t="shared" si="0"/>
        <v>紫</v>
      </c>
      <c r="E19" s="14" t="str">
        <f t="shared" si="1"/>
        <v>杰拉尔德x1</v>
      </c>
      <c r="F19" s="14" t="str">
        <f t="shared" si="2"/>
        <v>紫色道具碎片X1</v>
      </c>
      <c r="G19" s="14">
        <f t="shared" si="3"/>
        <v>166</v>
      </c>
      <c r="L19" s="18" t="s">
        <v>52</v>
      </c>
      <c r="M19" s="15" t="s">
        <v>53</v>
      </c>
      <c r="N19" s="18" t="s">
        <v>54</v>
      </c>
      <c r="O19" s="14">
        <v>2</v>
      </c>
      <c r="P19" s="14" t="str">
        <f t="shared" si="4"/>
        <v>绿色道具碎片x2</v>
      </c>
      <c r="Q19" s="14">
        <v>2000</v>
      </c>
      <c r="R19" s="14">
        <f t="shared" si="5"/>
        <v>1</v>
      </c>
      <c r="S19" s="14">
        <f t="shared" si="6"/>
        <v>2000</v>
      </c>
      <c r="V19" s="23">
        <v>14306</v>
      </c>
      <c r="W19" s="23" t="str">
        <f>VLOOKUP(V19,[1]道具配置表!$A:$D,4,FALSE)</f>
        <v>杰拉尔德</v>
      </c>
      <c r="X19" s="14" t="s">
        <v>42</v>
      </c>
      <c r="Y19" s="23">
        <v>14306</v>
      </c>
      <c r="Z19" s="14" t="s">
        <v>46</v>
      </c>
    </row>
    <row r="20" spans="1:26" x14ac:dyDescent="0.25">
      <c r="A20" s="14">
        <v>14307</v>
      </c>
      <c r="B20" s="23" t="str">
        <f>VLOOKUP(A20,[1]道具配置表!$A:$D,4,FALSE)</f>
        <v>元元公主</v>
      </c>
      <c r="C20" s="14">
        <v>1</v>
      </c>
      <c r="D20" s="14" t="str">
        <f t="shared" si="0"/>
        <v>紫</v>
      </c>
      <c r="E20" s="14" t="str">
        <f t="shared" si="1"/>
        <v>元元公主x1</v>
      </c>
      <c r="F20" s="14" t="str">
        <f t="shared" si="2"/>
        <v>紫色道具碎片X1</v>
      </c>
      <c r="G20" s="14">
        <f t="shared" si="3"/>
        <v>166</v>
      </c>
      <c r="L20" s="18" t="s">
        <v>52</v>
      </c>
      <c r="M20" s="15" t="s">
        <v>53</v>
      </c>
      <c r="N20" s="18" t="s">
        <v>54</v>
      </c>
      <c r="O20" s="14">
        <v>4</v>
      </c>
      <c r="P20" s="14" t="str">
        <f t="shared" si="4"/>
        <v>绿色道具碎片x4</v>
      </c>
      <c r="Q20" s="14">
        <v>1000</v>
      </c>
      <c r="R20" s="14">
        <f t="shared" si="5"/>
        <v>1</v>
      </c>
      <c r="S20" s="14">
        <f t="shared" si="6"/>
        <v>1000</v>
      </c>
      <c r="V20" s="23">
        <v>14307</v>
      </c>
      <c r="W20" s="23" t="str">
        <f>VLOOKUP(V20,[1]道具配置表!$A:$D,4,FALSE)</f>
        <v>元元公主</v>
      </c>
      <c r="X20" s="14" t="s">
        <v>42</v>
      </c>
      <c r="Y20" s="23">
        <v>14307</v>
      </c>
      <c r="Z20" s="14" t="s">
        <v>46</v>
      </c>
    </row>
    <row r="21" spans="1:26" x14ac:dyDescent="0.25">
      <c r="A21" s="14">
        <v>14308</v>
      </c>
      <c r="B21" s="23" t="str">
        <f>VLOOKUP(A21,[1]道具配置表!$A:$D,4,FALSE)</f>
        <v>卢卡</v>
      </c>
      <c r="C21" s="14">
        <v>1</v>
      </c>
      <c r="D21" s="14" t="str">
        <f t="shared" si="0"/>
        <v>紫</v>
      </c>
      <c r="E21" s="14" t="str">
        <f t="shared" si="1"/>
        <v>卢卡x1</v>
      </c>
      <c r="F21" s="14" t="str">
        <f t="shared" si="2"/>
        <v>紫色道具碎片X1</v>
      </c>
      <c r="G21" s="14">
        <f t="shared" si="3"/>
        <v>166</v>
      </c>
      <c r="L21" s="18" t="s">
        <v>52</v>
      </c>
      <c r="M21" s="14" t="s">
        <v>53</v>
      </c>
      <c r="N21" s="18" t="s">
        <v>54</v>
      </c>
      <c r="O21" s="14">
        <v>10</v>
      </c>
      <c r="P21" s="14" t="str">
        <f t="shared" si="4"/>
        <v>绿色道具碎片x10</v>
      </c>
      <c r="Q21" s="14">
        <v>500</v>
      </c>
      <c r="R21" s="14">
        <f t="shared" si="5"/>
        <v>1</v>
      </c>
      <c r="S21" s="14">
        <f t="shared" si="6"/>
        <v>500</v>
      </c>
      <c r="V21" s="23">
        <v>14308</v>
      </c>
      <c r="W21" s="23" t="str">
        <f>VLOOKUP(V21,[1]道具配置表!$A:$D,4,FALSE)</f>
        <v>卢卡</v>
      </c>
      <c r="X21" s="14" t="s">
        <v>42</v>
      </c>
      <c r="Y21" s="23">
        <v>14308</v>
      </c>
      <c r="Z21" s="14" t="s">
        <v>46</v>
      </c>
    </row>
    <row r="22" spans="1:26" x14ac:dyDescent="0.25">
      <c r="A22" s="14">
        <v>14309</v>
      </c>
      <c r="B22" s="23" t="str">
        <f>VLOOKUP(A22,[1]道具配置表!$A:$D,4,FALSE)</f>
        <v>爱德华多</v>
      </c>
      <c r="C22" s="14">
        <v>1</v>
      </c>
      <c r="D22" s="14" t="str">
        <f t="shared" si="0"/>
        <v>紫</v>
      </c>
      <c r="E22" s="14" t="str">
        <f t="shared" si="1"/>
        <v>爱德华多x1</v>
      </c>
      <c r="F22" s="14" t="str">
        <f t="shared" si="2"/>
        <v>紫色道具碎片X1</v>
      </c>
      <c r="G22" s="14">
        <f t="shared" si="3"/>
        <v>166</v>
      </c>
      <c r="V22" s="23">
        <v>14309</v>
      </c>
      <c r="W22" s="23" t="str">
        <f>VLOOKUP(V22,[1]道具配置表!$A:$D,4,FALSE)</f>
        <v>爱德华多</v>
      </c>
      <c r="X22" s="14" t="s">
        <v>42</v>
      </c>
      <c r="Y22" s="23">
        <v>14309</v>
      </c>
      <c r="Z22" s="14" t="s">
        <v>46</v>
      </c>
    </row>
    <row r="23" spans="1:26" x14ac:dyDescent="0.25">
      <c r="A23" s="14">
        <v>14312</v>
      </c>
      <c r="B23" s="23" t="str">
        <f>VLOOKUP(A23,[1]道具配置表!$A:$D,4,FALSE)</f>
        <v>鱼妙妙</v>
      </c>
      <c r="C23" s="14">
        <v>1</v>
      </c>
      <c r="D23" s="14" t="str">
        <f t="shared" si="0"/>
        <v>橙</v>
      </c>
      <c r="E23" s="14" t="str">
        <f t="shared" si="1"/>
        <v>鱼妙妙x1</v>
      </c>
      <c r="F23" s="14" t="str">
        <f t="shared" si="2"/>
        <v>橙色道具碎片X1</v>
      </c>
      <c r="G23" s="14">
        <f t="shared" si="3"/>
        <v>50</v>
      </c>
      <c r="V23" s="23">
        <v>14312</v>
      </c>
      <c r="W23" s="23" t="str">
        <f>VLOOKUP(V23,[1]道具配置表!$A:$D,4,FALSE)</f>
        <v>鱼妙妙</v>
      </c>
      <c r="X23" s="18" t="s">
        <v>40</v>
      </c>
      <c r="Y23" s="23">
        <v>14312</v>
      </c>
      <c r="Z23" s="14" t="s">
        <v>41</v>
      </c>
    </row>
    <row r="24" spans="1:26" x14ac:dyDescent="0.25">
      <c r="A24" s="14">
        <v>14313</v>
      </c>
      <c r="B24" s="23" t="str">
        <f>VLOOKUP(A24,[1]道具配置表!$A:$D,4,FALSE)</f>
        <v>玛丽夫人</v>
      </c>
      <c r="C24" s="14">
        <v>1</v>
      </c>
      <c r="D24" s="14" t="str">
        <f t="shared" si="0"/>
        <v>紫</v>
      </c>
      <c r="E24" s="14" t="str">
        <f t="shared" si="1"/>
        <v>玛丽夫人x1</v>
      </c>
      <c r="F24" s="14" t="str">
        <f t="shared" si="2"/>
        <v>紫色道具碎片X1</v>
      </c>
      <c r="G24" s="14">
        <f t="shared" si="3"/>
        <v>166</v>
      </c>
      <c r="V24" s="23">
        <v>14313</v>
      </c>
      <c r="W24" s="23" t="str">
        <f>VLOOKUP(V24,[1]道具配置表!$A:$D,4,FALSE)</f>
        <v>玛丽夫人</v>
      </c>
      <c r="X24" s="14" t="s">
        <v>42</v>
      </c>
      <c r="Y24" s="23">
        <v>14313</v>
      </c>
      <c r="Z24" s="14" t="s">
        <v>46</v>
      </c>
    </row>
    <row r="25" spans="1:26" x14ac:dyDescent="0.25">
      <c r="A25" s="14">
        <v>14314</v>
      </c>
      <c r="B25" s="23" t="str">
        <f>VLOOKUP(A25,[1]道具配置表!$A:$D,4,FALSE)</f>
        <v>琼鸣玉</v>
      </c>
      <c r="C25" s="14">
        <v>1</v>
      </c>
      <c r="D25" s="14" t="str">
        <f t="shared" si="0"/>
        <v>蓝</v>
      </c>
      <c r="E25" s="14" t="str">
        <f t="shared" si="1"/>
        <v>琼鸣玉x1</v>
      </c>
      <c r="F25" s="14" t="str">
        <f t="shared" si="2"/>
        <v>蓝色道具碎片X1</v>
      </c>
      <c r="G25" s="14">
        <f t="shared" si="3"/>
        <v>1200</v>
      </c>
      <c r="V25" s="23">
        <v>14314</v>
      </c>
      <c r="W25" s="23" t="str">
        <f>VLOOKUP(V25,[1]道具配置表!$A:$D,4,FALSE)</f>
        <v>琼鸣玉</v>
      </c>
      <c r="X25" s="14" t="s">
        <v>37</v>
      </c>
      <c r="Y25" s="23">
        <v>14314</v>
      </c>
      <c r="Z25" s="14" t="s">
        <v>45</v>
      </c>
    </row>
    <row r="26" spans="1:26" x14ac:dyDescent="0.25">
      <c r="A26" s="14">
        <v>14315</v>
      </c>
      <c r="B26" s="23" t="str">
        <f>VLOOKUP(A26,[1]道具配置表!$A:$D,4,FALSE)</f>
        <v>姚清珏</v>
      </c>
      <c r="C26" s="14">
        <v>1</v>
      </c>
      <c r="D26" s="14" t="str">
        <f t="shared" si="0"/>
        <v>稀有橙</v>
      </c>
      <c r="E26" s="14" t="str">
        <f t="shared" si="1"/>
        <v>姚清珏x1</v>
      </c>
      <c r="F26" s="14" t="str">
        <f t="shared" si="2"/>
        <v>稀有橙色道具碎片X1</v>
      </c>
      <c r="G26" s="14">
        <f t="shared" si="3"/>
        <v>10</v>
      </c>
      <c r="V26" s="23">
        <v>14315</v>
      </c>
      <c r="W26" s="23" t="str">
        <f>VLOOKUP(V26,[1]道具配置表!$A:$D,4,FALSE)</f>
        <v>姚清珏</v>
      </c>
      <c r="X26" s="18" t="s">
        <v>49</v>
      </c>
      <c r="Y26" s="23">
        <v>14315</v>
      </c>
      <c r="Z26" s="14" t="s">
        <v>41</v>
      </c>
    </row>
    <row r="27" spans="1:26" x14ac:dyDescent="0.25">
      <c r="A27" s="14">
        <v>14316</v>
      </c>
      <c r="B27" s="23" t="str">
        <f>VLOOKUP(A27,[1]道具配置表!$A:$D,4,FALSE)</f>
        <v>姬闾</v>
      </c>
      <c r="C27" s="14">
        <v>1</v>
      </c>
      <c r="D27" s="14" t="str">
        <f t="shared" si="0"/>
        <v>紫</v>
      </c>
      <c r="E27" s="14" t="str">
        <f t="shared" si="1"/>
        <v>姬闾x1</v>
      </c>
      <c r="F27" s="14" t="str">
        <f t="shared" si="2"/>
        <v>紫色道具碎片X1</v>
      </c>
      <c r="G27" s="14">
        <f t="shared" si="3"/>
        <v>166</v>
      </c>
      <c r="V27" s="23">
        <v>14316</v>
      </c>
      <c r="W27" s="23" t="str">
        <f>VLOOKUP(V27,[1]道具配置表!$A:$D,4,FALSE)</f>
        <v>姬闾</v>
      </c>
      <c r="X27" s="14" t="s">
        <v>42</v>
      </c>
      <c r="Y27" s="23">
        <v>14316</v>
      </c>
      <c r="Z27" s="14" t="s">
        <v>46</v>
      </c>
    </row>
    <row r="28" spans="1:26" x14ac:dyDescent="0.25">
      <c r="A28" s="14">
        <v>14317</v>
      </c>
      <c r="B28" s="23" t="str">
        <f>VLOOKUP(A28,[1]道具配置表!$A:$D,4,FALSE)</f>
        <v>卡多姆</v>
      </c>
      <c r="C28" s="14">
        <v>1</v>
      </c>
      <c r="D28" s="14" t="str">
        <f t="shared" si="0"/>
        <v>稀有橙</v>
      </c>
      <c r="E28" s="14" t="str">
        <f t="shared" si="1"/>
        <v>卡多姆x1</v>
      </c>
      <c r="F28" s="14" t="str">
        <f t="shared" si="2"/>
        <v>稀有橙色道具碎片X1</v>
      </c>
      <c r="G28" s="14">
        <f t="shared" si="3"/>
        <v>10</v>
      </c>
      <c r="V28" s="23">
        <v>14317</v>
      </c>
      <c r="W28" s="23" t="str">
        <f>VLOOKUP(V28,[1]道具配置表!$A:$D,4,FALSE)</f>
        <v>卡多姆</v>
      </c>
      <c r="X28" s="18" t="s">
        <v>49</v>
      </c>
      <c r="Y28" s="23">
        <v>14317</v>
      </c>
      <c r="Z28" s="18" t="s">
        <v>41</v>
      </c>
    </row>
    <row r="29" spans="1:26" x14ac:dyDescent="0.25">
      <c r="A29" s="14">
        <v>14318</v>
      </c>
      <c r="B29" s="23" t="str">
        <f>VLOOKUP(A29,[1]道具配置表!$A:$D,4,FALSE)</f>
        <v>巴希斯</v>
      </c>
      <c r="C29" s="14">
        <v>1</v>
      </c>
      <c r="D29" s="14" t="str">
        <f t="shared" si="0"/>
        <v>稀有橙</v>
      </c>
      <c r="E29" s="14" t="str">
        <f t="shared" si="1"/>
        <v>巴希斯x1</v>
      </c>
      <c r="F29" s="14" t="str">
        <f t="shared" si="2"/>
        <v>稀有橙色道具碎片X1</v>
      </c>
      <c r="G29" s="14">
        <f t="shared" si="3"/>
        <v>10</v>
      </c>
      <c r="V29" s="23">
        <v>14318</v>
      </c>
      <c r="W29" s="23" t="str">
        <f>VLOOKUP(V29,[1]道具配置表!$A:$D,4,FALSE)</f>
        <v>巴希斯</v>
      </c>
      <c r="X29" s="18" t="s">
        <v>49</v>
      </c>
      <c r="Y29" s="23">
        <v>14318</v>
      </c>
      <c r="Z29" s="18" t="s">
        <v>41</v>
      </c>
    </row>
    <row r="30" spans="1:26" x14ac:dyDescent="0.25">
      <c r="A30" s="14">
        <v>14319</v>
      </c>
      <c r="B30" s="23" t="str">
        <f>VLOOKUP(A30,[1]道具配置表!$A:$D,4,FALSE)</f>
        <v>约恩</v>
      </c>
      <c r="C30" s="14">
        <v>1</v>
      </c>
      <c r="D30" s="14" t="str">
        <f t="shared" si="0"/>
        <v>蓝</v>
      </c>
      <c r="E30" s="14" t="str">
        <f t="shared" si="1"/>
        <v>约恩x1</v>
      </c>
      <c r="F30" s="14" t="str">
        <f t="shared" si="2"/>
        <v>蓝色道具碎片X1</v>
      </c>
      <c r="G30" s="14">
        <f t="shared" si="3"/>
        <v>1200</v>
      </c>
      <c r="V30" s="23">
        <v>14319</v>
      </c>
      <c r="W30" s="23" t="str">
        <f>VLOOKUP(V30,[1]道具配置表!$A:$D,4,FALSE)</f>
        <v>约恩</v>
      </c>
      <c r="X30" s="18" t="s">
        <v>37</v>
      </c>
      <c r="Y30" s="23">
        <v>14319</v>
      </c>
      <c r="Z30" s="18" t="s">
        <v>45</v>
      </c>
    </row>
    <row r="31" spans="1:26" x14ac:dyDescent="0.25">
      <c r="A31" s="14">
        <v>17200</v>
      </c>
      <c r="B31" s="23" t="str">
        <f>VLOOKUP(A31,[1]道具配置表!$A:$D,4,FALSE)</f>
        <v>名人博学值+100</v>
      </c>
      <c r="C31" s="14">
        <v>1</v>
      </c>
      <c r="D31" s="14" t="str">
        <f t="shared" si="0"/>
        <v>绿</v>
      </c>
      <c r="E31" s="14" t="str">
        <f t="shared" si="1"/>
        <v>名人博学值+100x1</v>
      </c>
      <c r="F31" s="14" t="str">
        <f t="shared" si="2"/>
        <v>绿色道具碎片X1</v>
      </c>
      <c r="G31" s="14">
        <f t="shared" si="3"/>
        <v>4000</v>
      </c>
      <c r="V31" s="14">
        <v>17200</v>
      </c>
      <c r="W31" s="23" t="str">
        <f>VLOOKUP(V31,[1]道具配置表!$A:$D,4,FALSE)</f>
        <v>名人博学值+100</v>
      </c>
      <c r="X31" s="18" t="s">
        <v>52</v>
      </c>
      <c r="Y31" s="14">
        <v>17200</v>
      </c>
    </row>
    <row r="32" spans="1:26" x14ac:dyDescent="0.25">
      <c r="A32" s="14">
        <f t="shared" ref="A32:A63" si="7">A2</f>
        <v>14101</v>
      </c>
      <c r="B32" s="23" t="str">
        <f>VLOOKUP(A32,[1]道具配置表!$A:$D,4,FALSE)</f>
        <v>陆芊岚</v>
      </c>
      <c r="C32" s="14">
        <v>2</v>
      </c>
      <c r="D32" s="14" t="str">
        <f t="shared" si="0"/>
        <v>橙</v>
      </c>
      <c r="E32" s="14" t="str">
        <f t="shared" si="1"/>
        <v>陆芊岚x2</v>
      </c>
      <c r="F32" s="14" t="str">
        <f t="shared" si="2"/>
        <v>橙色道具碎片X2</v>
      </c>
      <c r="G32" s="14">
        <f t="shared" si="3"/>
        <v>25</v>
      </c>
    </row>
    <row r="33" spans="1:7" x14ac:dyDescent="0.25">
      <c r="A33" s="14">
        <f t="shared" si="7"/>
        <v>14105</v>
      </c>
      <c r="B33" s="23" t="str">
        <f>VLOOKUP(A33,[1]道具配置表!$A:$D,4,FALSE)</f>
        <v>顾盼儿</v>
      </c>
      <c r="C33" s="14">
        <v>2</v>
      </c>
      <c r="D33" s="14" t="str">
        <f t="shared" si="0"/>
        <v>橙</v>
      </c>
      <c r="E33" s="14" t="str">
        <f t="shared" si="1"/>
        <v>顾盼儿x2</v>
      </c>
      <c r="F33" s="14" t="str">
        <f t="shared" si="2"/>
        <v>橙色道具碎片X2</v>
      </c>
      <c r="G33" s="14">
        <f t="shared" si="3"/>
        <v>25</v>
      </c>
    </row>
    <row r="34" spans="1:7" x14ac:dyDescent="0.25">
      <c r="A34" s="14">
        <f t="shared" si="7"/>
        <v>14106</v>
      </c>
      <c r="B34" s="23" t="str">
        <f>VLOOKUP(A34,[1]道具配置表!$A:$D,4,FALSE)</f>
        <v>穆离</v>
      </c>
      <c r="C34" s="14">
        <v>2</v>
      </c>
      <c r="D34" s="14" t="str">
        <f t="shared" ref="D34:D65" si="8">VLOOKUP(B34,$W:$X,2,FALSE)</f>
        <v>橙</v>
      </c>
      <c r="E34" s="14" t="str">
        <f t="shared" ref="E34:E65" si="9">CONCATENATE(B34,"x",C34)</f>
        <v>穆离x2</v>
      </c>
      <c r="F34" s="14" t="str">
        <f t="shared" ref="F34:F65" si="10">D34&amp;"色道具碎片"&amp;"X"&amp;C34</f>
        <v>橙色道具碎片X2</v>
      </c>
      <c r="G34" s="14">
        <f t="shared" ref="G34:G65" si="11">VLOOKUP(F34,$P$2:$S$21,4,FALSE)</f>
        <v>25</v>
      </c>
    </row>
    <row r="35" spans="1:7" x14ac:dyDescent="0.25">
      <c r="A35" s="14">
        <f t="shared" si="7"/>
        <v>14107</v>
      </c>
      <c r="B35" s="23" t="str">
        <f>VLOOKUP(A35,[1]道具配置表!$A:$D,4,FALSE)</f>
        <v>伊丽莎白</v>
      </c>
      <c r="C35" s="14">
        <v>2</v>
      </c>
      <c r="D35" s="14" t="str">
        <f t="shared" si="8"/>
        <v>橙</v>
      </c>
      <c r="E35" s="14" t="str">
        <f t="shared" si="9"/>
        <v>伊丽莎白x2</v>
      </c>
      <c r="F35" s="14" t="str">
        <f t="shared" si="10"/>
        <v>橙色道具碎片X2</v>
      </c>
      <c r="G35" s="14">
        <f t="shared" si="11"/>
        <v>25</v>
      </c>
    </row>
    <row r="36" spans="1:7" x14ac:dyDescent="0.25">
      <c r="A36" s="14">
        <f t="shared" si="7"/>
        <v>14108</v>
      </c>
      <c r="B36" s="23" t="str">
        <f>VLOOKUP(A36,[1]道具配置表!$A:$D,4,FALSE)</f>
        <v>娜娜丽</v>
      </c>
      <c r="C36" s="14">
        <v>2</v>
      </c>
      <c r="D36" s="14" t="str">
        <f t="shared" si="8"/>
        <v>蓝</v>
      </c>
      <c r="E36" s="14" t="str">
        <f t="shared" si="9"/>
        <v>娜娜丽x2</v>
      </c>
      <c r="F36" s="14" t="str">
        <f t="shared" si="10"/>
        <v>蓝色道具碎片X2</v>
      </c>
      <c r="G36" s="14">
        <f t="shared" si="11"/>
        <v>600</v>
      </c>
    </row>
    <row r="37" spans="1:7" x14ac:dyDescent="0.25">
      <c r="A37" s="14">
        <f t="shared" si="7"/>
        <v>14109</v>
      </c>
      <c r="B37" s="23" t="str">
        <f>VLOOKUP(A37,[1]道具配置表!$A:$D,4,FALSE)</f>
        <v>埃托雷</v>
      </c>
      <c r="C37" s="14">
        <v>2</v>
      </c>
      <c r="D37" s="14" t="str">
        <f t="shared" si="8"/>
        <v>紫</v>
      </c>
      <c r="E37" s="14" t="str">
        <f t="shared" si="9"/>
        <v>埃托雷x2</v>
      </c>
      <c r="F37" s="14" t="str">
        <f t="shared" si="10"/>
        <v>紫色道具碎片X2</v>
      </c>
      <c r="G37" s="14">
        <f t="shared" si="11"/>
        <v>83</v>
      </c>
    </row>
    <row r="38" spans="1:7" x14ac:dyDescent="0.25">
      <c r="A38" s="14">
        <f t="shared" si="7"/>
        <v>14201</v>
      </c>
      <c r="B38" s="23" t="str">
        <f>VLOOKUP(A38,[1]道具配置表!$A:$D,4,FALSE)</f>
        <v>维托里奥</v>
      </c>
      <c r="C38" s="14">
        <v>2</v>
      </c>
      <c r="D38" s="14" t="str">
        <f t="shared" si="8"/>
        <v>橙</v>
      </c>
      <c r="E38" s="14" t="str">
        <f t="shared" si="9"/>
        <v>维托里奥x2</v>
      </c>
      <c r="F38" s="14" t="str">
        <f t="shared" si="10"/>
        <v>橙色道具碎片X2</v>
      </c>
      <c r="G38" s="14">
        <f t="shared" si="11"/>
        <v>25</v>
      </c>
    </row>
    <row r="39" spans="1:7" x14ac:dyDescent="0.25">
      <c r="A39" s="14">
        <f t="shared" si="7"/>
        <v>14202</v>
      </c>
      <c r="B39" s="23" t="str">
        <f>VLOOKUP(A39,[1]道具配置表!$A:$D,4,FALSE)</f>
        <v>苏安</v>
      </c>
      <c r="C39" s="14">
        <v>2</v>
      </c>
      <c r="D39" s="14" t="str">
        <f t="shared" si="8"/>
        <v>紫</v>
      </c>
      <c r="E39" s="14" t="str">
        <f t="shared" si="9"/>
        <v>苏安x2</v>
      </c>
      <c r="F39" s="14" t="str">
        <f t="shared" si="10"/>
        <v>紫色道具碎片X2</v>
      </c>
      <c r="G39" s="14">
        <f t="shared" si="11"/>
        <v>83</v>
      </c>
    </row>
    <row r="40" spans="1:7" x14ac:dyDescent="0.25">
      <c r="A40" s="14">
        <f t="shared" si="7"/>
        <v>14203</v>
      </c>
      <c r="B40" s="23" t="str">
        <f>VLOOKUP(A40,[1]道具配置表!$A:$D,4,FALSE)</f>
        <v>范文定</v>
      </c>
      <c r="C40" s="14">
        <v>2</v>
      </c>
      <c r="D40" s="14" t="str">
        <f t="shared" si="8"/>
        <v>稀有橙</v>
      </c>
      <c r="E40" s="14" t="str">
        <f t="shared" si="9"/>
        <v>范文定x2</v>
      </c>
      <c r="F40" s="14" t="str">
        <f t="shared" si="10"/>
        <v>稀有橙色道具碎片X2</v>
      </c>
      <c r="G40" s="14">
        <f t="shared" si="11"/>
        <v>5</v>
      </c>
    </row>
    <row r="41" spans="1:7" x14ac:dyDescent="0.25">
      <c r="A41" s="14">
        <f t="shared" si="7"/>
        <v>14204</v>
      </c>
      <c r="B41" s="23" t="str">
        <f>VLOOKUP(A41,[1]道具配置表!$A:$D,4,FALSE)</f>
        <v>亚历山德罗</v>
      </c>
      <c r="C41" s="14">
        <v>2</v>
      </c>
      <c r="D41" s="14" t="str">
        <f t="shared" si="8"/>
        <v>稀有橙</v>
      </c>
      <c r="E41" s="14" t="str">
        <f t="shared" si="9"/>
        <v>亚历山德罗x2</v>
      </c>
      <c r="F41" s="14" t="str">
        <f t="shared" si="10"/>
        <v>稀有橙色道具碎片X2</v>
      </c>
      <c r="G41" s="14">
        <f t="shared" si="11"/>
        <v>5</v>
      </c>
    </row>
    <row r="42" spans="1:7" x14ac:dyDescent="0.25">
      <c r="A42" s="14">
        <f t="shared" si="7"/>
        <v>14206</v>
      </c>
      <c r="B42" s="23" t="str">
        <f>VLOOKUP(A42,[1]道具配置表!$A:$D,4,FALSE)</f>
        <v>杜若</v>
      </c>
      <c r="C42" s="14">
        <v>2</v>
      </c>
      <c r="D42" s="14" t="str">
        <f t="shared" si="8"/>
        <v>稀有橙</v>
      </c>
      <c r="E42" s="14" t="str">
        <f t="shared" si="9"/>
        <v>杜若x2</v>
      </c>
      <c r="F42" s="14" t="str">
        <f t="shared" si="10"/>
        <v>稀有橙色道具碎片X2</v>
      </c>
      <c r="G42" s="14">
        <f t="shared" si="11"/>
        <v>5</v>
      </c>
    </row>
    <row r="43" spans="1:7" x14ac:dyDescent="0.25">
      <c r="A43" s="14">
        <f t="shared" si="7"/>
        <v>14207</v>
      </c>
      <c r="B43" s="23" t="str">
        <f>VLOOKUP(A43,[1]道具配置表!$A:$D,4,FALSE)</f>
        <v>艾洛缇丝</v>
      </c>
      <c r="C43" s="14">
        <v>2</v>
      </c>
      <c r="D43" s="14" t="str">
        <f t="shared" si="8"/>
        <v>蓝</v>
      </c>
      <c r="E43" s="14" t="str">
        <f t="shared" si="9"/>
        <v>艾洛缇丝x2</v>
      </c>
      <c r="F43" s="14" t="str">
        <f t="shared" si="10"/>
        <v>蓝色道具碎片X2</v>
      </c>
      <c r="G43" s="14">
        <f t="shared" si="11"/>
        <v>600</v>
      </c>
    </row>
    <row r="44" spans="1:7" x14ac:dyDescent="0.25">
      <c r="A44" s="14">
        <f t="shared" si="7"/>
        <v>14301</v>
      </c>
      <c r="B44" s="23" t="str">
        <f>VLOOKUP(A44,[1]道具配置表!$A:$D,4,FALSE)</f>
        <v>梅芙</v>
      </c>
      <c r="C44" s="14">
        <v>2</v>
      </c>
      <c r="D44" s="14" t="str">
        <f t="shared" si="8"/>
        <v>蓝</v>
      </c>
      <c r="E44" s="14" t="str">
        <f t="shared" si="9"/>
        <v>梅芙x2</v>
      </c>
      <c r="F44" s="14" t="str">
        <f t="shared" si="10"/>
        <v>蓝色道具碎片X2</v>
      </c>
      <c r="G44" s="14">
        <f t="shared" si="11"/>
        <v>600</v>
      </c>
    </row>
    <row r="45" spans="1:7" x14ac:dyDescent="0.25">
      <c r="A45" s="14">
        <f t="shared" si="7"/>
        <v>14302</v>
      </c>
      <c r="B45" s="23" t="str">
        <f>VLOOKUP(A45,[1]道具配置表!$A:$D,4,FALSE)</f>
        <v>卡尔维斯</v>
      </c>
      <c r="C45" s="14">
        <v>2</v>
      </c>
      <c r="D45" s="14" t="str">
        <f t="shared" si="8"/>
        <v>紫</v>
      </c>
      <c r="E45" s="14" t="str">
        <f t="shared" si="9"/>
        <v>卡尔维斯x2</v>
      </c>
      <c r="F45" s="14" t="str">
        <f t="shared" si="10"/>
        <v>紫色道具碎片X2</v>
      </c>
      <c r="G45" s="14">
        <f t="shared" si="11"/>
        <v>83</v>
      </c>
    </row>
    <row r="46" spans="1:7" x14ac:dyDescent="0.25">
      <c r="A46" s="14">
        <f t="shared" si="7"/>
        <v>14303</v>
      </c>
      <c r="B46" s="23" t="str">
        <f>VLOOKUP(A46,[1]道具配置表!$A:$D,4,FALSE)</f>
        <v>霍尔格</v>
      </c>
      <c r="C46" s="14">
        <v>2</v>
      </c>
      <c r="D46" s="14" t="str">
        <f t="shared" si="8"/>
        <v>紫</v>
      </c>
      <c r="E46" s="14" t="str">
        <f t="shared" si="9"/>
        <v>霍尔格x2</v>
      </c>
      <c r="F46" s="14" t="str">
        <f t="shared" si="10"/>
        <v>紫色道具碎片X2</v>
      </c>
      <c r="G46" s="14">
        <f t="shared" si="11"/>
        <v>83</v>
      </c>
    </row>
    <row r="47" spans="1:7" x14ac:dyDescent="0.25">
      <c r="A47" s="14">
        <f t="shared" si="7"/>
        <v>14304</v>
      </c>
      <c r="B47" s="23" t="str">
        <f>VLOOKUP(A47,[1]道具配置表!$A:$D,4,FALSE)</f>
        <v>沐南风</v>
      </c>
      <c r="C47" s="14">
        <v>2</v>
      </c>
      <c r="D47" s="14" t="str">
        <f t="shared" si="8"/>
        <v>紫</v>
      </c>
      <c r="E47" s="14" t="str">
        <f t="shared" si="9"/>
        <v>沐南风x2</v>
      </c>
      <c r="F47" s="14" t="str">
        <f t="shared" si="10"/>
        <v>紫色道具碎片X2</v>
      </c>
      <c r="G47" s="14">
        <f t="shared" si="11"/>
        <v>83</v>
      </c>
    </row>
    <row r="48" spans="1:7" x14ac:dyDescent="0.25">
      <c r="A48" s="14">
        <f t="shared" si="7"/>
        <v>14305</v>
      </c>
      <c r="B48" s="23" t="str">
        <f>VLOOKUP(A48,[1]道具配置表!$A:$D,4,FALSE)</f>
        <v>拉维妮娅</v>
      </c>
      <c r="C48" s="14">
        <v>2</v>
      </c>
      <c r="D48" s="14" t="str">
        <f t="shared" si="8"/>
        <v>紫</v>
      </c>
      <c r="E48" s="14" t="str">
        <f t="shared" si="9"/>
        <v>拉维妮娅x2</v>
      </c>
      <c r="F48" s="14" t="str">
        <f t="shared" si="10"/>
        <v>紫色道具碎片X2</v>
      </c>
      <c r="G48" s="14">
        <f t="shared" si="11"/>
        <v>83</v>
      </c>
    </row>
    <row r="49" spans="1:7" x14ac:dyDescent="0.25">
      <c r="A49" s="14">
        <f t="shared" si="7"/>
        <v>14306</v>
      </c>
      <c r="B49" s="23" t="str">
        <f>VLOOKUP(A49,[1]道具配置表!$A:$D,4,FALSE)</f>
        <v>杰拉尔德</v>
      </c>
      <c r="C49" s="14">
        <v>2</v>
      </c>
      <c r="D49" s="14" t="str">
        <f t="shared" si="8"/>
        <v>紫</v>
      </c>
      <c r="E49" s="14" t="str">
        <f t="shared" si="9"/>
        <v>杰拉尔德x2</v>
      </c>
      <c r="F49" s="14" t="str">
        <f t="shared" si="10"/>
        <v>紫色道具碎片X2</v>
      </c>
      <c r="G49" s="14">
        <f t="shared" si="11"/>
        <v>83</v>
      </c>
    </row>
    <row r="50" spans="1:7" x14ac:dyDescent="0.25">
      <c r="A50" s="14">
        <f t="shared" si="7"/>
        <v>14307</v>
      </c>
      <c r="B50" s="23" t="str">
        <f>VLOOKUP(A50,[1]道具配置表!$A:$D,4,FALSE)</f>
        <v>元元公主</v>
      </c>
      <c r="C50" s="14">
        <v>2</v>
      </c>
      <c r="D50" s="14" t="str">
        <f t="shared" si="8"/>
        <v>紫</v>
      </c>
      <c r="E50" s="14" t="str">
        <f t="shared" si="9"/>
        <v>元元公主x2</v>
      </c>
      <c r="F50" s="14" t="str">
        <f t="shared" si="10"/>
        <v>紫色道具碎片X2</v>
      </c>
      <c r="G50" s="14">
        <f t="shared" si="11"/>
        <v>83</v>
      </c>
    </row>
    <row r="51" spans="1:7" x14ac:dyDescent="0.25">
      <c r="A51" s="14">
        <f t="shared" si="7"/>
        <v>14308</v>
      </c>
      <c r="B51" s="23" t="str">
        <f>VLOOKUP(A51,[1]道具配置表!$A:$D,4,FALSE)</f>
        <v>卢卡</v>
      </c>
      <c r="C51" s="14">
        <v>2</v>
      </c>
      <c r="D51" s="14" t="str">
        <f t="shared" si="8"/>
        <v>紫</v>
      </c>
      <c r="E51" s="14" t="str">
        <f t="shared" si="9"/>
        <v>卢卡x2</v>
      </c>
      <c r="F51" s="14" t="str">
        <f t="shared" si="10"/>
        <v>紫色道具碎片X2</v>
      </c>
      <c r="G51" s="14">
        <f t="shared" si="11"/>
        <v>83</v>
      </c>
    </row>
    <row r="52" spans="1:7" x14ac:dyDescent="0.25">
      <c r="A52" s="14">
        <f t="shared" si="7"/>
        <v>14309</v>
      </c>
      <c r="B52" s="23" t="str">
        <f>VLOOKUP(A52,[1]道具配置表!$A:$D,4,FALSE)</f>
        <v>爱德华多</v>
      </c>
      <c r="C52" s="14">
        <v>2</v>
      </c>
      <c r="D52" s="14" t="str">
        <f t="shared" si="8"/>
        <v>紫</v>
      </c>
      <c r="E52" s="14" t="str">
        <f t="shared" si="9"/>
        <v>爱德华多x2</v>
      </c>
      <c r="F52" s="14" t="str">
        <f t="shared" si="10"/>
        <v>紫色道具碎片X2</v>
      </c>
      <c r="G52" s="14">
        <f t="shared" si="11"/>
        <v>83</v>
      </c>
    </row>
    <row r="53" spans="1:7" x14ac:dyDescent="0.25">
      <c r="A53" s="14">
        <f t="shared" si="7"/>
        <v>14312</v>
      </c>
      <c r="B53" s="23" t="str">
        <f>VLOOKUP(A53,[1]道具配置表!$A:$D,4,FALSE)</f>
        <v>鱼妙妙</v>
      </c>
      <c r="C53" s="14">
        <v>2</v>
      </c>
      <c r="D53" s="14" t="str">
        <f t="shared" si="8"/>
        <v>橙</v>
      </c>
      <c r="E53" s="14" t="str">
        <f t="shared" si="9"/>
        <v>鱼妙妙x2</v>
      </c>
      <c r="F53" s="14" t="str">
        <f t="shared" si="10"/>
        <v>橙色道具碎片X2</v>
      </c>
      <c r="G53" s="14">
        <f t="shared" si="11"/>
        <v>25</v>
      </c>
    </row>
    <row r="54" spans="1:7" x14ac:dyDescent="0.25">
      <c r="A54" s="14">
        <f t="shared" si="7"/>
        <v>14313</v>
      </c>
      <c r="B54" s="23" t="str">
        <f>VLOOKUP(A54,[1]道具配置表!$A:$D,4,FALSE)</f>
        <v>玛丽夫人</v>
      </c>
      <c r="C54" s="14">
        <v>2</v>
      </c>
      <c r="D54" s="14" t="str">
        <f t="shared" si="8"/>
        <v>紫</v>
      </c>
      <c r="E54" s="14" t="str">
        <f t="shared" si="9"/>
        <v>玛丽夫人x2</v>
      </c>
      <c r="F54" s="14" t="str">
        <f t="shared" si="10"/>
        <v>紫色道具碎片X2</v>
      </c>
      <c r="G54" s="14">
        <f t="shared" si="11"/>
        <v>83</v>
      </c>
    </row>
    <row r="55" spans="1:7" x14ac:dyDescent="0.25">
      <c r="A55" s="14">
        <f t="shared" si="7"/>
        <v>14314</v>
      </c>
      <c r="B55" s="23" t="str">
        <f>VLOOKUP(A55,[1]道具配置表!$A:$D,4,FALSE)</f>
        <v>琼鸣玉</v>
      </c>
      <c r="C55" s="14">
        <v>2</v>
      </c>
      <c r="D55" s="14" t="str">
        <f t="shared" si="8"/>
        <v>蓝</v>
      </c>
      <c r="E55" s="14" t="str">
        <f t="shared" si="9"/>
        <v>琼鸣玉x2</v>
      </c>
      <c r="F55" s="14" t="str">
        <f t="shared" si="10"/>
        <v>蓝色道具碎片X2</v>
      </c>
      <c r="G55" s="14">
        <f t="shared" si="11"/>
        <v>600</v>
      </c>
    </row>
    <row r="56" spans="1:7" x14ac:dyDescent="0.25">
      <c r="A56" s="14">
        <f t="shared" si="7"/>
        <v>14315</v>
      </c>
      <c r="B56" s="23" t="str">
        <f>VLOOKUP(A56,[1]道具配置表!$A:$D,4,FALSE)</f>
        <v>姚清珏</v>
      </c>
      <c r="C56" s="14">
        <v>2</v>
      </c>
      <c r="D56" s="14" t="str">
        <f t="shared" si="8"/>
        <v>稀有橙</v>
      </c>
      <c r="E56" s="14" t="str">
        <f t="shared" si="9"/>
        <v>姚清珏x2</v>
      </c>
      <c r="F56" s="14" t="str">
        <f t="shared" si="10"/>
        <v>稀有橙色道具碎片X2</v>
      </c>
      <c r="G56" s="14">
        <f t="shared" si="11"/>
        <v>5</v>
      </c>
    </row>
    <row r="57" spans="1:7" x14ac:dyDescent="0.25">
      <c r="A57" s="14">
        <f t="shared" si="7"/>
        <v>14316</v>
      </c>
      <c r="B57" s="23" t="str">
        <f>VLOOKUP(A57,[1]道具配置表!$A:$D,4,FALSE)</f>
        <v>姬闾</v>
      </c>
      <c r="C57" s="14">
        <v>2</v>
      </c>
      <c r="D57" s="14" t="str">
        <f t="shared" si="8"/>
        <v>紫</v>
      </c>
      <c r="E57" s="14" t="str">
        <f t="shared" si="9"/>
        <v>姬闾x2</v>
      </c>
      <c r="F57" s="14" t="str">
        <f t="shared" si="10"/>
        <v>紫色道具碎片X2</v>
      </c>
      <c r="G57" s="14">
        <f t="shared" si="11"/>
        <v>83</v>
      </c>
    </row>
    <row r="58" spans="1:7" x14ac:dyDescent="0.25">
      <c r="A58" s="14">
        <f t="shared" si="7"/>
        <v>14317</v>
      </c>
      <c r="B58" s="23" t="str">
        <f>VLOOKUP(A58,[1]道具配置表!$A:$D,4,FALSE)</f>
        <v>卡多姆</v>
      </c>
      <c r="C58" s="14">
        <v>2</v>
      </c>
      <c r="D58" s="14" t="str">
        <f t="shared" si="8"/>
        <v>稀有橙</v>
      </c>
      <c r="E58" s="14" t="str">
        <f t="shared" si="9"/>
        <v>卡多姆x2</v>
      </c>
      <c r="F58" s="14" t="str">
        <f t="shared" si="10"/>
        <v>稀有橙色道具碎片X2</v>
      </c>
      <c r="G58" s="14">
        <f t="shared" si="11"/>
        <v>5</v>
      </c>
    </row>
    <row r="59" spans="1:7" x14ac:dyDescent="0.25">
      <c r="A59" s="14">
        <f t="shared" si="7"/>
        <v>14318</v>
      </c>
      <c r="B59" s="23" t="str">
        <f>VLOOKUP(A59,[1]道具配置表!$A:$D,4,FALSE)</f>
        <v>巴希斯</v>
      </c>
      <c r="C59" s="14">
        <v>2</v>
      </c>
      <c r="D59" s="14" t="str">
        <f t="shared" si="8"/>
        <v>稀有橙</v>
      </c>
      <c r="E59" s="14" t="str">
        <f t="shared" si="9"/>
        <v>巴希斯x2</v>
      </c>
      <c r="F59" s="14" t="str">
        <f t="shared" si="10"/>
        <v>稀有橙色道具碎片X2</v>
      </c>
      <c r="G59" s="14">
        <f t="shared" si="11"/>
        <v>5</v>
      </c>
    </row>
    <row r="60" spans="1:7" x14ac:dyDescent="0.25">
      <c r="A60" s="14">
        <f t="shared" si="7"/>
        <v>14319</v>
      </c>
      <c r="B60" s="23" t="str">
        <f>VLOOKUP(A60,[1]道具配置表!$A:$D,4,FALSE)</f>
        <v>约恩</v>
      </c>
      <c r="C60" s="14">
        <v>2</v>
      </c>
      <c r="D60" s="14" t="str">
        <f t="shared" si="8"/>
        <v>蓝</v>
      </c>
      <c r="E60" s="14" t="str">
        <f t="shared" si="9"/>
        <v>约恩x2</v>
      </c>
      <c r="F60" s="14" t="str">
        <f t="shared" si="10"/>
        <v>蓝色道具碎片X2</v>
      </c>
      <c r="G60" s="14">
        <f t="shared" si="11"/>
        <v>600</v>
      </c>
    </row>
    <row r="61" spans="1:7" x14ac:dyDescent="0.25">
      <c r="A61" s="14">
        <f t="shared" si="7"/>
        <v>17200</v>
      </c>
      <c r="B61" s="23" t="str">
        <f>VLOOKUP(A61,[1]道具配置表!$A:$D,4,FALSE)</f>
        <v>名人博学值+100</v>
      </c>
      <c r="C61" s="14">
        <v>2</v>
      </c>
      <c r="D61" s="14" t="str">
        <f t="shared" si="8"/>
        <v>绿</v>
      </c>
      <c r="E61" s="14" t="str">
        <f t="shared" si="9"/>
        <v>名人博学值+100x2</v>
      </c>
      <c r="F61" s="14" t="str">
        <f t="shared" si="10"/>
        <v>绿色道具碎片X2</v>
      </c>
      <c r="G61" s="14">
        <f t="shared" si="11"/>
        <v>2000</v>
      </c>
    </row>
    <row r="62" spans="1:7" x14ac:dyDescent="0.25">
      <c r="A62" s="14">
        <f t="shared" si="7"/>
        <v>14101</v>
      </c>
      <c r="B62" s="23" t="str">
        <f>VLOOKUP(A62,[1]道具配置表!$A:$D,4,FALSE)</f>
        <v>陆芊岚</v>
      </c>
      <c r="C62" s="14">
        <v>4</v>
      </c>
      <c r="D62" s="14" t="str">
        <f t="shared" si="8"/>
        <v>橙</v>
      </c>
      <c r="E62" s="14" t="str">
        <f t="shared" si="9"/>
        <v>陆芊岚x4</v>
      </c>
      <c r="F62" s="14" t="str">
        <f t="shared" si="10"/>
        <v>橙色道具碎片X4</v>
      </c>
      <c r="G62" s="14">
        <f t="shared" si="11"/>
        <v>12</v>
      </c>
    </row>
    <row r="63" spans="1:7" x14ac:dyDescent="0.25">
      <c r="A63" s="14">
        <f t="shared" si="7"/>
        <v>14105</v>
      </c>
      <c r="B63" s="23" t="str">
        <f>VLOOKUP(A63,[1]道具配置表!$A:$D,4,FALSE)</f>
        <v>顾盼儿</v>
      </c>
      <c r="C63" s="14">
        <v>4</v>
      </c>
      <c r="D63" s="14" t="str">
        <f t="shared" si="8"/>
        <v>橙</v>
      </c>
      <c r="E63" s="14" t="str">
        <f t="shared" si="9"/>
        <v>顾盼儿x4</v>
      </c>
      <c r="F63" s="14" t="str">
        <f t="shared" si="10"/>
        <v>橙色道具碎片X4</v>
      </c>
      <c r="G63" s="14">
        <f t="shared" si="11"/>
        <v>12</v>
      </c>
    </row>
    <row r="64" spans="1:7" x14ac:dyDescent="0.25">
      <c r="A64" s="14">
        <f t="shared" ref="A64:A95" si="12">A34</f>
        <v>14106</v>
      </c>
      <c r="B64" s="23" t="str">
        <f>VLOOKUP(A64,[1]道具配置表!$A:$D,4,FALSE)</f>
        <v>穆离</v>
      </c>
      <c r="C64" s="14">
        <v>4</v>
      </c>
      <c r="D64" s="14" t="str">
        <f t="shared" si="8"/>
        <v>橙</v>
      </c>
      <c r="E64" s="14" t="str">
        <f t="shared" si="9"/>
        <v>穆离x4</v>
      </c>
      <c r="F64" s="14" t="str">
        <f t="shared" si="10"/>
        <v>橙色道具碎片X4</v>
      </c>
      <c r="G64" s="14">
        <f t="shared" si="11"/>
        <v>12</v>
      </c>
    </row>
    <row r="65" spans="1:7" x14ac:dyDescent="0.25">
      <c r="A65" s="14">
        <f t="shared" si="12"/>
        <v>14107</v>
      </c>
      <c r="B65" s="23" t="str">
        <f>VLOOKUP(A65,[1]道具配置表!$A:$D,4,FALSE)</f>
        <v>伊丽莎白</v>
      </c>
      <c r="C65" s="14">
        <v>4</v>
      </c>
      <c r="D65" s="14" t="str">
        <f t="shared" si="8"/>
        <v>橙</v>
      </c>
      <c r="E65" s="14" t="str">
        <f t="shared" si="9"/>
        <v>伊丽莎白x4</v>
      </c>
      <c r="F65" s="14" t="str">
        <f t="shared" si="10"/>
        <v>橙色道具碎片X4</v>
      </c>
      <c r="G65" s="14">
        <f t="shared" si="11"/>
        <v>12</v>
      </c>
    </row>
    <row r="66" spans="1:7" x14ac:dyDescent="0.25">
      <c r="A66" s="14">
        <f t="shared" si="12"/>
        <v>14108</v>
      </c>
      <c r="B66" s="23" t="str">
        <f>VLOOKUP(A66,[1]道具配置表!$A:$D,4,FALSE)</f>
        <v>娜娜丽</v>
      </c>
      <c r="C66" s="14">
        <v>4</v>
      </c>
      <c r="D66" s="14" t="str">
        <f t="shared" ref="D66:D97" si="13">VLOOKUP(B66,$W:$X,2,FALSE)</f>
        <v>蓝</v>
      </c>
      <c r="E66" s="14" t="str">
        <f t="shared" ref="E66:E97" si="14">CONCATENATE(B66,"x",C66)</f>
        <v>娜娜丽x4</v>
      </c>
      <c r="F66" s="14" t="str">
        <f t="shared" ref="F66:F97" si="15">D66&amp;"色道具碎片"&amp;"X"&amp;C66</f>
        <v>蓝色道具碎片X4</v>
      </c>
      <c r="G66" s="14">
        <f t="shared" ref="G66:G97" si="16">VLOOKUP(F66,$P$2:$S$21,4,FALSE)</f>
        <v>300</v>
      </c>
    </row>
    <row r="67" spans="1:7" x14ac:dyDescent="0.25">
      <c r="A67" s="14">
        <f t="shared" si="12"/>
        <v>14109</v>
      </c>
      <c r="B67" s="23" t="str">
        <f>VLOOKUP(A67,[1]道具配置表!$A:$D,4,FALSE)</f>
        <v>埃托雷</v>
      </c>
      <c r="C67" s="14">
        <v>4</v>
      </c>
      <c r="D67" s="14" t="str">
        <f t="shared" si="13"/>
        <v>紫</v>
      </c>
      <c r="E67" s="14" t="str">
        <f t="shared" si="14"/>
        <v>埃托雷x4</v>
      </c>
      <c r="F67" s="14" t="str">
        <f t="shared" si="15"/>
        <v>紫色道具碎片X4</v>
      </c>
      <c r="G67" s="14">
        <f t="shared" si="16"/>
        <v>41</v>
      </c>
    </row>
    <row r="68" spans="1:7" x14ac:dyDescent="0.25">
      <c r="A68" s="14">
        <f t="shared" si="12"/>
        <v>14201</v>
      </c>
      <c r="B68" s="23" t="str">
        <f>VLOOKUP(A68,[1]道具配置表!$A:$D,4,FALSE)</f>
        <v>维托里奥</v>
      </c>
      <c r="C68" s="14">
        <v>4</v>
      </c>
      <c r="D68" s="14" t="str">
        <f t="shared" si="13"/>
        <v>橙</v>
      </c>
      <c r="E68" s="14" t="str">
        <f t="shared" si="14"/>
        <v>维托里奥x4</v>
      </c>
      <c r="F68" s="14" t="str">
        <f t="shared" si="15"/>
        <v>橙色道具碎片X4</v>
      </c>
      <c r="G68" s="14">
        <f t="shared" si="16"/>
        <v>12</v>
      </c>
    </row>
    <row r="69" spans="1:7" x14ac:dyDescent="0.25">
      <c r="A69" s="14">
        <f t="shared" si="12"/>
        <v>14202</v>
      </c>
      <c r="B69" s="23" t="str">
        <f>VLOOKUP(A69,[1]道具配置表!$A:$D,4,FALSE)</f>
        <v>苏安</v>
      </c>
      <c r="C69" s="14">
        <v>4</v>
      </c>
      <c r="D69" s="14" t="str">
        <f t="shared" si="13"/>
        <v>紫</v>
      </c>
      <c r="E69" s="14" t="str">
        <f t="shared" si="14"/>
        <v>苏安x4</v>
      </c>
      <c r="F69" s="14" t="str">
        <f t="shared" si="15"/>
        <v>紫色道具碎片X4</v>
      </c>
      <c r="G69" s="14">
        <f t="shared" si="16"/>
        <v>41</v>
      </c>
    </row>
    <row r="70" spans="1:7" x14ac:dyDescent="0.25">
      <c r="A70" s="14">
        <f t="shared" si="12"/>
        <v>14203</v>
      </c>
      <c r="B70" s="23" t="str">
        <f>VLOOKUP(A70,[1]道具配置表!$A:$D,4,FALSE)</f>
        <v>范文定</v>
      </c>
      <c r="C70" s="14">
        <v>4</v>
      </c>
      <c r="D70" s="14" t="str">
        <f t="shared" si="13"/>
        <v>稀有橙</v>
      </c>
      <c r="E70" s="14" t="str">
        <f t="shared" si="14"/>
        <v>范文定x4</v>
      </c>
      <c r="F70" s="14" t="str">
        <f t="shared" si="15"/>
        <v>稀有橙色道具碎片X4</v>
      </c>
      <c r="G70" s="14">
        <f t="shared" si="16"/>
        <v>2</v>
      </c>
    </row>
    <row r="71" spans="1:7" x14ac:dyDescent="0.25">
      <c r="A71" s="14">
        <f t="shared" si="12"/>
        <v>14204</v>
      </c>
      <c r="B71" s="23" t="str">
        <f>VLOOKUP(A71,[1]道具配置表!$A:$D,4,FALSE)</f>
        <v>亚历山德罗</v>
      </c>
      <c r="C71" s="14">
        <v>4</v>
      </c>
      <c r="D71" s="14" t="str">
        <f t="shared" si="13"/>
        <v>稀有橙</v>
      </c>
      <c r="E71" s="14" t="str">
        <f t="shared" si="14"/>
        <v>亚历山德罗x4</v>
      </c>
      <c r="F71" s="14" t="str">
        <f t="shared" si="15"/>
        <v>稀有橙色道具碎片X4</v>
      </c>
      <c r="G71" s="14">
        <f t="shared" si="16"/>
        <v>2</v>
      </c>
    </row>
    <row r="72" spans="1:7" x14ac:dyDescent="0.25">
      <c r="A72" s="14">
        <f t="shared" si="12"/>
        <v>14206</v>
      </c>
      <c r="B72" s="23" t="str">
        <f>VLOOKUP(A72,[1]道具配置表!$A:$D,4,FALSE)</f>
        <v>杜若</v>
      </c>
      <c r="C72" s="14">
        <v>4</v>
      </c>
      <c r="D72" s="14" t="str">
        <f t="shared" si="13"/>
        <v>稀有橙</v>
      </c>
      <c r="E72" s="14" t="str">
        <f t="shared" si="14"/>
        <v>杜若x4</v>
      </c>
      <c r="F72" s="14" t="str">
        <f t="shared" si="15"/>
        <v>稀有橙色道具碎片X4</v>
      </c>
      <c r="G72" s="14">
        <f t="shared" si="16"/>
        <v>2</v>
      </c>
    </row>
    <row r="73" spans="1:7" x14ac:dyDescent="0.25">
      <c r="A73" s="14">
        <f t="shared" si="12"/>
        <v>14207</v>
      </c>
      <c r="B73" s="23" t="str">
        <f>VLOOKUP(A73,[1]道具配置表!$A:$D,4,FALSE)</f>
        <v>艾洛缇丝</v>
      </c>
      <c r="C73" s="14">
        <v>4</v>
      </c>
      <c r="D73" s="14" t="str">
        <f t="shared" si="13"/>
        <v>蓝</v>
      </c>
      <c r="E73" s="14" t="str">
        <f t="shared" si="14"/>
        <v>艾洛缇丝x4</v>
      </c>
      <c r="F73" s="14" t="str">
        <f t="shared" si="15"/>
        <v>蓝色道具碎片X4</v>
      </c>
      <c r="G73" s="14">
        <f t="shared" si="16"/>
        <v>300</v>
      </c>
    </row>
    <row r="74" spans="1:7" x14ac:dyDescent="0.25">
      <c r="A74" s="14">
        <f t="shared" si="12"/>
        <v>14301</v>
      </c>
      <c r="B74" s="23" t="str">
        <f>VLOOKUP(A74,[1]道具配置表!$A:$D,4,FALSE)</f>
        <v>梅芙</v>
      </c>
      <c r="C74" s="14">
        <v>4</v>
      </c>
      <c r="D74" s="14" t="str">
        <f t="shared" si="13"/>
        <v>蓝</v>
      </c>
      <c r="E74" s="14" t="str">
        <f t="shared" si="14"/>
        <v>梅芙x4</v>
      </c>
      <c r="F74" s="14" t="str">
        <f t="shared" si="15"/>
        <v>蓝色道具碎片X4</v>
      </c>
      <c r="G74" s="14">
        <f t="shared" si="16"/>
        <v>300</v>
      </c>
    </row>
    <row r="75" spans="1:7" x14ac:dyDescent="0.25">
      <c r="A75" s="14">
        <f t="shared" si="12"/>
        <v>14302</v>
      </c>
      <c r="B75" s="23" t="str">
        <f>VLOOKUP(A75,[1]道具配置表!$A:$D,4,FALSE)</f>
        <v>卡尔维斯</v>
      </c>
      <c r="C75" s="14">
        <v>4</v>
      </c>
      <c r="D75" s="14" t="str">
        <f t="shared" si="13"/>
        <v>紫</v>
      </c>
      <c r="E75" s="14" t="str">
        <f t="shared" si="14"/>
        <v>卡尔维斯x4</v>
      </c>
      <c r="F75" s="14" t="str">
        <f t="shared" si="15"/>
        <v>紫色道具碎片X4</v>
      </c>
      <c r="G75" s="14">
        <f t="shared" si="16"/>
        <v>41</v>
      </c>
    </row>
    <row r="76" spans="1:7" x14ac:dyDescent="0.25">
      <c r="A76" s="14">
        <f t="shared" si="12"/>
        <v>14303</v>
      </c>
      <c r="B76" s="23" t="str">
        <f>VLOOKUP(A76,[1]道具配置表!$A:$D,4,FALSE)</f>
        <v>霍尔格</v>
      </c>
      <c r="C76" s="14">
        <v>4</v>
      </c>
      <c r="D76" s="14" t="str">
        <f t="shared" si="13"/>
        <v>紫</v>
      </c>
      <c r="E76" s="14" t="str">
        <f t="shared" si="14"/>
        <v>霍尔格x4</v>
      </c>
      <c r="F76" s="14" t="str">
        <f t="shared" si="15"/>
        <v>紫色道具碎片X4</v>
      </c>
      <c r="G76" s="14">
        <f t="shared" si="16"/>
        <v>41</v>
      </c>
    </row>
    <row r="77" spans="1:7" x14ac:dyDescent="0.25">
      <c r="A77" s="14">
        <f t="shared" si="12"/>
        <v>14304</v>
      </c>
      <c r="B77" s="23" t="str">
        <f>VLOOKUP(A77,[1]道具配置表!$A:$D,4,FALSE)</f>
        <v>沐南风</v>
      </c>
      <c r="C77" s="14">
        <v>4</v>
      </c>
      <c r="D77" s="14" t="str">
        <f t="shared" si="13"/>
        <v>紫</v>
      </c>
      <c r="E77" s="14" t="str">
        <f t="shared" si="14"/>
        <v>沐南风x4</v>
      </c>
      <c r="F77" s="14" t="str">
        <f t="shared" si="15"/>
        <v>紫色道具碎片X4</v>
      </c>
      <c r="G77" s="14">
        <f t="shared" si="16"/>
        <v>41</v>
      </c>
    </row>
    <row r="78" spans="1:7" x14ac:dyDescent="0.25">
      <c r="A78" s="14">
        <f t="shared" si="12"/>
        <v>14305</v>
      </c>
      <c r="B78" s="23" t="str">
        <f>VLOOKUP(A78,[1]道具配置表!$A:$D,4,FALSE)</f>
        <v>拉维妮娅</v>
      </c>
      <c r="C78" s="14">
        <v>4</v>
      </c>
      <c r="D78" s="14" t="str">
        <f t="shared" si="13"/>
        <v>紫</v>
      </c>
      <c r="E78" s="14" t="str">
        <f t="shared" si="14"/>
        <v>拉维妮娅x4</v>
      </c>
      <c r="F78" s="14" t="str">
        <f t="shared" si="15"/>
        <v>紫色道具碎片X4</v>
      </c>
      <c r="G78" s="14">
        <f t="shared" si="16"/>
        <v>41</v>
      </c>
    </row>
    <row r="79" spans="1:7" x14ac:dyDescent="0.25">
      <c r="A79" s="14">
        <f t="shared" si="12"/>
        <v>14306</v>
      </c>
      <c r="B79" s="23" t="str">
        <f>VLOOKUP(A79,[1]道具配置表!$A:$D,4,FALSE)</f>
        <v>杰拉尔德</v>
      </c>
      <c r="C79" s="14">
        <v>4</v>
      </c>
      <c r="D79" s="14" t="str">
        <f t="shared" si="13"/>
        <v>紫</v>
      </c>
      <c r="E79" s="14" t="str">
        <f t="shared" si="14"/>
        <v>杰拉尔德x4</v>
      </c>
      <c r="F79" s="14" t="str">
        <f t="shared" si="15"/>
        <v>紫色道具碎片X4</v>
      </c>
      <c r="G79" s="14">
        <f t="shared" si="16"/>
        <v>41</v>
      </c>
    </row>
    <row r="80" spans="1:7" x14ac:dyDescent="0.25">
      <c r="A80" s="14">
        <f t="shared" si="12"/>
        <v>14307</v>
      </c>
      <c r="B80" s="23" t="str">
        <f>VLOOKUP(A80,[1]道具配置表!$A:$D,4,FALSE)</f>
        <v>元元公主</v>
      </c>
      <c r="C80" s="14">
        <v>4</v>
      </c>
      <c r="D80" s="14" t="str">
        <f t="shared" si="13"/>
        <v>紫</v>
      </c>
      <c r="E80" s="14" t="str">
        <f t="shared" si="14"/>
        <v>元元公主x4</v>
      </c>
      <c r="F80" s="14" t="str">
        <f t="shared" si="15"/>
        <v>紫色道具碎片X4</v>
      </c>
      <c r="G80" s="14">
        <f t="shared" si="16"/>
        <v>41</v>
      </c>
    </row>
    <row r="81" spans="1:7" x14ac:dyDescent="0.25">
      <c r="A81" s="14">
        <f t="shared" si="12"/>
        <v>14308</v>
      </c>
      <c r="B81" s="23" t="str">
        <f>VLOOKUP(A81,[1]道具配置表!$A:$D,4,FALSE)</f>
        <v>卢卡</v>
      </c>
      <c r="C81" s="14">
        <v>4</v>
      </c>
      <c r="D81" s="14" t="str">
        <f t="shared" si="13"/>
        <v>紫</v>
      </c>
      <c r="E81" s="14" t="str">
        <f t="shared" si="14"/>
        <v>卢卡x4</v>
      </c>
      <c r="F81" s="14" t="str">
        <f t="shared" si="15"/>
        <v>紫色道具碎片X4</v>
      </c>
      <c r="G81" s="14">
        <f t="shared" si="16"/>
        <v>41</v>
      </c>
    </row>
    <row r="82" spans="1:7" x14ac:dyDescent="0.25">
      <c r="A82" s="14">
        <f t="shared" si="12"/>
        <v>14309</v>
      </c>
      <c r="B82" s="23" t="str">
        <f>VLOOKUP(A82,[1]道具配置表!$A:$D,4,FALSE)</f>
        <v>爱德华多</v>
      </c>
      <c r="C82" s="14">
        <v>4</v>
      </c>
      <c r="D82" s="14" t="str">
        <f t="shared" si="13"/>
        <v>紫</v>
      </c>
      <c r="E82" s="14" t="str">
        <f t="shared" si="14"/>
        <v>爱德华多x4</v>
      </c>
      <c r="F82" s="14" t="str">
        <f t="shared" si="15"/>
        <v>紫色道具碎片X4</v>
      </c>
      <c r="G82" s="14">
        <f t="shared" si="16"/>
        <v>41</v>
      </c>
    </row>
    <row r="83" spans="1:7" x14ac:dyDescent="0.25">
      <c r="A83" s="14">
        <f t="shared" si="12"/>
        <v>14312</v>
      </c>
      <c r="B83" s="23" t="str">
        <f>VLOOKUP(A83,[1]道具配置表!$A:$D,4,FALSE)</f>
        <v>鱼妙妙</v>
      </c>
      <c r="C83" s="14">
        <v>4</v>
      </c>
      <c r="D83" s="14" t="str">
        <f t="shared" si="13"/>
        <v>橙</v>
      </c>
      <c r="E83" s="14" t="str">
        <f t="shared" si="14"/>
        <v>鱼妙妙x4</v>
      </c>
      <c r="F83" s="14" t="str">
        <f t="shared" si="15"/>
        <v>橙色道具碎片X4</v>
      </c>
      <c r="G83" s="14">
        <f t="shared" si="16"/>
        <v>12</v>
      </c>
    </row>
    <row r="84" spans="1:7" x14ac:dyDescent="0.25">
      <c r="A84" s="14">
        <f t="shared" si="12"/>
        <v>14313</v>
      </c>
      <c r="B84" s="23" t="str">
        <f>VLOOKUP(A84,[1]道具配置表!$A:$D,4,FALSE)</f>
        <v>玛丽夫人</v>
      </c>
      <c r="C84" s="14">
        <v>4</v>
      </c>
      <c r="D84" s="14" t="str">
        <f t="shared" si="13"/>
        <v>紫</v>
      </c>
      <c r="E84" s="14" t="str">
        <f t="shared" si="14"/>
        <v>玛丽夫人x4</v>
      </c>
      <c r="F84" s="14" t="str">
        <f t="shared" si="15"/>
        <v>紫色道具碎片X4</v>
      </c>
      <c r="G84" s="14">
        <f t="shared" si="16"/>
        <v>41</v>
      </c>
    </row>
    <row r="85" spans="1:7" x14ac:dyDescent="0.25">
      <c r="A85" s="14">
        <f t="shared" si="12"/>
        <v>14314</v>
      </c>
      <c r="B85" s="23" t="str">
        <f>VLOOKUP(A85,[1]道具配置表!$A:$D,4,FALSE)</f>
        <v>琼鸣玉</v>
      </c>
      <c r="C85" s="14">
        <v>4</v>
      </c>
      <c r="D85" s="14" t="str">
        <f t="shared" si="13"/>
        <v>蓝</v>
      </c>
      <c r="E85" s="14" t="str">
        <f t="shared" si="14"/>
        <v>琼鸣玉x4</v>
      </c>
      <c r="F85" s="14" t="str">
        <f t="shared" si="15"/>
        <v>蓝色道具碎片X4</v>
      </c>
      <c r="G85" s="14">
        <f t="shared" si="16"/>
        <v>300</v>
      </c>
    </row>
    <row r="86" spans="1:7" x14ac:dyDescent="0.25">
      <c r="A86" s="14">
        <f t="shared" si="12"/>
        <v>14315</v>
      </c>
      <c r="B86" s="23" t="str">
        <f>VLOOKUP(A86,[1]道具配置表!$A:$D,4,FALSE)</f>
        <v>姚清珏</v>
      </c>
      <c r="C86" s="14">
        <v>4</v>
      </c>
      <c r="D86" s="14" t="str">
        <f t="shared" si="13"/>
        <v>稀有橙</v>
      </c>
      <c r="E86" s="14" t="str">
        <f t="shared" si="14"/>
        <v>姚清珏x4</v>
      </c>
      <c r="F86" s="14" t="str">
        <f t="shared" si="15"/>
        <v>稀有橙色道具碎片X4</v>
      </c>
      <c r="G86" s="14">
        <f t="shared" si="16"/>
        <v>2</v>
      </c>
    </row>
    <row r="87" spans="1:7" x14ac:dyDescent="0.25">
      <c r="A87" s="14">
        <f t="shared" si="12"/>
        <v>14316</v>
      </c>
      <c r="B87" s="23" t="str">
        <f>VLOOKUP(A87,[1]道具配置表!$A:$D,4,FALSE)</f>
        <v>姬闾</v>
      </c>
      <c r="C87" s="14">
        <v>4</v>
      </c>
      <c r="D87" s="14" t="str">
        <f t="shared" si="13"/>
        <v>紫</v>
      </c>
      <c r="E87" s="14" t="str">
        <f t="shared" si="14"/>
        <v>姬闾x4</v>
      </c>
      <c r="F87" s="14" t="str">
        <f t="shared" si="15"/>
        <v>紫色道具碎片X4</v>
      </c>
      <c r="G87" s="14">
        <f t="shared" si="16"/>
        <v>41</v>
      </c>
    </row>
    <row r="88" spans="1:7" x14ac:dyDescent="0.25">
      <c r="A88" s="14">
        <f t="shared" si="12"/>
        <v>14317</v>
      </c>
      <c r="B88" s="23" t="str">
        <f>VLOOKUP(A88,[1]道具配置表!$A:$D,4,FALSE)</f>
        <v>卡多姆</v>
      </c>
      <c r="C88" s="14">
        <v>4</v>
      </c>
      <c r="D88" s="14" t="str">
        <f t="shared" si="13"/>
        <v>稀有橙</v>
      </c>
      <c r="E88" s="14" t="str">
        <f t="shared" si="14"/>
        <v>卡多姆x4</v>
      </c>
      <c r="F88" s="14" t="str">
        <f t="shared" si="15"/>
        <v>稀有橙色道具碎片X4</v>
      </c>
      <c r="G88" s="14">
        <f t="shared" si="16"/>
        <v>2</v>
      </c>
    </row>
    <row r="89" spans="1:7" x14ac:dyDescent="0.25">
      <c r="A89" s="14">
        <f t="shared" si="12"/>
        <v>14318</v>
      </c>
      <c r="B89" s="23" t="str">
        <f>VLOOKUP(A89,[1]道具配置表!$A:$D,4,FALSE)</f>
        <v>巴希斯</v>
      </c>
      <c r="C89" s="14">
        <v>4</v>
      </c>
      <c r="D89" s="14" t="str">
        <f t="shared" si="13"/>
        <v>稀有橙</v>
      </c>
      <c r="E89" s="14" t="str">
        <f t="shared" si="14"/>
        <v>巴希斯x4</v>
      </c>
      <c r="F89" s="14" t="str">
        <f t="shared" si="15"/>
        <v>稀有橙色道具碎片X4</v>
      </c>
      <c r="G89" s="14">
        <f t="shared" si="16"/>
        <v>2</v>
      </c>
    </row>
    <row r="90" spans="1:7" x14ac:dyDescent="0.25">
      <c r="A90" s="14">
        <f t="shared" si="12"/>
        <v>14319</v>
      </c>
      <c r="B90" s="23" t="str">
        <f>VLOOKUP(A90,[1]道具配置表!$A:$D,4,FALSE)</f>
        <v>约恩</v>
      </c>
      <c r="C90" s="14">
        <v>4</v>
      </c>
      <c r="D90" s="14" t="str">
        <f t="shared" si="13"/>
        <v>蓝</v>
      </c>
      <c r="E90" s="14" t="str">
        <f t="shared" si="14"/>
        <v>约恩x4</v>
      </c>
      <c r="F90" s="14" t="str">
        <f t="shared" si="15"/>
        <v>蓝色道具碎片X4</v>
      </c>
      <c r="G90" s="14">
        <f t="shared" si="16"/>
        <v>300</v>
      </c>
    </row>
    <row r="91" spans="1:7" x14ac:dyDescent="0.25">
      <c r="A91" s="14">
        <f t="shared" si="12"/>
        <v>17200</v>
      </c>
      <c r="B91" s="23" t="str">
        <f>VLOOKUP(A91,[1]道具配置表!$A:$D,4,FALSE)</f>
        <v>名人博学值+100</v>
      </c>
      <c r="C91" s="14">
        <v>4</v>
      </c>
      <c r="D91" s="14" t="str">
        <f t="shared" si="13"/>
        <v>绿</v>
      </c>
      <c r="E91" s="14" t="str">
        <f t="shared" si="14"/>
        <v>名人博学值+100x4</v>
      </c>
      <c r="F91" s="14" t="str">
        <f t="shared" si="15"/>
        <v>绿色道具碎片X4</v>
      </c>
      <c r="G91" s="14">
        <f t="shared" si="16"/>
        <v>1000</v>
      </c>
    </row>
    <row r="92" spans="1:7" x14ac:dyDescent="0.25">
      <c r="A92" s="14">
        <f t="shared" si="12"/>
        <v>14101</v>
      </c>
      <c r="B92" s="23" t="str">
        <f>VLOOKUP(A92,[1]道具配置表!$A:$D,4,FALSE)</f>
        <v>陆芊岚</v>
      </c>
      <c r="C92" s="14">
        <v>10</v>
      </c>
      <c r="D92" s="14" t="str">
        <f t="shared" si="13"/>
        <v>橙</v>
      </c>
      <c r="E92" s="14" t="str">
        <f t="shared" si="14"/>
        <v>陆芊岚x10</v>
      </c>
      <c r="F92" s="14" t="str">
        <f t="shared" si="15"/>
        <v>橙色道具碎片X10</v>
      </c>
      <c r="G92" s="14">
        <f t="shared" si="16"/>
        <v>6</v>
      </c>
    </row>
    <row r="93" spans="1:7" x14ac:dyDescent="0.25">
      <c r="A93" s="14">
        <f t="shared" si="12"/>
        <v>14105</v>
      </c>
      <c r="B93" s="23" t="str">
        <f>VLOOKUP(A93,[1]道具配置表!$A:$D,4,FALSE)</f>
        <v>顾盼儿</v>
      </c>
      <c r="C93" s="14">
        <v>10</v>
      </c>
      <c r="D93" s="14" t="str">
        <f t="shared" si="13"/>
        <v>橙</v>
      </c>
      <c r="E93" s="14" t="str">
        <f t="shared" si="14"/>
        <v>顾盼儿x10</v>
      </c>
      <c r="F93" s="14" t="str">
        <f t="shared" si="15"/>
        <v>橙色道具碎片X10</v>
      </c>
      <c r="G93" s="14">
        <f t="shared" si="16"/>
        <v>6</v>
      </c>
    </row>
    <row r="94" spans="1:7" x14ac:dyDescent="0.25">
      <c r="A94" s="14">
        <f t="shared" si="12"/>
        <v>14106</v>
      </c>
      <c r="B94" s="23" t="str">
        <f>VLOOKUP(A94,[1]道具配置表!$A:$D,4,FALSE)</f>
        <v>穆离</v>
      </c>
      <c r="C94" s="14">
        <v>10</v>
      </c>
      <c r="D94" s="14" t="str">
        <f t="shared" si="13"/>
        <v>橙</v>
      </c>
      <c r="E94" s="14" t="str">
        <f t="shared" si="14"/>
        <v>穆离x10</v>
      </c>
      <c r="F94" s="14" t="str">
        <f t="shared" si="15"/>
        <v>橙色道具碎片X10</v>
      </c>
      <c r="G94" s="14">
        <f t="shared" si="16"/>
        <v>6</v>
      </c>
    </row>
    <row r="95" spans="1:7" x14ac:dyDescent="0.25">
      <c r="A95" s="14">
        <f t="shared" si="12"/>
        <v>14107</v>
      </c>
      <c r="B95" s="23" t="str">
        <f>VLOOKUP(A95,[1]道具配置表!$A:$D,4,FALSE)</f>
        <v>伊丽莎白</v>
      </c>
      <c r="C95" s="14">
        <v>10</v>
      </c>
      <c r="D95" s="14" t="str">
        <f t="shared" si="13"/>
        <v>橙</v>
      </c>
      <c r="E95" s="14" t="str">
        <f t="shared" si="14"/>
        <v>伊丽莎白x10</v>
      </c>
      <c r="F95" s="14" t="str">
        <f t="shared" si="15"/>
        <v>橙色道具碎片X10</v>
      </c>
      <c r="G95" s="14">
        <f t="shared" si="16"/>
        <v>6</v>
      </c>
    </row>
    <row r="96" spans="1:7" x14ac:dyDescent="0.25">
      <c r="A96" s="14">
        <f t="shared" ref="A96:A121" si="17">A66</f>
        <v>14108</v>
      </c>
      <c r="B96" s="23" t="str">
        <f>VLOOKUP(A96,[1]道具配置表!$A:$D,4,FALSE)</f>
        <v>娜娜丽</v>
      </c>
      <c r="C96" s="14">
        <v>10</v>
      </c>
      <c r="D96" s="14" t="str">
        <f t="shared" si="13"/>
        <v>蓝</v>
      </c>
      <c r="E96" s="14" t="str">
        <f t="shared" si="14"/>
        <v>娜娜丽x10</v>
      </c>
      <c r="F96" s="14" t="str">
        <f t="shared" si="15"/>
        <v>蓝色道具碎片X10</v>
      </c>
      <c r="G96" s="14">
        <f t="shared" si="16"/>
        <v>150</v>
      </c>
    </row>
    <row r="97" spans="1:7" x14ac:dyDescent="0.25">
      <c r="A97" s="14">
        <f t="shared" si="17"/>
        <v>14109</v>
      </c>
      <c r="B97" s="23" t="str">
        <f>VLOOKUP(A97,[1]道具配置表!$A:$D,4,FALSE)</f>
        <v>埃托雷</v>
      </c>
      <c r="C97" s="14">
        <v>10</v>
      </c>
      <c r="D97" s="14" t="str">
        <f t="shared" si="13"/>
        <v>紫</v>
      </c>
      <c r="E97" s="14" t="str">
        <f t="shared" si="14"/>
        <v>埃托雷x10</v>
      </c>
      <c r="F97" s="14" t="str">
        <f t="shared" si="15"/>
        <v>紫色道具碎片X10</v>
      </c>
      <c r="G97" s="14">
        <f t="shared" si="16"/>
        <v>20</v>
      </c>
    </row>
    <row r="98" spans="1:7" x14ac:dyDescent="0.25">
      <c r="A98" s="14">
        <f t="shared" si="17"/>
        <v>14201</v>
      </c>
      <c r="B98" s="23" t="str">
        <f>VLOOKUP(A98,[1]道具配置表!$A:$D,4,FALSE)</f>
        <v>维托里奥</v>
      </c>
      <c r="C98" s="14">
        <v>10</v>
      </c>
      <c r="D98" s="14" t="str">
        <f t="shared" ref="D98:D121" si="18">VLOOKUP(B98,$W:$X,2,FALSE)</f>
        <v>橙</v>
      </c>
      <c r="E98" s="14" t="str">
        <f t="shared" ref="E98:E121" si="19">CONCATENATE(B98,"x",C98)</f>
        <v>维托里奥x10</v>
      </c>
      <c r="F98" s="14" t="str">
        <f t="shared" ref="F98:F121" si="20">D98&amp;"色道具碎片"&amp;"X"&amp;C98</f>
        <v>橙色道具碎片X10</v>
      </c>
      <c r="G98" s="14">
        <f t="shared" ref="G98:G121" si="21">VLOOKUP(F98,$P$2:$S$21,4,FALSE)</f>
        <v>6</v>
      </c>
    </row>
    <row r="99" spans="1:7" x14ac:dyDescent="0.25">
      <c r="A99" s="14">
        <f t="shared" si="17"/>
        <v>14202</v>
      </c>
      <c r="B99" s="23" t="str">
        <f>VLOOKUP(A99,[1]道具配置表!$A:$D,4,FALSE)</f>
        <v>苏安</v>
      </c>
      <c r="C99" s="14">
        <v>10</v>
      </c>
      <c r="D99" s="14" t="str">
        <f t="shared" si="18"/>
        <v>紫</v>
      </c>
      <c r="E99" s="14" t="str">
        <f t="shared" si="19"/>
        <v>苏安x10</v>
      </c>
      <c r="F99" s="14" t="str">
        <f t="shared" si="20"/>
        <v>紫色道具碎片X10</v>
      </c>
      <c r="G99" s="14">
        <f t="shared" si="21"/>
        <v>20</v>
      </c>
    </row>
    <row r="100" spans="1:7" x14ac:dyDescent="0.25">
      <c r="A100" s="14">
        <f t="shared" si="17"/>
        <v>14203</v>
      </c>
      <c r="B100" s="23" t="str">
        <f>VLOOKUP(A100,[1]道具配置表!$A:$D,4,FALSE)</f>
        <v>范文定</v>
      </c>
      <c r="C100" s="14">
        <v>10</v>
      </c>
      <c r="D100" s="14" t="str">
        <f t="shared" si="18"/>
        <v>稀有橙</v>
      </c>
      <c r="E100" s="14" t="str">
        <f t="shared" si="19"/>
        <v>范文定x10</v>
      </c>
      <c r="F100" s="14" t="str">
        <f t="shared" si="20"/>
        <v>稀有橙色道具碎片X10</v>
      </c>
      <c r="G100" s="14">
        <f t="shared" si="21"/>
        <v>1</v>
      </c>
    </row>
    <row r="101" spans="1:7" x14ac:dyDescent="0.25">
      <c r="A101" s="14">
        <f t="shared" si="17"/>
        <v>14204</v>
      </c>
      <c r="B101" s="23" t="str">
        <f>VLOOKUP(A101,[1]道具配置表!$A:$D,4,FALSE)</f>
        <v>亚历山德罗</v>
      </c>
      <c r="C101" s="14">
        <v>10</v>
      </c>
      <c r="D101" s="14" t="str">
        <f t="shared" si="18"/>
        <v>稀有橙</v>
      </c>
      <c r="E101" s="14" t="str">
        <f t="shared" si="19"/>
        <v>亚历山德罗x10</v>
      </c>
      <c r="F101" s="14" t="str">
        <f t="shared" si="20"/>
        <v>稀有橙色道具碎片X10</v>
      </c>
      <c r="G101" s="14">
        <f t="shared" si="21"/>
        <v>1</v>
      </c>
    </row>
    <row r="102" spans="1:7" x14ac:dyDescent="0.25">
      <c r="A102" s="14">
        <f t="shared" si="17"/>
        <v>14206</v>
      </c>
      <c r="B102" s="23" t="str">
        <f>VLOOKUP(A102,[1]道具配置表!$A:$D,4,FALSE)</f>
        <v>杜若</v>
      </c>
      <c r="C102" s="14">
        <v>10</v>
      </c>
      <c r="D102" s="14" t="str">
        <f t="shared" si="18"/>
        <v>稀有橙</v>
      </c>
      <c r="E102" s="14" t="str">
        <f t="shared" si="19"/>
        <v>杜若x10</v>
      </c>
      <c r="F102" s="14" t="str">
        <f t="shared" si="20"/>
        <v>稀有橙色道具碎片X10</v>
      </c>
      <c r="G102" s="14">
        <f t="shared" si="21"/>
        <v>1</v>
      </c>
    </row>
    <row r="103" spans="1:7" x14ac:dyDescent="0.25">
      <c r="A103" s="14">
        <f t="shared" si="17"/>
        <v>14207</v>
      </c>
      <c r="B103" s="23" t="str">
        <f>VLOOKUP(A103,[1]道具配置表!$A:$D,4,FALSE)</f>
        <v>艾洛缇丝</v>
      </c>
      <c r="C103" s="14">
        <v>10</v>
      </c>
      <c r="D103" s="14" t="str">
        <f t="shared" si="18"/>
        <v>蓝</v>
      </c>
      <c r="E103" s="14" t="str">
        <f t="shared" si="19"/>
        <v>艾洛缇丝x10</v>
      </c>
      <c r="F103" s="14" t="str">
        <f t="shared" si="20"/>
        <v>蓝色道具碎片X10</v>
      </c>
      <c r="G103" s="14">
        <f t="shared" si="21"/>
        <v>150</v>
      </c>
    </row>
    <row r="104" spans="1:7" x14ac:dyDescent="0.25">
      <c r="A104" s="14">
        <f t="shared" si="17"/>
        <v>14301</v>
      </c>
      <c r="B104" s="23" t="str">
        <f>VLOOKUP(A104,[1]道具配置表!$A:$D,4,FALSE)</f>
        <v>梅芙</v>
      </c>
      <c r="C104" s="14">
        <v>10</v>
      </c>
      <c r="D104" s="14" t="str">
        <f t="shared" si="18"/>
        <v>蓝</v>
      </c>
      <c r="E104" s="14" t="str">
        <f t="shared" si="19"/>
        <v>梅芙x10</v>
      </c>
      <c r="F104" s="14" t="str">
        <f t="shared" si="20"/>
        <v>蓝色道具碎片X10</v>
      </c>
      <c r="G104" s="14">
        <f t="shared" si="21"/>
        <v>150</v>
      </c>
    </row>
    <row r="105" spans="1:7" x14ac:dyDescent="0.25">
      <c r="A105" s="14">
        <f t="shared" si="17"/>
        <v>14302</v>
      </c>
      <c r="B105" s="23" t="str">
        <f>VLOOKUP(A105,[1]道具配置表!$A:$D,4,FALSE)</f>
        <v>卡尔维斯</v>
      </c>
      <c r="C105" s="14">
        <v>10</v>
      </c>
      <c r="D105" s="14" t="str">
        <f t="shared" si="18"/>
        <v>紫</v>
      </c>
      <c r="E105" s="14" t="str">
        <f t="shared" si="19"/>
        <v>卡尔维斯x10</v>
      </c>
      <c r="F105" s="14" t="str">
        <f t="shared" si="20"/>
        <v>紫色道具碎片X10</v>
      </c>
      <c r="G105" s="14">
        <f t="shared" si="21"/>
        <v>20</v>
      </c>
    </row>
    <row r="106" spans="1:7" x14ac:dyDescent="0.25">
      <c r="A106" s="14">
        <f t="shared" si="17"/>
        <v>14303</v>
      </c>
      <c r="B106" s="23" t="str">
        <f>VLOOKUP(A106,[1]道具配置表!$A:$D,4,FALSE)</f>
        <v>霍尔格</v>
      </c>
      <c r="C106" s="14">
        <v>10</v>
      </c>
      <c r="D106" s="14" t="str">
        <f t="shared" si="18"/>
        <v>紫</v>
      </c>
      <c r="E106" s="14" t="str">
        <f t="shared" si="19"/>
        <v>霍尔格x10</v>
      </c>
      <c r="F106" s="14" t="str">
        <f t="shared" si="20"/>
        <v>紫色道具碎片X10</v>
      </c>
      <c r="G106" s="14">
        <f t="shared" si="21"/>
        <v>20</v>
      </c>
    </row>
    <row r="107" spans="1:7" x14ac:dyDescent="0.25">
      <c r="A107" s="14">
        <f t="shared" si="17"/>
        <v>14304</v>
      </c>
      <c r="B107" s="23" t="str">
        <f>VLOOKUP(A107,[1]道具配置表!$A:$D,4,FALSE)</f>
        <v>沐南风</v>
      </c>
      <c r="C107" s="14">
        <v>10</v>
      </c>
      <c r="D107" s="14" t="str">
        <f t="shared" si="18"/>
        <v>紫</v>
      </c>
      <c r="E107" s="14" t="str">
        <f t="shared" si="19"/>
        <v>沐南风x10</v>
      </c>
      <c r="F107" s="14" t="str">
        <f t="shared" si="20"/>
        <v>紫色道具碎片X10</v>
      </c>
      <c r="G107" s="14">
        <f t="shared" si="21"/>
        <v>20</v>
      </c>
    </row>
    <row r="108" spans="1:7" x14ac:dyDescent="0.25">
      <c r="A108" s="14">
        <f t="shared" si="17"/>
        <v>14305</v>
      </c>
      <c r="B108" s="23" t="str">
        <f>VLOOKUP(A108,[1]道具配置表!$A:$D,4,FALSE)</f>
        <v>拉维妮娅</v>
      </c>
      <c r="C108" s="14">
        <v>10</v>
      </c>
      <c r="D108" s="14" t="str">
        <f t="shared" si="18"/>
        <v>紫</v>
      </c>
      <c r="E108" s="14" t="str">
        <f t="shared" si="19"/>
        <v>拉维妮娅x10</v>
      </c>
      <c r="F108" s="14" t="str">
        <f t="shared" si="20"/>
        <v>紫色道具碎片X10</v>
      </c>
      <c r="G108" s="14">
        <f t="shared" si="21"/>
        <v>20</v>
      </c>
    </row>
    <row r="109" spans="1:7" x14ac:dyDescent="0.25">
      <c r="A109" s="14">
        <f t="shared" si="17"/>
        <v>14306</v>
      </c>
      <c r="B109" s="23" t="str">
        <f>VLOOKUP(A109,[1]道具配置表!$A:$D,4,FALSE)</f>
        <v>杰拉尔德</v>
      </c>
      <c r="C109" s="14">
        <v>10</v>
      </c>
      <c r="D109" s="14" t="str">
        <f t="shared" si="18"/>
        <v>紫</v>
      </c>
      <c r="E109" s="14" t="str">
        <f t="shared" si="19"/>
        <v>杰拉尔德x10</v>
      </c>
      <c r="F109" s="14" t="str">
        <f t="shared" si="20"/>
        <v>紫色道具碎片X10</v>
      </c>
      <c r="G109" s="14">
        <f t="shared" si="21"/>
        <v>20</v>
      </c>
    </row>
    <row r="110" spans="1:7" x14ac:dyDescent="0.25">
      <c r="A110" s="14">
        <f t="shared" si="17"/>
        <v>14307</v>
      </c>
      <c r="B110" s="23" t="str">
        <f>VLOOKUP(A110,[1]道具配置表!$A:$D,4,FALSE)</f>
        <v>元元公主</v>
      </c>
      <c r="C110" s="14">
        <v>10</v>
      </c>
      <c r="D110" s="14" t="str">
        <f t="shared" si="18"/>
        <v>紫</v>
      </c>
      <c r="E110" s="14" t="str">
        <f t="shared" si="19"/>
        <v>元元公主x10</v>
      </c>
      <c r="F110" s="14" t="str">
        <f t="shared" si="20"/>
        <v>紫色道具碎片X10</v>
      </c>
      <c r="G110" s="14">
        <f t="shared" si="21"/>
        <v>20</v>
      </c>
    </row>
    <row r="111" spans="1:7" x14ac:dyDescent="0.25">
      <c r="A111" s="14">
        <f t="shared" si="17"/>
        <v>14308</v>
      </c>
      <c r="B111" s="23" t="str">
        <f>VLOOKUP(A111,[1]道具配置表!$A:$D,4,FALSE)</f>
        <v>卢卡</v>
      </c>
      <c r="C111" s="14">
        <v>10</v>
      </c>
      <c r="D111" s="14" t="str">
        <f t="shared" si="18"/>
        <v>紫</v>
      </c>
      <c r="E111" s="14" t="str">
        <f t="shared" si="19"/>
        <v>卢卡x10</v>
      </c>
      <c r="F111" s="14" t="str">
        <f t="shared" si="20"/>
        <v>紫色道具碎片X10</v>
      </c>
      <c r="G111" s="14">
        <f t="shared" si="21"/>
        <v>20</v>
      </c>
    </row>
    <row r="112" spans="1:7" x14ac:dyDescent="0.25">
      <c r="A112" s="14">
        <f t="shared" si="17"/>
        <v>14309</v>
      </c>
      <c r="B112" s="23" t="str">
        <f>VLOOKUP(A112,[1]道具配置表!$A:$D,4,FALSE)</f>
        <v>爱德华多</v>
      </c>
      <c r="C112" s="14">
        <v>10</v>
      </c>
      <c r="D112" s="14" t="str">
        <f t="shared" si="18"/>
        <v>紫</v>
      </c>
      <c r="E112" s="14" t="str">
        <f t="shared" si="19"/>
        <v>爱德华多x10</v>
      </c>
      <c r="F112" s="14" t="str">
        <f t="shared" si="20"/>
        <v>紫色道具碎片X10</v>
      </c>
      <c r="G112" s="14">
        <f t="shared" si="21"/>
        <v>20</v>
      </c>
    </row>
    <row r="113" spans="1:7" x14ac:dyDescent="0.25">
      <c r="A113" s="14">
        <f t="shared" si="17"/>
        <v>14312</v>
      </c>
      <c r="B113" s="23" t="str">
        <f>VLOOKUP(A113,[1]道具配置表!$A:$D,4,FALSE)</f>
        <v>鱼妙妙</v>
      </c>
      <c r="C113" s="14">
        <v>10</v>
      </c>
      <c r="D113" s="14" t="str">
        <f t="shared" si="18"/>
        <v>橙</v>
      </c>
      <c r="E113" s="14" t="str">
        <f t="shared" si="19"/>
        <v>鱼妙妙x10</v>
      </c>
      <c r="F113" s="14" t="str">
        <f t="shared" si="20"/>
        <v>橙色道具碎片X10</v>
      </c>
      <c r="G113" s="14">
        <f t="shared" si="21"/>
        <v>6</v>
      </c>
    </row>
    <row r="114" spans="1:7" x14ac:dyDescent="0.25">
      <c r="A114" s="14">
        <f t="shared" si="17"/>
        <v>14313</v>
      </c>
      <c r="B114" s="23" t="str">
        <f>VLOOKUP(A114,[1]道具配置表!$A:$D,4,FALSE)</f>
        <v>玛丽夫人</v>
      </c>
      <c r="C114" s="14">
        <v>10</v>
      </c>
      <c r="D114" s="14" t="str">
        <f t="shared" si="18"/>
        <v>紫</v>
      </c>
      <c r="E114" s="14" t="str">
        <f t="shared" si="19"/>
        <v>玛丽夫人x10</v>
      </c>
      <c r="F114" s="14" t="str">
        <f t="shared" si="20"/>
        <v>紫色道具碎片X10</v>
      </c>
      <c r="G114" s="14">
        <f t="shared" si="21"/>
        <v>20</v>
      </c>
    </row>
    <row r="115" spans="1:7" x14ac:dyDescent="0.25">
      <c r="A115" s="14">
        <f t="shared" si="17"/>
        <v>14314</v>
      </c>
      <c r="B115" s="23" t="str">
        <f>VLOOKUP(A115,[1]道具配置表!$A:$D,4,FALSE)</f>
        <v>琼鸣玉</v>
      </c>
      <c r="C115" s="14">
        <v>10</v>
      </c>
      <c r="D115" s="14" t="str">
        <f t="shared" si="18"/>
        <v>蓝</v>
      </c>
      <c r="E115" s="14" t="str">
        <f t="shared" si="19"/>
        <v>琼鸣玉x10</v>
      </c>
      <c r="F115" s="14" t="str">
        <f t="shared" si="20"/>
        <v>蓝色道具碎片X10</v>
      </c>
      <c r="G115" s="14">
        <f t="shared" si="21"/>
        <v>150</v>
      </c>
    </row>
    <row r="116" spans="1:7" x14ac:dyDescent="0.25">
      <c r="A116" s="14">
        <f t="shared" si="17"/>
        <v>14315</v>
      </c>
      <c r="B116" s="23" t="str">
        <f>VLOOKUP(A116,[1]道具配置表!$A:$D,4,FALSE)</f>
        <v>姚清珏</v>
      </c>
      <c r="C116" s="14">
        <v>10</v>
      </c>
      <c r="D116" s="14" t="str">
        <f t="shared" si="18"/>
        <v>稀有橙</v>
      </c>
      <c r="E116" s="14" t="str">
        <f t="shared" si="19"/>
        <v>姚清珏x10</v>
      </c>
      <c r="F116" s="14" t="str">
        <f t="shared" si="20"/>
        <v>稀有橙色道具碎片X10</v>
      </c>
      <c r="G116" s="14">
        <f t="shared" si="21"/>
        <v>1</v>
      </c>
    </row>
    <row r="117" spans="1:7" x14ac:dyDescent="0.25">
      <c r="A117" s="14">
        <f t="shared" si="17"/>
        <v>14316</v>
      </c>
      <c r="B117" s="23" t="str">
        <f>VLOOKUP(A117,[1]道具配置表!$A:$D,4,FALSE)</f>
        <v>姬闾</v>
      </c>
      <c r="C117" s="14">
        <v>10</v>
      </c>
      <c r="D117" s="14" t="str">
        <f t="shared" si="18"/>
        <v>紫</v>
      </c>
      <c r="E117" s="14" t="str">
        <f t="shared" si="19"/>
        <v>姬闾x10</v>
      </c>
      <c r="F117" s="14" t="str">
        <f t="shared" si="20"/>
        <v>紫色道具碎片X10</v>
      </c>
      <c r="G117" s="14">
        <f t="shared" si="21"/>
        <v>20</v>
      </c>
    </row>
    <row r="118" spans="1:7" x14ac:dyDescent="0.25">
      <c r="A118" s="14">
        <f t="shared" si="17"/>
        <v>14317</v>
      </c>
      <c r="B118" s="23" t="str">
        <f>VLOOKUP(A118,[1]道具配置表!$A:$D,4,FALSE)</f>
        <v>卡多姆</v>
      </c>
      <c r="C118" s="14">
        <v>10</v>
      </c>
      <c r="D118" s="14" t="str">
        <f t="shared" si="18"/>
        <v>稀有橙</v>
      </c>
      <c r="E118" s="14" t="str">
        <f t="shared" si="19"/>
        <v>卡多姆x10</v>
      </c>
      <c r="F118" s="14" t="str">
        <f t="shared" si="20"/>
        <v>稀有橙色道具碎片X10</v>
      </c>
      <c r="G118" s="14">
        <f t="shared" si="21"/>
        <v>1</v>
      </c>
    </row>
    <row r="119" spans="1:7" x14ac:dyDescent="0.25">
      <c r="A119" s="14">
        <f t="shared" si="17"/>
        <v>14318</v>
      </c>
      <c r="B119" s="23" t="str">
        <f>VLOOKUP(A119,[1]道具配置表!$A:$D,4,FALSE)</f>
        <v>巴希斯</v>
      </c>
      <c r="C119" s="14">
        <v>10</v>
      </c>
      <c r="D119" s="14" t="str">
        <f t="shared" si="18"/>
        <v>稀有橙</v>
      </c>
      <c r="E119" s="14" t="str">
        <f t="shared" si="19"/>
        <v>巴希斯x10</v>
      </c>
      <c r="F119" s="14" t="str">
        <f t="shared" si="20"/>
        <v>稀有橙色道具碎片X10</v>
      </c>
      <c r="G119" s="14">
        <f t="shared" si="21"/>
        <v>1</v>
      </c>
    </row>
    <row r="120" spans="1:7" x14ac:dyDescent="0.25">
      <c r="A120" s="14">
        <f t="shared" si="17"/>
        <v>14319</v>
      </c>
      <c r="B120" s="23" t="str">
        <f>VLOOKUP(A120,[1]道具配置表!$A:$D,4,FALSE)</f>
        <v>约恩</v>
      </c>
      <c r="C120" s="14">
        <v>10</v>
      </c>
      <c r="D120" s="14" t="str">
        <f t="shared" si="18"/>
        <v>蓝</v>
      </c>
      <c r="E120" s="14" t="str">
        <f t="shared" si="19"/>
        <v>约恩x10</v>
      </c>
      <c r="F120" s="14" t="str">
        <f t="shared" si="20"/>
        <v>蓝色道具碎片X10</v>
      </c>
      <c r="G120" s="14">
        <f t="shared" si="21"/>
        <v>150</v>
      </c>
    </row>
    <row r="121" spans="1:7" x14ac:dyDescent="0.25">
      <c r="A121" s="14">
        <f t="shared" si="17"/>
        <v>17200</v>
      </c>
      <c r="B121" s="23" t="str">
        <f>VLOOKUP(A121,[1]道具配置表!$A:$D,4,FALSE)</f>
        <v>名人博学值+100</v>
      </c>
      <c r="C121" s="14">
        <v>10</v>
      </c>
      <c r="D121" s="14" t="str">
        <f t="shared" si="18"/>
        <v>绿</v>
      </c>
      <c r="E121" s="14" t="str">
        <f t="shared" si="19"/>
        <v>名人博学值+100x10</v>
      </c>
      <c r="F121" s="14" t="str">
        <f t="shared" si="20"/>
        <v>绿色道具碎片X10</v>
      </c>
      <c r="G121" s="14">
        <f t="shared" si="21"/>
        <v>500</v>
      </c>
    </row>
  </sheetData>
  <phoneticPr fontId="7" type="noConversion"/>
  <conditionalFormatting sqref="D1:D1048576">
    <cfRule type="cellIs" dxfId="10" priority="13" operator="equal">
      <formula>"S"</formula>
    </cfRule>
    <cfRule type="cellIs" dxfId="9" priority="14" operator="equal">
      <formula>"A"</formula>
    </cfRule>
    <cfRule type="cellIs" dxfId="8" priority="15" operator="equal">
      <formula>"B"</formula>
    </cfRule>
  </conditionalFormatting>
  <conditionalFormatting sqref="V2:V24 V26:V27 V29:V30">
    <cfRule type="duplicateValues" dxfId="7" priority="12"/>
  </conditionalFormatting>
  <conditionalFormatting sqref="Y2:Y24 Y26:Y27">
    <cfRule type="duplicateValues" dxfId="6" priority="18"/>
  </conditionalFormatting>
  <conditionalFormatting sqref="Y29:Y30">
    <cfRule type="duplicateValues" dxfId="5" priority="10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workbookViewId="0">
      <selection activeCell="I16" sqref="I16"/>
    </sheetView>
  </sheetViews>
  <sheetFormatPr defaultColWidth="9" defaultRowHeight="14" x14ac:dyDescent="0.25"/>
  <cols>
    <col min="1" max="9" width="9" style="1" customWidth="1"/>
    <col min="10" max="10" width="24.6328125" style="28" bestFit="1" customWidth="1"/>
    <col min="11" max="11" width="23.6328125" style="28" customWidth="1"/>
    <col min="12" max="12" width="20.453125" style="28" bestFit="1" customWidth="1"/>
    <col min="13" max="13" width="25.36328125" style="2" customWidth="1"/>
    <col min="14" max="14" width="9" style="2" customWidth="1"/>
    <col min="15" max="15" width="9" style="1" customWidth="1"/>
    <col min="16" max="16384" width="9" style="1"/>
  </cols>
  <sheetData>
    <row r="1" spans="1:12" x14ac:dyDescent="0.25">
      <c r="A1" s="1" t="s">
        <v>55</v>
      </c>
    </row>
    <row r="2" spans="1:12" x14ac:dyDescent="0.25">
      <c r="B2" s="1" t="s">
        <v>56</v>
      </c>
    </row>
    <row r="3" spans="1:12" x14ac:dyDescent="0.25">
      <c r="B3" s="1" t="s">
        <v>57</v>
      </c>
    </row>
    <row r="4" spans="1:12" x14ac:dyDescent="0.25">
      <c r="B4" s="1" t="s">
        <v>58</v>
      </c>
    </row>
    <row r="5" spans="1:12" x14ac:dyDescent="0.25">
      <c r="B5" s="1" t="s">
        <v>59</v>
      </c>
    </row>
    <row r="10" spans="1:12" x14ac:dyDescent="0.25">
      <c r="K10" s="28" t="s">
        <v>60</v>
      </c>
    </row>
    <row r="12" spans="1:12" ht="28" customHeight="1" x14ac:dyDescent="0.25">
      <c r="J12" s="29" t="s">
        <v>61</v>
      </c>
      <c r="K12" s="30" t="s">
        <v>62</v>
      </c>
      <c r="L12" s="31" t="s">
        <v>63</v>
      </c>
    </row>
    <row r="13" spans="1:12" x14ac:dyDescent="0.25">
      <c r="J13" s="29"/>
      <c r="K13" s="30"/>
    </row>
    <row r="14" spans="1:12" ht="42" customHeight="1" x14ac:dyDescent="0.25">
      <c r="J14" s="29" t="s">
        <v>64</v>
      </c>
      <c r="K14" s="30" t="s">
        <v>65</v>
      </c>
    </row>
    <row r="15" spans="1:12" x14ac:dyDescent="0.25">
      <c r="J15" s="29"/>
      <c r="K15" s="30"/>
    </row>
    <row r="16" spans="1:12" ht="42" customHeight="1" x14ac:dyDescent="0.25">
      <c r="J16" s="29" t="s">
        <v>66</v>
      </c>
      <c r="K16" s="30" t="s">
        <v>67</v>
      </c>
    </row>
    <row r="17" spans="11:11" x14ac:dyDescent="0.25">
      <c r="K17" s="30"/>
    </row>
    <row r="18" spans="11:11" ht="42" customHeight="1" x14ac:dyDescent="0.25">
      <c r="K18" s="30" t="s">
        <v>68</v>
      </c>
    </row>
    <row r="19" spans="11:11" x14ac:dyDescent="0.25">
      <c r="K19" s="30"/>
    </row>
    <row r="20" spans="11:11" ht="42" customHeight="1" x14ac:dyDescent="0.25">
      <c r="K20" s="30" t="s">
        <v>69</v>
      </c>
    </row>
  </sheetData>
  <phoneticPr fontId="7" type="noConversion"/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" x14ac:dyDescent="0.25"/>
  <cols>
    <col min="1" max="3" width="80" style="27" customWidth="1"/>
  </cols>
  <sheetData>
    <row r="1" spans="1:3" x14ac:dyDescent="0.25">
      <c r="A1" t="s">
        <v>70</v>
      </c>
      <c r="B1" t="s">
        <v>71</v>
      </c>
      <c r="C1" t="s">
        <v>72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奖励配置表</vt:lpstr>
      <vt:lpstr>#索引</vt:lpstr>
      <vt:lpstr>#配表须知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T157523</cp:lastModifiedBy>
  <dcterms:created xsi:type="dcterms:W3CDTF">2006-09-13T11:21:00Z</dcterms:created>
  <dcterms:modified xsi:type="dcterms:W3CDTF">2025-04-18T08:52:55Z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2052-10.8.0.6470</vt:lpwstr>
  </property>
</Properties>
</file>