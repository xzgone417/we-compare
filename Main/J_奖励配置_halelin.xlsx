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xcel_AOEMTrunk\excel\new_xls_global\Main\"/>
    </mc:Choice>
  </mc:AlternateContent>
  <xr:revisionPtr revIDLastSave="0" documentId="13_ncr:1_{F1987C76-CF28-4A7A-AF9D-104A6F0A77EB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奖励配置表" sheetId="1" r:id="rId1"/>
    <sheet name="#索引" sheetId="2" r:id="rId2"/>
    <sheet name="#配表须知" sheetId="3" r:id="rId3"/>
    <sheet name="#TID_base_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2" l="1"/>
  <c r="T14" i="2"/>
  <c r="S14" i="2"/>
  <c r="P14" i="2"/>
  <c r="U13" i="2"/>
  <c r="T13" i="2"/>
  <c r="S13" i="2"/>
  <c r="P13" i="2"/>
  <c r="U12" i="2"/>
  <c r="T12" i="2"/>
  <c r="S12" i="2"/>
  <c r="P12" i="2"/>
  <c r="U11" i="2"/>
  <c r="T11" i="2"/>
  <c r="S11" i="2"/>
  <c r="P11" i="2"/>
  <c r="U10" i="2"/>
  <c r="T10" i="2"/>
  <c r="S10" i="2"/>
  <c r="P10" i="2"/>
  <c r="U9" i="2"/>
  <c r="T9" i="2"/>
  <c r="S9" i="2"/>
  <c r="P9" i="2"/>
  <c r="U8" i="2"/>
  <c r="T8" i="2"/>
  <c r="S8" i="2"/>
  <c r="P8" i="2"/>
  <c r="U7" i="2"/>
  <c r="T7" i="2"/>
  <c r="S7" i="2"/>
  <c r="P7" i="2"/>
  <c r="U6" i="2"/>
  <c r="T6" i="2"/>
  <c r="S6" i="2"/>
  <c r="P6" i="2"/>
  <c r="U5" i="2"/>
  <c r="T5" i="2"/>
  <c r="S5" i="2"/>
  <c r="P5" i="2"/>
  <c r="U4" i="2"/>
  <c r="T4" i="2"/>
  <c r="S4" i="2"/>
  <c r="P4" i="2"/>
  <c r="U3" i="2"/>
  <c r="T3" i="2"/>
  <c r="S3" i="2"/>
  <c r="P3" i="2"/>
  <c r="U2" i="2"/>
  <c r="T2" i="2"/>
  <c r="S2" i="2"/>
  <c r="P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chuckcgchen(陈长阁)</author>
    <author>Tencent_Go</author>
  </authors>
  <commentList>
    <comment ref="F2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与【相对权重】一起确定随机出几项道具
</t>
        </r>
      </text>
    </comment>
    <comment ref="H2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从最大数量最小数量里选择一个的权重</t>
        </r>
      </text>
    </comment>
    <comment ref="I2" authorId="0" shapeId="0" xr:uid="{00000000-0006-0000-0000-000003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包内物体统一计算权重</t>
        </r>
      </text>
    </comment>
    <comment ref="J2" authorId="0" shapeId="0" xr:uid="{00000000-0006-0000-0000-00000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单独概率值，和其他物品无关
</t>
        </r>
      </text>
    </comment>
    <comment ref="L2" authorId="0" shapeId="0" xr:uid="{00000000-0006-0000-0000-00000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是否使用本表id列顺序作为显示顺序
bool值 true或false
</t>
        </r>
      </text>
    </comment>
    <comment ref="K3" authorId="1" shapeId="0" xr:uid="{00000000-0006-0000-0000-000006000000}">
      <text>
        <r>
          <rPr>
            <sz val="11"/>
            <color theme="1"/>
            <rFont val="宋体"/>
            <family val="3"/>
            <charset val="134"/>
            <scheme val="minor"/>
          </rPr>
          <t>Tencent_Go:
失效</t>
        </r>
      </text>
    </comment>
  </commentList>
</comments>
</file>

<file path=xl/sharedStrings.xml><?xml version="1.0" encoding="utf-8"?>
<sst xmlns="http://schemas.openxmlformats.org/spreadsheetml/2006/main" count="65" uniqueCount="61">
  <si>
    <t>convert(ResReward.proto, table_RewardConfData, RewardConfData_4.pbin)</t>
  </si>
  <si>
    <t>相对随机配置</t>
  </si>
  <si>
    <t>奖励ID</t>
  </si>
  <si>
    <t>策划描述</t>
  </si>
  <si>
    <t>道具id</t>
  </si>
  <si>
    <t>道具名称</t>
  </si>
  <si>
    <t>道具数量</t>
  </si>
  <si>
    <t>相对权重最小个数</t>
  </si>
  <si>
    <t>相对权重最大个数</t>
  </si>
  <si>
    <t>数量权重</t>
  </si>
  <si>
    <t>相对权重（整数）</t>
  </si>
  <si>
    <t>绝对概率[0,1]</t>
  </si>
  <si>
    <t>过期时间</t>
  </si>
  <si>
    <t>自定义顺序</t>
  </si>
  <si>
    <t>id</t>
  </si>
  <si>
    <t>item.id</t>
  </si>
  <si>
    <t>item.num</t>
  </si>
  <si>
    <t>minNum</t>
  </si>
  <si>
    <t>maxNum</t>
  </si>
  <si>
    <t>numWeight[;]</t>
  </si>
  <si>
    <t>item.relativeWeight</t>
  </si>
  <si>
    <t>item.absoluteProbability</t>
  </si>
  <si>
    <t>item.expire</t>
  </si>
  <si>
    <t>customizedOrder</t>
  </si>
  <si>
    <t>种类</t>
  </si>
  <si>
    <t>稀有度</t>
  </si>
  <si>
    <t>区间</t>
  </si>
  <si>
    <t>数量</t>
  </si>
  <si>
    <t>权重</t>
  </si>
  <si>
    <t xml:space="preserve">单卡概率 </t>
  </si>
  <si>
    <t>总权重</t>
  </si>
  <si>
    <t>品类概率</t>
  </si>
  <si>
    <t>英雄</t>
  </si>
  <si>
    <t>三皇1号</t>
  </si>
  <si>
    <t>三皇2号</t>
  </si>
  <si>
    <t>三皇3号</t>
  </si>
  <si>
    <t>三皇4号</t>
  </si>
  <si>
    <t>稀有橙</t>
  </si>
  <si>
    <t>普通橙</t>
  </si>
  <si>
    <t>保底橙</t>
  </si>
  <si>
    <t>紫卡</t>
  </si>
  <si>
    <t>技能</t>
  </si>
  <si>
    <t>蓝卡</t>
  </si>
  <si>
    <t>分表须知</t>
  </si>
  <si>
    <t>* 每个策划占用10万ID段</t>
  </si>
  <si>
    <t>* 新增xlsx后需要将新表第一行pb名字和分表配置里对应起来(参考已有分表A1单元格的写法)</t>
  </si>
  <si>
    <t>* 告知服务器同学添加加载新分表的代码（ResMapAllServerLite.java.conv）</t>
  </si>
  <si>
    <t>* 新增分表后需转《奖励分表配置》并提交，后续只需要修改自己的分表即可</t>
  </si>
  <si>
    <t>奖励随机流程</t>
  </si>
  <si>
    <t>1. 产出【绝对概率】道具</t>
  </si>
  <si>
    <t>2. 产出【相对权重】道具</t>
  </si>
  <si>
    <t>3. 将第1步，第2步随机结果合并返回</t>
  </si>
  <si>
    <t>1.1对每个绝对概率道具进行一次随机，决定出不出</t>
  </si>
  <si>
    <t>2.1 将所有配置了相对权重的道具组建一个随机池子</t>
  </si>
  <si>
    <t>1.2 绝对概率配置范围为【0, 1】，配1必出，配置0必不出（用于预配置）</t>
  </si>
  <si>
    <t>2.2 如果配置了二项权重，则从最大最小两个数字中随机选一个数字n</t>
  </si>
  <si>
    <t>2.3 如果没配置二项权重，从最小最大数量范围中随机一个数字</t>
  </si>
  <si>
    <t>2.4 随机数为0不进行相对权重随机，随机数大于池子大小全出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</si>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</sst>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#,##0"/>
    <numFmt numFmtId="177" formatCode="000000"/>
  </numFmts>
  <fonts count="1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i/>
      <sz val="12"/>
      <color theme="1"/>
      <name val="微软雅黑"/>
      <family val="2"/>
      <charset val="134"/>
    </font>
    <font>
      <i/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Microsoft YaHei UI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i/>
      <u/>
      <sz val="10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9" fontId="10" fillId="0" borderId="0">
      <alignment vertical="center"/>
    </xf>
  </cellStyleXfs>
  <cellXfs count="32"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7" fontId="1" fillId="0" borderId="0" xfId="1" applyNumberFormat="1" applyFont="1" applyAlignment="1">
      <alignment vertical="center" wrapText="1"/>
    </xf>
    <xf numFmtId="0" fontId="0" fillId="0" borderId="0" xfId="0" applyAlignment="1"/>
    <xf numFmtId="177" fontId="1" fillId="3" borderId="0" xfId="1" applyNumberFormat="1" applyFont="1" applyFill="1" applyAlignment="1">
      <alignment vertical="center" wrapText="1"/>
    </xf>
    <xf numFmtId="177" fontId="1" fillId="4" borderId="0" xfId="1" applyNumberFormat="1" applyFont="1" applyFill="1" applyAlignment="1">
      <alignment vertical="center" wrapText="1"/>
    </xf>
    <xf numFmtId="177" fontId="1" fillId="5" borderId="0" xfId="1" applyNumberFormat="1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13" fillId="0" borderId="6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3">
    <cellStyle name="百分比" xfId="2" builtinId="5"/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2"/>
  <sheetViews>
    <sheetView tabSelected="1" zoomScale="85" zoomScaleNormal="85" workbookViewId="0">
      <pane xSplit="1" ySplit="3" topLeftCell="B4" activePane="bottomRight" state="frozen"/>
      <selection pane="topRight"/>
      <selection pane="bottomLeft"/>
      <selection pane="bottomRight" activeCell="B10" sqref="B10"/>
    </sheetView>
  </sheetViews>
  <sheetFormatPr defaultColWidth="9" defaultRowHeight="16.5" x14ac:dyDescent="0.25"/>
  <cols>
    <col min="1" max="1" width="20.453125" style="18" customWidth="1"/>
    <col min="2" max="2" width="46.90625" style="1" customWidth="1"/>
    <col min="3" max="4" width="25.6328125" style="8" customWidth="1"/>
    <col min="5" max="5" width="12.36328125" style="8" customWidth="1"/>
    <col min="6" max="8" width="19.90625" style="1" customWidth="1"/>
    <col min="9" max="9" width="24.36328125" style="1" customWidth="1"/>
    <col min="10" max="10" width="30" style="1" customWidth="1"/>
    <col min="11" max="11" width="14.26953125" style="1" customWidth="1"/>
    <col min="12" max="12" width="21.08984375" style="1" customWidth="1"/>
    <col min="13" max="21" width="18.90625" style="1" customWidth="1"/>
    <col min="22" max="30" width="15.6328125" style="1" customWidth="1"/>
    <col min="31" max="31" width="9" style="1" customWidth="1"/>
    <col min="32" max="16384" width="9" style="1"/>
  </cols>
  <sheetData>
    <row r="1" spans="1:30" x14ac:dyDescent="0.25">
      <c r="A1" s="19" t="s">
        <v>0</v>
      </c>
      <c r="B1" s="17"/>
      <c r="C1" s="17"/>
      <c r="D1" s="17"/>
      <c r="E1" s="17"/>
      <c r="F1" s="26" t="s">
        <v>1</v>
      </c>
      <c r="G1" s="27"/>
      <c r="H1" s="27"/>
      <c r="I1" s="28"/>
      <c r="J1" s="17"/>
      <c r="K1" s="17"/>
      <c r="L1" s="17"/>
    </row>
    <row r="2" spans="1:30" s="2" customFormat="1" x14ac:dyDescent="0.25">
      <c r="A2" s="20" t="s">
        <v>2</v>
      </c>
      <c r="B2" s="9" t="s">
        <v>3</v>
      </c>
      <c r="C2" s="9" t="s">
        <v>4</v>
      </c>
      <c r="D2" s="10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V2" s="3"/>
      <c r="W2" s="3"/>
      <c r="X2" s="3"/>
      <c r="Y2" s="3"/>
      <c r="Z2" s="3"/>
      <c r="AA2" s="3"/>
      <c r="AB2" s="3"/>
      <c r="AC2" s="3"/>
      <c r="AD2" s="3"/>
    </row>
    <row r="3" spans="1:30" s="2" customFormat="1" x14ac:dyDescent="0.25">
      <c r="A3" s="20" t="s">
        <v>14</v>
      </c>
      <c r="B3" s="9"/>
      <c r="C3" s="9" t="s">
        <v>15</v>
      </c>
      <c r="D3" s="9"/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25">
      <c r="A4" s="17"/>
      <c r="B4" s="11"/>
      <c r="C4" s="17"/>
      <c r="D4" s="11"/>
      <c r="E4" s="17"/>
      <c r="F4" s="17"/>
      <c r="G4" s="17"/>
      <c r="H4" s="17"/>
      <c r="I4" s="17"/>
      <c r="J4" s="17"/>
      <c r="K4" s="17"/>
      <c r="L4" s="17"/>
    </row>
    <row r="5" spans="1:30" x14ac:dyDescent="0.25">
      <c r="A5" s="17"/>
      <c r="B5" s="11"/>
      <c r="C5" s="17"/>
      <c r="D5" s="11"/>
      <c r="E5" s="17"/>
      <c r="F5" s="17"/>
      <c r="G5" s="17"/>
      <c r="H5" s="17"/>
      <c r="I5" s="17"/>
      <c r="J5" s="17"/>
      <c r="K5" s="17"/>
      <c r="L5" s="17"/>
    </row>
    <row r="6" spans="1:30" x14ac:dyDescent="0.25">
      <c r="A6" s="17"/>
      <c r="B6" s="11"/>
      <c r="C6" s="17"/>
      <c r="D6" s="11"/>
      <c r="E6" s="17"/>
      <c r="F6" s="17"/>
      <c r="G6" s="17"/>
      <c r="H6" s="17"/>
      <c r="I6" s="17"/>
      <c r="J6" s="17"/>
      <c r="K6" s="17"/>
      <c r="L6" s="17"/>
    </row>
    <row r="7" spans="1:30" x14ac:dyDescent="0.25">
      <c r="A7" s="17"/>
      <c r="B7" s="11"/>
      <c r="C7" s="17"/>
      <c r="D7" s="11"/>
      <c r="E7" s="17"/>
      <c r="F7" s="17"/>
      <c r="G7" s="17"/>
      <c r="H7" s="17"/>
      <c r="I7" s="17"/>
      <c r="J7" s="17"/>
      <c r="K7" s="17"/>
      <c r="L7" s="17"/>
    </row>
    <row r="8" spans="1:30" x14ac:dyDescent="0.25">
      <c r="A8" s="17"/>
      <c r="B8" s="11"/>
      <c r="C8" s="17"/>
      <c r="D8" s="11"/>
      <c r="E8" s="17"/>
      <c r="F8" s="17"/>
      <c r="G8" s="17"/>
      <c r="H8" s="17"/>
      <c r="I8" s="17"/>
      <c r="J8" s="17"/>
      <c r="K8" s="17"/>
      <c r="L8" s="17"/>
    </row>
    <row r="9" spans="1:30" x14ac:dyDescent="0.25">
      <c r="A9" s="17"/>
      <c r="B9" s="11"/>
      <c r="C9" s="17"/>
      <c r="D9" s="11"/>
      <c r="E9" s="17"/>
      <c r="F9" s="17"/>
      <c r="G9" s="17"/>
      <c r="H9" s="17"/>
      <c r="I9" s="17"/>
      <c r="J9" s="17"/>
      <c r="K9" s="17"/>
      <c r="L9" s="17"/>
    </row>
    <row r="10" spans="1:30" x14ac:dyDescent="0.25">
      <c r="A10" s="17"/>
      <c r="B10" s="11"/>
      <c r="C10" s="17"/>
      <c r="D10" s="11"/>
      <c r="E10" s="17"/>
      <c r="F10" s="17"/>
      <c r="G10" s="17"/>
      <c r="H10" s="17"/>
      <c r="I10" s="17"/>
      <c r="J10" s="17"/>
      <c r="K10" s="17"/>
      <c r="L10" s="17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5">
      <c r="A11" s="17"/>
      <c r="B11" s="11"/>
      <c r="C11" s="17"/>
      <c r="D11" s="11"/>
      <c r="E11" s="17"/>
      <c r="F11" s="17"/>
      <c r="G11" s="17"/>
      <c r="H11" s="17"/>
      <c r="I11" s="17"/>
      <c r="J11" s="17"/>
      <c r="K11" s="17"/>
      <c r="L11" s="17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5">
      <c r="A12" s="17"/>
      <c r="B12" s="11"/>
      <c r="C12" s="17"/>
      <c r="D12" s="11"/>
      <c r="E12" s="17"/>
      <c r="F12" s="17"/>
      <c r="G12" s="17"/>
      <c r="H12" s="17"/>
      <c r="I12" s="17"/>
      <c r="J12" s="17"/>
      <c r="K12" s="17"/>
      <c r="L12" s="17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5">
      <c r="A13" s="17"/>
      <c r="B13" s="11"/>
      <c r="C13" s="17"/>
      <c r="D13" s="11"/>
      <c r="E13" s="17"/>
      <c r="F13" s="17"/>
      <c r="G13" s="17"/>
      <c r="H13" s="17"/>
      <c r="I13" s="17"/>
      <c r="J13" s="17"/>
      <c r="K13" s="17"/>
      <c r="L13" s="17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5">
      <c r="A14" s="17"/>
      <c r="B14" s="11"/>
      <c r="C14" s="17"/>
      <c r="D14" s="11"/>
      <c r="E14" s="17"/>
      <c r="F14" s="17"/>
      <c r="G14" s="17"/>
      <c r="H14" s="17"/>
      <c r="I14" s="17"/>
      <c r="J14" s="17"/>
      <c r="K14" s="17"/>
      <c r="L14" s="17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5">
      <c r="A15" s="17"/>
      <c r="B15" s="11"/>
      <c r="C15" s="17"/>
      <c r="D15" s="11"/>
      <c r="E15" s="17"/>
      <c r="F15" s="17"/>
      <c r="G15" s="17"/>
      <c r="H15" s="17"/>
      <c r="I15" s="17"/>
      <c r="J15" s="17"/>
      <c r="K15" s="17"/>
      <c r="L15" s="17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5">
      <c r="A16" s="17"/>
      <c r="B16" s="11"/>
      <c r="C16" s="17"/>
      <c r="D16" s="11"/>
      <c r="E16" s="17"/>
      <c r="F16" s="17"/>
      <c r="G16" s="17"/>
      <c r="H16" s="17"/>
      <c r="I16" s="17"/>
      <c r="J16" s="17"/>
      <c r="K16" s="17"/>
      <c r="L16" s="17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5">
      <c r="A17" s="17"/>
      <c r="B17" s="11"/>
      <c r="C17" s="17"/>
      <c r="D17" s="11"/>
      <c r="E17" s="17"/>
      <c r="F17" s="17"/>
      <c r="G17" s="17"/>
      <c r="H17" s="17"/>
      <c r="I17" s="17"/>
      <c r="J17" s="17"/>
      <c r="K17" s="17"/>
      <c r="L17" s="17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5">
      <c r="A18" s="17"/>
      <c r="B18" s="11"/>
      <c r="C18" s="17"/>
      <c r="D18" s="11"/>
      <c r="E18" s="17"/>
      <c r="F18" s="17"/>
      <c r="G18" s="17"/>
      <c r="H18" s="17"/>
      <c r="I18" s="17"/>
      <c r="J18" s="17"/>
      <c r="K18" s="17"/>
      <c r="L18" s="17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5">
      <c r="A19" s="17"/>
      <c r="B19" s="11"/>
      <c r="C19" s="17"/>
      <c r="D19" s="11"/>
      <c r="E19" s="17"/>
      <c r="F19" s="17"/>
      <c r="G19" s="17"/>
      <c r="H19" s="17"/>
      <c r="I19" s="17"/>
      <c r="J19" s="17"/>
      <c r="K19" s="17"/>
      <c r="L19" s="17"/>
    </row>
    <row r="20" spans="1:30" x14ac:dyDescent="0.25">
      <c r="A20" s="17"/>
      <c r="B20" s="11"/>
      <c r="C20" s="17"/>
      <c r="D20" s="11"/>
      <c r="E20" s="17"/>
      <c r="F20" s="17"/>
      <c r="G20" s="17"/>
      <c r="H20" s="17"/>
      <c r="I20" s="17"/>
      <c r="J20" s="17"/>
      <c r="K20" s="17"/>
      <c r="L20" s="17"/>
    </row>
    <row r="21" spans="1:30" x14ac:dyDescent="0.25">
      <c r="A21" s="17"/>
      <c r="B21" s="11"/>
      <c r="C21" s="17"/>
      <c r="D21" s="11"/>
      <c r="E21" s="17"/>
      <c r="F21" s="17"/>
      <c r="G21" s="17"/>
      <c r="H21" s="17"/>
      <c r="I21" s="17"/>
      <c r="J21" s="17"/>
      <c r="K21" s="17"/>
      <c r="L21" s="17"/>
    </row>
    <row r="22" spans="1:30" x14ac:dyDescent="0.25">
      <c r="A22" s="17"/>
      <c r="B22" s="11"/>
      <c r="C22" s="17"/>
      <c r="D22" s="11"/>
      <c r="E22" s="17"/>
      <c r="F22" s="17"/>
      <c r="G22" s="17"/>
      <c r="H22" s="17"/>
      <c r="I22" s="17"/>
      <c r="J22" s="17"/>
      <c r="K22" s="17"/>
      <c r="L22" s="17"/>
    </row>
    <row r="23" spans="1:30" x14ac:dyDescent="0.25">
      <c r="A23" s="17"/>
      <c r="B23" s="11"/>
      <c r="C23" s="17"/>
      <c r="D23" s="11"/>
      <c r="E23" s="17"/>
      <c r="F23" s="17"/>
      <c r="G23" s="17"/>
      <c r="H23" s="17"/>
      <c r="I23" s="17"/>
      <c r="J23" s="17"/>
      <c r="K23" s="17"/>
      <c r="L23" s="17"/>
    </row>
    <row r="24" spans="1:30" x14ac:dyDescent="0.25">
      <c r="A24" s="17"/>
      <c r="B24" s="11"/>
      <c r="C24" s="17"/>
      <c r="D24" s="11"/>
      <c r="E24" s="17"/>
      <c r="F24" s="17"/>
      <c r="G24" s="17"/>
      <c r="H24" s="17"/>
      <c r="I24" s="17"/>
      <c r="J24" s="17"/>
      <c r="K24" s="17"/>
      <c r="L24" s="17"/>
    </row>
    <row r="25" spans="1:30" x14ac:dyDescent="0.25">
      <c r="A25" s="17"/>
      <c r="B25" s="11"/>
      <c r="C25" s="17"/>
      <c r="D25" s="11"/>
      <c r="E25" s="17"/>
      <c r="F25" s="17"/>
      <c r="G25" s="17"/>
      <c r="H25" s="17"/>
      <c r="I25" s="17"/>
      <c r="J25" s="17"/>
      <c r="K25" s="17"/>
      <c r="L25" s="17"/>
    </row>
    <row r="26" spans="1:30" x14ac:dyDescent="0.25">
      <c r="A26" s="17"/>
      <c r="B26" s="11"/>
      <c r="C26" s="17"/>
      <c r="D26" s="11"/>
      <c r="E26" s="17"/>
      <c r="F26" s="17"/>
      <c r="G26" s="17"/>
      <c r="H26" s="17"/>
      <c r="I26" s="17"/>
      <c r="J26" s="17"/>
      <c r="K26" s="17"/>
      <c r="L26" s="17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5">
      <c r="A27" s="17"/>
      <c r="B27" s="11"/>
      <c r="C27" s="17"/>
      <c r="D27" s="11"/>
      <c r="E27" s="17"/>
      <c r="F27" s="17"/>
      <c r="G27" s="17"/>
      <c r="H27" s="17"/>
      <c r="I27" s="17"/>
      <c r="J27" s="17"/>
      <c r="K27" s="17"/>
      <c r="L27" s="17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5">
      <c r="A28" s="17"/>
      <c r="B28" s="11"/>
      <c r="C28" s="17"/>
      <c r="D28" s="11"/>
      <c r="E28" s="17"/>
      <c r="F28" s="17"/>
      <c r="G28" s="17"/>
      <c r="H28" s="17"/>
      <c r="I28" s="17"/>
      <c r="J28" s="17"/>
      <c r="K28" s="17"/>
      <c r="L28" s="17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5">
      <c r="A29" s="17"/>
      <c r="B29" s="11"/>
      <c r="C29" s="17"/>
      <c r="D29" s="11"/>
      <c r="E29" s="17"/>
      <c r="F29" s="17"/>
      <c r="G29" s="17"/>
      <c r="H29" s="17"/>
      <c r="I29" s="17"/>
      <c r="J29" s="17"/>
      <c r="K29" s="17"/>
      <c r="L29" s="17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5">
      <c r="A30" s="17"/>
      <c r="B30" s="11"/>
      <c r="C30" s="17"/>
      <c r="D30" s="11"/>
      <c r="E30" s="17"/>
      <c r="F30" s="17"/>
      <c r="G30" s="17"/>
      <c r="H30" s="17"/>
      <c r="I30" s="17"/>
      <c r="J30" s="17"/>
      <c r="K30" s="17"/>
      <c r="L30" s="17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5">
      <c r="A31" s="17"/>
      <c r="B31" s="11"/>
      <c r="C31" s="17"/>
      <c r="D31" s="11"/>
      <c r="E31" s="17"/>
      <c r="F31" s="17"/>
      <c r="G31" s="17"/>
      <c r="H31" s="17"/>
      <c r="I31" s="17"/>
      <c r="J31" s="17"/>
      <c r="K31" s="17"/>
      <c r="L31" s="17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25">
      <c r="A32" s="17"/>
      <c r="B32" s="11"/>
      <c r="C32" s="17"/>
      <c r="D32" s="11"/>
      <c r="E32" s="17"/>
      <c r="F32" s="17"/>
      <c r="G32" s="17"/>
      <c r="H32" s="17"/>
      <c r="I32" s="17"/>
      <c r="J32" s="17"/>
      <c r="K32" s="17"/>
      <c r="L32" s="17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5">
      <c r="A33" s="17"/>
      <c r="B33" s="11"/>
      <c r="C33" s="17"/>
      <c r="D33" s="11"/>
      <c r="E33" s="17"/>
      <c r="F33" s="17"/>
      <c r="G33" s="17"/>
      <c r="H33" s="17"/>
      <c r="I33" s="17"/>
      <c r="J33" s="17"/>
      <c r="K33" s="17"/>
      <c r="L33" s="17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5">
      <c r="A34" s="17"/>
      <c r="B34" s="11"/>
      <c r="C34" s="17"/>
      <c r="D34" s="11"/>
      <c r="E34" s="17"/>
      <c r="J34" s="17"/>
      <c r="K34" s="17"/>
      <c r="L34" s="17"/>
    </row>
    <row r="35" spans="1:30" x14ac:dyDescent="0.25">
      <c r="A35" s="17"/>
      <c r="B35" s="11"/>
      <c r="C35" s="17"/>
      <c r="D35" s="11"/>
      <c r="E35" s="17"/>
      <c r="J35" s="17"/>
      <c r="K35" s="17"/>
      <c r="L35" s="17"/>
    </row>
    <row r="36" spans="1:30" x14ac:dyDescent="0.25">
      <c r="A36" s="17"/>
      <c r="B36" s="11"/>
      <c r="C36" s="17"/>
      <c r="D36" s="11"/>
      <c r="E36" s="17"/>
      <c r="J36" s="17"/>
      <c r="K36" s="17"/>
      <c r="L36" s="17"/>
    </row>
    <row r="37" spans="1:30" x14ac:dyDescent="0.25">
      <c r="A37" s="17"/>
      <c r="B37" s="11"/>
      <c r="C37" s="17"/>
      <c r="D37" s="11"/>
      <c r="E37" s="17"/>
      <c r="J37" s="17"/>
      <c r="K37" s="17"/>
      <c r="L37" s="17"/>
    </row>
    <row r="38" spans="1:30" x14ac:dyDescent="0.25">
      <c r="A38" s="17"/>
      <c r="B38" s="11"/>
      <c r="C38" s="17"/>
      <c r="D38" s="11"/>
      <c r="E38" s="17"/>
      <c r="J38" s="17"/>
      <c r="K38" s="17"/>
      <c r="L38" s="17"/>
    </row>
    <row r="39" spans="1:30" x14ac:dyDescent="0.25">
      <c r="A39" s="17"/>
      <c r="B39" s="11"/>
      <c r="C39" s="17"/>
      <c r="D39" s="11"/>
      <c r="E39" s="17"/>
      <c r="J39" s="17"/>
      <c r="K39" s="17"/>
      <c r="L39" s="17"/>
    </row>
    <row r="40" spans="1:30" x14ac:dyDescent="0.25">
      <c r="A40" s="17"/>
      <c r="B40" s="11"/>
      <c r="C40" s="17"/>
      <c r="D40" s="11"/>
      <c r="E40" s="17"/>
      <c r="J40" s="17"/>
      <c r="K40" s="17"/>
      <c r="L40" s="17"/>
    </row>
    <row r="41" spans="1:30" x14ac:dyDescent="0.25">
      <c r="A41" s="17"/>
      <c r="B41" s="11"/>
      <c r="C41" s="17"/>
      <c r="D41" s="11"/>
      <c r="E41" s="17"/>
      <c r="J41" s="17"/>
      <c r="K41" s="17"/>
      <c r="L41" s="17"/>
    </row>
    <row r="42" spans="1:30" x14ac:dyDescent="0.25">
      <c r="A42" s="17"/>
      <c r="B42" s="11"/>
      <c r="C42" s="17"/>
      <c r="D42" s="11"/>
      <c r="E42" s="17"/>
      <c r="J42" s="17"/>
      <c r="K42" s="17"/>
      <c r="L42" s="17"/>
    </row>
    <row r="43" spans="1:30" x14ac:dyDescent="0.25">
      <c r="A43" s="17"/>
      <c r="B43" s="11"/>
      <c r="C43" s="17"/>
      <c r="D43" s="11"/>
      <c r="E43" s="17"/>
      <c r="J43" s="17"/>
      <c r="K43" s="17"/>
      <c r="L43" s="17"/>
    </row>
    <row r="44" spans="1:30" x14ac:dyDescent="0.25">
      <c r="A44" s="17"/>
      <c r="B44" s="11"/>
      <c r="C44" s="17"/>
      <c r="D44" s="11"/>
      <c r="E44" s="17"/>
      <c r="J44" s="17"/>
      <c r="K44" s="17"/>
      <c r="L44" s="17"/>
    </row>
    <row r="45" spans="1:30" x14ac:dyDescent="0.25">
      <c r="A45" s="17"/>
      <c r="B45" s="11"/>
      <c r="C45" s="17"/>
      <c r="D45" s="11"/>
      <c r="E45" s="17"/>
      <c r="J45" s="17"/>
      <c r="K45" s="17"/>
      <c r="L45" s="17"/>
    </row>
    <row r="46" spans="1:30" x14ac:dyDescent="0.25">
      <c r="A46" s="17"/>
      <c r="B46" s="11"/>
      <c r="C46" s="17"/>
      <c r="D46" s="11"/>
      <c r="E46" s="17"/>
      <c r="J46" s="17"/>
      <c r="K46" s="17"/>
      <c r="L46" s="17"/>
    </row>
    <row r="47" spans="1:30" x14ac:dyDescent="0.25">
      <c r="A47" s="17"/>
      <c r="B47" s="11"/>
      <c r="C47" s="17"/>
      <c r="D47" s="11"/>
      <c r="E47" s="17"/>
      <c r="J47" s="17"/>
      <c r="K47" s="17"/>
      <c r="L47" s="17"/>
    </row>
    <row r="48" spans="1:30" x14ac:dyDescent="0.25">
      <c r="A48" s="17"/>
      <c r="B48" s="11"/>
      <c r="C48" s="17"/>
      <c r="D48" s="11"/>
      <c r="E48" s="17"/>
      <c r="J48" s="17"/>
      <c r="K48" s="17"/>
      <c r="L48" s="17"/>
    </row>
    <row r="49" spans="1:30" x14ac:dyDescent="0.25">
      <c r="A49" s="17"/>
      <c r="B49" s="11"/>
      <c r="C49" s="17"/>
      <c r="D49" s="11"/>
      <c r="E49" s="17"/>
      <c r="J49" s="17"/>
      <c r="K49" s="17"/>
      <c r="L49" s="17"/>
    </row>
    <row r="50" spans="1:30" x14ac:dyDescent="0.25">
      <c r="A50" s="17"/>
      <c r="B50" s="11"/>
      <c r="C50" s="17"/>
      <c r="D50" s="11"/>
      <c r="E50" s="17"/>
      <c r="J50" s="17"/>
      <c r="K50" s="17"/>
      <c r="L50" s="17"/>
    </row>
    <row r="51" spans="1:30" x14ac:dyDescent="0.25">
      <c r="A51" s="17"/>
      <c r="B51" s="11"/>
      <c r="C51" s="17"/>
      <c r="D51" s="11"/>
      <c r="E51" s="17"/>
      <c r="J51" s="17"/>
      <c r="K51" s="17"/>
      <c r="L51" s="17"/>
    </row>
    <row r="52" spans="1:30" x14ac:dyDescent="0.25">
      <c r="A52" s="17"/>
      <c r="B52" s="11"/>
      <c r="C52" s="17"/>
      <c r="D52" s="11"/>
      <c r="E52" s="17"/>
      <c r="J52" s="17"/>
      <c r="K52" s="17"/>
      <c r="L52" s="17"/>
    </row>
    <row r="53" spans="1:30" x14ac:dyDescent="0.25">
      <c r="A53" s="17"/>
      <c r="B53" s="11"/>
      <c r="C53" s="17"/>
      <c r="D53" s="11"/>
      <c r="E53" s="17"/>
      <c r="J53" s="17"/>
      <c r="K53" s="17"/>
      <c r="L53" s="17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25">
      <c r="A54" s="17"/>
      <c r="B54" s="11"/>
      <c r="C54" s="17"/>
      <c r="D54" s="11"/>
      <c r="E54" s="17"/>
      <c r="J54" s="17"/>
      <c r="K54" s="17"/>
      <c r="L54" s="17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5">
      <c r="A55" s="17"/>
      <c r="B55" s="11"/>
      <c r="C55" s="17"/>
      <c r="D55" s="11"/>
      <c r="E55" s="17"/>
      <c r="J55" s="17"/>
      <c r="K55" s="17"/>
      <c r="L55" s="17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5">
      <c r="A56" s="17"/>
      <c r="B56" s="11"/>
      <c r="C56" s="17"/>
      <c r="D56" s="11"/>
      <c r="E56" s="17"/>
      <c r="J56" s="17"/>
      <c r="K56" s="17"/>
      <c r="L56" s="17"/>
    </row>
    <row r="57" spans="1:30" x14ac:dyDescent="0.25">
      <c r="A57" s="17"/>
      <c r="B57" s="11"/>
      <c r="C57" s="17"/>
      <c r="D57" s="11"/>
      <c r="E57" s="17"/>
      <c r="J57" s="17"/>
      <c r="K57" s="17"/>
      <c r="L57" s="17"/>
    </row>
    <row r="58" spans="1:30" x14ac:dyDescent="0.25">
      <c r="A58" s="17"/>
      <c r="B58" s="11"/>
      <c r="C58" s="17"/>
      <c r="D58" s="11"/>
      <c r="E58" s="17"/>
      <c r="J58" s="17"/>
      <c r="K58" s="17"/>
      <c r="L58" s="17"/>
    </row>
    <row r="59" spans="1:30" x14ac:dyDescent="0.25">
      <c r="A59" s="17"/>
      <c r="B59" s="11"/>
      <c r="C59" s="17"/>
      <c r="D59" s="11"/>
      <c r="E59" s="17"/>
      <c r="F59" s="17"/>
      <c r="G59" s="17"/>
      <c r="H59" s="17"/>
      <c r="I59" s="17"/>
      <c r="J59" s="17"/>
      <c r="K59" s="17"/>
      <c r="L59" s="17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5">
      <c r="A60" s="17"/>
      <c r="B60" s="11"/>
      <c r="C60" s="17"/>
      <c r="D60" s="11"/>
      <c r="E60" s="17"/>
      <c r="F60" s="17"/>
      <c r="G60" s="17"/>
      <c r="H60" s="17"/>
      <c r="I60" s="17"/>
      <c r="J60" s="17"/>
      <c r="K60" s="17"/>
      <c r="L60" s="17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5">
      <c r="A61" s="1"/>
    </row>
    <row r="62" spans="1:30" x14ac:dyDescent="0.25">
      <c r="A62" s="1"/>
    </row>
    <row r="63" spans="1:30" x14ac:dyDescent="0.25">
      <c r="A63" s="1"/>
    </row>
    <row r="64" spans="1:30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</sheetData>
  <mergeCells count="1">
    <mergeCell ref="F1:I1"/>
  </mergeCells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N1:U14"/>
  <sheetViews>
    <sheetView workbookViewId="0">
      <selection activeCell="U2" sqref="U2:U14"/>
    </sheetView>
  </sheetViews>
  <sheetFormatPr defaultColWidth="9" defaultRowHeight="14.5" x14ac:dyDescent="0.25"/>
  <cols>
    <col min="1" max="1" width="9" style="12" customWidth="1"/>
    <col min="2" max="16384" width="9" style="12"/>
  </cols>
  <sheetData>
    <row r="1" spans="14:21" x14ac:dyDescent="0.25"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</row>
    <row r="2" spans="14:21" x14ac:dyDescent="0.4">
      <c r="N2" s="29" t="s">
        <v>32</v>
      </c>
      <c r="O2" s="14" t="s">
        <v>33</v>
      </c>
      <c r="P2" s="14">
        <f t="shared" ref="P2:P14" si="0">AE2</f>
        <v>0</v>
      </c>
      <c r="Q2" s="14">
        <v>1</v>
      </c>
      <c r="R2" s="14">
        <v>50</v>
      </c>
      <c r="S2" s="15">
        <f t="shared" ref="S2:S14" si="1">R2/SUM($T$2:$T$14)</f>
        <v>1.4312499105468806E-4</v>
      </c>
      <c r="T2" s="16">
        <f t="shared" ref="T2:T14" si="2">R2*Q2</f>
        <v>50</v>
      </c>
      <c r="U2" s="15">
        <f t="shared" ref="U2:U14" si="3">T2/SUM($T$2:$T$14)</f>
        <v>1.4312499105468806E-4</v>
      </c>
    </row>
    <row r="3" spans="14:21" x14ac:dyDescent="0.4">
      <c r="N3" s="30"/>
      <c r="O3" s="14" t="s">
        <v>34</v>
      </c>
      <c r="P3" s="14">
        <f t="shared" si="0"/>
        <v>0</v>
      </c>
      <c r="Q3" s="14">
        <v>1</v>
      </c>
      <c r="R3" s="14">
        <v>100</v>
      </c>
      <c r="S3" s="15">
        <f t="shared" si="1"/>
        <v>2.8624998210937611E-4</v>
      </c>
      <c r="T3" s="16">
        <f t="shared" si="2"/>
        <v>100</v>
      </c>
      <c r="U3" s="15">
        <f t="shared" si="3"/>
        <v>2.8624998210937611E-4</v>
      </c>
    </row>
    <row r="4" spans="14:21" x14ac:dyDescent="0.4">
      <c r="N4" s="30"/>
      <c r="O4" s="14" t="s">
        <v>35</v>
      </c>
      <c r="P4" s="14">
        <f t="shared" si="0"/>
        <v>0</v>
      </c>
      <c r="Q4" s="14">
        <v>1</v>
      </c>
      <c r="R4" s="14">
        <v>100</v>
      </c>
      <c r="S4" s="15">
        <f t="shared" si="1"/>
        <v>2.8624998210937611E-4</v>
      </c>
      <c r="T4" s="16">
        <f t="shared" si="2"/>
        <v>100</v>
      </c>
      <c r="U4" s="15">
        <f t="shared" si="3"/>
        <v>2.8624998210937611E-4</v>
      </c>
    </row>
    <row r="5" spans="14:21" x14ac:dyDescent="0.4">
      <c r="N5" s="30"/>
      <c r="O5" s="14" t="s">
        <v>36</v>
      </c>
      <c r="P5" s="14">
        <f t="shared" si="0"/>
        <v>0</v>
      </c>
      <c r="Q5" s="14">
        <v>1</v>
      </c>
      <c r="R5" s="14">
        <v>150</v>
      </c>
      <c r="S5" s="15">
        <f t="shared" si="1"/>
        <v>4.293749731640642E-4</v>
      </c>
      <c r="T5" s="16">
        <f t="shared" si="2"/>
        <v>150</v>
      </c>
      <c r="U5" s="15">
        <f t="shared" si="3"/>
        <v>4.293749731640642E-4</v>
      </c>
    </row>
    <row r="6" spans="14:21" x14ac:dyDescent="0.4">
      <c r="N6" s="30"/>
      <c r="O6" s="14" t="s">
        <v>37</v>
      </c>
      <c r="P6" s="14">
        <f t="shared" si="0"/>
        <v>0</v>
      </c>
      <c r="Q6" s="14">
        <v>10</v>
      </c>
      <c r="R6" s="14">
        <v>200</v>
      </c>
      <c r="S6" s="15">
        <f t="shared" si="1"/>
        <v>5.7249996421875223E-4</v>
      </c>
      <c r="T6" s="16">
        <f t="shared" si="2"/>
        <v>2000</v>
      </c>
      <c r="U6" s="15">
        <f t="shared" si="3"/>
        <v>5.7249996421875225E-3</v>
      </c>
    </row>
    <row r="7" spans="14:21" x14ac:dyDescent="0.4">
      <c r="N7" s="30"/>
      <c r="O7" s="14" t="s">
        <v>38</v>
      </c>
      <c r="P7" s="14">
        <f t="shared" si="0"/>
        <v>0</v>
      </c>
      <c r="Q7" s="14">
        <v>10</v>
      </c>
      <c r="R7" s="14">
        <v>400</v>
      </c>
      <c r="S7" s="15">
        <f t="shared" si="1"/>
        <v>1.1449999284375045E-3</v>
      </c>
      <c r="T7" s="16">
        <f t="shared" si="2"/>
        <v>4000</v>
      </c>
      <c r="U7" s="15">
        <f t="shared" si="3"/>
        <v>1.1449999284375045E-2</v>
      </c>
    </row>
    <row r="8" spans="14:21" x14ac:dyDescent="0.4">
      <c r="N8" s="30"/>
      <c r="O8" s="14" t="s">
        <v>39</v>
      </c>
      <c r="P8" s="14">
        <f t="shared" si="0"/>
        <v>0</v>
      </c>
      <c r="Q8" s="14">
        <v>11</v>
      </c>
      <c r="R8" s="14">
        <v>845</v>
      </c>
      <c r="S8" s="15">
        <f t="shared" si="1"/>
        <v>2.4188123488242284E-3</v>
      </c>
      <c r="T8" s="16">
        <f t="shared" si="2"/>
        <v>9295</v>
      </c>
      <c r="U8" s="15">
        <f t="shared" si="3"/>
        <v>2.6606935837066512E-2</v>
      </c>
    </row>
    <row r="9" spans="14:21" x14ac:dyDescent="0.4">
      <c r="N9" s="31"/>
      <c r="O9" s="14" t="s">
        <v>40</v>
      </c>
      <c r="P9" s="14">
        <f t="shared" si="0"/>
        <v>0</v>
      </c>
      <c r="Q9" s="14">
        <v>1</v>
      </c>
      <c r="R9" s="14">
        <v>84000</v>
      </c>
      <c r="S9" s="15">
        <f t="shared" si="1"/>
        <v>0.24044998497187595</v>
      </c>
      <c r="T9" s="16">
        <f t="shared" si="2"/>
        <v>84000</v>
      </c>
      <c r="U9" s="15">
        <f t="shared" si="3"/>
        <v>0.24044998497187595</v>
      </c>
    </row>
    <row r="10" spans="14:21" x14ac:dyDescent="0.4">
      <c r="N10" s="29" t="s">
        <v>41</v>
      </c>
      <c r="O10" s="14" t="s">
        <v>37</v>
      </c>
      <c r="P10" s="14">
        <f t="shared" si="0"/>
        <v>0</v>
      </c>
      <c r="Q10" s="14">
        <v>10</v>
      </c>
      <c r="R10" s="14">
        <v>100</v>
      </c>
      <c r="S10" s="15">
        <f t="shared" si="1"/>
        <v>2.8624998210937611E-4</v>
      </c>
      <c r="T10" s="16">
        <f t="shared" si="2"/>
        <v>1000</v>
      </c>
      <c r="U10" s="15">
        <f t="shared" si="3"/>
        <v>2.8624998210937612E-3</v>
      </c>
    </row>
    <row r="11" spans="14:21" x14ac:dyDescent="0.4">
      <c r="N11" s="30"/>
      <c r="O11" s="14" t="s">
        <v>38</v>
      </c>
      <c r="P11" s="14">
        <f t="shared" si="0"/>
        <v>0</v>
      </c>
      <c r="Q11" s="14">
        <v>10</v>
      </c>
      <c r="R11" s="14">
        <v>200</v>
      </c>
      <c r="S11" s="15">
        <f t="shared" si="1"/>
        <v>5.7249996421875223E-4</v>
      </c>
      <c r="T11" s="16">
        <f t="shared" si="2"/>
        <v>2000</v>
      </c>
      <c r="U11" s="15">
        <f t="shared" si="3"/>
        <v>5.7249996421875225E-3</v>
      </c>
    </row>
    <row r="12" spans="14:21" x14ac:dyDescent="0.4">
      <c r="N12" s="30"/>
      <c r="O12" s="14" t="s">
        <v>39</v>
      </c>
      <c r="P12" s="14">
        <f t="shared" si="0"/>
        <v>0</v>
      </c>
      <c r="Q12" s="14">
        <v>15</v>
      </c>
      <c r="R12" s="14">
        <v>310</v>
      </c>
      <c r="S12" s="15">
        <f t="shared" si="1"/>
        <v>8.8737494453906601E-4</v>
      </c>
      <c r="T12" s="16">
        <f t="shared" si="2"/>
        <v>4650</v>
      </c>
      <c r="U12" s="15">
        <f t="shared" si="3"/>
        <v>1.331062416808599E-2</v>
      </c>
    </row>
    <row r="13" spans="14:21" x14ac:dyDescent="0.4">
      <c r="N13" s="30"/>
      <c r="O13" s="14" t="s">
        <v>40</v>
      </c>
      <c r="P13" s="14">
        <f t="shared" si="0"/>
        <v>0</v>
      </c>
      <c r="Q13" s="14">
        <v>1</v>
      </c>
      <c r="R13" s="14">
        <v>42000</v>
      </c>
      <c r="S13" s="15">
        <f t="shared" si="1"/>
        <v>0.12022499248593797</v>
      </c>
      <c r="T13" s="16">
        <f t="shared" si="2"/>
        <v>42000</v>
      </c>
      <c r="U13" s="15">
        <f t="shared" si="3"/>
        <v>0.12022499248593797</v>
      </c>
    </row>
    <row r="14" spans="14:21" x14ac:dyDescent="0.4">
      <c r="N14" s="31"/>
      <c r="O14" s="14" t="s">
        <v>42</v>
      </c>
      <c r="P14" s="14">
        <f t="shared" si="0"/>
        <v>0</v>
      </c>
      <c r="Q14" s="14">
        <v>1</v>
      </c>
      <c r="R14" s="14">
        <v>200000</v>
      </c>
      <c r="S14" s="15">
        <f t="shared" si="1"/>
        <v>0.57249996421875227</v>
      </c>
      <c r="T14" s="16">
        <f t="shared" si="2"/>
        <v>200000</v>
      </c>
      <c r="U14" s="15">
        <f t="shared" si="3"/>
        <v>0.57249996421875227</v>
      </c>
    </row>
  </sheetData>
  <mergeCells count="2">
    <mergeCell ref="N10:N14"/>
    <mergeCell ref="N2:N9"/>
  </mergeCells>
  <phoneticPr fontId="6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>
      <selection activeCell="H12" sqref="H12"/>
    </sheetView>
  </sheetViews>
  <sheetFormatPr defaultColWidth="9" defaultRowHeight="14" x14ac:dyDescent="0.25"/>
  <cols>
    <col min="1" max="9" width="9" style="6" customWidth="1"/>
    <col min="10" max="10" width="24.7265625" style="21" bestFit="1" customWidth="1"/>
    <col min="11" max="11" width="23.7265625" style="21" customWidth="1"/>
    <col min="12" max="12" width="20.453125" style="21" bestFit="1" customWidth="1"/>
    <col min="13" max="13" width="25.36328125" style="7" customWidth="1"/>
    <col min="14" max="14" width="9" style="7" customWidth="1"/>
    <col min="15" max="15" width="9" style="6" customWidth="1"/>
    <col min="16" max="16384" width="9" style="6"/>
  </cols>
  <sheetData>
    <row r="1" spans="1:12" x14ac:dyDescent="0.25">
      <c r="A1" s="6" t="s">
        <v>43</v>
      </c>
    </row>
    <row r="2" spans="1:12" x14ac:dyDescent="0.25">
      <c r="B2" s="6" t="s">
        <v>44</v>
      </c>
    </row>
    <row r="3" spans="1:12" x14ac:dyDescent="0.25">
      <c r="B3" s="6" t="s">
        <v>45</v>
      </c>
    </row>
    <row r="4" spans="1:12" x14ac:dyDescent="0.25">
      <c r="B4" s="6" t="s">
        <v>46</v>
      </c>
    </row>
    <row r="5" spans="1:12" x14ac:dyDescent="0.25">
      <c r="B5" s="6" t="s">
        <v>47</v>
      </c>
    </row>
    <row r="10" spans="1:12" x14ac:dyDescent="0.25">
      <c r="K10" s="21" t="s">
        <v>48</v>
      </c>
    </row>
    <row r="12" spans="1:12" ht="28" customHeight="1" x14ac:dyDescent="0.25">
      <c r="J12" s="23" t="s">
        <v>49</v>
      </c>
      <c r="K12" s="24" t="s">
        <v>50</v>
      </c>
      <c r="L12" s="25" t="s">
        <v>51</v>
      </c>
    </row>
    <row r="13" spans="1:12" x14ac:dyDescent="0.25">
      <c r="J13" s="23"/>
      <c r="K13" s="24"/>
    </row>
    <row r="14" spans="1:12" ht="42" customHeight="1" x14ac:dyDescent="0.25">
      <c r="J14" s="23" t="s">
        <v>52</v>
      </c>
      <c r="K14" s="24" t="s">
        <v>53</v>
      </c>
    </row>
    <row r="15" spans="1:12" x14ac:dyDescent="0.25">
      <c r="J15" s="23"/>
      <c r="K15" s="24"/>
    </row>
    <row r="16" spans="1:12" ht="42" customHeight="1" x14ac:dyDescent="0.25">
      <c r="J16" s="23" t="s">
        <v>54</v>
      </c>
      <c r="K16" s="24" t="s">
        <v>55</v>
      </c>
    </row>
    <row r="17" spans="11:11" x14ac:dyDescent="0.25">
      <c r="K17" s="24"/>
    </row>
    <row r="18" spans="11:11" ht="42" customHeight="1" x14ac:dyDescent="0.25">
      <c r="K18" s="24" t="s">
        <v>56</v>
      </c>
    </row>
    <row r="19" spans="11:11" x14ac:dyDescent="0.25">
      <c r="K19" s="24"/>
    </row>
    <row r="20" spans="11:11" ht="42" customHeight="1" x14ac:dyDescent="0.25">
      <c r="K20" s="24" t="s">
        <v>57</v>
      </c>
    </row>
  </sheetData>
  <phoneticPr fontId="6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" x14ac:dyDescent="0.25"/>
  <cols>
    <col min="1" max="3" width="80" style="22" customWidth="1"/>
  </cols>
  <sheetData>
    <row r="1" spans="1:3" x14ac:dyDescent="0.25">
      <c r="A1" t="s">
        <v>58</v>
      </c>
      <c r="B1" t="s">
        <v>59</v>
      </c>
      <c r="C1" t="s">
        <v>60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奖励配置表</vt:lpstr>
      <vt:lpstr>#索引</vt:lpstr>
      <vt:lpstr>#配表须知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wenshen(沈文)</cp:lastModifiedBy>
  <dcterms:created xsi:type="dcterms:W3CDTF">2006-09-13T11:21:00Z</dcterms:created>
  <dcterms:modified xsi:type="dcterms:W3CDTF">2023-05-29T04:04:48Z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