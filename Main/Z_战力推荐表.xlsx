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H:\aoem\common\excel\xls\Main\"/>
    </mc:Choice>
  </mc:AlternateContent>
  <xr:revisionPtr revIDLastSave="0" documentId="13_ncr:1_{438ED8EC-6F45-40DC-ACB2-FD73E71A5487}" xr6:coauthVersionLast="47" xr6:coauthVersionMax="47" xr10:uidLastSave="{00000000-0000-0000-0000-000000000000}"/>
  <bookViews>
    <workbookView xWindow="-103" yWindow="-103" windowWidth="33120" windowHeight="18120" activeTab="4" xr2:uid="{00000000-000D-0000-FFFF-FFFF00000000}"/>
  </bookViews>
  <sheets>
    <sheet name="战力推荐参数" sheetId="1" r:id="rId1"/>
    <sheet name="#现网数据参考" sheetId="4" r:id="rId2"/>
    <sheet name="#出征索引" sheetId="5" r:id="rId3"/>
    <sheet name="触发逻辑表" sheetId="2" r:id="rId4"/>
    <sheet name="战力系数表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5" i="1"/>
  <c r="B6" i="1"/>
  <c r="B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milomlli(李梦龙)</author>
  </authors>
  <commentList>
    <comment ref="D2" authorId="0" shapeId="0" xr:uid="{1634321B-660D-438E-90BB-3EF372150CBF}">
      <text>
        <r>
          <rPr>
            <b/>
            <sz val="9"/>
            <color indexed="81"/>
            <rFont val="宋体"/>
            <family val="3"/>
            <charset val="134"/>
          </rPr>
          <t>milomlli(李梦龙):</t>
        </r>
        <r>
          <rPr>
            <sz val="9"/>
            <color indexed="81"/>
            <rFont val="宋体"/>
            <family val="3"/>
            <charset val="134"/>
          </rPr>
          <t xml:space="preserve">
1 最低档（强烈推荐）
2 中间档（较强推荐）
3 最高档（普通推荐）</t>
        </r>
      </text>
    </comment>
    <comment ref="H2" authorId="0" shapeId="0" xr:uid="{1FA8DFA7-F41C-497C-9E4A-3DF685A7B431}">
      <text>
        <r>
          <rPr>
            <b/>
            <sz val="9"/>
            <color indexed="81"/>
            <rFont val="宋体"/>
            <family val="3"/>
            <charset val="134"/>
          </rPr>
          <t>milomlli(李梦龙):</t>
        </r>
        <r>
          <rPr>
            <sz val="9"/>
            <color indexed="81"/>
            <rFont val="宋体"/>
            <family val="3"/>
            <charset val="134"/>
          </rPr>
          <t xml:space="preserve">
科技升级不算数量，当科技从0-1级算1个数量</t>
        </r>
      </text>
    </comment>
  </commentList>
</comments>
</file>

<file path=xl/sharedStrings.xml><?xml version="1.0" encoding="utf-8"?>
<sst xmlns="http://schemas.openxmlformats.org/spreadsheetml/2006/main" count="244" uniqueCount="163">
  <si>
    <t>level</t>
    <phoneticPr fontId="2" type="noConversion"/>
  </si>
  <si>
    <t>主堡等级</t>
    <phoneticPr fontId="2" type="noConversion"/>
  </si>
  <si>
    <t>heroLevel</t>
    <phoneticPr fontId="2" type="noConversion"/>
  </si>
  <si>
    <t>marchPopulation</t>
    <phoneticPr fontId="2" type="noConversion"/>
  </si>
  <si>
    <t>techCnt</t>
    <phoneticPr fontId="2" type="noConversion"/>
  </si>
  <si>
    <t>buildingAvgLv</t>
    <phoneticPr fontId="2" type="noConversion"/>
  </si>
  <si>
    <t>skillavgLv</t>
    <phoneticPr fontId="2" type="noConversion"/>
  </si>
  <si>
    <t>上阵英雄平均技能等级</t>
    <phoneticPr fontId="2" type="noConversion"/>
  </si>
  <si>
    <t>equitmentNum</t>
    <phoneticPr fontId="2" type="noConversion"/>
  </si>
  <si>
    <t>marchQueueCnt</t>
    <phoneticPr fontId="2" type="noConversion"/>
  </si>
  <si>
    <t>已解锁部队数量</t>
    <phoneticPr fontId="2" type="noConversion"/>
  </si>
  <si>
    <t>convert(ResLord.proto, table_RecomPowerDevelopConf, RecomPowerDevelopConf.pbin)</t>
    <phoneticPr fontId="2" type="noConversion"/>
  </si>
  <si>
    <t>解锁的士兵等级</t>
    <phoneticPr fontId="2" type="noConversion"/>
  </si>
  <si>
    <t>soldierLv</t>
    <phoneticPr fontId="2" type="noConversion"/>
  </si>
  <si>
    <t>上阵英雄平均等级</t>
    <phoneticPr fontId="2" type="noConversion"/>
  </si>
  <si>
    <t>已研究科技数量</t>
    <phoneticPr fontId="2" type="noConversion"/>
  </si>
  <si>
    <t>已解锁建筑平均等级</t>
    <phoneticPr fontId="2" type="noConversion"/>
  </si>
  <si>
    <t>部队最大带兵数量</t>
    <phoneticPr fontId="2" type="noConversion"/>
  </si>
  <si>
    <t>powerValue</t>
    <phoneticPr fontId="2" type="noConversion"/>
  </si>
  <si>
    <t>战斗力</t>
    <phoneticPr fontId="2" type="noConversion"/>
  </si>
  <si>
    <t>confLevel</t>
    <phoneticPr fontId="2" type="noConversion"/>
  </si>
  <si>
    <t>档位</t>
    <phoneticPr fontId="2" type="noConversion"/>
  </si>
  <si>
    <t>convert(ResLord.proto, table_RecomPowerDevelopDescConf, RecomPowerDevelopDescConf.pbin)</t>
    <phoneticPr fontId="2" type="noConversion"/>
  </si>
  <si>
    <t>对应枚举</t>
    <phoneticPr fontId="2" type="noConversion"/>
  </si>
  <si>
    <t>是否拥有队列</t>
    <phoneticPr fontId="2" type="noConversion"/>
  </si>
  <si>
    <t>说明文本（标题）</t>
    <phoneticPr fontId="2" type="noConversion"/>
  </si>
  <si>
    <t>说明文本（内容）</t>
    <phoneticPr fontId="2" type="noConversion"/>
  </si>
  <si>
    <t>图集</t>
    <phoneticPr fontId="2" type="noConversion"/>
  </si>
  <si>
    <t>图片</t>
    <phoneticPr fontId="2" type="noConversion"/>
  </si>
  <si>
    <t>跳转id</t>
    <phoneticPr fontId="2" type="noConversion"/>
  </si>
  <si>
    <t>hasQueue</t>
    <phoneticPr fontId="2" type="noConversion"/>
  </si>
  <si>
    <t>titleText</t>
    <phoneticPr fontId="2" type="noConversion"/>
  </si>
  <si>
    <t>descText</t>
    <phoneticPr fontId="2" type="noConversion"/>
  </si>
  <si>
    <t>iconAtlas</t>
    <phoneticPr fontId="2" type="noConversion"/>
  </si>
  <si>
    <t>iconSprite</t>
    <phoneticPr fontId="2" type="noConversion"/>
  </si>
  <si>
    <t>jumpToId</t>
    <phoneticPr fontId="2" type="noConversion"/>
  </si>
  <si>
    <t>英雄培养</t>
    <phoneticPr fontId="2" type="noConversion"/>
  </si>
  <si>
    <t>士兵训练</t>
    <phoneticPr fontId="2" type="noConversion"/>
  </si>
  <si>
    <t>城市建设</t>
    <phoneticPr fontId="2" type="noConversion"/>
  </si>
  <si>
    <t>技能提升</t>
    <phoneticPr fontId="2" type="noConversion"/>
  </si>
  <si>
    <t>装备打造</t>
    <phoneticPr fontId="2" type="noConversion"/>
  </si>
  <si>
    <t>部队解锁</t>
    <phoneticPr fontId="2" type="noConversion"/>
  </si>
  <si>
    <t>科技研究</t>
    <phoneticPr fontId="2" type="noConversion"/>
  </si>
  <si>
    <t>convert(ResLord.proto, table_RecomPowerDevelopRatioConf, RecomPowerDevelopRatioConf.pbin)</t>
    <phoneticPr fontId="2" type="noConversion"/>
  </si>
  <si>
    <t>城堡等级</t>
    <phoneticPr fontId="2" type="noConversion"/>
  </si>
  <si>
    <t>powerLevelLow</t>
    <phoneticPr fontId="2" type="noConversion"/>
  </si>
  <si>
    <t>低档比例</t>
    <phoneticPr fontId="2" type="noConversion"/>
  </si>
  <si>
    <t>中档比例</t>
    <phoneticPr fontId="2" type="noConversion"/>
  </si>
  <si>
    <t>高档比例</t>
    <phoneticPr fontId="2" type="noConversion"/>
  </si>
  <si>
    <t>powerLevelMid</t>
    <phoneticPr fontId="2" type="noConversion"/>
  </si>
  <si>
    <t>powerLevelHigh</t>
    <phoneticPr fontId="2" type="noConversion"/>
  </si>
  <si>
    <t>已穿戴装备数量</t>
    <phoneticPr fontId="2" type="noConversion"/>
  </si>
  <si>
    <t>所属类型</t>
    <phoneticPr fontId="2" type="noConversion"/>
  </si>
  <si>
    <t>belongType</t>
    <phoneticPr fontId="2" type="noConversion"/>
  </si>
  <si>
    <t>发展类</t>
    <phoneticPr fontId="2" type="noConversion"/>
  </si>
  <si>
    <t>战争类</t>
    <phoneticPr fontId="2" type="noConversion"/>
  </si>
  <si>
    <t>module</t>
    <phoneticPr fontId="2" type="noConversion"/>
  </si>
  <si>
    <t>说明文本（解锁提示）</t>
    <phoneticPr fontId="2" type="noConversion"/>
  </si>
  <si>
    <t>unlockTips</t>
    <phoneticPr fontId="2" type="noConversion"/>
  </si>
  <si>
    <t>CastleLevel</t>
  </si>
  <si>
    <t>power_10_percentile</t>
  </si>
  <si>
    <t>power_20_percentile</t>
  </si>
  <si>
    <t>power_30_percentile</t>
  </si>
  <si>
    <t>power_40_percentile</t>
  </si>
  <si>
    <t>power_50_percentile</t>
  </si>
  <si>
    <t>power_60_percentile</t>
  </si>
  <si>
    <t>power_70_percentile</t>
  </si>
  <si>
    <t>power_80_percentile</t>
  </si>
  <si>
    <t>power_90_percentile</t>
  </si>
  <si>
    <t>SoldierLevel_10_percentile</t>
  </si>
  <si>
    <t>SoldierLevel_20_percentile</t>
  </si>
  <si>
    <t>SoldierLevel_30_percentile</t>
  </si>
  <si>
    <t>SoldierLevel_40_percentile</t>
  </si>
  <si>
    <t>SoldierLevel_50_percentile</t>
  </si>
  <si>
    <t>SoldierLevel_60_percentile</t>
  </si>
  <si>
    <t>SoldierLevel_70_percentile</t>
  </si>
  <si>
    <t>SoldierLevel_80_percentile</t>
  </si>
  <si>
    <t>SoldierLevel_90_percentile</t>
  </si>
  <si>
    <t>tech_count_10_percentile</t>
  </si>
  <si>
    <t>tech_count_20_percentile</t>
  </si>
  <si>
    <t>tech_count_30_percentile</t>
  </si>
  <si>
    <t>tech_count_40_percentile</t>
  </si>
  <si>
    <t>tech_count_50_percentile</t>
  </si>
  <si>
    <t>tech_count_60_percentile</t>
  </si>
  <si>
    <t>tech_count_70_percentile</t>
  </si>
  <si>
    <t>tech_count_80_percentile</t>
  </si>
  <si>
    <t>tech_count_90_percentile</t>
  </si>
  <si>
    <t>marchQueueCnt_10_percentile</t>
  </si>
  <si>
    <t>marchQueueCnt_20_percentile</t>
  </si>
  <si>
    <t>marchQueueCnt_30_percentile</t>
  </si>
  <si>
    <t>marchQueueCnt_40_percentile</t>
  </si>
  <si>
    <t>marchQueueCnt_50_percentile</t>
  </si>
  <si>
    <t>marchQueueCnt_60_percentile</t>
  </si>
  <si>
    <t>marchQueueCnt_70_percentile</t>
  </si>
  <si>
    <t>marchQueueCnt_80_percentile</t>
  </si>
  <si>
    <t>marchQueueCnt_90_percentile</t>
  </si>
  <si>
    <t>EquipNum_10_percentile</t>
  </si>
  <si>
    <t>EquipNum_20_percentile</t>
  </si>
  <si>
    <t>EquipNum_30_percentile</t>
  </si>
  <si>
    <t>EquipNum_40_percentile</t>
  </si>
  <si>
    <t>EquipNum_50_percentile</t>
  </si>
  <si>
    <t>EquipNum_60_percentile</t>
  </si>
  <si>
    <t>EquipNum_70_percentile</t>
  </si>
  <si>
    <t>EquipNum_80_percentile</t>
  </si>
  <si>
    <t>EquipNum_90_percentile</t>
  </si>
  <si>
    <t>building_avg_level_10_percentile</t>
  </si>
  <si>
    <t>building_avg_level_20_percentile</t>
  </si>
  <si>
    <t>building_avg_level_30_percentile</t>
  </si>
  <si>
    <t>building_avg_level_40_percentile</t>
  </si>
  <si>
    <t>building_avg_level_50_percentile</t>
  </si>
  <si>
    <t>building_avg_level_60_percentile</t>
  </si>
  <si>
    <t>building_avg_level_70_percentile</t>
  </si>
  <si>
    <t>building_avg_level_80_percentile</t>
  </si>
  <si>
    <t>building_avg_level_90_percentile</t>
  </si>
  <si>
    <t>HeroAvgLevel_10_percentile</t>
  </si>
  <si>
    <t>HeroAvgLevel_20_percentile</t>
  </si>
  <si>
    <t>HeroAvgLevel_30_percentile</t>
  </si>
  <si>
    <t>HeroAvgLevel_40_percentile</t>
  </si>
  <si>
    <t>HeroAvgLevel_50_percentile</t>
  </si>
  <si>
    <t>HeroAvgLevel_60_percentile</t>
  </si>
  <si>
    <t>HeroAvgLevel_70_percentile</t>
  </si>
  <si>
    <t>HeroAvgLevel_80_percentile</t>
  </si>
  <si>
    <t>HeroAvgLevel_90_percentile</t>
  </si>
  <si>
    <t>HeroAvgSkillLevel_10_percentile</t>
  </si>
  <si>
    <t>HeroAvgSkillLevel_20_percentile</t>
  </si>
  <si>
    <t>HeroAvgSkillLevel_30_percentile</t>
  </si>
  <si>
    <t>HeroAvgSkillLevel_40_percentile</t>
  </si>
  <si>
    <t>HeroAvgSkillLevel_50_percentile</t>
  </si>
  <si>
    <t>HeroAvgSkillLevel_60_percentile</t>
  </si>
  <si>
    <t>HeroAvgSkillLevel_70_percentile</t>
  </si>
  <si>
    <t>HeroAvgSkillLevel_80_percentile</t>
  </si>
  <si>
    <t>HeroAvgSkillLevel_90_percentile</t>
  </si>
  <si>
    <t>战斗力</t>
    <phoneticPr fontId="8" type="noConversion"/>
  </si>
  <si>
    <t>解锁的士兵等级</t>
  </si>
  <si>
    <t>已研究科技数量</t>
  </si>
  <si>
    <t>已解锁部队数量</t>
  </si>
  <si>
    <t>已穿戴装备数量</t>
  </si>
  <si>
    <t>已解锁建筑平均等级</t>
  </si>
  <si>
    <t>上阵英雄平均等级</t>
  </si>
  <si>
    <t>上阵英雄平均技能等级</t>
  </si>
  <si>
    <t>选取分位</t>
    <phoneticPr fontId="2" type="noConversion"/>
  </si>
  <si>
    <t>主城等级</t>
    <phoneticPr fontId="2" type="noConversion"/>
  </si>
  <si>
    <t>出征</t>
    <phoneticPr fontId="2" type="noConversion"/>
  </si>
  <si>
    <t>英雄数量</t>
    <phoneticPr fontId="2" type="noConversion"/>
  </si>
  <si>
    <t>英雄等级</t>
    <phoneticPr fontId="2" type="noConversion"/>
  </si>
  <si>
    <t>出征上限（累计值）</t>
    <phoneticPr fontId="2" type="noConversion"/>
  </si>
  <si>
    <t>icon_g_power</t>
    <phoneticPr fontId="2" type="noConversion"/>
  </si>
  <si>
    <t>icon_g_bnner_03</t>
    <phoneticPr fontId="2" type="noConversion"/>
  </si>
  <si>
    <t>icon_g_bnner_02</t>
    <phoneticPr fontId="2" type="noConversion"/>
  </si>
  <si>
    <t>icon_g_bnner_01</t>
    <phoneticPr fontId="2" type="noConversion"/>
  </si>
  <si>
    <t>icon_g_bnner_04</t>
    <phoneticPr fontId="2" type="noConversion"/>
  </si>
  <si>
    <t>icon_g_bnner_07</t>
    <phoneticPr fontId="2" type="noConversion"/>
  </si>
  <si>
    <t>icon_g_bnner_05</t>
    <phoneticPr fontId="2" type="noConversion"/>
  </si>
  <si>
    <t>icon_g_bnner_06</t>
    <phoneticPr fontId="2" type="noConversion"/>
  </si>
  <si>
    <t>PowerRecom_Type_Hero</t>
  </si>
  <si>
    <t>PowerRecom_Type_Solider</t>
  </si>
  <si>
    <t>PowerRecom_Type_Tech</t>
  </si>
  <si>
    <t>PowerRecom_Type_City</t>
  </si>
  <si>
    <t>PowerRecom_Type_Skill</t>
  </si>
  <si>
    <t>PowerRecom_Type_Equ</t>
  </si>
  <si>
    <t>PowerRecom_Type_Troops</t>
  </si>
  <si>
    <t>PowerRecom_Unlock_Tips_1</t>
  </si>
  <si>
    <t>PowerRecom_Unlock_Tips_2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</si>
</sst>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1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8754844813379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vertical="center"/>
    </xf>
    <xf numFmtId="176" fontId="10" fillId="0" borderId="0" xfId="0" applyNumberFormat="1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3" fillId="6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workbookViewId="0">
      <selection activeCell="F11" sqref="F11"/>
    </sheetView>
  </sheetViews>
  <sheetFormatPr defaultColWidth="9" defaultRowHeight="20.149999999999999" customHeight="1" x14ac:dyDescent="0.35"/>
  <cols>
    <col min="1" max="1" width="28.5703125" style="1" customWidth="1"/>
    <col min="2" max="2" width="25.640625" style="1" customWidth="1"/>
    <col min="3" max="4" width="24.7109375" style="1" customWidth="1"/>
    <col min="5" max="5" width="21.140625" style="1" customWidth="1"/>
    <col min="6" max="6" width="26.7109375" style="1" customWidth="1"/>
    <col min="7" max="7" width="24.35546875" style="31" customWidth="1"/>
    <col min="8" max="8" width="21.85546875" style="1" customWidth="1"/>
    <col min="9" max="12" width="25.7109375" style="1" customWidth="1"/>
    <col min="13" max="16384" width="9" style="1"/>
  </cols>
  <sheetData>
    <row r="1" spans="1:12" ht="20.149999999999999" customHeight="1" x14ac:dyDescent="0.35">
      <c r="A1" s="1" t="s">
        <v>11</v>
      </c>
    </row>
    <row r="2" spans="1:12" ht="20.149999999999999" customHeight="1" x14ac:dyDescent="0.35">
      <c r="A2" s="8" t="s">
        <v>1</v>
      </c>
      <c r="B2" s="9" t="s">
        <v>19</v>
      </c>
      <c r="C2" s="9" t="s">
        <v>12</v>
      </c>
      <c r="D2" s="10" t="s">
        <v>21</v>
      </c>
      <c r="E2" s="10" t="s">
        <v>140</v>
      </c>
      <c r="F2" s="11" t="s">
        <v>14</v>
      </c>
      <c r="G2" s="32" t="s">
        <v>17</v>
      </c>
      <c r="H2" s="11" t="s">
        <v>15</v>
      </c>
      <c r="I2" s="11" t="s">
        <v>16</v>
      </c>
      <c r="J2" s="11" t="s">
        <v>7</v>
      </c>
      <c r="K2" s="11" t="s">
        <v>51</v>
      </c>
      <c r="L2" s="11" t="s">
        <v>10</v>
      </c>
    </row>
    <row r="3" spans="1:12" ht="19" customHeight="1" x14ac:dyDescent="0.35">
      <c r="A3" s="8" t="s">
        <v>0</v>
      </c>
      <c r="B3" s="9" t="s">
        <v>18</v>
      </c>
      <c r="C3" s="9" t="s">
        <v>13</v>
      </c>
      <c r="D3" s="10" t="s">
        <v>20</v>
      </c>
      <c r="E3" s="10"/>
      <c r="F3" s="11" t="s">
        <v>2</v>
      </c>
      <c r="G3" s="32" t="s">
        <v>3</v>
      </c>
      <c r="H3" s="11" t="s">
        <v>4</v>
      </c>
      <c r="I3" s="11" t="s">
        <v>5</v>
      </c>
      <c r="J3" s="11" t="s">
        <v>6</v>
      </c>
      <c r="K3" s="11" t="s">
        <v>8</v>
      </c>
      <c r="L3" s="11" t="s">
        <v>9</v>
      </c>
    </row>
    <row r="4" spans="1:12" ht="20.149999999999999" customHeight="1" x14ac:dyDescent="0.35">
      <c r="A4" s="1">
        <v>1</v>
      </c>
      <c r="B4" s="1">
        <f>IF($A4="","",ROUND(_xlfn.XLOOKUP($A4,'#现网数据参考'!$A:$A,'#现网数据参考'!G:G)*IF($A4&lt;=9,0.5,1),0))</f>
        <v>6069</v>
      </c>
      <c r="C4" s="1">
        <f>IF($A4="","",ROUND(_xlfn.XLOOKUP($A4,'#现网数据参考'!$A:$A,'#现网数据参考'!P:P),0))</f>
        <v>1</v>
      </c>
      <c r="D4" s="1">
        <v>1</v>
      </c>
      <c r="E4" s="1">
        <v>20</v>
      </c>
      <c r="F4" s="1">
        <f ca="1">ROUND(OFFSET('#现网数据参考'!$A$1,MATCH(OFFSET($A4,-MOD(ROW()-1,3),0),'#现网数据参考'!$A:$A,0)-1,MATCH(F$2&amp;$E4,'#现网数据参考'!$3:$3,0)-1)*IF(OFFSET($A4,-MOD(ROW()-1,3),0)&lt;=9,0.6,1),0)</f>
        <v>1</v>
      </c>
      <c r="G4" s="31">
        <f ca="1">_xlfn.XLOOKUP(OFFSET($A4,-MOD(ROW()-1,3),0),'#出征索引'!A:A,'#出征索引'!B:B)+_xlfn.XLOOKUP(OFFSET($A4,-MOD(ROW()-1,3),0),'#出征索引'!A:A,'#出征索引'!C:C)*_xlfn.XLOOKUP(F4,'#出征索引'!E:E,'#出征索引'!F:F)</f>
        <v>500</v>
      </c>
      <c r="H4" s="1">
        <f ca="1">ROUND(OFFSET('#现网数据参考'!$A$1,MATCH(OFFSET($A4,-MOD(ROW()-1,3),0),'#现网数据参考'!$A:$A,0)-1,MATCH(H$2&amp;$E4,'#现网数据参考'!$3:$3,0)-1)*IF(OFFSET($A4,-MOD(ROW()-1,3),0)&lt;=9,0.6,1),0)</f>
        <v>1</v>
      </c>
      <c r="I4" s="1">
        <f ca="1">ROUND(OFFSET('#现网数据参考'!$A$1,MATCH(OFFSET($A4,-MOD(ROW()-1,3),0),'#现网数据参考'!$A:$A,0)-1,MATCH(I$2&amp;$E4,'#现网数据参考'!$3:$3,0)-1)*IF(OFFSET($A4,-MOD(ROW()-1,3),0)&lt;=9,0.6,1),0)</f>
        <v>1</v>
      </c>
      <c r="J4" s="1">
        <f ca="1">ROUND(OFFSET('#现网数据参考'!$A$1,MATCH(OFFSET($A4,-MOD(ROW()-1,3),0),'#现网数据参考'!$A:$A,0)-1,MATCH(J$2&amp;$E4,'#现网数据参考'!$3:$3,0)-1)*IF(OFFSET($A4,-MOD(ROW()-1,3),0)&lt;=9,0.6,1),0)</f>
        <v>1</v>
      </c>
      <c r="K4" s="1">
        <f ca="1">ROUND(OFFSET('#现网数据参考'!$A$1,MATCH(OFFSET($A4,-MOD(ROW()-1,3),0),'#现网数据参考'!$A:$A,0)-1,MATCH(K$2&amp;$E4,'#现网数据参考'!$3:$3,0)-1)*IF(OFFSET($A4,-MOD(ROW()-1,3),0)&lt;=9,0.6,1),0)</f>
        <v>0</v>
      </c>
      <c r="L4" s="1">
        <f ca="1">ROUND(OFFSET('#现网数据参考'!$A$1,MATCH(OFFSET($A4,-MOD(ROW()-1,3),0),'#现网数据参考'!$A:$A,0)-1,MATCH(L$2&amp;$E4,'#现网数据参考'!$3:$3,0)-1),0)</f>
        <v>3</v>
      </c>
    </row>
    <row r="5" spans="1:12" ht="20.149999999999999" customHeight="1" x14ac:dyDescent="0.35">
      <c r="B5" s="1" t="str">
        <f>IF($A5="","",ROUND(_xlfn.XLOOKUP($A5,'#现网数据参考'!$A:$A,'#现网数据参考'!G:G)*IF($A5&lt;=9,0.5,1),0))</f>
        <v/>
      </c>
      <c r="C5" s="1" t="str">
        <f>IF($A5="","",ROUND(_xlfn.XLOOKUP($A5,'#现网数据参考'!$A:$A,'#现网数据参考'!P:P),0))</f>
        <v/>
      </c>
      <c r="D5" s="1">
        <v>2</v>
      </c>
      <c r="E5" s="1">
        <v>40</v>
      </c>
      <c r="F5" s="1">
        <f ca="1">ROUND(OFFSET('#现网数据参考'!$A$1,MATCH(OFFSET($A5,-MOD(ROW()-1,3),0),'#现网数据参考'!$A:$A,0)-1,MATCH(F$2&amp;$E5,'#现网数据参考'!$3:$3,0)-1)*IF(OFFSET($A5,-MOD(ROW()-1,3),0)&lt;=9,0.6,1),0)</f>
        <v>1</v>
      </c>
      <c r="G5" s="31">
        <f ca="1">_xlfn.XLOOKUP(OFFSET($A5,-MOD(ROW()-1,3),0),'#出征索引'!A:A,'#出征索引'!B:B)+_xlfn.XLOOKUP(OFFSET($A5,-MOD(ROW()-1,3),0),'#出征索引'!A:A,'#出征索引'!C:C)*_xlfn.XLOOKUP(F5,'#出征索引'!E:E,'#出征索引'!F:F)</f>
        <v>500</v>
      </c>
      <c r="H5" s="1">
        <f ca="1">ROUND(OFFSET('#现网数据参考'!$A$1,MATCH(OFFSET($A5,-MOD(ROW()-1,3),0),'#现网数据参考'!$A:$A,0)-1,MATCH(H$2&amp;$E5,'#现网数据参考'!$3:$3,0)-1)*IF(OFFSET($A5,-MOD(ROW()-1,3),0)&lt;=9,0.6,1),0)</f>
        <v>1</v>
      </c>
      <c r="I5" s="1">
        <f ca="1">ROUND(OFFSET('#现网数据参考'!$A$1,MATCH(OFFSET($A5,-MOD(ROW()-1,3),0),'#现网数据参考'!$A:$A,0)-1,MATCH(I$2&amp;$E5,'#现网数据参考'!$3:$3,0)-1)*IF(OFFSET($A5,-MOD(ROW()-1,3),0)&lt;=9,0.6,1),0)</f>
        <v>1</v>
      </c>
      <c r="J5" s="1">
        <f ca="1">ROUND(OFFSET('#现网数据参考'!$A$1,MATCH(OFFSET($A5,-MOD(ROW()-1,3),0),'#现网数据参考'!$A:$A,0)-1,MATCH(J$2&amp;$E5,'#现网数据参考'!$3:$3,0)-1)*IF(OFFSET($A5,-MOD(ROW()-1,3),0)&lt;=9,0.6,1),0)</f>
        <v>2</v>
      </c>
      <c r="K5" s="1">
        <f ca="1">ROUND(OFFSET('#现网数据参考'!$A$1,MATCH(OFFSET($A5,-MOD(ROW()-1,3),0),'#现网数据参考'!$A:$A,0)-1,MATCH(K$2&amp;$E5,'#现网数据参考'!$3:$3,0)-1)*IF(OFFSET($A5,-MOD(ROW()-1,3),0)&lt;=9,0.6,1),0)</f>
        <v>0</v>
      </c>
      <c r="L5" s="1">
        <f ca="1">ROUND(OFFSET('#现网数据参考'!$A$1,MATCH(OFFSET($A5,-MOD(ROW()-1,3),0),'#现网数据参考'!$A:$A,0)-1,MATCH(L$2&amp;$E5,'#现网数据参考'!$3:$3,0)-1),0)</f>
        <v>3</v>
      </c>
    </row>
    <row r="6" spans="1:12" ht="20.149999999999999" customHeight="1" x14ac:dyDescent="0.35">
      <c r="B6" s="1" t="str">
        <f>IF($A6="","",ROUND(_xlfn.XLOOKUP($A6,'#现网数据参考'!$A:$A,'#现网数据参考'!G:G)*IF($A6&lt;=9,0.5,1),0))</f>
        <v/>
      </c>
      <c r="C6" s="1" t="str">
        <f>IF($A6="","",ROUND(_xlfn.XLOOKUP($A6,'#现网数据参考'!$A:$A,'#现网数据参考'!P:P),0))</f>
        <v/>
      </c>
      <c r="D6" s="1">
        <v>3</v>
      </c>
      <c r="E6" s="1">
        <v>60</v>
      </c>
      <c r="F6" s="1">
        <f ca="1">ROUND(OFFSET('#现网数据参考'!$A$1,MATCH(OFFSET($A6,-MOD(ROW()-1,3),0),'#现网数据参考'!$A:$A,0)-1,MATCH(F$2&amp;$E6,'#现网数据参考'!$3:$3,0)-1)*IF(OFFSET($A6,-MOD(ROW()-1,3),0)&lt;=9,0.6,1),0)</f>
        <v>1</v>
      </c>
      <c r="G6" s="31">
        <f ca="1">_xlfn.XLOOKUP(OFFSET($A6,-MOD(ROW()-1,3),0),'#出征索引'!A:A,'#出征索引'!B:B)+_xlfn.XLOOKUP(OFFSET($A6,-MOD(ROW()-1,3),0),'#出征索引'!A:A,'#出征索引'!C:C)*_xlfn.XLOOKUP(F6,'#出征索引'!E:E,'#出征索引'!F:F)</f>
        <v>500</v>
      </c>
      <c r="H6" s="1">
        <f ca="1">ROUND(OFFSET('#现网数据参考'!$A$1,MATCH(OFFSET($A6,-MOD(ROW()-1,3),0),'#现网数据参考'!$A:$A,0)-1,MATCH(H$2&amp;$E6,'#现网数据参考'!$3:$3,0)-1)*IF(OFFSET($A6,-MOD(ROW()-1,3),0)&lt;=9,0.6,1),0)</f>
        <v>2</v>
      </c>
      <c r="I6" s="1">
        <f ca="1">ROUND(OFFSET('#现网数据参考'!$A$1,MATCH(OFFSET($A6,-MOD(ROW()-1,3),0),'#现网数据参考'!$A:$A,0)-1,MATCH(I$2&amp;$E6,'#现网数据参考'!$3:$3,0)-1)*IF(OFFSET($A6,-MOD(ROW()-1,3),0)&lt;=9,0.6,1),0)</f>
        <v>1</v>
      </c>
      <c r="J6" s="1">
        <f ca="1">ROUND(OFFSET('#现网数据参考'!$A$1,MATCH(OFFSET($A6,-MOD(ROW()-1,3),0),'#现网数据参考'!$A:$A,0)-1,MATCH(J$2&amp;$E6,'#现网数据参考'!$3:$3,0)-1)*IF(OFFSET($A6,-MOD(ROW()-1,3),0)&lt;=9,0.6,1),0)</f>
        <v>2</v>
      </c>
      <c r="K6" s="1">
        <f ca="1">ROUND(OFFSET('#现网数据参考'!$A$1,MATCH(OFFSET($A6,-MOD(ROW()-1,3),0),'#现网数据参考'!$A:$A,0)-1,MATCH(K$2&amp;$E6,'#现网数据参考'!$3:$3,0)-1)*IF(OFFSET($A6,-MOD(ROW()-1,3),0)&lt;=9,0.6,1),0)</f>
        <v>0</v>
      </c>
      <c r="L6" s="1">
        <f ca="1">ROUND(OFFSET('#现网数据参考'!$A$1,MATCH(OFFSET($A6,-MOD(ROW()-1,3),0),'#现网数据参考'!$A:$A,0)-1,MATCH(L$2&amp;$E6,'#现网数据参考'!$3:$3,0)-1),0)</f>
        <v>3</v>
      </c>
    </row>
    <row r="7" spans="1:12" ht="20.149999999999999" customHeight="1" x14ac:dyDescent="0.35">
      <c r="A7" s="1">
        <v>2</v>
      </c>
      <c r="B7" s="1">
        <f>IF($A7="","",ROUND(_xlfn.XLOOKUP($A7,'#现网数据参考'!$A:$A,'#现网数据参考'!G:G)*IF($A7&lt;=9,0.5,1),0))</f>
        <v>13843</v>
      </c>
      <c r="C7" s="1">
        <f>IF($A7="","",ROUND(_xlfn.XLOOKUP($A7,'#现网数据参考'!$A:$A,'#现网数据参考'!P:P),0))</f>
        <v>1</v>
      </c>
      <c r="D7" s="1">
        <v>1</v>
      </c>
      <c r="E7" s="1">
        <v>20</v>
      </c>
      <c r="F7" s="1">
        <f ca="1">ROUND(OFFSET('#现网数据参考'!$A$1,MATCH(OFFSET($A7,-MOD(ROW()-1,3),0),'#现网数据参考'!$A:$A,0)-1,MATCH(F$2&amp;$E7,'#现网数据参考'!$3:$3,0)-1)*IF(OFFSET($A7,-MOD(ROW()-1,3),0)&lt;=9,0.6,1),0)</f>
        <v>1</v>
      </c>
      <c r="G7" s="31">
        <f ca="1">_xlfn.XLOOKUP(OFFSET($A7,-MOD(ROW()-1,3),0),'#出征索引'!A:A,'#出征索引'!B:B)+_xlfn.XLOOKUP(OFFSET($A7,-MOD(ROW()-1,3),0),'#出征索引'!A:A,'#出征索引'!C:C)*_xlfn.XLOOKUP(F7,'#出征索引'!E:E,'#出征索引'!F:F)</f>
        <v>600</v>
      </c>
      <c r="H7" s="1">
        <f ca="1">ROUND(OFFSET('#现网数据参考'!$A$1,MATCH(OFFSET($A7,-MOD(ROW()-1,3),0),'#现网数据参考'!$A:$A,0)-1,MATCH(H$2&amp;$E7,'#现网数据参考'!$3:$3,0)-1)*IF(OFFSET($A7,-MOD(ROW()-1,3),0)&lt;=9,0.6,1),0)</f>
        <v>1</v>
      </c>
      <c r="I7" s="1">
        <f ca="1">ROUND(OFFSET('#现网数据参考'!$A$1,MATCH(OFFSET($A7,-MOD(ROW()-1,3),0),'#现网数据参考'!$A:$A,0)-1,MATCH(I$2&amp;$E7,'#现网数据参考'!$3:$3,0)-1)*IF(OFFSET($A7,-MOD(ROW()-1,3),0)&lt;=9,0.6,1),0)</f>
        <v>1</v>
      </c>
      <c r="J7" s="1">
        <f ca="1">ROUND(OFFSET('#现网数据参考'!$A$1,MATCH(OFFSET($A7,-MOD(ROW()-1,3),0),'#现网数据参考'!$A:$A,0)-1,MATCH(J$2&amp;$E7,'#现网数据参考'!$3:$3,0)-1)*IF(OFFSET($A7,-MOD(ROW()-1,3),0)&lt;=9,0.6,1),0)</f>
        <v>0</v>
      </c>
      <c r="K7" s="1">
        <f ca="1">ROUND(OFFSET('#现网数据参考'!$A$1,MATCH(OFFSET($A7,-MOD(ROW()-1,3),0),'#现网数据参考'!$A:$A,0)-1,MATCH(K$2&amp;$E7,'#现网数据参考'!$3:$3,0)-1)*IF(OFFSET($A7,-MOD(ROW()-1,3),0)&lt;=9,0.6,1),0)</f>
        <v>0</v>
      </c>
      <c r="L7" s="1">
        <f ca="1">ROUND(OFFSET('#现网数据参考'!$A$1,MATCH(OFFSET($A7,-MOD(ROW()-1,3),0),'#现网数据参考'!$A:$A,0)-1,MATCH(L$2&amp;$E7,'#现网数据参考'!$3:$3,0)-1),0)</f>
        <v>3</v>
      </c>
    </row>
    <row r="8" spans="1:12" ht="20.149999999999999" customHeight="1" x14ac:dyDescent="0.35">
      <c r="B8" s="1" t="str">
        <f>IF($A8="","",ROUND(_xlfn.XLOOKUP($A8,'#现网数据参考'!$A:$A,'#现网数据参考'!G:G)*IF($A8&lt;=9,0.5,1),0))</f>
        <v/>
      </c>
      <c r="C8" s="1" t="str">
        <f>IF($A8="","",ROUND(_xlfn.XLOOKUP($A8,'#现网数据参考'!$A:$A,'#现网数据参考'!P:P),0))</f>
        <v/>
      </c>
      <c r="D8" s="1">
        <v>2</v>
      </c>
      <c r="E8" s="1">
        <v>40</v>
      </c>
      <c r="F8" s="1">
        <f ca="1">ROUND(OFFSET('#现网数据参考'!$A$1,MATCH(OFFSET($A8,-MOD(ROW()-1,3),0),'#现网数据参考'!$A:$A,0)-1,MATCH(F$2&amp;$E8,'#现网数据参考'!$3:$3,0)-1)*IF(OFFSET($A8,-MOD(ROW()-1,3),0)&lt;=9,0.6,1),0)</f>
        <v>1</v>
      </c>
      <c r="G8" s="31">
        <f ca="1">_xlfn.XLOOKUP(OFFSET($A8,-MOD(ROW()-1,3),0),'#出征索引'!A:A,'#出征索引'!B:B)+_xlfn.XLOOKUP(OFFSET($A8,-MOD(ROW()-1,3),0),'#出征索引'!A:A,'#出征索引'!C:C)*_xlfn.XLOOKUP(F8,'#出征索引'!E:E,'#出征索引'!F:F)</f>
        <v>600</v>
      </c>
      <c r="H8" s="1">
        <f ca="1">ROUND(OFFSET('#现网数据参考'!$A$1,MATCH(OFFSET($A8,-MOD(ROW()-1,3),0),'#现网数据参考'!$A:$A,0)-1,MATCH(H$2&amp;$E8,'#现网数据参考'!$3:$3,0)-1)*IF(OFFSET($A8,-MOD(ROW()-1,3),0)&lt;=9,0.6,1),0)</f>
        <v>1</v>
      </c>
      <c r="I8" s="1">
        <f ca="1">ROUND(OFFSET('#现网数据参考'!$A$1,MATCH(OFFSET($A8,-MOD(ROW()-1,3),0),'#现网数据参考'!$A:$A,0)-1,MATCH(I$2&amp;$E8,'#现网数据参考'!$3:$3,0)-1)*IF(OFFSET($A8,-MOD(ROW()-1,3),0)&lt;=9,0.6,1),0)</f>
        <v>1</v>
      </c>
      <c r="J8" s="1">
        <f ca="1">ROUND(OFFSET('#现网数据参考'!$A$1,MATCH(OFFSET($A8,-MOD(ROW()-1,3),0),'#现网数据参考'!$A:$A,0)-1,MATCH(J$2&amp;$E8,'#现网数据参考'!$3:$3,0)-1)*IF(OFFSET($A8,-MOD(ROW()-1,3),0)&lt;=9,0.6,1),0)</f>
        <v>1</v>
      </c>
      <c r="K8" s="1">
        <f ca="1">ROUND(OFFSET('#现网数据参考'!$A$1,MATCH(OFFSET($A8,-MOD(ROW()-1,3),0),'#现网数据参考'!$A:$A,0)-1,MATCH(K$2&amp;$E8,'#现网数据参考'!$3:$3,0)-1)*IF(OFFSET($A8,-MOD(ROW()-1,3),0)&lt;=9,0.6,1),0)</f>
        <v>0</v>
      </c>
      <c r="L8" s="1">
        <f ca="1">ROUND(OFFSET('#现网数据参考'!$A$1,MATCH(OFFSET($A8,-MOD(ROW()-1,3),0),'#现网数据参考'!$A:$A,0)-1,MATCH(L$2&amp;$E8,'#现网数据参考'!$3:$3,0)-1),0)</f>
        <v>3</v>
      </c>
    </row>
    <row r="9" spans="1:12" ht="20.149999999999999" customHeight="1" x14ac:dyDescent="0.35">
      <c r="B9" s="1" t="str">
        <f>IF($A9="","",ROUND(_xlfn.XLOOKUP($A9,'#现网数据参考'!$A:$A,'#现网数据参考'!G:G)*IF($A9&lt;=9,0.5,1),0))</f>
        <v/>
      </c>
      <c r="C9" s="1" t="str">
        <f>IF($A9="","",ROUND(_xlfn.XLOOKUP($A9,'#现网数据参考'!$A:$A,'#现网数据参考'!P:P),0))</f>
        <v/>
      </c>
      <c r="D9" s="1">
        <v>3</v>
      </c>
      <c r="E9" s="1">
        <v>60</v>
      </c>
      <c r="F9" s="1">
        <f ca="1">ROUND(OFFSET('#现网数据参考'!$A$1,MATCH(OFFSET($A9,-MOD(ROW()-1,3),0),'#现网数据参考'!$A:$A,0)-1,MATCH(F$2&amp;$E9,'#现网数据参考'!$3:$3,0)-1)*IF(OFFSET($A9,-MOD(ROW()-1,3),0)&lt;=9,0.6,1),0)</f>
        <v>1</v>
      </c>
      <c r="G9" s="31">
        <f ca="1">_xlfn.XLOOKUP(OFFSET($A9,-MOD(ROW()-1,3),0),'#出征索引'!A:A,'#出征索引'!B:B)+_xlfn.XLOOKUP(OFFSET($A9,-MOD(ROW()-1,3),0),'#出征索引'!A:A,'#出征索引'!C:C)*_xlfn.XLOOKUP(F9,'#出征索引'!E:E,'#出征索引'!F:F)</f>
        <v>600</v>
      </c>
      <c r="H9" s="1">
        <f ca="1">ROUND(OFFSET('#现网数据参考'!$A$1,MATCH(OFFSET($A9,-MOD(ROW()-1,3),0),'#现网数据参考'!$A:$A,0)-1,MATCH(H$2&amp;$E9,'#现网数据参考'!$3:$3,0)-1)*IF(OFFSET($A9,-MOD(ROW()-1,3),0)&lt;=9,0.6,1),0)</f>
        <v>2</v>
      </c>
      <c r="I9" s="1">
        <f ca="1">ROUND(OFFSET('#现网数据参考'!$A$1,MATCH(OFFSET($A9,-MOD(ROW()-1,3),0),'#现网数据参考'!$A:$A,0)-1,MATCH(I$2&amp;$E9,'#现网数据参考'!$3:$3,0)-1)*IF(OFFSET($A9,-MOD(ROW()-1,3),0)&lt;=9,0.6,1),0)</f>
        <v>1</v>
      </c>
      <c r="J9" s="1">
        <f ca="1">ROUND(OFFSET('#现网数据参考'!$A$1,MATCH(OFFSET($A9,-MOD(ROW()-1,3),0),'#现网数据参考'!$A:$A,0)-1,MATCH(J$2&amp;$E9,'#现网数据参考'!$3:$3,0)-1)*IF(OFFSET($A9,-MOD(ROW()-1,3),0)&lt;=9,0.6,1),0)</f>
        <v>2</v>
      </c>
      <c r="K9" s="1">
        <f ca="1">ROUND(OFFSET('#现网数据参考'!$A$1,MATCH(OFFSET($A9,-MOD(ROW()-1,3),0),'#现网数据参考'!$A:$A,0)-1,MATCH(K$2&amp;$E9,'#现网数据参考'!$3:$3,0)-1)*IF(OFFSET($A9,-MOD(ROW()-1,3),0)&lt;=9,0.6,1),0)</f>
        <v>0</v>
      </c>
      <c r="L9" s="1">
        <f ca="1">ROUND(OFFSET('#现网数据参考'!$A$1,MATCH(OFFSET($A9,-MOD(ROW()-1,3),0),'#现网数据参考'!$A:$A,0)-1,MATCH(L$2&amp;$E9,'#现网数据参考'!$3:$3,0)-1),0)</f>
        <v>3</v>
      </c>
    </row>
    <row r="10" spans="1:12" ht="20.149999999999999" customHeight="1" x14ac:dyDescent="0.35">
      <c r="A10" s="1">
        <v>3</v>
      </c>
      <c r="B10" s="1">
        <f>IF($A10="","",ROUND(_xlfn.XLOOKUP($A10,'#现网数据参考'!$A:$A,'#现网数据参考'!G:G)*IF($A10&lt;=9,0.5,1),0))</f>
        <v>19364</v>
      </c>
      <c r="C10" s="1">
        <f>IF($A10="","",ROUND(_xlfn.XLOOKUP($A10,'#现网数据参考'!$A:$A,'#现网数据参考'!P:P),0))</f>
        <v>1</v>
      </c>
      <c r="D10" s="1">
        <v>1</v>
      </c>
      <c r="E10" s="1">
        <v>20</v>
      </c>
      <c r="F10" s="1">
        <f ca="1">ROUND(OFFSET('#现网数据参考'!$A$1,MATCH(OFFSET($A10,-MOD(ROW()-1,3),0),'#现网数据参考'!$A:$A,0)-1,MATCH(F$2&amp;$E10,'#现网数据参考'!$3:$3,0)-1)*IF(OFFSET($A10,-MOD(ROW()-1,3),0)&lt;=9,0.6,1),0)</f>
        <v>1</v>
      </c>
      <c r="G10" s="31">
        <f ca="1">_xlfn.XLOOKUP(OFFSET($A10,-MOD(ROW()-1,3),0),'#出征索引'!A:A,'#出征索引'!B:B)+_xlfn.XLOOKUP(OFFSET($A10,-MOD(ROW()-1,3),0),'#出征索引'!A:A,'#出征索引'!C:C)*_xlfn.XLOOKUP(F10,'#出征索引'!E:E,'#出征索引'!F:F)</f>
        <v>700</v>
      </c>
      <c r="H10" s="1">
        <f ca="1">ROUND(OFFSET('#现网数据参考'!$A$1,MATCH(OFFSET($A10,-MOD(ROW()-1,3),0),'#现网数据参考'!$A:$A,0)-1,MATCH(H$2&amp;$E10,'#现网数据参考'!$3:$3,0)-1)*IF(OFFSET($A10,-MOD(ROW()-1,3),0)&lt;=9,0.6,1),0)</f>
        <v>1</v>
      </c>
      <c r="I10" s="1">
        <f ca="1">ROUND(OFFSET('#现网数据参考'!$A$1,MATCH(OFFSET($A10,-MOD(ROW()-1,3),0),'#现网数据参考'!$A:$A,0)-1,MATCH(I$2&amp;$E10,'#现网数据参考'!$3:$3,0)-1)*IF(OFFSET($A10,-MOD(ROW()-1,3),0)&lt;=9,0.6,1),0)</f>
        <v>1</v>
      </c>
      <c r="J10" s="1">
        <f ca="1">ROUND(OFFSET('#现网数据参考'!$A$1,MATCH(OFFSET($A10,-MOD(ROW()-1,3),0),'#现网数据参考'!$A:$A,0)-1,MATCH(J$2&amp;$E10,'#现网数据参考'!$3:$3,0)-1)*IF(OFFSET($A10,-MOD(ROW()-1,3),0)&lt;=9,0.6,1),0)</f>
        <v>0</v>
      </c>
      <c r="K10" s="1">
        <f ca="1">ROUND(OFFSET('#现网数据参考'!$A$1,MATCH(OFFSET($A10,-MOD(ROW()-1,3),0),'#现网数据参考'!$A:$A,0)-1,MATCH(K$2&amp;$E10,'#现网数据参考'!$3:$3,0)-1)*IF(OFFSET($A10,-MOD(ROW()-1,3),0)&lt;=9,0.6,1),0)</f>
        <v>0</v>
      </c>
      <c r="L10" s="1">
        <f ca="1">ROUND(OFFSET('#现网数据参考'!$A$1,MATCH(OFFSET($A10,-MOD(ROW()-1,3),0),'#现网数据参考'!$A:$A,0)-1,MATCH(L$2&amp;$E10,'#现网数据参考'!$3:$3,0)-1),0)</f>
        <v>3</v>
      </c>
    </row>
    <row r="11" spans="1:12" ht="20.149999999999999" customHeight="1" x14ac:dyDescent="0.35">
      <c r="B11" s="1" t="str">
        <f>IF($A11="","",ROUND(_xlfn.XLOOKUP($A11,'#现网数据参考'!$A:$A,'#现网数据参考'!G:G)*IF($A11&lt;=9,0.5,1),0))</f>
        <v/>
      </c>
      <c r="C11" s="1" t="str">
        <f>IF($A11="","",ROUND(_xlfn.XLOOKUP($A11,'#现网数据参考'!$A:$A,'#现网数据参考'!P:P),0))</f>
        <v/>
      </c>
      <c r="D11" s="1">
        <v>2</v>
      </c>
      <c r="E11" s="1">
        <v>40</v>
      </c>
      <c r="F11" s="1">
        <f ca="1">ROUND(OFFSET('#现网数据参考'!$A$1,MATCH(OFFSET($A11,-MOD(ROW()-1,3),0),'#现网数据参考'!$A:$A,0)-1,MATCH(F$2&amp;$E11,'#现网数据参考'!$3:$3,0)-1)*IF(OFFSET($A11,-MOD(ROW()-1,3),0)&lt;=9,0.6,1),0)</f>
        <v>1</v>
      </c>
      <c r="G11" s="31">
        <f ca="1">_xlfn.XLOOKUP(OFFSET($A11,-MOD(ROW()-1,3),0),'#出征索引'!A:A,'#出征索引'!B:B)+_xlfn.XLOOKUP(OFFSET($A11,-MOD(ROW()-1,3),0),'#出征索引'!A:A,'#出征索引'!C:C)*_xlfn.XLOOKUP(F11,'#出征索引'!E:E,'#出征索引'!F:F)</f>
        <v>700</v>
      </c>
      <c r="H11" s="1">
        <f ca="1">ROUND(OFFSET('#现网数据参考'!$A$1,MATCH(OFFSET($A11,-MOD(ROW()-1,3),0),'#现网数据参考'!$A:$A,0)-1,MATCH(H$2&amp;$E11,'#现网数据参考'!$3:$3,0)-1)*IF(OFFSET($A11,-MOD(ROW()-1,3),0)&lt;=9,0.6,1),0)</f>
        <v>1</v>
      </c>
      <c r="I11" s="1">
        <f ca="1">ROUND(OFFSET('#现网数据参考'!$A$1,MATCH(OFFSET($A11,-MOD(ROW()-1,3),0),'#现网数据参考'!$A:$A,0)-1,MATCH(I$2&amp;$E11,'#现网数据参考'!$3:$3,0)-1)*IF(OFFSET($A11,-MOD(ROW()-1,3),0)&lt;=9,0.6,1),0)</f>
        <v>1</v>
      </c>
      <c r="J11" s="1">
        <f ca="1">ROUND(OFFSET('#现网数据参考'!$A$1,MATCH(OFFSET($A11,-MOD(ROW()-1,3),0),'#现网数据参考'!$A:$A,0)-1,MATCH(J$2&amp;$E11,'#现网数据参考'!$3:$3,0)-1)*IF(OFFSET($A11,-MOD(ROW()-1,3),0)&lt;=9,0.6,1),0)</f>
        <v>1</v>
      </c>
      <c r="K11" s="1">
        <f ca="1">ROUND(OFFSET('#现网数据参考'!$A$1,MATCH(OFFSET($A11,-MOD(ROW()-1,3),0),'#现网数据参考'!$A:$A,0)-1,MATCH(K$2&amp;$E11,'#现网数据参考'!$3:$3,0)-1)*IF(OFFSET($A11,-MOD(ROW()-1,3),0)&lt;=9,0.6,1),0)</f>
        <v>0</v>
      </c>
      <c r="L11" s="1">
        <f ca="1">ROUND(OFFSET('#现网数据参考'!$A$1,MATCH(OFFSET($A11,-MOD(ROW()-1,3),0),'#现网数据参考'!$A:$A,0)-1,MATCH(L$2&amp;$E11,'#现网数据参考'!$3:$3,0)-1),0)</f>
        <v>3</v>
      </c>
    </row>
    <row r="12" spans="1:12" ht="20.149999999999999" customHeight="1" x14ac:dyDescent="0.35">
      <c r="B12" s="1" t="str">
        <f>IF($A12="","",ROUND(_xlfn.XLOOKUP($A12,'#现网数据参考'!$A:$A,'#现网数据参考'!G:G)*IF($A12&lt;=9,0.5,1),0))</f>
        <v/>
      </c>
      <c r="C12" s="1" t="str">
        <f>IF($A12="","",ROUND(_xlfn.XLOOKUP($A12,'#现网数据参考'!$A:$A,'#现网数据参考'!P:P),0))</f>
        <v/>
      </c>
      <c r="D12" s="1">
        <v>3</v>
      </c>
      <c r="E12" s="1">
        <v>60</v>
      </c>
      <c r="F12" s="1">
        <f ca="1">ROUND(OFFSET('#现网数据参考'!$A$1,MATCH(OFFSET($A12,-MOD(ROW()-1,3),0),'#现网数据参考'!$A:$A,0)-1,MATCH(F$2&amp;$E12,'#现网数据参考'!$3:$3,0)-1)*IF(OFFSET($A12,-MOD(ROW()-1,3),0)&lt;=9,0.6,1),0)</f>
        <v>1</v>
      </c>
      <c r="G12" s="31">
        <f ca="1">_xlfn.XLOOKUP(OFFSET($A12,-MOD(ROW()-1,3),0),'#出征索引'!A:A,'#出征索引'!B:B)+_xlfn.XLOOKUP(OFFSET($A12,-MOD(ROW()-1,3),0),'#出征索引'!A:A,'#出征索引'!C:C)*_xlfn.XLOOKUP(F12,'#出征索引'!E:E,'#出征索引'!F:F)</f>
        <v>700</v>
      </c>
      <c r="H12" s="1">
        <f ca="1">ROUND(OFFSET('#现网数据参考'!$A$1,MATCH(OFFSET($A12,-MOD(ROW()-1,3),0),'#现网数据参考'!$A:$A,0)-1,MATCH(H$2&amp;$E12,'#现网数据参考'!$3:$3,0)-1)*IF(OFFSET($A12,-MOD(ROW()-1,3),0)&lt;=9,0.6,1),0)</f>
        <v>1</v>
      </c>
      <c r="I12" s="1">
        <f ca="1">ROUND(OFFSET('#现网数据参考'!$A$1,MATCH(OFFSET($A12,-MOD(ROW()-1,3),0),'#现网数据参考'!$A:$A,0)-1,MATCH(I$2&amp;$E12,'#现网数据参考'!$3:$3,0)-1)*IF(OFFSET($A12,-MOD(ROW()-1,3),0)&lt;=9,0.6,1),0)</f>
        <v>1</v>
      </c>
      <c r="J12" s="1">
        <f ca="1">ROUND(OFFSET('#现网数据参考'!$A$1,MATCH(OFFSET($A12,-MOD(ROW()-1,3),0),'#现网数据参考'!$A:$A,0)-1,MATCH(J$2&amp;$E12,'#现网数据参考'!$3:$3,0)-1)*IF(OFFSET($A12,-MOD(ROW()-1,3),0)&lt;=9,0.6,1),0)</f>
        <v>1</v>
      </c>
      <c r="K12" s="1">
        <f ca="1">ROUND(OFFSET('#现网数据参考'!$A$1,MATCH(OFFSET($A12,-MOD(ROW()-1,3),0),'#现网数据参考'!$A:$A,0)-1,MATCH(K$2&amp;$E12,'#现网数据参考'!$3:$3,0)-1)*IF(OFFSET($A12,-MOD(ROW()-1,3),0)&lt;=9,0.6,1),0)</f>
        <v>0</v>
      </c>
      <c r="L12" s="1">
        <f ca="1">ROUND(OFFSET('#现网数据参考'!$A$1,MATCH(OFFSET($A12,-MOD(ROW()-1,3),0),'#现网数据参考'!$A:$A,0)-1,MATCH(L$2&amp;$E12,'#现网数据参考'!$3:$3,0)-1),0)</f>
        <v>3</v>
      </c>
    </row>
    <row r="13" spans="1:12" ht="20.149999999999999" customHeight="1" x14ac:dyDescent="0.35">
      <c r="A13" s="1">
        <v>4</v>
      </c>
      <c r="B13" s="1">
        <f>IF($A13="","",ROUND(_xlfn.XLOOKUP($A13,'#现网数据参考'!$A:$A,'#现网数据参考'!G:G)*IF($A13&lt;=9,0.5,1),0))</f>
        <v>26368</v>
      </c>
      <c r="C13" s="1">
        <f>IF($A13="","",ROUND(_xlfn.XLOOKUP($A13,'#现网数据参考'!$A:$A,'#现网数据参考'!P:P),0))</f>
        <v>1</v>
      </c>
      <c r="D13" s="1">
        <v>1</v>
      </c>
      <c r="E13" s="1">
        <v>20</v>
      </c>
      <c r="F13" s="1">
        <f ca="1">ROUND(OFFSET('#现网数据参考'!$A$1,MATCH(OFFSET($A13,-MOD(ROW()-1,3),0),'#现网数据参考'!$A:$A,0)-1,MATCH(F$2&amp;$E13,'#现网数据参考'!$3:$3,0)-1)*IF(OFFSET($A13,-MOD(ROW()-1,3),0)&lt;=9,0.6,1),0)</f>
        <v>1</v>
      </c>
      <c r="G13" s="31">
        <f ca="1">_xlfn.XLOOKUP(OFFSET($A13,-MOD(ROW()-1,3),0),'#出征索引'!A:A,'#出征索引'!B:B)+_xlfn.XLOOKUP(OFFSET($A13,-MOD(ROW()-1,3),0),'#出征索引'!A:A,'#出征索引'!C:C)*_xlfn.XLOOKUP(F13,'#出征索引'!E:E,'#出征索引'!F:F)</f>
        <v>800</v>
      </c>
      <c r="H13" s="1">
        <f ca="1">ROUND(OFFSET('#现网数据参考'!$A$1,MATCH(OFFSET($A13,-MOD(ROW()-1,3),0),'#现网数据参考'!$A:$A,0)-1,MATCH(H$2&amp;$E13,'#现网数据参考'!$3:$3,0)-1)*IF(OFFSET($A13,-MOD(ROW()-1,3),0)&lt;=9,0.6,1),0)</f>
        <v>1</v>
      </c>
      <c r="I13" s="1">
        <f ca="1">ROUND(OFFSET('#现网数据参考'!$A$1,MATCH(OFFSET($A13,-MOD(ROW()-1,3),0),'#现网数据参考'!$A:$A,0)-1,MATCH(I$2&amp;$E13,'#现网数据参考'!$3:$3,0)-1)*IF(OFFSET($A13,-MOD(ROW()-1,3),0)&lt;=9,0.6,1),0)</f>
        <v>1</v>
      </c>
      <c r="J13" s="1">
        <f ca="1">ROUND(OFFSET('#现网数据参考'!$A$1,MATCH(OFFSET($A13,-MOD(ROW()-1,3),0),'#现网数据参考'!$A:$A,0)-1,MATCH(J$2&amp;$E13,'#现网数据参考'!$3:$3,0)-1)*IF(OFFSET($A13,-MOD(ROW()-1,3),0)&lt;=9,0.6,1),0)</f>
        <v>0</v>
      </c>
      <c r="K13" s="1">
        <f ca="1">ROUND(OFFSET('#现网数据参考'!$A$1,MATCH(OFFSET($A13,-MOD(ROW()-1,3),0),'#现网数据参考'!$A:$A,0)-1,MATCH(K$2&amp;$E13,'#现网数据参考'!$3:$3,0)-1)*IF(OFFSET($A13,-MOD(ROW()-1,3),0)&lt;=9,0.6,1),0)</f>
        <v>0</v>
      </c>
      <c r="L13" s="1">
        <f ca="1">ROUND(OFFSET('#现网数据参考'!$A$1,MATCH(OFFSET($A13,-MOD(ROW()-1,3),0),'#现网数据参考'!$A:$A,0)-1,MATCH(L$2&amp;$E13,'#现网数据参考'!$3:$3,0)-1),0)</f>
        <v>3</v>
      </c>
    </row>
    <row r="14" spans="1:12" ht="20.149999999999999" customHeight="1" x14ac:dyDescent="0.35">
      <c r="B14" s="1" t="str">
        <f>IF($A14="","",ROUND(_xlfn.XLOOKUP($A14,'#现网数据参考'!$A:$A,'#现网数据参考'!G:G)*IF($A14&lt;=9,0.5,1),0))</f>
        <v/>
      </c>
      <c r="C14" s="1" t="str">
        <f>IF($A14="","",ROUND(_xlfn.XLOOKUP($A14,'#现网数据参考'!$A:$A,'#现网数据参考'!P:P),0))</f>
        <v/>
      </c>
      <c r="D14" s="1">
        <v>2</v>
      </c>
      <c r="E14" s="1">
        <v>40</v>
      </c>
      <c r="F14" s="1">
        <f ca="1">ROUND(OFFSET('#现网数据参考'!$A$1,MATCH(OFFSET($A14,-MOD(ROW()-1,3),0),'#现网数据参考'!$A:$A,0)-1,MATCH(F$2&amp;$E14,'#现网数据参考'!$3:$3,0)-1)*IF(OFFSET($A14,-MOD(ROW()-1,3),0)&lt;=9,0.6,1),0)</f>
        <v>2</v>
      </c>
      <c r="G14" s="31">
        <f ca="1">_xlfn.XLOOKUP(OFFSET($A14,-MOD(ROW()-1,3),0),'#出征索引'!A:A,'#出征索引'!B:B)+_xlfn.XLOOKUP(OFFSET($A14,-MOD(ROW()-1,3),0),'#出征索引'!A:A,'#出征索引'!C:C)*_xlfn.XLOOKUP(F14,'#出征索引'!E:E,'#出征索引'!F:F)</f>
        <v>1000</v>
      </c>
      <c r="H14" s="1">
        <f ca="1">ROUND(OFFSET('#现网数据参考'!$A$1,MATCH(OFFSET($A14,-MOD(ROW()-1,3),0),'#现网数据参考'!$A:$A,0)-1,MATCH(H$2&amp;$E14,'#现网数据参考'!$3:$3,0)-1)*IF(OFFSET($A14,-MOD(ROW()-1,3),0)&lt;=9,0.6,1),0)</f>
        <v>1</v>
      </c>
      <c r="I14" s="1">
        <f ca="1">ROUND(OFFSET('#现网数据参考'!$A$1,MATCH(OFFSET($A14,-MOD(ROW()-1,3),0),'#现网数据参考'!$A:$A,0)-1,MATCH(I$2&amp;$E14,'#现网数据参考'!$3:$3,0)-1)*IF(OFFSET($A14,-MOD(ROW()-1,3),0)&lt;=9,0.6,1),0)</f>
        <v>1</v>
      </c>
      <c r="J14" s="1">
        <f ca="1">ROUND(OFFSET('#现网数据参考'!$A$1,MATCH(OFFSET($A14,-MOD(ROW()-1,3),0),'#现网数据参考'!$A:$A,0)-1,MATCH(J$2&amp;$E14,'#现网数据参考'!$3:$3,0)-1)*IF(OFFSET($A14,-MOD(ROW()-1,3),0)&lt;=9,0.6,1),0)</f>
        <v>0</v>
      </c>
      <c r="K14" s="1">
        <f ca="1">ROUND(OFFSET('#现网数据参考'!$A$1,MATCH(OFFSET($A14,-MOD(ROW()-1,3),0),'#现网数据参考'!$A:$A,0)-1,MATCH(K$2&amp;$E14,'#现网数据参考'!$3:$3,0)-1)*IF(OFFSET($A14,-MOD(ROW()-1,3),0)&lt;=9,0.6,1),0)</f>
        <v>0</v>
      </c>
      <c r="L14" s="1">
        <f ca="1">ROUND(OFFSET('#现网数据参考'!$A$1,MATCH(OFFSET($A14,-MOD(ROW()-1,3),0),'#现网数据参考'!$A:$A,0)-1,MATCH(L$2&amp;$E14,'#现网数据参考'!$3:$3,0)-1),0)</f>
        <v>3</v>
      </c>
    </row>
    <row r="15" spans="1:12" ht="20.149999999999999" customHeight="1" x14ac:dyDescent="0.35">
      <c r="B15" s="1" t="str">
        <f>IF($A15="","",ROUND(_xlfn.XLOOKUP($A15,'#现网数据参考'!$A:$A,'#现网数据参考'!G:G)*IF($A15&lt;=9,0.5,1),0))</f>
        <v/>
      </c>
      <c r="C15" s="1" t="str">
        <f>IF($A15="","",ROUND(_xlfn.XLOOKUP($A15,'#现网数据参考'!$A:$A,'#现网数据参考'!P:P),0))</f>
        <v/>
      </c>
      <c r="D15" s="1">
        <v>3</v>
      </c>
      <c r="E15" s="1">
        <v>60</v>
      </c>
      <c r="F15" s="1">
        <f ca="1">ROUND(OFFSET('#现网数据参考'!$A$1,MATCH(OFFSET($A15,-MOD(ROW()-1,3),0),'#现网数据参考'!$A:$A,0)-1,MATCH(F$2&amp;$E15,'#现网数据参考'!$3:$3,0)-1)*IF(OFFSET($A15,-MOD(ROW()-1,3),0)&lt;=9,0.6,1),0)</f>
        <v>2</v>
      </c>
      <c r="G15" s="31">
        <f ca="1">_xlfn.XLOOKUP(OFFSET($A15,-MOD(ROW()-1,3),0),'#出征索引'!A:A,'#出征索引'!B:B)+_xlfn.XLOOKUP(OFFSET($A15,-MOD(ROW()-1,3),0),'#出征索引'!A:A,'#出征索引'!C:C)*_xlfn.XLOOKUP(F15,'#出征索引'!E:E,'#出征索引'!F:F)</f>
        <v>1000</v>
      </c>
      <c r="H15" s="1">
        <f ca="1">ROUND(OFFSET('#现网数据参考'!$A$1,MATCH(OFFSET($A15,-MOD(ROW()-1,3),0),'#现网数据参考'!$A:$A,0)-1,MATCH(H$2&amp;$E15,'#现网数据参考'!$3:$3,0)-1)*IF(OFFSET($A15,-MOD(ROW()-1,3),0)&lt;=9,0.6,1),0)</f>
        <v>2</v>
      </c>
      <c r="I15" s="1">
        <f ca="1">ROUND(OFFSET('#现网数据参考'!$A$1,MATCH(OFFSET($A15,-MOD(ROW()-1,3),0),'#现网数据参考'!$A:$A,0)-1,MATCH(I$2&amp;$E15,'#现网数据参考'!$3:$3,0)-1)*IF(OFFSET($A15,-MOD(ROW()-1,3),0)&lt;=9,0.6,1),0)</f>
        <v>1</v>
      </c>
      <c r="J15" s="1">
        <f ca="1">ROUND(OFFSET('#现网数据参考'!$A$1,MATCH(OFFSET($A15,-MOD(ROW()-1,3),0),'#现网数据参考'!$A:$A,0)-1,MATCH(J$2&amp;$E15,'#现网数据参考'!$3:$3,0)-1)*IF(OFFSET($A15,-MOD(ROW()-1,3),0)&lt;=9,0.6,1),0)</f>
        <v>1</v>
      </c>
      <c r="K15" s="1">
        <f ca="1">ROUND(OFFSET('#现网数据参考'!$A$1,MATCH(OFFSET($A15,-MOD(ROW()-1,3),0),'#现网数据参考'!$A:$A,0)-1,MATCH(K$2&amp;$E15,'#现网数据参考'!$3:$3,0)-1)*IF(OFFSET($A15,-MOD(ROW()-1,3),0)&lt;=9,0.6,1),0)</f>
        <v>0</v>
      </c>
      <c r="L15" s="1">
        <f ca="1">ROUND(OFFSET('#现网数据参考'!$A$1,MATCH(OFFSET($A15,-MOD(ROW()-1,3),0),'#现网数据参考'!$A:$A,0)-1,MATCH(L$2&amp;$E15,'#现网数据参考'!$3:$3,0)-1),0)</f>
        <v>3</v>
      </c>
    </row>
    <row r="16" spans="1:12" ht="20.149999999999999" customHeight="1" x14ac:dyDescent="0.35">
      <c r="A16" s="1">
        <v>5</v>
      </c>
      <c r="B16" s="1">
        <f>IF($A16="","",ROUND(_xlfn.XLOOKUP($A16,'#现网数据参考'!$A:$A,'#现网数据参考'!G:G)*IF($A16&lt;=9,0.5,1),0))</f>
        <v>33330</v>
      </c>
      <c r="C16" s="1">
        <f>IF($A16="","",ROUND(_xlfn.XLOOKUP($A16,'#现网数据参考'!$A:$A,'#现网数据参考'!P:P),0))</f>
        <v>1</v>
      </c>
      <c r="D16" s="1">
        <v>1</v>
      </c>
      <c r="E16" s="1">
        <v>20</v>
      </c>
      <c r="F16" s="1">
        <f ca="1">ROUND(OFFSET('#现网数据参考'!$A$1,MATCH(OFFSET($A16,-MOD(ROW()-1,3),0),'#现网数据参考'!$A:$A,0)-1,MATCH(F$2&amp;$E16,'#现网数据参考'!$3:$3,0)-1)*IF(OFFSET($A16,-MOD(ROW()-1,3),0)&lt;=9,0.6,1),0)</f>
        <v>4</v>
      </c>
      <c r="G16" s="31">
        <f ca="1">_xlfn.XLOOKUP(OFFSET($A16,-MOD(ROW()-1,3),0),'#出征索引'!A:A,'#出征索引'!B:B)+_xlfn.XLOOKUP(OFFSET($A16,-MOD(ROW()-1,3),0),'#出征索引'!A:A,'#出征索引'!C:C)*_xlfn.XLOOKUP(F16,'#出征索引'!E:E,'#出征索引'!F:F)</f>
        <v>1700</v>
      </c>
      <c r="H16" s="1">
        <f ca="1">ROUND(OFFSET('#现网数据参考'!$A$1,MATCH(OFFSET($A16,-MOD(ROW()-1,3),0),'#现网数据参考'!$A:$A,0)-1,MATCH(H$2&amp;$E16,'#现网数据参考'!$3:$3,0)-1)*IF(OFFSET($A16,-MOD(ROW()-1,3),0)&lt;=9,0.6,1),0)</f>
        <v>1</v>
      </c>
      <c r="I16" s="1">
        <f ca="1">ROUND(OFFSET('#现网数据参考'!$A$1,MATCH(OFFSET($A16,-MOD(ROW()-1,3),0),'#现网数据参考'!$A:$A,0)-1,MATCH(I$2&amp;$E16,'#现网数据参考'!$3:$3,0)-1)*IF(OFFSET($A16,-MOD(ROW()-1,3),0)&lt;=9,0.6,1),0)</f>
        <v>2</v>
      </c>
      <c r="J16" s="1">
        <f ca="1">ROUND(OFFSET('#现网数据参考'!$A$1,MATCH(OFFSET($A16,-MOD(ROW()-1,3),0),'#现网数据参考'!$A:$A,0)-1,MATCH(J$2&amp;$E16,'#现网数据参考'!$3:$3,0)-1)*IF(OFFSET($A16,-MOD(ROW()-1,3),0)&lt;=9,0.6,1),0)</f>
        <v>1</v>
      </c>
      <c r="K16" s="1">
        <f ca="1">ROUND(OFFSET('#现网数据参考'!$A$1,MATCH(OFFSET($A16,-MOD(ROW()-1,3),0),'#现网数据参考'!$A:$A,0)-1,MATCH(K$2&amp;$E16,'#现网数据参考'!$3:$3,0)-1)*IF(OFFSET($A16,-MOD(ROW()-1,3),0)&lt;=9,0.6,1),0)</f>
        <v>0</v>
      </c>
      <c r="L16" s="1">
        <f ca="1">ROUND(OFFSET('#现网数据参考'!$A$1,MATCH(OFFSET($A16,-MOD(ROW()-1,3),0),'#现网数据参考'!$A:$A,0)-1,MATCH(L$2&amp;$E16,'#现网数据参考'!$3:$3,0)-1),0)</f>
        <v>3</v>
      </c>
    </row>
    <row r="17" spans="1:12" ht="20.149999999999999" customHeight="1" x14ac:dyDescent="0.35">
      <c r="B17" s="1" t="str">
        <f>IF($A17="","",ROUND(_xlfn.XLOOKUP($A17,'#现网数据参考'!$A:$A,'#现网数据参考'!G:G)*IF($A17&lt;=9,0.5,1),0))</f>
        <v/>
      </c>
      <c r="C17" s="1" t="str">
        <f>IF($A17="","",ROUND(_xlfn.XLOOKUP($A17,'#现网数据参考'!$A:$A,'#现网数据参考'!P:P),0))</f>
        <v/>
      </c>
      <c r="D17" s="1">
        <v>2</v>
      </c>
      <c r="E17" s="1">
        <v>40</v>
      </c>
      <c r="F17" s="1">
        <f ca="1">ROUND(OFFSET('#现网数据参考'!$A$1,MATCH(OFFSET($A17,-MOD(ROW()-1,3),0),'#现网数据参考'!$A:$A,0)-1,MATCH(F$2&amp;$E17,'#现网数据参考'!$3:$3,0)-1)*IF(OFFSET($A17,-MOD(ROW()-1,3),0)&lt;=9,0.6,1),0)</f>
        <v>6</v>
      </c>
      <c r="G17" s="31">
        <f ca="1">_xlfn.XLOOKUP(OFFSET($A17,-MOD(ROW()-1,3),0),'#出征索引'!A:A,'#出征索引'!B:B)+_xlfn.XLOOKUP(OFFSET($A17,-MOD(ROW()-1,3),0),'#出征索引'!A:A,'#出征索引'!C:C)*_xlfn.XLOOKUP(F17,'#出征索引'!E:E,'#出征索引'!F:F)</f>
        <v>2100</v>
      </c>
      <c r="H17" s="1">
        <f ca="1">ROUND(OFFSET('#现网数据参考'!$A$1,MATCH(OFFSET($A17,-MOD(ROW()-1,3),0),'#现网数据参考'!$A:$A,0)-1,MATCH(H$2&amp;$E17,'#现网数据参考'!$3:$3,0)-1)*IF(OFFSET($A17,-MOD(ROW()-1,3),0)&lt;=9,0.6,1),0)</f>
        <v>1</v>
      </c>
      <c r="I17" s="1">
        <f ca="1">ROUND(OFFSET('#现网数据参考'!$A$1,MATCH(OFFSET($A17,-MOD(ROW()-1,3),0),'#现网数据参考'!$A:$A,0)-1,MATCH(I$2&amp;$E17,'#现网数据参考'!$3:$3,0)-1)*IF(OFFSET($A17,-MOD(ROW()-1,3),0)&lt;=9,0.6,1),0)</f>
        <v>2</v>
      </c>
      <c r="J17" s="1">
        <f ca="1">ROUND(OFFSET('#现网数据参考'!$A$1,MATCH(OFFSET($A17,-MOD(ROW()-1,3),0),'#现网数据参考'!$A:$A,0)-1,MATCH(J$2&amp;$E17,'#现网数据参考'!$3:$3,0)-1)*IF(OFFSET($A17,-MOD(ROW()-1,3),0)&lt;=9,0.6,1),0)</f>
        <v>2</v>
      </c>
      <c r="K17" s="1">
        <f ca="1">ROUND(OFFSET('#现网数据参考'!$A$1,MATCH(OFFSET($A17,-MOD(ROW()-1,3),0),'#现网数据参考'!$A:$A,0)-1,MATCH(K$2&amp;$E17,'#现网数据参考'!$3:$3,0)-1)*IF(OFFSET($A17,-MOD(ROW()-1,3),0)&lt;=9,0.6,1),0)</f>
        <v>0</v>
      </c>
      <c r="L17" s="1">
        <f ca="1">ROUND(OFFSET('#现网数据参考'!$A$1,MATCH(OFFSET($A17,-MOD(ROW()-1,3),0),'#现网数据参考'!$A:$A,0)-1,MATCH(L$2&amp;$E17,'#现网数据参考'!$3:$3,0)-1),0)</f>
        <v>3</v>
      </c>
    </row>
    <row r="18" spans="1:12" ht="20.149999999999999" customHeight="1" x14ac:dyDescent="0.35">
      <c r="B18" s="1" t="str">
        <f>IF($A18="","",ROUND(_xlfn.XLOOKUP($A18,'#现网数据参考'!$A:$A,'#现网数据参考'!G:G)*IF($A18&lt;=9,0.5,1),0))</f>
        <v/>
      </c>
      <c r="C18" s="1" t="str">
        <f>IF($A18="","",ROUND(_xlfn.XLOOKUP($A18,'#现网数据参考'!$A:$A,'#现网数据参考'!P:P),0))</f>
        <v/>
      </c>
      <c r="D18" s="1">
        <v>3</v>
      </c>
      <c r="E18" s="1">
        <v>60</v>
      </c>
      <c r="F18" s="1">
        <f ca="1">ROUND(OFFSET('#现网数据参考'!$A$1,MATCH(OFFSET($A18,-MOD(ROW()-1,3),0),'#现网数据参考'!$A:$A,0)-1,MATCH(F$2&amp;$E18,'#现网数据参考'!$3:$3,0)-1)*IF(OFFSET($A18,-MOD(ROW()-1,3),0)&lt;=9,0.6,1),0)</f>
        <v>6</v>
      </c>
      <c r="G18" s="31">
        <f ca="1">_xlfn.XLOOKUP(OFFSET($A18,-MOD(ROW()-1,3),0),'#出征索引'!A:A,'#出征索引'!B:B)+_xlfn.XLOOKUP(OFFSET($A18,-MOD(ROW()-1,3),0),'#出征索引'!A:A,'#出征索引'!C:C)*_xlfn.XLOOKUP(F18,'#出征索引'!E:E,'#出征索引'!F:F)</f>
        <v>2100</v>
      </c>
      <c r="H18" s="1">
        <f ca="1">ROUND(OFFSET('#现网数据参考'!$A$1,MATCH(OFFSET($A18,-MOD(ROW()-1,3),0),'#现网数据参考'!$A:$A,0)-1,MATCH(H$2&amp;$E18,'#现网数据参考'!$3:$3,0)-1)*IF(OFFSET($A18,-MOD(ROW()-1,3),0)&lt;=9,0.6,1),0)</f>
        <v>1</v>
      </c>
      <c r="I18" s="1">
        <f ca="1">ROUND(OFFSET('#现网数据参考'!$A$1,MATCH(OFFSET($A18,-MOD(ROW()-1,3),0),'#现网数据参考'!$A:$A,0)-1,MATCH(I$2&amp;$E18,'#现网数据参考'!$3:$3,0)-1)*IF(OFFSET($A18,-MOD(ROW()-1,3),0)&lt;=9,0.6,1),0)</f>
        <v>2</v>
      </c>
      <c r="J18" s="1">
        <f ca="1">ROUND(OFFSET('#现网数据参考'!$A$1,MATCH(OFFSET($A18,-MOD(ROW()-1,3),0),'#现网数据参考'!$A:$A,0)-1,MATCH(J$2&amp;$E18,'#现网数据参考'!$3:$3,0)-1)*IF(OFFSET($A18,-MOD(ROW()-1,3),0)&lt;=9,0.6,1),0)</f>
        <v>2</v>
      </c>
      <c r="K18" s="1">
        <f ca="1">ROUND(OFFSET('#现网数据参考'!$A$1,MATCH(OFFSET($A18,-MOD(ROW()-1,3),0),'#现网数据参考'!$A:$A,0)-1,MATCH(K$2&amp;$E18,'#现网数据参考'!$3:$3,0)-1)*IF(OFFSET($A18,-MOD(ROW()-1,3),0)&lt;=9,0.6,1),0)</f>
        <v>0</v>
      </c>
      <c r="L18" s="1">
        <f ca="1">ROUND(OFFSET('#现网数据参考'!$A$1,MATCH(OFFSET($A18,-MOD(ROW()-1,3),0),'#现网数据参考'!$A:$A,0)-1,MATCH(L$2&amp;$E18,'#现网数据参考'!$3:$3,0)-1),0)</f>
        <v>3</v>
      </c>
    </row>
    <row r="19" spans="1:12" ht="20.149999999999999" customHeight="1" x14ac:dyDescent="0.35">
      <c r="A19" s="1">
        <v>6</v>
      </c>
      <c r="B19" s="1">
        <f>IF($A19="","",ROUND(_xlfn.XLOOKUP($A19,'#现网数据参考'!$A:$A,'#现网数据参考'!G:G)*IF($A19&lt;=9,0.5,1),0))</f>
        <v>41499</v>
      </c>
      <c r="C19" s="1">
        <f>IF($A19="","",ROUND(_xlfn.XLOOKUP($A19,'#现网数据参考'!$A:$A,'#现网数据参考'!P:P),0))</f>
        <v>1</v>
      </c>
      <c r="D19" s="1">
        <v>1</v>
      </c>
      <c r="E19" s="1">
        <v>20</v>
      </c>
      <c r="F19" s="1">
        <f ca="1">ROUND(OFFSET('#现网数据参考'!$A$1,MATCH(OFFSET($A19,-MOD(ROW()-1,3),0),'#现网数据参考'!$A:$A,0)-1,MATCH(F$2&amp;$E19,'#现网数据参考'!$3:$3,0)-1)*IF(OFFSET($A19,-MOD(ROW()-1,3),0)&lt;=9,0.6,1),0)</f>
        <v>6</v>
      </c>
      <c r="G19" s="31">
        <f ca="1">_xlfn.XLOOKUP(OFFSET($A19,-MOD(ROW()-1,3),0),'#出征索引'!A:A,'#出征索引'!B:B)+_xlfn.XLOOKUP(OFFSET($A19,-MOD(ROW()-1,3),0),'#出征索引'!A:A,'#出征索引'!C:C)*_xlfn.XLOOKUP(F19,'#出征索引'!E:E,'#出征索引'!F:F)</f>
        <v>2400</v>
      </c>
      <c r="H19" s="1">
        <f ca="1">ROUND(OFFSET('#现网数据参考'!$A$1,MATCH(OFFSET($A19,-MOD(ROW()-1,3),0),'#现网数据参考'!$A:$A,0)-1,MATCH(H$2&amp;$E19,'#现网数据参考'!$3:$3,0)-1)*IF(OFFSET($A19,-MOD(ROW()-1,3),0)&lt;=9,0.6,1),0)</f>
        <v>1</v>
      </c>
      <c r="I19" s="1">
        <f ca="1">ROUND(OFFSET('#现网数据参考'!$A$1,MATCH(OFFSET($A19,-MOD(ROW()-1,3),0),'#现网数据参考'!$A:$A,0)-1,MATCH(I$2&amp;$E19,'#现网数据参考'!$3:$3,0)-1)*IF(OFFSET($A19,-MOD(ROW()-1,3),0)&lt;=9,0.6,1),0)</f>
        <v>2</v>
      </c>
      <c r="J19" s="1">
        <f ca="1">ROUND(OFFSET('#现网数据参考'!$A$1,MATCH(OFFSET($A19,-MOD(ROW()-1,3),0),'#现网数据参考'!$A:$A,0)-1,MATCH(J$2&amp;$E19,'#现网数据参考'!$3:$3,0)-1)*IF(OFFSET($A19,-MOD(ROW()-1,3),0)&lt;=9,0.6,1),0)</f>
        <v>2</v>
      </c>
      <c r="K19" s="1">
        <f ca="1">ROUND(OFFSET('#现网数据参考'!$A$1,MATCH(OFFSET($A19,-MOD(ROW()-1,3),0),'#现网数据参考'!$A:$A,0)-1,MATCH(K$2&amp;$E19,'#现网数据参考'!$3:$3,0)-1)*IF(OFFSET($A19,-MOD(ROW()-1,3),0)&lt;=9,0.6,1),0)</f>
        <v>0</v>
      </c>
      <c r="L19" s="1">
        <f ca="1">ROUND(OFFSET('#现网数据参考'!$A$1,MATCH(OFFSET($A19,-MOD(ROW()-1,3),0),'#现网数据参考'!$A:$A,0)-1,MATCH(L$2&amp;$E19,'#现网数据参考'!$3:$3,0)-1),0)</f>
        <v>3</v>
      </c>
    </row>
    <row r="20" spans="1:12" ht="20.149999999999999" customHeight="1" x14ac:dyDescent="0.35">
      <c r="B20" s="1" t="str">
        <f>IF($A20="","",ROUND(_xlfn.XLOOKUP($A20,'#现网数据参考'!$A:$A,'#现网数据参考'!G:G)*IF($A20&lt;=9,0.5,1),0))</f>
        <v/>
      </c>
      <c r="C20" s="1" t="str">
        <f>IF($A20="","",ROUND(_xlfn.XLOOKUP($A20,'#现网数据参考'!$A:$A,'#现网数据参考'!P:P),0))</f>
        <v/>
      </c>
      <c r="D20" s="1">
        <v>2</v>
      </c>
      <c r="E20" s="1">
        <v>40</v>
      </c>
      <c r="F20" s="1">
        <f ca="1">ROUND(OFFSET('#现网数据参考'!$A$1,MATCH(OFFSET($A20,-MOD(ROW()-1,3),0),'#现网数据参考'!$A:$A,0)-1,MATCH(F$2&amp;$E20,'#现网数据参考'!$3:$3,0)-1)*IF(OFFSET($A20,-MOD(ROW()-1,3),0)&lt;=9,0.6,1),0)</f>
        <v>6</v>
      </c>
      <c r="G20" s="31">
        <f ca="1">_xlfn.XLOOKUP(OFFSET($A20,-MOD(ROW()-1,3),0),'#出征索引'!A:A,'#出征索引'!B:B)+_xlfn.XLOOKUP(OFFSET($A20,-MOD(ROW()-1,3),0),'#出征索引'!A:A,'#出征索引'!C:C)*_xlfn.XLOOKUP(F20,'#出征索引'!E:E,'#出征索引'!F:F)</f>
        <v>2400</v>
      </c>
      <c r="H20" s="1">
        <f ca="1">ROUND(OFFSET('#现网数据参考'!$A$1,MATCH(OFFSET($A20,-MOD(ROW()-1,3),0),'#现网数据参考'!$A:$A,0)-1,MATCH(H$2&amp;$E20,'#现网数据参考'!$3:$3,0)-1)*IF(OFFSET($A20,-MOD(ROW()-1,3),0)&lt;=9,0.6,1),0)</f>
        <v>2</v>
      </c>
      <c r="I20" s="1">
        <f ca="1">ROUND(OFFSET('#现网数据参考'!$A$1,MATCH(OFFSET($A20,-MOD(ROW()-1,3),0),'#现网数据参考'!$A:$A,0)-1,MATCH(I$2&amp;$E20,'#现网数据参考'!$3:$3,0)-1)*IF(OFFSET($A20,-MOD(ROW()-1,3),0)&lt;=9,0.6,1),0)</f>
        <v>2</v>
      </c>
      <c r="J20" s="1">
        <f ca="1">ROUND(OFFSET('#现网数据参考'!$A$1,MATCH(OFFSET($A20,-MOD(ROW()-1,3),0),'#现网数据参考'!$A:$A,0)-1,MATCH(J$2&amp;$E20,'#现网数据参考'!$3:$3,0)-1)*IF(OFFSET($A20,-MOD(ROW()-1,3),0)&lt;=9,0.6,1),0)</f>
        <v>2</v>
      </c>
      <c r="K20" s="1">
        <f ca="1">ROUND(OFFSET('#现网数据参考'!$A$1,MATCH(OFFSET($A20,-MOD(ROW()-1,3),0),'#现网数据参考'!$A:$A,0)-1,MATCH(K$2&amp;$E20,'#现网数据参考'!$3:$3,0)-1)*IF(OFFSET($A20,-MOD(ROW()-1,3),0)&lt;=9,0.6,1),0)</f>
        <v>0</v>
      </c>
      <c r="L20" s="1">
        <f ca="1">ROUND(OFFSET('#现网数据参考'!$A$1,MATCH(OFFSET($A20,-MOD(ROW()-1,3),0),'#现网数据参考'!$A:$A,0)-1,MATCH(L$2&amp;$E20,'#现网数据参考'!$3:$3,0)-1),0)</f>
        <v>3</v>
      </c>
    </row>
    <row r="21" spans="1:12" ht="20.149999999999999" customHeight="1" x14ac:dyDescent="0.35">
      <c r="B21" s="1" t="str">
        <f>IF($A21="","",ROUND(_xlfn.XLOOKUP($A21,'#现网数据参考'!$A:$A,'#现网数据参考'!G:G)*IF($A21&lt;=9,0.5,1),0))</f>
        <v/>
      </c>
      <c r="C21" s="1" t="str">
        <f>IF($A21="","",ROUND(_xlfn.XLOOKUP($A21,'#现网数据参考'!$A:$A,'#现网数据参考'!P:P),0))</f>
        <v/>
      </c>
      <c r="D21" s="1">
        <v>3</v>
      </c>
      <c r="E21" s="1">
        <v>60</v>
      </c>
      <c r="F21" s="1">
        <f ca="1">ROUND(OFFSET('#现网数据参考'!$A$1,MATCH(OFFSET($A21,-MOD(ROW()-1,3),0),'#现网数据参考'!$A:$A,0)-1,MATCH(F$2&amp;$E21,'#现网数据参考'!$3:$3,0)-1)*IF(OFFSET($A21,-MOD(ROW()-1,3),0)&lt;=9,0.6,1),0)</f>
        <v>8</v>
      </c>
      <c r="G21" s="31">
        <f ca="1">_xlfn.XLOOKUP(OFFSET($A21,-MOD(ROW()-1,3),0),'#出征索引'!A:A,'#出征索引'!B:B)+_xlfn.XLOOKUP(OFFSET($A21,-MOD(ROW()-1,3),0),'#出征索引'!A:A,'#出征索引'!C:C)*_xlfn.XLOOKUP(F21,'#出征索引'!E:E,'#出征索引'!F:F)</f>
        <v>2800</v>
      </c>
      <c r="H21" s="1">
        <f ca="1">ROUND(OFFSET('#现网数据参考'!$A$1,MATCH(OFFSET($A21,-MOD(ROW()-1,3),0),'#现网数据参考'!$A:$A,0)-1,MATCH(H$2&amp;$E21,'#现网数据参考'!$3:$3,0)-1)*IF(OFFSET($A21,-MOD(ROW()-1,3),0)&lt;=9,0.6,1),0)</f>
        <v>2</v>
      </c>
      <c r="I21" s="1">
        <f ca="1">ROUND(OFFSET('#现网数据参考'!$A$1,MATCH(OFFSET($A21,-MOD(ROW()-1,3),0),'#现网数据参考'!$A:$A,0)-1,MATCH(I$2&amp;$E21,'#现网数据参考'!$3:$3,0)-1)*IF(OFFSET($A21,-MOD(ROW()-1,3),0)&lt;=9,0.6,1),0)</f>
        <v>2</v>
      </c>
      <c r="J21" s="1">
        <f ca="1">ROUND(OFFSET('#现网数据参考'!$A$1,MATCH(OFFSET($A21,-MOD(ROW()-1,3),0),'#现网数据参考'!$A:$A,0)-1,MATCH(J$2&amp;$E21,'#现网数据参考'!$3:$3,0)-1)*IF(OFFSET($A21,-MOD(ROW()-1,3),0)&lt;=9,0.6,1),0)</f>
        <v>3</v>
      </c>
      <c r="K21" s="1">
        <f ca="1">ROUND(OFFSET('#现网数据参考'!$A$1,MATCH(OFFSET($A21,-MOD(ROW()-1,3),0),'#现网数据参考'!$A:$A,0)-1,MATCH(K$2&amp;$E21,'#现网数据参考'!$3:$3,0)-1)*IF(OFFSET($A21,-MOD(ROW()-1,3),0)&lt;=9,0.6,1),0)</f>
        <v>0</v>
      </c>
      <c r="L21" s="1">
        <f ca="1">ROUND(OFFSET('#现网数据参考'!$A$1,MATCH(OFFSET($A21,-MOD(ROW()-1,3),0),'#现网数据参考'!$A:$A,0)-1,MATCH(L$2&amp;$E21,'#现网数据参考'!$3:$3,0)-1),0)</f>
        <v>3</v>
      </c>
    </row>
    <row r="22" spans="1:12" ht="20.149999999999999" customHeight="1" x14ac:dyDescent="0.35">
      <c r="A22" s="1">
        <v>7</v>
      </c>
      <c r="B22" s="1">
        <f>IF($A22="","",ROUND(_xlfn.XLOOKUP($A22,'#现网数据参考'!$A:$A,'#现网数据参考'!G:G)*IF($A22&lt;=9,0.5,1),0))</f>
        <v>50856</v>
      </c>
      <c r="C22" s="1">
        <f>IF($A22="","",ROUND(_xlfn.XLOOKUP($A22,'#现网数据参考'!$A:$A,'#现网数据参考'!P:P),0))</f>
        <v>2</v>
      </c>
      <c r="D22" s="1">
        <v>1</v>
      </c>
      <c r="E22" s="1">
        <v>20</v>
      </c>
      <c r="F22" s="1">
        <f ca="1">ROUND(OFFSET('#现网数据参考'!$A$1,MATCH(OFFSET($A22,-MOD(ROW()-1,3),0),'#现网数据参考'!$A:$A,0)-1,MATCH(F$2&amp;$E22,'#现网数据参考'!$3:$3,0)-1)*IF(OFFSET($A22,-MOD(ROW()-1,3),0)&lt;=9,0.6,1),0)</f>
        <v>6</v>
      </c>
      <c r="G22" s="31">
        <f ca="1">_xlfn.XLOOKUP(OFFSET($A22,-MOD(ROW()-1,3),0),'#出征索引'!A:A,'#出征索引'!B:B)+_xlfn.XLOOKUP(OFFSET($A22,-MOD(ROW()-1,3),0),'#出征索引'!A:A,'#出征索引'!C:C)*_xlfn.XLOOKUP(F22,'#出征索引'!E:E,'#出征索引'!F:F)</f>
        <v>2900</v>
      </c>
      <c r="H22" s="1">
        <f ca="1">ROUND(OFFSET('#现网数据参考'!$A$1,MATCH(OFFSET($A22,-MOD(ROW()-1,3),0),'#现网数据参考'!$A:$A,0)-1,MATCH(H$2&amp;$E22,'#现网数据参考'!$3:$3,0)-1)*IF(OFFSET($A22,-MOD(ROW()-1,3),0)&lt;=9,0.6,1),0)</f>
        <v>2</v>
      </c>
      <c r="I22" s="1">
        <f ca="1">ROUND(OFFSET('#现网数据参考'!$A$1,MATCH(OFFSET($A22,-MOD(ROW()-1,3),0),'#现网数据参考'!$A:$A,0)-1,MATCH(I$2&amp;$E22,'#现网数据参考'!$3:$3,0)-1)*IF(OFFSET($A22,-MOD(ROW()-1,3),0)&lt;=9,0.6,1),0)</f>
        <v>2</v>
      </c>
      <c r="J22" s="1">
        <f ca="1">ROUND(OFFSET('#现网数据参考'!$A$1,MATCH(OFFSET($A22,-MOD(ROW()-1,3),0),'#现网数据参考'!$A:$A,0)-1,MATCH(J$2&amp;$E22,'#现网数据参考'!$3:$3,0)-1)*IF(OFFSET($A22,-MOD(ROW()-1,3),0)&lt;=9,0.6,1),0)</f>
        <v>2</v>
      </c>
      <c r="K22" s="1">
        <f ca="1">ROUND(OFFSET('#现网数据参考'!$A$1,MATCH(OFFSET($A22,-MOD(ROW()-1,3),0),'#现网数据参考'!$A:$A,0)-1,MATCH(K$2&amp;$E22,'#现网数据参考'!$3:$3,0)-1)*IF(OFFSET($A22,-MOD(ROW()-1,3),0)&lt;=9,0.6,1),0)</f>
        <v>0</v>
      </c>
      <c r="L22" s="1">
        <f ca="1">ROUND(OFFSET('#现网数据参考'!$A$1,MATCH(OFFSET($A22,-MOD(ROW()-1,3),0),'#现网数据参考'!$A:$A,0)-1,MATCH(L$2&amp;$E22,'#现网数据参考'!$3:$3,0)-1),0)</f>
        <v>3</v>
      </c>
    </row>
    <row r="23" spans="1:12" ht="20.149999999999999" customHeight="1" x14ac:dyDescent="0.35">
      <c r="B23" s="1" t="str">
        <f>IF($A23="","",ROUND(_xlfn.XLOOKUP($A23,'#现网数据参考'!$A:$A,'#现网数据参考'!G:G)*IF($A23&lt;=9,0.5,1),0))</f>
        <v/>
      </c>
      <c r="C23" s="1" t="str">
        <f>IF($A23="","",ROUND(_xlfn.XLOOKUP($A23,'#现网数据参考'!$A:$A,'#现网数据参考'!P:P),0))</f>
        <v/>
      </c>
      <c r="D23" s="1">
        <v>2</v>
      </c>
      <c r="E23" s="1">
        <v>40</v>
      </c>
      <c r="F23" s="1">
        <f ca="1">ROUND(OFFSET('#现网数据参考'!$A$1,MATCH(OFFSET($A23,-MOD(ROW()-1,3),0),'#现网数据参考'!$A:$A,0)-1,MATCH(F$2&amp;$E23,'#现网数据参考'!$3:$3,0)-1)*IF(OFFSET($A23,-MOD(ROW()-1,3),0)&lt;=9,0.6,1),0)</f>
        <v>7</v>
      </c>
      <c r="G23" s="31">
        <f ca="1">_xlfn.XLOOKUP(OFFSET($A23,-MOD(ROW()-1,3),0),'#出征索引'!A:A,'#出征索引'!B:B)+_xlfn.XLOOKUP(OFFSET($A23,-MOD(ROW()-1,3),0),'#出征索引'!A:A,'#出征索引'!C:C)*_xlfn.XLOOKUP(F23,'#出征索引'!E:E,'#出征索引'!F:F)</f>
        <v>3100</v>
      </c>
      <c r="H23" s="1">
        <f ca="1">ROUND(OFFSET('#现网数据参考'!$A$1,MATCH(OFFSET($A23,-MOD(ROW()-1,3),0),'#现网数据参考'!$A:$A,0)-1,MATCH(H$2&amp;$E23,'#现网数据参考'!$3:$3,0)-1)*IF(OFFSET($A23,-MOD(ROW()-1,3),0)&lt;=9,0.6,1),0)</f>
        <v>2</v>
      </c>
      <c r="I23" s="1">
        <f ca="1">ROUND(OFFSET('#现网数据参考'!$A$1,MATCH(OFFSET($A23,-MOD(ROW()-1,3),0),'#现网数据参考'!$A:$A,0)-1,MATCH(I$2&amp;$E23,'#现网数据参考'!$3:$3,0)-1)*IF(OFFSET($A23,-MOD(ROW()-1,3),0)&lt;=9,0.6,1),0)</f>
        <v>3</v>
      </c>
      <c r="J23" s="1">
        <f ca="1">ROUND(OFFSET('#现网数据参考'!$A$1,MATCH(OFFSET($A23,-MOD(ROW()-1,3),0),'#现网数据参考'!$A:$A,0)-1,MATCH(J$2&amp;$E23,'#现网数据参考'!$3:$3,0)-1)*IF(OFFSET($A23,-MOD(ROW()-1,3),0)&lt;=9,0.6,1),0)</f>
        <v>2</v>
      </c>
      <c r="K23" s="1">
        <f ca="1">ROUND(OFFSET('#现网数据参考'!$A$1,MATCH(OFFSET($A23,-MOD(ROW()-1,3),0),'#现网数据参考'!$A:$A,0)-1,MATCH(K$2&amp;$E23,'#现网数据参考'!$3:$3,0)-1)*IF(OFFSET($A23,-MOD(ROW()-1,3),0)&lt;=9,0.6,1),0)</f>
        <v>0</v>
      </c>
      <c r="L23" s="1">
        <f ca="1">ROUND(OFFSET('#现网数据参考'!$A$1,MATCH(OFFSET($A23,-MOD(ROW()-1,3),0),'#现网数据参考'!$A:$A,0)-1,MATCH(L$2&amp;$E23,'#现网数据参考'!$3:$3,0)-1),0)</f>
        <v>3</v>
      </c>
    </row>
    <row r="24" spans="1:12" ht="20.149999999999999" customHeight="1" x14ac:dyDescent="0.35">
      <c r="B24" s="1" t="str">
        <f>IF($A24="","",ROUND(_xlfn.XLOOKUP($A24,'#现网数据参考'!$A:$A,'#现网数据参考'!G:G)*IF($A24&lt;=9,0.5,1),0))</f>
        <v/>
      </c>
      <c r="C24" s="1" t="str">
        <f>IF($A24="","",ROUND(_xlfn.XLOOKUP($A24,'#现网数据参考'!$A:$A,'#现网数据参考'!P:P),0))</f>
        <v/>
      </c>
      <c r="D24" s="1">
        <v>3</v>
      </c>
      <c r="E24" s="1">
        <v>60</v>
      </c>
      <c r="F24" s="1">
        <f ca="1">ROUND(OFFSET('#现网数据参考'!$A$1,MATCH(OFFSET($A24,-MOD(ROW()-1,3),0),'#现网数据参考'!$A:$A,0)-1,MATCH(F$2&amp;$E24,'#现网数据参考'!$3:$3,0)-1)*IF(OFFSET($A24,-MOD(ROW()-1,3),0)&lt;=9,0.6,1),0)</f>
        <v>9</v>
      </c>
      <c r="G24" s="31">
        <f ca="1">_xlfn.XLOOKUP(OFFSET($A24,-MOD(ROW()-1,3),0),'#出征索引'!A:A,'#出征索引'!B:B)+_xlfn.XLOOKUP(OFFSET($A24,-MOD(ROW()-1,3),0),'#出征索引'!A:A,'#出征索引'!C:C)*_xlfn.XLOOKUP(F24,'#出征索引'!E:E,'#出征索引'!F:F)</f>
        <v>3500</v>
      </c>
      <c r="H24" s="1">
        <f ca="1">ROUND(OFFSET('#现网数据参考'!$A$1,MATCH(OFFSET($A24,-MOD(ROW()-1,3),0),'#现网数据参考'!$A:$A,0)-1,MATCH(H$2&amp;$E24,'#现网数据参考'!$3:$3,0)-1)*IF(OFFSET($A24,-MOD(ROW()-1,3),0)&lt;=9,0.6,1),0)</f>
        <v>4</v>
      </c>
      <c r="I24" s="1">
        <f ca="1">ROUND(OFFSET('#现网数据参考'!$A$1,MATCH(OFFSET($A24,-MOD(ROW()-1,3),0),'#现网数据参考'!$A:$A,0)-1,MATCH(I$2&amp;$E24,'#现网数据参考'!$3:$3,0)-1)*IF(OFFSET($A24,-MOD(ROW()-1,3),0)&lt;=9,0.6,1),0)</f>
        <v>3</v>
      </c>
      <c r="J24" s="1">
        <f ca="1">ROUND(OFFSET('#现网数据参考'!$A$1,MATCH(OFFSET($A24,-MOD(ROW()-1,3),0),'#现网数据参考'!$A:$A,0)-1,MATCH(J$2&amp;$E24,'#现网数据参考'!$3:$3,0)-1)*IF(OFFSET($A24,-MOD(ROW()-1,3),0)&lt;=9,0.6,1),0)</f>
        <v>3</v>
      </c>
      <c r="K24" s="1">
        <f ca="1">ROUND(OFFSET('#现网数据参考'!$A$1,MATCH(OFFSET($A24,-MOD(ROW()-1,3),0),'#现网数据参考'!$A:$A,0)-1,MATCH(K$2&amp;$E24,'#现网数据参考'!$3:$3,0)-1)*IF(OFFSET($A24,-MOD(ROW()-1,3),0)&lt;=9,0.6,1),0)</f>
        <v>0</v>
      </c>
      <c r="L24" s="1">
        <f ca="1">ROUND(OFFSET('#现网数据参考'!$A$1,MATCH(OFFSET($A24,-MOD(ROW()-1,3),0),'#现网数据参考'!$A:$A,0)-1,MATCH(L$2&amp;$E24,'#现网数据参考'!$3:$3,0)-1),0)</f>
        <v>3</v>
      </c>
    </row>
    <row r="25" spans="1:12" ht="20.149999999999999" customHeight="1" x14ac:dyDescent="0.35">
      <c r="A25" s="1">
        <v>8</v>
      </c>
      <c r="B25" s="1">
        <f>IF($A25="","",ROUND(_xlfn.XLOOKUP($A25,'#现网数据参考'!$A:$A,'#现网数据参考'!G:G)*IF($A25&lt;=9,0.5,1),0))</f>
        <v>60209</v>
      </c>
      <c r="C25" s="1">
        <f>IF($A25="","",ROUND(_xlfn.XLOOKUP($A25,'#现网数据参考'!$A:$A,'#现网数据参考'!P:P),0))</f>
        <v>2</v>
      </c>
      <c r="D25" s="1">
        <v>1</v>
      </c>
      <c r="E25" s="1">
        <v>20</v>
      </c>
      <c r="F25" s="1">
        <f ca="1">ROUND(OFFSET('#现网数据参考'!$A$1,MATCH(OFFSET($A25,-MOD(ROW()-1,3),0),'#现网数据参考'!$A:$A,0)-1,MATCH(F$2&amp;$E25,'#现网数据参考'!$3:$3,0)-1)*IF(OFFSET($A25,-MOD(ROW()-1,3),0)&lt;=9,0.6,1),0)</f>
        <v>7</v>
      </c>
      <c r="G25" s="31">
        <f ca="1">_xlfn.XLOOKUP(OFFSET($A25,-MOD(ROW()-1,3),0),'#出征索引'!A:A,'#出征索引'!B:B)+_xlfn.XLOOKUP(OFFSET($A25,-MOD(ROW()-1,3),0),'#出征索引'!A:A,'#出征索引'!C:C)*_xlfn.XLOOKUP(F25,'#出征索引'!E:E,'#出征索引'!F:F)</f>
        <v>3600</v>
      </c>
      <c r="H25" s="1">
        <f ca="1">ROUND(OFFSET('#现网数据参考'!$A$1,MATCH(OFFSET($A25,-MOD(ROW()-1,3),0),'#现网数据参考'!$A:$A,0)-1,MATCH(H$2&amp;$E25,'#现网数据参考'!$3:$3,0)-1)*IF(OFFSET($A25,-MOD(ROW()-1,3),0)&lt;=9,0.6,1),0)</f>
        <v>2</v>
      </c>
      <c r="I25" s="1">
        <f ca="1">ROUND(OFFSET('#现网数据参考'!$A$1,MATCH(OFFSET($A25,-MOD(ROW()-1,3),0),'#现网数据参考'!$A:$A,0)-1,MATCH(I$2&amp;$E25,'#现网数据参考'!$3:$3,0)-1)*IF(OFFSET($A25,-MOD(ROW()-1,3),0)&lt;=9,0.6,1),0)</f>
        <v>3</v>
      </c>
      <c r="J25" s="1">
        <f ca="1">ROUND(OFFSET('#现网数据参考'!$A$1,MATCH(OFFSET($A25,-MOD(ROW()-1,3),0),'#现网数据参考'!$A:$A,0)-1,MATCH(J$2&amp;$E25,'#现网数据参考'!$3:$3,0)-1)*IF(OFFSET($A25,-MOD(ROW()-1,3),0)&lt;=9,0.6,1),0)</f>
        <v>2</v>
      </c>
      <c r="K25" s="1">
        <f ca="1">ROUND(OFFSET('#现网数据参考'!$A$1,MATCH(OFFSET($A25,-MOD(ROW()-1,3),0),'#现网数据参考'!$A:$A,0)-1,MATCH(K$2&amp;$E25,'#现网数据参考'!$3:$3,0)-1)*IF(OFFSET($A25,-MOD(ROW()-1,3),0)&lt;=9,0.6,1),0)</f>
        <v>0</v>
      </c>
      <c r="L25" s="1">
        <f ca="1">ROUND(OFFSET('#现网数据参考'!$A$1,MATCH(OFFSET($A25,-MOD(ROW()-1,3),0),'#现网数据参考'!$A:$A,0)-1,MATCH(L$2&amp;$E25,'#现网数据参考'!$3:$3,0)-1),0)</f>
        <v>3</v>
      </c>
    </row>
    <row r="26" spans="1:12" ht="20.149999999999999" customHeight="1" x14ac:dyDescent="0.35">
      <c r="B26" s="1" t="str">
        <f>IF($A26="","",ROUND(_xlfn.XLOOKUP($A26,'#现网数据参考'!$A:$A,'#现网数据参考'!G:G)*IF($A26&lt;=9,0.5,1),0))</f>
        <v/>
      </c>
      <c r="C26" s="1" t="str">
        <f>IF($A26="","",ROUND(_xlfn.XLOOKUP($A26,'#现网数据参考'!$A:$A,'#现网数据参考'!P:P),0))</f>
        <v/>
      </c>
      <c r="D26" s="1">
        <v>2</v>
      </c>
      <c r="E26" s="1">
        <v>40</v>
      </c>
      <c r="F26" s="1">
        <f ca="1">ROUND(OFFSET('#现网数据参考'!$A$1,MATCH(OFFSET($A26,-MOD(ROW()-1,3),0),'#现网数据参考'!$A:$A,0)-1,MATCH(F$2&amp;$E26,'#现网数据参考'!$3:$3,0)-1)*IF(OFFSET($A26,-MOD(ROW()-1,3),0)&lt;=9,0.6,1),0)</f>
        <v>9</v>
      </c>
      <c r="G26" s="31">
        <f ca="1">_xlfn.XLOOKUP(OFFSET($A26,-MOD(ROW()-1,3),0),'#出征索引'!A:A,'#出征索引'!B:B)+_xlfn.XLOOKUP(OFFSET($A26,-MOD(ROW()-1,3),0),'#出征索引'!A:A,'#出征索引'!C:C)*_xlfn.XLOOKUP(F26,'#出征索引'!E:E,'#出征索引'!F:F)</f>
        <v>4000</v>
      </c>
      <c r="H26" s="1">
        <f ca="1">ROUND(OFFSET('#现网数据参考'!$A$1,MATCH(OFFSET($A26,-MOD(ROW()-1,3),0),'#现网数据参考'!$A:$A,0)-1,MATCH(H$2&amp;$E26,'#现网数据参考'!$3:$3,0)-1)*IF(OFFSET($A26,-MOD(ROW()-1,3),0)&lt;=9,0.6,1),0)</f>
        <v>2</v>
      </c>
      <c r="I26" s="1">
        <f ca="1">ROUND(OFFSET('#现网数据参考'!$A$1,MATCH(OFFSET($A26,-MOD(ROW()-1,3),0),'#现网数据参考'!$A:$A,0)-1,MATCH(I$2&amp;$E26,'#现网数据参考'!$3:$3,0)-1)*IF(OFFSET($A26,-MOD(ROW()-1,3),0)&lt;=9,0.6,1),0)</f>
        <v>3</v>
      </c>
      <c r="J26" s="1">
        <f ca="1">ROUND(OFFSET('#现网数据参考'!$A$1,MATCH(OFFSET($A26,-MOD(ROW()-1,3),0),'#现网数据参考'!$A:$A,0)-1,MATCH(J$2&amp;$E26,'#现网数据参考'!$3:$3,0)-1)*IF(OFFSET($A26,-MOD(ROW()-1,3),0)&lt;=9,0.6,1),0)</f>
        <v>3</v>
      </c>
      <c r="K26" s="1">
        <f ca="1">ROUND(OFFSET('#现网数据参考'!$A$1,MATCH(OFFSET($A26,-MOD(ROW()-1,3),0),'#现网数据参考'!$A:$A,0)-1,MATCH(K$2&amp;$E26,'#现网数据参考'!$3:$3,0)-1)*IF(OFFSET($A26,-MOD(ROW()-1,3),0)&lt;=9,0.6,1),0)</f>
        <v>0</v>
      </c>
      <c r="L26" s="1">
        <f ca="1">ROUND(OFFSET('#现网数据参考'!$A$1,MATCH(OFFSET($A26,-MOD(ROW()-1,3),0),'#现网数据参考'!$A:$A,0)-1,MATCH(L$2&amp;$E26,'#现网数据参考'!$3:$3,0)-1),0)</f>
        <v>3</v>
      </c>
    </row>
    <row r="27" spans="1:12" ht="20.149999999999999" customHeight="1" x14ac:dyDescent="0.35">
      <c r="B27" s="1" t="str">
        <f>IF($A27="","",ROUND(_xlfn.XLOOKUP($A27,'#现网数据参考'!$A:$A,'#现网数据参考'!G:G)*IF($A27&lt;=9,0.5,1),0))</f>
        <v/>
      </c>
      <c r="C27" s="1" t="str">
        <f>IF($A27="","",ROUND(_xlfn.XLOOKUP($A27,'#现网数据参考'!$A:$A,'#现网数据参考'!P:P),0))</f>
        <v/>
      </c>
      <c r="D27" s="1">
        <v>3</v>
      </c>
      <c r="E27" s="1">
        <v>60</v>
      </c>
      <c r="F27" s="1">
        <f ca="1">ROUND(OFFSET('#现网数据参考'!$A$1,MATCH(OFFSET($A27,-MOD(ROW()-1,3),0),'#现网数据参考'!$A:$A,0)-1,MATCH(F$2&amp;$E27,'#现网数据参考'!$3:$3,0)-1)*IF(OFFSET($A27,-MOD(ROW()-1,3),0)&lt;=9,0.6,1),0)</f>
        <v>11</v>
      </c>
      <c r="G27" s="31">
        <f ca="1">_xlfn.XLOOKUP(OFFSET($A27,-MOD(ROW()-1,3),0),'#出征索引'!A:A,'#出征索引'!B:B)+_xlfn.XLOOKUP(OFFSET($A27,-MOD(ROW()-1,3),0),'#出征索引'!A:A,'#出征索引'!C:C)*_xlfn.XLOOKUP(F27,'#出征索引'!E:E,'#出征索引'!F:F)</f>
        <v>4400</v>
      </c>
      <c r="H27" s="1">
        <f ca="1">ROUND(OFFSET('#现网数据参考'!$A$1,MATCH(OFFSET($A27,-MOD(ROW()-1,3),0),'#现网数据参考'!$A:$A,0)-1,MATCH(H$2&amp;$E27,'#现网数据参考'!$3:$3,0)-1)*IF(OFFSET($A27,-MOD(ROW()-1,3),0)&lt;=9,0.6,1),0)</f>
        <v>5</v>
      </c>
      <c r="I27" s="1">
        <f ca="1">ROUND(OFFSET('#现网数据参考'!$A$1,MATCH(OFFSET($A27,-MOD(ROW()-1,3),0),'#现网数据参考'!$A:$A,0)-1,MATCH(I$2&amp;$E27,'#现网数据参考'!$3:$3,0)-1)*IF(OFFSET($A27,-MOD(ROW()-1,3),0)&lt;=9,0.6,1),0)</f>
        <v>3</v>
      </c>
      <c r="J27" s="1">
        <f ca="1">ROUND(OFFSET('#现网数据参考'!$A$1,MATCH(OFFSET($A27,-MOD(ROW()-1,3),0),'#现网数据参考'!$A:$A,0)-1,MATCH(J$2&amp;$E27,'#现网数据参考'!$3:$3,0)-1)*IF(OFFSET($A27,-MOD(ROW()-1,3),0)&lt;=9,0.6,1),0)</f>
        <v>3</v>
      </c>
      <c r="K27" s="1">
        <f ca="1">ROUND(OFFSET('#现网数据参考'!$A$1,MATCH(OFFSET($A27,-MOD(ROW()-1,3),0),'#现网数据参考'!$A:$A,0)-1,MATCH(K$2&amp;$E27,'#现网数据参考'!$3:$3,0)-1)*IF(OFFSET($A27,-MOD(ROW()-1,3),0)&lt;=9,0.6,1),0)</f>
        <v>0</v>
      </c>
      <c r="L27" s="1">
        <f ca="1">ROUND(OFFSET('#现网数据参考'!$A$1,MATCH(OFFSET($A27,-MOD(ROW()-1,3),0),'#现网数据参考'!$A:$A,0)-1,MATCH(L$2&amp;$E27,'#现网数据参考'!$3:$3,0)-1),0)</f>
        <v>3</v>
      </c>
    </row>
    <row r="28" spans="1:12" ht="20.149999999999999" customHeight="1" x14ac:dyDescent="0.35">
      <c r="A28" s="1">
        <v>9</v>
      </c>
      <c r="B28" s="1">
        <f>IF($A28="","",ROUND(_xlfn.XLOOKUP($A28,'#现网数据参考'!$A:$A,'#现网数据参考'!G:G)*IF($A28&lt;=9,0.5,1),0))</f>
        <v>77491</v>
      </c>
      <c r="C28" s="1">
        <f>IF($A28="","",ROUND(_xlfn.XLOOKUP($A28,'#现网数据参考'!$A:$A,'#现网数据参考'!P:P),0))</f>
        <v>2</v>
      </c>
      <c r="D28" s="1">
        <v>1</v>
      </c>
      <c r="E28" s="1">
        <v>20</v>
      </c>
      <c r="F28" s="1">
        <f ca="1">ROUND(OFFSET('#现网数据参考'!$A$1,MATCH(OFFSET($A28,-MOD(ROW()-1,3),0),'#现网数据参考'!$A:$A,0)-1,MATCH(F$2&amp;$E28,'#现网数据参考'!$3:$3,0)-1)*IF(OFFSET($A28,-MOD(ROW()-1,3),0)&lt;=9,0.6,1),0)</f>
        <v>8</v>
      </c>
      <c r="G28" s="31">
        <f ca="1">_xlfn.XLOOKUP(OFFSET($A28,-MOD(ROW()-1,3),0),'#出征索引'!A:A,'#出征索引'!B:B)+_xlfn.XLOOKUP(OFFSET($A28,-MOD(ROW()-1,3),0),'#出征索引'!A:A,'#出征索引'!C:C)*_xlfn.XLOOKUP(F28,'#出征索引'!E:E,'#出征索引'!F:F)</f>
        <v>4300</v>
      </c>
      <c r="H28" s="1">
        <f ca="1">ROUND(OFFSET('#现网数据参考'!$A$1,MATCH(OFFSET($A28,-MOD(ROW()-1,3),0),'#现网数据参考'!$A:$A,0)-1,MATCH(H$2&amp;$E28,'#现网数据参考'!$3:$3,0)-1)*IF(OFFSET($A28,-MOD(ROW()-1,3),0)&lt;=9,0.6,1),0)</f>
        <v>2</v>
      </c>
      <c r="I28" s="1">
        <f ca="1">ROUND(OFFSET('#现网数据参考'!$A$1,MATCH(OFFSET($A28,-MOD(ROW()-1,3),0),'#现网数据参考'!$A:$A,0)-1,MATCH(I$2&amp;$E28,'#现网数据参考'!$3:$3,0)-1)*IF(OFFSET($A28,-MOD(ROW()-1,3),0)&lt;=9,0.6,1),0)</f>
        <v>3</v>
      </c>
      <c r="J28" s="1">
        <f ca="1">ROUND(OFFSET('#现网数据参考'!$A$1,MATCH(OFFSET($A28,-MOD(ROW()-1,3),0),'#现网数据参考'!$A:$A,0)-1,MATCH(J$2&amp;$E28,'#现网数据参考'!$3:$3,0)-1)*IF(OFFSET($A28,-MOD(ROW()-1,3),0)&lt;=9,0.6,1),0)</f>
        <v>2</v>
      </c>
      <c r="K28" s="1">
        <f ca="1">ROUND(OFFSET('#现网数据参考'!$A$1,MATCH(OFFSET($A28,-MOD(ROW()-1,3),0),'#现网数据参考'!$A:$A,0)-1,MATCH(K$2&amp;$E28,'#现网数据参考'!$3:$3,0)-1)*IF(OFFSET($A28,-MOD(ROW()-1,3),0)&lt;=9,0.6,1),0)</f>
        <v>0</v>
      </c>
      <c r="L28" s="1">
        <f ca="1">ROUND(OFFSET('#现网数据参考'!$A$1,MATCH(OFFSET($A28,-MOD(ROW()-1,3),0),'#现网数据参考'!$A:$A,0)-1,MATCH(L$2&amp;$E28,'#现网数据参考'!$3:$3,0)-1),0)</f>
        <v>3</v>
      </c>
    </row>
    <row r="29" spans="1:12" ht="20.149999999999999" customHeight="1" x14ac:dyDescent="0.35">
      <c r="B29" s="1" t="str">
        <f>IF($A29="","",ROUND(_xlfn.XLOOKUP($A29,'#现网数据参考'!$A:$A,'#现网数据参考'!G:G)*IF($A29&lt;=9,0.5,1),0))</f>
        <v/>
      </c>
      <c r="C29" s="1" t="str">
        <f>IF($A29="","",ROUND(_xlfn.XLOOKUP($A29,'#现网数据参考'!$A:$A,'#现网数据参考'!P:P),0))</f>
        <v/>
      </c>
      <c r="D29" s="1">
        <v>2</v>
      </c>
      <c r="E29" s="1">
        <v>40</v>
      </c>
      <c r="F29" s="1">
        <f ca="1">ROUND(OFFSET('#现网数据参考'!$A$1,MATCH(OFFSET($A29,-MOD(ROW()-1,3),0),'#现网数据参考'!$A:$A,0)-1,MATCH(F$2&amp;$E29,'#现网数据参考'!$3:$3,0)-1)*IF(OFFSET($A29,-MOD(ROW()-1,3),0)&lt;=9,0.6,1),0)</f>
        <v>10</v>
      </c>
      <c r="G29" s="31">
        <f ca="1">_xlfn.XLOOKUP(OFFSET($A29,-MOD(ROW()-1,3),0),'#出征索引'!A:A,'#出征索引'!B:B)+_xlfn.XLOOKUP(OFFSET($A29,-MOD(ROW()-1,3),0),'#出征索引'!A:A,'#出征索引'!C:C)*_xlfn.XLOOKUP(F29,'#出征索引'!E:E,'#出征索引'!F:F)</f>
        <v>4700</v>
      </c>
      <c r="H29" s="1">
        <f ca="1">ROUND(OFFSET('#现网数据参考'!$A$1,MATCH(OFFSET($A29,-MOD(ROW()-1,3),0),'#现网数据参考'!$A:$A,0)-1,MATCH(H$2&amp;$E29,'#现网数据参考'!$3:$3,0)-1)*IF(OFFSET($A29,-MOD(ROW()-1,3),0)&lt;=9,0.6,1),0)</f>
        <v>4</v>
      </c>
      <c r="I29" s="1">
        <f ca="1">ROUND(OFFSET('#现网数据参考'!$A$1,MATCH(OFFSET($A29,-MOD(ROW()-1,3),0),'#现网数据参考'!$A:$A,0)-1,MATCH(I$2&amp;$E29,'#现网数据参考'!$3:$3,0)-1)*IF(OFFSET($A29,-MOD(ROW()-1,3),0)&lt;=9,0.6,1),0)</f>
        <v>3</v>
      </c>
      <c r="J29" s="1">
        <f ca="1">ROUND(OFFSET('#现网数据参考'!$A$1,MATCH(OFFSET($A29,-MOD(ROW()-1,3),0),'#现网数据参考'!$A:$A,0)-1,MATCH(J$2&amp;$E29,'#现网数据参考'!$3:$3,0)-1)*IF(OFFSET($A29,-MOD(ROW()-1,3),0)&lt;=9,0.6,1),0)</f>
        <v>3</v>
      </c>
      <c r="K29" s="1">
        <f ca="1">ROUND(OFFSET('#现网数据参考'!$A$1,MATCH(OFFSET($A29,-MOD(ROW()-1,3),0),'#现网数据参考'!$A:$A,0)-1,MATCH(K$2&amp;$E29,'#现网数据参考'!$3:$3,0)-1)*IF(OFFSET($A29,-MOD(ROW()-1,3),0)&lt;=9,0.6,1),0)</f>
        <v>0</v>
      </c>
      <c r="L29" s="1">
        <f ca="1">ROUND(OFFSET('#现网数据参考'!$A$1,MATCH(OFFSET($A29,-MOD(ROW()-1,3),0),'#现网数据参考'!$A:$A,0)-1,MATCH(L$2&amp;$E29,'#现网数据参考'!$3:$3,0)-1),0)</f>
        <v>3</v>
      </c>
    </row>
    <row r="30" spans="1:12" ht="20.149999999999999" customHeight="1" x14ac:dyDescent="0.35">
      <c r="B30" s="1" t="str">
        <f>IF($A30="","",ROUND(_xlfn.XLOOKUP($A30,'#现网数据参考'!$A:$A,'#现网数据参考'!G:G)*IF($A30&lt;=9,0.5,1),0))</f>
        <v/>
      </c>
      <c r="C30" s="1" t="str">
        <f>IF($A30="","",ROUND(_xlfn.XLOOKUP($A30,'#现网数据参考'!$A:$A,'#现网数据参考'!P:P),0))</f>
        <v/>
      </c>
      <c r="D30" s="1">
        <v>3</v>
      </c>
      <c r="E30" s="1">
        <v>60</v>
      </c>
      <c r="F30" s="1">
        <f ca="1">ROUND(OFFSET('#现网数据参考'!$A$1,MATCH(OFFSET($A30,-MOD(ROW()-1,3),0),'#现网数据参考'!$A:$A,0)-1,MATCH(F$2&amp;$E30,'#现网数据参考'!$3:$3,0)-1)*IF(OFFSET($A30,-MOD(ROW()-1,3),0)&lt;=9,0.6,1),0)</f>
        <v>12</v>
      </c>
      <c r="G30" s="31">
        <f ca="1">_xlfn.XLOOKUP(OFFSET($A30,-MOD(ROW()-1,3),0),'#出征索引'!A:A,'#出征索引'!B:B)+_xlfn.XLOOKUP(OFFSET($A30,-MOD(ROW()-1,3),0),'#出征索引'!A:A,'#出征索引'!C:C)*_xlfn.XLOOKUP(F30,'#出征索引'!E:E,'#出征索引'!F:F)</f>
        <v>5100</v>
      </c>
      <c r="H30" s="1">
        <f ca="1">ROUND(OFFSET('#现网数据参考'!$A$1,MATCH(OFFSET($A30,-MOD(ROW()-1,3),0),'#现网数据参考'!$A:$A,0)-1,MATCH(H$2&amp;$E30,'#现网数据参考'!$3:$3,0)-1)*IF(OFFSET($A30,-MOD(ROW()-1,3),0)&lt;=9,0.6,1),0)</f>
        <v>6</v>
      </c>
      <c r="I30" s="1">
        <f ca="1">ROUND(OFFSET('#现网数据参考'!$A$1,MATCH(OFFSET($A30,-MOD(ROW()-1,3),0),'#现网数据参考'!$A:$A,0)-1,MATCH(I$2&amp;$E30,'#现网数据参考'!$3:$3,0)-1)*IF(OFFSET($A30,-MOD(ROW()-1,3),0)&lt;=9,0.6,1),0)</f>
        <v>4</v>
      </c>
      <c r="J30" s="1">
        <f ca="1">ROUND(OFFSET('#现网数据参考'!$A$1,MATCH(OFFSET($A30,-MOD(ROW()-1,3),0),'#现网数据参考'!$A:$A,0)-1,MATCH(J$2&amp;$E30,'#现网数据参考'!$3:$3,0)-1)*IF(OFFSET($A30,-MOD(ROW()-1,3),0)&lt;=9,0.6,1),0)</f>
        <v>4</v>
      </c>
      <c r="K30" s="1">
        <f ca="1">ROUND(OFFSET('#现网数据参考'!$A$1,MATCH(OFFSET($A30,-MOD(ROW()-1,3),0),'#现网数据参考'!$A:$A,0)-1,MATCH(K$2&amp;$E30,'#现网数据参考'!$3:$3,0)-1)*IF(OFFSET($A30,-MOD(ROW()-1,3),0)&lt;=9,0.6,1),0)</f>
        <v>0</v>
      </c>
      <c r="L30" s="1">
        <f ca="1">ROUND(OFFSET('#现网数据参考'!$A$1,MATCH(OFFSET($A30,-MOD(ROW()-1,3),0),'#现网数据参考'!$A:$A,0)-1,MATCH(L$2&amp;$E30,'#现网数据参考'!$3:$3,0)-1),0)</f>
        <v>3</v>
      </c>
    </row>
    <row r="31" spans="1:12" ht="20.149999999999999" customHeight="1" x14ac:dyDescent="0.35">
      <c r="A31" s="1">
        <v>10</v>
      </c>
      <c r="B31" s="1">
        <f>IF($A31="","",ROUND(_xlfn.XLOOKUP($A31,'#现网数据参考'!$A:$A,'#现网数据参考'!G:G)*IF($A31&lt;=9,0.5,1),0))</f>
        <v>200923</v>
      </c>
      <c r="C31" s="1">
        <f>IF($A31="","",ROUND(_xlfn.XLOOKUP($A31,'#现网数据参考'!$A:$A,'#现网数据参考'!P:P),0))</f>
        <v>2</v>
      </c>
      <c r="D31" s="1">
        <v>1</v>
      </c>
      <c r="E31" s="1">
        <v>20</v>
      </c>
      <c r="F31" s="1">
        <f ca="1">ROUND(OFFSET('#现网数据参考'!$A$1,MATCH(OFFSET($A31,-MOD(ROW()-1,3),0),'#现网数据参考'!$A:$A,0)-1,MATCH(F$2&amp;$E31,'#现网数据参考'!$3:$3,0)-1)*IF(OFFSET($A31,-MOD(ROW()-1,3),0)&lt;=9,0.6,1),0)</f>
        <v>17</v>
      </c>
      <c r="G31" s="31">
        <f ca="1">_xlfn.XLOOKUP(OFFSET($A31,-MOD(ROW()-1,3),0),'#出征索引'!A:A,'#出征索引'!B:B)+_xlfn.XLOOKUP(OFFSET($A31,-MOD(ROW()-1,3),0),'#出征索引'!A:A,'#出征索引'!C:C)*_xlfn.XLOOKUP(F31,'#出征索引'!E:E,'#出征索引'!F:F)</f>
        <v>6600</v>
      </c>
      <c r="H31" s="1">
        <f ca="1">ROUND(OFFSET('#现网数据参考'!$A$1,MATCH(OFFSET($A31,-MOD(ROW()-1,3),0),'#现网数据参考'!$A:$A,0)-1,MATCH(H$2&amp;$E31,'#现网数据参考'!$3:$3,0)-1)*IF(OFFSET($A31,-MOD(ROW()-1,3),0)&lt;=9,0.6,1),0)</f>
        <v>4</v>
      </c>
      <c r="I31" s="1">
        <f ca="1">ROUND(OFFSET('#现网数据参考'!$A$1,MATCH(OFFSET($A31,-MOD(ROW()-1,3),0),'#现网数据参考'!$A:$A,0)-1,MATCH(I$2&amp;$E31,'#现网数据参考'!$3:$3,0)-1)*IF(OFFSET($A31,-MOD(ROW()-1,3),0)&lt;=9,0.6,1),0)</f>
        <v>6</v>
      </c>
      <c r="J31" s="1">
        <f ca="1">ROUND(OFFSET('#现网数据参考'!$A$1,MATCH(OFFSET($A31,-MOD(ROW()-1,3),0),'#现网数据参考'!$A:$A,0)-1,MATCH(J$2&amp;$E31,'#现网数据参考'!$3:$3,0)-1)*IF(OFFSET($A31,-MOD(ROW()-1,3),0)&lt;=9,0.6,1),0)</f>
        <v>4</v>
      </c>
      <c r="K31" s="1">
        <f ca="1">ROUND(OFFSET('#现网数据参考'!$A$1,MATCH(OFFSET($A31,-MOD(ROW()-1,3),0),'#现网数据参考'!$A:$A,0)-1,MATCH(K$2&amp;$E31,'#现网数据参考'!$3:$3,0)-1)*IF(OFFSET($A31,-MOD(ROW()-1,3),0)&lt;=9,0.6,1),0)</f>
        <v>0</v>
      </c>
      <c r="L31" s="1">
        <f ca="1">ROUND(OFFSET('#现网数据参考'!$A$1,MATCH(OFFSET($A31,-MOD(ROW()-1,3),0),'#现网数据参考'!$A:$A,0)-1,MATCH(L$2&amp;$E31,'#现网数据参考'!$3:$3,0)-1),0)</f>
        <v>3</v>
      </c>
    </row>
    <row r="32" spans="1:12" ht="20.149999999999999" customHeight="1" x14ac:dyDescent="0.35">
      <c r="B32" s="1" t="str">
        <f>IF($A32="","",ROUND(_xlfn.XLOOKUP($A32,'#现网数据参考'!$A:$A,'#现网数据参考'!G:G)*IF($A32&lt;=9,0.5,1),0))</f>
        <v/>
      </c>
      <c r="C32" s="1" t="str">
        <f>IF($A32="","",ROUND(_xlfn.XLOOKUP($A32,'#现网数据参考'!$A:$A,'#现网数据参考'!P:P),0))</f>
        <v/>
      </c>
      <c r="D32" s="1">
        <v>2</v>
      </c>
      <c r="E32" s="1">
        <v>40</v>
      </c>
      <c r="F32" s="1">
        <f ca="1">ROUND(OFFSET('#现网数据参考'!$A$1,MATCH(OFFSET($A32,-MOD(ROW()-1,3),0),'#现网数据参考'!$A:$A,0)-1,MATCH(F$2&amp;$E32,'#现网数据参考'!$3:$3,0)-1)*IF(OFFSET($A32,-MOD(ROW()-1,3),0)&lt;=9,0.6,1),0)</f>
        <v>20</v>
      </c>
      <c r="G32" s="31">
        <f ca="1">_xlfn.XLOOKUP(OFFSET($A32,-MOD(ROW()-1,3),0),'#出征索引'!A:A,'#出征索引'!B:B)+_xlfn.XLOOKUP(OFFSET($A32,-MOD(ROW()-1,3),0),'#出征索引'!A:A,'#出征索引'!C:C)*_xlfn.XLOOKUP(F32,'#出征索引'!E:E,'#出征索引'!F:F)</f>
        <v>7200</v>
      </c>
      <c r="H32" s="1">
        <f ca="1">ROUND(OFFSET('#现网数据参考'!$A$1,MATCH(OFFSET($A32,-MOD(ROW()-1,3),0),'#现网数据参考'!$A:$A,0)-1,MATCH(H$2&amp;$E32,'#现网数据参考'!$3:$3,0)-1)*IF(OFFSET($A32,-MOD(ROW()-1,3),0)&lt;=9,0.6,1),0)</f>
        <v>9</v>
      </c>
      <c r="I32" s="1">
        <f ca="1">ROUND(OFFSET('#现网数据参考'!$A$1,MATCH(OFFSET($A32,-MOD(ROW()-1,3),0),'#现网数据参考'!$A:$A,0)-1,MATCH(I$2&amp;$E32,'#现网数据参考'!$3:$3,0)-1)*IF(OFFSET($A32,-MOD(ROW()-1,3),0)&lt;=9,0.6,1),0)</f>
        <v>6</v>
      </c>
      <c r="J32" s="1">
        <f ca="1">ROUND(OFFSET('#现网数据参考'!$A$1,MATCH(OFFSET($A32,-MOD(ROW()-1,3),0),'#现网数据参考'!$A:$A,0)-1,MATCH(J$2&amp;$E32,'#现网数据参考'!$3:$3,0)-1)*IF(OFFSET($A32,-MOD(ROW()-1,3),0)&lt;=9,0.6,1),0)</f>
        <v>6</v>
      </c>
      <c r="K32" s="1">
        <f ca="1">ROUND(OFFSET('#现网数据参考'!$A$1,MATCH(OFFSET($A32,-MOD(ROW()-1,3),0),'#现网数据参考'!$A:$A,0)-1,MATCH(K$2&amp;$E32,'#现网数据参考'!$3:$3,0)-1)*IF(OFFSET($A32,-MOD(ROW()-1,3),0)&lt;=9,0.6,1),0)</f>
        <v>0</v>
      </c>
      <c r="L32" s="1">
        <f ca="1">ROUND(OFFSET('#现网数据参考'!$A$1,MATCH(OFFSET($A32,-MOD(ROW()-1,3),0),'#现网数据参考'!$A:$A,0)-1,MATCH(L$2&amp;$E32,'#现网数据参考'!$3:$3,0)-1),0)</f>
        <v>3</v>
      </c>
    </row>
    <row r="33" spans="1:12" ht="20.149999999999999" customHeight="1" x14ac:dyDescent="0.35">
      <c r="B33" s="1" t="str">
        <f>IF($A33="","",ROUND(_xlfn.XLOOKUP($A33,'#现网数据参考'!$A:$A,'#现网数据参考'!G:G)*IF($A33&lt;=9,0.5,1),0))</f>
        <v/>
      </c>
      <c r="C33" s="1" t="str">
        <f>IF($A33="","",ROUND(_xlfn.XLOOKUP($A33,'#现网数据参考'!$A:$A,'#现网数据参考'!P:P),0))</f>
        <v/>
      </c>
      <c r="D33" s="1">
        <v>3</v>
      </c>
      <c r="E33" s="1">
        <v>60</v>
      </c>
      <c r="F33" s="1">
        <f ca="1">ROUND(OFFSET('#现网数据参考'!$A$1,MATCH(OFFSET($A33,-MOD(ROW()-1,3),0),'#现网数据参考'!$A:$A,0)-1,MATCH(F$2&amp;$E33,'#现网数据参考'!$3:$3,0)-1)*IF(OFFSET($A33,-MOD(ROW()-1,3),0)&lt;=9,0.6,1),0)</f>
        <v>23</v>
      </c>
      <c r="G33" s="31">
        <f ca="1">_xlfn.XLOOKUP(OFFSET($A33,-MOD(ROW()-1,3),0),'#出征索引'!A:A,'#出征索引'!B:B)+_xlfn.XLOOKUP(OFFSET($A33,-MOD(ROW()-1,3),0),'#出征索引'!A:A,'#出征索引'!C:C)*_xlfn.XLOOKUP(F33,'#出征索引'!E:E,'#出征索引'!F:F)</f>
        <v>7800</v>
      </c>
      <c r="H33" s="1">
        <f ca="1">ROUND(OFFSET('#现网数据参考'!$A$1,MATCH(OFFSET($A33,-MOD(ROW()-1,3),0),'#现网数据参考'!$A:$A,0)-1,MATCH(H$2&amp;$E33,'#现网数据参考'!$3:$3,0)-1)*IF(OFFSET($A33,-MOD(ROW()-1,3),0)&lt;=9,0.6,1),0)</f>
        <v>12</v>
      </c>
      <c r="I33" s="1">
        <f ca="1">ROUND(OFFSET('#现网数据参考'!$A$1,MATCH(OFFSET($A33,-MOD(ROW()-1,3),0),'#现网数据参考'!$A:$A,0)-1,MATCH(I$2&amp;$E33,'#现网数据参考'!$3:$3,0)-1)*IF(OFFSET($A33,-MOD(ROW()-1,3),0)&lt;=9,0.6,1),0)</f>
        <v>7</v>
      </c>
      <c r="J33" s="1">
        <f ca="1">ROUND(OFFSET('#现网数据参考'!$A$1,MATCH(OFFSET($A33,-MOD(ROW()-1,3),0),'#现网数据参考'!$A:$A,0)-1,MATCH(J$2&amp;$E33,'#现网数据参考'!$3:$3,0)-1)*IF(OFFSET($A33,-MOD(ROW()-1,3),0)&lt;=9,0.6,1),0)</f>
        <v>8</v>
      </c>
      <c r="K33" s="1">
        <f ca="1">ROUND(OFFSET('#现网数据参考'!$A$1,MATCH(OFFSET($A33,-MOD(ROW()-1,3),0),'#现网数据参考'!$A:$A,0)-1,MATCH(K$2&amp;$E33,'#现网数据参考'!$3:$3,0)-1)*IF(OFFSET($A33,-MOD(ROW()-1,3),0)&lt;=9,0.6,1),0)</f>
        <v>0</v>
      </c>
      <c r="L33" s="1">
        <f ca="1">ROUND(OFFSET('#现网数据参考'!$A$1,MATCH(OFFSET($A33,-MOD(ROW()-1,3),0),'#现网数据参考'!$A:$A,0)-1,MATCH(L$2&amp;$E33,'#现网数据参考'!$3:$3,0)-1),0)</f>
        <v>3</v>
      </c>
    </row>
    <row r="34" spans="1:12" ht="20.149999999999999" customHeight="1" x14ac:dyDescent="0.35">
      <c r="A34" s="1">
        <v>11</v>
      </c>
      <c r="B34" s="1">
        <f>IF($A34="","",ROUND(_xlfn.XLOOKUP($A34,'#现网数据参考'!$A:$A,'#现网数据参考'!G:G)*IF($A34&lt;=9,0.5,1),0))</f>
        <v>266852</v>
      </c>
      <c r="C34" s="1">
        <f>IF($A34="","",ROUND(_xlfn.XLOOKUP($A34,'#现网数据参考'!$A:$A,'#现网数据参考'!P:P),0))</f>
        <v>2</v>
      </c>
      <c r="D34" s="1">
        <v>1</v>
      </c>
      <c r="E34" s="1">
        <v>20</v>
      </c>
      <c r="F34" s="1">
        <f ca="1">ROUND(OFFSET('#现网数据参考'!$A$1,MATCH(OFFSET($A34,-MOD(ROW()-1,3),0),'#现网数据参考'!$A:$A,0)-1,MATCH(F$2&amp;$E34,'#现网数据参考'!$3:$3,0)-1)*IF(OFFSET($A34,-MOD(ROW()-1,3),0)&lt;=9,0.6,1),0)</f>
        <v>21</v>
      </c>
      <c r="G34" s="31">
        <f ca="1">_xlfn.XLOOKUP(OFFSET($A34,-MOD(ROW()-1,3),0),'#出征索引'!A:A,'#出征索引'!B:B)+_xlfn.XLOOKUP(OFFSET($A34,-MOD(ROW()-1,3),0),'#出征索引'!A:A,'#出征索引'!C:C)*_xlfn.XLOOKUP(F34,'#出征索引'!E:E,'#出征索引'!F:F)</f>
        <v>8400</v>
      </c>
      <c r="H34" s="1">
        <f ca="1">ROUND(OFFSET('#现网数据参考'!$A$1,MATCH(OFFSET($A34,-MOD(ROW()-1,3),0),'#现网数据参考'!$A:$A,0)-1,MATCH(H$2&amp;$E34,'#现网数据参考'!$3:$3,0)-1)*IF(OFFSET($A34,-MOD(ROW()-1,3),0)&lt;=9,0.6,1),0)</f>
        <v>9</v>
      </c>
      <c r="I34" s="1">
        <f ca="1">ROUND(OFFSET('#现网数据参考'!$A$1,MATCH(OFFSET($A34,-MOD(ROW()-1,3),0),'#现网数据参考'!$A:$A,0)-1,MATCH(I$2&amp;$E34,'#现网数据参考'!$3:$3,0)-1)*IF(OFFSET($A34,-MOD(ROW()-1,3),0)&lt;=9,0.6,1),0)</f>
        <v>7</v>
      </c>
      <c r="J34" s="1">
        <f ca="1">ROUND(OFFSET('#现网数据参考'!$A$1,MATCH(OFFSET($A34,-MOD(ROW()-1,3),0),'#现网数据参考'!$A:$A,0)-1,MATCH(J$2&amp;$E34,'#现网数据参考'!$3:$3,0)-1)*IF(OFFSET($A34,-MOD(ROW()-1,3),0)&lt;=9,0.6,1),0)</f>
        <v>6</v>
      </c>
      <c r="K34" s="1">
        <f ca="1">ROUND(OFFSET('#现网数据参考'!$A$1,MATCH(OFFSET($A34,-MOD(ROW()-1,3),0),'#现网数据参考'!$A:$A,0)-1,MATCH(K$2&amp;$E34,'#现网数据参考'!$3:$3,0)-1)*IF(OFFSET($A34,-MOD(ROW()-1,3),0)&lt;=9,0.6,1),0)</f>
        <v>0</v>
      </c>
      <c r="L34" s="1">
        <f ca="1">ROUND(OFFSET('#现网数据参考'!$A$1,MATCH(OFFSET($A34,-MOD(ROW()-1,3),0),'#现网数据参考'!$A:$A,0)-1,MATCH(L$2&amp;$E34,'#现网数据参考'!$3:$3,0)-1),0)</f>
        <v>3</v>
      </c>
    </row>
    <row r="35" spans="1:12" ht="20.149999999999999" customHeight="1" x14ac:dyDescent="0.35">
      <c r="B35" s="1" t="str">
        <f>IF($A35="","",ROUND(_xlfn.XLOOKUP($A35,'#现网数据参考'!$A:$A,'#现网数据参考'!G:G)*IF($A35&lt;=9,0.5,1),0))</f>
        <v/>
      </c>
      <c r="C35" s="1" t="str">
        <f>IF($A35="","",ROUND(_xlfn.XLOOKUP($A35,'#现网数据参考'!$A:$A,'#现网数据参考'!P:P),0))</f>
        <v/>
      </c>
      <c r="D35" s="1">
        <v>2</v>
      </c>
      <c r="E35" s="1">
        <v>40</v>
      </c>
      <c r="F35" s="1">
        <f ca="1">ROUND(OFFSET('#现网数据参考'!$A$1,MATCH(OFFSET($A35,-MOD(ROW()-1,3),0),'#现网数据参考'!$A:$A,0)-1,MATCH(F$2&amp;$E35,'#现网数据参考'!$3:$3,0)-1)*IF(OFFSET($A35,-MOD(ROW()-1,3),0)&lt;=9,0.6,1),0)</f>
        <v>25</v>
      </c>
      <c r="G35" s="31">
        <f ca="1">_xlfn.XLOOKUP(OFFSET($A35,-MOD(ROW()-1,3),0),'#出征索引'!A:A,'#出征索引'!B:B)+_xlfn.XLOOKUP(OFFSET($A35,-MOD(ROW()-1,3),0),'#出征索引'!A:A,'#出征索引'!C:C)*_xlfn.XLOOKUP(F35,'#出征索引'!E:E,'#出征索引'!F:F)</f>
        <v>9200</v>
      </c>
      <c r="H35" s="1">
        <f ca="1">ROUND(OFFSET('#现网数据参考'!$A$1,MATCH(OFFSET($A35,-MOD(ROW()-1,3),0),'#现网数据参考'!$A:$A,0)-1,MATCH(H$2&amp;$E35,'#现网数据参考'!$3:$3,0)-1)*IF(OFFSET($A35,-MOD(ROW()-1,3),0)&lt;=9,0.6,1),0)</f>
        <v>13</v>
      </c>
      <c r="I35" s="1">
        <f ca="1">ROUND(OFFSET('#现网数据参考'!$A$1,MATCH(OFFSET($A35,-MOD(ROW()-1,3),0),'#现网数据参考'!$A:$A,0)-1,MATCH(I$2&amp;$E35,'#现网数据参考'!$3:$3,0)-1)*IF(OFFSET($A35,-MOD(ROW()-1,3),0)&lt;=9,0.6,1),0)</f>
        <v>8</v>
      </c>
      <c r="J35" s="1">
        <f ca="1">ROUND(OFFSET('#现网数据参考'!$A$1,MATCH(OFFSET($A35,-MOD(ROW()-1,3),0),'#现网数据参考'!$A:$A,0)-1,MATCH(J$2&amp;$E35,'#现网数据参考'!$3:$3,0)-1)*IF(OFFSET($A35,-MOD(ROW()-1,3),0)&lt;=9,0.6,1),0)</f>
        <v>8</v>
      </c>
      <c r="K35" s="1">
        <f ca="1">ROUND(OFFSET('#现网数据参考'!$A$1,MATCH(OFFSET($A35,-MOD(ROW()-1,3),0),'#现网数据参考'!$A:$A,0)-1,MATCH(K$2&amp;$E35,'#现网数据参考'!$3:$3,0)-1)*IF(OFFSET($A35,-MOD(ROW()-1,3),0)&lt;=9,0.6,1),0)</f>
        <v>0</v>
      </c>
      <c r="L35" s="1">
        <f ca="1">ROUND(OFFSET('#现网数据参考'!$A$1,MATCH(OFFSET($A35,-MOD(ROW()-1,3),0),'#现网数据参考'!$A:$A,0)-1,MATCH(L$2&amp;$E35,'#现网数据参考'!$3:$3,0)-1),0)</f>
        <v>3</v>
      </c>
    </row>
    <row r="36" spans="1:12" ht="20.149999999999999" customHeight="1" x14ac:dyDescent="0.35">
      <c r="B36" s="1" t="str">
        <f>IF($A36="","",ROUND(_xlfn.XLOOKUP($A36,'#现网数据参考'!$A:$A,'#现网数据参考'!G:G)*IF($A36&lt;=9,0.5,1),0))</f>
        <v/>
      </c>
      <c r="C36" s="1" t="str">
        <f>IF($A36="","",ROUND(_xlfn.XLOOKUP($A36,'#现网数据参考'!$A:$A,'#现网数据参考'!P:P),0))</f>
        <v/>
      </c>
      <c r="D36" s="1">
        <v>3</v>
      </c>
      <c r="E36" s="1">
        <v>60</v>
      </c>
      <c r="F36" s="1">
        <f ca="1">ROUND(OFFSET('#现网数据参考'!$A$1,MATCH(OFFSET($A36,-MOD(ROW()-1,3),0),'#现网数据参考'!$A:$A,0)-1,MATCH(F$2&amp;$E36,'#现网数据参考'!$3:$3,0)-1)*IF(OFFSET($A36,-MOD(ROW()-1,3),0)&lt;=9,0.6,1),0)</f>
        <v>28</v>
      </c>
      <c r="G36" s="31">
        <f ca="1">_xlfn.XLOOKUP(OFFSET($A36,-MOD(ROW()-1,3),0),'#出征索引'!A:A,'#出征索引'!B:B)+_xlfn.XLOOKUP(OFFSET($A36,-MOD(ROW()-1,3),0),'#出征索引'!A:A,'#出征索引'!C:C)*_xlfn.XLOOKUP(F36,'#出征索引'!E:E,'#出征索引'!F:F)</f>
        <v>9800</v>
      </c>
      <c r="H36" s="1">
        <f ca="1">ROUND(OFFSET('#现网数据参考'!$A$1,MATCH(OFFSET($A36,-MOD(ROW()-1,3),0),'#现网数据参考'!$A:$A,0)-1,MATCH(H$2&amp;$E36,'#现网数据参考'!$3:$3,0)-1)*IF(OFFSET($A36,-MOD(ROW()-1,3),0)&lt;=9,0.6,1),0)</f>
        <v>17</v>
      </c>
      <c r="I36" s="1">
        <f ca="1">ROUND(OFFSET('#现网数据参考'!$A$1,MATCH(OFFSET($A36,-MOD(ROW()-1,3),0),'#现网数据参考'!$A:$A,0)-1,MATCH(I$2&amp;$E36,'#现网数据参考'!$3:$3,0)-1)*IF(OFFSET($A36,-MOD(ROW()-1,3),0)&lt;=9,0.6,1),0)</f>
        <v>8</v>
      </c>
      <c r="J36" s="1">
        <f ca="1">ROUND(OFFSET('#现网数据参考'!$A$1,MATCH(OFFSET($A36,-MOD(ROW()-1,3),0),'#现网数据参考'!$A:$A,0)-1,MATCH(J$2&amp;$E36,'#现网数据参考'!$3:$3,0)-1)*IF(OFFSET($A36,-MOD(ROW()-1,3),0)&lt;=9,0.6,1),0)</f>
        <v>10</v>
      </c>
      <c r="K36" s="1">
        <f ca="1">ROUND(OFFSET('#现网数据参考'!$A$1,MATCH(OFFSET($A36,-MOD(ROW()-1,3),0),'#现网数据参考'!$A:$A,0)-1,MATCH(K$2&amp;$E36,'#现网数据参考'!$3:$3,0)-1)*IF(OFFSET($A36,-MOD(ROW()-1,3),0)&lt;=9,0.6,1),0)</f>
        <v>0</v>
      </c>
      <c r="L36" s="1">
        <f ca="1">ROUND(OFFSET('#现网数据参考'!$A$1,MATCH(OFFSET($A36,-MOD(ROW()-1,3),0),'#现网数据参考'!$A:$A,0)-1,MATCH(L$2&amp;$E36,'#现网数据参考'!$3:$3,0)-1),0)</f>
        <v>3</v>
      </c>
    </row>
    <row r="37" spans="1:12" ht="20.149999999999999" customHeight="1" x14ac:dyDescent="0.35">
      <c r="A37" s="1">
        <v>12</v>
      </c>
      <c r="B37" s="1">
        <f>IF($A37="","",ROUND(_xlfn.XLOOKUP($A37,'#现网数据参考'!$A:$A,'#现网数据参考'!G:G)*IF($A37&lt;=9,0.5,1),0))</f>
        <v>368589</v>
      </c>
      <c r="C37" s="1">
        <f>IF($A37="","",ROUND(_xlfn.XLOOKUP($A37,'#现网数据参考'!$A:$A,'#现网数据参考'!P:P),0))</f>
        <v>2</v>
      </c>
      <c r="D37" s="1">
        <v>1</v>
      </c>
      <c r="E37" s="1">
        <v>20</v>
      </c>
      <c r="F37" s="1">
        <f ca="1">ROUND(OFFSET('#现网数据参考'!$A$1,MATCH(OFFSET($A37,-MOD(ROW()-1,3),0),'#现网数据参考'!$A:$A,0)-1,MATCH(F$2&amp;$E37,'#现网数据参考'!$3:$3,0)-1)*IF(OFFSET($A37,-MOD(ROW()-1,3),0)&lt;=9,0.6,1),0)</f>
        <v>22</v>
      </c>
      <c r="G37" s="31">
        <f ca="1">_xlfn.XLOOKUP(OFFSET($A37,-MOD(ROW()-1,3),0),'#出征索引'!A:A,'#出征索引'!B:B)+_xlfn.XLOOKUP(OFFSET($A37,-MOD(ROW()-1,3),0),'#出征索引'!A:A,'#出征索引'!C:C)*_xlfn.XLOOKUP(F37,'#出征索引'!E:E,'#出征索引'!F:F)</f>
        <v>14200</v>
      </c>
      <c r="H37" s="1">
        <f ca="1">ROUND(OFFSET('#现网数据参考'!$A$1,MATCH(OFFSET($A37,-MOD(ROW()-1,3),0),'#现网数据参考'!$A:$A,0)-1,MATCH(H$2&amp;$E37,'#现网数据参考'!$3:$3,0)-1)*IF(OFFSET($A37,-MOD(ROW()-1,3),0)&lt;=9,0.6,1),0)</f>
        <v>14</v>
      </c>
      <c r="I37" s="1">
        <f ca="1">ROUND(OFFSET('#现网数据参考'!$A$1,MATCH(OFFSET($A37,-MOD(ROW()-1,3),0),'#现网数据参考'!$A:$A,0)-1,MATCH(I$2&amp;$E37,'#现网数据参考'!$3:$3,0)-1)*IF(OFFSET($A37,-MOD(ROW()-1,3),0)&lt;=9,0.6,1),0)</f>
        <v>8</v>
      </c>
      <c r="J37" s="1">
        <f ca="1">ROUND(OFFSET('#现网数据参考'!$A$1,MATCH(OFFSET($A37,-MOD(ROW()-1,3),0),'#现网数据参考'!$A:$A,0)-1,MATCH(J$2&amp;$E37,'#现网数据参考'!$3:$3,0)-1)*IF(OFFSET($A37,-MOD(ROW()-1,3),0)&lt;=9,0.6,1),0)</f>
        <v>7</v>
      </c>
      <c r="K37" s="1">
        <f ca="1">ROUND(OFFSET('#现网数据参考'!$A$1,MATCH(OFFSET($A37,-MOD(ROW()-1,3),0),'#现网数据参考'!$A:$A,0)-1,MATCH(K$2&amp;$E37,'#现网数据参考'!$3:$3,0)-1)*IF(OFFSET($A37,-MOD(ROW()-1,3),0)&lt;=9,0.6,1),0)</f>
        <v>0</v>
      </c>
      <c r="L37" s="1">
        <f ca="1">ROUND(OFFSET('#现网数据参考'!$A$1,MATCH(OFFSET($A37,-MOD(ROW()-1,3),0),'#现网数据参考'!$A:$A,0)-1,MATCH(L$2&amp;$E37,'#现网数据参考'!$3:$3,0)-1),0)</f>
        <v>3</v>
      </c>
    </row>
    <row r="38" spans="1:12" ht="20.149999999999999" customHeight="1" x14ac:dyDescent="0.35">
      <c r="B38" s="1" t="str">
        <f>IF($A38="","",ROUND(_xlfn.XLOOKUP($A38,'#现网数据参考'!$A:$A,'#现网数据参考'!G:G)*IF($A38&lt;=9,0.5,1),0))</f>
        <v/>
      </c>
      <c r="C38" s="1" t="str">
        <f>IF($A38="","",ROUND(_xlfn.XLOOKUP($A38,'#现网数据参考'!$A:$A,'#现网数据参考'!P:P),0))</f>
        <v/>
      </c>
      <c r="D38" s="1">
        <v>2</v>
      </c>
      <c r="E38" s="1">
        <v>40</v>
      </c>
      <c r="F38" s="1">
        <f ca="1">ROUND(OFFSET('#现网数据参考'!$A$1,MATCH(OFFSET($A38,-MOD(ROW()-1,3),0),'#现网数据参考'!$A:$A,0)-1,MATCH(F$2&amp;$E38,'#现网数据参考'!$3:$3,0)-1)*IF(OFFSET($A38,-MOD(ROW()-1,3),0)&lt;=9,0.6,1),0)</f>
        <v>25</v>
      </c>
      <c r="G38" s="31">
        <f ca="1">_xlfn.XLOOKUP(OFFSET($A38,-MOD(ROW()-1,3),0),'#出征索引'!A:A,'#出征索引'!B:B)+_xlfn.XLOOKUP(OFFSET($A38,-MOD(ROW()-1,3),0),'#出征索引'!A:A,'#出征索引'!C:C)*_xlfn.XLOOKUP(F38,'#出征索引'!E:E,'#出征索引'!F:F)</f>
        <v>15400</v>
      </c>
      <c r="H38" s="1">
        <f ca="1">ROUND(OFFSET('#现网数据参考'!$A$1,MATCH(OFFSET($A38,-MOD(ROW()-1,3),0),'#现网数据参考'!$A:$A,0)-1,MATCH(H$2&amp;$E38,'#现网数据参考'!$3:$3,0)-1)*IF(OFFSET($A38,-MOD(ROW()-1,3),0)&lt;=9,0.6,1),0)</f>
        <v>19</v>
      </c>
      <c r="I38" s="1">
        <f ca="1">ROUND(OFFSET('#现网数据参考'!$A$1,MATCH(OFFSET($A38,-MOD(ROW()-1,3),0),'#现网数据参考'!$A:$A,0)-1,MATCH(I$2&amp;$E38,'#现网数据参考'!$3:$3,0)-1)*IF(OFFSET($A38,-MOD(ROW()-1,3),0)&lt;=9,0.6,1),0)</f>
        <v>9</v>
      </c>
      <c r="J38" s="1">
        <f ca="1">ROUND(OFFSET('#现网数据参考'!$A$1,MATCH(OFFSET($A38,-MOD(ROW()-1,3),0),'#现网数据参考'!$A:$A,0)-1,MATCH(J$2&amp;$E38,'#现网数据参考'!$3:$3,0)-1)*IF(OFFSET($A38,-MOD(ROW()-1,3),0)&lt;=9,0.6,1),0)</f>
        <v>9</v>
      </c>
      <c r="K38" s="1">
        <f ca="1">ROUND(OFFSET('#现网数据参考'!$A$1,MATCH(OFFSET($A38,-MOD(ROW()-1,3),0),'#现网数据参考'!$A:$A,0)-1,MATCH(K$2&amp;$E38,'#现网数据参考'!$3:$3,0)-1)*IF(OFFSET($A38,-MOD(ROW()-1,3),0)&lt;=9,0.6,1),0)</f>
        <v>0</v>
      </c>
      <c r="L38" s="1">
        <f ca="1">ROUND(OFFSET('#现网数据参考'!$A$1,MATCH(OFFSET($A38,-MOD(ROW()-1,3),0),'#现网数据参考'!$A:$A,0)-1,MATCH(L$2&amp;$E38,'#现网数据参考'!$3:$3,0)-1),0)</f>
        <v>3</v>
      </c>
    </row>
    <row r="39" spans="1:12" ht="20.149999999999999" customHeight="1" x14ac:dyDescent="0.35">
      <c r="B39" s="1" t="str">
        <f>IF($A39="","",ROUND(_xlfn.XLOOKUP($A39,'#现网数据参考'!$A:$A,'#现网数据参考'!G:G)*IF($A39&lt;=9,0.5,1),0))</f>
        <v/>
      </c>
      <c r="C39" s="1" t="str">
        <f>IF($A39="","",ROUND(_xlfn.XLOOKUP($A39,'#现网数据参考'!$A:$A,'#现网数据参考'!P:P),0))</f>
        <v/>
      </c>
      <c r="D39" s="1">
        <v>3</v>
      </c>
      <c r="E39" s="1">
        <v>60</v>
      </c>
      <c r="F39" s="1">
        <f ca="1">ROUND(OFFSET('#现网数据参考'!$A$1,MATCH(OFFSET($A39,-MOD(ROW()-1,3),0),'#现网数据参考'!$A:$A,0)-1,MATCH(F$2&amp;$E39,'#现网数据参考'!$3:$3,0)-1)*IF(OFFSET($A39,-MOD(ROW()-1,3),0)&lt;=9,0.6,1),0)</f>
        <v>29</v>
      </c>
      <c r="G39" s="31">
        <f ca="1">_xlfn.XLOOKUP(OFFSET($A39,-MOD(ROW()-1,3),0),'#出征索引'!A:A,'#出征索引'!B:B)+_xlfn.XLOOKUP(OFFSET($A39,-MOD(ROW()-1,3),0),'#出征索引'!A:A,'#出征索引'!C:C)*_xlfn.XLOOKUP(F39,'#出征索引'!E:E,'#出征索引'!F:F)</f>
        <v>17000</v>
      </c>
      <c r="H39" s="1">
        <f ca="1">ROUND(OFFSET('#现网数据参考'!$A$1,MATCH(OFFSET($A39,-MOD(ROW()-1,3),0),'#现网数据参考'!$A:$A,0)-1,MATCH(H$2&amp;$E39,'#现网数据参考'!$3:$3,0)-1)*IF(OFFSET($A39,-MOD(ROW()-1,3),0)&lt;=9,0.6,1),0)</f>
        <v>23</v>
      </c>
      <c r="I39" s="1">
        <f ca="1">ROUND(OFFSET('#现网数据参考'!$A$1,MATCH(OFFSET($A39,-MOD(ROW()-1,3),0),'#现网数据参考'!$A:$A,0)-1,MATCH(I$2&amp;$E39,'#现网数据参考'!$3:$3,0)-1)*IF(OFFSET($A39,-MOD(ROW()-1,3),0)&lt;=9,0.6,1),0)</f>
        <v>9</v>
      </c>
      <c r="J39" s="1">
        <f ca="1">ROUND(OFFSET('#现网数据参考'!$A$1,MATCH(OFFSET($A39,-MOD(ROW()-1,3),0),'#现网数据参考'!$A:$A,0)-1,MATCH(J$2&amp;$E39,'#现网数据参考'!$3:$3,0)-1)*IF(OFFSET($A39,-MOD(ROW()-1,3),0)&lt;=9,0.6,1),0)</f>
        <v>10</v>
      </c>
      <c r="K39" s="1">
        <f ca="1">ROUND(OFFSET('#现网数据参考'!$A$1,MATCH(OFFSET($A39,-MOD(ROW()-1,3),0),'#现网数据参考'!$A:$A,0)-1,MATCH(K$2&amp;$E39,'#现网数据参考'!$3:$3,0)-1)*IF(OFFSET($A39,-MOD(ROW()-1,3),0)&lt;=9,0.6,1),0)</f>
        <v>0</v>
      </c>
      <c r="L39" s="1">
        <f ca="1">ROUND(OFFSET('#现网数据参考'!$A$1,MATCH(OFFSET($A39,-MOD(ROW()-1,3),0),'#现网数据参考'!$A:$A,0)-1,MATCH(L$2&amp;$E39,'#现网数据参考'!$3:$3,0)-1),0)</f>
        <v>3</v>
      </c>
    </row>
    <row r="40" spans="1:12" ht="20.149999999999999" customHeight="1" x14ac:dyDescent="0.35">
      <c r="A40" s="1">
        <v>13</v>
      </c>
      <c r="B40" s="1">
        <f>IF($A40="","",ROUND(_xlfn.XLOOKUP($A40,'#现网数据参考'!$A:$A,'#现网数据参考'!G:G)*IF($A40&lt;=9,0.5,1),0))</f>
        <v>498578</v>
      </c>
      <c r="C40" s="1">
        <f>IF($A40="","",ROUND(_xlfn.XLOOKUP($A40,'#现网数据参考'!$A:$A,'#现网数据参考'!P:P),0))</f>
        <v>3</v>
      </c>
      <c r="D40" s="1">
        <v>1</v>
      </c>
      <c r="E40" s="1">
        <v>20</v>
      </c>
      <c r="F40" s="1">
        <f ca="1">ROUND(OFFSET('#现网数据参考'!$A$1,MATCH(OFFSET($A40,-MOD(ROW()-1,3),0),'#现网数据参考'!$A:$A,0)-1,MATCH(F$2&amp;$E40,'#现网数据参考'!$3:$3,0)-1)*IF(OFFSET($A40,-MOD(ROW()-1,3),0)&lt;=9,0.6,1),0)</f>
        <v>25</v>
      </c>
      <c r="G40" s="31">
        <f ca="1">_xlfn.XLOOKUP(OFFSET($A40,-MOD(ROW()-1,3),0),'#出征索引'!A:A,'#出征索引'!B:B)+_xlfn.XLOOKUP(OFFSET($A40,-MOD(ROW()-1,3),0),'#出征索引'!A:A,'#出征索引'!C:C)*_xlfn.XLOOKUP(F40,'#出征索引'!E:E,'#出征索引'!F:F)</f>
        <v>16400</v>
      </c>
      <c r="H40" s="1">
        <f ca="1">ROUND(OFFSET('#现网数据参考'!$A$1,MATCH(OFFSET($A40,-MOD(ROW()-1,3),0),'#现网数据参考'!$A:$A,0)-1,MATCH(H$2&amp;$E40,'#现网数据参考'!$3:$3,0)-1)*IF(OFFSET($A40,-MOD(ROW()-1,3),0)&lt;=9,0.6,1),0)</f>
        <v>21</v>
      </c>
      <c r="I40" s="1">
        <f ca="1">ROUND(OFFSET('#现网数据参考'!$A$1,MATCH(OFFSET($A40,-MOD(ROW()-1,3),0),'#现网数据参考'!$A:$A,0)-1,MATCH(I$2&amp;$E40,'#现网数据参考'!$3:$3,0)-1)*IF(OFFSET($A40,-MOD(ROW()-1,3),0)&lt;=9,0.6,1),0)</f>
        <v>9</v>
      </c>
      <c r="J40" s="1">
        <f ca="1">ROUND(OFFSET('#现网数据参考'!$A$1,MATCH(OFFSET($A40,-MOD(ROW()-1,3),0),'#现网数据参考'!$A:$A,0)-1,MATCH(J$2&amp;$E40,'#现网数据参考'!$3:$3,0)-1)*IF(OFFSET($A40,-MOD(ROW()-1,3),0)&lt;=9,0.6,1),0)</f>
        <v>8</v>
      </c>
      <c r="K40" s="1">
        <f ca="1">ROUND(OFFSET('#现网数据参考'!$A$1,MATCH(OFFSET($A40,-MOD(ROW()-1,3),0),'#现网数据参考'!$A:$A,0)-1,MATCH(K$2&amp;$E40,'#现网数据参考'!$3:$3,0)-1)*IF(OFFSET($A40,-MOD(ROW()-1,3),0)&lt;=9,0.6,1),0)</f>
        <v>0</v>
      </c>
      <c r="L40" s="1">
        <f ca="1">ROUND(OFFSET('#现网数据参考'!$A$1,MATCH(OFFSET($A40,-MOD(ROW()-1,3),0),'#现网数据参考'!$A:$A,0)-1,MATCH(L$2&amp;$E40,'#现网数据参考'!$3:$3,0)-1),0)</f>
        <v>3</v>
      </c>
    </row>
    <row r="41" spans="1:12" ht="20.149999999999999" customHeight="1" x14ac:dyDescent="0.35">
      <c r="B41" s="1" t="str">
        <f>IF($A41="","",ROUND(_xlfn.XLOOKUP($A41,'#现网数据参考'!$A:$A,'#现网数据参考'!G:G)*IF($A41&lt;=9,0.5,1),0))</f>
        <v/>
      </c>
      <c r="C41" s="1" t="str">
        <f>IF($A41="","",ROUND(_xlfn.XLOOKUP($A41,'#现网数据参考'!$A:$A,'#现网数据参考'!P:P),0))</f>
        <v/>
      </c>
      <c r="D41" s="1">
        <v>2</v>
      </c>
      <c r="E41" s="1">
        <v>40</v>
      </c>
      <c r="F41" s="1">
        <f ca="1">ROUND(OFFSET('#现网数据参考'!$A$1,MATCH(OFFSET($A41,-MOD(ROW()-1,3),0),'#现网数据参考'!$A:$A,0)-1,MATCH(F$2&amp;$E41,'#现网数据参考'!$3:$3,0)-1)*IF(OFFSET($A41,-MOD(ROW()-1,3),0)&lt;=9,0.6,1),0)</f>
        <v>29</v>
      </c>
      <c r="G41" s="31">
        <f ca="1">_xlfn.XLOOKUP(OFFSET($A41,-MOD(ROW()-1,3),0),'#出征索引'!A:A,'#出征索引'!B:B)+_xlfn.XLOOKUP(OFFSET($A41,-MOD(ROW()-1,3),0),'#出征索引'!A:A,'#出征索引'!C:C)*_xlfn.XLOOKUP(F41,'#出征索引'!E:E,'#出征索引'!F:F)</f>
        <v>18000</v>
      </c>
      <c r="H41" s="1">
        <f ca="1">ROUND(OFFSET('#现网数据参考'!$A$1,MATCH(OFFSET($A41,-MOD(ROW()-1,3),0),'#现网数据参考'!$A:$A,0)-1,MATCH(H$2&amp;$E41,'#现网数据参考'!$3:$3,0)-1)*IF(OFFSET($A41,-MOD(ROW()-1,3),0)&lt;=9,0.6,1),0)</f>
        <v>26</v>
      </c>
      <c r="I41" s="1">
        <f ca="1">ROUND(OFFSET('#现网数据参考'!$A$1,MATCH(OFFSET($A41,-MOD(ROW()-1,3),0),'#现网数据参考'!$A:$A,0)-1,MATCH(I$2&amp;$E41,'#现网数据参考'!$3:$3,0)-1)*IF(OFFSET($A41,-MOD(ROW()-1,3),0)&lt;=9,0.6,1),0)</f>
        <v>10</v>
      </c>
      <c r="J41" s="1">
        <f ca="1">ROUND(OFFSET('#现网数据参考'!$A$1,MATCH(OFFSET($A41,-MOD(ROW()-1,3),0),'#现网数据参考'!$A:$A,0)-1,MATCH(J$2&amp;$E41,'#现网数据参考'!$3:$3,0)-1)*IF(OFFSET($A41,-MOD(ROW()-1,3),0)&lt;=9,0.6,1),0)</f>
        <v>10</v>
      </c>
      <c r="K41" s="1">
        <f ca="1">ROUND(OFFSET('#现网数据参考'!$A$1,MATCH(OFFSET($A41,-MOD(ROW()-1,3),0),'#现网数据参考'!$A:$A,0)-1,MATCH(K$2&amp;$E41,'#现网数据参考'!$3:$3,0)-1)*IF(OFFSET($A41,-MOD(ROW()-1,3),0)&lt;=9,0.6,1),0)</f>
        <v>0</v>
      </c>
      <c r="L41" s="1">
        <f ca="1">ROUND(OFFSET('#现网数据参考'!$A$1,MATCH(OFFSET($A41,-MOD(ROW()-1,3),0),'#现网数据参考'!$A:$A,0)-1,MATCH(L$2&amp;$E41,'#现网数据参考'!$3:$3,0)-1),0)</f>
        <v>3</v>
      </c>
    </row>
    <row r="42" spans="1:12" ht="20.149999999999999" customHeight="1" x14ac:dyDescent="0.35">
      <c r="B42" s="1" t="str">
        <f>IF($A42="","",ROUND(_xlfn.XLOOKUP($A42,'#现网数据参考'!$A:$A,'#现网数据参考'!G:G)*IF($A42&lt;=9,0.5,1),0))</f>
        <v/>
      </c>
      <c r="C42" s="1" t="str">
        <f>IF($A42="","",ROUND(_xlfn.XLOOKUP($A42,'#现网数据参考'!$A:$A,'#现网数据参考'!P:P),0))</f>
        <v/>
      </c>
      <c r="D42" s="1">
        <v>3</v>
      </c>
      <c r="E42" s="1">
        <v>60</v>
      </c>
      <c r="F42" s="1">
        <f ca="1">ROUND(OFFSET('#现网数据参考'!$A$1,MATCH(OFFSET($A42,-MOD(ROW()-1,3),0),'#现网数据参考'!$A:$A,0)-1,MATCH(F$2&amp;$E42,'#现网数据参考'!$3:$3,0)-1)*IF(OFFSET($A42,-MOD(ROW()-1,3),0)&lt;=9,0.6,1),0)</f>
        <v>32</v>
      </c>
      <c r="G42" s="31">
        <f ca="1">_xlfn.XLOOKUP(OFFSET($A42,-MOD(ROW()-1,3),0),'#出征索引'!A:A,'#出征索引'!B:B)+_xlfn.XLOOKUP(OFFSET($A42,-MOD(ROW()-1,3),0),'#出征索引'!A:A,'#出征索引'!C:C)*_xlfn.XLOOKUP(F42,'#出征索引'!E:E,'#出征索引'!F:F)</f>
        <v>19200</v>
      </c>
      <c r="H42" s="1">
        <f ca="1">ROUND(OFFSET('#现网数据参考'!$A$1,MATCH(OFFSET($A42,-MOD(ROW()-1,3),0),'#现网数据参考'!$A:$A,0)-1,MATCH(H$2&amp;$E42,'#现网数据参考'!$3:$3,0)-1)*IF(OFFSET($A42,-MOD(ROW()-1,3),0)&lt;=9,0.6,1),0)</f>
        <v>30</v>
      </c>
      <c r="I42" s="1">
        <f ca="1">ROUND(OFFSET('#现网数据参考'!$A$1,MATCH(OFFSET($A42,-MOD(ROW()-1,3),0),'#现网数据参考'!$A:$A,0)-1,MATCH(I$2&amp;$E42,'#现网数据参考'!$3:$3,0)-1)*IF(OFFSET($A42,-MOD(ROW()-1,3),0)&lt;=9,0.6,1),0)</f>
        <v>11</v>
      </c>
      <c r="J42" s="1">
        <f ca="1">ROUND(OFFSET('#现网数据参考'!$A$1,MATCH(OFFSET($A42,-MOD(ROW()-1,3),0),'#现网数据参考'!$A:$A,0)-1,MATCH(J$2&amp;$E42,'#现网数据参考'!$3:$3,0)-1)*IF(OFFSET($A42,-MOD(ROW()-1,3),0)&lt;=9,0.6,1),0)</f>
        <v>11</v>
      </c>
      <c r="K42" s="1">
        <f ca="1">ROUND(OFFSET('#现网数据参考'!$A$1,MATCH(OFFSET($A42,-MOD(ROW()-1,3),0),'#现网数据参考'!$A:$A,0)-1,MATCH(K$2&amp;$E42,'#现网数据参考'!$3:$3,0)-1)*IF(OFFSET($A42,-MOD(ROW()-1,3),0)&lt;=9,0.6,1),0)</f>
        <v>0</v>
      </c>
      <c r="L42" s="1">
        <f ca="1">ROUND(OFFSET('#现网数据参考'!$A$1,MATCH(OFFSET($A42,-MOD(ROW()-1,3),0),'#现网数据参考'!$A:$A,0)-1,MATCH(L$2&amp;$E42,'#现网数据参考'!$3:$3,0)-1),0)</f>
        <v>3</v>
      </c>
    </row>
    <row r="43" spans="1:12" ht="20.149999999999999" customHeight="1" x14ac:dyDescent="0.35">
      <c r="A43" s="1">
        <v>14</v>
      </c>
      <c r="B43" s="1">
        <f>IF($A43="","",ROUND(_xlfn.XLOOKUP($A43,'#现网数据参考'!$A:$A,'#现网数据参考'!G:G)*IF($A43&lt;=9,0.5,1),0))</f>
        <v>623816</v>
      </c>
      <c r="C43" s="1">
        <f>IF($A43="","",ROUND(_xlfn.XLOOKUP($A43,'#现网数据参考'!$A:$A,'#现网数据参考'!P:P),0))</f>
        <v>3</v>
      </c>
      <c r="D43" s="1">
        <v>1</v>
      </c>
      <c r="E43" s="1">
        <v>20</v>
      </c>
      <c r="F43" s="1">
        <f ca="1">ROUND(OFFSET('#现网数据参考'!$A$1,MATCH(OFFSET($A43,-MOD(ROW()-1,3),0),'#现网数据参考'!$A:$A,0)-1,MATCH(F$2&amp;$E43,'#现网数据参考'!$3:$3,0)-1)*IF(OFFSET($A43,-MOD(ROW()-1,3),0)&lt;=9,0.6,1),0)</f>
        <v>27</v>
      </c>
      <c r="G43" s="31">
        <f ca="1">_xlfn.XLOOKUP(OFFSET($A43,-MOD(ROW()-1,3),0),'#出征索引'!A:A,'#出征索引'!B:B)+_xlfn.XLOOKUP(OFFSET($A43,-MOD(ROW()-1,3),0),'#出征索引'!A:A,'#出征索引'!C:C)*_xlfn.XLOOKUP(F43,'#出征索引'!E:E,'#出征索引'!F:F)</f>
        <v>18200</v>
      </c>
      <c r="H43" s="1">
        <f ca="1">ROUND(OFFSET('#现网数据参考'!$A$1,MATCH(OFFSET($A43,-MOD(ROW()-1,3),0),'#现网数据参考'!$A:$A,0)-1,MATCH(H$2&amp;$E43,'#现网数据参考'!$3:$3,0)-1)*IF(OFFSET($A43,-MOD(ROW()-1,3),0)&lt;=9,0.6,1),0)</f>
        <v>25</v>
      </c>
      <c r="I43" s="1">
        <f ca="1">ROUND(OFFSET('#现网数据参考'!$A$1,MATCH(OFFSET($A43,-MOD(ROW()-1,3),0),'#现网数据参考'!$A:$A,0)-1,MATCH(I$2&amp;$E43,'#现网数据参考'!$3:$3,0)-1)*IF(OFFSET($A43,-MOD(ROW()-1,3),0)&lt;=9,0.6,1),0)</f>
        <v>10</v>
      </c>
      <c r="J43" s="1">
        <f ca="1">ROUND(OFFSET('#现网数据参考'!$A$1,MATCH(OFFSET($A43,-MOD(ROW()-1,3),0),'#现网数据参考'!$A:$A,0)-1,MATCH(J$2&amp;$E43,'#现网数据参考'!$3:$3,0)-1)*IF(OFFSET($A43,-MOD(ROW()-1,3),0)&lt;=9,0.6,1),0)</f>
        <v>9</v>
      </c>
      <c r="K43" s="1">
        <f ca="1">ROUND(OFFSET('#现网数据参考'!$A$1,MATCH(OFFSET($A43,-MOD(ROW()-1,3),0),'#现网数据参考'!$A:$A,0)-1,MATCH(K$2&amp;$E43,'#现网数据参考'!$3:$3,0)-1)*IF(OFFSET($A43,-MOD(ROW()-1,3),0)&lt;=9,0.6,1),0)</f>
        <v>0</v>
      </c>
      <c r="L43" s="1">
        <f ca="1">ROUND(OFFSET('#现网数据参考'!$A$1,MATCH(OFFSET($A43,-MOD(ROW()-1,3),0),'#现网数据参考'!$A:$A,0)-1,MATCH(L$2&amp;$E43,'#现网数据参考'!$3:$3,0)-1),0)</f>
        <v>3</v>
      </c>
    </row>
    <row r="44" spans="1:12" ht="20.149999999999999" customHeight="1" x14ac:dyDescent="0.35">
      <c r="B44" s="1" t="str">
        <f>IF($A44="","",ROUND(_xlfn.XLOOKUP($A44,'#现网数据参考'!$A:$A,'#现网数据参考'!G:G)*IF($A44&lt;=9,0.5,1),0))</f>
        <v/>
      </c>
      <c r="C44" s="1" t="str">
        <f>IF($A44="","",ROUND(_xlfn.XLOOKUP($A44,'#现网数据参考'!$A:$A,'#现网数据参考'!P:P),0))</f>
        <v/>
      </c>
      <c r="D44" s="1">
        <v>2</v>
      </c>
      <c r="E44" s="1">
        <v>40</v>
      </c>
      <c r="F44" s="1">
        <f ca="1">ROUND(OFFSET('#现网数据参考'!$A$1,MATCH(OFFSET($A44,-MOD(ROW()-1,3),0),'#现网数据参考'!$A:$A,0)-1,MATCH(F$2&amp;$E44,'#现网数据参考'!$3:$3,0)-1)*IF(OFFSET($A44,-MOD(ROW()-1,3),0)&lt;=9,0.6,1),0)</f>
        <v>31</v>
      </c>
      <c r="G44" s="31">
        <f ca="1">_xlfn.XLOOKUP(OFFSET($A44,-MOD(ROW()-1,3),0),'#出征索引'!A:A,'#出征索引'!B:B)+_xlfn.XLOOKUP(OFFSET($A44,-MOD(ROW()-1,3),0),'#出征索引'!A:A,'#出征索引'!C:C)*_xlfn.XLOOKUP(F44,'#出征索引'!E:E,'#出征索引'!F:F)</f>
        <v>19800</v>
      </c>
      <c r="H44" s="1">
        <f ca="1">ROUND(OFFSET('#现网数据参考'!$A$1,MATCH(OFFSET($A44,-MOD(ROW()-1,3),0),'#现网数据参考'!$A:$A,0)-1,MATCH(H$2&amp;$E44,'#现网数据参考'!$3:$3,0)-1)*IF(OFFSET($A44,-MOD(ROW()-1,3),0)&lt;=9,0.6,1),0)</f>
        <v>30</v>
      </c>
      <c r="I44" s="1">
        <f ca="1">ROUND(OFFSET('#现网数据参考'!$A$1,MATCH(OFFSET($A44,-MOD(ROW()-1,3),0),'#现网数据参考'!$A:$A,0)-1,MATCH(I$2&amp;$E44,'#现网数据参考'!$3:$3,0)-1)*IF(OFFSET($A44,-MOD(ROW()-1,3),0)&lt;=9,0.6,1),0)</f>
        <v>11</v>
      </c>
      <c r="J44" s="1">
        <f ca="1">ROUND(OFFSET('#现网数据参考'!$A$1,MATCH(OFFSET($A44,-MOD(ROW()-1,3),0),'#现网数据参考'!$A:$A,0)-1,MATCH(J$2&amp;$E44,'#现网数据参考'!$3:$3,0)-1)*IF(OFFSET($A44,-MOD(ROW()-1,3),0)&lt;=9,0.6,1),0)</f>
        <v>10</v>
      </c>
      <c r="K44" s="1">
        <f ca="1">ROUND(OFFSET('#现网数据参考'!$A$1,MATCH(OFFSET($A44,-MOD(ROW()-1,3),0),'#现网数据参考'!$A:$A,0)-1,MATCH(K$2&amp;$E44,'#现网数据参考'!$3:$3,0)-1)*IF(OFFSET($A44,-MOD(ROW()-1,3),0)&lt;=9,0.6,1),0)</f>
        <v>0</v>
      </c>
      <c r="L44" s="1">
        <f ca="1">ROUND(OFFSET('#现网数据参考'!$A$1,MATCH(OFFSET($A44,-MOD(ROW()-1,3),0),'#现网数据参考'!$A:$A,0)-1,MATCH(L$2&amp;$E44,'#现网数据参考'!$3:$3,0)-1),0)</f>
        <v>3</v>
      </c>
    </row>
    <row r="45" spans="1:12" ht="20.149999999999999" customHeight="1" x14ac:dyDescent="0.35">
      <c r="B45" s="1" t="str">
        <f>IF($A45="","",ROUND(_xlfn.XLOOKUP($A45,'#现网数据参考'!$A:$A,'#现网数据参考'!G:G)*IF($A45&lt;=9,0.5,1),0))</f>
        <v/>
      </c>
      <c r="C45" s="1" t="str">
        <f>IF($A45="","",ROUND(_xlfn.XLOOKUP($A45,'#现网数据参考'!$A:$A,'#现网数据参考'!P:P),0))</f>
        <v/>
      </c>
      <c r="D45" s="1">
        <v>3</v>
      </c>
      <c r="E45" s="1">
        <v>60</v>
      </c>
      <c r="F45" s="1">
        <f ca="1">ROUND(OFFSET('#现网数据参考'!$A$1,MATCH(OFFSET($A45,-MOD(ROW()-1,3),0),'#现网数据参考'!$A:$A,0)-1,MATCH(F$2&amp;$E45,'#现网数据参考'!$3:$3,0)-1)*IF(OFFSET($A45,-MOD(ROW()-1,3),0)&lt;=9,0.6,1),0)</f>
        <v>36</v>
      </c>
      <c r="G45" s="31">
        <f ca="1">_xlfn.XLOOKUP(OFFSET($A45,-MOD(ROW()-1,3),0),'#出征索引'!A:A,'#出征索引'!B:B)+_xlfn.XLOOKUP(OFFSET($A45,-MOD(ROW()-1,3),0),'#出征索引'!A:A,'#出征索引'!C:C)*_xlfn.XLOOKUP(F45,'#出征索引'!E:E,'#出征索引'!F:F)</f>
        <v>21800</v>
      </c>
      <c r="H45" s="1">
        <f ca="1">ROUND(OFFSET('#现网数据参考'!$A$1,MATCH(OFFSET($A45,-MOD(ROW()-1,3),0),'#现网数据参考'!$A:$A,0)-1,MATCH(H$2&amp;$E45,'#现网数据参考'!$3:$3,0)-1)*IF(OFFSET($A45,-MOD(ROW()-1,3),0)&lt;=9,0.6,1),0)</f>
        <v>32</v>
      </c>
      <c r="I45" s="1">
        <f ca="1">ROUND(OFFSET('#现网数据参考'!$A$1,MATCH(OFFSET($A45,-MOD(ROW()-1,3),0),'#现网数据参考'!$A:$A,0)-1,MATCH(I$2&amp;$E45,'#现网数据参考'!$3:$3,0)-1)*IF(OFFSET($A45,-MOD(ROW()-1,3),0)&lt;=9,0.6,1),0)</f>
        <v>12</v>
      </c>
      <c r="J45" s="1">
        <f ca="1">ROUND(OFFSET('#现网数据参考'!$A$1,MATCH(OFFSET($A45,-MOD(ROW()-1,3),0),'#现网数据参考'!$A:$A,0)-1,MATCH(J$2&amp;$E45,'#现网数据参考'!$3:$3,0)-1)*IF(OFFSET($A45,-MOD(ROW()-1,3),0)&lt;=9,0.6,1),0)</f>
        <v>11</v>
      </c>
      <c r="K45" s="1">
        <f ca="1">ROUND(OFFSET('#现网数据参考'!$A$1,MATCH(OFFSET($A45,-MOD(ROW()-1,3),0),'#现网数据参考'!$A:$A,0)-1,MATCH(K$2&amp;$E45,'#现网数据参考'!$3:$3,0)-1)*IF(OFFSET($A45,-MOD(ROW()-1,3),0)&lt;=9,0.6,1),0)</f>
        <v>0</v>
      </c>
      <c r="L45" s="1">
        <f ca="1">ROUND(OFFSET('#现网数据参考'!$A$1,MATCH(OFFSET($A45,-MOD(ROW()-1,3),0),'#现网数据参考'!$A:$A,0)-1,MATCH(L$2&amp;$E45,'#现网数据参考'!$3:$3,0)-1),0)</f>
        <v>3</v>
      </c>
    </row>
    <row r="46" spans="1:12" ht="20.149999999999999" customHeight="1" x14ac:dyDescent="0.35">
      <c r="A46" s="1">
        <v>15</v>
      </c>
      <c r="B46" s="1">
        <f>IF($A46="","",ROUND(_xlfn.XLOOKUP($A46,'#现网数据参考'!$A:$A,'#现网数据参考'!G:G)*IF($A46&lt;=9,0.5,1),0))</f>
        <v>788143</v>
      </c>
      <c r="C46" s="1">
        <f>IF($A46="","",ROUND(_xlfn.XLOOKUP($A46,'#现网数据参考'!$A:$A,'#现网数据参考'!P:P),0))</f>
        <v>3</v>
      </c>
      <c r="D46" s="1">
        <v>1</v>
      </c>
      <c r="E46" s="1">
        <v>20</v>
      </c>
      <c r="F46" s="1">
        <f ca="1">ROUND(OFFSET('#现网数据参考'!$A$1,MATCH(OFFSET($A46,-MOD(ROW()-1,3),0),'#现网数据参考'!$A:$A,0)-1,MATCH(F$2&amp;$E46,'#现网数据参考'!$3:$3,0)-1)*IF(OFFSET($A46,-MOD(ROW()-1,3),0)&lt;=9,0.6,1),0)</f>
        <v>30</v>
      </c>
      <c r="G46" s="31">
        <f ca="1">_xlfn.XLOOKUP(OFFSET($A46,-MOD(ROW()-1,3),0),'#出征索引'!A:A,'#出征索引'!B:B)+_xlfn.XLOOKUP(OFFSET($A46,-MOD(ROW()-1,3),0),'#出征索引'!A:A,'#出征索引'!C:C)*_xlfn.XLOOKUP(F46,'#出征索引'!E:E,'#出征索引'!F:F)</f>
        <v>20400</v>
      </c>
      <c r="H46" s="1">
        <f ca="1">ROUND(OFFSET('#现网数据参考'!$A$1,MATCH(OFFSET($A46,-MOD(ROW()-1,3),0),'#现网数据参考'!$A:$A,0)-1,MATCH(H$2&amp;$E46,'#现网数据参考'!$3:$3,0)-1)*IF(OFFSET($A46,-MOD(ROW()-1,3),0)&lt;=9,0.6,1),0)</f>
        <v>29</v>
      </c>
      <c r="I46" s="1">
        <f ca="1">ROUND(OFFSET('#现网数据参考'!$A$1,MATCH(OFFSET($A46,-MOD(ROW()-1,3),0),'#现网数据参考'!$A:$A,0)-1,MATCH(I$2&amp;$E46,'#现网数据参考'!$3:$3,0)-1)*IF(OFFSET($A46,-MOD(ROW()-1,3),0)&lt;=9,0.6,1),0)</f>
        <v>10</v>
      </c>
      <c r="J46" s="1">
        <f ca="1">ROUND(OFFSET('#现网数据参考'!$A$1,MATCH(OFFSET($A46,-MOD(ROW()-1,3),0),'#现网数据参考'!$A:$A,0)-1,MATCH(J$2&amp;$E46,'#现网数据参考'!$3:$3,0)-1)*IF(OFFSET($A46,-MOD(ROW()-1,3),0)&lt;=9,0.6,1),0)</f>
        <v>9</v>
      </c>
      <c r="K46" s="1">
        <f ca="1">ROUND(OFFSET('#现网数据参考'!$A$1,MATCH(OFFSET($A46,-MOD(ROW()-1,3),0),'#现网数据参考'!$A:$A,0)-1,MATCH(K$2&amp;$E46,'#现网数据参考'!$3:$3,0)-1)*IF(OFFSET($A46,-MOD(ROW()-1,3),0)&lt;=9,0.6,1),0)</f>
        <v>1</v>
      </c>
      <c r="L46" s="1">
        <f ca="1">ROUND(OFFSET('#现网数据参考'!$A$1,MATCH(OFFSET($A46,-MOD(ROW()-1,3),0),'#现网数据参考'!$A:$A,0)-1,MATCH(L$2&amp;$E46,'#现网数据参考'!$3:$3,0)-1),0)</f>
        <v>3</v>
      </c>
    </row>
    <row r="47" spans="1:12" ht="20.149999999999999" customHeight="1" x14ac:dyDescent="0.35">
      <c r="B47" s="1" t="str">
        <f>IF($A47="","",ROUND(_xlfn.XLOOKUP($A47,'#现网数据参考'!$A:$A,'#现网数据参考'!G:G)*IF($A47&lt;=9,0.5,1),0))</f>
        <v/>
      </c>
      <c r="C47" s="1" t="str">
        <f>IF($A47="","",ROUND(_xlfn.XLOOKUP($A47,'#现网数据参考'!$A:$A,'#现网数据参考'!P:P),0))</f>
        <v/>
      </c>
      <c r="D47" s="1">
        <v>2</v>
      </c>
      <c r="E47" s="1">
        <v>40</v>
      </c>
      <c r="F47" s="1">
        <f ca="1">ROUND(OFFSET('#现网数据参考'!$A$1,MATCH(OFFSET($A47,-MOD(ROW()-1,3),0),'#现网数据参考'!$A:$A,0)-1,MATCH(F$2&amp;$E47,'#现网数据参考'!$3:$3,0)-1)*IF(OFFSET($A47,-MOD(ROW()-1,3),0)&lt;=9,0.6,1),0)</f>
        <v>35</v>
      </c>
      <c r="G47" s="31">
        <f ca="1">_xlfn.XLOOKUP(OFFSET($A47,-MOD(ROW()-1,3),0),'#出征索引'!A:A,'#出征索引'!B:B)+_xlfn.XLOOKUP(OFFSET($A47,-MOD(ROW()-1,3),0),'#出征索引'!A:A,'#出征索引'!C:C)*_xlfn.XLOOKUP(F47,'#出征索引'!E:E,'#出征索引'!F:F)</f>
        <v>22400</v>
      </c>
      <c r="H47" s="1">
        <f ca="1">ROUND(OFFSET('#现网数据参考'!$A$1,MATCH(OFFSET($A47,-MOD(ROW()-1,3),0),'#现网数据参考'!$A:$A,0)-1,MATCH(H$2&amp;$E47,'#现网数据参考'!$3:$3,0)-1)*IF(OFFSET($A47,-MOD(ROW()-1,3),0)&lt;=9,0.6,1),0)</f>
        <v>33</v>
      </c>
      <c r="I47" s="1">
        <f ca="1">ROUND(OFFSET('#现网数据参考'!$A$1,MATCH(OFFSET($A47,-MOD(ROW()-1,3),0),'#现网数据参考'!$A:$A,0)-1,MATCH(I$2&amp;$E47,'#现网数据参考'!$3:$3,0)-1)*IF(OFFSET($A47,-MOD(ROW()-1,3),0)&lt;=9,0.6,1),0)</f>
        <v>11</v>
      </c>
      <c r="J47" s="1">
        <f ca="1">ROUND(OFFSET('#现网数据参考'!$A$1,MATCH(OFFSET($A47,-MOD(ROW()-1,3),0),'#现网数据参考'!$A:$A,0)-1,MATCH(J$2&amp;$E47,'#现网数据参考'!$3:$3,0)-1)*IF(OFFSET($A47,-MOD(ROW()-1,3),0)&lt;=9,0.6,1),0)</f>
        <v>10</v>
      </c>
      <c r="K47" s="1">
        <f ca="1">ROUND(OFFSET('#现网数据参考'!$A$1,MATCH(OFFSET($A47,-MOD(ROW()-1,3),0),'#现网数据参考'!$A:$A,0)-1,MATCH(K$2&amp;$E47,'#现网数据参考'!$3:$3,0)-1)*IF(OFFSET($A47,-MOD(ROW()-1,3),0)&lt;=9,0.6,1),0)</f>
        <v>2</v>
      </c>
      <c r="L47" s="1">
        <f ca="1">ROUND(OFFSET('#现网数据参考'!$A$1,MATCH(OFFSET($A47,-MOD(ROW()-1,3),0),'#现网数据参考'!$A:$A,0)-1,MATCH(L$2&amp;$E47,'#现网数据参考'!$3:$3,0)-1),0)</f>
        <v>3</v>
      </c>
    </row>
    <row r="48" spans="1:12" ht="20.149999999999999" customHeight="1" x14ac:dyDescent="0.35">
      <c r="B48" s="1" t="str">
        <f>IF($A48="","",ROUND(_xlfn.XLOOKUP($A48,'#现网数据参考'!$A:$A,'#现网数据参考'!G:G)*IF($A48&lt;=9,0.5,1),0))</f>
        <v/>
      </c>
      <c r="C48" s="1" t="str">
        <f>IF($A48="","",ROUND(_xlfn.XLOOKUP($A48,'#现网数据参考'!$A:$A,'#现网数据参考'!P:P),0))</f>
        <v/>
      </c>
      <c r="D48" s="1">
        <v>3</v>
      </c>
      <c r="E48" s="1">
        <v>60</v>
      </c>
      <c r="F48" s="1">
        <f ca="1">ROUND(OFFSET('#现网数据参考'!$A$1,MATCH(OFFSET($A48,-MOD(ROW()-1,3),0),'#现网数据参考'!$A:$A,0)-1,MATCH(F$2&amp;$E48,'#现网数据参考'!$3:$3,0)-1)*IF(OFFSET($A48,-MOD(ROW()-1,3),0)&lt;=9,0.6,1),0)</f>
        <v>39</v>
      </c>
      <c r="G48" s="31">
        <f ca="1">_xlfn.XLOOKUP(OFFSET($A48,-MOD(ROW()-1,3),0),'#出征索引'!A:A,'#出征索引'!B:B)+_xlfn.XLOOKUP(OFFSET($A48,-MOD(ROW()-1,3),0),'#出征索引'!A:A,'#出征索引'!C:C)*_xlfn.XLOOKUP(F48,'#出征索引'!E:E,'#出征索引'!F:F)</f>
        <v>24000</v>
      </c>
      <c r="H48" s="1">
        <f ca="1">ROUND(OFFSET('#现网数据参考'!$A$1,MATCH(OFFSET($A48,-MOD(ROW()-1,3),0),'#现网数据参考'!$A:$A,0)-1,MATCH(H$2&amp;$E48,'#现网数据参考'!$3:$3,0)-1)*IF(OFFSET($A48,-MOD(ROW()-1,3),0)&lt;=9,0.6,1),0)</f>
        <v>35</v>
      </c>
      <c r="I48" s="1">
        <f ca="1">ROUND(OFFSET('#现网数据参考'!$A$1,MATCH(OFFSET($A48,-MOD(ROW()-1,3),0),'#现网数据参考'!$A:$A,0)-1,MATCH(I$2&amp;$E48,'#现网数据参考'!$3:$3,0)-1)*IF(OFFSET($A48,-MOD(ROW()-1,3),0)&lt;=9,0.6,1),0)</f>
        <v>12</v>
      </c>
      <c r="J48" s="1">
        <f ca="1">ROUND(OFFSET('#现网数据参考'!$A$1,MATCH(OFFSET($A48,-MOD(ROW()-1,3),0),'#现网数据参考'!$A:$A,0)-1,MATCH(J$2&amp;$E48,'#现网数据参考'!$3:$3,0)-1)*IF(OFFSET($A48,-MOD(ROW()-1,3),0)&lt;=9,0.6,1),0)</f>
        <v>12</v>
      </c>
      <c r="K48" s="1">
        <f ca="1">ROUND(OFFSET('#现网数据参考'!$A$1,MATCH(OFFSET($A48,-MOD(ROW()-1,3),0),'#现网数据参考'!$A:$A,0)-1,MATCH(K$2&amp;$E48,'#现网数据参考'!$3:$3,0)-1)*IF(OFFSET($A48,-MOD(ROW()-1,3),0)&lt;=9,0.6,1),0)</f>
        <v>4</v>
      </c>
      <c r="L48" s="1">
        <f ca="1">ROUND(OFFSET('#现网数据参考'!$A$1,MATCH(OFFSET($A48,-MOD(ROW()-1,3),0),'#现网数据参考'!$A:$A,0)-1,MATCH(L$2&amp;$E48,'#现网数据参考'!$3:$3,0)-1),0)</f>
        <v>3</v>
      </c>
    </row>
    <row r="49" spans="1:12" ht="20.149999999999999" customHeight="1" x14ac:dyDescent="0.35">
      <c r="A49" s="1">
        <v>16</v>
      </c>
      <c r="B49" s="1">
        <f>IF($A49="","",ROUND(_xlfn.XLOOKUP($A49,'#现网数据参考'!$A:$A,'#现网数据参考'!G:G)*IF($A49&lt;=9,0.5,1),0))</f>
        <v>1008770</v>
      </c>
      <c r="C49" s="1">
        <f>IF($A49="","",ROUND(_xlfn.XLOOKUP($A49,'#现网数据参考'!$A:$A,'#现网数据参考'!P:P),0))</f>
        <v>3</v>
      </c>
      <c r="D49" s="1">
        <v>1</v>
      </c>
      <c r="E49" s="1">
        <v>20</v>
      </c>
      <c r="F49" s="1">
        <f ca="1">ROUND(OFFSET('#现网数据参考'!$A$1,MATCH(OFFSET($A49,-MOD(ROW()-1,3),0),'#现网数据参考'!$A:$A,0)-1,MATCH(F$2&amp;$E49,'#现网数据参考'!$3:$3,0)-1)*IF(OFFSET($A49,-MOD(ROW()-1,3),0)&lt;=9,0.6,1),0)</f>
        <v>32</v>
      </c>
      <c r="G49" s="31">
        <f ca="1">_xlfn.XLOOKUP(OFFSET($A49,-MOD(ROW()-1,3),0),'#出征索引'!A:A,'#出征索引'!B:B)+_xlfn.XLOOKUP(OFFSET($A49,-MOD(ROW()-1,3),0),'#出征索引'!A:A,'#出征索引'!C:C)*_xlfn.XLOOKUP(F49,'#出征索引'!E:E,'#出征索引'!F:F)</f>
        <v>22700</v>
      </c>
      <c r="H49" s="1">
        <f ca="1">ROUND(OFFSET('#现网数据参考'!$A$1,MATCH(OFFSET($A49,-MOD(ROW()-1,3),0),'#现网数据参考'!$A:$A,0)-1,MATCH(H$2&amp;$E49,'#现网数据参考'!$3:$3,0)-1)*IF(OFFSET($A49,-MOD(ROW()-1,3),0)&lt;=9,0.6,1),0)</f>
        <v>32</v>
      </c>
      <c r="I49" s="1">
        <f ca="1">ROUND(OFFSET('#现网数据参考'!$A$1,MATCH(OFFSET($A49,-MOD(ROW()-1,3),0),'#现网数据参考'!$A:$A,0)-1,MATCH(I$2&amp;$E49,'#现网数据参考'!$3:$3,0)-1)*IF(OFFSET($A49,-MOD(ROW()-1,3),0)&lt;=9,0.6,1),0)</f>
        <v>11</v>
      </c>
      <c r="J49" s="1">
        <f ca="1">ROUND(OFFSET('#现网数据参考'!$A$1,MATCH(OFFSET($A49,-MOD(ROW()-1,3),0),'#现网数据参考'!$A:$A,0)-1,MATCH(J$2&amp;$E49,'#现网数据参考'!$3:$3,0)-1)*IF(OFFSET($A49,-MOD(ROW()-1,3),0)&lt;=9,0.6,1),0)</f>
        <v>9</v>
      </c>
      <c r="K49" s="1">
        <f ca="1">ROUND(OFFSET('#现网数据参考'!$A$1,MATCH(OFFSET($A49,-MOD(ROW()-1,3),0),'#现网数据参考'!$A:$A,0)-1,MATCH(K$2&amp;$E49,'#现网数据参考'!$3:$3,0)-1)*IF(OFFSET($A49,-MOD(ROW()-1,3),0)&lt;=9,0.6,1),0)</f>
        <v>2</v>
      </c>
      <c r="L49" s="1">
        <f ca="1">ROUND(OFFSET('#现网数据参考'!$A$1,MATCH(OFFSET($A49,-MOD(ROW()-1,3),0),'#现网数据参考'!$A:$A,0)-1,MATCH(L$2&amp;$E49,'#现网数据参考'!$3:$3,0)-1),0)</f>
        <v>3</v>
      </c>
    </row>
    <row r="50" spans="1:12" ht="20.149999999999999" customHeight="1" x14ac:dyDescent="0.35">
      <c r="B50" s="1" t="str">
        <f>IF($A50="","",ROUND(_xlfn.XLOOKUP($A50,'#现网数据参考'!$A:$A,'#现网数据参考'!G:G)*IF($A50&lt;=9,0.5,1),0))</f>
        <v/>
      </c>
      <c r="C50" s="1" t="str">
        <f>IF($A50="","",ROUND(_xlfn.XLOOKUP($A50,'#现网数据参考'!$A:$A,'#现网数据参考'!P:P),0))</f>
        <v/>
      </c>
      <c r="D50" s="1">
        <v>2</v>
      </c>
      <c r="E50" s="1">
        <v>40</v>
      </c>
      <c r="F50" s="1">
        <f ca="1">ROUND(OFFSET('#现网数据参考'!$A$1,MATCH(OFFSET($A50,-MOD(ROW()-1,3),0),'#现网数据参考'!$A:$A,0)-1,MATCH(F$2&amp;$E50,'#现网数据参考'!$3:$3,0)-1)*IF(OFFSET($A50,-MOD(ROW()-1,3),0)&lt;=9,0.6,1),0)</f>
        <v>38</v>
      </c>
      <c r="G50" s="31">
        <f ca="1">_xlfn.XLOOKUP(OFFSET($A50,-MOD(ROW()-1,3),0),'#出征索引'!A:A,'#出征索引'!B:B)+_xlfn.XLOOKUP(OFFSET($A50,-MOD(ROW()-1,3),0),'#出征索引'!A:A,'#出征索引'!C:C)*_xlfn.XLOOKUP(F50,'#出征索引'!E:E,'#出征索引'!F:F)</f>
        <v>25100</v>
      </c>
      <c r="H50" s="1">
        <f ca="1">ROUND(OFFSET('#现网数据参考'!$A$1,MATCH(OFFSET($A50,-MOD(ROW()-1,3),0),'#现网数据参考'!$A:$A,0)-1,MATCH(H$2&amp;$E50,'#现网数据参考'!$3:$3,0)-1)*IF(OFFSET($A50,-MOD(ROW()-1,3),0)&lt;=9,0.6,1),0)</f>
        <v>36</v>
      </c>
      <c r="I50" s="1">
        <f ca="1">ROUND(OFFSET('#现网数据参考'!$A$1,MATCH(OFFSET($A50,-MOD(ROW()-1,3),0),'#现网数据参考'!$A:$A,0)-1,MATCH(I$2&amp;$E50,'#现网数据参考'!$3:$3,0)-1)*IF(OFFSET($A50,-MOD(ROW()-1,3),0)&lt;=9,0.6,1),0)</f>
        <v>12</v>
      </c>
      <c r="J50" s="1">
        <f ca="1">ROUND(OFFSET('#现网数据参考'!$A$1,MATCH(OFFSET($A50,-MOD(ROW()-1,3),0),'#现网数据参考'!$A:$A,0)-1,MATCH(J$2&amp;$E50,'#现网数据参考'!$3:$3,0)-1)*IF(OFFSET($A50,-MOD(ROW()-1,3),0)&lt;=9,0.6,1),0)</f>
        <v>11</v>
      </c>
      <c r="K50" s="1">
        <f ca="1">ROUND(OFFSET('#现网数据参考'!$A$1,MATCH(OFFSET($A50,-MOD(ROW()-1,3),0),'#现网数据参考'!$A:$A,0)-1,MATCH(K$2&amp;$E50,'#现网数据参考'!$3:$3,0)-1)*IF(OFFSET($A50,-MOD(ROW()-1,3),0)&lt;=9,0.6,1),0)</f>
        <v>5</v>
      </c>
      <c r="L50" s="1">
        <f ca="1">ROUND(OFFSET('#现网数据参考'!$A$1,MATCH(OFFSET($A50,-MOD(ROW()-1,3),0),'#现网数据参考'!$A:$A,0)-1,MATCH(L$2&amp;$E50,'#现网数据参考'!$3:$3,0)-1),0)</f>
        <v>3</v>
      </c>
    </row>
    <row r="51" spans="1:12" ht="20.149999999999999" customHeight="1" x14ac:dyDescent="0.35">
      <c r="B51" s="1" t="str">
        <f>IF($A51="","",ROUND(_xlfn.XLOOKUP($A51,'#现网数据参考'!$A:$A,'#现网数据参考'!G:G)*IF($A51&lt;=9,0.5,1),0))</f>
        <v/>
      </c>
      <c r="C51" s="1" t="str">
        <f>IF($A51="","",ROUND(_xlfn.XLOOKUP($A51,'#现网数据参考'!$A:$A,'#现网数据参考'!P:P),0))</f>
        <v/>
      </c>
      <c r="D51" s="1">
        <v>3</v>
      </c>
      <c r="E51" s="1">
        <v>60</v>
      </c>
      <c r="F51" s="1">
        <f ca="1">ROUND(OFFSET('#现网数据参考'!$A$1,MATCH(OFFSET($A51,-MOD(ROW()-1,3),0),'#现网数据参考'!$A:$A,0)-1,MATCH(F$2&amp;$E51,'#现网数据参考'!$3:$3,0)-1)*IF(OFFSET($A51,-MOD(ROW()-1,3),0)&lt;=9,0.6,1),0)</f>
        <v>44</v>
      </c>
      <c r="G51" s="31">
        <f ca="1">_xlfn.XLOOKUP(OFFSET($A51,-MOD(ROW()-1,3),0),'#出征索引'!A:A,'#出征索引'!B:B)+_xlfn.XLOOKUP(OFFSET($A51,-MOD(ROW()-1,3),0),'#出征索引'!A:A,'#出征索引'!C:C)*_xlfn.XLOOKUP(F51,'#出征索引'!E:E,'#出征索引'!F:F)</f>
        <v>27500</v>
      </c>
      <c r="H51" s="1">
        <f ca="1">ROUND(OFFSET('#现网数据参考'!$A$1,MATCH(OFFSET($A51,-MOD(ROW()-1,3),0),'#现网数据参考'!$A:$A,0)-1,MATCH(H$2&amp;$E51,'#现网数据参考'!$3:$3,0)-1)*IF(OFFSET($A51,-MOD(ROW()-1,3),0)&lt;=9,0.6,1),0)</f>
        <v>38</v>
      </c>
      <c r="I51" s="1">
        <f ca="1">ROUND(OFFSET('#现网数据参考'!$A$1,MATCH(OFFSET($A51,-MOD(ROW()-1,3),0),'#现网数据参考'!$A:$A,0)-1,MATCH(I$2&amp;$E51,'#现网数据参考'!$3:$3,0)-1)*IF(OFFSET($A51,-MOD(ROW()-1,3),0)&lt;=9,0.6,1),0)</f>
        <v>13</v>
      </c>
      <c r="J51" s="1">
        <f ca="1">ROUND(OFFSET('#现网数据参考'!$A$1,MATCH(OFFSET($A51,-MOD(ROW()-1,3),0),'#现网数据参考'!$A:$A,0)-1,MATCH(J$2&amp;$E51,'#现网数据参考'!$3:$3,0)-1)*IF(OFFSET($A51,-MOD(ROW()-1,3),0)&lt;=9,0.6,1),0)</f>
        <v>12</v>
      </c>
      <c r="K51" s="1">
        <f ca="1">ROUND(OFFSET('#现网数据参考'!$A$1,MATCH(OFFSET($A51,-MOD(ROW()-1,3),0),'#现网数据参考'!$A:$A,0)-1,MATCH(K$2&amp;$E51,'#现网数据参考'!$3:$3,0)-1)*IF(OFFSET($A51,-MOD(ROW()-1,3),0)&lt;=9,0.6,1),0)</f>
        <v>9</v>
      </c>
      <c r="L51" s="1">
        <f ca="1">ROUND(OFFSET('#现网数据参考'!$A$1,MATCH(OFFSET($A51,-MOD(ROW()-1,3),0),'#现网数据参考'!$A:$A,0)-1,MATCH(L$2&amp;$E51,'#现网数据参考'!$3:$3,0)-1),0)</f>
        <v>4</v>
      </c>
    </row>
    <row r="52" spans="1:12" ht="20.149999999999999" customHeight="1" x14ac:dyDescent="0.35">
      <c r="A52" s="1">
        <v>17</v>
      </c>
      <c r="B52" s="1">
        <f>IF($A52="","",ROUND(_xlfn.XLOOKUP($A52,'#现网数据参考'!$A:$A,'#现网数据参考'!G:G)*IF($A52&lt;=9,0.5,1),0))</f>
        <v>1323812</v>
      </c>
      <c r="C52" s="1">
        <f>IF($A52="","",ROUND(_xlfn.XLOOKUP($A52,'#现网数据参考'!$A:$A,'#现网数据参考'!P:P),0))</f>
        <v>3</v>
      </c>
      <c r="D52" s="1">
        <v>1</v>
      </c>
      <c r="E52" s="1">
        <v>20</v>
      </c>
      <c r="F52" s="1">
        <f ca="1">ROUND(OFFSET('#现网数据参考'!$A$1,MATCH(OFFSET($A52,-MOD(ROW()-1,3),0),'#现网数据参考'!$A:$A,0)-1,MATCH(F$2&amp;$E52,'#现网数据参考'!$3:$3,0)-1)*IF(OFFSET($A52,-MOD(ROW()-1,3),0)&lt;=9,0.6,1),0)</f>
        <v>32</v>
      </c>
      <c r="G52" s="31">
        <f ca="1">_xlfn.XLOOKUP(OFFSET($A52,-MOD(ROW()-1,3),0),'#出征索引'!A:A,'#出征索引'!B:B)+_xlfn.XLOOKUP(OFFSET($A52,-MOD(ROW()-1,3),0),'#出征索引'!A:A,'#出征索引'!C:C)*_xlfn.XLOOKUP(F52,'#出征索引'!E:E,'#出征索引'!F:F)</f>
        <v>30800</v>
      </c>
      <c r="H52" s="1">
        <f ca="1">ROUND(OFFSET('#现网数据参考'!$A$1,MATCH(OFFSET($A52,-MOD(ROW()-1,3),0),'#现网数据参考'!$A:$A,0)-1,MATCH(H$2&amp;$E52,'#现网数据参考'!$3:$3,0)-1)*IF(OFFSET($A52,-MOD(ROW()-1,3),0)&lt;=9,0.6,1),0)</f>
        <v>36</v>
      </c>
      <c r="I52" s="1">
        <f ca="1">ROUND(OFFSET('#现网数据参考'!$A$1,MATCH(OFFSET($A52,-MOD(ROW()-1,3),0),'#现网数据参考'!$A:$A,0)-1,MATCH(I$2&amp;$E52,'#现网数据参考'!$3:$3,0)-1)*IF(OFFSET($A52,-MOD(ROW()-1,3),0)&lt;=9,0.6,1),0)</f>
        <v>12</v>
      </c>
      <c r="J52" s="1">
        <f ca="1">ROUND(OFFSET('#现网数据参考'!$A$1,MATCH(OFFSET($A52,-MOD(ROW()-1,3),0),'#现网数据参考'!$A:$A,0)-1,MATCH(J$2&amp;$E52,'#现网数据参考'!$3:$3,0)-1)*IF(OFFSET($A52,-MOD(ROW()-1,3),0)&lt;=9,0.6,1),0)</f>
        <v>9</v>
      </c>
      <c r="K52" s="1">
        <f ca="1">ROUND(OFFSET('#现网数据参考'!$A$1,MATCH(OFFSET($A52,-MOD(ROW()-1,3),0),'#现网数据参考'!$A:$A,0)-1,MATCH(K$2&amp;$E52,'#现网数据参考'!$3:$3,0)-1)*IF(OFFSET($A52,-MOD(ROW()-1,3),0)&lt;=9,0.6,1),0)</f>
        <v>5</v>
      </c>
      <c r="L52" s="1">
        <f ca="1">ROUND(OFFSET('#现网数据参考'!$A$1,MATCH(OFFSET($A52,-MOD(ROW()-1,3),0),'#现网数据参考'!$A:$A,0)-1,MATCH(L$2&amp;$E52,'#现网数据参考'!$3:$3,0)-1),0)</f>
        <v>3</v>
      </c>
    </row>
    <row r="53" spans="1:12" ht="20.149999999999999" customHeight="1" x14ac:dyDescent="0.35">
      <c r="B53" s="1" t="str">
        <f>IF($A53="","",ROUND(_xlfn.XLOOKUP($A53,'#现网数据参考'!$A:$A,'#现网数据参考'!G:G)*IF($A53&lt;=9,0.5,1),0))</f>
        <v/>
      </c>
      <c r="C53" s="1" t="str">
        <f>IF($A53="","",ROUND(_xlfn.XLOOKUP($A53,'#现网数据参考'!$A:$A,'#现网数据参考'!P:P),0))</f>
        <v/>
      </c>
      <c r="D53" s="1">
        <v>2</v>
      </c>
      <c r="E53" s="1">
        <v>40</v>
      </c>
      <c r="F53" s="1">
        <f ca="1">ROUND(OFFSET('#现网数据参考'!$A$1,MATCH(OFFSET($A53,-MOD(ROW()-1,3),0),'#现网数据参考'!$A:$A,0)-1,MATCH(F$2&amp;$E53,'#现网数据参考'!$3:$3,0)-1)*IF(OFFSET($A53,-MOD(ROW()-1,3),0)&lt;=9,0.6,1),0)</f>
        <v>38</v>
      </c>
      <c r="G53" s="31">
        <f ca="1">_xlfn.XLOOKUP(OFFSET($A53,-MOD(ROW()-1,3),0),'#出征索引'!A:A,'#出征索引'!B:B)+_xlfn.XLOOKUP(OFFSET($A53,-MOD(ROW()-1,3),0),'#出征索引'!A:A,'#出征索引'!C:C)*_xlfn.XLOOKUP(F53,'#出征索引'!E:E,'#出征索引'!F:F)</f>
        <v>34400</v>
      </c>
      <c r="H53" s="1">
        <f ca="1">ROUND(OFFSET('#现网数据参考'!$A$1,MATCH(OFFSET($A53,-MOD(ROW()-1,3),0),'#现网数据参考'!$A:$A,0)-1,MATCH(H$2&amp;$E53,'#现网数据参考'!$3:$3,0)-1)*IF(OFFSET($A53,-MOD(ROW()-1,3),0)&lt;=9,0.6,1),0)</f>
        <v>39</v>
      </c>
      <c r="I53" s="1">
        <f ca="1">ROUND(OFFSET('#现网数据参考'!$A$1,MATCH(OFFSET($A53,-MOD(ROW()-1,3),0),'#现网数据参考'!$A:$A,0)-1,MATCH(I$2&amp;$E53,'#现网数据参考'!$3:$3,0)-1)*IF(OFFSET($A53,-MOD(ROW()-1,3),0)&lt;=9,0.6,1),0)</f>
        <v>13</v>
      </c>
      <c r="J53" s="1">
        <f ca="1">ROUND(OFFSET('#现网数据参考'!$A$1,MATCH(OFFSET($A53,-MOD(ROW()-1,3),0),'#现网数据参考'!$A:$A,0)-1,MATCH(J$2&amp;$E53,'#现网数据参考'!$3:$3,0)-1)*IF(OFFSET($A53,-MOD(ROW()-1,3),0)&lt;=9,0.6,1),0)</f>
        <v>10</v>
      </c>
      <c r="K53" s="1">
        <f ca="1">ROUND(OFFSET('#现网数据参考'!$A$1,MATCH(OFFSET($A53,-MOD(ROW()-1,3),0),'#现网数据参考'!$A:$A,0)-1,MATCH(K$2&amp;$E53,'#现网数据参考'!$3:$3,0)-1)*IF(OFFSET($A53,-MOD(ROW()-1,3),0)&lt;=9,0.6,1),0)</f>
        <v>11</v>
      </c>
      <c r="L53" s="1">
        <f ca="1">ROUND(OFFSET('#现网数据参考'!$A$1,MATCH(OFFSET($A53,-MOD(ROW()-1,3),0),'#现网数据参考'!$A:$A,0)-1,MATCH(L$2&amp;$E53,'#现网数据参考'!$3:$3,0)-1),0)</f>
        <v>4</v>
      </c>
    </row>
    <row r="54" spans="1:12" ht="20.149999999999999" customHeight="1" x14ac:dyDescent="0.35">
      <c r="B54" s="1" t="str">
        <f>IF($A54="","",ROUND(_xlfn.XLOOKUP($A54,'#现网数据参考'!$A:$A,'#现网数据参考'!G:G)*IF($A54&lt;=9,0.5,1),0))</f>
        <v/>
      </c>
      <c r="C54" s="1" t="str">
        <f>IF($A54="","",ROUND(_xlfn.XLOOKUP($A54,'#现网数据参考'!$A:$A,'#现网数据参考'!P:P),0))</f>
        <v/>
      </c>
      <c r="D54" s="1">
        <v>3</v>
      </c>
      <c r="E54" s="1">
        <v>60</v>
      </c>
      <c r="F54" s="1">
        <f ca="1">ROUND(OFFSET('#现网数据参考'!$A$1,MATCH(OFFSET($A54,-MOD(ROW()-1,3),0),'#现网数据参考'!$A:$A,0)-1,MATCH(F$2&amp;$E54,'#现网数据参考'!$3:$3,0)-1)*IF(OFFSET($A54,-MOD(ROW()-1,3),0)&lt;=9,0.6,1),0)</f>
        <v>43</v>
      </c>
      <c r="G54" s="31">
        <f ca="1">_xlfn.XLOOKUP(OFFSET($A54,-MOD(ROW()-1,3),0),'#出征索引'!A:A,'#出征索引'!B:B)+_xlfn.XLOOKUP(OFFSET($A54,-MOD(ROW()-1,3),0),'#出征索引'!A:A,'#出征索引'!C:C)*_xlfn.XLOOKUP(F54,'#出征索引'!E:E,'#出征索引'!F:F)</f>
        <v>37400</v>
      </c>
      <c r="H54" s="1">
        <f ca="1">ROUND(OFFSET('#现网数据参考'!$A$1,MATCH(OFFSET($A54,-MOD(ROW()-1,3),0),'#现网数据参考'!$A:$A,0)-1,MATCH(H$2&amp;$E54,'#现网数据参考'!$3:$3,0)-1)*IF(OFFSET($A54,-MOD(ROW()-1,3),0)&lt;=9,0.6,1),0)</f>
        <v>41</v>
      </c>
      <c r="I54" s="1">
        <f ca="1">ROUND(OFFSET('#现网数据参考'!$A$1,MATCH(OFFSET($A54,-MOD(ROW()-1,3),0),'#现网数据参考'!$A:$A,0)-1,MATCH(I$2&amp;$E54,'#现网数据参考'!$3:$3,0)-1)*IF(OFFSET($A54,-MOD(ROW()-1,3),0)&lt;=9,0.6,1),0)</f>
        <v>14</v>
      </c>
      <c r="J54" s="1">
        <f ca="1">ROUND(OFFSET('#现网数据参考'!$A$1,MATCH(OFFSET($A54,-MOD(ROW()-1,3),0),'#现网数据参考'!$A:$A,0)-1,MATCH(J$2&amp;$E54,'#现网数据参考'!$3:$3,0)-1)*IF(OFFSET($A54,-MOD(ROW()-1,3),0)&lt;=9,0.6,1),0)</f>
        <v>11</v>
      </c>
      <c r="K54" s="1">
        <f ca="1">ROUND(OFFSET('#现网数据参考'!$A$1,MATCH(OFFSET($A54,-MOD(ROW()-1,3),0),'#现网数据参考'!$A:$A,0)-1,MATCH(K$2&amp;$E54,'#现网数据参考'!$3:$3,0)-1)*IF(OFFSET($A54,-MOD(ROW()-1,3),0)&lt;=9,0.6,1),0)</f>
        <v>16</v>
      </c>
      <c r="L54" s="1">
        <f ca="1">ROUND(OFFSET('#现网数据参考'!$A$1,MATCH(OFFSET($A54,-MOD(ROW()-1,3),0),'#现网数据参考'!$A:$A,0)-1,MATCH(L$2&amp;$E54,'#现网数据参考'!$3:$3,0)-1),0)</f>
        <v>4</v>
      </c>
    </row>
    <row r="55" spans="1:12" ht="20.149999999999999" customHeight="1" x14ac:dyDescent="0.35">
      <c r="A55" s="1">
        <v>18</v>
      </c>
      <c r="B55" s="1">
        <f>IF($A55="","",ROUND(_xlfn.XLOOKUP($A55,'#现网数据参考'!$A:$A,'#现网数据参考'!G:G)*IF($A55&lt;=9,0.5,1),0))</f>
        <v>1751472</v>
      </c>
      <c r="C55" s="1">
        <f>IF($A55="","",ROUND(_xlfn.XLOOKUP($A55,'#现网数据参考'!$A:$A,'#现网数据参考'!P:P),0))</f>
        <v>4</v>
      </c>
      <c r="D55" s="1">
        <v>1</v>
      </c>
      <c r="E55" s="1">
        <v>20</v>
      </c>
      <c r="F55" s="1">
        <f ca="1">ROUND(OFFSET('#现网数据参考'!$A$1,MATCH(OFFSET($A55,-MOD(ROW()-1,3),0),'#现网数据参考'!$A:$A,0)-1,MATCH(F$2&amp;$E55,'#现网数据参考'!$3:$3,0)-1)*IF(OFFSET($A55,-MOD(ROW()-1,3),0)&lt;=9,0.6,1),0)</f>
        <v>35</v>
      </c>
      <c r="G55" s="31">
        <f ca="1">_xlfn.XLOOKUP(OFFSET($A55,-MOD(ROW()-1,3),0),'#出征索引'!A:A,'#出征索引'!B:B)+_xlfn.XLOOKUP(OFFSET($A55,-MOD(ROW()-1,3),0),'#出征索引'!A:A,'#出征索引'!C:C)*_xlfn.XLOOKUP(F55,'#出征索引'!E:E,'#出征索引'!F:F)</f>
        <v>34100</v>
      </c>
      <c r="H55" s="1">
        <f ca="1">ROUND(OFFSET('#现网数据参考'!$A$1,MATCH(OFFSET($A55,-MOD(ROW()-1,3),0),'#现网数据参考'!$A:$A,0)-1,MATCH(H$2&amp;$E55,'#现网数据参考'!$3:$3,0)-1)*IF(OFFSET($A55,-MOD(ROW()-1,3),0)&lt;=9,0.6,1),0)</f>
        <v>39</v>
      </c>
      <c r="I55" s="1">
        <f ca="1">ROUND(OFFSET('#现网数据参考'!$A$1,MATCH(OFFSET($A55,-MOD(ROW()-1,3),0),'#现网数据参考'!$A:$A,0)-1,MATCH(I$2&amp;$E55,'#现网数据参考'!$3:$3,0)-1)*IF(OFFSET($A55,-MOD(ROW()-1,3),0)&lt;=9,0.6,1),0)</f>
        <v>13</v>
      </c>
      <c r="J55" s="1">
        <f ca="1">ROUND(OFFSET('#现网数据参考'!$A$1,MATCH(OFFSET($A55,-MOD(ROW()-1,3),0),'#现网数据参考'!$A:$A,0)-1,MATCH(J$2&amp;$E55,'#现网数据参考'!$3:$3,0)-1)*IF(OFFSET($A55,-MOD(ROW()-1,3),0)&lt;=9,0.6,1),0)</f>
        <v>9</v>
      </c>
      <c r="K55" s="1">
        <f ca="1">ROUND(OFFSET('#现网数据参考'!$A$1,MATCH(OFFSET($A55,-MOD(ROW()-1,3),0),'#现网数据参考'!$A:$A,0)-1,MATCH(K$2&amp;$E55,'#现网数据参考'!$3:$3,0)-1)*IF(OFFSET($A55,-MOD(ROW()-1,3),0)&lt;=9,0.6,1),0)</f>
        <v>10</v>
      </c>
      <c r="L55" s="1">
        <f ca="1">ROUND(OFFSET('#现网数据参考'!$A$1,MATCH(OFFSET($A55,-MOD(ROW()-1,3),0),'#现网数据参考'!$A:$A,0)-1,MATCH(L$2&amp;$E55,'#现网数据参考'!$3:$3,0)-1),0)</f>
        <v>4</v>
      </c>
    </row>
    <row r="56" spans="1:12" ht="20.149999999999999" customHeight="1" x14ac:dyDescent="0.35">
      <c r="B56" s="1" t="str">
        <f>IF($A56="","",ROUND(_xlfn.XLOOKUP($A56,'#现网数据参考'!$A:$A,'#现网数据参考'!G:G)*IF($A56&lt;=9,0.5,1),0))</f>
        <v/>
      </c>
      <c r="C56" s="1" t="str">
        <f>IF($A56="","",ROUND(_xlfn.XLOOKUP($A56,'#现网数据参考'!$A:$A,'#现网数据参考'!P:P),0))</f>
        <v/>
      </c>
      <c r="D56" s="1">
        <v>2</v>
      </c>
      <c r="E56" s="1">
        <v>40</v>
      </c>
      <c r="F56" s="1">
        <f ca="1">ROUND(OFFSET('#现网数据参考'!$A$1,MATCH(OFFSET($A56,-MOD(ROW()-1,3),0),'#现网数据参考'!$A:$A,0)-1,MATCH(F$2&amp;$E56,'#现网数据参考'!$3:$3,0)-1)*IF(OFFSET($A56,-MOD(ROW()-1,3),0)&lt;=9,0.6,1),0)</f>
        <v>41</v>
      </c>
      <c r="G56" s="31">
        <f ca="1">_xlfn.XLOOKUP(OFFSET($A56,-MOD(ROW()-1,3),0),'#出征索引'!A:A,'#出征索引'!B:B)+_xlfn.XLOOKUP(OFFSET($A56,-MOD(ROW()-1,3),0),'#出征索引'!A:A,'#出征索引'!C:C)*_xlfn.XLOOKUP(F56,'#出征索引'!E:E,'#出征索引'!F:F)</f>
        <v>37700</v>
      </c>
      <c r="H56" s="1">
        <f ca="1">ROUND(OFFSET('#现网数据参考'!$A$1,MATCH(OFFSET($A56,-MOD(ROW()-1,3),0),'#现网数据参考'!$A:$A,0)-1,MATCH(H$2&amp;$E56,'#现网数据参考'!$3:$3,0)-1)*IF(OFFSET($A56,-MOD(ROW()-1,3),0)&lt;=9,0.6,1),0)</f>
        <v>42</v>
      </c>
      <c r="I56" s="1">
        <f ca="1">ROUND(OFFSET('#现网数据参考'!$A$1,MATCH(OFFSET($A56,-MOD(ROW()-1,3),0),'#现网数据参考'!$A:$A,0)-1,MATCH(I$2&amp;$E56,'#现网数据参考'!$3:$3,0)-1)*IF(OFFSET($A56,-MOD(ROW()-1,3),0)&lt;=9,0.6,1),0)</f>
        <v>14</v>
      </c>
      <c r="J56" s="1">
        <f ca="1">ROUND(OFFSET('#现网数据参考'!$A$1,MATCH(OFFSET($A56,-MOD(ROW()-1,3),0),'#现网数据参考'!$A:$A,0)-1,MATCH(J$2&amp;$E56,'#现网数据参考'!$3:$3,0)-1)*IF(OFFSET($A56,-MOD(ROW()-1,3),0)&lt;=9,0.6,1),0)</f>
        <v>10</v>
      </c>
      <c r="K56" s="1">
        <f ca="1">ROUND(OFFSET('#现网数据参考'!$A$1,MATCH(OFFSET($A56,-MOD(ROW()-1,3),0),'#现网数据参考'!$A:$A,0)-1,MATCH(K$2&amp;$E56,'#现网数据参考'!$3:$3,0)-1)*IF(OFFSET($A56,-MOD(ROW()-1,3),0)&lt;=9,0.6,1),0)</f>
        <v>18</v>
      </c>
      <c r="L56" s="1">
        <f ca="1">ROUND(OFFSET('#现网数据参考'!$A$1,MATCH(OFFSET($A56,-MOD(ROW()-1,3),0),'#现网数据参考'!$A:$A,0)-1,MATCH(L$2&amp;$E56,'#现网数据参考'!$3:$3,0)-1),0)</f>
        <v>4</v>
      </c>
    </row>
    <row r="57" spans="1:12" ht="20.149999999999999" customHeight="1" x14ac:dyDescent="0.35">
      <c r="B57" s="1" t="str">
        <f>IF($A57="","",ROUND(_xlfn.XLOOKUP($A57,'#现网数据参考'!$A:$A,'#现网数据参考'!G:G)*IF($A57&lt;=9,0.5,1),0))</f>
        <v/>
      </c>
      <c r="C57" s="1" t="str">
        <f>IF($A57="","",ROUND(_xlfn.XLOOKUP($A57,'#现网数据参考'!$A:$A,'#现网数据参考'!P:P),0))</f>
        <v/>
      </c>
      <c r="D57" s="1">
        <v>3</v>
      </c>
      <c r="E57" s="1">
        <v>60</v>
      </c>
      <c r="F57" s="1">
        <f ca="1">ROUND(OFFSET('#现网数据参考'!$A$1,MATCH(OFFSET($A57,-MOD(ROW()-1,3),0),'#现网数据参考'!$A:$A,0)-1,MATCH(F$2&amp;$E57,'#现网数据参考'!$3:$3,0)-1)*IF(OFFSET($A57,-MOD(ROW()-1,3),0)&lt;=9,0.6,1),0)</f>
        <v>47</v>
      </c>
      <c r="G57" s="31">
        <f ca="1">_xlfn.XLOOKUP(OFFSET($A57,-MOD(ROW()-1,3),0),'#出征索引'!A:A,'#出征索引'!B:B)+_xlfn.XLOOKUP(OFFSET($A57,-MOD(ROW()-1,3),0),'#出征索引'!A:A,'#出征索引'!C:C)*_xlfn.XLOOKUP(F57,'#出征索引'!E:E,'#出征索引'!F:F)</f>
        <v>41300</v>
      </c>
      <c r="H57" s="1">
        <f ca="1">ROUND(OFFSET('#现网数据参考'!$A$1,MATCH(OFFSET($A57,-MOD(ROW()-1,3),0),'#现网数据参考'!$A:$A,0)-1,MATCH(H$2&amp;$E57,'#现网数据参考'!$3:$3,0)-1)*IF(OFFSET($A57,-MOD(ROW()-1,3),0)&lt;=9,0.6,1),0)</f>
        <v>45</v>
      </c>
      <c r="I57" s="1">
        <f ca="1">ROUND(OFFSET('#现网数据参考'!$A$1,MATCH(OFFSET($A57,-MOD(ROW()-1,3),0),'#现网数据参考'!$A:$A,0)-1,MATCH(I$2&amp;$E57,'#现网数据参考'!$3:$3,0)-1)*IF(OFFSET($A57,-MOD(ROW()-1,3),0)&lt;=9,0.6,1),0)</f>
        <v>16</v>
      </c>
      <c r="J57" s="1">
        <f ca="1">ROUND(OFFSET('#现网数据参考'!$A$1,MATCH(OFFSET($A57,-MOD(ROW()-1,3),0),'#现网数据参考'!$A:$A,0)-1,MATCH(J$2&amp;$E57,'#现网数据参考'!$3:$3,0)-1)*IF(OFFSET($A57,-MOD(ROW()-1,3),0)&lt;=9,0.6,1),0)</f>
        <v>12</v>
      </c>
      <c r="K57" s="1">
        <f ca="1">ROUND(OFFSET('#现网数据参考'!$A$1,MATCH(OFFSET($A57,-MOD(ROW()-1,3),0),'#现网数据参考'!$A:$A,0)-1,MATCH(K$2&amp;$E57,'#现网数据参考'!$3:$3,0)-1)*IF(OFFSET($A57,-MOD(ROW()-1,3),0)&lt;=9,0.6,1),0)</f>
        <v>26</v>
      </c>
      <c r="L57" s="1">
        <f ca="1">ROUND(OFFSET('#现网数据参考'!$A$1,MATCH(OFFSET($A57,-MOD(ROW()-1,3),0),'#现网数据参考'!$A:$A,0)-1,MATCH(L$2&amp;$E57,'#现网数据参考'!$3:$3,0)-1),0)</f>
        <v>4</v>
      </c>
    </row>
    <row r="58" spans="1:12" ht="20.149999999999999" customHeight="1" x14ac:dyDescent="0.35">
      <c r="A58" s="1">
        <v>19</v>
      </c>
      <c r="B58" s="1">
        <f>IF($A58="","",ROUND(_xlfn.XLOOKUP($A58,'#现网数据参考'!$A:$A,'#现网数据参考'!G:G)*IF($A58&lt;=9,0.5,1),0))</f>
        <v>2209330</v>
      </c>
      <c r="C58" s="1">
        <f>IF($A58="","",ROUND(_xlfn.XLOOKUP($A58,'#现网数据参考'!$A:$A,'#现网数据参考'!P:P),0))</f>
        <v>4</v>
      </c>
      <c r="D58" s="1">
        <v>1</v>
      </c>
      <c r="E58" s="1">
        <v>20</v>
      </c>
      <c r="F58" s="1">
        <f ca="1">ROUND(OFFSET('#现网数据参考'!$A$1,MATCH(OFFSET($A58,-MOD(ROW()-1,3),0),'#现网数据参考'!$A:$A,0)-1,MATCH(F$2&amp;$E58,'#现网数据参考'!$3:$3,0)-1)*IF(OFFSET($A58,-MOD(ROW()-1,3),0)&lt;=9,0.6,1),0)</f>
        <v>38</v>
      </c>
      <c r="G58" s="31">
        <f ca="1">_xlfn.XLOOKUP(OFFSET($A58,-MOD(ROW()-1,3),0),'#出征索引'!A:A,'#出征索引'!B:B)+_xlfn.XLOOKUP(OFFSET($A58,-MOD(ROW()-1,3),0),'#出征索引'!A:A,'#出征索引'!C:C)*_xlfn.XLOOKUP(F58,'#出征索引'!E:E,'#出征索引'!F:F)</f>
        <v>37400</v>
      </c>
      <c r="H58" s="1">
        <f ca="1">ROUND(OFFSET('#现网数据参考'!$A$1,MATCH(OFFSET($A58,-MOD(ROW()-1,3),0),'#现网数据参考'!$A:$A,0)-1,MATCH(H$2&amp;$E58,'#现网数据参考'!$3:$3,0)-1)*IF(OFFSET($A58,-MOD(ROW()-1,3),0)&lt;=9,0.6,1),0)</f>
        <v>42</v>
      </c>
      <c r="I58" s="1">
        <f ca="1">ROUND(OFFSET('#现网数据参考'!$A$1,MATCH(OFFSET($A58,-MOD(ROW()-1,3),0),'#现网数据参考'!$A:$A,0)-1,MATCH(I$2&amp;$E58,'#现网数据参考'!$3:$3,0)-1)*IF(OFFSET($A58,-MOD(ROW()-1,3),0)&lt;=9,0.6,1),0)</f>
        <v>14</v>
      </c>
      <c r="J58" s="1">
        <f ca="1">ROUND(OFFSET('#现网数据参考'!$A$1,MATCH(OFFSET($A58,-MOD(ROW()-1,3),0),'#现网数据参考'!$A:$A,0)-1,MATCH(J$2&amp;$E58,'#现网数据参考'!$3:$3,0)-1)*IF(OFFSET($A58,-MOD(ROW()-1,3),0)&lt;=9,0.6,1),0)</f>
        <v>9</v>
      </c>
      <c r="K58" s="1">
        <f ca="1">ROUND(OFFSET('#现网数据参考'!$A$1,MATCH(OFFSET($A58,-MOD(ROW()-1,3),0),'#现网数据参考'!$A:$A,0)-1,MATCH(K$2&amp;$E58,'#现网数据参考'!$3:$3,0)-1)*IF(OFFSET($A58,-MOD(ROW()-1,3),0)&lt;=9,0.6,1),0)</f>
        <v>15</v>
      </c>
      <c r="L58" s="1">
        <f ca="1">ROUND(OFFSET('#现网数据参考'!$A$1,MATCH(OFFSET($A58,-MOD(ROW()-1,3),0),'#现网数据参考'!$A:$A,0)-1,MATCH(L$2&amp;$E58,'#现网数据参考'!$3:$3,0)-1),0)</f>
        <v>4</v>
      </c>
    </row>
    <row r="59" spans="1:12" ht="20.149999999999999" customHeight="1" x14ac:dyDescent="0.35">
      <c r="B59" s="1" t="str">
        <f>IF($A59="","",ROUND(_xlfn.XLOOKUP($A59,'#现网数据参考'!$A:$A,'#现网数据参考'!G:G)*IF($A59&lt;=9,0.5,1),0))</f>
        <v/>
      </c>
      <c r="C59" s="1" t="str">
        <f>IF($A59="","",ROUND(_xlfn.XLOOKUP($A59,'#现网数据参考'!$A:$A,'#现网数据参考'!P:P),0))</f>
        <v/>
      </c>
      <c r="D59" s="1">
        <v>2</v>
      </c>
      <c r="E59" s="1">
        <v>40</v>
      </c>
      <c r="F59" s="1">
        <f ca="1">ROUND(OFFSET('#现网数据参考'!$A$1,MATCH(OFFSET($A59,-MOD(ROW()-1,3),0),'#现网数据参考'!$A:$A,0)-1,MATCH(F$2&amp;$E59,'#现网数据参考'!$3:$3,0)-1)*IF(OFFSET($A59,-MOD(ROW()-1,3),0)&lt;=9,0.6,1),0)</f>
        <v>45</v>
      </c>
      <c r="G59" s="31">
        <f ca="1">_xlfn.XLOOKUP(OFFSET($A59,-MOD(ROW()-1,3),0),'#出征索引'!A:A,'#出征索引'!B:B)+_xlfn.XLOOKUP(OFFSET($A59,-MOD(ROW()-1,3),0),'#出征索引'!A:A,'#出征索引'!C:C)*_xlfn.XLOOKUP(F59,'#出征索引'!E:E,'#出征索引'!F:F)</f>
        <v>41600</v>
      </c>
      <c r="H59" s="1">
        <f ca="1">ROUND(OFFSET('#现网数据参考'!$A$1,MATCH(OFFSET($A59,-MOD(ROW()-1,3),0),'#现网数据参考'!$A:$A,0)-1,MATCH(H$2&amp;$E59,'#现网数据参考'!$3:$3,0)-1)*IF(OFFSET($A59,-MOD(ROW()-1,3),0)&lt;=9,0.6,1),0)</f>
        <v>45</v>
      </c>
      <c r="I59" s="1">
        <f ca="1">ROUND(OFFSET('#现网数据参考'!$A$1,MATCH(OFFSET($A59,-MOD(ROW()-1,3),0),'#现网数据参考'!$A:$A,0)-1,MATCH(I$2&amp;$E59,'#现网数据参考'!$3:$3,0)-1)*IF(OFFSET($A59,-MOD(ROW()-1,3),0)&lt;=9,0.6,1),0)</f>
        <v>15</v>
      </c>
      <c r="J59" s="1">
        <f ca="1">ROUND(OFFSET('#现网数据参考'!$A$1,MATCH(OFFSET($A59,-MOD(ROW()-1,3),0),'#现网数据参考'!$A:$A,0)-1,MATCH(J$2&amp;$E59,'#现网数据参考'!$3:$3,0)-1)*IF(OFFSET($A59,-MOD(ROW()-1,3),0)&lt;=9,0.6,1),0)</f>
        <v>11</v>
      </c>
      <c r="K59" s="1">
        <f ca="1">ROUND(OFFSET('#现网数据参考'!$A$1,MATCH(OFFSET($A59,-MOD(ROW()-1,3),0),'#现网数据参考'!$A:$A,0)-1,MATCH(K$2&amp;$E59,'#现网数据参考'!$3:$3,0)-1)*IF(OFFSET($A59,-MOD(ROW()-1,3),0)&lt;=9,0.6,1),0)</f>
        <v>25</v>
      </c>
      <c r="L59" s="1">
        <f ca="1">ROUND(OFFSET('#现网数据参考'!$A$1,MATCH(OFFSET($A59,-MOD(ROW()-1,3),0),'#现网数据参考'!$A:$A,0)-1,MATCH(L$2&amp;$E59,'#现网数据参考'!$3:$3,0)-1),0)</f>
        <v>4</v>
      </c>
    </row>
    <row r="60" spans="1:12" ht="20.149999999999999" customHeight="1" x14ac:dyDescent="0.35">
      <c r="B60" s="1" t="str">
        <f>IF($A60="","",ROUND(_xlfn.XLOOKUP($A60,'#现网数据参考'!$A:$A,'#现网数据参考'!G:G)*IF($A60&lt;=9,0.5,1),0))</f>
        <v/>
      </c>
      <c r="C60" s="1" t="str">
        <f>IF($A60="","",ROUND(_xlfn.XLOOKUP($A60,'#现网数据参考'!$A:$A,'#现网数据参考'!P:P),0))</f>
        <v/>
      </c>
      <c r="D60" s="1">
        <v>3</v>
      </c>
      <c r="E60" s="1">
        <v>60</v>
      </c>
      <c r="F60" s="1">
        <f ca="1">ROUND(OFFSET('#现网数据参考'!$A$1,MATCH(OFFSET($A60,-MOD(ROW()-1,3),0),'#现网数据参考'!$A:$A,0)-1,MATCH(F$2&amp;$E60,'#现网数据参考'!$3:$3,0)-1)*IF(OFFSET($A60,-MOD(ROW()-1,3),0)&lt;=9,0.6,1),0)</f>
        <v>52</v>
      </c>
      <c r="G60" s="31">
        <f ca="1">_xlfn.XLOOKUP(OFFSET($A60,-MOD(ROW()-1,3),0),'#出征索引'!A:A,'#出征索引'!B:B)+_xlfn.XLOOKUP(OFFSET($A60,-MOD(ROW()-1,3),0),'#出征索引'!A:A,'#出征索引'!C:C)*_xlfn.XLOOKUP(F60,'#出征索引'!E:E,'#出征索引'!F:F)</f>
        <v>45800</v>
      </c>
      <c r="H60" s="1">
        <f ca="1">ROUND(OFFSET('#现网数据参考'!$A$1,MATCH(OFFSET($A60,-MOD(ROW()-1,3),0),'#现网数据参考'!$A:$A,0)-1,MATCH(H$2&amp;$E60,'#现网数据参考'!$3:$3,0)-1)*IF(OFFSET($A60,-MOD(ROW()-1,3),0)&lt;=9,0.6,1),0)</f>
        <v>48</v>
      </c>
      <c r="I60" s="1">
        <f ca="1">ROUND(OFFSET('#现网数据参考'!$A$1,MATCH(OFFSET($A60,-MOD(ROW()-1,3),0),'#现网数据参考'!$A:$A,0)-1,MATCH(I$2&amp;$E60,'#现网数据参考'!$3:$3,0)-1)*IF(OFFSET($A60,-MOD(ROW()-1,3),0)&lt;=9,0.6,1),0)</f>
        <v>17</v>
      </c>
      <c r="J60" s="1">
        <f ca="1">ROUND(OFFSET('#现网数据参考'!$A$1,MATCH(OFFSET($A60,-MOD(ROW()-1,3),0),'#现网数据参考'!$A:$A,0)-1,MATCH(J$2&amp;$E60,'#现网数据参考'!$3:$3,0)-1)*IF(OFFSET($A60,-MOD(ROW()-1,3),0)&lt;=9,0.6,1),0)</f>
        <v>13</v>
      </c>
      <c r="K60" s="1">
        <f ca="1">ROUND(OFFSET('#现网数据参考'!$A$1,MATCH(OFFSET($A60,-MOD(ROW()-1,3),0),'#现网数据参考'!$A:$A,0)-1,MATCH(K$2&amp;$E60,'#现网数据参考'!$3:$3,0)-1)*IF(OFFSET($A60,-MOD(ROW()-1,3),0)&lt;=9,0.6,1),0)</f>
        <v>35</v>
      </c>
      <c r="L60" s="1">
        <f ca="1">ROUND(OFFSET('#现网数据参考'!$A$1,MATCH(OFFSET($A60,-MOD(ROW()-1,3),0),'#现网数据参考'!$A:$A,0)-1,MATCH(L$2&amp;$E60,'#现网数据参考'!$3:$3,0)-1),0)</f>
        <v>5</v>
      </c>
    </row>
    <row r="61" spans="1:12" ht="20.149999999999999" customHeight="1" x14ac:dyDescent="0.35">
      <c r="A61" s="1">
        <v>20</v>
      </c>
      <c r="B61" s="1">
        <f>IF($A61="","",ROUND(_xlfn.XLOOKUP($A61,'#现网数据参考'!$A:$A,'#现网数据参考'!G:G)*IF($A61&lt;=9,0.5,1),0))</f>
        <v>2740516</v>
      </c>
      <c r="C61" s="1">
        <f>IF($A61="","",ROUND(_xlfn.XLOOKUP($A61,'#现网数据参考'!$A:$A,'#现网数据参考'!P:P),0))</f>
        <v>4</v>
      </c>
      <c r="D61" s="1">
        <v>1</v>
      </c>
      <c r="E61" s="1">
        <v>20</v>
      </c>
      <c r="F61" s="1">
        <f ca="1">ROUND(OFFSET('#现网数据参考'!$A$1,MATCH(OFFSET($A61,-MOD(ROW()-1,3),0),'#现网数据参考'!$A:$A,0)-1,MATCH(F$2&amp;$E61,'#现网数据参考'!$3:$3,0)-1)*IF(OFFSET($A61,-MOD(ROW()-1,3),0)&lt;=9,0.6,1),0)</f>
        <v>42</v>
      </c>
      <c r="G61" s="31">
        <f ca="1">_xlfn.XLOOKUP(OFFSET($A61,-MOD(ROW()-1,3),0),'#出征索引'!A:A,'#出征索引'!B:B)+_xlfn.XLOOKUP(OFFSET($A61,-MOD(ROW()-1,3),0),'#出征索引'!A:A,'#出征索引'!C:C)*_xlfn.XLOOKUP(F61,'#出征索引'!E:E,'#出征索引'!F:F)</f>
        <v>41800</v>
      </c>
      <c r="H61" s="1">
        <f ca="1">ROUND(OFFSET('#现网数据参考'!$A$1,MATCH(OFFSET($A61,-MOD(ROW()-1,3),0),'#现网数据参考'!$A:$A,0)-1,MATCH(H$2&amp;$E61,'#现网数据参考'!$3:$3,0)-1)*IF(OFFSET($A61,-MOD(ROW()-1,3),0)&lt;=9,0.6,1),0)</f>
        <v>45</v>
      </c>
      <c r="I61" s="1">
        <f ca="1">ROUND(OFFSET('#现网数据参考'!$A$1,MATCH(OFFSET($A61,-MOD(ROW()-1,3),0),'#现网数据参考'!$A:$A,0)-1,MATCH(I$2&amp;$E61,'#现网数据参考'!$3:$3,0)-1)*IF(OFFSET($A61,-MOD(ROW()-1,3),0)&lt;=9,0.6,1),0)</f>
        <v>14</v>
      </c>
      <c r="J61" s="1">
        <f ca="1">ROUND(OFFSET('#现网数据参考'!$A$1,MATCH(OFFSET($A61,-MOD(ROW()-1,3),0),'#现网数据参考'!$A:$A,0)-1,MATCH(J$2&amp;$E61,'#现网数据参考'!$3:$3,0)-1)*IF(OFFSET($A61,-MOD(ROW()-1,3),0)&lt;=9,0.6,1),0)</f>
        <v>10</v>
      </c>
      <c r="K61" s="1">
        <f ca="1">ROUND(OFFSET('#现网数据参考'!$A$1,MATCH(OFFSET($A61,-MOD(ROW()-1,3),0),'#现网数据参考'!$A:$A,0)-1,MATCH(K$2&amp;$E61,'#现网数据参考'!$3:$3,0)-1)*IF(OFFSET($A61,-MOD(ROW()-1,3),0)&lt;=9,0.6,1),0)</f>
        <v>21</v>
      </c>
      <c r="L61" s="1">
        <f ca="1">ROUND(OFFSET('#现网数据参考'!$A$1,MATCH(OFFSET($A61,-MOD(ROW()-1,3),0),'#现网数据参考'!$A:$A,0)-1,MATCH(L$2&amp;$E61,'#现网数据参考'!$3:$3,0)-1),0)</f>
        <v>4</v>
      </c>
    </row>
    <row r="62" spans="1:12" ht="20.149999999999999" customHeight="1" x14ac:dyDescent="0.35">
      <c r="B62" s="1" t="str">
        <f>IF($A62="","",ROUND(_xlfn.XLOOKUP($A62,'#现网数据参考'!$A:$A,'#现网数据参考'!G:G)*IF($A62&lt;=9,0.5,1),0))</f>
        <v/>
      </c>
      <c r="C62" s="1" t="str">
        <f>IF($A62="","",ROUND(_xlfn.XLOOKUP($A62,'#现网数据参考'!$A:$A,'#现网数据参考'!P:P),0))</f>
        <v/>
      </c>
      <c r="D62" s="1">
        <v>2</v>
      </c>
      <c r="E62" s="1">
        <v>40</v>
      </c>
      <c r="F62" s="1">
        <f ca="1">ROUND(OFFSET('#现网数据参考'!$A$1,MATCH(OFFSET($A62,-MOD(ROW()-1,3),0),'#现网数据参考'!$A:$A,0)-1,MATCH(F$2&amp;$E62,'#现网数据参考'!$3:$3,0)-1)*IF(OFFSET($A62,-MOD(ROW()-1,3),0)&lt;=9,0.6,1),0)</f>
        <v>51</v>
      </c>
      <c r="G62" s="31">
        <f ca="1">_xlfn.XLOOKUP(OFFSET($A62,-MOD(ROW()-1,3),0),'#出征索引'!A:A,'#出征索引'!B:B)+_xlfn.XLOOKUP(OFFSET($A62,-MOD(ROW()-1,3),0),'#出征索引'!A:A,'#出征索引'!C:C)*_xlfn.XLOOKUP(F62,'#出征索引'!E:E,'#出征索引'!F:F)</f>
        <v>47200</v>
      </c>
      <c r="H62" s="1">
        <f ca="1">ROUND(OFFSET('#现网数据参考'!$A$1,MATCH(OFFSET($A62,-MOD(ROW()-1,3),0),'#现网数据参考'!$A:$A,0)-1,MATCH(H$2&amp;$E62,'#现网数据参考'!$3:$3,0)-1)*IF(OFFSET($A62,-MOD(ROW()-1,3),0)&lt;=9,0.6,1),0)</f>
        <v>48</v>
      </c>
      <c r="I62" s="1">
        <f ca="1">ROUND(OFFSET('#现网数据参考'!$A$1,MATCH(OFFSET($A62,-MOD(ROW()-1,3),0),'#现网数据参考'!$A:$A,0)-1,MATCH(I$2&amp;$E62,'#现网数据参考'!$3:$3,0)-1)*IF(OFFSET($A62,-MOD(ROW()-1,3),0)&lt;=9,0.6,1),0)</f>
        <v>16</v>
      </c>
      <c r="J62" s="1">
        <f ca="1">ROUND(OFFSET('#现网数据参考'!$A$1,MATCH(OFFSET($A62,-MOD(ROW()-1,3),0),'#现网数据参考'!$A:$A,0)-1,MATCH(J$2&amp;$E62,'#现网数据参考'!$3:$3,0)-1)*IF(OFFSET($A62,-MOD(ROW()-1,3),0)&lt;=9,0.6,1),0)</f>
        <v>12</v>
      </c>
      <c r="K62" s="1">
        <f ca="1">ROUND(OFFSET('#现网数据参考'!$A$1,MATCH(OFFSET($A62,-MOD(ROW()-1,3),0),'#现网数据参考'!$A:$A,0)-1,MATCH(K$2&amp;$E62,'#现网数据参考'!$3:$3,0)-1)*IF(OFFSET($A62,-MOD(ROW()-1,3),0)&lt;=9,0.6,1),0)</f>
        <v>34</v>
      </c>
      <c r="L62" s="1">
        <f ca="1">ROUND(OFFSET('#现网数据参考'!$A$1,MATCH(OFFSET($A62,-MOD(ROW()-1,3),0),'#现网数据参考'!$A:$A,0)-1,MATCH(L$2&amp;$E62,'#现网数据参考'!$3:$3,0)-1),0)</f>
        <v>4</v>
      </c>
    </row>
    <row r="63" spans="1:12" ht="20.149999999999999" customHeight="1" x14ac:dyDescent="0.35">
      <c r="B63" s="1" t="str">
        <f>IF($A63="","",ROUND(_xlfn.XLOOKUP($A63,'#现网数据参考'!$A:$A,'#现网数据参考'!G:G)*IF($A63&lt;=9,0.5,1),0))</f>
        <v/>
      </c>
      <c r="C63" s="1" t="str">
        <f>IF($A63="","",ROUND(_xlfn.XLOOKUP($A63,'#现网数据参考'!$A:$A,'#现网数据参考'!P:P),0))</f>
        <v/>
      </c>
      <c r="D63" s="1">
        <v>3</v>
      </c>
      <c r="E63" s="1">
        <v>60</v>
      </c>
      <c r="F63" s="1">
        <f ca="1">ROUND(OFFSET('#现网数据参考'!$A$1,MATCH(OFFSET($A63,-MOD(ROW()-1,3),0),'#现网数据参考'!$A:$A,0)-1,MATCH(F$2&amp;$E63,'#现网数据参考'!$3:$3,0)-1)*IF(OFFSET($A63,-MOD(ROW()-1,3),0)&lt;=9,0.6,1),0)</f>
        <v>58</v>
      </c>
      <c r="G63" s="31">
        <f ca="1">_xlfn.XLOOKUP(OFFSET($A63,-MOD(ROW()-1,3),0),'#出征索引'!A:A,'#出征索引'!B:B)+_xlfn.XLOOKUP(OFFSET($A63,-MOD(ROW()-1,3),0),'#出征索引'!A:A,'#出征索引'!C:C)*_xlfn.XLOOKUP(F63,'#出征索引'!E:E,'#出征索引'!F:F)</f>
        <v>51400</v>
      </c>
      <c r="H63" s="1">
        <f ca="1">ROUND(OFFSET('#现网数据参考'!$A$1,MATCH(OFFSET($A63,-MOD(ROW()-1,3),0),'#现网数据参考'!$A:$A,0)-1,MATCH(H$2&amp;$E63,'#现网数据参考'!$3:$3,0)-1)*IF(OFFSET($A63,-MOD(ROW()-1,3),0)&lt;=9,0.6,1),0)</f>
        <v>50</v>
      </c>
      <c r="I63" s="1">
        <f ca="1">ROUND(OFFSET('#现网数据参考'!$A$1,MATCH(OFFSET($A63,-MOD(ROW()-1,3),0),'#现网数据参考'!$A:$A,0)-1,MATCH(I$2&amp;$E63,'#现网数据参考'!$3:$3,0)-1)*IF(OFFSET($A63,-MOD(ROW()-1,3),0)&lt;=9,0.6,1),0)</f>
        <v>18</v>
      </c>
      <c r="J63" s="1">
        <f ca="1">ROUND(OFFSET('#现网数据参考'!$A$1,MATCH(OFFSET($A63,-MOD(ROW()-1,3),0),'#现网数据参考'!$A:$A,0)-1,MATCH(J$2&amp;$E63,'#现网数据参考'!$3:$3,0)-1)*IF(OFFSET($A63,-MOD(ROW()-1,3),0)&lt;=9,0.6,1),0)</f>
        <v>13</v>
      </c>
      <c r="K63" s="1">
        <f ca="1">ROUND(OFFSET('#现网数据参考'!$A$1,MATCH(OFFSET($A63,-MOD(ROW()-1,3),0),'#现网数据参考'!$A:$A,0)-1,MATCH(K$2&amp;$E63,'#现网数据参考'!$3:$3,0)-1)*IF(OFFSET($A63,-MOD(ROW()-1,3),0)&lt;=9,0.6,1),0)</f>
        <v>45</v>
      </c>
      <c r="L63" s="1">
        <f ca="1">ROUND(OFFSET('#现网数据参考'!$A$1,MATCH(OFFSET($A63,-MOD(ROW()-1,3),0),'#现网数据参考'!$A:$A,0)-1,MATCH(L$2&amp;$E63,'#现网数据参考'!$3:$3,0)-1),0)</f>
        <v>5</v>
      </c>
    </row>
    <row r="64" spans="1:12" ht="20.149999999999999" customHeight="1" x14ac:dyDescent="0.35">
      <c r="A64" s="1">
        <v>21</v>
      </c>
      <c r="B64" s="1">
        <f>IF($A64="","",ROUND(_xlfn.XLOOKUP($A64,'#现网数据参考'!$A:$A,'#现网数据参考'!G:G)*IF($A64&lt;=9,0.5,1),0))</f>
        <v>3462504</v>
      </c>
      <c r="C64" s="1">
        <f>IF($A64="","",ROUND(_xlfn.XLOOKUP($A64,'#现网数据参考'!$A:$A,'#现网数据参考'!P:P),0))</f>
        <v>4</v>
      </c>
      <c r="D64" s="1">
        <v>1</v>
      </c>
      <c r="E64" s="1">
        <v>20</v>
      </c>
      <c r="F64" s="1">
        <f ca="1">ROUND(OFFSET('#现网数据参考'!$A$1,MATCH(OFFSET($A64,-MOD(ROW()-1,3),0),'#现网数据参考'!$A:$A,0)-1,MATCH(F$2&amp;$E64,'#现网数据参考'!$3:$3,0)-1)*IF(OFFSET($A64,-MOD(ROW()-1,3),0)&lt;=9,0.6,1),0)</f>
        <v>49</v>
      </c>
      <c r="G64" s="31">
        <f ca="1">_xlfn.XLOOKUP(OFFSET($A64,-MOD(ROW()-1,3),0),'#出征索引'!A:A,'#出征索引'!B:B)+_xlfn.XLOOKUP(OFFSET($A64,-MOD(ROW()-1,3),0),'#出征索引'!A:A,'#出征索引'!C:C)*_xlfn.XLOOKUP(F64,'#出征索引'!E:E,'#出征索引'!F:F)</f>
        <v>48000</v>
      </c>
      <c r="H64" s="1">
        <f ca="1">ROUND(OFFSET('#现网数据参考'!$A$1,MATCH(OFFSET($A64,-MOD(ROW()-1,3),0),'#现网数据参考'!$A:$A,0)-1,MATCH(H$2&amp;$E64,'#现网数据参考'!$3:$3,0)-1)*IF(OFFSET($A64,-MOD(ROW()-1,3),0)&lt;=9,0.6,1),0)</f>
        <v>47</v>
      </c>
      <c r="I64" s="1">
        <f ca="1">ROUND(OFFSET('#现网数据参考'!$A$1,MATCH(OFFSET($A64,-MOD(ROW()-1,3),0),'#现网数据参考'!$A:$A,0)-1,MATCH(I$2&amp;$E64,'#现网数据参考'!$3:$3,0)-1)*IF(OFFSET($A64,-MOD(ROW()-1,3),0)&lt;=9,0.6,1),0)</f>
        <v>15</v>
      </c>
      <c r="J64" s="1">
        <f ca="1">ROUND(OFFSET('#现网数据参考'!$A$1,MATCH(OFFSET($A64,-MOD(ROW()-1,3),0),'#现网数据参考'!$A:$A,0)-1,MATCH(J$2&amp;$E64,'#现网数据参考'!$3:$3,0)-1)*IF(OFFSET($A64,-MOD(ROW()-1,3),0)&lt;=9,0.6,1),0)</f>
        <v>11</v>
      </c>
      <c r="K64" s="1">
        <f ca="1">ROUND(OFFSET('#现网数据参考'!$A$1,MATCH(OFFSET($A64,-MOD(ROW()-1,3),0),'#现网数据参考'!$A:$A,0)-1,MATCH(K$2&amp;$E64,'#现网数据参考'!$3:$3,0)-1)*IF(OFFSET($A64,-MOD(ROW()-1,3),0)&lt;=9,0.6,1),0)</f>
        <v>29</v>
      </c>
      <c r="L64" s="1">
        <f ca="1">ROUND(OFFSET('#现网数据参考'!$A$1,MATCH(OFFSET($A64,-MOD(ROW()-1,3),0),'#现网数据参考'!$A:$A,0)-1,MATCH(L$2&amp;$E64,'#现网数据参考'!$3:$3,0)-1),0)</f>
        <v>4</v>
      </c>
    </row>
    <row r="65" spans="1:12" ht="20.149999999999999" customHeight="1" x14ac:dyDescent="0.35">
      <c r="B65" s="1" t="str">
        <f>IF($A65="","",ROUND(_xlfn.XLOOKUP($A65,'#现网数据参考'!$A:$A,'#现网数据参考'!G:G)*IF($A65&lt;=9,0.5,1),0))</f>
        <v/>
      </c>
      <c r="C65" s="1" t="str">
        <f>IF($A65="","",ROUND(_xlfn.XLOOKUP($A65,'#现网数据参考'!$A:$A,'#现网数据参考'!P:P),0))</f>
        <v/>
      </c>
      <c r="D65" s="1">
        <v>2</v>
      </c>
      <c r="E65" s="1">
        <v>40</v>
      </c>
      <c r="F65" s="1">
        <f ca="1">ROUND(OFFSET('#现网数据参考'!$A$1,MATCH(OFFSET($A65,-MOD(ROW()-1,3),0),'#现网数据参考'!$A:$A,0)-1,MATCH(F$2&amp;$E65,'#现网数据参考'!$3:$3,0)-1)*IF(OFFSET($A65,-MOD(ROW()-1,3),0)&lt;=9,0.6,1),0)</f>
        <v>57</v>
      </c>
      <c r="G65" s="31">
        <f ca="1">_xlfn.XLOOKUP(OFFSET($A65,-MOD(ROW()-1,3),0),'#出征索引'!A:A,'#出征索引'!B:B)+_xlfn.XLOOKUP(OFFSET($A65,-MOD(ROW()-1,3),0),'#出征索引'!A:A,'#出征索引'!C:C)*_xlfn.XLOOKUP(F65,'#出征索引'!E:E,'#出征索引'!F:F)</f>
        <v>52800</v>
      </c>
      <c r="H65" s="1">
        <f ca="1">ROUND(OFFSET('#现网数据参考'!$A$1,MATCH(OFFSET($A65,-MOD(ROW()-1,3),0),'#现网数据参考'!$A:$A,0)-1,MATCH(H$2&amp;$E65,'#现网数据参考'!$3:$3,0)-1)*IF(OFFSET($A65,-MOD(ROW()-1,3),0)&lt;=9,0.6,1),0)</f>
        <v>50</v>
      </c>
      <c r="I65" s="1">
        <f ca="1">ROUND(OFFSET('#现网数据参考'!$A$1,MATCH(OFFSET($A65,-MOD(ROW()-1,3),0),'#现网数据参考'!$A:$A,0)-1,MATCH(I$2&amp;$E65,'#现网数据参考'!$3:$3,0)-1)*IF(OFFSET($A65,-MOD(ROW()-1,3),0)&lt;=9,0.6,1),0)</f>
        <v>17</v>
      </c>
      <c r="J65" s="1">
        <f ca="1">ROUND(OFFSET('#现网数据参考'!$A$1,MATCH(OFFSET($A65,-MOD(ROW()-1,3),0),'#现网数据参考'!$A:$A,0)-1,MATCH(J$2&amp;$E65,'#现网数据参考'!$3:$3,0)-1)*IF(OFFSET($A65,-MOD(ROW()-1,3),0)&lt;=9,0.6,1),0)</f>
        <v>13</v>
      </c>
      <c r="K65" s="1">
        <f ca="1">ROUND(OFFSET('#现网数据参考'!$A$1,MATCH(OFFSET($A65,-MOD(ROW()-1,3),0),'#现网数据参考'!$A:$A,0)-1,MATCH(K$2&amp;$E65,'#现网数据参考'!$3:$3,0)-1)*IF(OFFSET($A65,-MOD(ROW()-1,3),0)&lt;=9,0.6,1),0)</f>
        <v>43</v>
      </c>
      <c r="L65" s="1">
        <f ca="1">ROUND(OFFSET('#现网数据参考'!$A$1,MATCH(OFFSET($A65,-MOD(ROW()-1,3),0),'#现网数据参考'!$A:$A,0)-1,MATCH(L$2&amp;$E65,'#现网数据参考'!$3:$3,0)-1),0)</f>
        <v>4</v>
      </c>
    </row>
    <row r="66" spans="1:12" ht="20.149999999999999" customHeight="1" x14ac:dyDescent="0.35">
      <c r="B66" s="1" t="str">
        <f>IF($A66="","",ROUND(_xlfn.XLOOKUP($A66,'#现网数据参考'!$A:$A,'#现网数据参考'!G:G)*IF($A66&lt;=9,0.5,1),0))</f>
        <v/>
      </c>
      <c r="C66" s="1" t="str">
        <f>IF($A66="","",ROUND(_xlfn.XLOOKUP($A66,'#现网数据参考'!$A:$A,'#现网数据参考'!P:P),0))</f>
        <v/>
      </c>
      <c r="D66" s="1">
        <v>3</v>
      </c>
      <c r="E66" s="1">
        <v>60</v>
      </c>
      <c r="F66" s="1">
        <f ca="1">ROUND(OFFSET('#现网数据参考'!$A$1,MATCH(OFFSET($A66,-MOD(ROW()-1,3),0),'#现网数据参考'!$A:$A,0)-1,MATCH(F$2&amp;$E66,'#现网数据参考'!$3:$3,0)-1)*IF(OFFSET($A66,-MOD(ROW()-1,3),0)&lt;=9,0.6,1),0)</f>
        <v>64</v>
      </c>
      <c r="G66" s="31">
        <f ca="1">_xlfn.XLOOKUP(OFFSET($A66,-MOD(ROW()-1,3),0),'#出征索引'!A:A,'#出征索引'!B:B)+_xlfn.XLOOKUP(OFFSET($A66,-MOD(ROW()-1,3),0),'#出征索引'!A:A,'#出征索引'!C:C)*_xlfn.XLOOKUP(F66,'#出征索引'!E:E,'#出征索引'!F:F)</f>
        <v>57000</v>
      </c>
      <c r="H66" s="1">
        <f ca="1">ROUND(OFFSET('#现网数据参考'!$A$1,MATCH(OFFSET($A66,-MOD(ROW()-1,3),0),'#现网数据参考'!$A:$A,0)-1,MATCH(H$2&amp;$E66,'#现网数据参考'!$3:$3,0)-1)*IF(OFFSET($A66,-MOD(ROW()-1,3),0)&lt;=9,0.6,1),0)</f>
        <v>52</v>
      </c>
      <c r="I66" s="1">
        <f ca="1">ROUND(OFFSET('#现网数据参考'!$A$1,MATCH(OFFSET($A66,-MOD(ROW()-1,3),0),'#现网数据参考'!$A:$A,0)-1,MATCH(I$2&amp;$E66,'#现网数据参考'!$3:$3,0)-1)*IF(OFFSET($A66,-MOD(ROW()-1,3),0)&lt;=9,0.6,1),0)</f>
        <v>18</v>
      </c>
      <c r="J66" s="1">
        <f ca="1">ROUND(OFFSET('#现网数据参考'!$A$1,MATCH(OFFSET($A66,-MOD(ROW()-1,3),0),'#现网数据参考'!$A:$A,0)-1,MATCH(J$2&amp;$E66,'#现网数据参考'!$3:$3,0)-1)*IF(OFFSET($A66,-MOD(ROW()-1,3),0)&lt;=9,0.6,1),0)</f>
        <v>15</v>
      </c>
      <c r="K66" s="1">
        <f ca="1">ROUND(OFFSET('#现网数据参考'!$A$1,MATCH(OFFSET($A66,-MOD(ROW()-1,3),0),'#现网数据参考'!$A:$A,0)-1,MATCH(K$2&amp;$E66,'#现网数据参考'!$3:$3,0)-1)*IF(OFFSET($A66,-MOD(ROW()-1,3),0)&lt;=9,0.6,1),0)</f>
        <v>53</v>
      </c>
      <c r="L66" s="1">
        <f ca="1">ROUND(OFFSET('#现网数据参考'!$A$1,MATCH(OFFSET($A66,-MOD(ROW()-1,3),0),'#现网数据参考'!$A:$A,0)-1,MATCH(L$2&amp;$E66,'#现网数据参考'!$3:$3,0)-1),0)</f>
        <v>5</v>
      </c>
    </row>
    <row r="67" spans="1:12" ht="20.149999999999999" customHeight="1" x14ac:dyDescent="0.35">
      <c r="A67" s="1">
        <v>22</v>
      </c>
      <c r="B67" s="1">
        <f>IF($A67="","",ROUND(_xlfn.XLOOKUP($A67,'#现网数据参考'!$A:$A,'#现网数据参考'!G:G)*IF($A67&lt;=9,0.5,1),0))</f>
        <v>4310231</v>
      </c>
      <c r="C67" s="1">
        <f>IF($A67="","",ROUND(_xlfn.XLOOKUP($A67,'#现网数据参考'!$A:$A,'#现网数据参考'!P:P),0))</f>
        <v>4</v>
      </c>
      <c r="D67" s="1">
        <v>1</v>
      </c>
      <c r="E67" s="1">
        <v>20</v>
      </c>
      <c r="F67" s="1">
        <f ca="1">ROUND(OFFSET('#现网数据参考'!$A$1,MATCH(OFFSET($A67,-MOD(ROW()-1,3),0),'#现网数据参考'!$A:$A,0)-1,MATCH(F$2&amp;$E67,'#现网数据参考'!$3:$3,0)-1)*IF(OFFSET($A67,-MOD(ROW()-1,3),0)&lt;=9,0.6,1),0)</f>
        <v>56</v>
      </c>
      <c r="G67" s="31">
        <f ca="1">_xlfn.XLOOKUP(OFFSET($A67,-MOD(ROW()-1,3),0),'#出征索引'!A:A,'#出征索引'!B:B)+_xlfn.XLOOKUP(OFFSET($A67,-MOD(ROW()-1,3),0),'#出征索引'!A:A,'#出征索引'!C:C)*_xlfn.XLOOKUP(F67,'#出征索引'!E:E,'#出征索引'!F:F)</f>
        <v>54200</v>
      </c>
      <c r="H67" s="1">
        <f ca="1">ROUND(OFFSET('#现网数据参考'!$A$1,MATCH(OFFSET($A67,-MOD(ROW()-1,3),0),'#现网数据参考'!$A:$A,0)-1,MATCH(H$2&amp;$E67,'#现网数据参考'!$3:$3,0)-1)*IF(OFFSET($A67,-MOD(ROW()-1,3),0)&lt;=9,0.6,1),0)</f>
        <v>49</v>
      </c>
      <c r="I67" s="1">
        <f ca="1">ROUND(OFFSET('#现网数据参考'!$A$1,MATCH(OFFSET($A67,-MOD(ROW()-1,3),0),'#现网数据参考'!$A:$A,0)-1,MATCH(I$2&amp;$E67,'#现网数据参考'!$3:$3,0)-1)*IF(OFFSET($A67,-MOD(ROW()-1,3),0)&lt;=9,0.6,1),0)</f>
        <v>16</v>
      </c>
      <c r="J67" s="1">
        <f ca="1">ROUND(OFFSET('#现网数据参考'!$A$1,MATCH(OFFSET($A67,-MOD(ROW()-1,3),0),'#现网数据参考'!$A:$A,0)-1,MATCH(J$2&amp;$E67,'#现网数据参考'!$3:$3,0)-1)*IF(OFFSET($A67,-MOD(ROW()-1,3),0)&lt;=9,0.6,1),0)</f>
        <v>12</v>
      </c>
      <c r="K67" s="1">
        <f ca="1">ROUND(OFFSET('#现网数据参考'!$A$1,MATCH(OFFSET($A67,-MOD(ROW()-1,3),0),'#现网数据参考'!$A:$A,0)-1,MATCH(K$2&amp;$E67,'#现网数据参考'!$3:$3,0)-1)*IF(OFFSET($A67,-MOD(ROW()-1,3),0)&lt;=9,0.6,1),0)</f>
        <v>37</v>
      </c>
      <c r="L67" s="1">
        <f ca="1">ROUND(OFFSET('#现网数据参考'!$A$1,MATCH(OFFSET($A67,-MOD(ROW()-1,3),0),'#现网数据参考'!$A:$A,0)-1,MATCH(L$2&amp;$E67,'#现网数据参考'!$3:$3,0)-1),0)</f>
        <v>4</v>
      </c>
    </row>
    <row r="68" spans="1:12" ht="20.149999999999999" customHeight="1" x14ac:dyDescent="0.35">
      <c r="B68" s="1" t="str">
        <f>IF($A68="","",ROUND(_xlfn.XLOOKUP($A68,'#现网数据参考'!$A:$A,'#现网数据参考'!G:G)*IF($A68&lt;=9,0.5,1),0))</f>
        <v/>
      </c>
      <c r="C68" s="1" t="str">
        <f>IF($A68="","",ROUND(_xlfn.XLOOKUP($A68,'#现网数据参考'!$A:$A,'#现网数据参考'!P:P),0))</f>
        <v/>
      </c>
      <c r="D68" s="1">
        <v>2</v>
      </c>
      <c r="E68" s="1">
        <v>40</v>
      </c>
      <c r="F68" s="1">
        <f ca="1">ROUND(OFFSET('#现网数据参考'!$A$1,MATCH(OFFSET($A68,-MOD(ROW()-1,3),0),'#现网数据参考'!$A:$A,0)-1,MATCH(F$2&amp;$E68,'#现网数据参考'!$3:$3,0)-1)*IF(OFFSET($A68,-MOD(ROW()-1,3),0)&lt;=9,0.6,1),0)</f>
        <v>64</v>
      </c>
      <c r="G68" s="31">
        <f ca="1">_xlfn.XLOOKUP(OFFSET($A68,-MOD(ROW()-1,3),0),'#出征索引'!A:A,'#出征索引'!B:B)+_xlfn.XLOOKUP(OFFSET($A68,-MOD(ROW()-1,3),0),'#出征索引'!A:A,'#出征索引'!C:C)*_xlfn.XLOOKUP(F68,'#出征索引'!E:E,'#出征索引'!F:F)</f>
        <v>59000</v>
      </c>
      <c r="H68" s="1">
        <f ca="1">ROUND(OFFSET('#现网数据参考'!$A$1,MATCH(OFFSET($A68,-MOD(ROW()-1,3),0),'#现网数据参考'!$A:$A,0)-1,MATCH(H$2&amp;$E68,'#现网数据参考'!$3:$3,0)-1)*IF(OFFSET($A68,-MOD(ROW()-1,3),0)&lt;=9,0.6,1),0)</f>
        <v>52</v>
      </c>
      <c r="I68" s="1">
        <f ca="1">ROUND(OFFSET('#现网数据参考'!$A$1,MATCH(OFFSET($A68,-MOD(ROW()-1,3),0),'#现网数据参考'!$A:$A,0)-1,MATCH(I$2&amp;$E68,'#现网数据参考'!$3:$3,0)-1)*IF(OFFSET($A68,-MOD(ROW()-1,3),0)&lt;=9,0.6,1),0)</f>
        <v>18</v>
      </c>
      <c r="J68" s="1">
        <f ca="1">ROUND(OFFSET('#现网数据参考'!$A$1,MATCH(OFFSET($A68,-MOD(ROW()-1,3),0),'#现网数据参考'!$A:$A,0)-1,MATCH(J$2&amp;$E68,'#现网数据参考'!$3:$3,0)-1)*IF(OFFSET($A68,-MOD(ROW()-1,3),0)&lt;=9,0.6,1),0)</f>
        <v>14</v>
      </c>
      <c r="K68" s="1">
        <f ca="1">ROUND(OFFSET('#现网数据参考'!$A$1,MATCH(OFFSET($A68,-MOD(ROW()-1,3),0),'#现网数据参考'!$A:$A,0)-1,MATCH(K$2&amp;$E68,'#现网数据参考'!$3:$3,0)-1)*IF(OFFSET($A68,-MOD(ROW()-1,3),0)&lt;=9,0.6,1),0)</f>
        <v>49</v>
      </c>
      <c r="L68" s="1">
        <f ca="1">ROUND(OFFSET('#现网数据参考'!$A$1,MATCH(OFFSET($A68,-MOD(ROW()-1,3),0),'#现网数据参考'!$A:$A,0)-1,MATCH(L$2&amp;$E68,'#现网数据参考'!$3:$3,0)-1),0)</f>
        <v>4</v>
      </c>
    </row>
    <row r="69" spans="1:12" ht="20.149999999999999" customHeight="1" x14ac:dyDescent="0.35">
      <c r="B69" s="1" t="str">
        <f>IF($A69="","",ROUND(_xlfn.XLOOKUP($A69,'#现网数据参考'!$A:$A,'#现网数据参考'!G:G)*IF($A69&lt;=9,0.5,1),0))</f>
        <v/>
      </c>
      <c r="C69" s="1" t="str">
        <f>IF($A69="","",ROUND(_xlfn.XLOOKUP($A69,'#现网数据参考'!$A:$A,'#现网数据参考'!P:P),0))</f>
        <v/>
      </c>
      <c r="D69" s="1">
        <v>3</v>
      </c>
      <c r="E69" s="1">
        <v>60</v>
      </c>
      <c r="F69" s="1">
        <f ca="1">ROUND(OFFSET('#现网数据参考'!$A$1,MATCH(OFFSET($A69,-MOD(ROW()-1,3),0),'#现网数据参考'!$A:$A,0)-1,MATCH(F$2&amp;$E69,'#现网数据参考'!$3:$3,0)-1)*IF(OFFSET($A69,-MOD(ROW()-1,3),0)&lt;=9,0.6,1),0)</f>
        <v>71</v>
      </c>
      <c r="G69" s="31">
        <f ca="1">_xlfn.XLOOKUP(OFFSET($A69,-MOD(ROW()-1,3),0),'#出征索引'!A:A,'#出征索引'!B:B)+_xlfn.XLOOKUP(OFFSET($A69,-MOD(ROW()-1,3),0),'#出征索引'!A:A,'#出征索引'!C:C)*_xlfn.XLOOKUP(F69,'#出征索引'!E:E,'#出征索引'!F:F)</f>
        <v>63200</v>
      </c>
      <c r="H69" s="1">
        <f ca="1">ROUND(OFFSET('#现网数据参考'!$A$1,MATCH(OFFSET($A69,-MOD(ROW()-1,3),0),'#现网数据参考'!$A:$A,0)-1,MATCH(H$2&amp;$E69,'#现网数据参考'!$3:$3,0)-1)*IF(OFFSET($A69,-MOD(ROW()-1,3),0)&lt;=9,0.6,1),0)</f>
        <v>54</v>
      </c>
      <c r="I69" s="1">
        <f ca="1">ROUND(OFFSET('#现网数据参考'!$A$1,MATCH(OFFSET($A69,-MOD(ROW()-1,3),0),'#现网数据参考'!$A:$A,0)-1,MATCH(I$2&amp;$E69,'#现网数据参考'!$3:$3,0)-1)*IF(OFFSET($A69,-MOD(ROW()-1,3),0)&lt;=9,0.6,1),0)</f>
        <v>19</v>
      </c>
      <c r="J69" s="1">
        <f ca="1">ROUND(OFFSET('#现网数据参考'!$A$1,MATCH(OFFSET($A69,-MOD(ROW()-1,3),0),'#现网数据参考'!$A:$A,0)-1,MATCH(J$2&amp;$E69,'#现网数据参考'!$3:$3,0)-1)*IF(OFFSET($A69,-MOD(ROW()-1,3),0)&lt;=9,0.6,1),0)</f>
        <v>16</v>
      </c>
      <c r="K69" s="1">
        <f ca="1">ROUND(OFFSET('#现网数据参考'!$A$1,MATCH(OFFSET($A69,-MOD(ROW()-1,3),0),'#现网数据参考'!$A:$A,0)-1,MATCH(K$2&amp;$E69,'#现网数据参考'!$3:$3,0)-1)*IF(OFFSET($A69,-MOD(ROW()-1,3),0)&lt;=9,0.6,1),0)</f>
        <v>58</v>
      </c>
      <c r="L69" s="1">
        <f ca="1">ROUND(OFFSET('#现网数据参考'!$A$1,MATCH(OFFSET($A69,-MOD(ROW()-1,3),0),'#现网数据参考'!$A:$A,0)-1,MATCH(L$2&amp;$E69,'#现网数据参考'!$3:$3,0)-1),0)</f>
        <v>5</v>
      </c>
    </row>
    <row r="70" spans="1:12" ht="20.149999999999999" customHeight="1" x14ac:dyDescent="0.35">
      <c r="A70" s="1">
        <v>23</v>
      </c>
      <c r="B70" s="1">
        <f>IF($A70="","",ROUND(_xlfn.XLOOKUP($A70,'#现网数据参考'!$A:$A,'#现网数据参考'!G:G)*IF($A70&lt;=9,0.5,1),0))</f>
        <v>5213232</v>
      </c>
      <c r="C70" s="1">
        <f>IF($A70="","",ROUND(_xlfn.XLOOKUP($A70,'#现网数据参考'!$A:$A,'#现网数据参考'!P:P),0))</f>
        <v>4</v>
      </c>
      <c r="D70" s="1">
        <v>1</v>
      </c>
      <c r="E70" s="1">
        <v>20</v>
      </c>
      <c r="F70" s="1">
        <f ca="1">ROUND(OFFSET('#现网数据参考'!$A$1,MATCH(OFFSET($A70,-MOD(ROW()-1,3),0),'#现网数据参考'!$A:$A,0)-1,MATCH(F$2&amp;$E70,'#现网数据参考'!$3:$3,0)-1)*IF(OFFSET($A70,-MOD(ROW()-1,3),0)&lt;=9,0.6,1),0)</f>
        <v>63</v>
      </c>
      <c r="G70" s="31">
        <f ca="1">_xlfn.XLOOKUP(OFFSET($A70,-MOD(ROW()-1,3),0),'#出征索引'!A:A,'#出征索引'!B:B)+_xlfn.XLOOKUP(OFFSET($A70,-MOD(ROW()-1,3),0),'#出征索引'!A:A,'#出征索引'!C:C)*_xlfn.XLOOKUP(F70,'#出征索引'!E:E,'#出征索引'!F:F)</f>
        <v>60400</v>
      </c>
      <c r="H70" s="1">
        <f ca="1">ROUND(OFFSET('#现网数据参考'!$A$1,MATCH(OFFSET($A70,-MOD(ROW()-1,3),0),'#现网数据参考'!$A:$A,0)-1,MATCH(H$2&amp;$E70,'#现网数据参考'!$3:$3,0)-1)*IF(OFFSET($A70,-MOD(ROW()-1,3),0)&lt;=9,0.6,1),0)</f>
        <v>51</v>
      </c>
      <c r="I70" s="1">
        <f ca="1">ROUND(OFFSET('#现网数据参考'!$A$1,MATCH(OFFSET($A70,-MOD(ROW()-1,3),0),'#现网数据参考'!$A:$A,0)-1,MATCH(I$2&amp;$E70,'#现网数据参考'!$3:$3,0)-1)*IF(OFFSET($A70,-MOD(ROW()-1,3),0)&lt;=9,0.6,1),0)</f>
        <v>16</v>
      </c>
      <c r="J70" s="1">
        <f ca="1">ROUND(OFFSET('#现网数据参考'!$A$1,MATCH(OFFSET($A70,-MOD(ROW()-1,3),0),'#现网数据参考'!$A:$A,0)-1,MATCH(J$2&amp;$E70,'#现网数据参考'!$3:$3,0)-1)*IF(OFFSET($A70,-MOD(ROW()-1,3),0)&lt;=9,0.6,1),0)</f>
        <v>14</v>
      </c>
      <c r="K70" s="1">
        <f ca="1">ROUND(OFFSET('#现网数据参考'!$A$1,MATCH(OFFSET($A70,-MOD(ROW()-1,3),0),'#现网数据参考'!$A:$A,0)-1,MATCH(K$2&amp;$E70,'#现网数据参考'!$3:$3,0)-1)*IF(OFFSET($A70,-MOD(ROW()-1,3),0)&lt;=9,0.6,1),0)</f>
        <v>43</v>
      </c>
      <c r="L70" s="1">
        <f ca="1">ROUND(OFFSET('#现网数据参考'!$A$1,MATCH(OFFSET($A70,-MOD(ROW()-1,3),0),'#现网数据参考'!$A:$A,0)-1,MATCH(L$2&amp;$E70,'#现网数据参考'!$3:$3,0)-1),0)</f>
        <v>4</v>
      </c>
    </row>
    <row r="71" spans="1:12" ht="20.149999999999999" customHeight="1" x14ac:dyDescent="0.35">
      <c r="B71" s="1" t="str">
        <f>IF($A71="","",ROUND(_xlfn.XLOOKUP($A71,'#现网数据参考'!$A:$A,'#现网数据参考'!G:G)*IF($A71&lt;=9,0.5,1),0))</f>
        <v/>
      </c>
      <c r="C71" s="1" t="str">
        <f>IF($A71="","",ROUND(_xlfn.XLOOKUP($A71,'#现网数据参考'!$A:$A,'#现网数据参考'!P:P),0))</f>
        <v/>
      </c>
      <c r="D71" s="1">
        <v>2</v>
      </c>
      <c r="E71" s="1">
        <v>40</v>
      </c>
      <c r="F71" s="1">
        <f ca="1">ROUND(OFFSET('#现网数据参考'!$A$1,MATCH(OFFSET($A71,-MOD(ROW()-1,3),0),'#现网数据参考'!$A:$A,0)-1,MATCH(F$2&amp;$E71,'#现网数据参考'!$3:$3,0)-1)*IF(OFFSET($A71,-MOD(ROW()-1,3),0)&lt;=9,0.6,1),0)</f>
        <v>71</v>
      </c>
      <c r="G71" s="31">
        <f ca="1">_xlfn.XLOOKUP(OFFSET($A71,-MOD(ROW()-1,3),0),'#出征索引'!A:A,'#出征索引'!B:B)+_xlfn.XLOOKUP(OFFSET($A71,-MOD(ROW()-1,3),0),'#出征索引'!A:A,'#出征索引'!C:C)*_xlfn.XLOOKUP(F71,'#出征索引'!E:E,'#出征索引'!F:F)</f>
        <v>65200</v>
      </c>
      <c r="H71" s="1">
        <f ca="1">ROUND(OFFSET('#现网数据参考'!$A$1,MATCH(OFFSET($A71,-MOD(ROW()-1,3),0),'#现网数据参考'!$A:$A,0)-1,MATCH(H$2&amp;$E71,'#现网数据参考'!$3:$3,0)-1)*IF(OFFSET($A71,-MOD(ROW()-1,3),0)&lt;=9,0.6,1),0)</f>
        <v>53</v>
      </c>
      <c r="I71" s="1">
        <f ca="1">ROUND(OFFSET('#现网数据参考'!$A$1,MATCH(OFFSET($A71,-MOD(ROW()-1,3),0),'#现网数据参考'!$A:$A,0)-1,MATCH(I$2&amp;$E71,'#现网数据参考'!$3:$3,0)-1)*IF(OFFSET($A71,-MOD(ROW()-1,3),0)&lt;=9,0.6,1),0)</f>
        <v>18</v>
      </c>
      <c r="J71" s="1">
        <f ca="1">ROUND(OFFSET('#现网数据参考'!$A$1,MATCH(OFFSET($A71,-MOD(ROW()-1,3),0),'#现网数据参考'!$A:$A,0)-1,MATCH(J$2&amp;$E71,'#现网数据参考'!$3:$3,0)-1)*IF(OFFSET($A71,-MOD(ROW()-1,3),0)&lt;=9,0.6,1),0)</f>
        <v>16</v>
      </c>
      <c r="K71" s="1">
        <f ca="1">ROUND(OFFSET('#现网数据参考'!$A$1,MATCH(OFFSET($A71,-MOD(ROW()-1,3),0),'#现网数据参考'!$A:$A,0)-1,MATCH(K$2&amp;$E71,'#现网数据参考'!$3:$3,0)-1)*IF(OFFSET($A71,-MOD(ROW()-1,3),0)&lt;=9,0.6,1),0)</f>
        <v>52</v>
      </c>
      <c r="L71" s="1">
        <f ca="1">ROUND(OFFSET('#现网数据参考'!$A$1,MATCH(OFFSET($A71,-MOD(ROW()-1,3),0),'#现网数据参考'!$A:$A,0)-1,MATCH(L$2&amp;$E71,'#现网数据参考'!$3:$3,0)-1),0)</f>
        <v>4</v>
      </c>
    </row>
    <row r="72" spans="1:12" ht="20.149999999999999" customHeight="1" x14ac:dyDescent="0.35">
      <c r="B72" s="1" t="str">
        <f>IF($A72="","",ROUND(_xlfn.XLOOKUP($A72,'#现网数据参考'!$A:$A,'#现网数据参考'!G:G)*IF($A72&lt;=9,0.5,1),0))</f>
        <v/>
      </c>
      <c r="C72" s="1" t="str">
        <f>IF($A72="","",ROUND(_xlfn.XLOOKUP($A72,'#现网数据参考'!$A:$A,'#现网数据参考'!P:P),0))</f>
        <v/>
      </c>
      <c r="D72" s="1">
        <v>3</v>
      </c>
      <c r="E72" s="1">
        <v>60</v>
      </c>
      <c r="F72" s="1">
        <f ca="1">ROUND(OFFSET('#现网数据参考'!$A$1,MATCH(OFFSET($A72,-MOD(ROW()-1,3),0),'#现网数据参考'!$A:$A,0)-1,MATCH(F$2&amp;$E72,'#现网数据参考'!$3:$3,0)-1)*IF(OFFSET($A72,-MOD(ROW()-1,3),0)&lt;=9,0.6,1),0)</f>
        <v>77</v>
      </c>
      <c r="G72" s="31">
        <f ca="1">_xlfn.XLOOKUP(OFFSET($A72,-MOD(ROW()-1,3),0),'#出征索引'!A:A,'#出征索引'!B:B)+_xlfn.XLOOKUP(OFFSET($A72,-MOD(ROW()-1,3),0),'#出征索引'!A:A,'#出征索引'!C:C)*_xlfn.XLOOKUP(F72,'#出征索引'!E:E,'#出征索引'!F:F)</f>
        <v>68800</v>
      </c>
      <c r="H72" s="1">
        <f ca="1">ROUND(OFFSET('#现网数据参考'!$A$1,MATCH(OFFSET($A72,-MOD(ROW()-1,3),0),'#现网数据参考'!$A:$A,0)-1,MATCH(H$2&amp;$E72,'#现网数据参考'!$3:$3,0)-1)*IF(OFFSET($A72,-MOD(ROW()-1,3),0)&lt;=9,0.6,1),0)</f>
        <v>56</v>
      </c>
      <c r="I72" s="1">
        <f ca="1">ROUND(OFFSET('#现网数据参考'!$A$1,MATCH(OFFSET($A72,-MOD(ROW()-1,3),0),'#现网数据参考'!$A:$A,0)-1,MATCH(I$2&amp;$E72,'#现网数据参考'!$3:$3,0)-1)*IF(OFFSET($A72,-MOD(ROW()-1,3),0)&lt;=9,0.6,1),0)</f>
        <v>19</v>
      </c>
      <c r="J72" s="1">
        <f ca="1">ROUND(OFFSET('#现网数据参考'!$A$1,MATCH(OFFSET($A72,-MOD(ROW()-1,3),0),'#现网数据参考'!$A:$A,0)-1,MATCH(J$2&amp;$E72,'#现网数据参考'!$3:$3,0)-1)*IF(OFFSET($A72,-MOD(ROW()-1,3),0)&lt;=9,0.6,1),0)</f>
        <v>17</v>
      </c>
      <c r="K72" s="1">
        <f ca="1">ROUND(OFFSET('#现网数据参考'!$A$1,MATCH(OFFSET($A72,-MOD(ROW()-1,3),0),'#现网数据参考'!$A:$A,0)-1,MATCH(K$2&amp;$E72,'#现网数据参考'!$3:$3,0)-1)*IF(OFFSET($A72,-MOD(ROW()-1,3),0)&lt;=9,0.6,1),0)</f>
        <v>59</v>
      </c>
      <c r="L72" s="1">
        <f ca="1">ROUND(OFFSET('#现网数据参考'!$A$1,MATCH(OFFSET($A72,-MOD(ROW()-1,3),0),'#现网数据参考'!$A:$A,0)-1,MATCH(L$2&amp;$E72,'#现网数据参考'!$3:$3,0)-1),0)</f>
        <v>5</v>
      </c>
    </row>
    <row r="73" spans="1:12" ht="20.149999999999999" customHeight="1" x14ac:dyDescent="0.35">
      <c r="A73" s="1">
        <v>24</v>
      </c>
      <c r="B73" s="1">
        <f>IF($A73="","",ROUND(_xlfn.XLOOKUP($A73,'#现网数据参考'!$A:$A,'#现网数据参考'!G:G)*IF($A73&lt;=9,0.5,1),0))</f>
        <v>6192566</v>
      </c>
      <c r="C73" s="1">
        <f>IF($A73="","",ROUND(_xlfn.XLOOKUP($A73,'#现网数据参考'!$A:$A,'#现网数据参考'!P:P),0))</f>
        <v>5</v>
      </c>
      <c r="D73" s="1">
        <v>1</v>
      </c>
      <c r="E73" s="1">
        <v>20</v>
      </c>
      <c r="F73" s="1">
        <f ca="1">ROUND(OFFSET('#现网数据参考'!$A$1,MATCH(OFFSET($A73,-MOD(ROW()-1,3),0),'#现网数据参考'!$A:$A,0)-1,MATCH(F$2&amp;$E73,'#现网数据参考'!$3:$3,0)-1)*IF(OFFSET($A73,-MOD(ROW()-1,3),0)&lt;=9,0.6,1),0)</f>
        <v>67</v>
      </c>
      <c r="G73" s="31">
        <f ca="1">_xlfn.XLOOKUP(OFFSET($A73,-MOD(ROW()-1,3),0),'#出征索引'!A:A,'#出征索引'!B:B)+_xlfn.XLOOKUP(OFFSET($A73,-MOD(ROW()-1,3),0),'#出征索引'!A:A,'#出征索引'!C:C)*_xlfn.XLOOKUP(F73,'#出征索引'!E:E,'#出征索引'!F:F)</f>
        <v>64800</v>
      </c>
      <c r="H73" s="1">
        <f ca="1">ROUND(OFFSET('#现网数据参考'!$A$1,MATCH(OFFSET($A73,-MOD(ROW()-1,3),0),'#现网数据参考'!$A:$A,0)-1,MATCH(H$2&amp;$E73,'#现网数据参考'!$3:$3,0)-1)*IF(OFFSET($A73,-MOD(ROW()-1,3),0)&lt;=9,0.6,1),0)</f>
        <v>52</v>
      </c>
      <c r="I73" s="1">
        <f ca="1">ROUND(OFFSET('#现网数据参考'!$A$1,MATCH(OFFSET($A73,-MOD(ROW()-1,3),0),'#现网数据参考'!$A:$A,0)-1,MATCH(I$2&amp;$E73,'#现网数据参考'!$3:$3,0)-1)*IF(OFFSET($A73,-MOD(ROW()-1,3),0)&lt;=9,0.6,1),0)</f>
        <v>16</v>
      </c>
      <c r="J73" s="1">
        <f ca="1">ROUND(OFFSET('#现网数据参考'!$A$1,MATCH(OFFSET($A73,-MOD(ROW()-1,3),0),'#现网数据参考'!$A:$A,0)-1,MATCH(J$2&amp;$E73,'#现网数据参考'!$3:$3,0)-1)*IF(OFFSET($A73,-MOD(ROW()-1,3),0)&lt;=9,0.6,1),0)</f>
        <v>14</v>
      </c>
      <c r="K73" s="1">
        <f ca="1">ROUND(OFFSET('#现网数据参考'!$A$1,MATCH(OFFSET($A73,-MOD(ROW()-1,3),0),'#现网数据参考'!$A:$A,0)-1,MATCH(K$2&amp;$E73,'#现网数据参考'!$3:$3,0)-1)*IF(OFFSET($A73,-MOD(ROW()-1,3),0)&lt;=9,0.6,1),0)</f>
        <v>44</v>
      </c>
      <c r="L73" s="1">
        <f ca="1">ROUND(OFFSET('#现网数据参考'!$A$1,MATCH(OFFSET($A73,-MOD(ROW()-1,3),0),'#现网数据参考'!$A:$A,0)-1,MATCH(L$2&amp;$E73,'#现网数据参考'!$3:$3,0)-1),0)</f>
        <v>4</v>
      </c>
    </row>
    <row r="74" spans="1:12" ht="20.149999999999999" customHeight="1" x14ac:dyDescent="0.35">
      <c r="B74" s="1" t="str">
        <f>IF($A74="","",ROUND(_xlfn.XLOOKUP($A74,'#现网数据参考'!$A:$A,'#现网数据参考'!G:G)*IF($A74&lt;=9,0.5,1),0))</f>
        <v/>
      </c>
      <c r="C74" s="1" t="str">
        <f>IF($A74="","",ROUND(_xlfn.XLOOKUP($A74,'#现网数据参考'!$A:$A,'#现网数据参考'!P:P),0))</f>
        <v/>
      </c>
      <c r="D74" s="1">
        <v>2</v>
      </c>
      <c r="E74" s="1">
        <v>40</v>
      </c>
      <c r="F74" s="1">
        <f ca="1">ROUND(OFFSET('#现网数据参考'!$A$1,MATCH(OFFSET($A74,-MOD(ROW()-1,3),0),'#现网数据参考'!$A:$A,0)-1,MATCH(F$2&amp;$E74,'#现网数据参考'!$3:$3,0)-1)*IF(OFFSET($A74,-MOD(ROW()-1,3),0)&lt;=9,0.6,1),0)</f>
        <v>75</v>
      </c>
      <c r="G74" s="31">
        <f ca="1">_xlfn.XLOOKUP(OFFSET($A74,-MOD(ROW()-1,3),0),'#出征索引'!A:A,'#出征索引'!B:B)+_xlfn.XLOOKUP(OFFSET($A74,-MOD(ROW()-1,3),0),'#出征索引'!A:A,'#出征索引'!C:C)*_xlfn.XLOOKUP(F74,'#出征索引'!E:E,'#出征索引'!F:F)</f>
        <v>69600</v>
      </c>
      <c r="H74" s="1">
        <f ca="1">ROUND(OFFSET('#现网数据参考'!$A$1,MATCH(OFFSET($A74,-MOD(ROW()-1,3),0),'#现网数据参考'!$A:$A,0)-1,MATCH(H$2&amp;$E74,'#现网数据参考'!$3:$3,0)-1)*IF(OFFSET($A74,-MOD(ROW()-1,3),0)&lt;=9,0.6,1),0)</f>
        <v>55</v>
      </c>
      <c r="I74" s="1">
        <f ca="1">ROUND(OFFSET('#现网数据参考'!$A$1,MATCH(OFFSET($A74,-MOD(ROW()-1,3),0),'#现网数据参考'!$A:$A,0)-1,MATCH(I$2&amp;$E74,'#现网数据参考'!$3:$3,0)-1)*IF(OFFSET($A74,-MOD(ROW()-1,3),0)&lt;=9,0.6,1),0)</f>
        <v>18</v>
      </c>
      <c r="J74" s="1">
        <f ca="1">ROUND(OFFSET('#现网数据参考'!$A$1,MATCH(OFFSET($A74,-MOD(ROW()-1,3),0),'#现网数据参考'!$A:$A,0)-1,MATCH(J$2&amp;$E74,'#现网数据参考'!$3:$3,0)-1)*IF(OFFSET($A74,-MOD(ROW()-1,3),0)&lt;=9,0.6,1),0)</f>
        <v>17</v>
      </c>
      <c r="K74" s="1">
        <f ca="1">ROUND(OFFSET('#现网数据参考'!$A$1,MATCH(OFFSET($A74,-MOD(ROW()-1,3),0),'#现网数据参考'!$A:$A,0)-1,MATCH(K$2&amp;$E74,'#现网数据参考'!$3:$3,0)-1)*IF(OFFSET($A74,-MOD(ROW()-1,3),0)&lt;=9,0.6,1),0)</f>
        <v>52</v>
      </c>
      <c r="L74" s="1">
        <f ca="1">ROUND(OFFSET('#现网数据参考'!$A$1,MATCH(OFFSET($A74,-MOD(ROW()-1,3),0),'#现网数据参考'!$A:$A,0)-1,MATCH(L$2&amp;$E74,'#现网数据参考'!$3:$3,0)-1),0)</f>
        <v>4</v>
      </c>
    </row>
    <row r="75" spans="1:12" ht="20.149999999999999" customHeight="1" x14ac:dyDescent="0.35">
      <c r="B75" s="1" t="str">
        <f>IF($A75="","",ROUND(_xlfn.XLOOKUP($A75,'#现网数据参考'!$A:$A,'#现网数据参考'!G:G)*IF($A75&lt;=9,0.5,1),0))</f>
        <v/>
      </c>
      <c r="C75" s="1" t="str">
        <f>IF($A75="","",ROUND(_xlfn.XLOOKUP($A75,'#现网数据参考'!$A:$A,'#现网数据参考'!P:P),0))</f>
        <v/>
      </c>
      <c r="D75" s="1">
        <v>3</v>
      </c>
      <c r="E75" s="1">
        <v>60</v>
      </c>
      <c r="F75" s="1">
        <f ca="1">ROUND(OFFSET('#现网数据参考'!$A$1,MATCH(OFFSET($A75,-MOD(ROW()-1,3),0),'#现网数据参考'!$A:$A,0)-1,MATCH(F$2&amp;$E75,'#现网数据参考'!$3:$3,0)-1)*IF(OFFSET($A75,-MOD(ROW()-1,3),0)&lt;=9,0.6,1),0)</f>
        <v>81</v>
      </c>
      <c r="G75" s="31">
        <f ca="1">_xlfn.XLOOKUP(OFFSET($A75,-MOD(ROW()-1,3),0),'#出征索引'!A:A,'#出征索引'!B:B)+_xlfn.XLOOKUP(OFFSET($A75,-MOD(ROW()-1,3),0),'#出征索引'!A:A,'#出征索引'!C:C)*_xlfn.XLOOKUP(F75,'#出征索引'!E:E,'#出征索引'!F:F)</f>
        <v>73200</v>
      </c>
      <c r="H75" s="1">
        <f ca="1">ROUND(OFFSET('#现网数据参考'!$A$1,MATCH(OFFSET($A75,-MOD(ROW()-1,3),0),'#现网数据参考'!$A:$A,0)-1,MATCH(H$2&amp;$E75,'#现网数据参考'!$3:$3,0)-1)*IF(OFFSET($A75,-MOD(ROW()-1,3),0)&lt;=9,0.6,1),0)</f>
        <v>58</v>
      </c>
      <c r="I75" s="1">
        <f ca="1">ROUND(OFFSET('#现网数据参考'!$A$1,MATCH(OFFSET($A75,-MOD(ROW()-1,3),0),'#现网数据参考'!$A:$A,0)-1,MATCH(I$2&amp;$E75,'#现网数据参考'!$3:$3,0)-1)*IF(OFFSET($A75,-MOD(ROW()-1,3),0)&lt;=9,0.6,1),0)</f>
        <v>19</v>
      </c>
      <c r="J75" s="1">
        <f ca="1">ROUND(OFFSET('#现网数据参考'!$A$1,MATCH(OFFSET($A75,-MOD(ROW()-1,3),0),'#现网数据参考'!$A:$A,0)-1,MATCH(J$2&amp;$E75,'#现网数据参考'!$3:$3,0)-1)*IF(OFFSET($A75,-MOD(ROW()-1,3),0)&lt;=9,0.6,1),0)</f>
        <v>19</v>
      </c>
      <c r="K75" s="1">
        <f ca="1">ROUND(OFFSET('#现网数据参考'!$A$1,MATCH(OFFSET($A75,-MOD(ROW()-1,3),0),'#现网数据参考'!$A:$A,0)-1,MATCH(K$2&amp;$E75,'#现网数据参考'!$3:$3,0)-1)*IF(OFFSET($A75,-MOD(ROW()-1,3),0)&lt;=9,0.6,1),0)</f>
        <v>59</v>
      </c>
      <c r="L75" s="1">
        <f ca="1">ROUND(OFFSET('#现网数据参考'!$A$1,MATCH(OFFSET($A75,-MOD(ROW()-1,3),0),'#现网数据参考'!$A:$A,0)-1,MATCH(L$2&amp;$E75,'#现网数据参考'!$3:$3,0)-1),0)</f>
        <v>5</v>
      </c>
    </row>
    <row r="76" spans="1:12" ht="20.149999999999999" customHeight="1" x14ac:dyDescent="0.35">
      <c r="A76" s="1">
        <v>25</v>
      </c>
      <c r="B76" s="1">
        <f>IF($A76="","",ROUND(_xlfn.XLOOKUP($A76,'#现网数据参考'!$A:$A,'#现网数据参考'!G:G)*IF($A76&lt;=9,0.5,1),0))</f>
        <v>7462479</v>
      </c>
      <c r="C76" s="1">
        <f>IF($A76="","",ROUND(_xlfn.XLOOKUP($A76,'#现网数据参考'!$A:$A,'#现网数据参考'!P:P),0))</f>
        <v>5</v>
      </c>
      <c r="D76" s="1">
        <v>1</v>
      </c>
      <c r="E76" s="1">
        <v>20</v>
      </c>
      <c r="F76" s="1">
        <f ca="1">ROUND(OFFSET('#现网数据参考'!$A$1,MATCH(OFFSET($A76,-MOD(ROW()-1,3),0),'#现网数据参考'!$A:$A,0)-1,MATCH(F$2&amp;$E76,'#现网数据参考'!$3:$3,0)-1)*IF(OFFSET($A76,-MOD(ROW()-1,3),0)&lt;=9,0.6,1),0)</f>
        <v>70</v>
      </c>
      <c r="G76" s="31">
        <f ca="1">_xlfn.XLOOKUP(OFFSET($A76,-MOD(ROW()-1,3),0),'#出征索引'!A:A,'#出征索引'!B:B)+_xlfn.XLOOKUP(OFFSET($A76,-MOD(ROW()-1,3),0),'#出征索引'!A:A,'#出征索引'!C:C)*_xlfn.XLOOKUP(F76,'#出征索引'!E:E,'#出征索引'!F:F)</f>
        <v>68600</v>
      </c>
      <c r="H76" s="1">
        <f ca="1">ROUND(OFFSET('#现网数据参考'!$A$1,MATCH(OFFSET($A76,-MOD(ROW()-1,3),0),'#现网数据参考'!$A:$A,0)-1,MATCH(H$2&amp;$E76,'#现网数据参考'!$3:$3,0)-1)*IF(OFFSET($A76,-MOD(ROW()-1,3),0)&lt;=9,0.6,1),0)</f>
        <v>55</v>
      </c>
      <c r="I76" s="1">
        <f ca="1">ROUND(OFFSET('#现网数据参考'!$A$1,MATCH(OFFSET($A76,-MOD(ROW()-1,3),0),'#现网数据参考'!$A:$A,0)-1,MATCH(I$2&amp;$E76,'#现网数据参考'!$3:$3,0)-1)*IF(OFFSET($A76,-MOD(ROW()-1,3),0)&lt;=9,0.6,1),0)</f>
        <v>17</v>
      </c>
      <c r="J76" s="1">
        <f ca="1">ROUND(OFFSET('#现网数据参考'!$A$1,MATCH(OFFSET($A76,-MOD(ROW()-1,3),0),'#现网数据参考'!$A:$A,0)-1,MATCH(J$2&amp;$E76,'#现网数据参考'!$3:$3,0)-1)*IF(OFFSET($A76,-MOD(ROW()-1,3),0)&lt;=9,0.6,1),0)</f>
        <v>16</v>
      </c>
      <c r="K76" s="1">
        <f ca="1">ROUND(OFFSET('#现网数据参考'!$A$1,MATCH(OFFSET($A76,-MOD(ROW()-1,3),0),'#现网数据参考'!$A:$A,0)-1,MATCH(K$2&amp;$E76,'#现网数据参考'!$3:$3,0)-1)*IF(OFFSET($A76,-MOD(ROW()-1,3),0)&lt;=9,0.6,1),0)</f>
        <v>44</v>
      </c>
      <c r="L76" s="1">
        <f ca="1">ROUND(OFFSET('#现网数据参考'!$A$1,MATCH(OFFSET($A76,-MOD(ROW()-1,3),0),'#现网数据参考'!$A:$A,0)-1,MATCH(L$2&amp;$E76,'#现网数据参考'!$3:$3,0)-1),0)</f>
        <v>4</v>
      </c>
    </row>
    <row r="77" spans="1:12" ht="20.149999999999999" customHeight="1" x14ac:dyDescent="0.35">
      <c r="B77" s="1" t="str">
        <f>IF($A77="","",ROUND(_xlfn.XLOOKUP($A77,'#现网数据参考'!$A:$A,'#现网数据参考'!G:G)*IF($A77&lt;=9,0.5,1),0))</f>
        <v/>
      </c>
      <c r="C77" s="1" t="str">
        <f>IF($A77="","",ROUND(_xlfn.XLOOKUP($A77,'#现网数据参考'!$A:$A,'#现网数据参考'!P:P),0))</f>
        <v/>
      </c>
      <c r="D77" s="1">
        <v>2</v>
      </c>
      <c r="E77" s="1">
        <v>40</v>
      </c>
      <c r="F77" s="1">
        <f ca="1">ROUND(OFFSET('#现网数据参考'!$A$1,MATCH(OFFSET($A77,-MOD(ROW()-1,3),0),'#现网数据参考'!$A:$A,0)-1,MATCH(F$2&amp;$E77,'#现网数据参考'!$3:$3,0)-1)*IF(OFFSET($A77,-MOD(ROW()-1,3),0)&lt;=9,0.6,1),0)</f>
        <v>80</v>
      </c>
      <c r="G77" s="31">
        <f ca="1">_xlfn.XLOOKUP(OFFSET($A77,-MOD(ROW()-1,3),0),'#出征索引'!A:A,'#出征索引'!B:B)+_xlfn.XLOOKUP(OFFSET($A77,-MOD(ROW()-1,3),0),'#出征索引'!A:A,'#出征索引'!C:C)*_xlfn.XLOOKUP(F77,'#出征索引'!E:E,'#出征索引'!F:F)</f>
        <v>74600</v>
      </c>
      <c r="H77" s="1">
        <f ca="1">ROUND(OFFSET('#现网数据参考'!$A$1,MATCH(OFFSET($A77,-MOD(ROW()-1,3),0),'#现网数据参考'!$A:$A,0)-1,MATCH(H$2&amp;$E77,'#现网数据参考'!$3:$3,0)-1)*IF(OFFSET($A77,-MOD(ROW()-1,3),0)&lt;=9,0.6,1),0)</f>
        <v>58</v>
      </c>
      <c r="I77" s="1">
        <f ca="1">ROUND(OFFSET('#现网数据参考'!$A$1,MATCH(OFFSET($A77,-MOD(ROW()-1,3),0),'#现网数据参考'!$A:$A,0)-1,MATCH(I$2&amp;$E77,'#现网数据参考'!$3:$3,0)-1)*IF(OFFSET($A77,-MOD(ROW()-1,3),0)&lt;=9,0.6,1),0)</f>
        <v>18</v>
      </c>
      <c r="J77" s="1">
        <f ca="1">ROUND(OFFSET('#现网数据参考'!$A$1,MATCH(OFFSET($A77,-MOD(ROW()-1,3),0),'#现网数据参考'!$A:$A,0)-1,MATCH(J$2&amp;$E77,'#现网数据参考'!$3:$3,0)-1)*IF(OFFSET($A77,-MOD(ROW()-1,3),0)&lt;=9,0.6,1),0)</f>
        <v>18</v>
      </c>
      <c r="K77" s="1">
        <f ca="1">ROUND(OFFSET('#现网数据参考'!$A$1,MATCH(OFFSET($A77,-MOD(ROW()-1,3),0),'#现网数据参考'!$A:$A,0)-1,MATCH(K$2&amp;$E77,'#现网数据参考'!$3:$3,0)-1)*IF(OFFSET($A77,-MOD(ROW()-1,3),0)&lt;=9,0.6,1),0)</f>
        <v>50</v>
      </c>
      <c r="L77" s="1">
        <f ca="1">ROUND(OFFSET('#现网数据参考'!$A$1,MATCH(OFFSET($A77,-MOD(ROW()-1,3),0),'#现网数据参考'!$A:$A,0)-1,MATCH(L$2&amp;$E77,'#现网数据参考'!$3:$3,0)-1),0)</f>
        <v>4</v>
      </c>
    </row>
    <row r="78" spans="1:12" ht="20.149999999999999" customHeight="1" x14ac:dyDescent="0.35">
      <c r="B78" s="1" t="str">
        <f>IF($A78="","",ROUND(_xlfn.XLOOKUP($A78,'#现网数据参考'!$A:$A,'#现网数据参考'!G:G)*IF($A78&lt;=9,0.5,1),0))</f>
        <v/>
      </c>
      <c r="C78" s="1" t="str">
        <f>IF($A78="","",ROUND(_xlfn.XLOOKUP($A78,'#现网数据参考'!$A:$A,'#现网数据参考'!P:P),0))</f>
        <v/>
      </c>
      <c r="D78" s="1">
        <v>3</v>
      </c>
      <c r="E78" s="1">
        <v>60</v>
      </c>
      <c r="F78" s="1">
        <f ca="1">ROUND(OFFSET('#现网数据参考'!$A$1,MATCH(OFFSET($A78,-MOD(ROW()-1,3),0),'#现网数据参考'!$A:$A,0)-1,MATCH(F$2&amp;$E78,'#现网数据参考'!$3:$3,0)-1)*IF(OFFSET($A78,-MOD(ROW()-1,3),0)&lt;=9,0.6,1),0)</f>
        <v>87</v>
      </c>
      <c r="G78" s="31">
        <f ca="1">_xlfn.XLOOKUP(OFFSET($A78,-MOD(ROW()-1,3),0),'#出征索引'!A:A,'#出征索引'!B:B)+_xlfn.XLOOKUP(OFFSET($A78,-MOD(ROW()-1,3),0),'#出征索引'!A:A,'#出征索引'!C:C)*_xlfn.XLOOKUP(F78,'#出征索引'!E:E,'#出征索引'!F:F)</f>
        <v>78800</v>
      </c>
      <c r="H78" s="1">
        <f ca="1">ROUND(OFFSET('#现网数据参考'!$A$1,MATCH(OFFSET($A78,-MOD(ROW()-1,3),0),'#现网数据参考'!$A:$A,0)-1,MATCH(H$2&amp;$E78,'#现网数据参考'!$3:$3,0)-1)*IF(OFFSET($A78,-MOD(ROW()-1,3),0)&lt;=9,0.6,1),0)</f>
        <v>60</v>
      </c>
      <c r="I78" s="1">
        <f ca="1">ROUND(OFFSET('#现网数据参考'!$A$1,MATCH(OFFSET($A78,-MOD(ROW()-1,3),0),'#现网数据参考'!$A:$A,0)-1,MATCH(I$2&amp;$E78,'#现网数据参考'!$3:$3,0)-1)*IF(OFFSET($A78,-MOD(ROW()-1,3),0)&lt;=9,0.6,1),0)</f>
        <v>19</v>
      </c>
      <c r="J78" s="1">
        <f ca="1">ROUND(OFFSET('#现网数据参考'!$A$1,MATCH(OFFSET($A78,-MOD(ROW()-1,3),0),'#现网数据参考'!$A:$A,0)-1,MATCH(J$2&amp;$E78,'#现网数据参考'!$3:$3,0)-1)*IF(OFFSET($A78,-MOD(ROW()-1,3),0)&lt;=9,0.6,1),0)</f>
        <v>20</v>
      </c>
      <c r="K78" s="1">
        <f ca="1">ROUND(OFFSET('#现网数据参考'!$A$1,MATCH(OFFSET($A78,-MOD(ROW()-1,3),0),'#现网数据参考'!$A:$A,0)-1,MATCH(K$2&amp;$E78,'#现网数据参考'!$3:$3,0)-1)*IF(OFFSET($A78,-MOD(ROW()-1,3),0)&lt;=9,0.6,1),0)</f>
        <v>58</v>
      </c>
      <c r="L78" s="1">
        <f ca="1">ROUND(OFFSET('#现网数据参考'!$A$1,MATCH(OFFSET($A78,-MOD(ROW()-1,3),0),'#现网数据参考'!$A:$A,0)-1,MATCH(L$2&amp;$E78,'#现网数据参考'!$3:$3,0)-1),0)</f>
        <v>5</v>
      </c>
    </row>
    <row r="79" spans="1:12" ht="20.149999999999999" customHeight="1" x14ac:dyDescent="0.35">
      <c r="A79" s="1">
        <v>26</v>
      </c>
      <c r="B79" s="1">
        <f>IF($A79="","",ROUND(_xlfn.XLOOKUP($A79,'#现网数据参考'!$A:$A,'#现网数据参考'!G:G)*IF($A79&lt;=9,0.5,1),0))</f>
        <v>9392868</v>
      </c>
      <c r="C79" s="1">
        <f>IF($A79="","",ROUND(_xlfn.XLOOKUP($A79,'#现网数据参考'!$A:$A,'#现网数据参考'!P:P),0))</f>
        <v>5</v>
      </c>
      <c r="D79" s="1">
        <v>1</v>
      </c>
      <c r="E79" s="1">
        <v>20</v>
      </c>
      <c r="F79" s="1">
        <f ca="1">ROUND(OFFSET('#现网数据参考'!$A$1,MATCH(OFFSET($A79,-MOD(ROW()-1,3),0),'#现网数据参考'!$A:$A,0)-1,MATCH(F$2&amp;$E79,'#现网数据参考'!$3:$3,0)-1)*IF(OFFSET($A79,-MOD(ROW()-1,3),0)&lt;=9,0.6,1),0)</f>
        <v>73</v>
      </c>
      <c r="G79" s="31">
        <f ca="1">_xlfn.XLOOKUP(OFFSET($A79,-MOD(ROW()-1,3),0),'#出征索引'!A:A,'#出征索引'!B:B)+_xlfn.XLOOKUP(OFFSET($A79,-MOD(ROW()-1,3),0),'#出征索引'!A:A,'#出征索引'!C:C)*_xlfn.XLOOKUP(F79,'#出征索引'!E:E,'#出征索引'!F:F)</f>
        <v>72900</v>
      </c>
      <c r="H79" s="1">
        <f ca="1">ROUND(OFFSET('#现网数据参考'!$A$1,MATCH(OFFSET($A79,-MOD(ROW()-1,3),0),'#现网数据参考'!$A:$A,0)-1,MATCH(H$2&amp;$E79,'#现网数据参考'!$3:$3,0)-1)*IF(OFFSET($A79,-MOD(ROW()-1,3),0)&lt;=9,0.6,1),0)</f>
        <v>58</v>
      </c>
      <c r="I79" s="1">
        <f ca="1">ROUND(OFFSET('#现网数据参考'!$A$1,MATCH(OFFSET($A79,-MOD(ROW()-1,3),0),'#现网数据参考'!$A:$A,0)-1,MATCH(I$2&amp;$E79,'#现网数据参考'!$3:$3,0)-1)*IF(OFFSET($A79,-MOD(ROW()-1,3),0)&lt;=9,0.6,1),0)</f>
        <v>18</v>
      </c>
      <c r="J79" s="1">
        <f ca="1">ROUND(OFFSET('#现网数据参考'!$A$1,MATCH(OFFSET($A79,-MOD(ROW()-1,3),0),'#现网数据参考'!$A:$A,0)-1,MATCH(J$2&amp;$E79,'#现网数据参考'!$3:$3,0)-1)*IF(OFFSET($A79,-MOD(ROW()-1,3),0)&lt;=9,0.6,1),0)</f>
        <v>17</v>
      </c>
      <c r="K79" s="1">
        <f ca="1">ROUND(OFFSET('#现网数据参考'!$A$1,MATCH(OFFSET($A79,-MOD(ROW()-1,3),0),'#现网数据参考'!$A:$A,0)-1,MATCH(K$2&amp;$E79,'#现网数据参考'!$3:$3,0)-1)*IF(OFFSET($A79,-MOD(ROW()-1,3),0)&lt;=9,0.6,1),0)</f>
        <v>43</v>
      </c>
      <c r="L79" s="1">
        <f ca="1">ROUND(OFFSET('#现网数据参考'!$A$1,MATCH(OFFSET($A79,-MOD(ROW()-1,3),0),'#现网数据参考'!$A:$A,0)-1,MATCH(L$2&amp;$E79,'#现网数据参考'!$3:$3,0)-1),0)</f>
        <v>5</v>
      </c>
    </row>
    <row r="80" spans="1:12" ht="20.149999999999999" customHeight="1" x14ac:dyDescent="0.35">
      <c r="B80" s="1" t="str">
        <f>IF($A80="","",ROUND(_xlfn.XLOOKUP($A80,'#现网数据参考'!$A:$A,'#现网数据参考'!G:G)*IF($A80&lt;=9,0.5,1),0))</f>
        <v/>
      </c>
      <c r="C80" s="1" t="str">
        <f>IF($A80="","",ROUND(_xlfn.XLOOKUP($A80,'#现网数据参考'!$A:$A,'#现网数据参考'!P:P),0))</f>
        <v/>
      </c>
      <c r="D80" s="1">
        <v>2</v>
      </c>
      <c r="E80" s="1">
        <v>40</v>
      </c>
      <c r="F80" s="1">
        <f ca="1">ROUND(OFFSET('#现网数据参考'!$A$1,MATCH(OFFSET($A80,-MOD(ROW()-1,3),0),'#现网数据参考'!$A:$A,0)-1,MATCH(F$2&amp;$E80,'#现网数据参考'!$3:$3,0)-1)*IF(OFFSET($A80,-MOD(ROW()-1,3),0)&lt;=9,0.6,1),0)</f>
        <v>84</v>
      </c>
      <c r="G80" s="31">
        <f ca="1">_xlfn.XLOOKUP(OFFSET($A80,-MOD(ROW()-1,3),0),'#出征索引'!A:A,'#出征索引'!B:B)+_xlfn.XLOOKUP(OFFSET($A80,-MOD(ROW()-1,3),0),'#出征索引'!A:A,'#出征索引'!C:C)*_xlfn.XLOOKUP(F80,'#出征索引'!E:E,'#出征索引'!F:F)</f>
        <v>79500</v>
      </c>
      <c r="H80" s="1">
        <f ca="1">ROUND(OFFSET('#现网数据参考'!$A$1,MATCH(OFFSET($A80,-MOD(ROW()-1,3),0),'#现网数据参考'!$A:$A,0)-1,MATCH(H$2&amp;$E80,'#现网数据参考'!$3:$3,0)-1)*IF(OFFSET($A80,-MOD(ROW()-1,3),0)&lt;=9,0.6,1),0)</f>
        <v>62</v>
      </c>
      <c r="I80" s="1">
        <f ca="1">ROUND(OFFSET('#现网数据参考'!$A$1,MATCH(OFFSET($A80,-MOD(ROW()-1,3),0),'#现网数据参考'!$A:$A,0)-1,MATCH(I$2&amp;$E80,'#现网数据参考'!$3:$3,0)-1)*IF(OFFSET($A80,-MOD(ROW()-1,3),0)&lt;=9,0.6,1),0)</f>
        <v>19</v>
      </c>
      <c r="J80" s="1">
        <f ca="1">ROUND(OFFSET('#现网数据参考'!$A$1,MATCH(OFFSET($A80,-MOD(ROW()-1,3),0),'#现网数据参考'!$A:$A,0)-1,MATCH(J$2&amp;$E80,'#现网数据参考'!$3:$3,0)-1)*IF(OFFSET($A80,-MOD(ROW()-1,3),0)&lt;=9,0.6,1),0)</f>
        <v>20</v>
      </c>
      <c r="K80" s="1">
        <f ca="1">ROUND(OFFSET('#现网数据参考'!$A$1,MATCH(OFFSET($A80,-MOD(ROW()-1,3),0),'#现网数据参考'!$A:$A,0)-1,MATCH(K$2&amp;$E80,'#现网数据参考'!$3:$3,0)-1)*IF(OFFSET($A80,-MOD(ROW()-1,3),0)&lt;=9,0.6,1),0)</f>
        <v>48</v>
      </c>
      <c r="L80" s="1">
        <f ca="1">ROUND(OFFSET('#现网数据参考'!$A$1,MATCH(OFFSET($A80,-MOD(ROW()-1,3),0),'#现网数据参考'!$A:$A,0)-1,MATCH(L$2&amp;$E80,'#现网数据参考'!$3:$3,0)-1),0)</f>
        <v>5</v>
      </c>
    </row>
    <row r="81" spans="1:12" ht="20.149999999999999" customHeight="1" x14ac:dyDescent="0.35">
      <c r="B81" s="1" t="str">
        <f>IF($A81="","",ROUND(_xlfn.XLOOKUP($A81,'#现网数据参考'!$A:$A,'#现网数据参考'!G:G)*IF($A81&lt;=9,0.5,1),0))</f>
        <v/>
      </c>
      <c r="C81" s="1" t="str">
        <f>IF($A81="","",ROUND(_xlfn.XLOOKUP($A81,'#现网数据参考'!$A:$A,'#现网数据参考'!P:P),0))</f>
        <v/>
      </c>
      <c r="D81" s="1">
        <v>3</v>
      </c>
      <c r="E81" s="1">
        <v>60</v>
      </c>
      <c r="F81" s="1">
        <f ca="1">ROUND(OFFSET('#现网数据参考'!$A$1,MATCH(OFFSET($A81,-MOD(ROW()-1,3),0),'#现网数据参考'!$A:$A,0)-1,MATCH(F$2&amp;$E81,'#现网数据参考'!$3:$3,0)-1)*IF(OFFSET($A81,-MOD(ROW()-1,3),0)&lt;=9,0.6,1),0)</f>
        <v>92</v>
      </c>
      <c r="G81" s="31">
        <f ca="1">_xlfn.XLOOKUP(OFFSET($A81,-MOD(ROW()-1,3),0),'#出征索引'!A:A,'#出征索引'!B:B)+_xlfn.XLOOKUP(OFFSET($A81,-MOD(ROW()-1,3),0),'#出征索引'!A:A,'#出征索引'!C:C)*_xlfn.XLOOKUP(F81,'#出征索引'!E:E,'#出征索引'!F:F)</f>
        <v>84300</v>
      </c>
      <c r="H81" s="1">
        <f ca="1">ROUND(OFFSET('#现网数据参考'!$A$1,MATCH(OFFSET($A81,-MOD(ROW()-1,3),0),'#现网数据参考'!$A:$A,0)-1,MATCH(H$2&amp;$E81,'#现网数据参考'!$3:$3,0)-1)*IF(OFFSET($A81,-MOD(ROW()-1,3),0)&lt;=9,0.6,1),0)</f>
        <v>65</v>
      </c>
      <c r="I81" s="1">
        <f ca="1">ROUND(OFFSET('#现网数据参考'!$A$1,MATCH(OFFSET($A81,-MOD(ROW()-1,3),0),'#现网数据参考'!$A:$A,0)-1,MATCH(I$2&amp;$E81,'#现网数据参考'!$3:$3,0)-1)*IF(OFFSET($A81,-MOD(ROW()-1,3),0)&lt;=9,0.6,1),0)</f>
        <v>20</v>
      </c>
      <c r="J81" s="1">
        <f ca="1">ROUND(OFFSET('#现网数据参考'!$A$1,MATCH(OFFSET($A81,-MOD(ROW()-1,3),0),'#现网数据参考'!$A:$A,0)-1,MATCH(J$2&amp;$E81,'#现网数据参考'!$3:$3,0)-1)*IF(OFFSET($A81,-MOD(ROW()-1,3),0)&lt;=9,0.6,1),0)</f>
        <v>22</v>
      </c>
      <c r="K81" s="1">
        <f ca="1">ROUND(OFFSET('#现网数据参考'!$A$1,MATCH(OFFSET($A81,-MOD(ROW()-1,3),0),'#现网数据参考'!$A:$A,0)-1,MATCH(K$2&amp;$E81,'#现网数据参考'!$3:$3,0)-1)*IF(OFFSET($A81,-MOD(ROW()-1,3),0)&lt;=9,0.6,1),0)</f>
        <v>56</v>
      </c>
      <c r="L81" s="1">
        <f ca="1">ROUND(OFFSET('#现网数据参考'!$A$1,MATCH(OFFSET($A81,-MOD(ROW()-1,3),0),'#现网数据参考'!$A:$A,0)-1,MATCH(L$2&amp;$E81,'#现网数据参考'!$3:$3,0)-1),0)</f>
        <v>5</v>
      </c>
    </row>
    <row r="82" spans="1:12" ht="20.149999999999999" customHeight="1" x14ac:dyDescent="0.35">
      <c r="A82" s="1">
        <v>27</v>
      </c>
      <c r="B82" s="1">
        <f>IF($A82="","",ROUND(_xlfn.XLOOKUP($A82,'#现网数据参考'!$A:$A,'#现网数据参考'!G:G)*IF($A82&lt;=9,0.5,1),0))</f>
        <v>11900605</v>
      </c>
      <c r="C82" s="1">
        <f>IF($A82="","",ROUND(_xlfn.XLOOKUP($A82,'#现网数据参考'!$A:$A,'#现网数据参考'!P:P),0))</f>
        <v>5</v>
      </c>
      <c r="D82" s="1">
        <v>1</v>
      </c>
      <c r="E82" s="1">
        <v>20</v>
      </c>
      <c r="F82" s="1">
        <f ca="1">ROUND(OFFSET('#现网数据参考'!$A$1,MATCH(OFFSET($A82,-MOD(ROW()-1,3),0),'#现网数据参考'!$A:$A,0)-1,MATCH(F$2&amp;$E82,'#现网数据参考'!$3:$3,0)-1)*IF(OFFSET($A82,-MOD(ROW()-1,3),0)&lt;=9,0.6,1),0)</f>
        <v>77</v>
      </c>
      <c r="G82" s="31">
        <f ca="1">_xlfn.XLOOKUP(OFFSET($A82,-MOD(ROW()-1,3),0),'#出征索引'!A:A,'#出征索引'!B:B)+_xlfn.XLOOKUP(OFFSET($A82,-MOD(ROW()-1,3),0),'#出征索引'!A:A,'#出征索引'!C:C)*_xlfn.XLOOKUP(F82,'#出征索引'!E:E,'#出征索引'!F:F)</f>
        <v>77800</v>
      </c>
      <c r="H82" s="1">
        <f ca="1">ROUND(OFFSET('#现网数据参考'!$A$1,MATCH(OFFSET($A82,-MOD(ROW()-1,3),0),'#现网数据参考'!$A:$A,0)-1,MATCH(H$2&amp;$E82,'#现网数据参考'!$3:$3,0)-1)*IF(OFFSET($A82,-MOD(ROW()-1,3),0)&lt;=9,0.6,1),0)</f>
        <v>62</v>
      </c>
      <c r="I82" s="1">
        <f ca="1">ROUND(OFFSET('#现网数据参考'!$A$1,MATCH(OFFSET($A82,-MOD(ROW()-1,3),0),'#现网数据参考'!$A:$A,0)-1,MATCH(I$2&amp;$E82,'#现网数据参考'!$3:$3,0)-1)*IF(OFFSET($A82,-MOD(ROW()-1,3),0)&lt;=9,0.6,1),0)</f>
        <v>18</v>
      </c>
      <c r="J82" s="1">
        <f ca="1">ROUND(OFFSET('#现网数据参考'!$A$1,MATCH(OFFSET($A82,-MOD(ROW()-1,3),0),'#现网数据参考'!$A:$A,0)-1,MATCH(J$2&amp;$E82,'#现网数据参考'!$3:$3,0)-1)*IF(OFFSET($A82,-MOD(ROW()-1,3),0)&lt;=9,0.6,1),0)</f>
        <v>17</v>
      </c>
      <c r="K82" s="1">
        <f ca="1">ROUND(OFFSET('#现网数据参考'!$A$1,MATCH(OFFSET($A82,-MOD(ROW()-1,3),0),'#现网数据参考'!$A:$A,0)-1,MATCH(K$2&amp;$E82,'#现网数据参考'!$3:$3,0)-1)*IF(OFFSET($A82,-MOD(ROW()-1,3),0)&lt;=9,0.6,1),0)</f>
        <v>44</v>
      </c>
      <c r="L82" s="1">
        <f ca="1">ROUND(OFFSET('#现网数据参考'!$A$1,MATCH(OFFSET($A82,-MOD(ROW()-1,3),0),'#现网数据参考'!$A:$A,0)-1,MATCH(L$2&amp;$E82,'#现网数据参考'!$3:$3,0)-1),0)</f>
        <v>5</v>
      </c>
    </row>
    <row r="83" spans="1:12" ht="20.149999999999999" customHeight="1" x14ac:dyDescent="0.35">
      <c r="B83" s="1" t="str">
        <f>IF($A83="","",ROUND(_xlfn.XLOOKUP($A83,'#现网数据参考'!$A:$A,'#现网数据参考'!G:G)*IF($A83&lt;=9,0.5,1),0))</f>
        <v/>
      </c>
      <c r="C83" s="1" t="str">
        <f>IF($A83="","",ROUND(_xlfn.XLOOKUP($A83,'#现网数据参考'!$A:$A,'#现网数据参考'!P:P),0))</f>
        <v/>
      </c>
      <c r="D83" s="1">
        <v>2</v>
      </c>
      <c r="E83" s="1">
        <v>40</v>
      </c>
      <c r="F83" s="1">
        <f ca="1">ROUND(OFFSET('#现网数据参考'!$A$1,MATCH(OFFSET($A83,-MOD(ROW()-1,3),0),'#现网数据参考'!$A:$A,0)-1,MATCH(F$2&amp;$E83,'#现网数据参考'!$3:$3,0)-1)*IF(OFFSET($A83,-MOD(ROW()-1,3),0)&lt;=9,0.6,1),0)</f>
        <v>89</v>
      </c>
      <c r="G83" s="31">
        <f ca="1">_xlfn.XLOOKUP(OFFSET($A83,-MOD(ROW()-1,3),0),'#出征索引'!A:A,'#出征索引'!B:B)+_xlfn.XLOOKUP(OFFSET($A83,-MOD(ROW()-1,3),0),'#出征索引'!A:A,'#出征索引'!C:C)*_xlfn.XLOOKUP(F83,'#出征索引'!E:E,'#出征索引'!F:F)</f>
        <v>85000</v>
      </c>
      <c r="H83" s="1">
        <f ca="1">ROUND(OFFSET('#现网数据参考'!$A$1,MATCH(OFFSET($A83,-MOD(ROW()-1,3),0),'#现网数据参考'!$A:$A,0)-1,MATCH(H$2&amp;$E83,'#现网数据参考'!$3:$3,0)-1)*IF(OFFSET($A83,-MOD(ROW()-1,3),0)&lt;=9,0.6,1),0)</f>
        <v>67</v>
      </c>
      <c r="I83" s="1">
        <f ca="1">ROUND(OFFSET('#现网数据参考'!$A$1,MATCH(OFFSET($A83,-MOD(ROW()-1,3),0),'#现网数据参考'!$A:$A,0)-1,MATCH(I$2&amp;$E83,'#现网数据参考'!$3:$3,0)-1)*IF(OFFSET($A83,-MOD(ROW()-1,3),0)&lt;=9,0.6,1),0)</f>
        <v>19</v>
      </c>
      <c r="J83" s="1">
        <f ca="1">ROUND(OFFSET('#现网数据参考'!$A$1,MATCH(OFFSET($A83,-MOD(ROW()-1,3),0),'#现网数据参考'!$A:$A,0)-1,MATCH(J$2&amp;$E83,'#现网数据参考'!$3:$3,0)-1)*IF(OFFSET($A83,-MOD(ROW()-1,3),0)&lt;=9,0.6,1),0)</f>
        <v>21</v>
      </c>
      <c r="K83" s="1">
        <f ca="1">ROUND(OFFSET('#现网数据参考'!$A$1,MATCH(OFFSET($A83,-MOD(ROW()-1,3),0),'#现网数据参考'!$A:$A,0)-1,MATCH(K$2&amp;$E83,'#现网数据参考'!$3:$3,0)-1)*IF(OFFSET($A83,-MOD(ROW()-1,3),0)&lt;=9,0.6,1),0)</f>
        <v>49</v>
      </c>
      <c r="L83" s="1">
        <f ca="1">ROUND(OFFSET('#现网数据参考'!$A$1,MATCH(OFFSET($A83,-MOD(ROW()-1,3),0),'#现网数据参考'!$A:$A,0)-1,MATCH(L$2&amp;$E83,'#现网数据参考'!$3:$3,0)-1),0)</f>
        <v>5</v>
      </c>
    </row>
    <row r="84" spans="1:12" ht="20.149999999999999" customHeight="1" x14ac:dyDescent="0.35">
      <c r="B84" s="1" t="str">
        <f>IF($A84="","",ROUND(_xlfn.XLOOKUP($A84,'#现网数据参考'!$A:$A,'#现网数据参考'!G:G)*IF($A84&lt;=9,0.5,1),0))</f>
        <v/>
      </c>
      <c r="C84" s="1" t="str">
        <f>IF($A84="","",ROUND(_xlfn.XLOOKUP($A84,'#现网数据参考'!$A:$A,'#现网数据参考'!P:P),0))</f>
        <v/>
      </c>
      <c r="D84" s="1">
        <v>3</v>
      </c>
      <c r="E84" s="1">
        <v>60</v>
      </c>
      <c r="F84" s="1">
        <f ca="1">ROUND(OFFSET('#现网数据参考'!$A$1,MATCH(OFFSET($A84,-MOD(ROW()-1,3),0),'#现网数据参考'!$A:$A,0)-1,MATCH(F$2&amp;$E84,'#现网数据参考'!$3:$3,0)-1)*IF(OFFSET($A84,-MOD(ROW()-1,3),0)&lt;=9,0.6,1),0)</f>
        <v>98</v>
      </c>
      <c r="G84" s="31">
        <f ca="1">_xlfn.XLOOKUP(OFFSET($A84,-MOD(ROW()-1,3),0),'#出征索引'!A:A,'#出征索引'!B:B)+_xlfn.XLOOKUP(OFFSET($A84,-MOD(ROW()-1,3),0),'#出征索引'!A:A,'#出征索引'!C:C)*_xlfn.XLOOKUP(F84,'#出征索引'!E:E,'#出征索引'!F:F)</f>
        <v>90400</v>
      </c>
      <c r="H84" s="1">
        <f ca="1">ROUND(OFFSET('#现网数据参考'!$A$1,MATCH(OFFSET($A84,-MOD(ROW()-1,3),0),'#现网数据参考'!$A:$A,0)-1,MATCH(H$2&amp;$E84,'#现网数据参考'!$3:$3,0)-1)*IF(OFFSET($A84,-MOD(ROW()-1,3),0)&lt;=9,0.6,1),0)</f>
        <v>70</v>
      </c>
      <c r="I84" s="1">
        <f ca="1">ROUND(OFFSET('#现网数据参考'!$A$1,MATCH(OFFSET($A84,-MOD(ROW()-1,3),0),'#现网数据参考'!$A:$A,0)-1,MATCH(I$2&amp;$E84,'#现网数据参考'!$3:$3,0)-1)*IF(OFFSET($A84,-MOD(ROW()-1,3),0)&lt;=9,0.6,1),0)</f>
        <v>21</v>
      </c>
      <c r="J84" s="1">
        <f ca="1">ROUND(OFFSET('#现网数据参考'!$A$1,MATCH(OFFSET($A84,-MOD(ROW()-1,3),0),'#现网数据参考'!$A:$A,0)-1,MATCH(J$2&amp;$E84,'#现网数据参考'!$3:$3,0)-1)*IF(OFFSET($A84,-MOD(ROW()-1,3),0)&lt;=9,0.6,1),0)</f>
        <v>24</v>
      </c>
      <c r="K84" s="1">
        <f ca="1">ROUND(OFFSET('#现网数据参考'!$A$1,MATCH(OFFSET($A84,-MOD(ROW()-1,3),0),'#现网数据参考'!$A:$A,0)-1,MATCH(K$2&amp;$E84,'#现网数据参考'!$3:$3,0)-1)*IF(OFFSET($A84,-MOD(ROW()-1,3),0)&lt;=9,0.6,1),0)</f>
        <v>56</v>
      </c>
      <c r="L84" s="1">
        <f ca="1">ROUND(OFFSET('#现网数据参考'!$A$1,MATCH(OFFSET($A84,-MOD(ROW()-1,3),0),'#现网数据参考'!$A:$A,0)-1,MATCH(L$2&amp;$E84,'#现网数据参考'!$3:$3,0)-1),0)</f>
        <v>5</v>
      </c>
    </row>
    <row r="85" spans="1:12" ht="20.149999999999999" customHeight="1" x14ac:dyDescent="0.35">
      <c r="A85" s="1">
        <v>28</v>
      </c>
      <c r="B85" s="1">
        <f>IF($A85="","",ROUND(_xlfn.XLOOKUP($A85,'#现网数据参考'!$A:$A,'#现网数据参考'!G:G)*IF($A85&lt;=9,0.5,1),0))</f>
        <v>14854307</v>
      </c>
      <c r="C85" s="1">
        <f>IF($A85="","",ROUND(_xlfn.XLOOKUP($A85,'#现网数据参考'!$A:$A,'#现网数据参考'!P:P),0))</f>
        <v>6</v>
      </c>
      <c r="D85" s="1">
        <v>1</v>
      </c>
      <c r="E85" s="1">
        <v>20</v>
      </c>
      <c r="F85" s="1">
        <f ca="1">ROUND(OFFSET('#现网数据参考'!$A$1,MATCH(OFFSET($A85,-MOD(ROW()-1,3),0),'#现网数据参考'!$A:$A,0)-1,MATCH(F$2&amp;$E85,'#现网数据参考'!$3:$3,0)-1)*IF(OFFSET($A85,-MOD(ROW()-1,3),0)&lt;=9,0.6,1),0)</f>
        <v>76</v>
      </c>
      <c r="G85" s="31">
        <f ca="1">_xlfn.XLOOKUP(OFFSET($A85,-MOD(ROW()-1,3),0),'#出征索引'!A:A,'#出征索引'!B:B)+_xlfn.XLOOKUP(OFFSET($A85,-MOD(ROW()-1,3),0),'#出征索引'!A:A,'#出征索引'!C:C)*_xlfn.XLOOKUP(F85,'#出征索引'!E:E,'#出征索引'!F:F)</f>
        <v>79700</v>
      </c>
      <c r="H85" s="1">
        <f ca="1">ROUND(OFFSET('#现网数据参考'!$A$1,MATCH(OFFSET($A85,-MOD(ROW()-1,3),0),'#现网数据参考'!$A:$A,0)-1,MATCH(H$2&amp;$E85,'#现网数据参考'!$3:$3,0)-1)*IF(OFFSET($A85,-MOD(ROW()-1,3),0)&lt;=9,0.6,1),0)</f>
        <v>66</v>
      </c>
      <c r="I85" s="1">
        <f ca="1">ROUND(OFFSET('#现网数据参考'!$A$1,MATCH(OFFSET($A85,-MOD(ROW()-1,3),0),'#现网数据参考'!$A:$A,0)-1,MATCH(I$2&amp;$E85,'#现网数据参考'!$3:$3,0)-1)*IF(OFFSET($A85,-MOD(ROW()-1,3),0)&lt;=9,0.6,1),0)</f>
        <v>19</v>
      </c>
      <c r="J85" s="1">
        <f ca="1">ROUND(OFFSET('#现网数据参考'!$A$1,MATCH(OFFSET($A85,-MOD(ROW()-1,3),0),'#现网数据参考'!$A:$A,0)-1,MATCH(J$2&amp;$E85,'#现网数据参考'!$3:$3,0)-1)*IF(OFFSET($A85,-MOD(ROW()-1,3),0)&lt;=9,0.6,1),0)</f>
        <v>18</v>
      </c>
      <c r="K85" s="1">
        <f ca="1">ROUND(OFFSET('#现网数据参考'!$A$1,MATCH(OFFSET($A85,-MOD(ROW()-1,3),0),'#现网数据参考'!$A:$A,0)-1,MATCH(K$2&amp;$E85,'#现网数据参考'!$3:$3,0)-1)*IF(OFFSET($A85,-MOD(ROW()-1,3),0)&lt;=9,0.6,1),0)</f>
        <v>45</v>
      </c>
      <c r="L85" s="1">
        <f ca="1">ROUND(OFFSET('#现网数据参考'!$A$1,MATCH(OFFSET($A85,-MOD(ROW()-1,3),0),'#现网数据参考'!$A:$A,0)-1,MATCH(L$2&amp;$E85,'#现网数据参考'!$3:$3,0)-1),0)</f>
        <v>5</v>
      </c>
    </row>
    <row r="86" spans="1:12" ht="20.149999999999999" customHeight="1" x14ac:dyDescent="0.35">
      <c r="B86" s="1" t="str">
        <f>IF($A86="","",ROUND(_xlfn.XLOOKUP($A86,'#现网数据参考'!$A:$A,'#现网数据参考'!G:G)*IF($A86&lt;=9,0.5,1),0))</f>
        <v/>
      </c>
      <c r="C86" s="1" t="str">
        <f>IF($A86="","",ROUND(_xlfn.XLOOKUP($A86,'#现网数据参考'!$A:$A,'#现网数据参考'!P:P),0))</f>
        <v/>
      </c>
      <c r="D86" s="1">
        <v>2</v>
      </c>
      <c r="E86" s="1">
        <v>40</v>
      </c>
      <c r="F86" s="1">
        <f ca="1">ROUND(OFFSET('#现网数据参考'!$A$1,MATCH(OFFSET($A86,-MOD(ROW()-1,3),0),'#现网数据参考'!$A:$A,0)-1,MATCH(F$2&amp;$E86,'#现网数据参考'!$3:$3,0)-1)*IF(OFFSET($A86,-MOD(ROW()-1,3),0)&lt;=9,0.6,1),0)</f>
        <v>93</v>
      </c>
      <c r="G86" s="31">
        <f ca="1">_xlfn.XLOOKUP(OFFSET($A86,-MOD(ROW()-1,3),0),'#出征索引'!A:A,'#出征索引'!B:B)+_xlfn.XLOOKUP(OFFSET($A86,-MOD(ROW()-1,3),0),'#出征索引'!A:A,'#出征索引'!C:C)*_xlfn.XLOOKUP(F86,'#出征索引'!E:E,'#出征索引'!F:F)</f>
        <v>89900</v>
      </c>
      <c r="H86" s="1">
        <f ca="1">ROUND(OFFSET('#现网数据参考'!$A$1,MATCH(OFFSET($A86,-MOD(ROW()-1,3),0),'#现网数据参考'!$A:$A,0)-1,MATCH(H$2&amp;$E86,'#现网数据参考'!$3:$3,0)-1)*IF(OFFSET($A86,-MOD(ROW()-1,3),0)&lt;=9,0.6,1),0)</f>
        <v>70</v>
      </c>
      <c r="I86" s="1">
        <f ca="1">ROUND(OFFSET('#现网数据参考'!$A$1,MATCH(OFFSET($A86,-MOD(ROW()-1,3),0),'#现网数据参考'!$A:$A,0)-1,MATCH(I$2&amp;$E86,'#现网数据参考'!$3:$3,0)-1)*IF(OFFSET($A86,-MOD(ROW()-1,3),0)&lt;=9,0.6,1),0)</f>
        <v>20</v>
      </c>
      <c r="J86" s="1">
        <f ca="1">ROUND(OFFSET('#现网数据参考'!$A$1,MATCH(OFFSET($A86,-MOD(ROW()-1,3),0),'#现网数据参考'!$A:$A,0)-1,MATCH(J$2&amp;$E86,'#现网数据参考'!$3:$3,0)-1)*IF(OFFSET($A86,-MOD(ROW()-1,3),0)&lt;=9,0.6,1),0)</f>
        <v>23</v>
      </c>
      <c r="K86" s="1">
        <f ca="1">ROUND(OFFSET('#现网数据参考'!$A$1,MATCH(OFFSET($A86,-MOD(ROW()-1,3),0),'#现网数据参考'!$A:$A,0)-1,MATCH(K$2&amp;$E86,'#现网数据参考'!$3:$3,0)-1)*IF(OFFSET($A86,-MOD(ROW()-1,3),0)&lt;=9,0.6,1),0)</f>
        <v>49</v>
      </c>
      <c r="L86" s="1">
        <f ca="1">ROUND(OFFSET('#现网数据参考'!$A$1,MATCH(OFFSET($A86,-MOD(ROW()-1,3),0),'#现网数据参考'!$A:$A,0)-1,MATCH(L$2&amp;$E86,'#现网数据参考'!$3:$3,0)-1),0)</f>
        <v>5</v>
      </c>
    </row>
    <row r="87" spans="1:12" ht="20.149999999999999" customHeight="1" x14ac:dyDescent="0.35">
      <c r="B87" s="1" t="str">
        <f>IF($A87="","",ROUND(_xlfn.XLOOKUP($A87,'#现网数据参考'!$A:$A,'#现网数据参考'!G:G)*IF($A87&lt;=9,0.5,1),0))</f>
        <v/>
      </c>
      <c r="C87" s="1" t="str">
        <f>IF($A87="","",ROUND(_xlfn.XLOOKUP($A87,'#现网数据参考'!$A:$A,'#现网数据参考'!P:P),0))</f>
        <v/>
      </c>
      <c r="D87" s="1">
        <v>3</v>
      </c>
      <c r="E87" s="1">
        <v>60</v>
      </c>
      <c r="F87" s="1">
        <f ca="1">ROUND(OFFSET('#现网数据参考'!$A$1,MATCH(OFFSET($A87,-MOD(ROW()-1,3),0),'#现网数据参考'!$A:$A,0)-1,MATCH(F$2&amp;$E87,'#现网数据参考'!$3:$3,0)-1)*IF(OFFSET($A87,-MOD(ROW()-1,3),0)&lt;=9,0.6,1),0)</f>
        <v>102</v>
      </c>
      <c r="G87" s="31">
        <f ca="1">_xlfn.XLOOKUP(OFFSET($A87,-MOD(ROW()-1,3),0),'#出征索引'!A:A,'#出征索引'!B:B)+_xlfn.XLOOKUP(OFFSET($A87,-MOD(ROW()-1,3),0),'#出征索引'!A:A,'#出征索引'!C:C)*_xlfn.XLOOKUP(F87,'#出征索引'!E:E,'#出征索引'!F:F)</f>
        <v>95300</v>
      </c>
      <c r="H87" s="1">
        <f ca="1">ROUND(OFFSET('#现网数据参考'!$A$1,MATCH(OFFSET($A87,-MOD(ROW()-1,3),0),'#现网数据参考'!$A:$A,0)-1,MATCH(H$2&amp;$E87,'#现网数据参考'!$3:$3,0)-1)*IF(OFFSET($A87,-MOD(ROW()-1,3),0)&lt;=9,0.6,1),0)</f>
        <v>74</v>
      </c>
      <c r="I87" s="1">
        <f ca="1">ROUND(OFFSET('#现网数据参考'!$A$1,MATCH(OFFSET($A87,-MOD(ROW()-1,3),0),'#现网数据参考'!$A:$A,0)-1,MATCH(I$2&amp;$E87,'#现网数据参考'!$3:$3,0)-1)*IF(OFFSET($A87,-MOD(ROW()-1,3),0)&lt;=9,0.6,1),0)</f>
        <v>21</v>
      </c>
      <c r="J87" s="1">
        <f ca="1">ROUND(OFFSET('#现网数据参考'!$A$1,MATCH(OFFSET($A87,-MOD(ROW()-1,3),0),'#现网数据参考'!$A:$A,0)-1,MATCH(J$2&amp;$E87,'#现网数据参考'!$3:$3,0)-1)*IF(OFFSET($A87,-MOD(ROW()-1,3),0)&lt;=9,0.6,1),0)</f>
        <v>26</v>
      </c>
      <c r="K87" s="1">
        <f ca="1">ROUND(OFFSET('#现网数据参考'!$A$1,MATCH(OFFSET($A87,-MOD(ROW()-1,3),0),'#现网数据参考'!$A:$A,0)-1,MATCH(K$2&amp;$E87,'#现网数据参考'!$3:$3,0)-1)*IF(OFFSET($A87,-MOD(ROW()-1,3),0)&lt;=9,0.6,1),0)</f>
        <v>57</v>
      </c>
      <c r="L87" s="1">
        <f ca="1">ROUND(OFFSET('#现网数据参考'!$A$1,MATCH(OFFSET($A87,-MOD(ROW()-1,3),0),'#现网数据参考'!$A:$A,0)-1,MATCH(L$2&amp;$E87,'#现网数据参考'!$3:$3,0)-1),0)</f>
        <v>5</v>
      </c>
    </row>
    <row r="88" spans="1:12" ht="20.149999999999999" customHeight="1" x14ac:dyDescent="0.35">
      <c r="A88" s="1">
        <v>29</v>
      </c>
      <c r="B88" s="1">
        <f>IF($A88="","",ROUND(_xlfn.XLOOKUP($A88,'#现网数据参考'!$A:$A,'#现网数据参考'!G:G)*IF($A88&lt;=9,0.5,1),0))</f>
        <v>16999117</v>
      </c>
      <c r="C88" s="1">
        <f>IF($A88="","",ROUND(_xlfn.XLOOKUP($A88,'#现网数据参考'!$A:$A,'#现网数据参考'!P:P),0))</f>
        <v>6</v>
      </c>
      <c r="D88" s="1">
        <v>1</v>
      </c>
      <c r="E88" s="1">
        <v>20</v>
      </c>
      <c r="F88" s="1">
        <f ca="1">ROUND(OFFSET('#现网数据参考'!$A$1,MATCH(OFFSET($A88,-MOD(ROW()-1,3),0),'#现网数据参考'!$A:$A,0)-1,MATCH(F$2&amp;$E88,'#现网数据参考'!$3:$3,0)-1)*IF(OFFSET($A88,-MOD(ROW()-1,3),0)&lt;=9,0.6,1),0)</f>
        <v>70</v>
      </c>
      <c r="G88" s="31">
        <f ca="1">_xlfn.XLOOKUP(OFFSET($A88,-MOD(ROW()-1,3),0),'#出征索引'!A:A,'#出征索引'!B:B)+_xlfn.XLOOKUP(OFFSET($A88,-MOD(ROW()-1,3),0),'#出征索引'!A:A,'#出征索引'!C:C)*_xlfn.XLOOKUP(F88,'#出征索引'!E:E,'#出征索引'!F:F)</f>
        <v>79100</v>
      </c>
      <c r="H88" s="1">
        <f ca="1">ROUND(OFFSET('#现网数据参考'!$A$1,MATCH(OFFSET($A88,-MOD(ROW()-1,3),0),'#现网数据参考'!$A:$A,0)-1,MATCH(H$2&amp;$E88,'#现网数据参考'!$3:$3,0)-1)*IF(OFFSET($A88,-MOD(ROW()-1,3),0)&lt;=9,0.6,1),0)</f>
        <v>70</v>
      </c>
      <c r="I88" s="1">
        <f ca="1">ROUND(OFFSET('#现网数据参考'!$A$1,MATCH(OFFSET($A88,-MOD(ROW()-1,3),0),'#现网数据参考'!$A:$A,0)-1,MATCH(I$2&amp;$E88,'#现网数据参考'!$3:$3,0)-1)*IF(OFFSET($A88,-MOD(ROW()-1,3),0)&lt;=9,0.6,1),0)</f>
        <v>19</v>
      </c>
      <c r="J88" s="1">
        <f ca="1">ROUND(OFFSET('#现网数据参考'!$A$1,MATCH(OFFSET($A88,-MOD(ROW()-1,3),0),'#现网数据参考'!$A:$A,0)-1,MATCH(J$2&amp;$E88,'#现网数据参考'!$3:$3,0)-1)*IF(OFFSET($A88,-MOD(ROW()-1,3),0)&lt;=9,0.6,1),0)</f>
        <v>16</v>
      </c>
      <c r="K88" s="1">
        <f ca="1">ROUND(OFFSET('#现网数据参考'!$A$1,MATCH(OFFSET($A88,-MOD(ROW()-1,3),0),'#现网数据参考'!$A:$A,0)-1,MATCH(K$2&amp;$E88,'#现网数据参考'!$3:$3,0)-1)*IF(OFFSET($A88,-MOD(ROW()-1,3),0)&lt;=9,0.6,1),0)</f>
        <v>44</v>
      </c>
      <c r="L88" s="1">
        <f ca="1">ROUND(OFFSET('#现网数据参考'!$A$1,MATCH(OFFSET($A88,-MOD(ROW()-1,3),0),'#现网数据参考'!$A:$A,0)-1,MATCH(L$2&amp;$E88,'#现网数据参考'!$3:$3,0)-1),0)</f>
        <v>5</v>
      </c>
    </row>
    <row r="89" spans="1:12" ht="20.149999999999999" customHeight="1" x14ac:dyDescent="0.35">
      <c r="B89" s="1" t="str">
        <f>IF($A89="","",ROUND(_xlfn.XLOOKUP($A89,'#现网数据参考'!$A:$A,'#现网数据参考'!G:G)*IF($A89&lt;=9,0.5,1),0))</f>
        <v/>
      </c>
      <c r="C89" s="1" t="str">
        <f>IF($A89="","",ROUND(_xlfn.XLOOKUP($A89,'#现网数据参考'!$A:$A,'#现网数据参考'!P:P),0))</f>
        <v/>
      </c>
      <c r="D89" s="1">
        <v>2</v>
      </c>
      <c r="E89" s="1">
        <v>40</v>
      </c>
      <c r="F89" s="1">
        <f ca="1">ROUND(OFFSET('#现网数据参考'!$A$1,MATCH(OFFSET($A89,-MOD(ROW()-1,3),0),'#现网数据参考'!$A:$A,0)-1,MATCH(F$2&amp;$E89,'#现网数据参考'!$3:$3,0)-1)*IF(OFFSET($A89,-MOD(ROW()-1,3),0)&lt;=9,0.6,1),0)</f>
        <v>89</v>
      </c>
      <c r="G89" s="31">
        <f ca="1">_xlfn.XLOOKUP(OFFSET($A89,-MOD(ROW()-1,3),0),'#出征索引'!A:A,'#出征索引'!B:B)+_xlfn.XLOOKUP(OFFSET($A89,-MOD(ROW()-1,3),0),'#出征索引'!A:A,'#出征索引'!C:C)*_xlfn.XLOOKUP(F89,'#出征索引'!E:E,'#出征索引'!F:F)</f>
        <v>90500</v>
      </c>
      <c r="H89" s="1">
        <f ca="1">ROUND(OFFSET('#现网数据参考'!$A$1,MATCH(OFFSET($A89,-MOD(ROW()-1,3),0),'#现网数据参考'!$A:$A,0)-1,MATCH(H$2&amp;$E89,'#现网数据参考'!$3:$3,0)-1)*IF(OFFSET($A89,-MOD(ROW()-1,3),0)&lt;=9,0.6,1),0)</f>
        <v>74</v>
      </c>
      <c r="I89" s="1">
        <f ca="1">ROUND(OFFSET('#现网数据参考'!$A$1,MATCH(OFFSET($A89,-MOD(ROW()-1,3),0),'#现网数据参考'!$A:$A,0)-1,MATCH(I$2&amp;$E89,'#现网数据参考'!$3:$3,0)-1)*IF(OFFSET($A89,-MOD(ROW()-1,3),0)&lt;=9,0.6,1),0)</f>
        <v>21</v>
      </c>
      <c r="J89" s="1">
        <f ca="1">ROUND(OFFSET('#现网数据参考'!$A$1,MATCH(OFFSET($A89,-MOD(ROW()-1,3),0),'#现网数据参考'!$A:$A,0)-1,MATCH(J$2&amp;$E89,'#现网数据参考'!$3:$3,0)-1)*IF(OFFSET($A89,-MOD(ROW()-1,3),0)&lt;=9,0.6,1),0)</f>
        <v>21</v>
      </c>
      <c r="K89" s="1">
        <f ca="1">ROUND(OFFSET('#现网数据参考'!$A$1,MATCH(OFFSET($A89,-MOD(ROW()-1,3),0),'#现网数据参考'!$A:$A,0)-1,MATCH(K$2&amp;$E89,'#现网数据参考'!$3:$3,0)-1)*IF(OFFSET($A89,-MOD(ROW()-1,3),0)&lt;=9,0.6,1),0)</f>
        <v>51</v>
      </c>
      <c r="L89" s="1">
        <f ca="1">ROUND(OFFSET('#现网数据参考'!$A$1,MATCH(OFFSET($A89,-MOD(ROW()-1,3),0),'#现网数据参考'!$A:$A,0)-1,MATCH(L$2&amp;$E89,'#现网数据参考'!$3:$3,0)-1),0)</f>
        <v>5</v>
      </c>
    </row>
    <row r="90" spans="1:12" ht="20.149999999999999" customHeight="1" x14ac:dyDescent="0.35">
      <c r="B90" s="1" t="str">
        <f>IF($A90="","",ROUND(_xlfn.XLOOKUP($A90,'#现网数据参考'!$A:$A,'#现网数据参考'!G:G)*IF($A90&lt;=9,0.5,1),0))</f>
        <v/>
      </c>
      <c r="C90" s="1" t="str">
        <f>IF($A90="","",ROUND(_xlfn.XLOOKUP($A90,'#现网数据参考'!$A:$A,'#现网数据参考'!P:P),0))</f>
        <v/>
      </c>
      <c r="D90" s="1">
        <v>3</v>
      </c>
      <c r="E90" s="1">
        <v>60</v>
      </c>
      <c r="F90" s="1">
        <f ca="1">ROUND(OFFSET('#现网数据参考'!$A$1,MATCH(OFFSET($A90,-MOD(ROW()-1,3),0),'#现网数据参考'!$A:$A,0)-1,MATCH(F$2&amp;$E90,'#现网数据参考'!$3:$3,0)-1)*IF(OFFSET($A90,-MOD(ROW()-1,3),0)&lt;=9,0.6,1),0)</f>
        <v>101</v>
      </c>
      <c r="G90" s="31">
        <f ca="1">_xlfn.XLOOKUP(OFFSET($A90,-MOD(ROW()-1,3),0),'#出征索引'!A:A,'#出征索引'!B:B)+_xlfn.XLOOKUP(OFFSET($A90,-MOD(ROW()-1,3),0),'#出征索引'!A:A,'#出征索引'!C:C)*_xlfn.XLOOKUP(F90,'#出征索引'!E:E,'#出征索引'!F:F)</f>
        <v>97700</v>
      </c>
      <c r="H90" s="1">
        <f ca="1">ROUND(OFFSET('#现网数据参考'!$A$1,MATCH(OFFSET($A90,-MOD(ROW()-1,3),0),'#现网数据参考'!$A:$A,0)-1,MATCH(H$2&amp;$E90,'#现网数据参考'!$3:$3,0)-1)*IF(OFFSET($A90,-MOD(ROW()-1,3),0)&lt;=9,0.6,1),0)</f>
        <v>77</v>
      </c>
      <c r="I90" s="1">
        <f ca="1">ROUND(OFFSET('#现网数据参考'!$A$1,MATCH(OFFSET($A90,-MOD(ROW()-1,3),0),'#现网数据参考'!$A:$A,0)-1,MATCH(I$2&amp;$E90,'#现网数据参考'!$3:$3,0)-1)*IF(OFFSET($A90,-MOD(ROW()-1,3),0)&lt;=9,0.6,1),0)</f>
        <v>22</v>
      </c>
      <c r="J90" s="1">
        <f ca="1">ROUND(OFFSET('#现网数据参考'!$A$1,MATCH(OFFSET($A90,-MOD(ROW()-1,3),0),'#现网数据参考'!$A:$A,0)-1,MATCH(J$2&amp;$E90,'#现网数据参考'!$3:$3,0)-1)*IF(OFFSET($A90,-MOD(ROW()-1,3),0)&lt;=9,0.6,1),0)</f>
        <v>24</v>
      </c>
      <c r="K90" s="1">
        <f ca="1">ROUND(OFFSET('#现网数据参考'!$A$1,MATCH(OFFSET($A90,-MOD(ROW()-1,3),0),'#现网数据参考'!$A:$A,0)-1,MATCH(K$2&amp;$E90,'#现网数据参考'!$3:$3,0)-1)*IF(OFFSET($A90,-MOD(ROW()-1,3),0)&lt;=9,0.6,1),0)</f>
        <v>59</v>
      </c>
      <c r="L90" s="1">
        <f ca="1">ROUND(OFFSET('#现网数据参考'!$A$1,MATCH(OFFSET($A90,-MOD(ROW()-1,3),0),'#现网数据参考'!$A:$A,0)-1,MATCH(L$2&amp;$E90,'#现网数据参考'!$3:$3,0)-1),0)</f>
        <v>5</v>
      </c>
    </row>
    <row r="91" spans="1:12" ht="20.149999999999999" customHeight="1" x14ac:dyDescent="0.35">
      <c r="A91" s="1">
        <v>30</v>
      </c>
      <c r="B91" s="1">
        <f>IF($A91="","",ROUND(_xlfn.XLOOKUP($A91,'#现网数据参考'!$A:$A,'#现网数据参考'!G:G)*IF($A91&lt;=9,0.5,1),0))</f>
        <v>24943851</v>
      </c>
      <c r="C91" s="1">
        <f>IF($A91="","",ROUND(_xlfn.XLOOKUP($A91,'#现网数据参考'!$A:$A,'#现网数据参考'!P:P),0))</f>
        <v>7</v>
      </c>
      <c r="D91" s="1">
        <v>1</v>
      </c>
      <c r="E91" s="1">
        <v>20</v>
      </c>
      <c r="F91" s="1">
        <f ca="1">ROUND(OFFSET('#现网数据参考'!$A$1,MATCH(OFFSET($A91,-MOD(ROW()-1,3),0),'#现网数据参考'!$A:$A,0)-1,MATCH(F$2&amp;$E91,'#现网数据参考'!$3:$3,0)-1)*IF(OFFSET($A91,-MOD(ROW()-1,3),0)&lt;=9,0.6,1),0)</f>
        <v>79</v>
      </c>
      <c r="G91" s="31">
        <f ca="1">_xlfn.XLOOKUP(OFFSET($A91,-MOD(ROW()-1,3),0),'#出征索引'!A:A,'#出征索引'!B:B)+_xlfn.XLOOKUP(OFFSET($A91,-MOD(ROW()-1,3),0),'#出征索引'!A:A,'#出征索引'!C:C)*_xlfn.XLOOKUP(F91,'#出征索引'!E:E,'#出征索引'!F:F)</f>
        <v>88000</v>
      </c>
      <c r="H91" s="1">
        <f ca="1">ROUND(OFFSET('#现网数据参考'!$A$1,MATCH(OFFSET($A91,-MOD(ROW()-1,3),0),'#现网数据参考'!$A:$A,0)-1,MATCH(H$2&amp;$E91,'#现网数据参考'!$3:$3,0)-1)*IF(OFFSET($A91,-MOD(ROW()-1,3),0)&lt;=9,0.6,1),0)</f>
        <v>77</v>
      </c>
      <c r="I91" s="1">
        <f ca="1">ROUND(OFFSET('#现网数据参考'!$A$1,MATCH(OFFSET($A91,-MOD(ROW()-1,3),0),'#现网数据参考'!$A:$A,0)-1,MATCH(I$2&amp;$E91,'#现网数据参考'!$3:$3,0)-1)*IF(OFFSET($A91,-MOD(ROW()-1,3),0)&lt;=9,0.6,1),0)</f>
        <v>20</v>
      </c>
      <c r="J91" s="1">
        <f ca="1">ROUND(OFFSET('#现网数据参考'!$A$1,MATCH(OFFSET($A91,-MOD(ROW()-1,3),0),'#现网数据参考'!$A:$A,0)-1,MATCH(J$2&amp;$E91,'#现网数据参考'!$3:$3,0)-1)*IF(OFFSET($A91,-MOD(ROW()-1,3),0)&lt;=9,0.6,1),0)</f>
        <v>18</v>
      </c>
      <c r="K91" s="1">
        <f ca="1">ROUND(OFFSET('#现网数据参考'!$A$1,MATCH(OFFSET($A91,-MOD(ROW()-1,3),0),'#现网数据参考'!$A:$A,0)-1,MATCH(K$2&amp;$E91,'#现网数据参考'!$3:$3,0)-1)*IF(OFFSET($A91,-MOD(ROW()-1,3),0)&lt;=9,0.6,1),0)</f>
        <v>47</v>
      </c>
      <c r="L91" s="1">
        <f ca="1">ROUND(OFFSET('#现网数据参考'!$A$1,MATCH(OFFSET($A91,-MOD(ROW()-1,3),0),'#现网数据参考'!$A:$A,0)-1,MATCH(L$2&amp;$E91,'#现网数据参考'!$3:$3,0)-1),0)</f>
        <v>5</v>
      </c>
    </row>
    <row r="92" spans="1:12" ht="20.149999999999999" customHeight="1" x14ac:dyDescent="0.35">
      <c r="B92" s="1" t="str">
        <f>IF($A92="","",ROUND(_xlfn.XLOOKUP($A92,'#现网数据参考'!$A:$A,'#现网数据参考'!G:G)*IF($A92&lt;=9,0.5,1),0))</f>
        <v/>
      </c>
      <c r="C92" s="1" t="str">
        <f>IF($A92="","",ROUND(_xlfn.XLOOKUP($A92,'#现网数据参考'!$A:$A,'#现网数据参考'!P:P),0))</f>
        <v/>
      </c>
      <c r="D92" s="1">
        <v>2</v>
      </c>
      <c r="E92" s="1">
        <v>40</v>
      </c>
      <c r="F92" s="1">
        <f ca="1">ROUND(OFFSET('#现网数据参考'!$A$1,MATCH(OFFSET($A92,-MOD(ROW()-1,3),0),'#现网数据参考'!$A:$A,0)-1,MATCH(F$2&amp;$E92,'#现网数据参考'!$3:$3,0)-1)*IF(OFFSET($A92,-MOD(ROW()-1,3),0)&lt;=9,0.6,1),0)</f>
        <v>101</v>
      </c>
      <c r="G92" s="31">
        <f ca="1">_xlfn.XLOOKUP(OFFSET($A92,-MOD(ROW()-1,3),0),'#出征索引'!A:A,'#出征索引'!B:B)+_xlfn.XLOOKUP(OFFSET($A92,-MOD(ROW()-1,3),0),'#出征索引'!A:A,'#出征索引'!C:C)*_xlfn.XLOOKUP(F92,'#出征索引'!E:E,'#出征索引'!F:F)</f>
        <v>101200</v>
      </c>
      <c r="H92" s="1">
        <f ca="1">ROUND(OFFSET('#现网数据参考'!$A$1,MATCH(OFFSET($A92,-MOD(ROW()-1,3),0),'#现网数据参考'!$A:$A,0)-1,MATCH(H$2&amp;$E92,'#现网数据参考'!$3:$3,0)-1)*IF(OFFSET($A92,-MOD(ROW()-1,3),0)&lt;=9,0.6,1),0)</f>
        <v>82</v>
      </c>
      <c r="I92" s="1">
        <f ca="1">ROUND(OFFSET('#现网数据参考'!$A$1,MATCH(OFFSET($A92,-MOD(ROW()-1,3),0),'#现网数据参考'!$A:$A,0)-1,MATCH(I$2&amp;$E92,'#现网数据参考'!$3:$3,0)-1)*IF(OFFSET($A92,-MOD(ROW()-1,3),0)&lt;=9,0.6,1),0)</f>
        <v>22</v>
      </c>
      <c r="J92" s="1">
        <f ca="1">ROUND(OFFSET('#现网数据参考'!$A$1,MATCH(OFFSET($A92,-MOD(ROW()-1,3),0),'#现网数据参考'!$A:$A,0)-1,MATCH(J$2&amp;$E92,'#现网数据参考'!$3:$3,0)-1)*IF(OFFSET($A92,-MOD(ROW()-1,3),0)&lt;=9,0.6,1),0)</f>
        <v>26</v>
      </c>
      <c r="K92" s="1">
        <f ca="1">ROUND(OFFSET('#现网数据参考'!$A$1,MATCH(OFFSET($A92,-MOD(ROW()-1,3),0),'#现网数据参考'!$A:$A,0)-1,MATCH(K$2&amp;$E92,'#现网数据参考'!$3:$3,0)-1)*IF(OFFSET($A92,-MOD(ROW()-1,3),0)&lt;=9,0.6,1),0)</f>
        <v>52</v>
      </c>
      <c r="L92" s="1">
        <f ca="1">ROUND(OFFSET('#现网数据参考'!$A$1,MATCH(OFFSET($A92,-MOD(ROW()-1,3),0),'#现网数据参考'!$A:$A,0)-1,MATCH(L$2&amp;$E92,'#现网数据参考'!$3:$3,0)-1),0)</f>
        <v>5</v>
      </c>
    </row>
    <row r="93" spans="1:12" ht="20.149999999999999" customHeight="1" x14ac:dyDescent="0.35">
      <c r="B93" s="1" t="str">
        <f>IF($A93="","",ROUND(_xlfn.XLOOKUP($A93,'#现网数据参考'!$A:$A,'#现网数据参考'!G:G)*IF($A93&lt;=9,0.5,1),0))</f>
        <v/>
      </c>
      <c r="C93" s="1" t="str">
        <f>IF($A93="","",ROUND(_xlfn.XLOOKUP($A93,'#现网数据参考'!$A:$A,'#现网数据参考'!P:P),0))</f>
        <v/>
      </c>
      <c r="D93" s="1">
        <v>3</v>
      </c>
      <c r="E93" s="1">
        <v>60</v>
      </c>
      <c r="F93" s="1">
        <f ca="1">ROUND(OFFSET('#现网数据参考'!$A$1,MATCH(OFFSET($A93,-MOD(ROW()-1,3),0),'#现网数据参考'!$A:$A,0)-1,MATCH(F$2&amp;$E93,'#现网数据参考'!$3:$3,0)-1)*IF(OFFSET($A93,-MOD(ROW()-1,3),0)&lt;=9,0.6,1),0)</f>
        <v>111</v>
      </c>
      <c r="G93" s="31">
        <f ca="1">_xlfn.XLOOKUP(OFFSET($A93,-MOD(ROW()-1,3),0),'#出征索引'!A:A,'#出征索引'!B:B)+_xlfn.XLOOKUP(OFFSET($A93,-MOD(ROW()-1,3),0),'#出征索引'!A:A,'#出征索引'!C:C)*_xlfn.XLOOKUP(F93,'#出征索引'!E:E,'#出征索引'!F:F)</f>
        <v>107200</v>
      </c>
      <c r="H93" s="1">
        <f ca="1">ROUND(OFFSET('#现网数据参考'!$A$1,MATCH(OFFSET($A93,-MOD(ROW()-1,3),0),'#现网数据参考'!$A:$A,0)-1,MATCH(H$2&amp;$E93,'#现网数据参考'!$3:$3,0)-1)*IF(OFFSET($A93,-MOD(ROW()-1,3),0)&lt;=9,0.6,1),0)</f>
        <v>87</v>
      </c>
      <c r="I93" s="1">
        <f ca="1">ROUND(OFFSET('#现网数据参考'!$A$1,MATCH(OFFSET($A93,-MOD(ROW()-1,3),0),'#现网数据参考'!$A:$A,0)-1,MATCH(I$2&amp;$E93,'#现网数据参考'!$3:$3,0)-1)*IF(OFFSET($A93,-MOD(ROW()-1,3),0)&lt;=9,0.6,1),0)</f>
        <v>24</v>
      </c>
      <c r="J93" s="1">
        <f ca="1">ROUND(OFFSET('#现网数据参考'!$A$1,MATCH(OFFSET($A93,-MOD(ROW()-1,3),0),'#现网数据参考'!$A:$A,0)-1,MATCH(J$2&amp;$E93,'#现网数据参考'!$3:$3,0)-1)*IF(OFFSET($A93,-MOD(ROW()-1,3),0)&lt;=9,0.6,1),0)</f>
        <v>30</v>
      </c>
      <c r="K93" s="1">
        <f ca="1">ROUND(OFFSET('#现网数据参考'!$A$1,MATCH(OFFSET($A93,-MOD(ROW()-1,3),0),'#现网数据参考'!$A:$A,0)-1,MATCH(K$2&amp;$E93,'#现网数据参考'!$3:$3,0)-1)*IF(OFFSET($A93,-MOD(ROW()-1,3),0)&lt;=9,0.6,1),0)</f>
        <v>59</v>
      </c>
      <c r="L93" s="1">
        <f ca="1">ROUND(OFFSET('#现网数据参考'!$A$1,MATCH(OFFSET($A93,-MOD(ROW()-1,3),0),'#现网数据参考'!$A:$A,0)-1,MATCH(L$2&amp;$E93,'#现网数据参考'!$3:$3,0)-1),0)</f>
        <v>5</v>
      </c>
    </row>
    <row r="94" spans="1:12" ht="20.149999999999999" customHeight="1" x14ac:dyDescent="0.5">
      <c r="A94" s="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FD06-3202-4F27-B354-B9AB609488B2}">
  <dimension ref="A1:BU203"/>
  <sheetViews>
    <sheetView topLeftCell="AK1" workbookViewId="0">
      <selection activeCell="BI34" sqref="BI34"/>
    </sheetView>
  </sheetViews>
  <sheetFormatPr defaultColWidth="8.640625" defaultRowHeight="14.15" x14ac:dyDescent="0.35"/>
  <cols>
    <col min="1" max="1" width="8.35546875" style="20" bestFit="1" customWidth="1"/>
    <col min="2" max="3" width="9.640625" style="20" bestFit="1" customWidth="1"/>
    <col min="4" max="4" width="9.85546875" style="20" bestFit="1" customWidth="1"/>
    <col min="5" max="5" width="9.640625" style="20" bestFit="1" customWidth="1"/>
    <col min="6" max="6" width="9.85546875" style="20" bestFit="1" customWidth="1"/>
    <col min="7" max="9" width="9.640625" style="20" bestFit="1" customWidth="1"/>
    <col min="10" max="10" width="9.85546875" style="20" bestFit="1" customWidth="1"/>
    <col min="11" max="28" width="8.5" style="20" bestFit="1" customWidth="1"/>
    <col min="29" max="37" width="8.5703125" style="20" bestFit="1" customWidth="1"/>
    <col min="38" max="46" width="8.42578125" style="20" bestFit="1" customWidth="1"/>
    <col min="47" max="55" width="9.85546875" style="20" customWidth="1"/>
    <col min="56" max="64" width="8.7109375" style="20" bestFit="1" customWidth="1"/>
    <col min="65" max="73" width="9.7109375" style="20" customWidth="1"/>
    <col min="74" max="16384" width="8.640625" style="20"/>
  </cols>
  <sheetData>
    <row r="1" spans="1:73" s="16" customFormat="1" ht="42.45" x14ac:dyDescent="0.35">
      <c r="B1" s="15" t="s">
        <v>132</v>
      </c>
      <c r="C1" s="15" t="s">
        <v>132</v>
      </c>
      <c r="D1" s="15" t="s">
        <v>132</v>
      </c>
      <c r="E1" s="15" t="s">
        <v>132</v>
      </c>
      <c r="F1" s="15" t="s">
        <v>132</v>
      </c>
      <c r="G1" s="15" t="s">
        <v>132</v>
      </c>
      <c r="H1" s="15" t="s">
        <v>132</v>
      </c>
      <c r="I1" s="15" t="s">
        <v>132</v>
      </c>
      <c r="J1" s="15" t="s">
        <v>132</v>
      </c>
      <c r="K1" s="15" t="s">
        <v>133</v>
      </c>
      <c r="L1" s="15" t="s">
        <v>133</v>
      </c>
      <c r="M1" s="15" t="s">
        <v>133</v>
      </c>
      <c r="N1" s="15" t="s">
        <v>133</v>
      </c>
      <c r="O1" s="15" t="s">
        <v>133</v>
      </c>
      <c r="P1" s="15" t="s">
        <v>133</v>
      </c>
      <c r="Q1" s="15" t="s">
        <v>133</v>
      </c>
      <c r="R1" s="15" t="s">
        <v>133</v>
      </c>
      <c r="S1" s="15" t="s">
        <v>133</v>
      </c>
      <c r="T1" s="15" t="s">
        <v>134</v>
      </c>
      <c r="U1" s="15" t="s">
        <v>134</v>
      </c>
      <c r="V1" s="15" t="s">
        <v>134</v>
      </c>
      <c r="W1" s="15" t="s">
        <v>134</v>
      </c>
      <c r="X1" s="15" t="s">
        <v>134</v>
      </c>
      <c r="Y1" s="15" t="s">
        <v>134</v>
      </c>
      <c r="Z1" s="15" t="s">
        <v>134</v>
      </c>
      <c r="AA1" s="15" t="s">
        <v>134</v>
      </c>
      <c r="AB1" s="15" t="s">
        <v>134</v>
      </c>
      <c r="AC1" s="15" t="s">
        <v>135</v>
      </c>
      <c r="AD1" s="15" t="s">
        <v>135</v>
      </c>
      <c r="AE1" s="15" t="s">
        <v>135</v>
      </c>
      <c r="AF1" s="15" t="s">
        <v>135</v>
      </c>
      <c r="AG1" s="15" t="s">
        <v>135</v>
      </c>
      <c r="AH1" s="15" t="s">
        <v>135</v>
      </c>
      <c r="AI1" s="15" t="s">
        <v>135</v>
      </c>
      <c r="AJ1" s="15" t="s">
        <v>135</v>
      </c>
      <c r="AK1" s="15" t="s">
        <v>135</v>
      </c>
      <c r="AL1" s="15" t="s">
        <v>136</v>
      </c>
      <c r="AM1" s="15" t="s">
        <v>136</v>
      </c>
      <c r="AN1" s="15" t="s">
        <v>136</v>
      </c>
      <c r="AO1" s="15" t="s">
        <v>136</v>
      </c>
      <c r="AP1" s="15" t="s">
        <v>136</v>
      </c>
      <c r="AQ1" s="15" t="s">
        <v>136</v>
      </c>
      <c r="AR1" s="15" t="s">
        <v>136</v>
      </c>
      <c r="AS1" s="15" t="s">
        <v>136</v>
      </c>
      <c r="AT1" s="15" t="s">
        <v>136</v>
      </c>
      <c r="AU1" s="15" t="s">
        <v>137</v>
      </c>
      <c r="AV1" s="15" t="s">
        <v>137</v>
      </c>
      <c r="AW1" s="15" t="s">
        <v>137</v>
      </c>
      <c r="AX1" s="15" t="s">
        <v>137</v>
      </c>
      <c r="AY1" s="15" t="s">
        <v>137</v>
      </c>
      <c r="AZ1" s="15" t="s">
        <v>137</v>
      </c>
      <c r="BA1" s="15" t="s">
        <v>137</v>
      </c>
      <c r="BB1" s="15" t="s">
        <v>137</v>
      </c>
      <c r="BC1" s="15" t="s">
        <v>137</v>
      </c>
      <c r="BD1" s="15" t="s">
        <v>138</v>
      </c>
      <c r="BE1" s="15" t="s">
        <v>138</v>
      </c>
      <c r="BF1" s="15" t="s">
        <v>138</v>
      </c>
      <c r="BG1" s="15" t="s">
        <v>138</v>
      </c>
      <c r="BH1" s="15" t="s">
        <v>138</v>
      </c>
      <c r="BI1" s="15" t="s">
        <v>138</v>
      </c>
      <c r="BJ1" s="15" t="s">
        <v>138</v>
      </c>
      <c r="BK1" s="15" t="s">
        <v>138</v>
      </c>
      <c r="BL1" s="15" t="s">
        <v>138</v>
      </c>
      <c r="BM1" s="15" t="s">
        <v>139</v>
      </c>
      <c r="BN1" s="15" t="s">
        <v>139</v>
      </c>
      <c r="BO1" s="15" t="s">
        <v>139</v>
      </c>
      <c r="BP1" s="15" t="s">
        <v>139</v>
      </c>
      <c r="BQ1" s="15" t="s">
        <v>139</v>
      </c>
      <c r="BR1" s="15" t="s">
        <v>139</v>
      </c>
      <c r="BS1" s="15" t="s">
        <v>139</v>
      </c>
      <c r="BT1" s="15" t="s">
        <v>139</v>
      </c>
      <c r="BU1" s="15" t="s">
        <v>139</v>
      </c>
    </row>
    <row r="2" spans="1:73" s="5" customFormat="1" x14ac:dyDescent="0.35">
      <c r="B2" s="5">
        <v>10</v>
      </c>
      <c r="C2" s="5">
        <v>20</v>
      </c>
      <c r="D2" s="5">
        <v>30</v>
      </c>
      <c r="E2" s="5">
        <v>40</v>
      </c>
      <c r="F2" s="5">
        <v>50</v>
      </c>
      <c r="G2" s="5">
        <v>60</v>
      </c>
      <c r="H2" s="5">
        <v>70</v>
      </c>
      <c r="I2" s="5">
        <v>80</v>
      </c>
      <c r="J2" s="5">
        <v>90</v>
      </c>
      <c r="K2" s="5">
        <v>10</v>
      </c>
      <c r="L2" s="5">
        <v>20</v>
      </c>
      <c r="M2" s="5">
        <v>30</v>
      </c>
      <c r="N2" s="5">
        <v>40</v>
      </c>
      <c r="O2" s="5">
        <v>50</v>
      </c>
      <c r="P2" s="5">
        <v>60</v>
      </c>
      <c r="Q2" s="5">
        <v>70</v>
      </c>
      <c r="R2" s="5">
        <v>80</v>
      </c>
      <c r="S2" s="5">
        <v>90</v>
      </c>
      <c r="T2" s="5">
        <v>10</v>
      </c>
      <c r="U2" s="5">
        <v>20</v>
      </c>
      <c r="V2" s="5">
        <v>30</v>
      </c>
      <c r="W2" s="5">
        <v>40</v>
      </c>
      <c r="X2" s="5">
        <v>50</v>
      </c>
      <c r="Y2" s="5">
        <v>60</v>
      </c>
      <c r="Z2" s="5">
        <v>70</v>
      </c>
      <c r="AA2" s="5">
        <v>80</v>
      </c>
      <c r="AB2" s="5">
        <v>90</v>
      </c>
      <c r="AC2" s="5">
        <v>10</v>
      </c>
      <c r="AD2" s="5">
        <v>20</v>
      </c>
      <c r="AE2" s="5">
        <v>30</v>
      </c>
      <c r="AF2" s="5">
        <v>40</v>
      </c>
      <c r="AG2" s="5">
        <v>50</v>
      </c>
      <c r="AH2" s="5">
        <v>60</v>
      </c>
      <c r="AI2" s="5">
        <v>70</v>
      </c>
      <c r="AJ2" s="5">
        <v>80</v>
      </c>
      <c r="AK2" s="5">
        <v>90</v>
      </c>
      <c r="AL2" s="5">
        <v>10</v>
      </c>
      <c r="AM2" s="5">
        <v>20</v>
      </c>
      <c r="AN2" s="5">
        <v>30</v>
      </c>
      <c r="AO2" s="5">
        <v>40</v>
      </c>
      <c r="AP2" s="5">
        <v>50</v>
      </c>
      <c r="AQ2" s="5">
        <v>60</v>
      </c>
      <c r="AR2" s="5">
        <v>70</v>
      </c>
      <c r="AS2" s="5">
        <v>80</v>
      </c>
      <c r="AT2" s="5">
        <v>90</v>
      </c>
      <c r="AU2" s="5">
        <v>10</v>
      </c>
      <c r="AV2" s="5">
        <v>20</v>
      </c>
      <c r="AW2" s="5">
        <v>30</v>
      </c>
      <c r="AX2" s="5">
        <v>40</v>
      </c>
      <c r="AY2" s="5">
        <v>50</v>
      </c>
      <c r="AZ2" s="5">
        <v>60</v>
      </c>
      <c r="BA2" s="5">
        <v>70</v>
      </c>
      <c r="BB2" s="5">
        <v>80</v>
      </c>
      <c r="BC2" s="5">
        <v>90</v>
      </c>
      <c r="BD2" s="5">
        <v>10</v>
      </c>
      <c r="BE2" s="5">
        <v>20</v>
      </c>
      <c r="BF2" s="5">
        <v>30</v>
      </c>
      <c r="BG2" s="5">
        <v>40</v>
      </c>
      <c r="BH2" s="5">
        <v>50</v>
      </c>
      <c r="BI2" s="5">
        <v>60</v>
      </c>
      <c r="BJ2" s="5">
        <v>70</v>
      </c>
      <c r="BK2" s="5">
        <v>80</v>
      </c>
      <c r="BL2" s="5">
        <v>90</v>
      </c>
      <c r="BM2" s="5">
        <v>10</v>
      </c>
      <c r="BN2" s="5">
        <v>20</v>
      </c>
      <c r="BO2" s="5">
        <v>30</v>
      </c>
      <c r="BP2" s="5">
        <v>40</v>
      </c>
      <c r="BQ2" s="5">
        <v>50</v>
      </c>
      <c r="BR2" s="5">
        <v>60</v>
      </c>
      <c r="BS2" s="5">
        <v>70</v>
      </c>
      <c r="BT2" s="5">
        <v>80</v>
      </c>
      <c r="BU2" s="5">
        <v>90</v>
      </c>
    </row>
    <row r="3" spans="1:73" s="5" customFormat="1" x14ac:dyDescent="0.35">
      <c r="B3" s="5" t="str">
        <f>B1&amp;B2</f>
        <v>战斗力10</v>
      </c>
      <c r="C3" s="5" t="str">
        <f t="shared" ref="C3:BN3" si="0">C1&amp;C2</f>
        <v>战斗力20</v>
      </c>
      <c r="D3" s="5" t="str">
        <f t="shared" si="0"/>
        <v>战斗力30</v>
      </c>
      <c r="E3" s="5" t="str">
        <f t="shared" si="0"/>
        <v>战斗力40</v>
      </c>
      <c r="F3" s="5" t="str">
        <f t="shared" si="0"/>
        <v>战斗力50</v>
      </c>
      <c r="G3" s="5" t="str">
        <f t="shared" si="0"/>
        <v>战斗力60</v>
      </c>
      <c r="H3" s="5" t="str">
        <f t="shared" si="0"/>
        <v>战斗力70</v>
      </c>
      <c r="I3" s="5" t="str">
        <f t="shared" si="0"/>
        <v>战斗力80</v>
      </c>
      <c r="J3" s="5" t="str">
        <f t="shared" si="0"/>
        <v>战斗力90</v>
      </c>
      <c r="K3" s="5" t="str">
        <f t="shared" si="0"/>
        <v>解锁的士兵等级10</v>
      </c>
      <c r="L3" s="5" t="str">
        <f t="shared" si="0"/>
        <v>解锁的士兵等级20</v>
      </c>
      <c r="M3" s="5" t="str">
        <f t="shared" si="0"/>
        <v>解锁的士兵等级30</v>
      </c>
      <c r="N3" s="5" t="str">
        <f t="shared" si="0"/>
        <v>解锁的士兵等级40</v>
      </c>
      <c r="O3" s="5" t="str">
        <f t="shared" si="0"/>
        <v>解锁的士兵等级50</v>
      </c>
      <c r="P3" s="5" t="str">
        <f t="shared" si="0"/>
        <v>解锁的士兵等级60</v>
      </c>
      <c r="Q3" s="5" t="str">
        <f t="shared" si="0"/>
        <v>解锁的士兵等级70</v>
      </c>
      <c r="R3" s="5" t="str">
        <f t="shared" si="0"/>
        <v>解锁的士兵等级80</v>
      </c>
      <c r="S3" s="5" t="str">
        <f t="shared" si="0"/>
        <v>解锁的士兵等级90</v>
      </c>
      <c r="T3" s="5" t="str">
        <f t="shared" si="0"/>
        <v>已研究科技数量10</v>
      </c>
      <c r="U3" s="5" t="str">
        <f t="shared" si="0"/>
        <v>已研究科技数量20</v>
      </c>
      <c r="V3" s="5" t="str">
        <f t="shared" si="0"/>
        <v>已研究科技数量30</v>
      </c>
      <c r="W3" s="5" t="str">
        <f t="shared" si="0"/>
        <v>已研究科技数量40</v>
      </c>
      <c r="X3" s="5" t="str">
        <f t="shared" si="0"/>
        <v>已研究科技数量50</v>
      </c>
      <c r="Y3" s="5" t="str">
        <f t="shared" si="0"/>
        <v>已研究科技数量60</v>
      </c>
      <c r="Z3" s="5" t="str">
        <f t="shared" si="0"/>
        <v>已研究科技数量70</v>
      </c>
      <c r="AA3" s="5" t="str">
        <f t="shared" si="0"/>
        <v>已研究科技数量80</v>
      </c>
      <c r="AB3" s="5" t="str">
        <f t="shared" si="0"/>
        <v>已研究科技数量90</v>
      </c>
      <c r="AC3" s="5" t="str">
        <f t="shared" si="0"/>
        <v>已解锁部队数量10</v>
      </c>
      <c r="AD3" s="5" t="str">
        <f t="shared" si="0"/>
        <v>已解锁部队数量20</v>
      </c>
      <c r="AE3" s="5" t="str">
        <f t="shared" si="0"/>
        <v>已解锁部队数量30</v>
      </c>
      <c r="AF3" s="5" t="str">
        <f t="shared" si="0"/>
        <v>已解锁部队数量40</v>
      </c>
      <c r="AG3" s="5" t="str">
        <f t="shared" si="0"/>
        <v>已解锁部队数量50</v>
      </c>
      <c r="AH3" s="5" t="str">
        <f t="shared" si="0"/>
        <v>已解锁部队数量60</v>
      </c>
      <c r="AI3" s="5" t="str">
        <f t="shared" si="0"/>
        <v>已解锁部队数量70</v>
      </c>
      <c r="AJ3" s="5" t="str">
        <f t="shared" si="0"/>
        <v>已解锁部队数量80</v>
      </c>
      <c r="AK3" s="5" t="str">
        <f t="shared" si="0"/>
        <v>已解锁部队数量90</v>
      </c>
      <c r="AL3" s="5" t="str">
        <f t="shared" si="0"/>
        <v>已穿戴装备数量10</v>
      </c>
      <c r="AM3" s="5" t="str">
        <f t="shared" si="0"/>
        <v>已穿戴装备数量20</v>
      </c>
      <c r="AN3" s="5" t="str">
        <f t="shared" si="0"/>
        <v>已穿戴装备数量30</v>
      </c>
      <c r="AO3" s="5" t="str">
        <f t="shared" si="0"/>
        <v>已穿戴装备数量40</v>
      </c>
      <c r="AP3" s="5" t="str">
        <f t="shared" si="0"/>
        <v>已穿戴装备数量50</v>
      </c>
      <c r="AQ3" s="5" t="str">
        <f t="shared" si="0"/>
        <v>已穿戴装备数量60</v>
      </c>
      <c r="AR3" s="5" t="str">
        <f t="shared" si="0"/>
        <v>已穿戴装备数量70</v>
      </c>
      <c r="AS3" s="5" t="str">
        <f t="shared" si="0"/>
        <v>已穿戴装备数量80</v>
      </c>
      <c r="AT3" s="5" t="str">
        <f t="shared" si="0"/>
        <v>已穿戴装备数量90</v>
      </c>
      <c r="AU3" s="5" t="str">
        <f t="shared" si="0"/>
        <v>已解锁建筑平均等级10</v>
      </c>
      <c r="AV3" s="5" t="str">
        <f t="shared" si="0"/>
        <v>已解锁建筑平均等级20</v>
      </c>
      <c r="AW3" s="5" t="str">
        <f t="shared" si="0"/>
        <v>已解锁建筑平均等级30</v>
      </c>
      <c r="AX3" s="5" t="str">
        <f t="shared" si="0"/>
        <v>已解锁建筑平均等级40</v>
      </c>
      <c r="AY3" s="5" t="str">
        <f t="shared" si="0"/>
        <v>已解锁建筑平均等级50</v>
      </c>
      <c r="AZ3" s="5" t="str">
        <f t="shared" si="0"/>
        <v>已解锁建筑平均等级60</v>
      </c>
      <c r="BA3" s="5" t="str">
        <f t="shared" si="0"/>
        <v>已解锁建筑平均等级70</v>
      </c>
      <c r="BB3" s="5" t="str">
        <f t="shared" si="0"/>
        <v>已解锁建筑平均等级80</v>
      </c>
      <c r="BC3" s="5" t="str">
        <f t="shared" si="0"/>
        <v>已解锁建筑平均等级90</v>
      </c>
      <c r="BD3" s="5" t="str">
        <f t="shared" si="0"/>
        <v>上阵英雄平均等级10</v>
      </c>
      <c r="BE3" s="5" t="str">
        <f t="shared" si="0"/>
        <v>上阵英雄平均等级20</v>
      </c>
      <c r="BF3" s="5" t="str">
        <f t="shared" si="0"/>
        <v>上阵英雄平均等级30</v>
      </c>
      <c r="BG3" s="5" t="str">
        <f t="shared" si="0"/>
        <v>上阵英雄平均等级40</v>
      </c>
      <c r="BH3" s="5" t="str">
        <f t="shared" si="0"/>
        <v>上阵英雄平均等级50</v>
      </c>
      <c r="BI3" s="5" t="str">
        <f t="shared" si="0"/>
        <v>上阵英雄平均等级60</v>
      </c>
      <c r="BJ3" s="5" t="str">
        <f t="shared" si="0"/>
        <v>上阵英雄平均等级70</v>
      </c>
      <c r="BK3" s="5" t="str">
        <f t="shared" si="0"/>
        <v>上阵英雄平均等级80</v>
      </c>
      <c r="BL3" s="5" t="str">
        <f t="shared" si="0"/>
        <v>上阵英雄平均等级90</v>
      </c>
      <c r="BM3" s="5" t="str">
        <f t="shared" si="0"/>
        <v>上阵英雄平均技能等级10</v>
      </c>
      <c r="BN3" s="5" t="str">
        <f t="shared" si="0"/>
        <v>上阵英雄平均技能等级20</v>
      </c>
      <c r="BO3" s="5" t="str">
        <f t="shared" ref="BO3:BU3" si="1">BO1&amp;BO2</f>
        <v>上阵英雄平均技能等级30</v>
      </c>
      <c r="BP3" s="5" t="str">
        <f t="shared" si="1"/>
        <v>上阵英雄平均技能等级40</v>
      </c>
      <c r="BQ3" s="5" t="str">
        <f t="shared" si="1"/>
        <v>上阵英雄平均技能等级50</v>
      </c>
      <c r="BR3" s="5" t="str">
        <f t="shared" si="1"/>
        <v>上阵英雄平均技能等级60</v>
      </c>
      <c r="BS3" s="5" t="str">
        <f t="shared" si="1"/>
        <v>上阵英雄平均技能等级70</v>
      </c>
      <c r="BT3" s="5" t="str">
        <f t="shared" si="1"/>
        <v>上阵英雄平均技能等级80</v>
      </c>
      <c r="BU3" s="5" t="str">
        <f t="shared" si="1"/>
        <v>上阵英雄平均技能等级90</v>
      </c>
    </row>
    <row r="4" spans="1:73" ht="37.299999999999997" x14ac:dyDescent="0.35">
      <c r="A4" s="17" t="s">
        <v>59</v>
      </c>
      <c r="B4" s="18" t="s">
        <v>60</v>
      </c>
      <c r="C4" s="18" t="s">
        <v>61</v>
      </c>
      <c r="D4" s="18" t="s">
        <v>62</v>
      </c>
      <c r="E4" s="18" t="s">
        <v>63</v>
      </c>
      <c r="F4" s="18" t="s">
        <v>64</v>
      </c>
      <c r="G4" s="18" t="s">
        <v>65</v>
      </c>
      <c r="H4" s="18" t="s">
        <v>66</v>
      </c>
      <c r="I4" s="18" t="s">
        <v>67</v>
      </c>
      <c r="J4" s="18" t="s">
        <v>68</v>
      </c>
      <c r="K4" s="19" t="s">
        <v>69</v>
      </c>
      <c r="L4" s="19" t="s">
        <v>70</v>
      </c>
      <c r="M4" s="19" t="s">
        <v>71</v>
      </c>
      <c r="N4" s="19" t="s">
        <v>72</v>
      </c>
      <c r="O4" s="19" t="s">
        <v>73</v>
      </c>
      <c r="P4" s="19" t="s">
        <v>74</v>
      </c>
      <c r="Q4" s="19" t="s">
        <v>75</v>
      </c>
      <c r="R4" s="19" t="s">
        <v>76</v>
      </c>
      <c r="S4" s="19" t="s">
        <v>77</v>
      </c>
      <c r="T4" s="19" t="s">
        <v>78</v>
      </c>
      <c r="U4" s="19" t="s">
        <v>79</v>
      </c>
      <c r="V4" s="19" t="s">
        <v>80</v>
      </c>
      <c r="W4" s="19" t="s">
        <v>81</v>
      </c>
      <c r="X4" s="19" t="s">
        <v>82</v>
      </c>
      <c r="Y4" s="19" t="s">
        <v>83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88</v>
      </c>
      <c r="AE4" s="19" t="s">
        <v>89</v>
      </c>
      <c r="AF4" s="19" t="s">
        <v>90</v>
      </c>
      <c r="AG4" s="19" t="s">
        <v>91</v>
      </c>
      <c r="AH4" s="19" t="s">
        <v>92</v>
      </c>
      <c r="AI4" s="19" t="s">
        <v>93</v>
      </c>
      <c r="AJ4" s="19" t="s">
        <v>94</v>
      </c>
      <c r="AK4" s="19" t="s">
        <v>95</v>
      </c>
      <c r="AL4" s="19" t="s">
        <v>96</v>
      </c>
      <c r="AM4" s="19" t="s">
        <v>97</v>
      </c>
      <c r="AN4" s="19" t="s">
        <v>98</v>
      </c>
      <c r="AO4" s="19" t="s">
        <v>99</v>
      </c>
      <c r="AP4" s="19" t="s">
        <v>100</v>
      </c>
      <c r="AQ4" s="19" t="s">
        <v>101</v>
      </c>
      <c r="AR4" s="19" t="s">
        <v>102</v>
      </c>
      <c r="AS4" s="19" t="s">
        <v>103</v>
      </c>
      <c r="AT4" s="19" t="s">
        <v>104</v>
      </c>
      <c r="AU4" s="19" t="s">
        <v>105</v>
      </c>
      <c r="AV4" s="19" t="s">
        <v>106</v>
      </c>
      <c r="AW4" s="19" t="s">
        <v>107</v>
      </c>
      <c r="AX4" s="19" t="s">
        <v>108</v>
      </c>
      <c r="AY4" s="19" t="s">
        <v>109</v>
      </c>
      <c r="AZ4" s="19" t="s">
        <v>110</v>
      </c>
      <c r="BA4" s="19" t="s">
        <v>111</v>
      </c>
      <c r="BB4" s="19" t="s">
        <v>112</v>
      </c>
      <c r="BC4" s="19" t="s">
        <v>113</v>
      </c>
      <c r="BD4" s="19" t="s">
        <v>114</v>
      </c>
      <c r="BE4" s="19" t="s">
        <v>115</v>
      </c>
      <c r="BF4" s="19" t="s">
        <v>116</v>
      </c>
      <c r="BG4" s="19" t="s">
        <v>117</v>
      </c>
      <c r="BH4" s="19" t="s">
        <v>118</v>
      </c>
      <c r="BI4" s="19" t="s">
        <v>119</v>
      </c>
      <c r="BJ4" s="19" t="s">
        <v>120</v>
      </c>
      <c r="BK4" s="19" t="s">
        <v>121</v>
      </c>
      <c r="BL4" s="19" t="s">
        <v>122</v>
      </c>
      <c r="BM4" s="19" t="s">
        <v>123</v>
      </c>
      <c r="BN4" s="19" t="s">
        <v>124</v>
      </c>
      <c r="BO4" s="19" t="s">
        <v>125</v>
      </c>
      <c r="BP4" s="19" t="s">
        <v>126</v>
      </c>
      <c r="BQ4" s="19" t="s">
        <v>127</v>
      </c>
      <c r="BR4" s="19" t="s">
        <v>128</v>
      </c>
      <c r="BS4" s="19" t="s">
        <v>129</v>
      </c>
      <c r="BT4" s="19" t="s">
        <v>130</v>
      </c>
      <c r="BU4" s="19" t="s">
        <v>131</v>
      </c>
    </row>
    <row r="5" spans="1:73" x14ac:dyDescent="0.35">
      <c r="A5" s="21">
        <v>1</v>
      </c>
      <c r="B5" s="22">
        <v>11209</v>
      </c>
      <c r="C5" s="22">
        <v>11395</v>
      </c>
      <c r="D5" s="22">
        <v>11581</v>
      </c>
      <c r="E5" s="22">
        <v>11766</v>
      </c>
      <c r="F5" s="22">
        <v>11952</v>
      </c>
      <c r="G5" s="22">
        <v>12137</v>
      </c>
      <c r="H5" s="22">
        <v>12323</v>
      </c>
      <c r="I5" s="22">
        <v>12509</v>
      </c>
      <c r="J5" s="22">
        <v>27625</v>
      </c>
      <c r="K5" s="23">
        <v>1</v>
      </c>
      <c r="L5" s="23">
        <v>1</v>
      </c>
      <c r="M5" s="23">
        <v>1</v>
      </c>
      <c r="N5" s="23">
        <v>1</v>
      </c>
      <c r="O5" s="23">
        <v>1</v>
      </c>
      <c r="P5" s="23">
        <v>1</v>
      </c>
      <c r="Q5" s="23">
        <v>1.18</v>
      </c>
      <c r="R5" s="23">
        <v>1.45</v>
      </c>
      <c r="S5" s="23">
        <v>1.73</v>
      </c>
      <c r="T5" s="23">
        <v>2</v>
      </c>
      <c r="U5" s="23">
        <v>2</v>
      </c>
      <c r="V5" s="23">
        <v>2.08</v>
      </c>
      <c r="W5" s="23">
        <v>2.35</v>
      </c>
      <c r="X5" s="23">
        <v>2.63</v>
      </c>
      <c r="Y5" s="23">
        <v>2.9</v>
      </c>
      <c r="Z5" s="23">
        <v>4.4000000000000004</v>
      </c>
      <c r="AA5" s="23">
        <v>5.8</v>
      </c>
      <c r="AB5" s="23">
        <v>6.9</v>
      </c>
      <c r="AC5" s="23">
        <v>3</v>
      </c>
      <c r="AD5" s="23">
        <v>3</v>
      </c>
      <c r="AE5" s="23">
        <v>3</v>
      </c>
      <c r="AF5" s="23">
        <v>3</v>
      </c>
      <c r="AG5" s="23">
        <v>3</v>
      </c>
      <c r="AH5" s="23">
        <v>3</v>
      </c>
      <c r="AI5" s="23">
        <v>3</v>
      </c>
      <c r="AJ5" s="23">
        <v>3</v>
      </c>
      <c r="AK5" s="23">
        <v>3</v>
      </c>
      <c r="AL5" s="24"/>
      <c r="AM5" s="24"/>
      <c r="AN5" s="24"/>
      <c r="AO5" s="24"/>
      <c r="AP5" s="24"/>
      <c r="AQ5" s="24"/>
      <c r="AR5" s="24"/>
      <c r="AS5" s="24"/>
      <c r="AT5" s="24"/>
      <c r="AU5" s="23">
        <v>1</v>
      </c>
      <c r="AV5" s="23">
        <v>1</v>
      </c>
      <c r="AW5" s="23">
        <v>1</v>
      </c>
      <c r="AX5" s="23">
        <v>1</v>
      </c>
      <c r="AY5" s="23">
        <v>1</v>
      </c>
      <c r="AZ5" s="23">
        <v>1</v>
      </c>
      <c r="BA5" s="23">
        <v>1</v>
      </c>
      <c r="BB5" s="23">
        <v>1</v>
      </c>
      <c r="BC5" s="23">
        <v>1</v>
      </c>
      <c r="BD5" s="23">
        <v>1</v>
      </c>
      <c r="BE5" s="23">
        <v>1</v>
      </c>
      <c r="BF5" s="23">
        <v>1</v>
      </c>
      <c r="BG5" s="23">
        <v>1</v>
      </c>
      <c r="BH5" s="23">
        <v>1</v>
      </c>
      <c r="BI5" s="23">
        <v>1</v>
      </c>
      <c r="BJ5" s="23">
        <v>1</v>
      </c>
      <c r="BK5" s="23">
        <v>1</v>
      </c>
      <c r="BL5" s="23">
        <v>1</v>
      </c>
      <c r="BM5" s="23">
        <v>0.73</v>
      </c>
      <c r="BN5" s="23">
        <v>0.9</v>
      </c>
      <c r="BO5" s="23">
        <v>1.57</v>
      </c>
      <c r="BP5" s="23">
        <v>2.5</v>
      </c>
      <c r="BQ5" s="23">
        <v>3.33</v>
      </c>
      <c r="BR5" s="23">
        <v>4.03</v>
      </c>
      <c r="BS5" s="23">
        <v>5.28</v>
      </c>
      <c r="BT5" s="23">
        <v>5.97</v>
      </c>
      <c r="BU5" s="23">
        <v>6.32</v>
      </c>
    </row>
    <row r="6" spans="1:73" x14ac:dyDescent="0.35">
      <c r="A6" s="21">
        <v>2</v>
      </c>
      <c r="B6" s="22">
        <v>27646</v>
      </c>
      <c r="C6" s="22">
        <v>27665</v>
      </c>
      <c r="D6" s="22">
        <v>27666</v>
      </c>
      <c r="E6" s="22">
        <v>27666</v>
      </c>
      <c r="F6" s="22">
        <v>27685</v>
      </c>
      <c r="G6" s="22">
        <v>27686</v>
      </c>
      <c r="H6" s="22">
        <v>37417</v>
      </c>
      <c r="I6" s="22">
        <v>38666</v>
      </c>
      <c r="J6" s="22">
        <v>38685</v>
      </c>
      <c r="K6" s="23">
        <v>1</v>
      </c>
      <c r="L6" s="23">
        <v>1</v>
      </c>
      <c r="M6" s="23">
        <v>1</v>
      </c>
      <c r="N6" s="23">
        <v>1</v>
      </c>
      <c r="O6" s="23">
        <v>1</v>
      </c>
      <c r="P6" s="23">
        <v>1</v>
      </c>
      <c r="Q6" s="23">
        <v>1</v>
      </c>
      <c r="R6" s="23">
        <v>1</v>
      </c>
      <c r="S6" s="23">
        <v>1.5</v>
      </c>
      <c r="T6" s="23">
        <v>2</v>
      </c>
      <c r="U6" s="23">
        <v>2</v>
      </c>
      <c r="V6" s="23">
        <v>2.17</v>
      </c>
      <c r="W6" s="23">
        <v>2.33</v>
      </c>
      <c r="X6" s="23">
        <v>2.5</v>
      </c>
      <c r="Y6" s="23">
        <v>2.67</v>
      </c>
      <c r="Z6" s="23">
        <v>2.83</v>
      </c>
      <c r="AA6" s="23">
        <v>3</v>
      </c>
      <c r="AB6" s="23">
        <v>5</v>
      </c>
      <c r="AC6" s="23">
        <v>3</v>
      </c>
      <c r="AD6" s="23">
        <v>3</v>
      </c>
      <c r="AE6" s="23">
        <v>3</v>
      </c>
      <c r="AF6" s="23">
        <v>3</v>
      </c>
      <c r="AG6" s="23">
        <v>3</v>
      </c>
      <c r="AH6" s="23">
        <v>3</v>
      </c>
      <c r="AI6" s="23">
        <v>3</v>
      </c>
      <c r="AJ6" s="23">
        <v>3</v>
      </c>
      <c r="AK6" s="23">
        <v>3</v>
      </c>
      <c r="AL6" s="24"/>
      <c r="AM6" s="24"/>
      <c r="AN6" s="24"/>
      <c r="AO6" s="24"/>
      <c r="AP6" s="24"/>
      <c r="AQ6" s="24"/>
      <c r="AR6" s="24"/>
      <c r="AS6" s="24"/>
      <c r="AT6" s="24"/>
      <c r="AU6" s="23">
        <v>1.1100000000000001</v>
      </c>
      <c r="AV6" s="23">
        <v>1.1100000000000001</v>
      </c>
      <c r="AW6" s="23">
        <v>1.1100000000000001</v>
      </c>
      <c r="AX6" s="23">
        <v>1.1200000000000001</v>
      </c>
      <c r="AY6" s="23">
        <v>1.1200000000000001</v>
      </c>
      <c r="AZ6" s="23">
        <v>1.1200000000000001</v>
      </c>
      <c r="BA6" s="23">
        <v>1.1200000000000001</v>
      </c>
      <c r="BB6" s="23">
        <v>1.1200000000000001</v>
      </c>
      <c r="BC6" s="23">
        <v>1.22</v>
      </c>
      <c r="BD6" s="23">
        <v>1</v>
      </c>
      <c r="BE6" s="23">
        <v>1</v>
      </c>
      <c r="BF6" s="23">
        <v>1</v>
      </c>
      <c r="BG6" s="23">
        <v>1</v>
      </c>
      <c r="BH6" s="23">
        <v>1</v>
      </c>
      <c r="BI6" s="23">
        <v>1</v>
      </c>
      <c r="BJ6" s="23">
        <v>1</v>
      </c>
      <c r="BK6" s="23">
        <v>1</v>
      </c>
      <c r="BL6" s="23">
        <v>1</v>
      </c>
      <c r="BM6" s="23">
        <v>0.67</v>
      </c>
      <c r="BN6" s="23">
        <v>0.67</v>
      </c>
      <c r="BO6" s="23">
        <v>0.67</v>
      </c>
      <c r="BP6" s="23">
        <v>0.98</v>
      </c>
      <c r="BQ6" s="23">
        <v>2.2200000000000002</v>
      </c>
      <c r="BR6" s="23">
        <v>3.47</v>
      </c>
      <c r="BS6" s="23">
        <v>4.71</v>
      </c>
      <c r="BT6" s="23">
        <v>5.67</v>
      </c>
      <c r="BU6" s="23">
        <v>6.43</v>
      </c>
    </row>
    <row r="7" spans="1:73" x14ac:dyDescent="0.35">
      <c r="A7" s="21">
        <v>3</v>
      </c>
      <c r="B7" s="22">
        <v>27706</v>
      </c>
      <c r="C7" s="22">
        <v>27823</v>
      </c>
      <c r="D7" s="22">
        <v>38687</v>
      </c>
      <c r="E7" s="22">
        <v>38706</v>
      </c>
      <c r="F7" s="22">
        <v>38709</v>
      </c>
      <c r="G7" s="22">
        <v>38727</v>
      </c>
      <c r="H7" s="22">
        <v>38742</v>
      </c>
      <c r="I7" s="22">
        <v>38773</v>
      </c>
      <c r="J7" s="22">
        <v>38839</v>
      </c>
      <c r="K7" s="23">
        <v>1</v>
      </c>
      <c r="L7" s="23">
        <v>1</v>
      </c>
      <c r="M7" s="23">
        <v>1</v>
      </c>
      <c r="N7" s="23">
        <v>1</v>
      </c>
      <c r="O7" s="23">
        <v>1</v>
      </c>
      <c r="P7" s="23">
        <v>1</v>
      </c>
      <c r="Q7" s="23">
        <v>1</v>
      </c>
      <c r="R7" s="23">
        <v>1</v>
      </c>
      <c r="S7" s="23">
        <v>1</v>
      </c>
      <c r="T7" s="23">
        <v>2</v>
      </c>
      <c r="U7" s="23">
        <v>2</v>
      </c>
      <c r="V7" s="23">
        <v>2</v>
      </c>
      <c r="W7" s="23">
        <v>2</v>
      </c>
      <c r="X7" s="23">
        <v>2</v>
      </c>
      <c r="Y7" s="23">
        <v>2</v>
      </c>
      <c r="Z7" s="23">
        <v>2</v>
      </c>
      <c r="AA7" s="23">
        <v>2</v>
      </c>
      <c r="AB7" s="23">
        <v>2</v>
      </c>
      <c r="AC7" s="23">
        <v>3</v>
      </c>
      <c r="AD7" s="23">
        <v>3</v>
      </c>
      <c r="AE7" s="23">
        <v>3</v>
      </c>
      <c r="AF7" s="23">
        <v>3</v>
      </c>
      <c r="AG7" s="23">
        <v>3</v>
      </c>
      <c r="AH7" s="23">
        <v>3</v>
      </c>
      <c r="AI7" s="23">
        <v>3</v>
      </c>
      <c r="AJ7" s="23">
        <v>3</v>
      </c>
      <c r="AK7" s="23">
        <v>3</v>
      </c>
      <c r="AL7" s="24"/>
      <c r="AM7" s="24"/>
      <c r="AN7" s="24"/>
      <c r="AO7" s="24"/>
      <c r="AP7" s="24"/>
      <c r="AQ7" s="24"/>
      <c r="AR7" s="24"/>
      <c r="AS7" s="24"/>
      <c r="AT7" s="24"/>
      <c r="AU7" s="23">
        <v>1.21</v>
      </c>
      <c r="AV7" s="23">
        <v>1.21</v>
      </c>
      <c r="AW7" s="23">
        <v>1.22</v>
      </c>
      <c r="AX7" s="23">
        <v>1.23</v>
      </c>
      <c r="AY7" s="23">
        <v>1.3</v>
      </c>
      <c r="AZ7" s="23">
        <v>1.43</v>
      </c>
      <c r="BA7" s="23">
        <v>1.59</v>
      </c>
      <c r="BB7" s="23">
        <v>1.67</v>
      </c>
      <c r="BC7" s="23">
        <v>2</v>
      </c>
      <c r="BD7" s="23">
        <v>1</v>
      </c>
      <c r="BE7" s="23">
        <v>1</v>
      </c>
      <c r="BF7" s="23">
        <v>1</v>
      </c>
      <c r="BG7" s="23">
        <v>1</v>
      </c>
      <c r="BH7" s="23">
        <v>1</v>
      </c>
      <c r="BI7" s="23">
        <v>1</v>
      </c>
      <c r="BJ7" s="23">
        <v>1.85</v>
      </c>
      <c r="BK7" s="23">
        <v>2.3199999999999998</v>
      </c>
      <c r="BL7" s="23">
        <v>3.49</v>
      </c>
      <c r="BM7" s="23">
        <v>0.67</v>
      </c>
      <c r="BN7" s="23">
        <v>0.67</v>
      </c>
      <c r="BO7" s="23">
        <v>0.73</v>
      </c>
      <c r="BP7" s="23">
        <v>0.87</v>
      </c>
      <c r="BQ7" s="23">
        <v>1</v>
      </c>
      <c r="BR7" s="23">
        <v>1.47</v>
      </c>
      <c r="BS7" s="23">
        <v>1.93</v>
      </c>
      <c r="BT7" s="23">
        <v>2.5299999999999998</v>
      </c>
      <c r="BU7" s="23">
        <v>3.27</v>
      </c>
    </row>
    <row r="8" spans="1:73" x14ac:dyDescent="0.35">
      <c r="A8" s="21">
        <v>4</v>
      </c>
      <c r="B8" s="22">
        <v>38871</v>
      </c>
      <c r="C8" s="22">
        <v>50827</v>
      </c>
      <c r="D8" s="22">
        <v>50876</v>
      </c>
      <c r="E8" s="22">
        <v>50957</v>
      </c>
      <c r="F8" s="22">
        <v>51718</v>
      </c>
      <c r="G8" s="22">
        <v>52735</v>
      </c>
      <c r="H8" s="22">
        <v>53309</v>
      </c>
      <c r="I8" s="22">
        <v>54570</v>
      </c>
      <c r="J8" s="22">
        <v>61872</v>
      </c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23">
        <v>1</v>
      </c>
      <c r="Q8" s="23">
        <v>1</v>
      </c>
      <c r="R8" s="23">
        <v>1.1599999999999999</v>
      </c>
      <c r="S8" s="23">
        <v>1.58</v>
      </c>
      <c r="T8" s="23">
        <v>2</v>
      </c>
      <c r="U8" s="23">
        <v>2</v>
      </c>
      <c r="V8" s="23">
        <v>2</v>
      </c>
      <c r="W8" s="23">
        <v>2</v>
      </c>
      <c r="X8" s="23">
        <v>2.17</v>
      </c>
      <c r="Y8" s="23">
        <v>2.87</v>
      </c>
      <c r="Z8" s="23">
        <v>4.18</v>
      </c>
      <c r="AA8" s="23">
        <v>4.7</v>
      </c>
      <c r="AB8" s="23">
        <v>5.9</v>
      </c>
      <c r="AC8" s="23">
        <v>3</v>
      </c>
      <c r="AD8" s="23">
        <v>3</v>
      </c>
      <c r="AE8" s="23">
        <v>3</v>
      </c>
      <c r="AF8" s="23">
        <v>3</v>
      </c>
      <c r="AG8" s="23">
        <v>3</v>
      </c>
      <c r="AH8" s="23">
        <v>3</v>
      </c>
      <c r="AI8" s="23">
        <v>3</v>
      </c>
      <c r="AJ8" s="23">
        <v>3</v>
      </c>
      <c r="AK8" s="23">
        <v>3</v>
      </c>
      <c r="AL8" s="24"/>
      <c r="AM8" s="24"/>
      <c r="AN8" s="24"/>
      <c r="AO8" s="24"/>
      <c r="AP8" s="24"/>
      <c r="AQ8" s="24"/>
      <c r="AR8" s="24"/>
      <c r="AS8" s="24"/>
      <c r="AT8" s="24"/>
      <c r="AU8" s="23">
        <v>1.54</v>
      </c>
      <c r="AV8" s="23">
        <v>1.61</v>
      </c>
      <c r="AW8" s="23">
        <v>1.76</v>
      </c>
      <c r="AX8" s="23">
        <v>1.85</v>
      </c>
      <c r="AY8" s="23">
        <v>2.0699999999999998</v>
      </c>
      <c r="AZ8" s="23">
        <v>2.2000000000000002</v>
      </c>
      <c r="BA8" s="23">
        <v>2.34</v>
      </c>
      <c r="BB8" s="23">
        <v>2.5499999999999998</v>
      </c>
      <c r="BC8" s="23">
        <v>2.93</v>
      </c>
      <c r="BD8" s="23">
        <v>1.83</v>
      </c>
      <c r="BE8" s="23">
        <v>2.41</v>
      </c>
      <c r="BF8" s="23">
        <v>2.71</v>
      </c>
      <c r="BG8" s="23">
        <v>2.9</v>
      </c>
      <c r="BH8" s="23">
        <v>3.46</v>
      </c>
      <c r="BI8" s="23">
        <v>4</v>
      </c>
      <c r="BJ8" s="23">
        <v>4.47</v>
      </c>
      <c r="BK8" s="23">
        <v>4.9800000000000004</v>
      </c>
      <c r="BL8" s="23">
        <v>6.45</v>
      </c>
      <c r="BM8" s="23">
        <v>0.51</v>
      </c>
      <c r="BN8" s="23">
        <v>0.56000000000000005</v>
      </c>
      <c r="BO8" s="23">
        <v>0.6</v>
      </c>
      <c r="BP8" s="23">
        <v>0.65</v>
      </c>
      <c r="BQ8" s="23">
        <v>0.91</v>
      </c>
      <c r="BR8" s="23">
        <v>1.67</v>
      </c>
      <c r="BS8" s="23">
        <v>2.33</v>
      </c>
      <c r="BT8" s="23">
        <v>2.33</v>
      </c>
      <c r="BU8" s="23">
        <v>3.76</v>
      </c>
    </row>
    <row r="9" spans="1:73" x14ac:dyDescent="0.35">
      <c r="A9" s="21">
        <v>5</v>
      </c>
      <c r="B9" s="22">
        <v>55973</v>
      </c>
      <c r="C9" s="22">
        <v>57586</v>
      </c>
      <c r="D9" s="22">
        <v>60250</v>
      </c>
      <c r="E9" s="22">
        <v>62063</v>
      </c>
      <c r="F9" s="22">
        <v>63172</v>
      </c>
      <c r="G9" s="22">
        <v>66659</v>
      </c>
      <c r="H9" s="22">
        <v>71095</v>
      </c>
      <c r="I9" s="22">
        <v>75917</v>
      </c>
      <c r="J9" s="22">
        <v>84878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1.04</v>
      </c>
      <c r="U9" s="23">
        <v>1.2</v>
      </c>
      <c r="V9" s="23">
        <v>1.37</v>
      </c>
      <c r="W9" s="23">
        <v>1.53</v>
      </c>
      <c r="X9" s="23">
        <v>1.7</v>
      </c>
      <c r="Y9" s="23">
        <v>1.86</v>
      </c>
      <c r="Z9" s="23">
        <v>2.08</v>
      </c>
      <c r="AA9" s="23">
        <v>2.66</v>
      </c>
      <c r="AB9" s="23">
        <v>3.75</v>
      </c>
      <c r="AC9" s="23">
        <v>3</v>
      </c>
      <c r="AD9" s="23">
        <v>3</v>
      </c>
      <c r="AE9" s="23">
        <v>3</v>
      </c>
      <c r="AF9" s="23">
        <v>3</v>
      </c>
      <c r="AG9" s="23">
        <v>3</v>
      </c>
      <c r="AH9" s="23">
        <v>3</v>
      </c>
      <c r="AI9" s="23">
        <v>3</v>
      </c>
      <c r="AJ9" s="23">
        <v>3</v>
      </c>
      <c r="AK9" s="23">
        <v>3</v>
      </c>
      <c r="AL9" s="24"/>
      <c r="AM9" s="24"/>
      <c r="AN9" s="24"/>
      <c r="AO9" s="24"/>
      <c r="AP9" s="24"/>
      <c r="AQ9" s="24"/>
      <c r="AR9" s="24"/>
      <c r="AS9" s="24"/>
      <c r="AT9" s="24"/>
      <c r="AU9" s="23">
        <v>2.57</v>
      </c>
      <c r="AV9" s="23">
        <v>2.66</v>
      </c>
      <c r="AW9" s="23">
        <v>2.85</v>
      </c>
      <c r="AX9" s="23">
        <v>2.93</v>
      </c>
      <c r="AY9" s="23">
        <v>3.06</v>
      </c>
      <c r="AZ9" s="23">
        <v>3.25</v>
      </c>
      <c r="BA9" s="23">
        <v>3.46</v>
      </c>
      <c r="BB9" s="23">
        <v>3.74</v>
      </c>
      <c r="BC9" s="23">
        <v>4.0999999999999996</v>
      </c>
      <c r="BD9" s="23">
        <v>4.4400000000000004</v>
      </c>
      <c r="BE9" s="23">
        <v>5.86</v>
      </c>
      <c r="BF9" s="23">
        <v>7.44</v>
      </c>
      <c r="BG9" s="23">
        <v>9.74</v>
      </c>
      <c r="BH9" s="23">
        <v>9.86</v>
      </c>
      <c r="BI9" s="23">
        <v>9.98</v>
      </c>
      <c r="BJ9" s="23">
        <v>10.94</v>
      </c>
      <c r="BK9" s="23">
        <v>13.18</v>
      </c>
      <c r="BL9" s="23">
        <v>17.37</v>
      </c>
      <c r="BM9" s="23">
        <v>0.64</v>
      </c>
      <c r="BN9" s="23">
        <v>1.49</v>
      </c>
      <c r="BO9" s="23">
        <v>2.33</v>
      </c>
      <c r="BP9" s="23">
        <v>2.95</v>
      </c>
      <c r="BQ9" s="23">
        <v>3.31</v>
      </c>
      <c r="BR9" s="23">
        <v>3.67</v>
      </c>
      <c r="BS9" s="23">
        <v>3.98</v>
      </c>
      <c r="BT9" s="23">
        <v>5.24</v>
      </c>
      <c r="BU9" s="23">
        <v>5.31</v>
      </c>
    </row>
    <row r="10" spans="1:73" x14ac:dyDescent="0.35">
      <c r="A10" s="21">
        <v>6</v>
      </c>
      <c r="B10" s="22">
        <v>63199</v>
      </c>
      <c r="C10" s="22">
        <v>67410</v>
      </c>
      <c r="D10" s="22">
        <v>70342</v>
      </c>
      <c r="E10" s="22">
        <v>72550</v>
      </c>
      <c r="F10" s="22">
        <v>77847</v>
      </c>
      <c r="G10" s="22">
        <v>82998</v>
      </c>
      <c r="H10" s="22">
        <v>89795</v>
      </c>
      <c r="I10" s="22">
        <v>98355</v>
      </c>
      <c r="J10" s="22">
        <v>111067</v>
      </c>
      <c r="K10" s="23">
        <v>1</v>
      </c>
      <c r="L10" s="23">
        <v>1</v>
      </c>
      <c r="M10" s="23">
        <v>1</v>
      </c>
      <c r="N10" s="23">
        <v>1.04</v>
      </c>
      <c r="O10" s="23">
        <v>1.2</v>
      </c>
      <c r="P10" s="23">
        <v>1.36</v>
      </c>
      <c r="Q10" s="23">
        <v>1.52</v>
      </c>
      <c r="R10" s="23">
        <v>1.68</v>
      </c>
      <c r="S10" s="23">
        <v>1.84</v>
      </c>
      <c r="T10" s="23">
        <v>1.4</v>
      </c>
      <c r="U10" s="23">
        <v>1.86</v>
      </c>
      <c r="V10" s="23">
        <v>2.23</v>
      </c>
      <c r="W10" s="23">
        <v>2.57</v>
      </c>
      <c r="X10" s="23">
        <v>2.91</v>
      </c>
      <c r="Y10" s="23">
        <v>3.53</v>
      </c>
      <c r="Z10" s="23">
        <v>4.3600000000000003</v>
      </c>
      <c r="AA10" s="23">
        <v>5.56</v>
      </c>
      <c r="AB10" s="23">
        <v>7.98</v>
      </c>
      <c r="AC10" s="23">
        <v>3</v>
      </c>
      <c r="AD10" s="23">
        <v>3</v>
      </c>
      <c r="AE10" s="23">
        <v>3</v>
      </c>
      <c r="AF10" s="23">
        <v>3</v>
      </c>
      <c r="AG10" s="23">
        <v>3</v>
      </c>
      <c r="AH10" s="23">
        <v>3</v>
      </c>
      <c r="AI10" s="23">
        <v>3</v>
      </c>
      <c r="AJ10" s="23">
        <v>3</v>
      </c>
      <c r="AK10" s="23">
        <v>3</v>
      </c>
      <c r="AL10" s="24"/>
      <c r="AM10" s="24"/>
      <c r="AN10" s="24"/>
      <c r="AO10" s="24"/>
      <c r="AP10" s="24"/>
      <c r="AQ10" s="24"/>
      <c r="AR10" s="24"/>
      <c r="AS10" s="24"/>
      <c r="AT10" s="24"/>
      <c r="AU10" s="23">
        <v>3.05</v>
      </c>
      <c r="AV10" s="23">
        <v>3.24</v>
      </c>
      <c r="AW10" s="23">
        <v>3.35</v>
      </c>
      <c r="AX10" s="23">
        <v>3.49</v>
      </c>
      <c r="AY10" s="23">
        <v>3.69</v>
      </c>
      <c r="AZ10" s="23">
        <v>3.94</v>
      </c>
      <c r="BA10" s="23">
        <v>4.22</v>
      </c>
      <c r="BB10" s="23">
        <v>4.53</v>
      </c>
      <c r="BC10" s="23">
        <v>4.8600000000000003</v>
      </c>
      <c r="BD10" s="23">
        <v>7.86</v>
      </c>
      <c r="BE10" s="23">
        <v>9.89</v>
      </c>
      <c r="BF10" s="23">
        <v>9.9499999999999993</v>
      </c>
      <c r="BG10" s="23">
        <v>10.43</v>
      </c>
      <c r="BH10" s="23">
        <v>11.29</v>
      </c>
      <c r="BI10" s="23">
        <v>12.98</v>
      </c>
      <c r="BJ10" s="23">
        <v>15</v>
      </c>
      <c r="BK10" s="23">
        <v>17.95</v>
      </c>
      <c r="BL10" s="23">
        <v>19.45</v>
      </c>
      <c r="BM10" s="23">
        <v>3</v>
      </c>
      <c r="BN10" s="23">
        <v>3</v>
      </c>
      <c r="BO10" s="23">
        <v>3.33</v>
      </c>
      <c r="BP10" s="23">
        <v>3.67</v>
      </c>
      <c r="BQ10" s="23">
        <v>4</v>
      </c>
      <c r="BR10" s="23">
        <v>4.67</v>
      </c>
      <c r="BS10" s="23">
        <v>5.27</v>
      </c>
      <c r="BT10" s="23">
        <v>5.32</v>
      </c>
      <c r="BU10" s="23">
        <v>6.34</v>
      </c>
    </row>
    <row r="11" spans="1:73" x14ac:dyDescent="0.35">
      <c r="A11" s="21">
        <v>7</v>
      </c>
      <c r="B11" s="22">
        <v>72978</v>
      </c>
      <c r="C11" s="22">
        <v>75477</v>
      </c>
      <c r="D11" s="22">
        <v>78992</v>
      </c>
      <c r="E11" s="22">
        <v>86722</v>
      </c>
      <c r="F11" s="22">
        <v>93562</v>
      </c>
      <c r="G11" s="22">
        <v>101712</v>
      </c>
      <c r="H11" s="22">
        <v>111222</v>
      </c>
      <c r="I11" s="22">
        <v>121804</v>
      </c>
      <c r="J11" s="22">
        <v>136534</v>
      </c>
      <c r="K11" s="23">
        <v>1.01</v>
      </c>
      <c r="L11" s="23">
        <v>1.1200000000000001</v>
      </c>
      <c r="M11" s="23">
        <v>1.23</v>
      </c>
      <c r="N11" s="23">
        <v>1.34</v>
      </c>
      <c r="O11" s="23">
        <v>1.45</v>
      </c>
      <c r="P11" s="23">
        <v>1.56</v>
      </c>
      <c r="Q11" s="23">
        <v>1.67</v>
      </c>
      <c r="R11" s="23">
        <v>1.78</v>
      </c>
      <c r="S11" s="23">
        <v>1.89</v>
      </c>
      <c r="T11" s="23">
        <v>2.1800000000000002</v>
      </c>
      <c r="U11" s="23">
        <v>2.5299999999999998</v>
      </c>
      <c r="V11" s="23">
        <v>2.88</v>
      </c>
      <c r="W11" s="23">
        <v>3.55</v>
      </c>
      <c r="X11" s="23">
        <v>4.6500000000000004</v>
      </c>
      <c r="Y11" s="23">
        <v>5.98</v>
      </c>
      <c r="Z11" s="23">
        <v>8.08</v>
      </c>
      <c r="AA11" s="23">
        <v>9.33</v>
      </c>
      <c r="AB11" s="23">
        <v>12.07</v>
      </c>
      <c r="AC11" s="23">
        <v>3</v>
      </c>
      <c r="AD11" s="23">
        <v>3</v>
      </c>
      <c r="AE11" s="23">
        <v>3</v>
      </c>
      <c r="AF11" s="23">
        <v>3</v>
      </c>
      <c r="AG11" s="23">
        <v>3</v>
      </c>
      <c r="AH11" s="23">
        <v>3</v>
      </c>
      <c r="AI11" s="23">
        <v>3</v>
      </c>
      <c r="AJ11" s="23">
        <v>3</v>
      </c>
      <c r="AK11" s="23">
        <v>3</v>
      </c>
      <c r="AL11" s="24"/>
      <c r="AM11" s="24"/>
      <c r="AN11" s="24"/>
      <c r="AO11" s="24"/>
      <c r="AP11" s="24"/>
      <c r="AQ11" s="24"/>
      <c r="AR11" s="24"/>
      <c r="AS11" s="24"/>
      <c r="AT11" s="24"/>
      <c r="AU11" s="23">
        <v>3.69</v>
      </c>
      <c r="AV11" s="23">
        <v>3.91</v>
      </c>
      <c r="AW11" s="23">
        <v>4.12</v>
      </c>
      <c r="AX11" s="23">
        <v>4.32</v>
      </c>
      <c r="AY11" s="23">
        <v>4.58</v>
      </c>
      <c r="AZ11" s="23">
        <v>4.8600000000000003</v>
      </c>
      <c r="BA11" s="23">
        <v>5.13</v>
      </c>
      <c r="BB11" s="23">
        <v>5.42</v>
      </c>
      <c r="BC11" s="23">
        <v>5.77</v>
      </c>
      <c r="BD11" s="23">
        <v>9.81</v>
      </c>
      <c r="BE11" s="23">
        <v>9.91</v>
      </c>
      <c r="BF11" s="23">
        <v>10.4</v>
      </c>
      <c r="BG11" s="23">
        <v>11.47</v>
      </c>
      <c r="BH11" s="23">
        <v>13.49</v>
      </c>
      <c r="BI11" s="23">
        <v>15.46</v>
      </c>
      <c r="BJ11" s="23">
        <v>17.89</v>
      </c>
      <c r="BK11" s="23">
        <v>18.940000000000001</v>
      </c>
      <c r="BL11" s="23">
        <v>19.829999999999998</v>
      </c>
      <c r="BM11" s="23">
        <v>3</v>
      </c>
      <c r="BN11" s="23">
        <v>3.13</v>
      </c>
      <c r="BO11" s="23">
        <v>3.67</v>
      </c>
      <c r="BP11" s="23">
        <v>3.83</v>
      </c>
      <c r="BQ11" s="23">
        <v>4.6100000000000003</v>
      </c>
      <c r="BR11" s="23">
        <v>5.29</v>
      </c>
      <c r="BS11" s="23">
        <v>5.33</v>
      </c>
      <c r="BT11" s="23">
        <v>6.16</v>
      </c>
      <c r="BU11" s="23">
        <v>7</v>
      </c>
    </row>
    <row r="12" spans="1:73" x14ac:dyDescent="0.35">
      <c r="A12" s="21">
        <v>8</v>
      </c>
      <c r="B12" s="22">
        <v>79844</v>
      </c>
      <c r="C12" s="22">
        <v>86083</v>
      </c>
      <c r="D12" s="22">
        <v>93147</v>
      </c>
      <c r="E12" s="22">
        <v>101805</v>
      </c>
      <c r="F12" s="22">
        <v>110400</v>
      </c>
      <c r="G12" s="22">
        <v>120417</v>
      </c>
      <c r="H12" s="22">
        <v>131776</v>
      </c>
      <c r="I12" s="22">
        <v>145238</v>
      </c>
      <c r="J12" s="22">
        <v>164639</v>
      </c>
      <c r="K12" s="23">
        <v>1.07</v>
      </c>
      <c r="L12" s="23">
        <v>1.17</v>
      </c>
      <c r="M12" s="23">
        <v>1.28</v>
      </c>
      <c r="N12" s="23">
        <v>1.38</v>
      </c>
      <c r="O12" s="23">
        <v>1.48</v>
      </c>
      <c r="P12" s="23">
        <v>1.59</v>
      </c>
      <c r="Q12" s="23">
        <v>1.69</v>
      </c>
      <c r="R12" s="23">
        <v>1.79</v>
      </c>
      <c r="S12" s="23">
        <v>1.9</v>
      </c>
      <c r="T12" s="23">
        <v>2.2999999999999998</v>
      </c>
      <c r="U12" s="23">
        <v>2.66</v>
      </c>
      <c r="V12" s="23">
        <v>3.05</v>
      </c>
      <c r="W12" s="23">
        <v>3.98</v>
      </c>
      <c r="X12" s="23">
        <v>5.52</v>
      </c>
      <c r="Y12" s="23">
        <v>7.56</v>
      </c>
      <c r="Z12" s="23">
        <v>9.19</v>
      </c>
      <c r="AA12" s="23">
        <v>10.91</v>
      </c>
      <c r="AB12" s="23">
        <v>13.55</v>
      </c>
      <c r="AC12" s="23">
        <v>3</v>
      </c>
      <c r="AD12" s="23">
        <v>3</v>
      </c>
      <c r="AE12" s="23">
        <v>3</v>
      </c>
      <c r="AF12" s="23">
        <v>3</v>
      </c>
      <c r="AG12" s="23">
        <v>3</v>
      </c>
      <c r="AH12" s="23">
        <v>3</v>
      </c>
      <c r="AI12" s="23">
        <v>3</v>
      </c>
      <c r="AJ12" s="23">
        <v>3</v>
      </c>
      <c r="AK12" s="23">
        <v>3</v>
      </c>
      <c r="AL12" s="24"/>
      <c r="AM12" s="24"/>
      <c r="AN12" s="24"/>
      <c r="AO12" s="24"/>
      <c r="AP12" s="24"/>
      <c r="AQ12" s="24"/>
      <c r="AR12" s="24"/>
      <c r="AS12" s="24"/>
      <c r="AT12" s="24"/>
      <c r="AU12" s="23">
        <v>4</v>
      </c>
      <c r="AV12" s="23">
        <v>4.22</v>
      </c>
      <c r="AW12" s="23">
        <v>4.4400000000000004</v>
      </c>
      <c r="AX12" s="23">
        <v>4.66</v>
      </c>
      <c r="AY12" s="23">
        <v>4.95</v>
      </c>
      <c r="AZ12" s="23">
        <v>5.25</v>
      </c>
      <c r="BA12" s="23">
        <v>5.56</v>
      </c>
      <c r="BB12" s="23">
        <v>5.91</v>
      </c>
      <c r="BC12" s="23">
        <v>6.37</v>
      </c>
      <c r="BD12" s="23">
        <v>9.93</v>
      </c>
      <c r="BE12" s="23">
        <v>10.91</v>
      </c>
      <c r="BF12" s="23">
        <v>12.48</v>
      </c>
      <c r="BG12" s="23">
        <v>14.86</v>
      </c>
      <c r="BH12" s="23">
        <v>15.9</v>
      </c>
      <c r="BI12" s="23">
        <v>17.97</v>
      </c>
      <c r="BJ12" s="23">
        <v>18.96</v>
      </c>
      <c r="BK12" s="23">
        <v>19.940000000000001</v>
      </c>
      <c r="BL12" s="23">
        <v>21.49</v>
      </c>
      <c r="BM12" s="23">
        <v>3</v>
      </c>
      <c r="BN12" s="23">
        <v>3.33</v>
      </c>
      <c r="BO12" s="23">
        <v>3.81</v>
      </c>
      <c r="BP12" s="23">
        <v>4.32</v>
      </c>
      <c r="BQ12" s="23">
        <v>4.87</v>
      </c>
      <c r="BR12" s="23">
        <v>5.29</v>
      </c>
      <c r="BS12" s="23">
        <v>6</v>
      </c>
      <c r="BT12" s="23">
        <v>7</v>
      </c>
      <c r="BU12" s="23">
        <v>8.48</v>
      </c>
    </row>
    <row r="13" spans="1:73" x14ac:dyDescent="0.35">
      <c r="A13" s="21">
        <v>9</v>
      </c>
      <c r="B13" s="22">
        <v>99542</v>
      </c>
      <c r="C13" s="22">
        <v>111276</v>
      </c>
      <c r="D13" s="22">
        <v>121606</v>
      </c>
      <c r="E13" s="22">
        <v>132195</v>
      </c>
      <c r="F13" s="22">
        <v>143205</v>
      </c>
      <c r="G13" s="22">
        <v>154981</v>
      </c>
      <c r="H13" s="22">
        <v>168427</v>
      </c>
      <c r="I13" s="22">
        <v>185227</v>
      </c>
      <c r="J13" s="22">
        <v>210166</v>
      </c>
      <c r="K13" s="23">
        <v>1.0900000000000001</v>
      </c>
      <c r="L13" s="23">
        <v>1.2</v>
      </c>
      <c r="M13" s="23">
        <v>1.3</v>
      </c>
      <c r="N13" s="23">
        <v>1.4</v>
      </c>
      <c r="O13" s="23">
        <v>1.5</v>
      </c>
      <c r="P13" s="23">
        <v>1.6</v>
      </c>
      <c r="Q13" s="23">
        <v>1.7</v>
      </c>
      <c r="R13" s="23">
        <v>1.8</v>
      </c>
      <c r="S13" s="23">
        <v>1.9</v>
      </c>
      <c r="T13" s="23">
        <v>2.5</v>
      </c>
      <c r="U13" s="23">
        <v>3.01</v>
      </c>
      <c r="V13" s="23">
        <v>4.17</v>
      </c>
      <c r="W13" s="23">
        <v>5.87</v>
      </c>
      <c r="X13" s="23">
        <v>8.1300000000000008</v>
      </c>
      <c r="Y13" s="23">
        <v>9.5</v>
      </c>
      <c r="Z13" s="23">
        <v>11.33</v>
      </c>
      <c r="AA13" s="23">
        <v>13.53</v>
      </c>
      <c r="AB13" s="23">
        <v>15.05</v>
      </c>
      <c r="AC13" s="23">
        <v>3</v>
      </c>
      <c r="AD13" s="23">
        <v>3</v>
      </c>
      <c r="AE13" s="23">
        <v>3</v>
      </c>
      <c r="AF13" s="23">
        <v>3</v>
      </c>
      <c r="AG13" s="23">
        <v>3</v>
      </c>
      <c r="AH13" s="23">
        <v>3</v>
      </c>
      <c r="AI13" s="23">
        <v>3</v>
      </c>
      <c r="AJ13" s="23">
        <v>3</v>
      </c>
      <c r="AK13" s="23">
        <v>3</v>
      </c>
      <c r="AL13" s="24"/>
      <c r="AM13" s="24"/>
      <c r="AN13" s="24"/>
      <c r="AO13" s="24"/>
      <c r="AP13" s="24"/>
      <c r="AQ13" s="24"/>
      <c r="AR13" s="24"/>
      <c r="AS13" s="24"/>
      <c r="AT13" s="24"/>
      <c r="AU13" s="23">
        <v>4.42</v>
      </c>
      <c r="AV13" s="23">
        <v>4.75</v>
      </c>
      <c r="AW13" s="23">
        <v>5.04</v>
      </c>
      <c r="AX13" s="23">
        <v>5.32</v>
      </c>
      <c r="AY13" s="23">
        <v>5.61</v>
      </c>
      <c r="AZ13" s="23">
        <v>5.92</v>
      </c>
      <c r="BA13" s="23">
        <v>6.24</v>
      </c>
      <c r="BB13" s="23">
        <v>6.64</v>
      </c>
      <c r="BC13" s="23">
        <v>7.27</v>
      </c>
      <c r="BD13" s="23">
        <v>11.73</v>
      </c>
      <c r="BE13" s="23">
        <v>13.56</v>
      </c>
      <c r="BF13" s="23">
        <v>14.98</v>
      </c>
      <c r="BG13" s="23">
        <v>16.96</v>
      </c>
      <c r="BH13" s="23">
        <v>18.489999999999998</v>
      </c>
      <c r="BI13" s="23">
        <v>19.89</v>
      </c>
      <c r="BJ13" s="23">
        <v>20.48</v>
      </c>
      <c r="BK13" s="23">
        <v>22.3</v>
      </c>
      <c r="BL13" s="23">
        <v>24.88</v>
      </c>
      <c r="BM13" s="23">
        <v>3</v>
      </c>
      <c r="BN13" s="23">
        <v>3.77</v>
      </c>
      <c r="BO13" s="23">
        <v>4.32</v>
      </c>
      <c r="BP13" s="23">
        <v>4.87</v>
      </c>
      <c r="BQ13" s="23">
        <v>5.33</v>
      </c>
      <c r="BR13" s="23">
        <v>6.16</v>
      </c>
      <c r="BS13" s="23">
        <v>7</v>
      </c>
      <c r="BT13" s="23">
        <v>8.1</v>
      </c>
      <c r="BU13" s="23">
        <v>9.33</v>
      </c>
    </row>
    <row r="14" spans="1:73" x14ac:dyDescent="0.35">
      <c r="A14" s="21">
        <v>10</v>
      </c>
      <c r="B14" s="22">
        <v>136100</v>
      </c>
      <c r="C14" s="22">
        <v>151733</v>
      </c>
      <c r="D14" s="22">
        <v>164854</v>
      </c>
      <c r="E14" s="22">
        <v>176482</v>
      </c>
      <c r="F14" s="22">
        <v>188159</v>
      </c>
      <c r="G14" s="22">
        <v>200923</v>
      </c>
      <c r="H14" s="22">
        <v>216255</v>
      </c>
      <c r="I14" s="22">
        <v>236295</v>
      </c>
      <c r="J14" s="22">
        <v>268948</v>
      </c>
      <c r="K14" s="23">
        <v>1.1000000000000001</v>
      </c>
      <c r="L14" s="23">
        <v>1.21</v>
      </c>
      <c r="M14" s="23">
        <v>1.31</v>
      </c>
      <c r="N14" s="23">
        <v>1.42</v>
      </c>
      <c r="O14" s="23">
        <v>1.52</v>
      </c>
      <c r="P14" s="23">
        <v>1.63</v>
      </c>
      <c r="Q14" s="23">
        <v>1.73</v>
      </c>
      <c r="R14" s="23">
        <v>1.84</v>
      </c>
      <c r="S14" s="23">
        <v>1.94</v>
      </c>
      <c r="T14" s="23">
        <v>2.79</v>
      </c>
      <c r="U14" s="23">
        <v>4.07</v>
      </c>
      <c r="V14" s="23">
        <v>6.01</v>
      </c>
      <c r="W14" s="23">
        <v>8.58</v>
      </c>
      <c r="X14" s="23">
        <v>9.9499999999999993</v>
      </c>
      <c r="Y14" s="23">
        <v>11.83</v>
      </c>
      <c r="Z14" s="23">
        <v>13.79</v>
      </c>
      <c r="AA14" s="23">
        <v>15.69</v>
      </c>
      <c r="AB14" s="23">
        <v>18.47</v>
      </c>
      <c r="AC14" s="23">
        <v>3</v>
      </c>
      <c r="AD14" s="23">
        <v>3</v>
      </c>
      <c r="AE14" s="23">
        <v>3</v>
      </c>
      <c r="AF14" s="23">
        <v>3</v>
      </c>
      <c r="AG14" s="23">
        <v>3</v>
      </c>
      <c r="AH14" s="23">
        <v>3</v>
      </c>
      <c r="AI14" s="23">
        <v>3</v>
      </c>
      <c r="AJ14" s="23">
        <v>3</v>
      </c>
      <c r="AK14" s="23">
        <v>3</v>
      </c>
      <c r="AL14" s="24"/>
      <c r="AM14" s="24"/>
      <c r="AN14" s="24"/>
      <c r="AO14" s="24"/>
      <c r="AP14" s="24"/>
      <c r="AQ14" s="24"/>
      <c r="AR14" s="24"/>
      <c r="AS14" s="24"/>
      <c r="AT14" s="24"/>
      <c r="AU14" s="23">
        <v>5.31</v>
      </c>
      <c r="AV14" s="23">
        <v>5.71</v>
      </c>
      <c r="AW14" s="23">
        <v>6.01</v>
      </c>
      <c r="AX14" s="23">
        <v>6.32</v>
      </c>
      <c r="AY14" s="23">
        <v>6.61</v>
      </c>
      <c r="AZ14" s="23">
        <v>6.9</v>
      </c>
      <c r="BA14" s="23">
        <v>7.2</v>
      </c>
      <c r="BB14" s="23">
        <v>7.61</v>
      </c>
      <c r="BC14" s="23">
        <v>8.23</v>
      </c>
      <c r="BD14" s="23">
        <v>13.88</v>
      </c>
      <c r="BE14" s="23">
        <v>16.64</v>
      </c>
      <c r="BF14" s="23">
        <v>18.89</v>
      </c>
      <c r="BG14" s="23">
        <v>19.97</v>
      </c>
      <c r="BH14" s="23">
        <v>21.33</v>
      </c>
      <c r="BI14" s="23">
        <v>22.89</v>
      </c>
      <c r="BJ14" s="23">
        <v>24.33</v>
      </c>
      <c r="BK14" s="23">
        <v>26.32</v>
      </c>
      <c r="BL14" s="23">
        <v>29.83</v>
      </c>
      <c r="BM14" s="23">
        <v>3.67</v>
      </c>
      <c r="BN14" s="23">
        <v>4.42</v>
      </c>
      <c r="BO14" s="23">
        <v>5.0999999999999996</v>
      </c>
      <c r="BP14" s="23">
        <v>5.88</v>
      </c>
      <c r="BQ14" s="23">
        <v>6.87</v>
      </c>
      <c r="BR14" s="23">
        <v>7.55</v>
      </c>
      <c r="BS14" s="23">
        <v>8.6</v>
      </c>
      <c r="BT14" s="23">
        <v>9.67</v>
      </c>
      <c r="BU14" s="23">
        <v>11.22</v>
      </c>
    </row>
    <row r="15" spans="1:73" x14ac:dyDescent="0.35">
      <c r="A15" s="21">
        <v>11</v>
      </c>
      <c r="B15" s="22">
        <v>182864</v>
      </c>
      <c r="C15" s="22">
        <v>203054</v>
      </c>
      <c r="D15" s="22">
        <v>218849</v>
      </c>
      <c r="E15" s="22">
        <v>233658</v>
      </c>
      <c r="F15" s="22">
        <v>249463</v>
      </c>
      <c r="G15" s="22">
        <v>266852</v>
      </c>
      <c r="H15" s="22">
        <v>288019</v>
      </c>
      <c r="I15" s="22">
        <v>315971</v>
      </c>
      <c r="J15" s="22">
        <v>358720</v>
      </c>
      <c r="K15" s="23">
        <v>1.1299999999999999</v>
      </c>
      <c r="L15" s="23">
        <v>1.26</v>
      </c>
      <c r="M15" s="23">
        <v>1.39</v>
      </c>
      <c r="N15" s="23">
        <v>1.53</v>
      </c>
      <c r="O15" s="23">
        <v>1.66</v>
      </c>
      <c r="P15" s="23">
        <v>1.79</v>
      </c>
      <c r="Q15" s="23">
        <v>1.92</v>
      </c>
      <c r="R15" s="23">
        <v>2.17</v>
      </c>
      <c r="S15" s="23">
        <v>2.58</v>
      </c>
      <c r="T15" s="23">
        <v>5.16</v>
      </c>
      <c r="U15" s="23">
        <v>8.93</v>
      </c>
      <c r="V15" s="23">
        <v>10.66</v>
      </c>
      <c r="W15" s="23">
        <v>13.2</v>
      </c>
      <c r="X15" s="23">
        <v>14.93</v>
      </c>
      <c r="Y15" s="23">
        <v>17.05</v>
      </c>
      <c r="Z15" s="23">
        <v>19.010000000000002</v>
      </c>
      <c r="AA15" s="23">
        <v>21.18</v>
      </c>
      <c r="AB15" s="23">
        <v>23.88</v>
      </c>
      <c r="AC15" s="23">
        <v>3</v>
      </c>
      <c r="AD15" s="23">
        <v>3</v>
      </c>
      <c r="AE15" s="23">
        <v>3</v>
      </c>
      <c r="AF15" s="23">
        <v>3</v>
      </c>
      <c r="AG15" s="23">
        <v>3</v>
      </c>
      <c r="AH15" s="23">
        <v>3</v>
      </c>
      <c r="AI15" s="23">
        <v>3</v>
      </c>
      <c r="AJ15" s="23">
        <v>3</v>
      </c>
      <c r="AK15" s="23">
        <v>3</v>
      </c>
      <c r="AL15" s="24"/>
      <c r="AM15" s="24"/>
      <c r="AN15" s="24"/>
      <c r="AO15" s="24"/>
      <c r="AP15" s="24"/>
      <c r="AQ15" s="24"/>
      <c r="AR15" s="24"/>
      <c r="AS15" s="24"/>
      <c r="AT15" s="24"/>
      <c r="AU15" s="23">
        <v>6.46</v>
      </c>
      <c r="AV15" s="23">
        <v>6.88</v>
      </c>
      <c r="AW15" s="23">
        <v>7.24</v>
      </c>
      <c r="AX15" s="23">
        <v>7.58</v>
      </c>
      <c r="AY15" s="23">
        <v>7.92</v>
      </c>
      <c r="AZ15" s="23">
        <v>8.27</v>
      </c>
      <c r="BA15" s="23">
        <v>8.67</v>
      </c>
      <c r="BB15" s="23">
        <v>9.14</v>
      </c>
      <c r="BC15" s="23">
        <v>9.65</v>
      </c>
      <c r="BD15" s="23">
        <v>18.77</v>
      </c>
      <c r="BE15" s="23">
        <v>21.3</v>
      </c>
      <c r="BF15" s="23">
        <v>23.3</v>
      </c>
      <c r="BG15" s="23">
        <v>24.91</v>
      </c>
      <c r="BH15" s="23">
        <v>26.58</v>
      </c>
      <c r="BI15" s="23">
        <v>28.31</v>
      </c>
      <c r="BJ15" s="23">
        <v>30.31</v>
      </c>
      <c r="BK15" s="23">
        <v>33.25</v>
      </c>
      <c r="BL15" s="23">
        <v>37.65</v>
      </c>
      <c r="BM15" s="23">
        <v>4.5599999999999996</v>
      </c>
      <c r="BN15" s="23">
        <v>5.76</v>
      </c>
      <c r="BO15" s="23">
        <v>7</v>
      </c>
      <c r="BP15" s="23">
        <v>8.11</v>
      </c>
      <c r="BQ15" s="23">
        <v>9.11</v>
      </c>
      <c r="BR15" s="23">
        <v>10.199999999999999</v>
      </c>
      <c r="BS15" s="23">
        <v>11.21</v>
      </c>
      <c r="BT15" s="23">
        <v>12.33</v>
      </c>
      <c r="BU15" s="23">
        <v>13.89</v>
      </c>
    </row>
    <row r="16" spans="1:73" x14ac:dyDescent="0.35">
      <c r="A16" s="21">
        <v>12</v>
      </c>
      <c r="B16" s="22">
        <v>245271</v>
      </c>
      <c r="C16" s="22">
        <v>275843</v>
      </c>
      <c r="D16" s="22">
        <v>299740</v>
      </c>
      <c r="E16" s="22">
        <v>321734</v>
      </c>
      <c r="F16" s="22">
        <v>344402</v>
      </c>
      <c r="G16" s="22">
        <v>368589</v>
      </c>
      <c r="H16" s="22">
        <v>398334</v>
      </c>
      <c r="I16" s="22">
        <v>435137</v>
      </c>
      <c r="J16" s="22">
        <v>487370</v>
      </c>
      <c r="K16" s="23">
        <v>1.22</v>
      </c>
      <c r="L16" s="23">
        <v>1.44</v>
      </c>
      <c r="M16" s="23">
        <v>1.66</v>
      </c>
      <c r="N16" s="23">
        <v>1.88</v>
      </c>
      <c r="O16" s="23">
        <v>2.08</v>
      </c>
      <c r="P16" s="23">
        <v>2.2599999999999998</v>
      </c>
      <c r="Q16" s="23">
        <v>2.4500000000000002</v>
      </c>
      <c r="R16" s="23">
        <v>2.63</v>
      </c>
      <c r="S16" s="23">
        <v>2.82</v>
      </c>
      <c r="T16" s="23">
        <v>9.98</v>
      </c>
      <c r="U16" s="23">
        <v>13.55</v>
      </c>
      <c r="V16" s="23">
        <v>16.29</v>
      </c>
      <c r="W16" s="23">
        <v>18.760000000000002</v>
      </c>
      <c r="X16" s="23">
        <v>20.92</v>
      </c>
      <c r="Y16" s="23">
        <v>22.77</v>
      </c>
      <c r="Z16" s="23">
        <v>25.41</v>
      </c>
      <c r="AA16" s="23">
        <v>27.98</v>
      </c>
      <c r="AB16" s="23">
        <v>30.41</v>
      </c>
      <c r="AC16" s="23">
        <v>3</v>
      </c>
      <c r="AD16" s="23">
        <v>3</v>
      </c>
      <c r="AE16" s="23">
        <v>3</v>
      </c>
      <c r="AF16" s="23">
        <v>3</v>
      </c>
      <c r="AG16" s="23">
        <v>3</v>
      </c>
      <c r="AH16" s="23">
        <v>3</v>
      </c>
      <c r="AI16" s="23">
        <v>3</v>
      </c>
      <c r="AJ16" s="23">
        <v>3</v>
      </c>
      <c r="AK16" s="23">
        <v>3</v>
      </c>
      <c r="AL16" s="24"/>
      <c r="AM16" s="24"/>
      <c r="AN16" s="24"/>
      <c r="AO16" s="24"/>
      <c r="AP16" s="24"/>
      <c r="AQ16" s="24"/>
      <c r="AR16" s="24"/>
      <c r="AS16" s="24"/>
      <c r="AT16" s="24"/>
      <c r="AU16" s="23">
        <v>7.46</v>
      </c>
      <c r="AV16" s="23">
        <v>7.97</v>
      </c>
      <c r="AW16" s="23">
        <v>8.36</v>
      </c>
      <c r="AX16" s="23">
        <v>8.7100000000000009</v>
      </c>
      <c r="AY16" s="23">
        <v>9.07</v>
      </c>
      <c r="AZ16" s="23">
        <v>9.4600000000000009</v>
      </c>
      <c r="BA16" s="23">
        <v>9.84</v>
      </c>
      <c r="BB16" s="23">
        <v>10.25</v>
      </c>
      <c r="BC16" s="23">
        <v>10.74</v>
      </c>
      <c r="BD16" s="23">
        <v>19.18</v>
      </c>
      <c r="BE16" s="23">
        <v>21.67</v>
      </c>
      <c r="BF16" s="23">
        <v>23.64</v>
      </c>
      <c r="BG16" s="23">
        <v>25.26</v>
      </c>
      <c r="BH16" s="23">
        <v>26.94</v>
      </c>
      <c r="BI16" s="23">
        <v>28.7</v>
      </c>
      <c r="BJ16" s="23">
        <v>30.65</v>
      </c>
      <c r="BK16" s="23">
        <v>33.31</v>
      </c>
      <c r="BL16" s="23">
        <v>37.22</v>
      </c>
      <c r="BM16" s="23">
        <v>5.32</v>
      </c>
      <c r="BN16" s="23">
        <v>7</v>
      </c>
      <c r="BO16" s="23">
        <v>8.15</v>
      </c>
      <c r="BP16" s="23">
        <v>9</v>
      </c>
      <c r="BQ16" s="23">
        <v>9.66</v>
      </c>
      <c r="BR16" s="23">
        <v>10.33</v>
      </c>
      <c r="BS16" s="23">
        <v>11.11</v>
      </c>
      <c r="BT16" s="23">
        <v>12</v>
      </c>
      <c r="BU16" s="23">
        <v>13.33</v>
      </c>
    </row>
    <row r="17" spans="1:73" x14ac:dyDescent="0.35">
      <c r="A17" s="21">
        <v>13</v>
      </c>
      <c r="B17" s="22">
        <v>335392</v>
      </c>
      <c r="C17" s="22">
        <v>376936</v>
      </c>
      <c r="D17" s="22">
        <v>408932</v>
      </c>
      <c r="E17" s="22">
        <v>438763</v>
      </c>
      <c r="F17" s="22">
        <v>467506</v>
      </c>
      <c r="G17" s="22">
        <v>498578</v>
      </c>
      <c r="H17" s="22">
        <v>535120</v>
      </c>
      <c r="I17" s="22">
        <v>578726</v>
      </c>
      <c r="J17" s="22">
        <v>645795</v>
      </c>
      <c r="K17" s="23">
        <v>1.69</v>
      </c>
      <c r="L17" s="23">
        <v>2.06</v>
      </c>
      <c r="M17" s="23">
        <v>2.1800000000000002</v>
      </c>
      <c r="N17" s="23">
        <v>2.2999999999999998</v>
      </c>
      <c r="O17" s="23">
        <v>2.41</v>
      </c>
      <c r="P17" s="23">
        <v>2.5299999999999998</v>
      </c>
      <c r="Q17" s="23">
        <v>2.65</v>
      </c>
      <c r="R17" s="23">
        <v>2.77</v>
      </c>
      <c r="S17" s="23">
        <v>2.88</v>
      </c>
      <c r="T17" s="23">
        <v>17.39</v>
      </c>
      <c r="U17" s="23">
        <v>21.35</v>
      </c>
      <c r="V17" s="23">
        <v>23.59</v>
      </c>
      <c r="W17" s="23">
        <v>26.17</v>
      </c>
      <c r="X17" s="23">
        <v>28.01</v>
      </c>
      <c r="Y17" s="23">
        <v>29.55</v>
      </c>
      <c r="Z17" s="23">
        <v>30.7</v>
      </c>
      <c r="AA17" s="23">
        <v>31.78</v>
      </c>
      <c r="AB17" s="23">
        <v>34.409999999999997</v>
      </c>
      <c r="AC17" s="23">
        <v>3</v>
      </c>
      <c r="AD17" s="23">
        <v>3</v>
      </c>
      <c r="AE17" s="23">
        <v>3</v>
      </c>
      <c r="AF17" s="23">
        <v>3</v>
      </c>
      <c r="AG17" s="23">
        <v>3</v>
      </c>
      <c r="AH17" s="23">
        <v>3</v>
      </c>
      <c r="AI17" s="23">
        <v>3.01</v>
      </c>
      <c r="AJ17" s="23">
        <v>3.34</v>
      </c>
      <c r="AK17" s="23">
        <v>3.67</v>
      </c>
      <c r="AL17" s="24"/>
      <c r="AM17" s="24"/>
      <c r="AN17" s="24"/>
      <c r="AO17" s="24"/>
      <c r="AP17" s="24"/>
      <c r="AQ17" s="24"/>
      <c r="AR17" s="24"/>
      <c r="AS17" s="24"/>
      <c r="AT17" s="24"/>
      <c r="AU17" s="23">
        <v>8.4</v>
      </c>
      <c r="AV17" s="23">
        <v>8.9600000000000009</v>
      </c>
      <c r="AW17" s="23">
        <v>9.41</v>
      </c>
      <c r="AX17" s="23">
        <v>9.7899999999999991</v>
      </c>
      <c r="AY17" s="23">
        <v>10.18</v>
      </c>
      <c r="AZ17" s="23">
        <v>10.59</v>
      </c>
      <c r="BA17" s="23">
        <v>10.98</v>
      </c>
      <c r="BB17" s="23">
        <v>11.41</v>
      </c>
      <c r="BC17" s="23">
        <v>11.86</v>
      </c>
      <c r="BD17" s="23">
        <v>21.93</v>
      </c>
      <c r="BE17" s="23">
        <v>24.66</v>
      </c>
      <c r="BF17" s="23">
        <v>26.81</v>
      </c>
      <c r="BG17" s="23">
        <v>28.65</v>
      </c>
      <c r="BH17" s="23">
        <v>30.4</v>
      </c>
      <c r="BI17" s="23">
        <v>32.32</v>
      </c>
      <c r="BJ17" s="23">
        <v>34.479999999999997</v>
      </c>
      <c r="BK17" s="23">
        <v>37.17</v>
      </c>
      <c r="BL17" s="23">
        <v>40.93</v>
      </c>
      <c r="BM17" s="23">
        <v>6.44</v>
      </c>
      <c r="BN17" s="23">
        <v>8.19</v>
      </c>
      <c r="BO17" s="23">
        <v>9.11</v>
      </c>
      <c r="BP17" s="23">
        <v>9.81</v>
      </c>
      <c r="BQ17" s="23">
        <v>10.43</v>
      </c>
      <c r="BR17" s="23">
        <v>11.05</v>
      </c>
      <c r="BS17" s="23">
        <v>11.67</v>
      </c>
      <c r="BT17" s="23">
        <v>12.5</v>
      </c>
      <c r="BU17" s="23">
        <v>13.67</v>
      </c>
    </row>
    <row r="18" spans="1:73" x14ac:dyDescent="0.35">
      <c r="A18" s="21">
        <v>14</v>
      </c>
      <c r="B18" s="22">
        <v>424897</v>
      </c>
      <c r="C18" s="22">
        <v>473983</v>
      </c>
      <c r="D18" s="22">
        <v>515931</v>
      </c>
      <c r="E18" s="22">
        <v>550995</v>
      </c>
      <c r="F18" s="22">
        <v>585371</v>
      </c>
      <c r="G18" s="22">
        <v>623816</v>
      </c>
      <c r="H18" s="22">
        <v>669605</v>
      </c>
      <c r="I18" s="22">
        <v>725562</v>
      </c>
      <c r="J18" s="22">
        <v>808607</v>
      </c>
      <c r="K18" s="23">
        <v>2.0499999999999998</v>
      </c>
      <c r="L18" s="23">
        <v>2.16</v>
      </c>
      <c r="M18" s="23">
        <v>2.2599999999999998</v>
      </c>
      <c r="N18" s="23">
        <v>2.37</v>
      </c>
      <c r="O18" s="23">
        <v>2.4700000000000002</v>
      </c>
      <c r="P18" s="23">
        <v>2.58</v>
      </c>
      <c r="Q18" s="23">
        <v>2.68</v>
      </c>
      <c r="R18" s="23">
        <v>2.79</v>
      </c>
      <c r="S18" s="23">
        <v>2.89</v>
      </c>
      <c r="T18" s="23">
        <v>22.08</v>
      </c>
      <c r="U18" s="23">
        <v>25.44</v>
      </c>
      <c r="V18" s="23">
        <v>27.82</v>
      </c>
      <c r="W18" s="23">
        <v>29.66</v>
      </c>
      <c r="X18" s="23">
        <v>30.94</v>
      </c>
      <c r="Y18" s="23">
        <v>32.020000000000003</v>
      </c>
      <c r="Z18" s="23">
        <v>33.83</v>
      </c>
      <c r="AA18" s="23">
        <v>35.31</v>
      </c>
      <c r="AB18" s="23">
        <v>37.17</v>
      </c>
      <c r="AC18" s="23">
        <v>3</v>
      </c>
      <c r="AD18" s="23">
        <v>3</v>
      </c>
      <c r="AE18" s="23">
        <v>3</v>
      </c>
      <c r="AF18" s="23">
        <v>3</v>
      </c>
      <c r="AG18" s="23">
        <v>3.14</v>
      </c>
      <c r="AH18" s="23">
        <v>3.32</v>
      </c>
      <c r="AI18" s="23">
        <v>3.49</v>
      </c>
      <c r="AJ18" s="23">
        <v>3.66</v>
      </c>
      <c r="AK18" s="23">
        <v>3.83</v>
      </c>
      <c r="AL18" s="24"/>
      <c r="AM18" s="24"/>
      <c r="AN18" s="24"/>
      <c r="AO18" s="24"/>
      <c r="AP18" s="24"/>
      <c r="AQ18" s="24"/>
      <c r="AR18" s="24"/>
      <c r="AS18" s="24"/>
      <c r="AT18" s="24"/>
      <c r="AU18" s="23">
        <v>9.01</v>
      </c>
      <c r="AV18" s="23">
        <v>9.65</v>
      </c>
      <c r="AW18" s="23">
        <v>10.17</v>
      </c>
      <c r="AX18" s="23">
        <v>10.65</v>
      </c>
      <c r="AY18" s="23">
        <v>11.1</v>
      </c>
      <c r="AZ18" s="23">
        <v>11.54</v>
      </c>
      <c r="BA18" s="23">
        <v>12.01</v>
      </c>
      <c r="BB18" s="23">
        <v>12.48</v>
      </c>
      <c r="BC18" s="23">
        <v>12.93</v>
      </c>
      <c r="BD18" s="23">
        <v>23.9</v>
      </c>
      <c r="BE18" s="23">
        <v>26.93</v>
      </c>
      <c r="BF18" s="23">
        <v>29.33</v>
      </c>
      <c r="BG18" s="23">
        <v>31.37</v>
      </c>
      <c r="BH18" s="23">
        <v>33.43</v>
      </c>
      <c r="BI18" s="23">
        <v>35.6</v>
      </c>
      <c r="BJ18" s="23">
        <v>37.83</v>
      </c>
      <c r="BK18" s="23">
        <v>40.619999999999997</v>
      </c>
      <c r="BL18" s="23">
        <v>44.87</v>
      </c>
      <c r="BM18" s="23">
        <v>7</v>
      </c>
      <c r="BN18" s="23">
        <v>8.67</v>
      </c>
      <c r="BO18" s="23">
        <v>9.5500000000000007</v>
      </c>
      <c r="BP18" s="23">
        <v>10.220000000000001</v>
      </c>
      <c r="BQ18" s="23">
        <v>10.83</v>
      </c>
      <c r="BR18" s="23">
        <v>11.45</v>
      </c>
      <c r="BS18" s="23">
        <v>12.11</v>
      </c>
      <c r="BT18" s="23">
        <v>12.92</v>
      </c>
      <c r="BU18" s="23">
        <v>14.11</v>
      </c>
    </row>
    <row r="19" spans="1:73" x14ac:dyDescent="0.35">
      <c r="A19" s="21">
        <v>15</v>
      </c>
      <c r="B19" s="22">
        <v>528778</v>
      </c>
      <c r="C19" s="22">
        <v>593985</v>
      </c>
      <c r="D19" s="22">
        <v>645249</v>
      </c>
      <c r="E19" s="22">
        <v>692746</v>
      </c>
      <c r="F19" s="22">
        <v>737911</v>
      </c>
      <c r="G19" s="22">
        <v>788143</v>
      </c>
      <c r="H19" s="22">
        <v>847657</v>
      </c>
      <c r="I19" s="22">
        <v>920645</v>
      </c>
      <c r="J19" s="22">
        <v>1037955</v>
      </c>
      <c r="K19" s="23">
        <v>2.09</v>
      </c>
      <c r="L19" s="23">
        <v>2.2000000000000002</v>
      </c>
      <c r="M19" s="23">
        <v>2.3199999999999998</v>
      </c>
      <c r="N19" s="23">
        <v>2.4300000000000002</v>
      </c>
      <c r="O19" s="23">
        <v>2.54</v>
      </c>
      <c r="P19" s="23">
        <v>2.65</v>
      </c>
      <c r="Q19" s="23">
        <v>2.76</v>
      </c>
      <c r="R19" s="23">
        <v>2.88</v>
      </c>
      <c r="S19" s="23">
        <v>2.99</v>
      </c>
      <c r="T19" s="23">
        <v>25.71</v>
      </c>
      <c r="U19" s="23">
        <v>28.98</v>
      </c>
      <c r="V19" s="23">
        <v>30.99</v>
      </c>
      <c r="W19" s="23">
        <v>32.5</v>
      </c>
      <c r="X19" s="23">
        <v>33.96</v>
      </c>
      <c r="Y19" s="23">
        <v>35.21</v>
      </c>
      <c r="Z19" s="23">
        <v>36.11</v>
      </c>
      <c r="AA19" s="23">
        <v>37.869999999999997</v>
      </c>
      <c r="AB19" s="23">
        <v>39.659999999999997</v>
      </c>
      <c r="AC19" s="23">
        <v>3</v>
      </c>
      <c r="AD19" s="23">
        <v>3</v>
      </c>
      <c r="AE19" s="23">
        <v>3.11</v>
      </c>
      <c r="AF19" s="23">
        <v>3.24</v>
      </c>
      <c r="AG19" s="23">
        <v>3.37</v>
      </c>
      <c r="AH19" s="23">
        <v>3.49</v>
      </c>
      <c r="AI19" s="23">
        <v>3.62</v>
      </c>
      <c r="AJ19" s="23">
        <v>3.75</v>
      </c>
      <c r="AK19" s="23">
        <v>3.87</v>
      </c>
      <c r="AL19" s="23">
        <v>0.49</v>
      </c>
      <c r="AM19" s="23">
        <v>1</v>
      </c>
      <c r="AN19" s="23">
        <v>1.59</v>
      </c>
      <c r="AO19" s="23">
        <v>2.2599999999999998</v>
      </c>
      <c r="AP19" s="23">
        <v>3.13</v>
      </c>
      <c r="AQ19" s="23">
        <v>4.1399999999999997</v>
      </c>
      <c r="AR19" s="23">
        <v>5.6</v>
      </c>
      <c r="AS19" s="23">
        <v>7.66</v>
      </c>
      <c r="AT19" s="23">
        <v>10.91</v>
      </c>
      <c r="AU19" s="23">
        <v>9.35</v>
      </c>
      <c r="AV19" s="23">
        <v>10.09</v>
      </c>
      <c r="AW19" s="23">
        <v>10.64</v>
      </c>
      <c r="AX19" s="23">
        <v>11.13</v>
      </c>
      <c r="AY19" s="23">
        <v>11.6</v>
      </c>
      <c r="AZ19" s="23">
        <v>12.1</v>
      </c>
      <c r="BA19" s="23">
        <v>12.64</v>
      </c>
      <c r="BB19" s="23">
        <v>13.19</v>
      </c>
      <c r="BC19" s="23">
        <v>13.77</v>
      </c>
      <c r="BD19" s="23">
        <v>25.88</v>
      </c>
      <c r="BE19" s="23">
        <v>29.61</v>
      </c>
      <c r="BF19" s="23">
        <v>32.31</v>
      </c>
      <c r="BG19" s="23">
        <v>34.659999999999997</v>
      </c>
      <c r="BH19" s="23">
        <v>36.96</v>
      </c>
      <c r="BI19" s="23">
        <v>39.31</v>
      </c>
      <c r="BJ19" s="23">
        <v>41.84</v>
      </c>
      <c r="BK19" s="23">
        <v>45.1</v>
      </c>
      <c r="BL19" s="23">
        <v>49.98</v>
      </c>
      <c r="BM19" s="23">
        <v>7.46</v>
      </c>
      <c r="BN19" s="23">
        <v>8.92</v>
      </c>
      <c r="BO19" s="23">
        <v>9.7899999999999991</v>
      </c>
      <c r="BP19" s="23">
        <v>10.47</v>
      </c>
      <c r="BQ19" s="23">
        <v>11.08</v>
      </c>
      <c r="BR19" s="23">
        <v>11.71</v>
      </c>
      <c r="BS19" s="23">
        <v>12.38</v>
      </c>
      <c r="BT19" s="23">
        <v>13.21</v>
      </c>
      <c r="BU19" s="23">
        <v>14.44</v>
      </c>
    </row>
    <row r="20" spans="1:73" x14ac:dyDescent="0.35">
      <c r="A20" s="21">
        <v>16</v>
      </c>
      <c r="B20" s="22">
        <v>680201</v>
      </c>
      <c r="C20" s="22">
        <v>759721</v>
      </c>
      <c r="D20" s="22">
        <v>824894</v>
      </c>
      <c r="E20" s="22">
        <v>881981</v>
      </c>
      <c r="F20" s="22">
        <v>943030</v>
      </c>
      <c r="G20" s="22">
        <v>1008770</v>
      </c>
      <c r="H20" s="22">
        <v>1082600</v>
      </c>
      <c r="I20" s="22">
        <v>1176767</v>
      </c>
      <c r="J20" s="22">
        <v>1314684</v>
      </c>
      <c r="K20" s="23">
        <v>2.15</v>
      </c>
      <c r="L20" s="23">
        <v>2.31</v>
      </c>
      <c r="M20" s="23">
        <v>2.4700000000000002</v>
      </c>
      <c r="N20" s="23">
        <v>2.63</v>
      </c>
      <c r="O20" s="23">
        <v>2.79</v>
      </c>
      <c r="P20" s="23">
        <v>2.95</v>
      </c>
      <c r="Q20" s="23">
        <v>3.19</v>
      </c>
      <c r="R20" s="23">
        <v>3.46</v>
      </c>
      <c r="S20" s="23">
        <v>3.73</v>
      </c>
      <c r="T20" s="23">
        <v>29.14</v>
      </c>
      <c r="U20" s="23">
        <v>32.29</v>
      </c>
      <c r="V20" s="23">
        <v>34.28</v>
      </c>
      <c r="W20" s="23">
        <v>35.57</v>
      </c>
      <c r="X20" s="23">
        <v>36.74</v>
      </c>
      <c r="Y20" s="23">
        <v>38.21</v>
      </c>
      <c r="Z20" s="23">
        <v>39.450000000000003</v>
      </c>
      <c r="AA20" s="23">
        <v>40.619999999999997</v>
      </c>
      <c r="AB20" s="23">
        <v>42.4</v>
      </c>
      <c r="AC20" s="23">
        <v>3.04</v>
      </c>
      <c r="AD20" s="23">
        <v>3.15</v>
      </c>
      <c r="AE20" s="23">
        <v>3.26</v>
      </c>
      <c r="AF20" s="23">
        <v>3.37</v>
      </c>
      <c r="AG20" s="23">
        <v>3.48</v>
      </c>
      <c r="AH20" s="23">
        <v>3.6</v>
      </c>
      <c r="AI20" s="23">
        <v>3.71</v>
      </c>
      <c r="AJ20" s="23">
        <v>3.82</v>
      </c>
      <c r="AK20" s="23">
        <v>3.93</v>
      </c>
      <c r="AL20" s="23">
        <v>1.19</v>
      </c>
      <c r="AM20" s="23">
        <v>2.48</v>
      </c>
      <c r="AN20" s="23">
        <v>3.85</v>
      </c>
      <c r="AO20" s="23">
        <v>5.45</v>
      </c>
      <c r="AP20" s="23">
        <v>7.19</v>
      </c>
      <c r="AQ20" s="23">
        <v>9.06</v>
      </c>
      <c r="AR20" s="23">
        <v>11.34</v>
      </c>
      <c r="AS20" s="23">
        <v>14.06</v>
      </c>
      <c r="AT20" s="23">
        <v>18.489999999999998</v>
      </c>
      <c r="AU20" s="23">
        <v>10.02</v>
      </c>
      <c r="AV20" s="23">
        <v>10.84</v>
      </c>
      <c r="AW20" s="23">
        <v>11.43</v>
      </c>
      <c r="AX20" s="23">
        <v>11.97</v>
      </c>
      <c r="AY20" s="23">
        <v>12.53</v>
      </c>
      <c r="AZ20" s="23">
        <v>13.08</v>
      </c>
      <c r="BA20" s="23">
        <v>13.67</v>
      </c>
      <c r="BB20" s="23">
        <v>14.25</v>
      </c>
      <c r="BC20" s="23">
        <v>14.84</v>
      </c>
      <c r="BD20" s="23">
        <v>28.07</v>
      </c>
      <c r="BE20" s="23">
        <v>32.36</v>
      </c>
      <c r="BF20" s="23">
        <v>35.47</v>
      </c>
      <c r="BG20" s="23">
        <v>38.33</v>
      </c>
      <c r="BH20" s="23">
        <v>40.909999999999997</v>
      </c>
      <c r="BI20" s="23">
        <v>43.71</v>
      </c>
      <c r="BJ20" s="23">
        <v>46.86</v>
      </c>
      <c r="BK20" s="23">
        <v>50.5</v>
      </c>
      <c r="BL20" s="23">
        <v>55.84</v>
      </c>
      <c r="BM20" s="23">
        <v>7.76</v>
      </c>
      <c r="BN20" s="23">
        <v>9.25</v>
      </c>
      <c r="BO20" s="23">
        <v>10.14</v>
      </c>
      <c r="BP20" s="23">
        <v>10.83</v>
      </c>
      <c r="BQ20" s="23">
        <v>11.5</v>
      </c>
      <c r="BR20" s="23">
        <v>12.18</v>
      </c>
      <c r="BS20" s="23">
        <v>12.96</v>
      </c>
      <c r="BT20" s="23">
        <v>13.85</v>
      </c>
      <c r="BU20" s="23">
        <v>15.04</v>
      </c>
    </row>
    <row r="21" spans="1:73" x14ac:dyDescent="0.35">
      <c r="A21" s="21">
        <v>17</v>
      </c>
      <c r="B21" s="22">
        <v>887195</v>
      </c>
      <c r="C21" s="22">
        <v>998940</v>
      </c>
      <c r="D21" s="22">
        <v>1084718</v>
      </c>
      <c r="E21" s="22">
        <v>1162384</v>
      </c>
      <c r="F21" s="22">
        <v>1237836</v>
      </c>
      <c r="G21" s="22">
        <v>1323812</v>
      </c>
      <c r="H21" s="22">
        <v>1419018</v>
      </c>
      <c r="I21" s="22">
        <v>1542764</v>
      </c>
      <c r="J21" s="22">
        <v>1725905</v>
      </c>
      <c r="K21" s="23">
        <v>2.34</v>
      </c>
      <c r="L21" s="23">
        <v>2.69</v>
      </c>
      <c r="M21" s="23">
        <v>3.01</v>
      </c>
      <c r="N21" s="23">
        <v>3.15</v>
      </c>
      <c r="O21" s="23">
        <v>3.3</v>
      </c>
      <c r="P21" s="23">
        <v>3.44</v>
      </c>
      <c r="Q21" s="23">
        <v>3.58</v>
      </c>
      <c r="R21" s="23">
        <v>3.72</v>
      </c>
      <c r="S21" s="23">
        <v>3.86</v>
      </c>
      <c r="T21" s="23">
        <v>32.619999999999997</v>
      </c>
      <c r="U21" s="23">
        <v>35.5</v>
      </c>
      <c r="V21" s="23">
        <v>37.25</v>
      </c>
      <c r="W21" s="23">
        <v>38.89</v>
      </c>
      <c r="X21" s="23">
        <v>39.94</v>
      </c>
      <c r="Y21" s="23">
        <v>41.22</v>
      </c>
      <c r="Z21" s="23">
        <v>42.59</v>
      </c>
      <c r="AA21" s="23">
        <v>44.23</v>
      </c>
      <c r="AB21" s="23">
        <v>46.16</v>
      </c>
      <c r="AC21" s="23">
        <v>3.1</v>
      </c>
      <c r="AD21" s="23">
        <v>3.24</v>
      </c>
      <c r="AE21" s="23">
        <v>3.38</v>
      </c>
      <c r="AF21" s="23">
        <v>3.52</v>
      </c>
      <c r="AG21" s="23">
        <v>3.66</v>
      </c>
      <c r="AH21" s="23">
        <v>3.8</v>
      </c>
      <c r="AI21" s="23">
        <v>3.94</v>
      </c>
      <c r="AJ21" s="23">
        <v>4.21</v>
      </c>
      <c r="AK21" s="23">
        <v>4.6100000000000003</v>
      </c>
      <c r="AL21" s="23">
        <v>2.63</v>
      </c>
      <c r="AM21" s="23">
        <v>5.33</v>
      </c>
      <c r="AN21" s="23">
        <v>8.01</v>
      </c>
      <c r="AO21" s="23">
        <v>10.6</v>
      </c>
      <c r="AP21" s="23">
        <v>13.31</v>
      </c>
      <c r="AQ21" s="23">
        <v>16.16</v>
      </c>
      <c r="AR21" s="23">
        <v>19.55</v>
      </c>
      <c r="AS21" s="23">
        <v>23.77</v>
      </c>
      <c r="AT21" s="23">
        <v>30.19</v>
      </c>
      <c r="AU21" s="23">
        <v>10.78</v>
      </c>
      <c r="AV21" s="23">
        <v>11.69</v>
      </c>
      <c r="AW21" s="23">
        <v>12.36</v>
      </c>
      <c r="AX21" s="23">
        <v>12.97</v>
      </c>
      <c r="AY21" s="23">
        <v>13.57</v>
      </c>
      <c r="AZ21" s="23">
        <v>14.18</v>
      </c>
      <c r="BA21" s="23">
        <v>14.82</v>
      </c>
      <c r="BB21" s="23">
        <v>15.36</v>
      </c>
      <c r="BC21" s="23">
        <v>15.91</v>
      </c>
      <c r="BD21" s="23">
        <v>27.57</v>
      </c>
      <c r="BE21" s="23">
        <v>31.75</v>
      </c>
      <c r="BF21" s="23">
        <v>34.880000000000003</v>
      </c>
      <c r="BG21" s="23">
        <v>37.71</v>
      </c>
      <c r="BH21" s="23">
        <v>40.450000000000003</v>
      </c>
      <c r="BI21" s="23">
        <v>43.24</v>
      </c>
      <c r="BJ21" s="23">
        <v>46.24</v>
      </c>
      <c r="BK21" s="23">
        <v>49.94</v>
      </c>
      <c r="BL21" s="23">
        <v>54.94</v>
      </c>
      <c r="BM21" s="23">
        <v>7.5</v>
      </c>
      <c r="BN21" s="23">
        <v>8.7200000000000006</v>
      </c>
      <c r="BO21" s="23">
        <v>9.52</v>
      </c>
      <c r="BP21" s="23">
        <v>10.17</v>
      </c>
      <c r="BQ21" s="23">
        <v>10.82</v>
      </c>
      <c r="BR21" s="23">
        <v>11.46</v>
      </c>
      <c r="BS21" s="23">
        <v>12.17</v>
      </c>
      <c r="BT21" s="23">
        <v>12.99</v>
      </c>
      <c r="BU21" s="23">
        <v>14.19</v>
      </c>
    </row>
    <row r="22" spans="1:73" x14ac:dyDescent="0.35">
      <c r="A22" s="21">
        <v>18</v>
      </c>
      <c r="B22" s="22">
        <v>1169134</v>
      </c>
      <c r="C22" s="22">
        <v>1313673</v>
      </c>
      <c r="D22" s="22">
        <v>1433574</v>
      </c>
      <c r="E22" s="22">
        <v>1541761</v>
      </c>
      <c r="F22" s="22">
        <v>1642949</v>
      </c>
      <c r="G22" s="22">
        <v>1751472</v>
      </c>
      <c r="H22" s="22">
        <v>1874883</v>
      </c>
      <c r="I22" s="22">
        <v>2030549</v>
      </c>
      <c r="J22" s="22">
        <v>2259865</v>
      </c>
      <c r="K22" s="23">
        <v>2.93</v>
      </c>
      <c r="L22" s="23">
        <v>3.1</v>
      </c>
      <c r="M22" s="23">
        <v>3.22</v>
      </c>
      <c r="N22" s="23">
        <v>3.33</v>
      </c>
      <c r="O22" s="23">
        <v>3.44</v>
      </c>
      <c r="P22" s="23">
        <v>3.55</v>
      </c>
      <c r="Q22" s="23">
        <v>3.66</v>
      </c>
      <c r="R22" s="23">
        <v>3.78</v>
      </c>
      <c r="S22" s="23">
        <v>3.89</v>
      </c>
      <c r="T22" s="23">
        <v>36.159999999999997</v>
      </c>
      <c r="U22" s="23">
        <v>39.159999999999997</v>
      </c>
      <c r="V22" s="23">
        <v>40.92</v>
      </c>
      <c r="W22" s="23">
        <v>42.41</v>
      </c>
      <c r="X22" s="23">
        <v>44.03</v>
      </c>
      <c r="Y22" s="23">
        <v>45.02</v>
      </c>
      <c r="Z22" s="23">
        <v>46.41</v>
      </c>
      <c r="AA22" s="23">
        <v>48.03</v>
      </c>
      <c r="AB22" s="23">
        <v>50.26</v>
      </c>
      <c r="AC22" s="23">
        <v>3.24</v>
      </c>
      <c r="AD22" s="23">
        <v>3.5</v>
      </c>
      <c r="AE22" s="23">
        <v>3.77</v>
      </c>
      <c r="AF22" s="23">
        <v>4.0199999999999996</v>
      </c>
      <c r="AG22" s="23">
        <v>4.18</v>
      </c>
      <c r="AH22" s="23">
        <v>4.3499999999999996</v>
      </c>
      <c r="AI22" s="23">
        <v>4.51</v>
      </c>
      <c r="AJ22" s="23">
        <v>4.67</v>
      </c>
      <c r="AK22" s="23">
        <v>4.84</v>
      </c>
      <c r="AL22" s="23">
        <v>5.0599999999999996</v>
      </c>
      <c r="AM22" s="23">
        <v>9.75</v>
      </c>
      <c r="AN22" s="23">
        <v>13.71</v>
      </c>
      <c r="AO22" s="23">
        <v>17.57</v>
      </c>
      <c r="AP22" s="23">
        <v>21.52</v>
      </c>
      <c r="AQ22" s="23">
        <v>25.72</v>
      </c>
      <c r="AR22" s="23">
        <v>30.06</v>
      </c>
      <c r="AS22" s="23">
        <v>35.5</v>
      </c>
      <c r="AT22" s="23">
        <v>43.85</v>
      </c>
      <c r="AU22" s="23">
        <v>11.73</v>
      </c>
      <c r="AV22" s="23">
        <v>12.67</v>
      </c>
      <c r="AW22" s="23">
        <v>13.45</v>
      </c>
      <c r="AX22" s="23">
        <v>14.13</v>
      </c>
      <c r="AY22" s="23">
        <v>14.85</v>
      </c>
      <c r="AZ22" s="23">
        <v>15.55</v>
      </c>
      <c r="BA22" s="23">
        <v>16.100000000000001</v>
      </c>
      <c r="BB22" s="23">
        <v>16.559999999999999</v>
      </c>
      <c r="BC22" s="23">
        <v>17.02</v>
      </c>
      <c r="BD22" s="23">
        <v>29.73</v>
      </c>
      <c r="BE22" s="23">
        <v>34.5</v>
      </c>
      <c r="BF22" s="23">
        <v>37.979999999999997</v>
      </c>
      <c r="BG22" s="23">
        <v>41.08</v>
      </c>
      <c r="BH22" s="23">
        <v>44.13</v>
      </c>
      <c r="BI22" s="23">
        <v>47.09</v>
      </c>
      <c r="BJ22" s="23">
        <v>50.25</v>
      </c>
      <c r="BK22" s="23">
        <v>54.15</v>
      </c>
      <c r="BL22" s="23">
        <v>58.99</v>
      </c>
      <c r="BM22" s="23">
        <v>7.63</v>
      </c>
      <c r="BN22" s="23">
        <v>8.89</v>
      </c>
      <c r="BO22" s="23">
        <v>9.73</v>
      </c>
      <c r="BP22" s="23">
        <v>10.45</v>
      </c>
      <c r="BQ22" s="23">
        <v>11.14</v>
      </c>
      <c r="BR22" s="23">
        <v>11.83</v>
      </c>
      <c r="BS22" s="23">
        <v>12.58</v>
      </c>
      <c r="BT22" s="23">
        <v>13.47</v>
      </c>
      <c r="BU22" s="23">
        <v>14.62</v>
      </c>
    </row>
    <row r="23" spans="1:73" x14ac:dyDescent="0.35">
      <c r="A23" s="21">
        <v>19</v>
      </c>
      <c r="B23" s="22">
        <v>1465188</v>
      </c>
      <c r="C23" s="22">
        <v>1641780</v>
      </c>
      <c r="D23" s="22">
        <v>1789013</v>
      </c>
      <c r="E23" s="22">
        <v>1929077</v>
      </c>
      <c r="F23" s="22">
        <v>2064069</v>
      </c>
      <c r="G23" s="22">
        <v>2209330</v>
      </c>
      <c r="H23" s="22">
        <v>2371610</v>
      </c>
      <c r="I23" s="22">
        <v>2557648</v>
      </c>
      <c r="J23" s="22">
        <v>2799205</v>
      </c>
      <c r="K23" s="23">
        <v>3.06</v>
      </c>
      <c r="L23" s="23">
        <v>3.16</v>
      </c>
      <c r="M23" s="23">
        <v>3.27</v>
      </c>
      <c r="N23" s="23">
        <v>3.37</v>
      </c>
      <c r="O23" s="23">
        <v>3.48</v>
      </c>
      <c r="P23" s="23">
        <v>3.58</v>
      </c>
      <c r="Q23" s="23">
        <v>3.69</v>
      </c>
      <c r="R23" s="23">
        <v>3.79</v>
      </c>
      <c r="S23" s="23">
        <v>3.9</v>
      </c>
      <c r="T23" s="23">
        <v>39.22</v>
      </c>
      <c r="U23" s="23">
        <v>41.93</v>
      </c>
      <c r="V23" s="23">
        <v>44.07</v>
      </c>
      <c r="W23" s="23">
        <v>45.32</v>
      </c>
      <c r="X23" s="23">
        <v>46.62</v>
      </c>
      <c r="Y23" s="23">
        <v>48.01</v>
      </c>
      <c r="Z23" s="23">
        <v>49.17</v>
      </c>
      <c r="AA23" s="23">
        <v>50.54</v>
      </c>
      <c r="AB23" s="23">
        <v>52.3</v>
      </c>
      <c r="AC23" s="23">
        <v>3.56</v>
      </c>
      <c r="AD23" s="23">
        <v>4.03</v>
      </c>
      <c r="AE23" s="23">
        <v>4.1500000000000004</v>
      </c>
      <c r="AF23" s="23">
        <v>4.2699999999999996</v>
      </c>
      <c r="AG23" s="23">
        <v>4.3899999999999997</v>
      </c>
      <c r="AH23" s="23">
        <v>4.5199999999999996</v>
      </c>
      <c r="AI23" s="23">
        <v>4.6399999999999997</v>
      </c>
      <c r="AJ23" s="23">
        <v>4.76</v>
      </c>
      <c r="AK23" s="23">
        <v>4.88</v>
      </c>
      <c r="AL23" s="23">
        <v>8.41</v>
      </c>
      <c r="AM23" s="23">
        <v>14.83</v>
      </c>
      <c r="AN23" s="23">
        <v>20.239999999999998</v>
      </c>
      <c r="AO23" s="23">
        <v>25.15</v>
      </c>
      <c r="AP23" s="23">
        <v>30.32</v>
      </c>
      <c r="AQ23" s="23">
        <v>35.31</v>
      </c>
      <c r="AR23" s="23">
        <v>40.549999999999997</v>
      </c>
      <c r="AS23" s="23">
        <v>47.15</v>
      </c>
      <c r="AT23" s="23">
        <v>55.8</v>
      </c>
      <c r="AU23" s="23">
        <v>12.47</v>
      </c>
      <c r="AV23" s="23">
        <v>13.58</v>
      </c>
      <c r="AW23" s="23">
        <v>14.47</v>
      </c>
      <c r="AX23" s="23">
        <v>15.26</v>
      </c>
      <c r="AY23" s="23">
        <v>16.010000000000002</v>
      </c>
      <c r="AZ23" s="23">
        <v>16.73</v>
      </c>
      <c r="BA23" s="23">
        <v>17.32</v>
      </c>
      <c r="BB23" s="23">
        <v>17.75</v>
      </c>
      <c r="BC23" s="23">
        <v>18.12</v>
      </c>
      <c r="BD23" s="23">
        <v>32.200000000000003</v>
      </c>
      <c r="BE23" s="23">
        <v>37.659999999999997</v>
      </c>
      <c r="BF23" s="23">
        <v>41.74</v>
      </c>
      <c r="BG23" s="23">
        <v>45.32</v>
      </c>
      <c r="BH23" s="23">
        <v>48.75</v>
      </c>
      <c r="BI23" s="23">
        <v>52.08</v>
      </c>
      <c r="BJ23" s="23">
        <v>55.52</v>
      </c>
      <c r="BK23" s="23">
        <v>59.43</v>
      </c>
      <c r="BL23" s="23">
        <v>64.709999999999994</v>
      </c>
      <c r="BM23" s="23">
        <v>8.09</v>
      </c>
      <c r="BN23" s="23">
        <v>9.3800000000000008</v>
      </c>
      <c r="BO23" s="23">
        <v>10.32</v>
      </c>
      <c r="BP23" s="23">
        <v>11.07</v>
      </c>
      <c r="BQ23" s="23">
        <v>11.84</v>
      </c>
      <c r="BR23" s="23">
        <v>12.59</v>
      </c>
      <c r="BS23" s="23">
        <v>13.44</v>
      </c>
      <c r="BT23" s="23">
        <v>14.35</v>
      </c>
      <c r="BU23" s="23">
        <v>15.52</v>
      </c>
    </row>
    <row r="24" spans="1:73" x14ac:dyDescent="0.35">
      <c r="A24" s="21">
        <v>20</v>
      </c>
      <c r="B24" s="22">
        <v>1822835</v>
      </c>
      <c r="C24" s="22">
        <v>2059434</v>
      </c>
      <c r="D24" s="22">
        <v>2239781</v>
      </c>
      <c r="E24" s="22">
        <v>2403898</v>
      </c>
      <c r="F24" s="22">
        <v>2566829</v>
      </c>
      <c r="G24" s="22">
        <v>2740516</v>
      </c>
      <c r="H24" s="22">
        <v>2935140</v>
      </c>
      <c r="I24" s="22">
        <v>3170977</v>
      </c>
      <c r="J24" s="22">
        <v>3486032</v>
      </c>
      <c r="K24" s="23">
        <v>3.08</v>
      </c>
      <c r="L24" s="23">
        <v>3.19</v>
      </c>
      <c r="M24" s="23">
        <v>3.29</v>
      </c>
      <c r="N24" s="23">
        <v>3.4</v>
      </c>
      <c r="O24" s="23">
        <v>3.5</v>
      </c>
      <c r="P24" s="23">
        <v>3.61</v>
      </c>
      <c r="Q24" s="23">
        <v>3.71</v>
      </c>
      <c r="R24" s="23">
        <v>3.82</v>
      </c>
      <c r="S24" s="23">
        <v>3.92</v>
      </c>
      <c r="T24" s="23">
        <v>41.88</v>
      </c>
      <c r="U24" s="23">
        <v>44.66</v>
      </c>
      <c r="V24" s="23">
        <v>46.34</v>
      </c>
      <c r="W24" s="23">
        <v>47.92</v>
      </c>
      <c r="X24" s="23">
        <v>48.99</v>
      </c>
      <c r="Y24" s="23">
        <v>50.3</v>
      </c>
      <c r="Z24" s="23">
        <v>51.25</v>
      </c>
      <c r="AA24" s="23">
        <v>52.73</v>
      </c>
      <c r="AB24" s="23">
        <v>54.58</v>
      </c>
      <c r="AC24" s="23">
        <v>4.03</v>
      </c>
      <c r="AD24" s="23">
        <v>4.1399999999999997</v>
      </c>
      <c r="AE24" s="23">
        <v>4.25</v>
      </c>
      <c r="AF24" s="23">
        <v>4.3600000000000003</v>
      </c>
      <c r="AG24" s="23">
        <v>4.46</v>
      </c>
      <c r="AH24" s="23">
        <v>4.57</v>
      </c>
      <c r="AI24" s="23">
        <v>4.68</v>
      </c>
      <c r="AJ24" s="23">
        <v>4.79</v>
      </c>
      <c r="AK24" s="23">
        <v>4.8899999999999997</v>
      </c>
      <c r="AL24" s="23">
        <v>12.26</v>
      </c>
      <c r="AM24" s="23">
        <v>20.5</v>
      </c>
      <c r="AN24" s="23">
        <v>27.44</v>
      </c>
      <c r="AO24" s="23">
        <v>33.590000000000003</v>
      </c>
      <c r="AP24" s="23">
        <v>39.1</v>
      </c>
      <c r="AQ24" s="23">
        <v>44.56</v>
      </c>
      <c r="AR24" s="23">
        <v>49.91</v>
      </c>
      <c r="AS24" s="23">
        <v>56</v>
      </c>
      <c r="AT24" s="23">
        <v>64.09</v>
      </c>
      <c r="AU24" s="23">
        <v>13.01</v>
      </c>
      <c r="AV24" s="23">
        <v>14.26</v>
      </c>
      <c r="AW24" s="23">
        <v>15.16</v>
      </c>
      <c r="AX24" s="23">
        <v>16.02</v>
      </c>
      <c r="AY24" s="23">
        <v>16.8</v>
      </c>
      <c r="AZ24" s="23">
        <v>17.5</v>
      </c>
      <c r="BA24" s="23">
        <v>18.09</v>
      </c>
      <c r="BB24" s="23">
        <v>18.57</v>
      </c>
      <c r="BC24" s="23">
        <v>19.02</v>
      </c>
      <c r="BD24" s="23">
        <v>35.94</v>
      </c>
      <c r="BE24" s="23">
        <v>42.03</v>
      </c>
      <c r="BF24" s="23">
        <v>46.65</v>
      </c>
      <c r="BG24" s="23">
        <v>50.56</v>
      </c>
      <c r="BH24" s="23">
        <v>54.25</v>
      </c>
      <c r="BI24" s="23">
        <v>57.63</v>
      </c>
      <c r="BJ24" s="23">
        <v>61.03</v>
      </c>
      <c r="BK24" s="23">
        <v>64.73</v>
      </c>
      <c r="BL24" s="23">
        <v>69.790000000000006</v>
      </c>
      <c r="BM24" s="23">
        <v>8.58</v>
      </c>
      <c r="BN24" s="23">
        <v>9.9700000000000006</v>
      </c>
      <c r="BO24" s="23">
        <v>10.94</v>
      </c>
      <c r="BP24" s="23">
        <v>11.81</v>
      </c>
      <c r="BQ24" s="23">
        <v>12.62</v>
      </c>
      <c r="BR24" s="23">
        <v>13.44</v>
      </c>
      <c r="BS24" s="23">
        <v>14.29</v>
      </c>
      <c r="BT24" s="23">
        <v>15.21</v>
      </c>
      <c r="BU24" s="23">
        <v>16.43</v>
      </c>
    </row>
    <row r="25" spans="1:73" x14ac:dyDescent="0.35">
      <c r="A25" s="21">
        <v>21</v>
      </c>
      <c r="B25" s="22">
        <v>2378865</v>
      </c>
      <c r="C25" s="22">
        <v>2645865</v>
      </c>
      <c r="D25" s="22">
        <v>2870049</v>
      </c>
      <c r="E25" s="22">
        <v>3076090</v>
      </c>
      <c r="F25" s="22">
        <v>3264098</v>
      </c>
      <c r="G25" s="22">
        <v>3462504</v>
      </c>
      <c r="H25" s="22">
        <v>3680141</v>
      </c>
      <c r="I25" s="22">
        <v>3936783</v>
      </c>
      <c r="J25" s="22">
        <v>4284088</v>
      </c>
      <c r="K25" s="23">
        <v>3.12</v>
      </c>
      <c r="L25" s="23">
        <v>3.24</v>
      </c>
      <c r="M25" s="23">
        <v>3.36</v>
      </c>
      <c r="N25" s="23">
        <v>3.49</v>
      </c>
      <c r="O25" s="23">
        <v>3.61</v>
      </c>
      <c r="P25" s="23">
        <v>3.73</v>
      </c>
      <c r="Q25" s="23">
        <v>3.86</v>
      </c>
      <c r="R25" s="23">
        <v>3.98</v>
      </c>
      <c r="S25" s="23">
        <v>4.45</v>
      </c>
      <c r="T25" s="23">
        <v>44.31</v>
      </c>
      <c r="U25" s="23">
        <v>46.91</v>
      </c>
      <c r="V25" s="23">
        <v>48.65</v>
      </c>
      <c r="W25" s="23">
        <v>50.02</v>
      </c>
      <c r="X25" s="23">
        <v>51.03</v>
      </c>
      <c r="Y25" s="23">
        <v>52.21</v>
      </c>
      <c r="Z25" s="23">
        <v>53.48</v>
      </c>
      <c r="AA25" s="23">
        <v>54.73</v>
      </c>
      <c r="AB25" s="23">
        <v>56.38</v>
      </c>
      <c r="AC25" s="23">
        <v>4.09</v>
      </c>
      <c r="AD25" s="23">
        <v>4.1900000000000004</v>
      </c>
      <c r="AE25" s="23">
        <v>4.29</v>
      </c>
      <c r="AF25" s="23">
        <v>4.3899999999999997</v>
      </c>
      <c r="AG25" s="23">
        <v>4.49</v>
      </c>
      <c r="AH25" s="23">
        <v>4.59</v>
      </c>
      <c r="AI25" s="23">
        <v>4.7</v>
      </c>
      <c r="AJ25" s="23">
        <v>4.8</v>
      </c>
      <c r="AK25" s="23">
        <v>4.9000000000000004</v>
      </c>
      <c r="AL25" s="23">
        <v>18.75</v>
      </c>
      <c r="AM25" s="23">
        <v>29.32</v>
      </c>
      <c r="AN25" s="23">
        <v>37.06</v>
      </c>
      <c r="AO25" s="23">
        <v>43.14</v>
      </c>
      <c r="AP25" s="23">
        <v>47.99</v>
      </c>
      <c r="AQ25" s="23">
        <v>52.96</v>
      </c>
      <c r="AR25" s="23">
        <v>57.54</v>
      </c>
      <c r="AS25" s="23">
        <v>62.25</v>
      </c>
      <c r="AT25" s="23">
        <v>72.260000000000005</v>
      </c>
      <c r="AU25" s="23">
        <v>13.69</v>
      </c>
      <c r="AV25" s="23">
        <v>14.94</v>
      </c>
      <c r="AW25" s="23">
        <v>15.86</v>
      </c>
      <c r="AX25" s="23">
        <v>16.690000000000001</v>
      </c>
      <c r="AY25" s="23">
        <v>17.47</v>
      </c>
      <c r="AZ25" s="23">
        <v>18.190000000000001</v>
      </c>
      <c r="BA25" s="23">
        <v>18.86</v>
      </c>
      <c r="BB25" s="23">
        <v>19.38</v>
      </c>
      <c r="BC25" s="23">
        <v>19.87</v>
      </c>
      <c r="BD25" s="23">
        <v>41.9</v>
      </c>
      <c r="BE25" s="23">
        <v>48.66</v>
      </c>
      <c r="BF25" s="23">
        <v>53.46</v>
      </c>
      <c r="BG25" s="23">
        <v>57.41</v>
      </c>
      <c r="BH25" s="23">
        <v>60.72</v>
      </c>
      <c r="BI25" s="23">
        <v>64.05</v>
      </c>
      <c r="BJ25" s="23">
        <v>67.47</v>
      </c>
      <c r="BK25" s="23">
        <v>71.12</v>
      </c>
      <c r="BL25" s="23">
        <v>75.92</v>
      </c>
      <c r="BM25" s="23">
        <v>9.5500000000000007</v>
      </c>
      <c r="BN25" s="23">
        <v>10.98</v>
      </c>
      <c r="BO25" s="23">
        <v>12.09</v>
      </c>
      <c r="BP25" s="23">
        <v>12.98</v>
      </c>
      <c r="BQ25" s="23">
        <v>13.79</v>
      </c>
      <c r="BR25" s="23">
        <v>14.62</v>
      </c>
      <c r="BS25" s="23">
        <v>15.48</v>
      </c>
      <c r="BT25" s="23">
        <v>16.39</v>
      </c>
      <c r="BU25" s="23">
        <v>17.7</v>
      </c>
    </row>
    <row r="26" spans="1:73" x14ac:dyDescent="0.35">
      <c r="A26" s="21">
        <v>22</v>
      </c>
      <c r="B26" s="22">
        <v>3064020</v>
      </c>
      <c r="C26" s="22">
        <v>3388516</v>
      </c>
      <c r="D26" s="22">
        <v>3629188</v>
      </c>
      <c r="E26" s="22">
        <v>3857904</v>
      </c>
      <c r="F26" s="22">
        <v>4081192</v>
      </c>
      <c r="G26" s="22">
        <v>4310231</v>
      </c>
      <c r="H26" s="22">
        <v>4550632</v>
      </c>
      <c r="I26" s="22">
        <v>4840208</v>
      </c>
      <c r="J26" s="22">
        <v>5263752</v>
      </c>
      <c r="K26" s="23">
        <v>3.19</v>
      </c>
      <c r="L26" s="23">
        <v>3.39</v>
      </c>
      <c r="M26" s="23">
        <v>3.58</v>
      </c>
      <c r="N26" s="23">
        <v>3.78</v>
      </c>
      <c r="O26" s="23">
        <v>3.97</v>
      </c>
      <c r="P26" s="23">
        <v>4.18</v>
      </c>
      <c r="Q26" s="23">
        <v>4.38</v>
      </c>
      <c r="R26" s="23">
        <v>4.59</v>
      </c>
      <c r="S26" s="23">
        <v>4.79</v>
      </c>
      <c r="T26" s="23">
        <v>46.4</v>
      </c>
      <c r="U26" s="23">
        <v>48.97</v>
      </c>
      <c r="V26" s="23">
        <v>50.61</v>
      </c>
      <c r="W26" s="23">
        <v>51.9</v>
      </c>
      <c r="X26" s="23">
        <v>53</v>
      </c>
      <c r="Y26" s="23">
        <v>54.19</v>
      </c>
      <c r="Z26" s="23">
        <v>55.31</v>
      </c>
      <c r="AA26" s="23">
        <v>56.59</v>
      </c>
      <c r="AB26" s="23">
        <v>58.1</v>
      </c>
      <c r="AC26" s="23">
        <v>4.0999999999999996</v>
      </c>
      <c r="AD26" s="23">
        <v>4.2</v>
      </c>
      <c r="AE26" s="23">
        <v>4.3</v>
      </c>
      <c r="AF26" s="23">
        <v>4.4000000000000004</v>
      </c>
      <c r="AG26" s="23">
        <v>4.5</v>
      </c>
      <c r="AH26" s="23">
        <v>4.5999999999999996</v>
      </c>
      <c r="AI26" s="23">
        <v>4.7</v>
      </c>
      <c r="AJ26" s="23">
        <v>4.8</v>
      </c>
      <c r="AK26" s="23">
        <v>4.9000000000000004</v>
      </c>
      <c r="AL26" s="23">
        <v>26.29</v>
      </c>
      <c r="AM26" s="23">
        <v>37.43</v>
      </c>
      <c r="AN26" s="23">
        <v>44.55</v>
      </c>
      <c r="AO26" s="23">
        <v>49.08</v>
      </c>
      <c r="AP26" s="23">
        <v>53.76</v>
      </c>
      <c r="AQ26" s="23">
        <v>57.73</v>
      </c>
      <c r="AR26" s="23">
        <v>60.64</v>
      </c>
      <c r="AS26" s="23">
        <v>66.680000000000007</v>
      </c>
      <c r="AT26" s="23">
        <v>79.38</v>
      </c>
      <c r="AU26" s="23">
        <v>14.56</v>
      </c>
      <c r="AV26" s="23">
        <v>15.83</v>
      </c>
      <c r="AW26" s="23">
        <v>16.739999999999998</v>
      </c>
      <c r="AX26" s="23">
        <v>17.5</v>
      </c>
      <c r="AY26" s="23">
        <v>18.239999999999998</v>
      </c>
      <c r="AZ26" s="23">
        <v>18.920000000000002</v>
      </c>
      <c r="BA26" s="23">
        <v>19.61</v>
      </c>
      <c r="BB26" s="23">
        <v>20.21</v>
      </c>
      <c r="BC26" s="23">
        <v>20.74</v>
      </c>
      <c r="BD26" s="23">
        <v>48.97</v>
      </c>
      <c r="BE26" s="23">
        <v>56</v>
      </c>
      <c r="BF26" s="23">
        <v>60.52</v>
      </c>
      <c r="BG26" s="23">
        <v>64.319999999999993</v>
      </c>
      <c r="BH26" s="23">
        <v>67.72</v>
      </c>
      <c r="BI26" s="23">
        <v>70.75</v>
      </c>
      <c r="BJ26" s="23">
        <v>73.930000000000007</v>
      </c>
      <c r="BK26" s="23">
        <v>77.66</v>
      </c>
      <c r="BL26" s="23">
        <v>82.19</v>
      </c>
      <c r="BM26" s="23">
        <v>10.71</v>
      </c>
      <c r="BN26" s="23">
        <v>12.26</v>
      </c>
      <c r="BO26" s="23">
        <v>13.4</v>
      </c>
      <c r="BP26" s="23">
        <v>14.31</v>
      </c>
      <c r="BQ26" s="23">
        <v>15.18</v>
      </c>
      <c r="BR26" s="23">
        <v>16</v>
      </c>
      <c r="BS26" s="23">
        <v>16.920000000000002</v>
      </c>
      <c r="BT26" s="23">
        <v>17.89</v>
      </c>
      <c r="BU26" s="23">
        <v>19.3</v>
      </c>
    </row>
    <row r="27" spans="1:73" x14ac:dyDescent="0.35">
      <c r="A27" s="21">
        <v>23</v>
      </c>
      <c r="B27" s="22">
        <v>3887084</v>
      </c>
      <c r="C27" s="22">
        <v>4248405</v>
      </c>
      <c r="D27" s="22">
        <v>4510923</v>
      </c>
      <c r="E27" s="22">
        <v>4733562</v>
      </c>
      <c r="F27" s="22">
        <v>4976609</v>
      </c>
      <c r="G27" s="22">
        <v>5213232</v>
      </c>
      <c r="H27" s="22">
        <v>5473112</v>
      </c>
      <c r="I27" s="22">
        <v>5802514</v>
      </c>
      <c r="J27" s="22">
        <v>6257678</v>
      </c>
      <c r="K27" s="23">
        <v>3.45</v>
      </c>
      <c r="L27" s="23">
        <v>3.9</v>
      </c>
      <c r="M27" s="23">
        <v>4.0999999999999996</v>
      </c>
      <c r="N27" s="23">
        <v>4.2300000000000004</v>
      </c>
      <c r="O27" s="23">
        <v>4.3600000000000003</v>
      </c>
      <c r="P27" s="23">
        <v>4.49</v>
      </c>
      <c r="Q27" s="23">
        <v>4.6100000000000003</v>
      </c>
      <c r="R27" s="23">
        <v>4.74</v>
      </c>
      <c r="S27" s="23">
        <v>4.87</v>
      </c>
      <c r="T27" s="23">
        <v>48.13</v>
      </c>
      <c r="U27" s="23">
        <v>50.55</v>
      </c>
      <c r="V27" s="23">
        <v>52.12</v>
      </c>
      <c r="W27" s="23">
        <v>53.39</v>
      </c>
      <c r="X27" s="23">
        <v>54.54</v>
      </c>
      <c r="Y27" s="23">
        <v>55.72</v>
      </c>
      <c r="Z27" s="23">
        <v>56.9</v>
      </c>
      <c r="AA27" s="23">
        <v>58.15</v>
      </c>
      <c r="AB27" s="23">
        <v>59.72</v>
      </c>
      <c r="AC27" s="23">
        <v>4.0999999999999996</v>
      </c>
      <c r="AD27" s="23">
        <v>4.2</v>
      </c>
      <c r="AE27" s="23">
        <v>4.3</v>
      </c>
      <c r="AF27" s="23">
        <v>4.4000000000000004</v>
      </c>
      <c r="AG27" s="23">
        <v>4.5</v>
      </c>
      <c r="AH27" s="23">
        <v>4.5999999999999996</v>
      </c>
      <c r="AI27" s="23">
        <v>4.7</v>
      </c>
      <c r="AJ27" s="23">
        <v>4.8</v>
      </c>
      <c r="AK27" s="23">
        <v>4.9000000000000004</v>
      </c>
      <c r="AL27" s="23">
        <v>33.01</v>
      </c>
      <c r="AM27" s="23">
        <v>42.71</v>
      </c>
      <c r="AN27" s="23">
        <v>47.62</v>
      </c>
      <c r="AO27" s="23">
        <v>52</v>
      </c>
      <c r="AP27" s="23">
        <v>56.35</v>
      </c>
      <c r="AQ27" s="23">
        <v>59.24</v>
      </c>
      <c r="AR27" s="23">
        <v>62.11</v>
      </c>
      <c r="AS27" s="23">
        <v>68.12</v>
      </c>
      <c r="AT27" s="23">
        <v>82.25</v>
      </c>
      <c r="AU27" s="23">
        <v>15.14</v>
      </c>
      <c r="AV27" s="23">
        <v>16.329999999999998</v>
      </c>
      <c r="AW27" s="23">
        <v>17.13</v>
      </c>
      <c r="AX27" s="23">
        <v>17.86</v>
      </c>
      <c r="AY27" s="23">
        <v>18.54</v>
      </c>
      <c r="AZ27" s="23">
        <v>19.16</v>
      </c>
      <c r="BA27" s="23">
        <v>19.77</v>
      </c>
      <c r="BB27" s="23">
        <v>20.399999999999999</v>
      </c>
      <c r="BC27" s="23">
        <v>21.07</v>
      </c>
      <c r="BD27" s="23">
        <v>55.81</v>
      </c>
      <c r="BE27" s="23">
        <v>62.65</v>
      </c>
      <c r="BF27" s="23">
        <v>67.17</v>
      </c>
      <c r="BG27" s="23">
        <v>70.72</v>
      </c>
      <c r="BH27" s="23">
        <v>73.86</v>
      </c>
      <c r="BI27" s="23">
        <v>76.75</v>
      </c>
      <c r="BJ27" s="23">
        <v>79.760000000000005</v>
      </c>
      <c r="BK27" s="23">
        <v>83.17</v>
      </c>
      <c r="BL27" s="23">
        <v>87.36</v>
      </c>
      <c r="BM27" s="23">
        <v>11.97</v>
      </c>
      <c r="BN27" s="23">
        <v>13.52</v>
      </c>
      <c r="BO27" s="23">
        <v>14.64</v>
      </c>
      <c r="BP27" s="23">
        <v>15.65</v>
      </c>
      <c r="BQ27" s="23">
        <v>16.57</v>
      </c>
      <c r="BR27" s="23">
        <v>17.46</v>
      </c>
      <c r="BS27" s="23">
        <v>18.399999999999999</v>
      </c>
      <c r="BT27" s="23">
        <v>19.5</v>
      </c>
      <c r="BU27" s="23">
        <v>20.83</v>
      </c>
    </row>
    <row r="28" spans="1:73" x14ac:dyDescent="0.35">
      <c r="A28" s="21">
        <v>24</v>
      </c>
      <c r="B28" s="22">
        <v>4784324</v>
      </c>
      <c r="C28" s="22">
        <v>5176150</v>
      </c>
      <c r="D28" s="22">
        <v>5456322</v>
      </c>
      <c r="E28" s="22">
        <v>5688849</v>
      </c>
      <c r="F28" s="22">
        <v>5946073</v>
      </c>
      <c r="G28" s="22">
        <v>6192566</v>
      </c>
      <c r="H28" s="22">
        <v>6481276</v>
      </c>
      <c r="I28" s="22">
        <v>6815865</v>
      </c>
      <c r="J28" s="22">
        <v>7307250</v>
      </c>
      <c r="K28" s="23">
        <v>4.03</v>
      </c>
      <c r="L28" s="23">
        <v>4.1399999999999997</v>
      </c>
      <c r="M28" s="23">
        <v>4.25</v>
      </c>
      <c r="N28" s="23">
        <v>4.3499999999999996</v>
      </c>
      <c r="O28" s="23">
        <v>4.46</v>
      </c>
      <c r="P28" s="23">
        <v>4.57</v>
      </c>
      <c r="Q28" s="23">
        <v>4.68</v>
      </c>
      <c r="R28" s="23">
        <v>4.78</v>
      </c>
      <c r="S28" s="23">
        <v>4.8899999999999997</v>
      </c>
      <c r="T28" s="23">
        <v>49.93</v>
      </c>
      <c r="U28" s="23">
        <v>52.32</v>
      </c>
      <c r="V28" s="23">
        <v>53.75</v>
      </c>
      <c r="W28" s="23">
        <v>55.07</v>
      </c>
      <c r="X28" s="23">
        <v>56.27</v>
      </c>
      <c r="Y28" s="23">
        <v>57.53</v>
      </c>
      <c r="Z28" s="23">
        <v>58.77</v>
      </c>
      <c r="AA28" s="23">
        <v>60.08</v>
      </c>
      <c r="AB28" s="23">
        <v>61.73</v>
      </c>
      <c r="AC28" s="23">
        <v>4.0999999999999996</v>
      </c>
      <c r="AD28" s="23">
        <v>4.2</v>
      </c>
      <c r="AE28" s="23">
        <v>4.3</v>
      </c>
      <c r="AF28" s="23">
        <v>4.4000000000000004</v>
      </c>
      <c r="AG28" s="23">
        <v>4.5</v>
      </c>
      <c r="AH28" s="23">
        <v>4.5999999999999996</v>
      </c>
      <c r="AI28" s="23">
        <v>4.7</v>
      </c>
      <c r="AJ28" s="23">
        <v>4.8</v>
      </c>
      <c r="AK28" s="23">
        <v>4.9000000000000004</v>
      </c>
      <c r="AL28" s="23">
        <v>35.35</v>
      </c>
      <c r="AM28" s="23">
        <v>43.94</v>
      </c>
      <c r="AN28" s="23">
        <v>47.73</v>
      </c>
      <c r="AO28" s="23">
        <v>51.5</v>
      </c>
      <c r="AP28" s="23">
        <v>55.59</v>
      </c>
      <c r="AQ28" s="23">
        <v>58.85</v>
      </c>
      <c r="AR28" s="23">
        <v>60.95</v>
      </c>
      <c r="AS28" s="23">
        <v>66.739999999999995</v>
      </c>
      <c r="AT28" s="23">
        <v>81.28</v>
      </c>
      <c r="AU28" s="23">
        <v>15.19</v>
      </c>
      <c r="AV28" s="23">
        <v>16.260000000000002</v>
      </c>
      <c r="AW28" s="23">
        <v>17.02</v>
      </c>
      <c r="AX28" s="23">
        <v>17.7</v>
      </c>
      <c r="AY28" s="23">
        <v>18.27</v>
      </c>
      <c r="AZ28" s="23">
        <v>18.86</v>
      </c>
      <c r="BA28" s="23">
        <v>19.39</v>
      </c>
      <c r="BB28" s="23">
        <v>20</v>
      </c>
      <c r="BC28" s="23">
        <v>20.72</v>
      </c>
      <c r="BD28" s="23">
        <v>59.63</v>
      </c>
      <c r="BE28" s="23">
        <v>66.64</v>
      </c>
      <c r="BF28" s="23">
        <v>71.33</v>
      </c>
      <c r="BG28" s="23">
        <v>74.86</v>
      </c>
      <c r="BH28" s="23">
        <v>77.989999999999995</v>
      </c>
      <c r="BI28" s="23">
        <v>81.14</v>
      </c>
      <c r="BJ28" s="23">
        <v>84.19</v>
      </c>
      <c r="BK28" s="23">
        <v>87.5</v>
      </c>
      <c r="BL28" s="23">
        <v>92.23</v>
      </c>
      <c r="BM28" s="23">
        <v>12.77</v>
      </c>
      <c r="BN28" s="23">
        <v>14.45</v>
      </c>
      <c r="BO28" s="23">
        <v>15.7</v>
      </c>
      <c r="BP28" s="23">
        <v>16.739999999999998</v>
      </c>
      <c r="BQ28" s="23">
        <v>17.670000000000002</v>
      </c>
      <c r="BR28" s="23">
        <v>18.64</v>
      </c>
      <c r="BS28" s="23">
        <v>19.63</v>
      </c>
      <c r="BT28" s="23">
        <v>20.75</v>
      </c>
      <c r="BU28" s="23">
        <v>22.17</v>
      </c>
    </row>
    <row r="29" spans="1:73" x14ac:dyDescent="0.35">
      <c r="A29" s="21">
        <v>25</v>
      </c>
      <c r="B29" s="22">
        <v>5827673</v>
      </c>
      <c r="C29" s="22">
        <v>6279077</v>
      </c>
      <c r="D29" s="22">
        <v>6605369</v>
      </c>
      <c r="E29" s="22">
        <v>6900888</v>
      </c>
      <c r="F29" s="22">
        <v>7179856</v>
      </c>
      <c r="G29" s="22">
        <v>7462479</v>
      </c>
      <c r="H29" s="22">
        <v>7780375</v>
      </c>
      <c r="I29" s="22">
        <v>8224512</v>
      </c>
      <c r="J29" s="22">
        <v>8859339</v>
      </c>
      <c r="K29" s="23">
        <v>4.08</v>
      </c>
      <c r="L29" s="23">
        <v>4.1900000000000004</v>
      </c>
      <c r="M29" s="23">
        <v>4.3</v>
      </c>
      <c r="N29" s="23">
        <v>4.41</v>
      </c>
      <c r="O29" s="23">
        <v>4.51</v>
      </c>
      <c r="P29" s="23">
        <v>4.62</v>
      </c>
      <c r="Q29" s="23">
        <v>4.7300000000000004</v>
      </c>
      <c r="R29" s="23">
        <v>4.83</v>
      </c>
      <c r="S29" s="23">
        <v>4.9400000000000004</v>
      </c>
      <c r="T29" s="23">
        <v>52.26</v>
      </c>
      <c r="U29" s="23">
        <v>54.54</v>
      </c>
      <c r="V29" s="23">
        <v>56.04</v>
      </c>
      <c r="W29" s="23">
        <v>57.63</v>
      </c>
      <c r="X29" s="23">
        <v>59.08</v>
      </c>
      <c r="Y29" s="23">
        <v>60.36</v>
      </c>
      <c r="Z29" s="23">
        <v>61.64</v>
      </c>
      <c r="AA29" s="23">
        <v>63.39</v>
      </c>
      <c r="AB29" s="23">
        <v>65.67</v>
      </c>
      <c r="AC29" s="23">
        <v>4.0999999999999996</v>
      </c>
      <c r="AD29" s="23">
        <v>4.2</v>
      </c>
      <c r="AE29" s="23">
        <v>4.3</v>
      </c>
      <c r="AF29" s="23">
        <v>4.4000000000000004</v>
      </c>
      <c r="AG29" s="23">
        <v>4.5</v>
      </c>
      <c r="AH29" s="23">
        <v>4.5999999999999996</v>
      </c>
      <c r="AI29" s="23">
        <v>4.7</v>
      </c>
      <c r="AJ29" s="23">
        <v>4.8</v>
      </c>
      <c r="AK29" s="23">
        <v>4.9000000000000004</v>
      </c>
      <c r="AL29" s="23">
        <v>35.090000000000003</v>
      </c>
      <c r="AM29" s="23">
        <v>44.25</v>
      </c>
      <c r="AN29" s="23">
        <v>47.4</v>
      </c>
      <c r="AO29" s="23">
        <v>50.05</v>
      </c>
      <c r="AP29" s="23">
        <v>54.06</v>
      </c>
      <c r="AQ29" s="23">
        <v>57.92</v>
      </c>
      <c r="AR29" s="23">
        <v>59.85</v>
      </c>
      <c r="AS29" s="23">
        <v>65.27</v>
      </c>
      <c r="AT29" s="23">
        <v>81</v>
      </c>
      <c r="AU29" s="23">
        <v>15.69</v>
      </c>
      <c r="AV29" s="23">
        <v>16.78</v>
      </c>
      <c r="AW29" s="23">
        <v>17.45</v>
      </c>
      <c r="AX29" s="23">
        <v>18.02</v>
      </c>
      <c r="AY29" s="23">
        <v>18.559999999999999</v>
      </c>
      <c r="AZ29" s="23">
        <v>19.11</v>
      </c>
      <c r="BA29" s="23">
        <v>19.690000000000001</v>
      </c>
      <c r="BB29" s="23">
        <v>20.28</v>
      </c>
      <c r="BC29" s="23">
        <v>21.07</v>
      </c>
      <c r="BD29" s="23">
        <v>61.31</v>
      </c>
      <c r="BE29" s="23">
        <v>70.040000000000006</v>
      </c>
      <c r="BF29" s="23">
        <v>75.11</v>
      </c>
      <c r="BG29" s="23">
        <v>79.61</v>
      </c>
      <c r="BH29" s="23">
        <v>83.14</v>
      </c>
      <c r="BI29" s="23">
        <v>86.58</v>
      </c>
      <c r="BJ29" s="23">
        <v>89.92</v>
      </c>
      <c r="BK29" s="23">
        <v>93.32</v>
      </c>
      <c r="BL29" s="23">
        <v>97.66</v>
      </c>
      <c r="BM29" s="23">
        <v>13.67</v>
      </c>
      <c r="BN29" s="23">
        <v>15.59</v>
      </c>
      <c r="BO29" s="23">
        <v>16.829999999999998</v>
      </c>
      <c r="BP29" s="23">
        <v>18.03</v>
      </c>
      <c r="BQ29" s="23">
        <v>19.100000000000001</v>
      </c>
      <c r="BR29" s="23">
        <v>20.079999999999998</v>
      </c>
      <c r="BS29" s="23">
        <v>21.36</v>
      </c>
      <c r="BT29" s="23">
        <v>22.55</v>
      </c>
      <c r="BU29" s="23">
        <v>24.14</v>
      </c>
    </row>
    <row r="30" spans="1:73" x14ac:dyDescent="0.35">
      <c r="A30" s="21">
        <v>26</v>
      </c>
      <c r="B30" s="22">
        <v>7179023</v>
      </c>
      <c r="C30" s="22">
        <v>7747110</v>
      </c>
      <c r="D30" s="22">
        <v>8233215</v>
      </c>
      <c r="E30" s="22">
        <v>8663353</v>
      </c>
      <c r="F30" s="22">
        <v>9019452</v>
      </c>
      <c r="G30" s="22">
        <v>9392868</v>
      </c>
      <c r="H30" s="22">
        <v>9801013</v>
      </c>
      <c r="I30" s="22">
        <v>10389819</v>
      </c>
      <c r="J30" s="22">
        <v>11246852</v>
      </c>
      <c r="K30" s="23">
        <v>4.1399999999999997</v>
      </c>
      <c r="L30" s="23">
        <v>4.29</v>
      </c>
      <c r="M30" s="23">
        <v>4.4400000000000004</v>
      </c>
      <c r="N30" s="23">
        <v>4.59</v>
      </c>
      <c r="O30" s="23">
        <v>4.74</v>
      </c>
      <c r="P30" s="23">
        <v>4.8899999999999997</v>
      </c>
      <c r="Q30" s="23">
        <v>5.07</v>
      </c>
      <c r="R30" s="23">
        <v>5.38</v>
      </c>
      <c r="S30" s="23">
        <v>5.69</v>
      </c>
      <c r="T30" s="23">
        <v>55.48</v>
      </c>
      <c r="U30" s="23">
        <v>58.12</v>
      </c>
      <c r="V30" s="23">
        <v>60.07</v>
      </c>
      <c r="W30" s="23">
        <v>61.76</v>
      </c>
      <c r="X30" s="23">
        <v>63.64</v>
      </c>
      <c r="Y30" s="23">
        <v>65.28</v>
      </c>
      <c r="Z30" s="23">
        <v>66.78</v>
      </c>
      <c r="AA30" s="23">
        <v>68.349999999999994</v>
      </c>
      <c r="AB30" s="23">
        <v>71.290000000000006</v>
      </c>
      <c r="AC30" s="23">
        <v>5</v>
      </c>
      <c r="AD30" s="23">
        <v>5</v>
      </c>
      <c r="AE30" s="23">
        <v>5</v>
      </c>
      <c r="AF30" s="23">
        <v>5</v>
      </c>
      <c r="AG30" s="23">
        <v>5</v>
      </c>
      <c r="AH30" s="23">
        <v>5</v>
      </c>
      <c r="AI30" s="23">
        <v>5</v>
      </c>
      <c r="AJ30" s="23">
        <v>5</v>
      </c>
      <c r="AK30" s="23">
        <v>5</v>
      </c>
      <c r="AL30" s="23">
        <v>34.24</v>
      </c>
      <c r="AM30" s="23">
        <v>42.67</v>
      </c>
      <c r="AN30" s="23">
        <v>47.02</v>
      </c>
      <c r="AO30" s="23">
        <v>48.24</v>
      </c>
      <c r="AP30" s="23">
        <v>51.54</v>
      </c>
      <c r="AQ30" s="23">
        <v>55.78</v>
      </c>
      <c r="AR30" s="23">
        <v>59.22</v>
      </c>
      <c r="AS30" s="23">
        <v>62.87</v>
      </c>
      <c r="AT30" s="23">
        <v>73.790000000000006</v>
      </c>
      <c r="AU30" s="23">
        <v>16.59</v>
      </c>
      <c r="AV30" s="23">
        <v>17.600000000000001</v>
      </c>
      <c r="AW30" s="23">
        <v>18.28</v>
      </c>
      <c r="AX30" s="23">
        <v>18.89</v>
      </c>
      <c r="AY30" s="23">
        <v>19.399999999999999</v>
      </c>
      <c r="AZ30" s="23">
        <v>19.96</v>
      </c>
      <c r="BA30" s="23">
        <v>20.55</v>
      </c>
      <c r="BB30" s="23">
        <v>21.17</v>
      </c>
      <c r="BC30" s="23">
        <v>21.96</v>
      </c>
      <c r="BD30" s="23">
        <v>61.95</v>
      </c>
      <c r="BE30" s="23">
        <v>72.89</v>
      </c>
      <c r="BF30" s="23">
        <v>79.22</v>
      </c>
      <c r="BG30" s="23">
        <v>84.29</v>
      </c>
      <c r="BH30" s="23">
        <v>88.47</v>
      </c>
      <c r="BI30" s="23">
        <v>92.15</v>
      </c>
      <c r="BJ30" s="23">
        <v>95.53</v>
      </c>
      <c r="BK30" s="23">
        <v>99.62</v>
      </c>
      <c r="BL30" s="23">
        <v>104.46</v>
      </c>
      <c r="BM30" s="23">
        <v>14.42</v>
      </c>
      <c r="BN30" s="23">
        <v>16.73</v>
      </c>
      <c r="BO30" s="23">
        <v>18.559999999999999</v>
      </c>
      <c r="BP30" s="23">
        <v>19.920000000000002</v>
      </c>
      <c r="BQ30" s="23">
        <v>21.04</v>
      </c>
      <c r="BR30" s="23">
        <v>22.3</v>
      </c>
      <c r="BS30" s="23">
        <v>23.46</v>
      </c>
      <c r="BT30" s="23">
        <v>24.63</v>
      </c>
      <c r="BU30" s="23">
        <v>26.38</v>
      </c>
    </row>
    <row r="31" spans="1:73" x14ac:dyDescent="0.35">
      <c r="A31" s="21">
        <v>27</v>
      </c>
      <c r="B31" s="22">
        <v>8893327</v>
      </c>
      <c r="C31" s="22">
        <v>9679672</v>
      </c>
      <c r="D31" s="22">
        <v>10294697</v>
      </c>
      <c r="E31" s="22">
        <v>10786042</v>
      </c>
      <c r="F31" s="22">
        <v>11279633</v>
      </c>
      <c r="G31" s="22">
        <v>11900605</v>
      </c>
      <c r="H31" s="22">
        <v>12550481</v>
      </c>
      <c r="I31" s="22">
        <v>13217740</v>
      </c>
      <c r="J31" s="22">
        <v>14284060</v>
      </c>
      <c r="K31" s="23">
        <v>4.33</v>
      </c>
      <c r="L31" s="23">
        <v>4.68</v>
      </c>
      <c r="M31" s="23">
        <v>5.01</v>
      </c>
      <c r="N31" s="23">
        <v>5.15</v>
      </c>
      <c r="O31" s="23">
        <v>5.29</v>
      </c>
      <c r="P31" s="23">
        <v>5.43</v>
      </c>
      <c r="Q31" s="23">
        <v>5.57</v>
      </c>
      <c r="R31" s="23">
        <v>5.72</v>
      </c>
      <c r="S31" s="23">
        <v>5.86</v>
      </c>
      <c r="T31" s="23">
        <v>58.35</v>
      </c>
      <c r="U31" s="23">
        <v>61.97</v>
      </c>
      <c r="V31" s="23">
        <v>65.010000000000005</v>
      </c>
      <c r="W31" s="23">
        <v>66.680000000000007</v>
      </c>
      <c r="X31" s="23">
        <v>68.27</v>
      </c>
      <c r="Y31" s="23">
        <v>70.349999999999994</v>
      </c>
      <c r="Z31" s="23">
        <v>72.12</v>
      </c>
      <c r="AA31" s="23">
        <v>73.7</v>
      </c>
      <c r="AB31" s="23">
        <v>76.64</v>
      </c>
      <c r="AC31" s="23">
        <v>5</v>
      </c>
      <c r="AD31" s="23">
        <v>5</v>
      </c>
      <c r="AE31" s="23">
        <v>5</v>
      </c>
      <c r="AF31" s="23">
        <v>5</v>
      </c>
      <c r="AG31" s="23">
        <v>5</v>
      </c>
      <c r="AH31" s="23">
        <v>5</v>
      </c>
      <c r="AI31" s="23">
        <v>5</v>
      </c>
      <c r="AJ31" s="23">
        <v>5</v>
      </c>
      <c r="AK31" s="23">
        <v>5</v>
      </c>
      <c r="AL31" s="23">
        <v>35.93</v>
      </c>
      <c r="AM31" s="23">
        <v>43.59</v>
      </c>
      <c r="AN31" s="23">
        <v>47.05</v>
      </c>
      <c r="AO31" s="23">
        <v>48.59</v>
      </c>
      <c r="AP31" s="23">
        <v>51.84</v>
      </c>
      <c r="AQ31" s="23">
        <v>56.1</v>
      </c>
      <c r="AR31" s="23">
        <v>59.26</v>
      </c>
      <c r="AS31" s="23">
        <v>63.04</v>
      </c>
      <c r="AT31" s="23">
        <v>73.900000000000006</v>
      </c>
      <c r="AU31" s="23">
        <v>16.88</v>
      </c>
      <c r="AV31" s="23">
        <v>18.05</v>
      </c>
      <c r="AW31" s="23">
        <v>18.829999999999998</v>
      </c>
      <c r="AX31" s="23">
        <v>19.489999999999998</v>
      </c>
      <c r="AY31" s="23">
        <v>20.09</v>
      </c>
      <c r="AZ31" s="23">
        <v>20.64</v>
      </c>
      <c r="BA31" s="23">
        <v>21.21</v>
      </c>
      <c r="BB31" s="23">
        <v>21.98</v>
      </c>
      <c r="BC31" s="23">
        <v>22.97</v>
      </c>
      <c r="BD31" s="23">
        <v>64.64</v>
      </c>
      <c r="BE31" s="23">
        <v>76.849999999999994</v>
      </c>
      <c r="BF31" s="23">
        <v>83.39</v>
      </c>
      <c r="BG31" s="23">
        <v>88.73</v>
      </c>
      <c r="BH31" s="23">
        <v>93.87</v>
      </c>
      <c r="BI31" s="23">
        <v>97.89</v>
      </c>
      <c r="BJ31" s="23">
        <v>101.93</v>
      </c>
      <c r="BK31" s="23">
        <v>105.89</v>
      </c>
      <c r="BL31" s="23">
        <v>111.41</v>
      </c>
      <c r="BM31" s="23">
        <v>14.65</v>
      </c>
      <c r="BN31" s="23">
        <v>17.38</v>
      </c>
      <c r="BO31" s="23">
        <v>19.48</v>
      </c>
      <c r="BP31" s="23">
        <v>21.27</v>
      </c>
      <c r="BQ31" s="23">
        <v>22.66</v>
      </c>
      <c r="BR31" s="23">
        <v>24.16</v>
      </c>
      <c r="BS31" s="23">
        <v>25.28</v>
      </c>
      <c r="BT31" s="23">
        <v>26.59</v>
      </c>
      <c r="BU31" s="23">
        <v>28.72</v>
      </c>
    </row>
    <row r="32" spans="1:73" x14ac:dyDescent="0.35">
      <c r="A32" s="21">
        <v>28</v>
      </c>
      <c r="B32" s="22">
        <v>11445506</v>
      </c>
      <c r="C32" s="22">
        <v>12302335</v>
      </c>
      <c r="D32" s="22">
        <v>12935868</v>
      </c>
      <c r="E32" s="22">
        <v>13517858</v>
      </c>
      <c r="F32" s="22">
        <v>14187835</v>
      </c>
      <c r="G32" s="22">
        <v>14854307</v>
      </c>
      <c r="H32" s="22">
        <v>15477912</v>
      </c>
      <c r="I32" s="22">
        <v>16271079</v>
      </c>
      <c r="J32" s="22">
        <v>17431945</v>
      </c>
      <c r="K32" s="23">
        <v>4.75</v>
      </c>
      <c r="L32" s="23">
        <v>5.08</v>
      </c>
      <c r="M32" s="23">
        <v>5.2</v>
      </c>
      <c r="N32" s="23">
        <v>5.31</v>
      </c>
      <c r="O32" s="23">
        <v>5.43</v>
      </c>
      <c r="P32" s="23">
        <v>5.54</v>
      </c>
      <c r="Q32" s="23">
        <v>5.66</v>
      </c>
      <c r="R32" s="23">
        <v>5.77</v>
      </c>
      <c r="S32" s="23">
        <v>5.89</v>
      </c>
      <c r="T32" s="23">
        <v>62.41</v>
      </c>
      <c r="U32" s="23">
        <v>66.040000000000006</v>
      </c>
      <c r="V32" s="23">
        <v>67.81</v>
      </c>
      <c r="W32" s="23">
        <v>70.400000000000006</v>
      </c>
      <c r="X32" s="23">
        <v>72.61</v>
      </c>
      <c r="Y32" s="23">
        <v>74.45</v>
      </c>
      <c r="Z32" s="23">
        <v>75.84</v>
      </c>
      <c r="AA32" s="23">
        <v>78.25</v>
      </c>
      <c r="AB32" s="23">
        <v>80.459999999999994</v>
      </c>
      <c r="AC32" s="23">
        <v>5</v>
      </c>
      <c r="AD32" s="23">
        <v>5</v>
      </c>
      <c r="AE32" s="23">
        <v>5</v>
      </c>
      <c r="AF32" s="23">
        <v>5</v>
      </c>
      <c r="AG32" s="23">
        <v>5</v>
      </c>
      <c r="AH32" s="23">
        <v>5</v>
      </c>
      <c r="AI32" s="23">
        <v>5</v>
      </c>
      <c r="AJ32" s="23">
        <v>5</v>
      </c>
      <c r="AK32" s="23">
        <v>5</v>
      </c>
      <c r="AL32" s="23">
        <v>38.78</v>
      </c>
      <c r="AM32" s="23">
        <v>44.93</v>
      </c>
      <c r="AN32" s="23">
        <v>47.38</v>
      </c>
      <c r="AO32" s="23">
        <v>48.58</v>
      </c>
      <c r="AP32" s="23">
        <v>52.25</v>
      </c>
      <c r="AQ32" s="23">
        <v>57.34</v>
      </c>
      <c r="AR32" s="23">
        <v>59.72</v>
      </c>
      <c r="AS32" s="23">
        <v>65.3</v>
      </c>
      <c r="AT32" s="23">
        <v>82.1</v>
      </c>
      <c r="AU32" s="23">
        <v>17.399999999999999</v>
      </c>
      <c r="AV32" s="23">
        <v>18.88</v>
      </c>
      <c r="AW32" s="23">
        <v>19.55</v>
      </c>
      <c r="AX32" s="23">
        <v>20.18</v>
      </c>
      <c r="AY32" s="23">
        <v>21.05</v>
      </c>
      <c r="AZ32" s="23">
        <v>21.48</v>
      </c>
      <c r="BA32" s="23">
        <v>22.29</v>
      </c>
      <c r="BB32" s="23">
        <v>23.12</v>
      </c>
      <c r="BC32" s="23">
        <v>23.84</v>
      </c>
      <c r="BD32" s="23">
        <v>65.09</v>
      </c>
      <c r="BE32" s="23">
        <v>76.05</v>
      </c>
      <c r="BF32" s="23">
        <v>86.23</v>
      </c>
      <c r="BG32" s="23">
        <v>92.51</v>
      </c>
      <c r="BH32" s="23">
        <v>96.63</v>
      </c>
      <c r="BI32" s="23">
        <v>101.65</v>
      </c>
      <c r="BJ32" s="23">
        <v>106.22</v>
      </c>
      <c r="BK32" s="23">
        <v>110.65</v>
      </c>
      <c r="BL32" s="23">
        <v>115.81</v>
      </c>
      <c r="BM32" s="23">
        <v>15.04</v>
      </c>
      <c r="BN32" s="23">
        <v>17.829999999999998</v>
      </c>
      <c r="BO32" s="23">
        <v>20.5</v>
      </c>
      <c r="BP32" s="23">
        <v>22.58</v>
      </c>
      <c r="BQ32" s="23">
        <v>24.1</v>
      </c>
      <c r="BR32" s="23">
        <v>25.61</v>
      </c>
      <c r="BS32" s="23">
        <v>27.03</v>
      </c>
      <c r="BT32" s="23">
        <v>28.69</v>
      </c>
      <c r="BU32" s="23">
        <v>30.34</v>
      </c>
    </row>
    <row r="33" spans="1:73" x14ac:dyDescent="0.35">
      <c r="A33" s="21">
        <v>29</v>
      </c>
      <c r="B33" s="22">
        <v>13182863</v>
      </c>
      <c r="C33" s="22">
        <v>14412439</v>
      </c>
      <c r="D33" s="22">
        <v>15272400</v>
      </c>
      <c r="E33" s="22">
        <v>15936839</v>
      </c>
      <c r="F33" s="22">
        <v>16280099</v>
      </c>
      <c r="G33" s="22">
        <v>16999117</v>
      </c>
      <c r="H33" s="22">
        <v>17328355</v>
      </c>
      <c r="I33" s="22">
        <v>18024274</v>
      </c>
      <c r="J33" s="22">
        <v>19472120</v>
      </c>
      <c r="K33" s="23">
        <v>5.07</v>
      </c>
      <c r="L33" s="23">
        <v>5.17</v>
      </c>
      <c r="M33" s="23">
        <v>5.27</v>
      </c>
      <c r="N33" s="23">
        <v>5.38</v>
      </c>
      <c r="O33" s="23">
        <v>5.48</v>
      </c>
      <c r="P33" s="23">
        <v>5.58</v>
      </c>
      <c r="Q33" s="23">
        <v>5.69</v>
      </c>
      <c r="R33" s="23">
        <v>5.79</v>
      </c>
      <c r="S33" s="23">
        <v>5.9</v>
      </c>
      <c r="T33" s="23">
        <v>65.33</v>
      </c>
      <c r="U33" s="23">
        <v>70</v>
      </c>
      <c r="V33" s="23">
        <v>72.38</v>
      </c>
      <c r="W33" s="23">
        <v>74.22</v>
      </c>
      <c r="X33" s="23">
        <v>75.569999999999993</v>
      </c>
      <c r="Y33" s="23">
        <v>76.67</v>
      </c>
      <c r="Z33" s="23">
        <v>78.5</v>
      </c>
      <c r="AA33" s="23">
        <v>80.67</v>
      </c>
      <c r="AB33" s="23">
        <v>83</v>
      </c>
      <c r="AC33" s="23">
        <v>5</v>
      </c>
      <c r="AD33" s="23">
        <v>5</v>
      </c>
      <c r="AE33" s="23">
        <v>5</v>
      </c>
      <c r="AF33" s="23">
        <v>5</v>
      </c>
      <c r="AG33" s="23">
        <v>5</v>
      </c>
      <c r="AH33" s="23">
        <v>5</v>
      </c>
      <c r="AI33" s="23">
        <v>5</v>
      </c>
      <c r="AJ33" s="23">
        <v>5</v>
      </c>
      <c r="AK33" s="23">
        <v>5</v>
      </c>
      <c r="AL33" s="23">
        <v>35</v>
      </c>
      <c r="AM33" s="23">
        <v>44</v>
      </c>
      <c r="AN33" s="23">
        <v>47.5</v>
      </c>
      <c r="AO33" s="23">
        <v>50.5</v>
      </c>
      <c r="AP33" s="23">
        <v>55</v>
      </c>
      <c r="AQ33" s="23">
        <v>59.25</v>
      </c>
      <c r="AR33" s="23">
        <v>60.71</v>
      </c>
      <c r="AS33" s="23">
        <v>63.67</v>
      </c>
      <c r="AT33" s="23">
        <v>69</v>
      </c>
      <c r="AU33" s="23">
        <v>17.760000000000002</v>
      </c>
      <c r="AV33" s="23">
        <v>18.89</v>
      </c>
      <c r="AW33" s="23">
        <v>19.97</v>
      </c>
      <c r="AX33" s="23">
        <v>20.7</v>
      </c>
      <c r="AY33" s="23">
        <v>21.14</v>
      </c>
      <c r="AZ33" s="23">
        <v>21.77</v>
      </c>
      <c r="BA33" s="23">
        <v>22.36</v>
      </c>
      <c r="BB33" s="23">
        <v>23.35</v>
      </c>
      <c r="BC33" s="23">
        <v>24.62</v>
      </c>
      <c r="BD33" s="23">
        <v>62</v>
      </c>
      <c r="BE33" s="23">
        <v>70.47</v>
      </c>
      <c r="BF33" s="23">
        <v>81.67</v>
      </c>
      <c r="BG33" s="23">
        <v>89.27</v>
      </c>
      <c r="BH33" s="23">
        <v>96</v>
      </c>
      <c r="BI33" s="23">
        <v>100.67</v>
      </c>
      <c r="BJ33" s="23">
        <v>108</v>
      </c>
      <c r="BK33" s="23">
        <v>112.4</v>
      </c>
      <c r="BL33" s="23">
        <v>116.67</v>
      </c>
      <c r="BM33" s="23">
        <v>13.85</v>
      </c>
      <c r="BN33" s="23">
        <v>16.329999999999998</v>
      </c>
      <c r="BO33" s="23">
        <v>18.579999999999998</v>
      </c>
      <c r="BP33" s="23">
        <v>21.47</v>
      </c>
      <c r="BQ33" s="23">
        <v>23.17</v>
      </c>
      <c r="BR33" s="23">
        <v>24.48</v>
      </c>
      <c r="BS33" s="23">
        <v>27.91</v>
      </c>
      <c r="BT33" s="23">
        <v>29.21</v>
      </c>
      <c r="BU33" s="23">
        <v>31.45</v>
      </c>
    </row>
    <row r="34" spans="1:73" x14ac:dyDescent="0.35">
      <c r="A34" s="21">
        <v>30</v>
      </c>
      <c r="B34" s="22">
        <v>17725829</v>
      </c>
      <c r="C34" s="22">
        <v>19264608</v>
      </c>
      <c r="D34" s="22">
        <v>20652227</v>
      </c>
      <c r="E34" s="22">
        <v>21808534</v>
      </c>
      <c r="F34" s="22">
        <v>23358387</v>
      </c>
      <c r="G34" s="22">
        <v>24943851</v>
      </c>
      <c r="H34" s="22">
        <v>27784501</v>
      </c>
      <c r="I34" s="22">
        <v>31151501</v>
      </c>
      <c r="J34" s="22">
        <v>37962359</v>
      </c>
      <c r="K34" s="23">
        <v>5.58</v>
      </c>
      <c r="L34" s="23">
        <v>6.04</v>
      </c>
      <c r="M34" s="23">
        <v>6.16</v>
      </c>
      <c r="N34" s="23">
        <v>6.28</v>
      </c>
      <c r="O34" s="23">
        <v>6.4</v>
      </c>
      <c r="P34" s="23">
        <v>6.52</v>
      </c>
      <c r="Q34" s="23">
        <v>6.64</v>
      </c>
      <c r="R34" s="23">
        <v>6.76</v>
      </c>
      <c r="S34" s="23">
        <v>6.88</v>
      </c>
      <c r="T34" s="23">
        <v>73.56</v>
      </c>
      <c r="U34" s="23">
        <v>77.25</v>
      </c>
      <c r="V34" s="23">
        <v>79.650000000000006</v>
      </c>
      <c r="W34" s="23">
        <v>81.63</v>
      </c>
      <c r="X34" s="23">
        <v>84.1</v>
      </c>
      <c r="Y34" s="23">
        <v>86.68</v>
      </c>
      <c r="Z34" s="23">
        <v>90.01</v>
      </c>
      <c r="AA34" s="23">
        <v>92.79</v>
      </c>
      <c r="AB34" s="23">
        <v>98.38</v>
      </c>
      <c r="AC34" s="23">
        <v>5</v>
      </c>
      <c r="AD34" s="23">
        <v>5</v>
      </c>
      <c r="AE34" s="23">
        <v>5</v>
      </c>
      <c r="AF34" s="23">
        <v>5</v>
      </c>
      <c r="AG34" s="23">
        <v>5</v>
      </c>
      <c r="AH34" s="23">
        <v>5</v>
      </c>
      <c r="AI34" s="23">
        <v>5</v>
      </c>
      <c r="AJ34" s="23">
        <v>5</v>
      </c>
      <c r="AK34" s="23">
        <v>5</v>
      </c>
      <c r="AL34" s="23">
        <v>41.87</v>
      </c>
      <c r="AM34" s="23">
        <v>47.23</v>
      </c>
      <c r="AN34" s="23">
        <v>48</v>
      </c>
      <c r="AO34" s="23">
        <v>51.57</v>
      </c>
      <c r="AP34" s="23">
        <v>55.31</v>
      </c>
      <c r="AQ34" s="23">
        <v>59.17</v>
      </c>
      <c r="AR34" s="23">
        <v>60.27</v>
      </c>
      <c r="AS34" s="23">
        <v>67.14</v>
      </c>
      <c r="AT34" s="23">
        <v>75.599999999999994</v>
      </c>
      <c r="AU34" s="23">
        <v>18.940000000000001</v>
      </c>
      <c r="AV34" s="23">
        <v>20.38</v>
      </c>
      <c r="AW34" s="23">
        <v>21.3</v>
      </c>
      <c r="AX34" s="23">
        <v>22.17</v>
      </c>
      <c r="AY34" s="23">
        <v>22.91</v>
      </c>
      <c r="AZ34" s="23">
        <v>23.55</v>
      </c>
      <c r="BA34" s="23">
        <v>24.16</v>
      </c>
      <c r="BB34" s="23">
        <v>24.97</v>
      </c>
      <c r="BC34" s="23">
        <v>26.87</v>
      </c>
      <c r="BD34" s="23">
        <v>68.27</v>
      </c>
      <c r="BE34" s="23">
        <v>79.31</v>
      </c>
      <c r="BF34" s="23">
        <v>89.64</v>
      </c>
      <c r="BG34" s="23">
        <v>101</v>
      </c>
      <c r="BH34" s="23">
        <v>106.75</v>
      </c>
      <c r="BI34" s="23">
        <v>111.32</v>
      </c>
      <c r="BJ34" s="23">
        <v>116.04</v>
      </c>
      <c r="BK34" s="23">
        <v>119.76</v>
      </c>
      <c r="BL34" s="23">
        <v>119.88</v>
      </c>
      <c r="BM34" s="23">
        <v>14.91</v>
      </c>
      <c r="BN34" s="23">
        <v>18.03</v>
      </c>
      <c r="BO34" s="23">
        <v>22.59</v>
      </c>
      <c r="BP34" s="23">
        <v>25.51</v>
      </c>
      <c r="BQ34" s="23">
        <v>28</v>
      </c>
      <c r="BR34" s="23">
        <v>29.59</v>
      </c>
      <c r="BS34" s="23">
        <v>31.05</v>
      </c>
      <c r="BT34" s="23">
        <v>32.85</v>
      </c>
      <c r="BU34" s="23">
        <v>35.19</v>
      </c>
    </row>
    <row r="35" spans="1:73" x14ac:dyDescent="0.35">
      <c r="A35" s="21"/>
      <c r="B35" s="25"/>
      <c r="C35" s="25"/>
      <c r="D35" s="25"/>
      <c r="E35" s="25"/>
      <c r="F35" s="25"/>
      <c r="G35" s="25"/>
      <c r="H35" s="25"/>
      <c r="I35" s="25"/>
      <c r="J35" s="25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</row>
    <row r="36" spans="1:73" x14ac:dyDescent="0.35">
      <c r="A36" s="21"/>
      <c r="B36" s="25"/>
      <c r="C36" s="25"/>
      <c r="D36" s="25"/>
      <c r="E36" s="25"/>
      <c r="F36" s="25"/>
      <c r="G36" s="25"/>
      <c r="H36" s="25"/>
      <c r="I36" s="25"/>
      <c r="J36" s="25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</row>
    <row r="37" spans="1:73" x14ac:dyDescent="0.35">
      <c r="A37" s="21"/>
      <c r="B37" s="25"/>
      <c r="C37" s="25"/>
      <c r="D37" s="25"/>
      <c r="E37" s="25"/>
      <c r="F37" s="25"/>
      <c r="G37" s="25"/>
      <c r="H37" s="25"/>
      <c r="I37" s="25"/>
      <c r="J37" s="25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</row>
    <row r="38" spans="1:73" x14ac:dyDescent="0.35">
      <c r="A38" s="21"/>
      <c r="B38" s="25"/>
      <c r="C38" s="25"/>
      <c r="D38" s="25"/>
      <c r="E38" s="25"/>
      <c r="F38" s="25"/>
      <c r="G38" s="25"/>
      <c r="H38" s="25"/>
      <c r="I38" s="25"/>
      <c r="J38" s="25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</row>
    <row r="39" spans="1:73" x14ac:dyDescent="0.35">
      <c r="A39" s="21"/>
      <c r="B39" s="25"/>
      <c r="C39" s="25"/>
      <c r="D39" s="25"/>
      <c r="E39" s="25"/>
      <c r="F39" s="25"/>
      <c r="G39" s="25"/>
      <c r="H39" s="25"/>
      <c r="I39" s="25"/>
      <c r="J39" s="25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</row>
    <row r="40" spans="1:73" x14ac:dyDescent="0.35">
      <c r="A40" s="21"/>
      <c r="B40" s="25"/>
      <c r="C40" s="25"/>
      <c r="D40" s="25"/>
      <c r="E40" s="25"/>
      <c r="F40" s="25"/>
      <c r="G40" s="25"/>
      <c r="H40" s="25"/>
      <c r="I40" s="25"/>
      <c r="J40" s="25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</row>
    <row r="41" spans="1:73" x14ac:dyDescent="0.35">
      <c r="A41" s="21"/>
      <c r="B41" s="25"/>
      <c r="C41" s="25"/>
      <c r="D41" s="25"/>
      <c r="E41" s="25"/>
      <c r="F41" s="25"/>
      <c r="G41" s="25"/>
      <c r="H41" s="25"/>
      <c r="I41" s="25"/>
      <c r="J41" s="25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</row>
    <row r="42" spans="1:73" x14ac:dyDescent="0.35">
      <c r="A42" s="21"/>
      <c r="B42" s="25"/>
      <c r="C42" s="25"/>
      <c r="D42" s="25"/>
      <c r="E42" s="25"/>
      <c r="F42" s="25"/>
      <c r="G42" s="25"/>
      <c r="H42" s="25"/>
      <c r="I42" s="25"/>
      <c r="J42" s="2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</row>
    <row r="43" spans="1:73" x14ac:dyDescent="0.35">
      <c r="A43" s="21"/>
      <c r="B43" s="25"/>
      <c r="C43" s="25"/>
      <c r="D43" s="25"/>
      <c r="E43" s="25"/>
      <c r="F43" s="25"/>
      <c r="G43" s="25"/>
      <c r="H43" s="25"/>
      <c r="I43" s="25"/>
      <c r="J43" s="25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</row>
    <row r="44" spans="1:73" x14ac:dyDescent="0.35">
      <c r="A44" s="21"/>
      <c r="B44" s="25"/>
      <c r="C44" s="25"/>
      <c r="D44" s="25"/>
      <c r="E44" s="25"/>
      <c r="F44" s="25"/>
      <c r="G44" s="25"/>
      <c r="H44" s="25"/>
      <c r="I44" s="25"/>
      <c r="J44" s="25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</row>
    <row r="45" spans="1:73" x14ac:dyDescent="0.35">
      <c r="A45" s="21"/>
      <c r="B45" s="25"/>
      <c r="C45" s="25"/>
      <c r="D45" s="25"/>
      <c r="E45" s="25"/>
      <c r="F45" s="25"/>
      <c r="G45" s="25"/>
      <c r="H45" s="25"/>
      <c r="I45" s="25"/>
      <c r="J45" s="25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</row>
    <row r="46" spans="1:73" x14ac:dyDescent="0.35">
      <c r="A46" s="21"/>
      <c r="B46" s="25"/>
      <c r="C46" s="25"/>
      <c r="D46" s="25"/>
      <c r="E46" s="25"/>
      <c r="F46" s="25"/>
      <c r="G46" s="25"/>
      <c r="H46" s="25"/>
      <c r="I46" s="25"/>
      <c r="J46" s="25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</row>
    <row r="47" spans="1:73" x14ac:dyDescent="0.35">
      <c r="A47" s="21"/>
      <c r="B47" s="25"/>
      <c r="C47" s="25"/>
      <c r="D47" s="25"/>
      <c r="E47" s="25"/>
      <c r="F47" s="25"/>
      <c r="G47" s="25"/>
      <c r="H47" s="25"/>
      <c r="I47" s="25"/>
      <c r="J47" s="25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</row>
    <row r="48" spans="1:73" x14ac:dyDescent="0.35">
      <c r="A48" s="21"/>
      <c r="B48" s="25"/>
      <c r="C48" s="25"/>
      <c r="D48" s="25"/>
      <c r="E48" s="25"/>
      <c r="F48" s="25"/>
      <c r="G48" s="25"/>
      <c r="H48" s="25"/>
      <c r="I48" s="25"/>
      <c r="J48" s="25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</row>
    <row r="49" spans="1:73" x14ac:dyDescent="0.35">
      <c r="A49" s="21"/>
      <c r="B49" s="25"/>
      <c r="C49" s="25"/>
      <c r="D49" s="25"/>
      <c r="E49" s="25"/>
      <c r="F49" s="25"/>
      <c r="G49" s="25"/>
      <c r="H49" s="25"/>
      <c r="I49" s="25"/>
      <c r="J49" s="25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</row>
    <row r="50" spans="1:73" x14ac:dyDescent="0.35">
      <c r="A50" s="21"/>
      <c r="B50" s="25"/>
      <c r="C50" s="25"/>
      <c r="D50" s="25"/>
      <c r="E50" s="25"/>
      <c r="F50" s="25"/>
      <c r="G50" s="25"/>
      <c r="H50" s="25"/>
      <c r="I50" s="25"/>
      <c r="J50" s="25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</row>
    <row r="51" spans="1:73" x14ac:dyDescent="0.35">
      <c r="A51" s="21"/>
      <c r="B51" s="25"/>
      <c r="C51" s="25"/>
      <c r="D51" s="25"/>
      <c r="E51" s="25"/>
      <c r="F51" s="25"/>
      <c r="G51" s="25"/>
      <c r="H51" s="25"/>
      <c r="I51" s="25"/>
      <c r="J51" s="25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</row>
    <row r="52" spans="1:73" x14ac:dyDescent="0.35">
      <c r="A52" s="21"/>
      <c r="B52" s="25"/>
      <c r="C52" s="25"/>
      <c r="D52" s="25"/>
      <c r="E52" s="25"/>
      <c r="F52" s="25"/>
      <c r="G52" s="25"/>
      <c r="H52" s="25"/>
      <c r="I52" s="25"/>
      <c r="J52" s="25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</row>
    <row r="53" spans="1:73" x14ac:dyDescent="0.35">
      <c r="A53" s="21"/>
      <c r="B53" s="25"/>
      <c r="C53" s="25"/>
      <c r="D53" s="25"/>
      <c r="E53" s="25"/>
      <c r="F53" s="25"/>
      <c r="G53" s="25"/>
      <c r="H53" s="25"/>
      <c r="I53" s="25"/>
      <c r="J53" s="25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</row>
    <row r="54" spans="1:73" x14ac:dyDescent="0.35">
      <c r="A54" s="21"/>
      <c r="B54" s="25"/>
      <c r="C54" s="25"/>
      <c r="D54" s="25"/>
      <c r="E54" s="25"/>
      <c r="F54" s="25"/>
      <c r="G54" s="25"/>
      <c r="H54" s="25"/>
      <c r="I54" s="25"/>
      <c r="J54" s="25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</row>
    <row r="55" spans="1:73" x14ac:dyDescent="0.35">
      <c r="A55" s="21"/>
      <c r="B55" s="25"/>
      <c r="C55" s="25"/>
      <c r="D55" s="25"/>
      <c r="E55" s="25"/>
      <c r="F55" s="25"/>
      <c r="G55" s="25"/>
      <c r="H55" s="25"/>
      <c r="I55" s="25"/>
      <c r="J55" s="25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</row>
    <row r="56" spans="1:73" x14ac:dyDescent="0.35">
      <c r="A56" s="21"/>
      <c r="B56" s="25"/>
      <c r="C56" s="25"/>
      <c r="D56" s="25"/>
      <c r="E56" s="25"/>
      <c r="F56" s="25"/>
      <c r="G56" s="25"/>
      <c r="H56" s="25"/>
      <c r="I56" s="25"/>
      <c r="J56" s="25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</row>
    <row r="57" spans="1:73" x14ac:dyDescent="0.35">
      <c r="A57" s="21"/>
      <c r="B57" s="25"/>
      <c r="C57" s="25"/>
      <c r="D57" s="25"/>
      <c r="E57" s="25"/>
      <c r="F57" s="25"/>
      <c r="G57" s="25"/>
      <c r="H57" s="25"/>
      <c r="I57" s="25"/>
      <c r="J57" s="25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</row>
    <row r="58" spans="1:73" x14ac:dyDescent="0.35">
      <c r="A58" s="21"/>
      <c r="B58" s="25"/>
      <c r="C58" s="25"/>
      <c r="D58" s="25"/>
      <c r="E58" s="25"/>
      <c r="F58" s="25"/>
      <c r="G58" s="25"/>
      <c r="H58" s="25"/>
      <c r="I58" s="25"/>
      <c r="J58" s="25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</row>
    <row r="59" spans="1:73" x14ac:dyDescent="0.35">
      <c r="A59" s="21"/>
      <c r="B59" s="25"/>
      <c r="C59" s="25"/>
      <c r="D59" s="25"/>
      <c r="E59" s="25"/>
      <c r="F59" s="25"/>
      <c r="G59" s="25"/>
      <c r="H59" s="25"/>
      <c r="I59" s="25"/>
      <c r="J59" s="25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</row>
    <row r="60" spans="1:73" x14ac:dyDescent="0.35">
      <c r="A60" s="21"/>
      <c r="B60" s="25"/>
      <c r="C60" s="25"/>
      <c r="D60" s="25"/>
      <c r="E60" s="25"/>
      <c r="F60" s="25"/>
      <c r="G60" s="25"/>
      <c r="H60" s="25"/>
      <c r="I60" s="25"/>
      <c r="J60" s="25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</row>
    <row r="61" spans="1:73" x14ac:dyDescent="0.35">
      <c r="A61" s="21"/>
      <c r="B61" s="25"/>
      <c r="C61" s="25"/>
      <c r="D61" s="25"/>
      <c r="E61" s="25"/>
      <c r="F61" s="25"/>
      <c r="G61" s="25"/>
      <c r="H61" s="25"/>
      <c r="I61" s="25"/>
      <c r="J61" s="25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</row>
    <row r="62" spans="1:73" x14ac:dyDescent="0.35">
      <c r="A62" s="21"/>
      <c r="B62" s="25"/>
      <c r="C62" s="25"/>
      <c r="D62" s="25"/>
      <c r="E62" s="25"/>
      <c r="F62" s="25"/>
      <c r="G62" s="25"/>
      <c r="H62" s="25"/>
      <c r="I62" s="25"/>
      <c r="J62" s="25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</row>
    <row r="63" spans="1:73" x14ac:dyDescent="0.35">
      <c r="A63" s="21"/>
      <c r="B63" s="25"/>
      <c r="C63" s="25"/>
      <c r="D63" s="25"/>
      <c r="E63" s="25"/>
      <c r="F63" s="25"/>
      <c r="G63" s="25"/>
      <c r="H63" s="25"/>
      <c r="I63" s="25"/>
      <c r="J63" s="25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</row>
    <row r="64" spans="1:73" x14ac:dyDescent="0.35">
      <c r="A64" s="21"/>
      <c r="B64" s="25"/>
      <c r="C64" s="25"/>
      <c r="D64" s="25"/>
      <c r="E64" s="25"/>
      <c r="F64" s="25"/>
      <c r="G64" s="25"/>
      <c r="H64" s="25"/>
      <c r="I64" s="25"/>
      <c r="J64" s="25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</row>
    <row r="65" spans="1:73" x14ac:dyDescent="0.35">
      <c r="A65" s="21"/>
      <c r="B65" s="25"/>
      <c r="C65" s="25"/>
      <c r="D65" s="25"/>
      <c r="E65" s="25"/>
      <c r="F65" s="25"/>
      <c r="G65" s="25"/>
      <c r="H65" s="25"/>
      <c r="I65" s="25"/>
      <c r="J65" s="25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</row>
    <row r="66" spans="1:73" x14ac:dyDescent="0.35">
      <c r="A66" s="21"/>
      <c r="B66" s="25"/>
      <c r="C66" s="25"/>
      <c r="D66" s="25"/>
      <c r="E66" s="25"/>
      <c r="F66" s="25"/>
      <c r="G66" s="25"/>
      <c r="H66" s="25"/>
      <c r="I66" s="25"/>
      <c r="J66" s="25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</row>
    <row r="67" spans="1:73" x14ac:dyDescent="0.35">
      <c r="A67" s="21"/>
      <c r="B67" s="25"/>
      <c r="C67" s="25"/>
      <c r="D67" s="25"/>
      <c r="E67" s="25"/>
      <c r="F67" s="25"/>
      <c r="G67" s="25"/>
      <c r="H67" s="25"/>
      <c r="I67" s="25"/>
      <c r="J67" s="25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</row>
    <row r="68" spans="1:73" x14ac:dyDescent="0.35">
      <c r="A68" s="21"/>
      <c r="B68" s="25"/>
      <c r="C68" s="25"/>
      <c r="D68" s="25"/>
      <c r="E68" s="25"/>
      <c r="F68" s="25"/>
      <c r="G68" s="25"/>
      <c r="H68" s="25"/>
      <c r="I68" s="25"/>
      <c r="J68" s="25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</row>
    <row r="69" spans="1:73" x14ac:dyDescent="0.35">
      <c r="A69" s="21"/>
      <c r="B69" s="25"/>
      <c r="C69" s="25"/>
      <c r="D69" s="25"/>
      <c r="E69" s="25"/>
      <c r="F69" s="25"/>
      <c r="G69" s="25"/>
      <c r="H69" s="25"/>
      <c r="I69" s="25"/>
      <c r="J69" s="25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</row>
    <row r="70" spans="1:73" x14ac:dyDescent="0.35">
      <c r="A70" s="21"/>
      <c r="B70" s="25"/>
      <c r="C70" s="25"/>
      <c r="D70" s="25"/>
      <c r="E70" s="25"/>
      <c r="F70" s="25"/>
      <c r="G70" s="25"/>
      <c r="H70" s="25"/>
      <c r="I70" s="25"/>
      <c r="J70" s="25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</row>
    <row r="71" spans="1:73" x14ac:dyDescent="0.35">
      <c r="A71" s="21"/>
      <c r="B71" s="25"/>
      <c r="C71" s="25"/>
      <c r="D71" s="25"/>
      <c r="E71" s="25"/>
      <c r="F71" s="25"/>
      <c r="G71" s="25"/>
      <c r="H71" s="25"/>
      <c r="I71" s="25"/>
      <c r="J71" s="25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</row>
    <row r="72" spans="1:73" x14ac:dyDescent="0.35">
      <c r="A72" s="21"/>
      <c r="B72" s="25"/>
      <c r="C72" s="25"/>
      <c r="D72" s="25"/>
      <c r="E72" s="25"/>
      <c r="F72" s="25"/>
      <c r="G72" s="25"/>
      <c r="H72" s="25"/>
      <c r="I72" s="25"/>
      <c r="J72" s="25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</row>
    <row r="73" spans="1:73" x14ac:dyDescent="0.35">
      <c r="A73" s="21"/>
      <c r="B73" s="25"/>
      <c r="C73" s="25"/>
      <c r="D73" s="25"/>
      <c r="E73" s="25"/>
      <c r="F73" s="25"/>
      <c r="G73" s="25"/>
      <c r="H73" s="25"/>
      <c r="I73" s="25"/>
      <c r="J73" s="25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</row>
    <row r="74" spans="1:73" x14ac:dyDescent="0.35">
      <c r="A74" s="21"/>
      <c r="B74" s="25"/>
      <c r="C74" s="25"/>
      <c r="D74" s="25"/>
      <c r="E74" s="25"/>
      <c r="F74" s="25"/>
      <c r="G74" s="25"/>
      <c r="H74" s="25"/>
      <c r="I74" s="25"/>
      <c r="J74" s="25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</row>
    <row r="75" spans="1:73" x14ac:dyDescent="0.35">
      <c r="A75" s="21"/>
      <c r="B75" s="25"/>
      <c r="C75" s="25"/>
      <c r="D75" s="25"/>
      <c r="E75" s="25"/>
      <c r="F75" s="25"/>
      <c r="G75" s="25"/>
      <c r="H75" s="25"/>
      <c r="I75" s="25"/>
      <c r="J75" s="25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</row>
    <row r="76" spans="1:73" x14ac:dyDescent="0.35">
      <c r="A76" s="21"/>
      <c r="B76" s="25"/>
      <c r="C76" s="25"/>
      <c r="D76" s="25"/>
      <c r="E76" s="25"/>
      <c r="F76" s="25"/>
      <c r="G76" s="25"/>
      <c r="H76" s="25"/>
      <c r="I76" s="25"/>
      <c r="J76" s="25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</row>
    <row r="77" spans="1:73" x14ac:dyDescent="0.35">
      <c r="A77" s="21"/>
      <c r="B77" s="25"/>
      <c r="C77" s="25"/>
      <c r="D77" s="25"/>
      <c r="E77" s="25"/>
      <c r="F77" s="25"/>
      <c r="G77" s="25"/>
      <c r="H77" s="25"/>
      <c r="I77" s="25"/>
      <c r="J77" s="25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</row>
    <row r="78" spans="1:73" x14ac:dyDescent="0.35">
      <c r="A78" s="21"/>
      <c r="B78" s="25"/>
      <c r="C78" s="25"/>
      <c r="D78" s="25"/>
      <c r="E78" s="25"/>
      <c r="F78" s="25"/>
      <c r="G78" s="25"/>
      <c r="H78" s="25"/>
      <c r="I78" s="25"/>
      <c r="J78" s="25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</row>
    <row r="79" spans="1:73" x14ac:dyDescent="0.35">
      <c r="A79" s="21"/>
      <c r="B79" s="25"/>
      <c r="C79" s="25"/>
      <c r="D79" s="25"/>
      <c r="E79" s="25"/>
      <c r="F79" s="25"/>
      <c r="G79" s="25"/>
      <c r="H79" s="25"/>
      <c r="I79" s="25"/>
      <c r="J79" s="25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</row>
    <row r="80" spans="1:73" x14ac:dyDescent="0.35">
      <c r="A80" s="21"/>
      <c r="B80" s="25"/>
      <c r="C80" s="25"/>
      <c r="D80" s="25"/>
      <c r="E80" s="25"/>
      <c r="F80" s="25"/>
      <c r="G80" s="25"/>
      <c r="H80" s="25"/>
      <c r="I80" s="25"/>
      <c r="J80" s="25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</row>
    <row r="81" spans="1:73" x14ac:dyDescent="0.35">
      <c r="A81" s="21"/>
      <c r="B81" s="25"/>
      <c r="C81" s="25"/>
      <c r="D81" s="25"/>
      <c r="E81" s="25"/>
      <c r="F81" s="25"/>
      <c r="G81" s="25"/>
      <c r="H81" s="25"/>
      <c r="I81" s="25"/>
      <c r="J81" s="25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</row>
    <row r="82" spans="1:73" x14ac:dyDescent="0.35">
      <c r="A82" s="21"/>
      <c r="B82" s="25"/>
      <c r="C82" s="25"/>
      <c r="D82" s="25"/>
      <c r="E82" s="25"/>
      <c r="F82" s="25"/>
      <c r="G82" s="25"/>
      <c r="H82" s="25"/>
      <c r="I82" s="25"/>
      <c r="J82" s="25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</row>
    <row r="83" spans="1:73" x14ac:dyDescent="0.35">
      <c r="A83" s="21"/>
      <c r="B83" s="25"/>
      <c r="C83" s="25"/>
      <c r="D83" s="25"/>
      <c r="E83" s="25"/>
      <c r="F83" s="25"/>
      <c r="G83" s="25"/>
      <c r="H83" s="25"/>
      <c r="I83" s="25"/>
      <c r="J83" s="25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</row>
    <row r="84" spans="1:73" x14ac:dyDescent="0.35">
      <c r="A84" s="21"/>
      <c r="B84" s="25"/>
      <c r="C84" s="25"/>
      <c r="D84" s="25"/>
      <c r="E84" s="25"/>
      <c r="F84" s="25"/>
      <c r="G84" s="25"/>
      <c r="H84" s="25"/>
      <c r="I84" s="25"/>
      <c r="J84" s="25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</row>
    <row r="85" spans="1:73" x14ac:dyDescent="0.35">
      <c r="A85" s="21"/>
      <c r="B85" s="25"/>
      <c r="C85" s="25"/>
      <c r="D85" s="25"/>
      <c r="E85" s="25"/>
      <c r="F85" s="25"/>
      <c r="G85" s="25"/>
      <c r="H85" s="25"/>
      <c r="I85" s="25"/>
      <c r="J85" s="25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</row>
    <row r="86" spans="1:73" x14ac:dyDescent="0.35">
      <c r="A86" s="21"/>
      <c r="B86" s="25"/>
      <c r="C86" s="25"/>
      <c r="D86" s="25"/>
      <c r="E86" s="25"/>
      <c r="F86" s="25"/>
      <c r="G86" s="25"/>
      <c r="H86" s="25"/>
      <c r="I86" s="25"/>
      <c r="J86" s="25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</row>
    <row r="87" spans="1:73" x14ac:dyDescent="0.35">
      <c r="A87" s="21"/>
      <c r="B87" s="25"/>
      <c r="C87" s="25"/>
      <c r="D87" s="25"/>
      <c r="E87" s="25"/>
      <c r="F87" s="25"/>
      <c r="G87" s="25"/>
      <c r="H87" s="25"/>
      <c r="I87" s="25"/>
      <c r="J87" s="25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</row>
    <row r="88" spans="1:73" x14ac:dyDescent="0.35">
      <c r="A88" s="21"/>
      <c r="B88" s="25"/>
      <c r="C88" s="25"/>
      <c r="D88" s="25"/>
      <c r="E88" s="25"/>
      <c r="F88" s="25"/>
      <c r="G88" s="25"/>
      <c r="H88" s="25"/>
      <c r="I88" s="25"/>
      <c r="J88" s="25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</row>
    <row r="89" spans="1:73" x14ac:dyDescent="0.35">
      <c r="A89" s="21"/>
      <c r="B89" s="25"/>
      <c r="C89" s="25"/>
      <c r="D89" s="25"/>
      <c r="E89" s="25"/>
      <c r="F89" s="25"/>
      <c r="G89" s="25"/>
      <c r="H89" s="25"/>
      <c r="I89" s="25"/>
      <c r="J89" s="25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</row>
    <row r="90" spans="1:73" x14ac:dyDescent="0.35">
      <c r="A90" s="21"/>
      <c r="B90" s="25"/>
      <c r="C90" s="25"/>
      <c r="D90" s="25"/>
      <c r="E90" s="25"/>
      <c r="F90" s="25"/>
      <c r="G90" s="25"/>
      <c r="H90" s="25"/>
      <c r="I90" s="25"/>
      <c r="J90" s="25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</row>
    <row r="91" spans="1:73" x14ac:dyDescent="0.35">
      <c r="A91" s="21"/>
      <c r="B91" s="25"/>
      <c r="C91" s="25"/>
      <c r="D91" s="25"/>
      <c r="E91" s="25"/>
      <c r="F91" s="25"/>
      <c r="G91" s="25"/>
      <c r="H91" s="25"/>
      <c r="I91" s="25"/>
      <c r="J91" s="25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</row>
    <row r="92" spans="1:73" x14ac:dyDescent="0.35">
      <c r="A92" s="21"/>
      <c r="B92" s="25"/>
      <c r="C92" s="25"/>
      <c r="D92" s="25"/>
      <c r="E92" s="25"/>
      <c r="F92" s="25"/>
      <c r="G92" s="25"/>
      <c r="H92" s="25"/>
      <c r="I92" s="25"/>
      <c r="J92" s="25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</row>
    <row r="93" spans="1:73" x14ac:dyDescent="0.35">
      <c r="A93" s="21"/>
      <c r="B93" s="25"/>
      <c r="C93" s="25"/>
      <c r="D93" s="25"/>
      <c r="E93" s="25"/>
      <c r="F93" s="25"/>
      <c r="G93" s="25"/>
      <c r="H93" s="25"/>
      <c r="I93" s="25"/>
      <c r="J93" s="25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</row>
    <row r="94" spans="1:73" x14ac:dyDescent="0.35">
      <c r="A94" s="21"/>
      <c r="B94" s="25"/>
      <c r="C94" s="25"/>
      <c r="D94" s="25"/>
      <c r="E94" s="25"/>
      <c r="F94" s="25"/>
      <c r="G94" s="25"/>
      <c r="H94" s="25"/>
      <c r="I94" s="25"/>
      <c r="J94" s="25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</row>
    <row r="95" spans="1:73" x14ac:dyDescent="0.35">
      <c r="A95" s="21"/>
      <c r="B95" s="25"/>
      <c r="C95" s="25"/>
      <c r="D95" s="25"/>
      <c r="E95" s="25"/>
      <c r="F95" s="25"/>
      <c r="G95" s="25"/>
      <c r="H95" s="25"/>
      <c r="I95" s="25"/>
      <c r="J95" s="25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</row>
    <row r="96" spans="1:73" x14ac:dyDescent="0.35">
      <c r="A96" s="21"/>
      <c r="B96" s="25"/>
      <c r="C96" s="25"/>
      <c r="D96" s="25"/>
      <c r="E96" s="25"/>
      <c r="F96" s="25"/>
      <c r="G96" s="25"/>
      <c r="H96" s="25"/>
      <c r="I96" s="25"/>
      <c r="J96" s="25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</row>
    <row r="97" spans="1:73" x14ac:dyDescent="0.35">
      <c r="A97" s="21"/>
      <c r="B97" s="25"/>
      <c r="C97" s="25"/>
      <c r="D97" s="25"/>
      <c r="E97" s="25"/>
      <c r="F97" s="25"/>
      <c r="G97" s="25"/>
      <c r="H97" s="25"/>
      <c r="I97" s="25"/>
      <c r="J97" s="25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</row>
    <row r="98" spans="1:73" x14ac:dyDescent="0.35">
      <c r="A98" s="21"/>
      <c r="B98" s="25"/>
      <c r="C98" s="25"/>
      <c r="D98" s="25"/>
      <c r="E98" s="25"/>
      <c r="F98" s="25"/>
      <c r="G98" s="25"/>
      <c r="H98" s="25"/>
      <c r="I98" s="25"/>
      <c r="J98" s="25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</row>
    <row r="99" spans="1:73" x14ac:dyDescent="0.35">
      <c r="A99" s="21"/>
      <c r="B99" s="25"/>
      <c r="C99" s="25"/>
      <c r="D99" s="25"/>
      <c r="E99" s="25"/>
      <c r="F99" s="25"/>
      <c r="G99" s="25"/>
      <c r="H99" s="25"/>
      <c r="I99" s="25"/>
      <c r="J99" s="25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</row>
    <row r="100" spans="1:73" x14ac:dyDescent="0.35">
      <c r="A100" s="21"/>
      <c r="B100" s="25"/>
      <c r="C100" s="25"/>
      <c r="D100" s="25"/>
      <c r="E100" s="25"/>
      <c r="F100" s="25"/>
      <c r="G100" s="25"/>
      <c r="H100" s="25"/>
      <c r="I100" s="25"/>
      <c r="J100" s="25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</row>
    <row r="101" spans="1:73" x14ac:dyDescent="0.35">
      <c r="A101" s="21"/>
      <c r="B101" s="25"/>
      <c r="C101" s="25"/>
      <c r="D101" s="25"/>
      <c r="E101" s="25"/>
      <c r="F101" s="25"/>
      <c r="G101" s="25"/>
      <c r="H101" s="25"/>
      <c r="I101" s="25"/>
      <c r="J101" s="25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</row>
    <row r="102" spans="1:73" x14ac:dyDescent="0.35">
      <c r="A102" s="21"/>
      <c r="B102" s="25"/>
      <c r="C102" s="25"/>
      <c r="D102" s="25"/>
      <c r="E102" s="25"/>
      <c r="F102" s="25"/>
      <c r="G102" s="25"/>
      <c r="H102" s="25"/>
      <c r="I102" s="25"/>
      <c r="J102" s="25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</row>
    <row r="103" spans="1:73" x14ac:dyDescent="0.35">
      <c r="A103" s="21"/>
      <c r="B103" s="25"/>
      <c r="C103" s="25"/>
      <c r="D103" s="25"/>
      <c r="E103" s="25"/>
      <c r="F103" s="25"/>
      <c r="G103" s="25"/>
      <c r="H103" s="25"/>
      <c r="I103" s="25"/>
      <c r="J103" s="25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</row>
    <row r="104" spans="1:73" x14ac:dyDescent="0.35">
      <c r="A104" s="21"/>
      <c r="B104" s="25"/>
      <c r="C104" s="25"/>
      <c r="D104" s="25"/>
      <c r="E104" s="25"/>
      <c r="F104" s="25"/>
      <c r="G104" s="25"/>
      <c r="H104" s="25"/>
      <c r="I104" s="25"/>
      <c r="J104" s="25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</row>
    <row r="105" spans="1:73" x14ac:dyDescent="0.35">
      <c r="A105" s="21"/>
      <c r="B105" s="25"/>
      <c r="C105" s="25"/>
      <c r="D105" s="25"/>
      <c r="E105" s="25"/>
      <c r="F105" s="25"/>
      <c r="G105" s="25"/>
      <c r="H105" s="25"/>
      <c r="I105" s="25"/>
      <c r="J105" s="25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</row>
    <row r="106" spans="1:73" x14ac:dyDescent="0.35">
      <c r="A106" s="21"/>
      <c r="B106" s="25"/>
      <c r="C106" s="25"/>
      <c r="D106" s="25"/>
      <c r="E106" s="25"/>
      <c r="F106" s="25"/>
      <c r="G106" s="25"/>
      <c r="H106" s="25"/>
      <c r="I106" s="25"/>
      <c r="J106" s="25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</row>
    <row r="107" spans="1:73" x14ac:dyDescent="0.35">
      <c r="A107" s="21"/>
      <c r="B107" s="25"/>
      <c r="C107" s="25"/>
      <c r="D107" s="25"/>
      <c r="E107" s="25"/>
      <c r="F107" s="25"/>
      <c r="G107" s="25"/>
      <c r="H107" s="25"/>
      <c r="I107" s="25"/>
      <c r="J107" s="25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</row>
    <row r="108" spans="1:73" x14ac:dyDescent="0.35">
      <c r="A108" s="21"/>
      <c r="B108" s="25"/>
      <c r="C108" s="25"/>
      <c r="D108" s="25"/>
      <c r="E108" s="25"/>
      <c r="F108" s="25"/>
      <c r="G108" s="25"/>
      <c r="H108" s="25"/>
      <c r="I108" s="25"/>
      <c r="J108" s="25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</row>
    <row r="109" spans="1:73" x14ac:dyDescent="0.35">
      <c r="A109" s="21"/>
      <c r="B109" s="25"/>
      <c r="C109" s="25"/>
      <c r="D109" s="25"/>
      <c r="E109" s="25"/>
      <c r="F109" s="25"/>
      <c r="G109" s="25"/>
      <c r="H109" s="25"/>
      <c r="I109" s="25"/>
      <c r="J109" s="25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</row>
    <row r="110" spans="1:73" x14ac:dyDescent="0.35">
      <c r="A110" s="21"/>
      <c r="B110" s="25"/>
      <c r="C110" s="25"/>
      <c r="D110" s="25"/>
      <c r="E110" s="25"/>
      <c r="F110" s="25"/>
      <c r="G110" s="25"/>
      <c r="H110" s="25"/>
      <c r="I110" s="25"/>
      <c r="J110" s="25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</row>
    <row r="111" spans="1:73" x14ac:dyDescent="0.35">
      <c r="A111" s="21"/>
      <c r="B111" s="25"/>
      <c r="C111" s="25"/>
      <c r="D111" s="25"/>
      <c r="E111" s="25"/>
      <c r="F111" s="25"/>
      <c r="G111" s="25"/>
      <c r="H111" s="25"/>
      <c r="I111" s="25"/>
      <c r="J111" s="25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</row>
    <row r="112" spans="1:73" x14ac:dyDescent="0.35">
      <c r="A112" s="21"/>
      <c r="B112" s="25"/>
      <c r="C112" s="25"/>
      <c r="D112" s="25"/>
      <c r="E112" s="25"/>
      <c r="F112" s="25"/>
      <c r="G112" s="25"/>
      <c r="H112" s="25"/>
      <c r="I112" s="25"/>
      <c r="J112" s="25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</row>
    <row r="113" spans="1:73" x14ac:dyDescent="0.35">
      <c r="A113" s="21"/>
      <c r="B113" s="25"/>
      <c r="C113" s="25"/>
      <c r="D113" s="25"/>
      <c r="E113" s="25"/>
      <c r="F113" s="25"/>
      <c r="G113" s="25"/>
      <c r="H113" s="25"/>
      <c r="I113" s="25"/>
      <c r="J113" s="25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</row>
    <row r="114" spans="1:73" x14ac:dyDescent="0.35">
      <c r="A114" s="21"/>
      <c r="B114" s="25"/>
      <c r="C114" s="25"/>
      <c r="D114" s="25"/>
      <c r="E114" s="25"/>
      <c r="F114" s="25"/>
      <c r="G114" s="25"/>
      <c r="H114" s="25"/>
      <c r="I114" s="25"/>
      <c r="J114" s="25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</row>
    <row r="115" spans="1:73" x14ac:dyDescent="0.35">
      <c r="A115" s="21"/>
      <c r="B115" s="25"/>
      <c r="C115" s="25"/>
      <c r="D115" s="25"/>
      <c r="E115" s="25"/>
      <c r="F115" s="25"/>
      <c r="G115" s="25"/>
      <c r="H115" s="25"/>
      <c r="I115" s="25"/>
      <c r="J115" s="25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</row>
    <row r="116" spans="1:73" x14ac:dyDescent="0.35">
      <c r="A116" s="21"/>
      <c r="B116" s="25"/>
      <c r="C116" s="25"/>
      <c r="D116" s="25"/>
      <c r="E116" s="25"/>
      <c r="F116" s="25"/>
      <c r="G116" s="25"/>
      <c r="H116" s="25"/>
      <c r="I116" s="25"/>
      <c r="J116" s="25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</row>
    <row r="117" spans="1:73" x14ac:dyDescent="0.35">
      <c r="A117" s="21"/>
      <c r="B117" s="25"/>
      <c r="C117" s="25"/>
      <c r="D117" s="25"/>
      <c r="E117" s="25"/>
      <c r="F117" s="25"/>
      <c r="G117" s="25"/>
      <c r="H117" s="25"/>
      <c r="I117" s="25"/>
      <c r="J117" s="25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</row>
    <row r="118" spans="1:73" x14ac:dyDescent="0.35">
      <c r="A118" s="21"/>
      <c r="B118" s="25"/>
      <c r="C118" s="25"/>
      <c r="D118" s="25"/>
      <c r="E118" s="25"/>
      <c r="F118" s="25"/>
      <c r="G118" s="25"/>
      <c r="H118" s="25"/>
      <c r="I118" s="25"/>
      <c r="J118" s="25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</row>
    <row r="119" spans="1:73" x14ac:dyDescent="0.35">
      <c r="A119" s="21"/>
      <c r="B119" s="25"/>
      <c r="C119" s="25"/>
      <c r="D119" s="25"/>
      <c r="E119" s="25"/>
      <c r="F119" s="25"/>
      <c r="G119" s="25"/>
      <c r="H119" s="25"/>
      <c r="I119" s="25"/>
      <c r="J119" s="25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</row>
    <row r="120" spans="1:73" x14ac:dyDescent="0.35">
      <c r="A120" s="21"/>
      <c r="B120" s="25"/>
      <c r="C120" s="25"/>
      <c r="D120" s="25"/>
      <c r="E120" s="25"/>
      <c r="F120" s="25"/>
      <c r="G120" s="25"/>
      <c r="H120" s="25"/>
      <c r="I120" s="25"/>
      <c r="J120" s="25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</row>
    <row r="121" spans="1:73" x14ac:dyDescent="0.35">
      <c r="A121" s="21"/>
      <c r="B121" s="25"/>
      <c r="C121" s="25"/>
      <c r="D121" s="25"/>
      <c r="E121" s="25"/>
      <c r="F121" s="25"/>
      <c r="G121" s="25"/>
      <c r="H121" s="25"/>
      <c r="I121" s="25"/>
      <c r="J121" s="25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</row>
    <row r="122" spans="1:73" x14ac:dyDescent="0.35">
      <c r="A122" s="21"/>
      <c r="B122" s="25"/>
      <c r="C122" s="25"/>
      <c r="D122" s="25"/>
      <c r="E122" s="25"/>
      <c r="F122" s="25"/>
      <c r="G122" s="25"/>
      <c r="H122" s="25"/>
      <c r="I122" s="25"/>
      <c r="J122" s="25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</row>
    <row r="123" spans="1:73" x14ac:dyDescent="0.35">
      <c r="A123" s="21"/>
      <c r="B123" s="25"/>
      <c r="C123" s="25"/>
      <c r="D123" s="25"/>
      <c r="E123" s="25"/>
      <c r="F123" s="25"/>
      <c r="G123" s="25"/>
      <c r="H123" s="25"/>
      <c r="I123" s="25"/>
      <c r="J123" s="25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</row>
    <row r="124" spans="1:73" x14ac:dyDescent="0.35">
      <c r="A124" s="21"/>
      <c r="B124" s="25"/>
      <c r="C124" s="25"/>
      <c r="D124" s="25"/>
      <c r="E124" s="25"/>
      <c r="F124" s="25"/>
      <c r="G124" s="25"/>
      <c r="H124" s="25"/>
      <c r="I124" s="25"/>
      <c r="J124" s="25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</row>
    <row r="125" spans="1:73" x14ac:dyDescent="0.35">
      <c r="A125" s="21"/>
      <c r="B125" s="25"/>
      <c r="C125" s="25"/>
      <c r="D125" s="25"/>
      <c r="E125" s="25"/>
      <c r="F125" s="25"/>
      <c r="G125" s="25"/>
      <c r="H125" s="25"/>
      <c r="I125" s="25"/>
      <c r="J125" s="25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</row>
    <row r="126" spans="1:73" x14ac:dyDescent="0.35">
      <c r="A126" s="21"/>
      <c r="B126" s="25"/>
      <c r="C126" s="25"/>
      <c r="D126" s="25"/>
      <c r="E126" s="25"/>
      <c r="F126" s="25"/>
      <c r="G126" s="25"/>
      <c r="H126" s="25"/>
      <c r="I126" s="25"/>
      <c r="J126" s="25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</row>
    <row r="127" spans="1:73" x14ac:dyDescent="0.35">
      <c r="A127" s="21"/>
      <c r="B127" s="25"/>
      <c r="C127" s="25"/>
      <c r="D127" s="25"/>
      <c r="E127" s="25"/>
      <c r="F127" s="25"/>
      <c r="G127" s="25"/>
      <c r="H127" s="25"/>
      <c r="I127" s="25"/>
      <c r="J127" s="25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</row>
    <row r="128" spans="1:73" x14ac:dyDescent="0.35">
      <c r="A128" s="21"/>
      <c r="B128" s="25"/>
      <c r="C128" s="25"/>
      <c r="D128" s="25"/>
      <c r="E128" s="25"/>
      <c r="F128" s="25"/>
      <c r="G128" s="25"/>
      <c r="H128" s="25"/>
      <c r="I128" s="25"/>
      <c r="J128" s="25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</row>
    <row r="129" spans="1:73" x14ac:dyDescent="0.35">
      <c r="A129" s="21"/>
      <c r="B129" s="25"/>
      <c r="C129" s="25"/>
      <c r="D129" s="25"/>
      <c r="E129" s="25"/>
      <c r="F129" s="25"/>
      <c r="G129" s="25"/>
      <c r="H129" s="25"/>
      <c r="I129" s="25"/>
      <c r="J129" s="25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</row>
    <row r="130" spans="1:73" x14ac:dyDescent="0.35">
      <c r="A130" s="21"/>
      <c r="B130" s="25"/>
      <c r="C130" s="25"/>
      <c r="D130" s="25"/>
      <c r="E130" s="25"/>
      <c r="F130" s="25"/>
      <c r="G130" s="25"/>
      <c r="H130" s="25"/>
      <c r="I130" s="25"/>
      <c r="J130" s="25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</row>
    <row r="131" spans="1:73" x14ac:dyDescent="0.35">
      <c r="A131" s="21"/>
      <c r="B131" s="25"/>
      <c r="C131" s="25"/>
      <c r="D131" s="25"/>
      <c r="E131" s="25"/>
      <c r="F131" s="25"/>
      <c r="G131" s="25"/>
      <c r="H131" s="25"/>
      <c r="I131" s="25"/>
      <c r="J131" s="25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</row>
    <row r="132" spans="1:73" x14ac:dyDescent="0.35">
      <c r="A132" s="21"/>
      <c r="B132" s="25"/>
      <c r="C132" s="25"/>
      <c r="D132" s="25"/>
      <c r="E132" s="25"/>
      <c r="F132" s="25"/>
      <c r="G132" s="25"/>
      <c r="H132" s="25"/>
      <c r="I132" s="25"/>
      <c r="J132" s="25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</row>
    <row r="133" spans="1:73" x14ac:dyDescent="0.35">
      <c r="A133" s="21"/>
      <c r="B133" s="25"/>
      <c r="C133" s="25"/>
      <c r="D133" s="25"/>
      <c r="E133" s="25"/>
      <c r="F133" s="25"/>
      <c r="G133" s="25"/>
      <c r="H133" s="25"/>
      <c r="I133" s="25"/>
      <c r="J133" s="25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</row>
    <row r="134" spans="1:73" x14ac:dyDescent="0.35">
      <c r="A134" s="21"/>
      <c r="B134" s="25"/>
      <c r="C134" s="25"/>
      <c r="D134" s="25"/>
      <c r="E134" s="25"/>
      <c r="F134" s="25"/>
      <c r="G134" s="25"/>
      <c r="H134" s="25"/>
      <c r="I134" s="25"/>
      <c r="J134" s="25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</row>
    <row r="135" spans="1:73" x14ac:dyDescent="0.35">
      <c r="A135" s="21"/>
      <c r="B135" s="25"/>
      <c r="C135" s="25"/>
      <c r="D135" s="25"/>
      <c r="E135" s="25"/>
      <c r="F135" s="25"/>
      <c r="G135" s="25"/>
      <c r="H135" s="25"/>
      <c r="I135" s="25"/>
      <c r="J135" s="25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</row>
    <row r="136" spans="1:73" x14ac:dyDescent="0.35">
      <c r="A136" s="21"/>
      <c r="B136" s="25"/>
      <c r="C136" s="25"/>
      <c r="D136" s="25"/>
      <c r="E136" s="25"/>
      <c r="F136" s="25"/>
      <c r="G136" s="25"/>
      <c r="H136" s="25"/>
      <c r="I136" s="25"/>
      <c r="J136" s="25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</row>
    <row r="137" spans="1:73" x14ac:dyDescent="0.35">
      <c r="A137" s="21"/>
      <c r="B137" s="25"/>
      <c r="C137" s="25"/>
      <c r="D137" s="25"/>
      <c r="E137" s="25"/>
      <c r="F137" s="25"/>
      <c r="G137" s="25"/>
      <c r="H137" s="25"/>
      <c r="I137" s="25"/>
      <c r="J137" s="25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</row>
    <row r="138" spans="1:73" x14ac:dyDescent="0.35">
      <c r="A138" s="21"/>
      <c r="B138" s="25"/>
      <c r="C138" s="25"/>
      <c r="D138" s="25"/>
      <c r="E138" s="25"/>
      <c r="F138" s="25"/>
      <c r="G138" s="25"/>
      <c r="H138" s="25"/>
      <c r="I138" s="25"/>
      <c r="J138" s="25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</row>
    <row r="139" spans="1:73" x14ac:dyDescent="0.35">
      <c r="A139" s="21"/>
      <c r="B139" s="25"/>
      <c r="C139" s="25"/>
      <c r="D139" s="25"/>
      <c r="E139" s="25"/>
      <c r="F139" s="25"/>
      <c r="G139" s="25"/>
      <c r="H139" s="25"/>
      <c r="I139" s="25"/>
      <c r="J139" s="25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</row>
    <row r="140" spans="1:73" x14ac:dyDescent="0.35">
      <c r="A140" s="21"/>
      <c r="B140" s="25"/>
      <c r="C140" s="25"/>
      <c r="D140" s="25"/>
      <c r="E140" s="25"/>
      <c r="F140" s="25"/>
      <c r="G140" s="25"/>
      <c r="H140" s="25"/>
      <c r="I140" s="25"/>
      <c r="J140" s="25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</row>
    <row r="141" spans="1:73" x14ac:dyDescent="0.35">
      <c r="A141" s="21"/>
      <c r="B141" s="25"/>
      <c r="C141" s="25"/>
      <c r="D141" s="25"/>
      <c r="E141" s="25"/>
      <c r="F141" s="25"/>
      <c r="G141" s="25"/>
      <c r="H141" s="25"/>
      <c r="I141" s="25"/>
      <c r="J141" s="25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</row>
    <row r="142" spans="1:73" x14ac:dyDescent="0.35">
      <c r="A142" s="21"/>
      <c r="B142" s="25"/>
      <c r="C142" s="25"/>
      <c r="D142" s="25"/>
      <c r="E142" s="25"/>
      <c r="F142" s="25"/>
      <c r="G142" s="25"/>
      <c r="H142" s="25"/>
      <c r="I142" s="25"/>
      <c r="J142" s="25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</row>
    <row r="143" spans="1:73" x14ac:dyDescent="0.35">
      <c r="A143" s="21"/>
      <c r="B143" s="25"/>
      <c r="C143" s="25"/>
      <c r="D143" s="25"/>
      <c r="E143" s="25"/>
      <c r="F143" s="25"/>
      <c r="G143" s="25"/>
      <c r="H143" s="25"/>
      <c r="I143" s="25"/>
      <c r="J143" s="25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</row>
    <row r="144" spans="1:73" x14ac:dyDescent="0.35">
      <c r="A144" s="21"/>
      <c r="B144" s="25"/>
      <c r="C144" s="25"/>
      <c r="D144" s="25"/>
      <c r="E144" s="25"/>
      <c r="F144" s="25"/>
      <c r="G144" s="25"/>
      <c r="H144" s="25"/>
      <c r="I144" s="25"/>
      <c r="J144" s="25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</row>
    <row r="145" spans="1:73" x14ac:dyDescent="0.35">
      <c r="A145" s="21"/>
      <c r="B145" s="25"/>
      <c r="C145" s="25"/>
      <c r="D145" s="25"/>
      <c r="E145" s="25"/>
      <c r="F145" s="25"/>
      <c r="G145" s="25"/>
      <c r="H145" s="25"/>
      <c r="I145" s="25"/>
      <c r="J145" s="25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</row>
    <row r="146" spans="1:73" x14ac:dyDescent="0.35">
      <c r="A146" s="21"/>
      <c r="B146" s="25"/>
      <c r="C146" s="25"/>
      <c r="D146" s="25"/>
      <c r="E146" s="25"/>
      <c r="F146" s="25"/>
      <c r="G146" s="25"/>
      <c r="H146" s="25"/>
      <c r="I146" s="25"/>
      <c r="J146" s="25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</row>
    <row r="147" spans="1:73" x14ac:dyDescent="0.35">
      <c r="A147" s="21"/>
      <c r="B147" s="25"/>
      <c r="C147" s="25"/>
      <c r="D147" s="25"/>
      <c r="E147" s="25"/>
      <c r="F147" s="25"/>
      <c r="G147" s="25"/>
      <c r="H147" s="25"/>
      <c r="I147" s="25"/>
      <c r="J147" s="25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</row>
    <row r="148" spans="1:73" x14ac:dyDescent="0.35">
      <c r="A148" s="21"/>
      <c r="B148" s="25"/>
      <c r="C148" s="25"/>
      <c r="D148" s="25"/>
      <c r="E148" s="25"/>
      <c r="F148" s="25"/>
      <c r="G148" s="25"/>
      <c r="H148" s="25"/>
      <c r="I148" s="25"/>
      <c r="J148" s="25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</row>
    <row r="149" spans="1:73" x14ac:dyDescent="0.35">
      <c r="A149" s="21"/>
      <c r="B149" s="25"/>
      <c r="C149" s="25"/>
      <c r="D149" s="25"/>
      <c r="E149" s="25"/>
      <c r="F149" s="25"/>
      <c r="G149" s="25"/>
      <c r="H149" s="25"/>
      <c r="I149" s="25"/>
      <c r="J149" s="25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</row>
    <row r="150" spans="1:73" x14ac:dyDescent="0.35">
      <c r="A150" s="21"/>
      <c r="B150" s="25"/>
      <c r="C150" s="25"/>
      <c r="D150" s="25"/>
      <c r="E150" s="25"/>
      <c r="F150" s="25"/>
      <c r="G150" s="25"/>
      <c r="H150" s="25"/>
      <c r="I150" s="25"/>
      <c r="J150" s="25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</row>
    <row r="151" spans="1:73" x14ac:dyDescent="0.35">
      <c r="A151" s="21"/>
      <c r="B151" s="25"/>
      <c r="C151" s="25"/>
      <c r="D151" s="25"/>
      <c r="E151" s="25"/>
      <c r="F151" s="25"/>
      <c r="G151" s="25"/>
      <c r="H151" s="25"/>
      <c r="I151" s="25"/>
      <c r="J151" s="25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</row>
    <row r="152" spans="1:73" x14ac:dyDescent="0.35">
      <c r="A152" s="21"/>
      <c r="B152" s="25"/>
      <c r="C152" s="25"/>
      <c r="D152" s="25"/>
      <c r="E152" s="25"/>
      <c r="F152" s="25"/>
      <c r="G152" s="25"/>
      <c r="H152" s="25"/>
      <c r="I152" s="25"/>
      <c r="J152" s="25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</row>
    <row r="153" spans="1:73" x14ac:dyDescent="0.35">
      <c r="A153" s="21"/>
      <c r="B153" s="25"/>
      <c r="C153" s="25"/>
      <c r="D153" s="25"/>
      <c r="E153" s="25"/>
      <c r="F153" s="25"/>
      <c r="G153" s="25"/>
      <c r="H153" s="25"/>
      <c r="I153" s="25"/>
      <c r="J153" s="25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</row>
    <row r="154" spans="1:73" x14ac:dyDescent="0.35">
      <c r="A154" s="21"/>
      <c r="B154" s="25"/>
      <c r="C154" s="25"/>
      <c r="D154" s="25"/>
      <c r="E154" s="25"/>
      <c r="F154" s="25"/>
      <c r="G154" s="25"/>
      <c r="H154" s="25"/>
      <c r="I154" s="25"/>
      <c r="J154" s="25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</row>
    <row r="155" spans="1:73" x14ac:dyDescent="0.35">
      <c r="A155" s="21"/>
      <c r="B155" s="25"/>
      <c r="C155" s="25"/>
      <c r="D155" s="25"/>
      <c r="E155" s="25"/>
      <c r="F155" s="25"/>
      <c r="G155" s="25"/>
      <c r="H155" s="25"/>
      <c r="I155" s="25"/>
      <c r="J155" s="25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</row>
    <row r="156" spans="1:73" x14ac:dyDescent="0.35">
      <c r="A156" s="21"/>
      <c r="B156" s="25"/>
      <c r="C156" s="25"/>
      <c r="D156" s="25"/>
      <c r="E156" s="25"/>
      <c r="F156" s="25"/>
      <c r="G156" s="25"/>
      <c r="H156" s="25"/>
      <c r="I156" s="25"/>
      <c r="J156" s="25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</row>
    <row r="157" spans="1:73" x14ac:dyDescent="0.35">
      <c r="A157" s="21"/>
      <c r="B157" s="25"/>
      <c r="C157" s="25"/>
      <c r="D157" s="25"/>
      <c r="E157" s="25"/>
      <c r="F157" s="25"/>
      <c r="G157" s="25"/>
      <c r="H157" s="25"/>
      <c r="I157" s="25"/>
      <c r="J157" s="25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</row>
    <row r="158" spans="1:73" x14ac:dyDescent="0.35">
      <c r="A158" s="21"/>
      <c r="B158" s="25"/>
      <c r="C158" s="25"/>
      <c r="D158" s="25"/>
      <c r="E158" s="25"/>
      <c r="F158" s="25"/>
      <c r="G158" s="25"/>
      <c r="H158" s="25"/>
      <c r="I158" s="25"/>
      <c r="J158" s="25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</row>
    <row r="159" spans="1:73" x14ac:dyDescent="0.35">
      <c r="A159" s="21"/>
      <c r="B159" s="25"/>
      <c r="C159" s="25"/>
      <c r="D159" s="25"/>
      <c r="E159" s="25"/>
      <c r="F159" s="25"/>
      <c r="G159" s="25"/>
      <c r="H159" s="25"/>
      <c r="I159" s="25"/>
      <c r="J159" s="25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</row>
    <row r="160" spans="1:73" x14ac:dyDescent="0.35">
      <c r="A160" s="21"/>
      <c r="B160" s="25"/>
      <c r="C160" s="25"/>
      <c r="D160" s="25"/>
      <c r="E160" s="25"/>
      <c r="F160" s="25"/>
      <c r="G160" s="25"/>
      <c r="H160" s="25"/>
      <c r="I160" s="25"/>
      <c r="J160" s="25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</row>
    <row r="161" spans="1:73" x14ac:dyDescent="0.35">
      <c r="A161" s="21"/>
      <c r="B161" s="25"/>
      <c r="C161" s="25"/>
      <c r="D161" s="25"/>
      <c r="E161" s="25"/>
      <c r="F161" s="25"/>
      <c r="G161" s="25"/>
      <c r="H161" s="25"/>
      <c r="I161" s="25"/>
      <c r="J161" s="25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</row>
    <row r="162" spans="1:73" x14ac:dyDescent="0.35">
      <c r="A162" s="21"/>
      <c r="B162" s="25"/>
      <c r="C162" s="25"/>
      <c r="D162" s="25"/>
      <c r="E162" s="25"/>
      <c r="F162" s="25"/>
      <c r="G162" s="25"/>
      <c r="H162" s="25"/>
      <c r="I162" s="25"/>
      <c r="J162" s="25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</row>
    <row r="163" spans="1:73" x14ac:dyDescent="0.35">
      <c r="A163" s="21"/>
      <c r="B163" s="25"/>
      <c r="C163" s="25"/>
      <c r="D163" s="25"/>
      <c r="E163" s="25"/>
      <c r="F163" s="25"/>
      <c r="G163" s="25"/>
      <c r="H163" s="25"/>
      <c r="I163" s="25"/>
      <c r="J163" s="25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</row>
    <row r="164" spans="1:73" x14ac:dyDescent="0.35">
      <c r="A164" s="21"/>
      <c r="B164" s="25"/>
      <c r="C164" s="25"/>
      <c r="D164" s="25"/>
      <c r="E164" s="25"/>
      <c r="F164" s="25"/>
      <c r="G164" s="25"/>
      <c r="H164" s="25"/>
      <c r="I164" s="25"/>
      <c r="J164" s="25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</row>
    <row r="165" spans="1:73" x14ac:dyDescent="0.35">
      <c r="A165" s="21"/>
      <c r="B165" s="25"/>
      <c r="C165" s="25"/>
      <c r="D165" s="25"/>
      <c r="E165" s="25"/>
      <c r="F165" s="25"/>
      <c r="G165" s="25"/>
      <c r="H165" s="25"/>
      <c r="I165" s="25"/>
      <c r="J165" s="25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</row>
    <row r="166" spans="1:73" x14ac:dyDescent="0.35">
      <c r="A166" s="21"/>
      <c r="B166" s="25"/>
      <c r="C166" s="25"/>
      <c r="D166" s="25"/>
      <c r="E166" s="25"/>
      <c r="F166" s="25"/>
      <c r="G166" s="25"/>
      <c r="H166" s="25"/>
      <c r="I166" s="25"/>
      <c r="J166" s="25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</row>
    <row r="167" spans="1:73" x14ac:dyDescent="0.35">
      <c r="A167" s="21"/>
      <c r="B167" s="25"/>
      <c r="C167" s="25"/>
      <c r="D167" s="25"/>
      <c r="E167" s="25"/>
      <c r="F167" s="25"/>
      <c r="G167" s="25"/>
      <c r="H167" s="25"/>
      <c r="I167" s="25"/>
      <c r="J167" s="25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</row>
    <row r="168" spans="1:73" x14ac:dyDescent="0.35">
      <c r="A168" s="21"/>
      <c r="B168" s="25"/>
      <c r="C168" s="25"/>
      <c r="D168" s="25"/>
      <c r="E168" s="25"/>
      <c r="F168" s="25"/>
      <c r="G168" s="25"/>
      <c r="H168" s="25"/>
      <c r="I168" s="25"/>
      <c r="J168" s="25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</row>
    <row r="169" spans="1:73" x14ac:dyDescent="0.35">
      <c r="A169" s="21"/>
      <c r="B169" s="25"/>
      <c r="C169" s="25"/>
      <c r="D169" s="25"/>
      <c r="E169" s="25"/>
      <c r="F169" s="25"/>
      <c r="G169" s="25"/>
      <c r="H169" s="25"/>
      <c r="I169" s="25"/>
      <c r="J169" s="25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</row>
    <row r="170" spans="1:73" x14ac:dyDescent="0.35">
      <c r="A170" s="21"/>
      <c r="B170" s="25"/>
      <c r="C170" s="25"/>
      <c r="D170" s="25"/>
      <c r="E170" s="25"/>
      <c r="F170" s="25"/>
      <c r="G170" s="25"/>
      <c r="H170" s="25"/>
      <c r="I170" s="25"/>
      <c r="J170" s="25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</row>
    <row r="171" spans="1:73" x14ac:dyDescent="0.35">
      <c r="A171" s="21"/>
      <c r="B171" s="25"/>
      <c r="C171" s="25"/>
      <c r="D171" s="25"/>
      <c r="E171" s="25"/>
      <c r="F171" s="25"/>
      <c r="G171" s="25"/>
      <c r="H171" s="25"/>
      <c r="I171" s="25"/>
      <c r="J171" s="25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</row>
    <row r="172" spans="1:73" x14ac:dyDescent="0.35">
      <c r="A172" s="21"/>
      <c r="B172" s="25"/>
      <c r="C172" s="25"/>
      <c r="D172" s="25"/>
      <c r="E172" s="25"/>
      <c r="F172" s="25"/>
      <c r="G172" s="25"/>
      <c r="H172" s="25"/>
      <c r="I172" s="25"/>
      <c r="J172" s="25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</row>
    <row r="173" spans="1:73" x14ac:dyDescent="0.35">
      <c r="A173" s="21"/>
      <c r="B173" s="25"/>
      <c r="C173" s="25"/>
      <c r="D173" s="25"/>
      <c r="E173" s="25"/>
      <c r="F173" s="25"/>
      <c r="G173" s="25"/>
      <c r="H173" s="25"/>
      <c r="I173" s="25"/>
      <c r="J173" s="25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</row>
    <row r="174" spans="1:73" x14ac:dyDescent="0.35">
      <c r="A174" s="21"/>
      <c r="B174" s="25"/>
      <c r="C174" s="25"/>
      <c r="D174" s="25"/>
      <c r="E174" s="25"/>
      <c r="F174" s="25"/>
      <c r="G174" s="25"/>
      <c r="H174" s="25"/>
      <c r="I174" s="25"/>
      <c r="J174" s="25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</row>
    <row r="175" spans="1:73" x14ac:dyDescent="0.35">
      <c r="A175" s="21"/>
      <c r="B175" s="25"/>
      <c r="C175" s="25"/>
      <c r="D175" s="25"/>
      <c r="E175" s="25"/>
      <c r="F175" s="25"/>
      <c r="G175" s="25"/>
      <c r="H175" s="25"/>
      <c r="I175" s="25"/>
      <c r="J175" s="25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</row>
    <row r="176" spans="1:73" x14ac:dyDescent="0.35">
      <c r="A176" s="21"/>
      <c r="B176" s="25"/>
      <c r="C176" s="25"/>
      <c r="D176" s="25"/>
      <c r="E176" s="25"/>
      <c r="F176" s="25"/>
      <c r="G176" s="25"/>
      <c r="H176" s="25"/>
      <c r="I176" s="25"/>
      <c r="J176" s="25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</row>
    <row r="177" spans="1:73" x14ac:dyDescent="0.35">
      <c r="A177" s="21"/>
      <c r="B177" s="25"/>
      <c r="C177" s="25"/>
      <c r="D177" s="25"/>
      <c r="E177" s="25"/>
      <c r="F177" s="25"/>
      <c r="G177" s="25"/>
      <c r="H177" s="25"/>
      <c r="I177" s="25"/>
      <c r="J177" s="25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</row>
    <row r="178" spans="1:73" x14ac:dyDescent="0.35">
      <c r="A178" s="21"/>
      <c r="B178" s="25"/>
      <c r="C178" s="25"/>
      <c r="D178" s="25"/>
      <c r="E178" s="25"/>
      <c r="F178" s="25"/>
      <c r="G178" s="25"/>
      <c r="H178" s="25"/>
      <c r="I178" s="25"/>
      <c r="J178" s="25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</row>
    <row r="179" spans="1:73" x14ac:dyDescent="0.35">
      <c r="A179" s="21"/>
      <c r="B179" s="25"/>
      <c r="C179" s="25"/>
      <c r="D179" s="25"/>
      <c r="E179" s="25"/>
      <c r="F179" s="25"/>
      <c r="G179" s="25"/>
      <c r="H179" s="25"/>
      <c r="I179" s="25"/>
      <c r="J179" s="25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</row>
    <row r="180" spans="1:73" x14ac:dyDescent="0.35">
      <c r="A180" s="21"/>
      <c r="B180" s="25"/>
      <c r="C180" s="25"/>
      <c r="D180" s="25"/>
      <c r="E180" s="25"/>
      <c r="F180" s="25"/>
      <c r="G180" s="25"/>
      <c r="H180" s="25"/>
      <c r="I180" s="25"/>
      <c r="J180" s="25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</row>
    <row r="181" spans="1:73" x14ac:dyDescent="0.35">
      <c r="A181" s="21"/>
      <c r="B181" s="25"/>
      <c r="C181" s="25"/>
      <c r="D181" s="25"/>
      <c r="E181" s="25"/>
      <c r="F181" s="25"/>
      <c r="G181" s="25"/>
      <c r="H181" s="25"/>
      <c r="I181" s="25"/>
      <c r="J181" s="25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</row>
    <row r="182" spans="1:73" x14ac:dyDescent="0.35">
      <c r="A182" s="21"/>
      <c r="B182" s="25"/>
      <c r="C182" s="25"/>
      <c r="D182" s="25"/>
      <c r="E182" s="25"/>
      <c r="F182" s="25"/>
      <c r="G182" s="25"/>
      <c r="H182" s="25"/>
      <c r="I182" s="25"/>
      <c r="J182" s="25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</row>
    <row r="183" spans="1:73" x14ac:dyDescent="0.35">
      <c r="A183" s="21"/>
      <c r="B183" s="25"/>
      <c r="C183" s="25"/>
      <c r="D183" s="25"/>
      <c r="E183" s="25"/>
      <c r="F183" s="25"/>
      <c r="G183" s="25"/>
      <c r="H183" s="25"/>
      <c r="I183" s="25"/>
      <c r="J183" s="25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</row>
    <row r="184" spans="1:73" x14ac:dyDescent="0.35">
      <c r="A184" s="21"/>
      <c r="B184" s="25"/>
      <c r="C184" s="25"/>
      <c r="D184" s="25"/>
      <c r="E184" s="25"/>
      <c r="F184" s="25"/>
      <c r="G184" s="25"/>
      <c r="H184" s="25"/>
      <c r="I184" s="25"/>
      <c r="J184" s="25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</row>
    <row r="185" spans="1:73" x14ac:dyDescent="0.35">
      <c r="A185" s="21"/>
      <c r="B185" s="25"/>
      <c r="C185" s="25"/>
      <c r="D185" s="25"/>
      <c r="E185" s="25"/>
      <c r="F185" s="25"/>
      <c r="G185" s="25"/>
      <c r="H185" s="25"/>
      <c r="I185" s="25"/>
      <c r="J185" s="25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</row>
    <row r="186" spans="1:73" x14ac:dyDescent="0.35">
      <c r="A186" s="21"/>
      <c r="B186" s="25"/>
      <c r="C186" s="25"/>
      <c r="D186" s="25"/>
      <c r="E186" s="25"/>
      <c r="F186" s="25"/>
      <c r="G186" s="25"/>
      <c r="H186" s="25"/>
      <c r="I186" s="25"/>
      <c r="J186" s="25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</row>
    <row r="187" spans="1:73" x14ac:dyDescent="0.35">
      <c r="A187" s="21"/>
      <c r="B187" s="25"/>
      <c r="C187" s="25"/>
      <c r="D187" s="25"/>
      <c r="E187" s="25"/>
      <c r="F187" s="25"/>
      <c r="G187" s="25"/>
      <c r="H187" s="25"/>
      <c r="I187" s="25"/>
      <c r="J187" s="25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</row>
    <row r="188" spans="1:73" x14ac:dyDescent="0.35">
      <c r="A188" s="21"/>
      <c r="B188" s="25"/>
      <c r="C188" s="25"/>
      <c r="D188" s="25"/>
      <c r="E188" s="25"/>
      <c r="F188" s="25"/>
      <c r="G188" s="25"/>
      <c r="H188" s="25"/>
      <c r="I188" s="25"/>
      <c r="J188" s="25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</row>
    <row r="189" spans="1:73" x14ac:dyDescent="0.35">
      <c r="A189" s="21"/>
      <c r="B189" s="25"/>
      <c r="C189" s="25"/>
      <c r="D189" s="25"/>
      <c r="E189" s="25"/>
      <c r="F189" s="25"/>
      <c r="G189" s="25"/>
      <c r="H189" s="25"/>
      <c r="I189" s="25"/>
      <c r="J189" s="25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</row>
    <row r="190" spans="1:73" x14ac:dyDescent="0.35">
      <c r="A190" s="21"/>
      <c r="B190" s="25"/>
      <c r="C190" s="25"/>
      <c r="D190" s="25"/>
      <c r="E190" s="25"/>
      <c r="F190" s="25"/>
      <c r="G190" s="25"/>
      <c r="H190" s="25"/>
      <c r="I190" s="25"/>
      <c r="J190" s="25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</row>
    <row r="191" spans="1:73" x14ac:dyDescent="0.35">
      <c r="A191" s="21"/>
      <c r="B191" s="25"/>
      <c r="C191" s="25"/>
      <c r="D191" s="25"/>
      <c r="E191" s="25"/>
      <c r="F191" s="25"/>
      <c r="G191" s="25"/>
      <c r="H191" s="25"/>
      <c r="I191" s="25"/>
      <c r="J191" s="25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</row>
    <row r="192" spans="1:73" x14ac:dyDescent="0.35">
      <c r="A192" s="21"/>
      <c r="B192" s="25"/>
      <c r="C192" s="25"/>
      <c r="D192" s="25"/>
      <c r="E192" s="25"/>
      <c r="F192" s="25"/>
      <c r="G192" s="25"/>
      <c r="H192" s="25"/>
      <c r="I192" s="25"/>
      <c r="J192" s="25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</row>
    <row r="193" spans="1:73" x14ac:dyDescent="0.35">
      <c r="A193" s="21"/>
      <c r="B193" s="25"/>
      <c r="C193" s="25"/>
      <c r="D193" s="25"/>
      <c r="E193" s="25"/>
      <c r="F193" s="25"/>
      <c r="G193" s="25"/>
      <c r="H193" s="25"/>
      <c r="I193" s="25"/>
      <c r="J193" s="25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</row>
    <row r="194" spans="1:73" x14ac:dyDescent="0.35">
      <c r="A194" s="21"/>
      <c r="B194" s="25"/>
      <c r="C194" s="25"/>
      <c r="D194" s="25"/>
      <c r="E194" s="25"/>
      <c r="F194" s="25"/>
      <c r="G194" s="25"/>
      <c r="H194" s="25"/>
      <c r="I194" s="25"/>
      <c r="J194" s="25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</row>
    <row r="195" spans="1:73" x14ac:dyDescent="0.35">
      <c r="A195" s="21"/>
      <c r="B195" s="25"/>
      <c r="C195" s="25"/>
      <c r="D195" s="25"/>
      <c r="E195" s="25"/>
      <c r="F195" s="25"/>
      <c r="G195" s="25"/>
      <c r="H195" s="25"/>
      <c r="I195" s="25"/>
      <c r="J195" s="25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</row>
    <row r="196" spans="1:73" x14ac:dyDescent="0.35">
      <c r="A196" s="21"/>
      <c r="B196" s="25"/>
      <c r="C196" s="25"/>
      <c r="D196" s="25"/>
      <c r="E196" s="25"/>
      <c r="F196" s="25"/>
      <c r="G196" s="25"/>
      <c r="H196" s="25"/>
      <c r="I196" s="25"/>
      <c r="J196" s="25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</row>
    <row r="197" spans="1:73" x14ac:dyDescent="0.35">
      <c r="A197" s="21"/>
      <c r="B197" s="25"/>
      <c r="C197" s="25"/>
      <c r="D197" s="25"/>
      <c r="E197" s="25"/>
      <c r="F197" s="25"/>
      <c r="G197" s="25"/>
      <c r="H197" s="25"/>
      <c r="I197" s="25"/>
      <c r="J197" s="25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</row>
    <row r="198" spans="1:73" x14ac:dyDescent="0.35">
      <c r="A198" s="21"/>
      <c r="B198" s="25"/>
      <c r="C198" s="25"/>
      <c r="D198" s="25"/>
      <c r="E198" s="25"/>
      <c r="F198" s="25"/>
      <c r="G198" s="25"/>
      <c r="H198" s="25"/>
      <c r="I198" s="25"/>
      <c r="J198" s="25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</row>
    <row r="199" spans="1:73" x14ac:dyDescent="0.35">
      <c r="A199" s="21"/>
      <c r="B199" s="25"/>
      <c r="C199" s="25"/>
      <c r="D199" s="25"/>
      <c r="E199" s="25"/>
      <c r="F199" s="25"/>
      <c r="G199" s="25"/>
      <c r="H199" s="25"/>
      <c r="I199" s="25"/>
      <c r="J199" s="25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</row>
    <row r="200" spans="1:73" x14ac:dyDescent="0.35">
      <c r="A200" s="21"/>
      <c r="B200" s="25"/>
      <c r="C200" s="25"/>
      <c r="D200" s="25"/>
      <c r="E200" s="25"/>
      <c r="F200" s="25"/>
      <c r="G200" s="25"/>
      <c r="H200" s="25"/>
      <c r="I200" s="25"/>
      <c r="J200" s="25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</row>
    <row r="201" spans="1:73" x14ac:dyDescent="0.35">
      <c r="A201" s="21"/>
      <c r="B201" s="25"/>
      <c r="C201" s="25"/>
      <c r="D201" s="25"/>
      <c r="E201" s="25"/>
      <c r="F201" s="25"/>
      <c r="G201" s="25"/>
      <c r="H201" s="25"/>
      <c r="I201" s="25"/>
      <c r="J201" s="25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</row>
    <row r="202" spans="1:73" x14ac:dyDescent="0.35">
      <c r="A202" s="21"/>
      <c r="B202" s="25"/>
      <c r="C202" s="25"/>
      <c r="D202" s="25"/>
      <c r="E202" s="25"/>
      <c r="F202" s="25"/>
      <c r="G202" s="25"/>
      <c r="H202" s="25"/>
      <c r="I202" s="25"/>
      <c r="J202" s="25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</row>
    <row r="203" spans="1:73" x14ac:dyDescent="0.35">
      <c r="A203" s="21"/>
      <c r="B203" s="25"/>
      <c r="C203" s="25"/>
      <c r="D203" s="25"/>
      <c r="E203" s="25"/>
      <c r="F203" s="25"/>
      <c r="G203" s="25"/>
      <c r="H203" s="25"/>
      <c r="I203" s="25"/>
      <c r="J203" s="25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ECFD-A5F1-4EE6-9B13-1FF32DA46BD3}">
  <dimension ref="A1:F121"/>
  <sheetViews>
    <sheetView workbookViewId="0">
      <selection activeCell="G19" sqref="G19"/>
    </sheetView>
  </sheetViews>
  <sheetFormatPr defaultColWidth="8.640625" defaultRowHeight="14.15" x14ac:dyDescent="0.35"/>
  <cols>
    <col min="1" max="4" width="8.640625" style="14"/>
    <col min="5" max="5" width="13" customWidth="1"/>
    <col min="6" max="6" width="21.2109375" customWidth="1"/>
    <col min="7" max="16384" width="8.640625" style="14"/>
  </cols>
  <sheetData>
    <row r="1" spans="1:6" x14ac:dyDescent="0.35">
      <c r="A1" s="27" t="s">
        <v>141</v>
      </c>
      <c r="B1" s="27" t="s">
        <v>142</v>
      </c>
      <c r="C1" s="27" t="s">
        <v>143</v>
      </c>
      <c r="E1" s="29" t="s">
        <v>144</v>
      </c>
      <c r="F1" s="29" t="s">
        <v>145</v>
      </c>
    </row>
    <row r="2" spans="1:6" x14ac:dyDescent="0.35">
      <c r="A2" s="28">
        <v>1</v>
      </c>
      <c r="B2" s="26">
        <v>100</v>
      </c>
      <c r="C2" s="28">
        <v>1</v>
      </c>
      <c r="E2" s="30">
        <v>1</v>
      </c>
      <c r="F2" s="30">
        <v>400</v>
      </c>
    </row>
    <row r="3" spans="1:6" x14ac:dyDescent="0.35">
      <c r="A3" s="28">
        <v>2</v>
      </c>
      <c r="B3" s="26">
        <v>200</v>
      </c>
      <c r="C3" s="28">
        <v>1</v>
      </c>
      <c r="E3" s="30">
        <v>2</v>
      </c>
      <c r="F3" s="30">
        <v>600</v>
      </c>
    </row>
    <row r="4" spans="1:6" x14ac:dyDescent="0.35">
      <c r="A4" s="28">
        <v>3</v>
      </c>
      <c r="B4" s="26">
        <v>300</v>
      </c>
      <c r="C4" s="28">
        <v>1</v>
      </c>
      <c r="E4" s="30">
        <v>3</v>
      </c>
      <c r="F4" s="30">
        <v>800</v>
      </c>
    </row>
    <row r="5" spans="1:6" x14ac:dyDescent="0.35">
      <c r="A5" s="28">
        <v>4</v>
      </c>
      <c r="B5" s="26">
        <v>400</v>
      </c>
      <c r="C5" s="28">
        <v>1</v>
      </c>
      <c r="E5" s="30">
        <v>4</v>
      </c>
      <c r="F5" s="30">
        <v>1000</v>
      </c>
    </row>
    <row r="6" spans="1:6" x14ac:dyDescent="0.35">
      <c r="A6" s="28">
        <v>5</v>
      </c>
      <c r="B6" s="26">
        <v>700</v>
      </c>
      <c r="C6" s="28">
        <v>1</v>
      </c>
      <c r="E6" s="30">
        <v>5</v>
      </c>
      <c r="F6" s="30">
        <v>1200</v>
      </c>
    </row>
    <row r="7" spans="1:6" x14ac:dyDescent="0.35">
      <c r="A7" s="28">
        <v>6</v>
      </c>
      <c r="B7" s="26">
        <v>1000</v>
      </c>
      <c r="C7" s="28">
        <v>1</v>
      </c>
      <c r="E7" s="30">
        <v>6</v>
      </c>
      <c r="F7" s="30">
        <v>1400</v>
      </c>
    </row>
    <row r="8" spans="1:6" x14ac:dyDescent="0.35">
      <c r="A8" s="28">
        <v>7</v>
      </c>
      <c r="B8" s="26">
        <v>1500</v>
      </c>
      <c r="C8" s="28">
        <v>1</v>
      </c>
      <c r="E8" s="30">
        <v>7</v>
      </c>
      <c r="F8" s="30">
        <v>1600</v>
      </c>
    </row>
    <row r="9" spans="1:6" x14ac:dyDescent="0.35">
      <c r="A9" s="28">
        <v>8</v>
      </c>
      <c r="B9" s="26">
        <v>2000</v>
      </c>
      <c r="C9" s="28">
        <v>1</v>
      </c>
      <c r="E9" s="30">
        <v>8</v>
      </c>
      <c r="F9" s="30">
        <v>1800</v>
      </c>
    </row>
    <row r="10" spans="1:6" x14ac:dyDescent="0.35">
      <c r="A10" s="28">
        <v>9</v>
      </c>
      <c r="B10" s="26">
        <v>2500</v>
      </c>
      <c r="C10" s="28">
        <v>1</v>
      </c>
      <c r="E10" s="30">
        <v>9</v>
      </c>
      <c r="F10" s="30">
        <v>2000</v>
      </c>
    </row>
    <row r="11" spans="1:6" x14ac:dyDescent="0.35">
      <c r="A11" s="28">
        <v>10</v>
      </c>
      <c r="B11" s="26">
        <v>3000</v>
      </c>
      <c r="C11" s="28">
        <v>1</v>
      </c>
      <c r="E11" s="30">
        <v>10</v>
      </c>
      <c r="F11" s="30">
        <v>2200</v>
      </c>
    </row>
    <row r="12" spans="1:6" x14ac:dyDescent="0.35">
      <c r="A12" s="28">
        <v>11</v>
      </c>
      <c r="B12" s="26">
        <v>4000</v>
      </c>
      <c r="C12" s="28">
        <v>1</v>
      </c>
      <c r="E12" s="30">
        <v>11</v>
      </c>
      <c r="F12" s="30">
        <v>2400</v>
      </c>
    </row>
    <row r="13" spans="1:6" x14ac:dyDescent="0.35">
      <c r="A13" s="28">
        <v>12</v>
      </c>
      <c r="B13" s="26">
        <v>5000</v>
      </c>
      <c r="C13" s="28">
        <v>2</v>
      </c>
      <c r="E13" s="30">
        <v>12</v>
      </c>
      <c r="F13" s="30">
        <v>2600</v>
      </c>
    </row>
    <row r="14" spans="1:6" x14ac:dyDescent="0.35">
      <c r="A14" s="28">
        <v>13</v>
      </c>
      <c r="B14" s="26">
        <v>6000</v>
      </c>
      <c r="C14" s="28">
        <v>2</v>
      </c>
      <c r="E14" s="30">
        <v>13</v>
      </c>
      <c r="F14" s="30">
        <v>2800</v>
      </c>
    </row>
    <row r="15" spans="1:6" x14ac:dyDescent="0.35">
      <c r="A15" s="28">
        <v>14</v>
      </c>
      <c r="B15" s="26">
        <v>7000</v>
      </c>
      <c r="C15" s="28">
        <v>2</v>
      </c>
      <c r="E15" s="30">
        <v>14</v>
      </c>
      <c r="F15" s="30">
        <v>3000</v>
      </c>
    </row>
    <row r="16" spans="1:6" x14ac:dyDescent="0.35">
      <c r="A16" s="28">
        <v>15</v>
      </c>
      <c r="B16" s="26">
        <v>8000</v>
      </c>
      <c r="C16" s="28">
        <v>2</v>
      </c>
      <c r="E16" s="30">
        <v>15</v>
      </c>
      <c r="F16" s="30">
        <v>3200</v>
      </c>
    </row>
    <row r="17" spans="1:6" x14ac:dyDescent="0.35">
      <c r="A17" s="28">
        <v>16</v>
      </c>
      <c r="B17" s="26">
        <v>9500</v>
      </c>
      <c r="C17" s="28">
        <v>2</v>
      </c>
      <c r="E17" s="30">
        <v>16</v>
      </c>
      <c r="F17" s="30">
        <v>3400</v>
      </c>
    </row>
    <row r="18" spans="1:6" x14ac:dyDescent="0.35">
      <c r="A18" s="28">
        <v>17</v>
      </c>
      <c r="B18" s="26">
        <v>11000</v>
      </c>
      <c r="C18" s="28">
        <v>3</v>
      </c>
      <c r="E18" s="30">
        <v>17</v>
      </c>
      <c r="F18" s="30">
        <v>3600</v>
      </c>
    </row>
    <row r="19" spans="1:6" x14ac:dyDescent="0.35">
      <c r="A19" s="28">
        <v>18</v>
      </c>
      <c r="B19" s="26">
        <v>12500</v>
      </c>
      <c r="C19" s="28">
        <v>3</v>
      </c>
      <c r="E19" s="30">
        <v>18</v>
      </c>
      <c r="F19" s="30">
        <v>3800</v>
      </c>
    </row>
    <row r="20" spans="1:6" x14ac:dyDescent="0.35">
      <c r="A20" s="28">
        <v>19</v>
      </c>
      <c r="B20" s="26">
        <v>14000</v>
      </c>
      <c r="C20" s="28">
        <v>3</v>
      </c>
      <c r="E20" s="30">
        <v>19</v>
      </c>
      <c r="F20" s="30">
        <v>4000</v>
      </c>
    </row>
    <row r="21" spans="1:6" x14ac:dyDescent="0.35">
      <c r="A21" s="28">
        <v>20</v>
      </c>
      <c r="B21" s="26">
        <v>16000</v>
      </c>
      <c r="C21" s="28">
        <v>3</v>
      </c>
      <c r="E21" s="30">
        <v>20</v>
      </c>
      <c r="F21" s="30">
        <v>4200</v>
      </c>
    </row>
    <row r="22" spans="1:6" x14ac:dyDescent="0.35">
      <c r="A22" s="28">
        <v>21</v>
      </c>
      <c r="B22" s="26">
        <v>18000</v>
      </c>
      <c r="C22" s="28">
        <v>3</v>
      </c>
      <c r="E22" s="30">
        <v>21</v>
      </c>
      <c r="F22" s="30">
        <v>4400</v>
      </c>
    </row>
    <row r="23" spans="1:6" x14ac:dyDescent="0.35">
      <c r="A23" s="28">
        <v>22</v>
      </c>
      <c r="B23" s="26">
        <v>20000</v>
      </c>
      <c r="C23" s="28">
        <v>3</v>
      </c>
      <c r="E23" s="30">
        <v>22</v>
      </c>
      <c r="F23" s="30">
        <v>4600</v>
      </c>
    </row>
    <row r="24" spans="1:6" x14ac:dyDescent="0.35">
      <c r="A24" s="28">
        <v>23</v>
      </c>
      <c r="B24" s="26">
        <v>22000</v>
      </c>
      <c r="C24" s="28">
        <v>3</v>
      </c>
      <c r="E24" s="30">
        <v>23</v>
      </c>
      <c r="F24" s="30">
        <v>4800</v>
      </c>
    </row>
    <row r="25" spans="1:6" x14ac:dyDescent="0.35">
      <c r="A25" s="28">
        <v>24</v>
      </c>
      <c r="B25" s="26">
        <v>24000</v>
      </c>
      <c r="C25" s="28">
        <v>3</v>
      </c>
      <c r="E25" s="30">
        <v>24</v>
      </c>
      <c r="F25" s="30">
        <v>5000</v>
      </c>
    </row>
    <row r="26" spans="1:6" x14ac:dyDescent="0.35">
      <c r="A26" s="28">
        <v>25</v>
      </c>
      <c r="B26" s="26">
        <v>26000</v>
      </c>
      <c r="C26" s="28">
        <v>3</v>
      </c>
      <c r="E26" s="30">
        <v>25</v>
      </c>
      <c r="F26" s="30">
        <v>5200</v>
      </c>
    </row>
    <row r="27" spans="1:6" x14ac:dyDescent="0.35">
      <c r="A27" s="28">
        <v>26</v>
      </c>
      <c r="B27" s="26">
        <v>28500</v>
      </c>
      <c r="C27" s="28">
        <v>3</v>
      </c>
      <c r="E27" s="30">
        <v>26</v>
      </c>
      <c r="F27" s="30">
        <v>5400</v>
      </c>
    </row>
    <row r="28" spans="1:6" x14ac:dyDescent="0.35">
      <c r="A28" s="28">
        <v>27</v>
      </c>
      <c r="B28" s="26">
        <v>31000</v>
      </c>
      <c r="C28" s="28">
        <v>3</v>
      </c>
      <c r="E28" s="30">
        <v>27</v>
      </c>
      <c r="F28" s="30">
        <v>5600</v>
      </c>
    </row>
    <row r="29" spans="1:6" x14ac:dyDescent="0.35">
      <c r="A29" s="28">
        <v>28</v>
      </c>
      <c r="B29" s="26">
        <v>33500</v>
      </c>
      <c r="C29" s="28">
        <v>3</v>
      </c>
      <c r="E29" s="30">
        <v>28</v>
      </c>
      <c r="F29" s="30">
        <v>5800</v>
      </c>
    </row>
    <row r="30" spans="1:6" x14ac:dyDescent="0.35">
      <c r="A30" s="28">
        <v>29</v>
      </c>
      <c r="B30" s="26">
        <v>36500</v>
      </c>
      <c r="C30" s="28">
        <v>3</v>
      </c>
      <c r="E30" s="30">
        <v>29</v>
      </c>
      <c r="F30" s="30">
        <v>6000</v>
      </c>
    </row>
    <row r="31" spans="1:6" x14ac:dyDescent="0.35">
      <c r="A31" s="28">
        <v>30</v>
      </c>
      <c r="B31" s="26">
        <v>40000</v>
      </c>
      <c r="C31" s="28">
        <v>3</v>
      </c>
      <c r="E31" s="30">
        <v>30</v>
      </c>
      <c r="F31" s="30">
        <v>6200</v>
      </c>
    </row>
    <row r="32" spans="1:6" x14ac:dyDescent="0.35">
      <c r="E32" s="30">
        <v>31</v>
      </c>
      <c r="F32" s="30">
        <v>6400</v>
      </c>
    </row>
    <row r="33" spans="5:6" x14ac:dyDescent="0.35">
      <c r="E33" s="30">
        <v>32</v>
      </c>
      <c r="F33" s="30">
        <v>6600</v>
      </c>
    </row>
    <row r="34" spans="5:6" x14ac:dyDescent="0.35">
      <c r="E34" s="30">
        <v>33</v>
      </c>
      <c r="F34" s="30">
        <v>6800</v>
      </c>
    </row>
    <row r="35" spans="5:6" x14ac:dyDescent="0.35">
      <c r="E35" s="30">
        <v>34</v>
      </c>
      <c r="F35" s="30">
        <v>7000</v>
      </c>
    </row>
    <row r="36" spans="5:6" x14ac:dyDescent="0.35">
      <c r="E36" s="30">
        <v>35</v>
      </c>
      <c r="F36" s="30">
        <v>7200</v>
      </c>
    </row>
    <row r="37" spans="5:6" x14ac:dyDescent="0.35">
      <c r="E37" s="30">
        <v>36</v>
      </c>
      <c r="F37" s="30">
        <v>7400</v>
      </c>
    </row>
    <row r="38" spans="5:6" x14ac:dyDescent="0.35">
      <c r="E38" s="30">
        <v>37</v>
      </c>
      <c r="F38" s="30">
        <v>7600</v>
      </c>
    </row>
    <row r="39" spans="5:6" x14ac:dyDescent="0.35">
      <c r="E39" s="30">
        <v>38</v>
      </c>
      <c r="F39" s="30">
        <v>7800</v>
      </c>
    </row>
    <row r="40" spans="5:6" x14ac:dyDescent="0.35">
      <c r="E40" s="30">
        <v>39</v>
      </c>
      <c r="F40" s="30">
        <v>8000</v>
      </c>
    </row>
    <row r="41" spans="5:6" x14ac:dyDescent="0.35">
      <c r="E41" s="30">
        <v>40</v>
      </c>
      <c r="F41" s="30">
        <v>8200</v>
      </c>
    </row>
    <row r="42" spans="5:6" x14ac:dyDescent="0.35">
      <c r="E42" s="30">
        <v>41</v>
      </c>
      <c r="F42" s="30">
        <v>8400</v>
      </c>
    </row>
    <row r="43" spans="5:6" x14ac:dyDescent="0.35">
      <c r="E43" s="30">
        <v>42</v>
      </c>
      <c r="F43" s="30">
        <v>8600</v>
      </c>
    </row>
    <row r="44" spans="5:6" x14ac:dyDescent="0.35">
      <c r="E44" s="30">
        <v>43</v>
      </c>
      <c r="F44" s="30">
        <v>8800</v>
      </c>
    </row>
    <row r="45" spans="5:6" x14ac:dyDescent="0.35">
      <c r="E45" s="30">
        <v>44</v>
      </c>
      <c r="F45" s="30">
        <v>9000</v>
      </c>
    </row>
    <row r="46" spans="5:6" x14ac:dyDescent="0.35">
      <c r="E46" s="30">
        <v>45</v>
      </c>
      <c r="F46" s="30">
        <v>9200</v>
      </c>
    </row>
    <row r="47" spans="5:6" x14ac:dyDescent="0.35">
      <c r="E47" s="30">
        <v>46</v>
      </c>
      <c r="F47" s="30">
        <v>9400</v>
      </c>
    </row>
    <row r="48" spans="5:6" x14ac:dyDescent="0.35">
      <c r="E48" s="30">
        <v>47</v>
      </c>
      <c r="F48" s="30">
        <v>9600</v>
      </c>
    </row>
    <row r="49" spans="5:6" x14ac:dyDescent="0.35">
      <c r="E49" s="30">
        <v>48</v>
      </c>
      <c r="F49" s="30">
        <v>9800</v>
      </c>
    </row>
    <row r="50" spans="5:6" x14ac:dyDescent="0.35">
      <c r="E50" s="30">
        <v>49</v>
      </c>
      <c r="F50" s="30">
        <v>10000</v>
      </c>
    </row>
    <row r="51" spans="5:6" x14ac:dyDescent="0.35">
      <c r="E51" s="30">
        <v>50</v>
      </c>
      <c r="F51" s="30">
        <v>10200</v>
      </c>
    </row>
    <row r="52" spans="5:6" x14ac:dyDescent="0.35">
      <c r="E52" s="30">
        <v>51</v>
      </c>
      <c r="F52" s="30">
        <v>10400</v>
      </c>
    </row>
    <row r="53" spans="5:6" x14ac:dyDescent="0.35">
      <c r="E53" s="30">
        <v>52</v>
      </c>
      <c r="F53" s="30">
        <v>10600</v>
      </c>
    </row>
    <row r="54" spans="5:6" x14ac:dyDescent="0.35">
      <c r="E54" s="30">
        <v>53</v>
      </c>
      <c r="F54" s="30">
        <v>10800</v>
      </c>
    </row>
    <row r="55" spans="5:6" x14ac:dyDescent="0.35">
      <c r="E55" s="30">
        <v>54</v>
      </c>
      <c r="F55" s="30">
        <v>11000</v>
      </c>
    </row>
    <row r="56" spans="5:6" x14ac:dyDescent="0.35">
      <c r="E56" s="30">
        <v>55</v>
      </c>
      <c r="F56" s="30">
        <v>11200</v>
      </c>
    </row>
    <row r="57" spans="5:6" x14ac:dyDescent="0.35">
      <c r="E57" s="30">
        <v>56</v>
      </c>
      <c r="F57" s="30">
        <v>11400</v>
      </c>
    </row>
    <row r="58" spans="5:6" x14ac:dyDescent="0.35">
      <c r="E58" s="30">
        <v>57</v>
      </c>
      <c r="F58" s="30">
        <v>11600</v>
      </c>
    </row>
    <row r="59" spans="5:6" x14ac:dyDescent="0.35">
      <c r="E59" s="30">
        <v>58</v>
      </c>
      <c r="F59" s="30">
        <v>11800</v>
      </c>
    </row>
    <row r="60" spans="5:6" x14ac:dyDescent="0.35">
      <c r="E60" s="30">
        <v>59</v>
      </c>
      <c r="F60" s="30">
        <v>12000</v>
      </c>
    </row>
    <row r="61" spans="5:6" x14ac:dyDescent="0.35">
      <c r="E61" s="30">
        <v>60</v>
      </c>
      <c r="F61" s="30">
        <v>12200</v>
      </c>
    </row>
    <row r="62" spans="5:6" x14ac:dyDescent="0.35">
      <c r="E62" s="30">
        <v>61</v>
      </c>
      <c r="F62" s="30">
        <v>12400</v>
      </c>
    </row>
    <row r="63" spans="5:6" x14ac:dyDescent="0.35">
      <c r="E63" s="30">
        <v>62</v>
      </c>
      <c r="F63" s="30">
        <v>12600</v>
      </c>
    </row>
    <row r="64" spans="5:6" x14ac:dyDescent="0.35">
      <c r="E64" s="30">
        <v>63</v>
      </c>
      <c r="F64" s="30">
        <v>12800</v>
      </c>
    </row>
    <row r="65" spans="5:6" x14ac:dyDescent="0.35">
      <c r="E65" s="30">
        <v>64</v>
      </c>
      <c r="F65" s="30">
        <v>13000</v>
      </c>
    </row>
    <row r="66" spans="5:6" x14ac:dyDescent="0.35">
      <c r="E66" s="30">
        <v>65</v>
      </c>
      <c r="F66" s="30">
        <v>13200</v>
      </c>
    </row>
    <row r="67" spans="5:6" x14ac:dyDescent="0.35">
      <c r="E67" s="30">
        <v>66</v>
      </c>
      <c r="F67" s="30">
        <v>13400</v>
      </c>
    </row>
    <row r="68" spans="5:6" x14ac:dyDescent="0.35">
      <c r="E68" s="30">
        <v>67</v>
      </c>
      <c r="F68" s="30">
        <v>13600</v>
      </c>
    </row>
    <row r="69" spans="5:6" x14ac:dyDescent="0.35">
      <c r="E69" s="30">
        <v>68</v>
      </c>
      <c r="F69" s="30">
        <v>13800</v>
      </c>
    </row>
    <row r="70" spans="5:6" x14ac:dyDescent="0.35">
      <c r="E70" s="30">
        <v>69</v>
      </c>
      <c r="F70" s="30">
        <v>14000</v>
      </c>
    </row>
    <row r="71" spans="5:6" x14ac:dyDescent="0.35">
      <c r="E71" s="30">
        <v>70</v>
      </c>
      <c r="F71" s="30">
        <v>14200</v>
      </c>
    </row>
    <row r="72" spans="5:6" x14ac:dyDescent="0.35">
      <c r="E72" s="30">
        <v>71</v>
      </c>
      <c r="F72" s="30">
        <v>14400</v>
      </c>
    </row>
    <row r="73" spans="5:6" x14ac:dyDescent="0.35">
      <c r="E73" s="30">
        <v>72</v>
      </c>
      <c r="F73" s="30">
        <v>14600</v>
      </c>
    </row>
    <row r="74" spans="5:6" x14ac:dyDescent="0.35">
      <c r="E74" s="30">
        <v>73</v>
      </c>
      <c r="F74" s="30">
        <v>14800</v>
      </c>
    </row>
    <row r="75" spans="5:6" x14ac:dyDescent="0.35">
      <c r="E75" s="30">
        <v>74</v>
      </c>
      <c r="F75" s="30">
        <v>15000</v>
      </c>
    </row>
    <row r="76" spans="5:6" x14ac:dyDescent="0.35">
      <c r="E76" s="30">
        <v>75</v>
      </c>
      <c r="F76" s="30">
        <v>15200</v>
      </c>
    </row>
    <row r="77" spans="5:6" x14ac:dyDescent="0.35">
      <c r="E77" s="30">
        <v>76</v>
      </c>
      <c r="F77" s="30">
        <v>15400</v>
      </c>
    </row>
    <row r="78" spans="5:6" x14ac:dyDescent="0.35">
      <c r="E78" s="30">
        <v>77</v>
      </c>
      <c r="F78" s="30">
        <v>15600</v>
      </c>
    </row>
    <row r="79" spans="5:6" x14ac:dyDescent="0.35">
      <c r="E79" s="30">
        <v>78</v>
      </c>
      <c r="F79" s="30">
        <v>15800</v>
      </c>
    </row>
    <row r="80" spans="5:6" x14ac:dyDescent="0.35">
      <c r="E80" s="30">
        <v>79</v>
      </c>
      <c r="F80" s="30">
        <v>16000</v>
      </c>
    </row>
    <row r="81" spans="5:6" x14ac:dyDescent="0.35">
      <c r="E81" s="30">
        <v>80</v>
      </c>
      <c r="F81" s="30">
        <v>16200</v>
      </c>
    </row>
    <row r="82" spans="5:6" x14ac:dyDescent="0.35">
      <c r="E82" s="30">
        <v>81</v>
      </c>
      <c r="F82" s="30">
        <v>16400</v>
      </c>
    </row>
    <row r="83" spans="5:6" x14ac:dyDescent="0.35">
      <c r="E83" s="30">
        <v>82</v>
      </c>
      <c r="F83" s="30">
        <v>16600</v>
      </c>
    </row>
    <row r="84" spans="5:6" x14ac:dyDescent="0.35">
      <c r="E84" s="30">
        <v>83</v>
      </c>
      <c r="F84" s="30">
        <v>16800</v>
      </c>
    </row>
    <row r="85" spans="5:6" x14ac:dyDescent="0.35">
      <c r="E85" s="30">
        <v>84</v>
      </c>
      <c r="F85" s="30">
        <v>17000</v>
      </c>
    </row>
    <row r="86" spans="5:6" x14ac:dyDescent="0.35">
      <c r="E86" s="30">
        <v>85</v>
      </c>
      <c r="F86" s="30">
        <v>17200</v>
      </c>
    </row>
    <row r="87" spans="5:6" x14ac:dyDescent="0.35">
      <c r="E87" s="30">
        <v>86</v>
      </c>
      <c r="F87" s="30">
        <v>17400</v>
      </c>
    </row>
    <row r="88" spans="5:6" x14ac:dyDescent="0.35">
      <c r="E88" s="30">
        <v>87</v>
      </c>
      <c r="F88" s="30">
        <v>17600</v>
      </c>
    </row>
    <row r="89" spans="5:6" x14ac:dyDescent="0.35">
      <c r="E89" s="30">
        <v>88</v>
      </c>
      <c r="F89" s="30">
        <v>17800</v>
      </c>
    </row>
    <row r="90" spans="5:6" x14ac:dyDescent="0.35">
      <c r="E90" s="30">
        <v>89</v>
      </c>
      <c r="F90" s="30">
        <v>18000</v>
      </c>
    </row>
    <row r="91" spans="5:6" x14ac:dyDescent="0.35">
      <c r="E91" s="30">
        <v>90</v>
      </c>
      <c r="F91" s="30">
        <v>18200</v>
      </c>
    </row>
    <row r="92" spans="5:6" x14ac:dyDescent="0.35">
      <c r="E92" s="30">
        <v>91</v>
      </c>
      <c r="F92" s="30">
        <v>18400</v>
      </c>
    </row>
    <row r="93" spans="5:6" x14ac:dyDescent="0.35">
      <c r="E93" s="30">
        <v>92</v>
      </c>
      <c r="F93" s="30">
        <v>18600</v>
      </c>
    </row>
    <row r="94" spans="5:6" x14ac:dyDescent="0.35">
      <c r="E94" s="30">
        <v>93</v>
      </c>
      <c r="F94" s="30">
        <v>18800</v>
      </c>
    </row>
    <row r="95" spans="5:6" x14ac:dyDescent="0.35">
      <c r="E95" s="30">
        <v>94</v>
      </c>
      <c r="F95" s="30">
        <v>19000</v>
      </c>
    </row>
    <row r="96" spans="5:6" x14ac:dyDescent="0.35">
      <c r="E96" s="30">
        <v>95</v>
      </c>
      <c r="F96" s="30">
        <v>19200</v>
      </c>
    </row>
    <row r="97" spans="5:6" x14ac:dyDescent="0.35">
      <c r="E97" s="30">
        <v>96</v>
      </c>
      <c r="F97" s="30">
        <v>19400</v>
      </c>
    </row>
    <row r="98" spans="5:6" x14ac:dyDescent="0.35">
      <c r="E98" s="30">
        <v>97</v>
      </c>
      <c r="F98" s="30">
        <v>19600</v>
      </c>
    </row>
    <row r="99" spans="5:6" x14ac:dyDescent="0.35">
      <c r="E99" s="30">
        <v>98</v>
      </c>
      <c r="F99" s="30">
        <v>19800</v>
      </c>
    </row>
    <row r="100" spans="5:6" x14ac:dyDescent="0.35">
      <c r="E100" s="30">
        <v>99</v>
      </c>
      <c r="F100" s="30">
        <v>20000</v>
      </c>
    </row>
    <row r="101" spans="5:6" x14ac:dyDescent="0.35">
      <c r="E101" s="30">
        <v>100</v>
      </c>
      <c r="F101" s="30">
        <v>20200</v>
      </c>
    </row>
    <row r="102" spans="5:6" x14ac:dyDescent="0.35">
      <c r="E102" s="30">
        <v>101</v>
      </c>
      <c r="F102" s="30">
        <v>20400</v>
      </c>
    </row>
    <row r="103" spans="5:6" x14ac:dyDescent="0.35">
      <c r="E103" s="30">
        <v>102</v>
      </c>
      <c r="F103" s="30">
        <v>20600</v>
      </c>
    </row>
    <row r="104" spans="5:6" x14ac:dyDescent="0.35">
      <c r="E104" s="30">
        <v>103</v>
      </c>
      <c r="F104" s="30">
        <v>20800</v>
      </c>
    </row>
    <row r="105" spans="5:6" x14ac:dyDescent="0.35">
      <c r="E105" s="30">
        <v>104</v>
      </c>
      <c r="F105" s="30">
        <v>21000</v>
      </c>
    </row>
    <row r="106" spans="5:6" x14ac:dyDescent="0.35">
      <c r="E106" s="30">
        <v>105</v>
      </c>
      <c r="F106" s="30">
        <v>21200</v>
      </c>
    </row>
    <row r="107" spans="5:6" x14ac:dyDescent="0.35">
      <c r="E107" s="30">
        <v>106</v>
      </c>
      <c r="F107" s="30">
        <v>21400</v>
      </c>
    </row>
    <row r="108" spans="5:6" x14ac:dyDescent="0.35">
      <c r="E108" s="30">
        <v>107</v>
      </c>
      <c r="F108" s="30">
        <v>21600</v>
      </c>
    </row>
    <row r="109" spans="5:6" x14ac:dyDescent="0.35">
      <c r="E109" s="30">
        <v>108</v>
      </c>
      <c r="F109" s="30">
        <v>21800</v>
      </c>
    </row>
    <row r="110" spans="5:6" x14ac:dyDescent="0.35">
      <c r="E110" s="30">
        <v>109</v>
      </c>
      <c r="F110" s="30">
        <v>22000</v>
      </c>
    </row>
    <row r="111" spans="5:6" x14ac:dyDescent="0.35">
      <c r="E111" s="30">
        <v>110</v>
      </c>
      <c r="F111" s="30">
        <v>22200</v>
      </c>
    </row>
    <row r="112" spans="5:6" x14ac:dyDescent="0.35">
      <c r="E112" s="30">
        <v>111</v>
      </c>
      <c r="F112" s="30">
        <v>22400</v>
      </c>
    </row>
    <row r="113" spans="5:6" x14ac:dyDescent="0.35">
      <c r="E113" s="30">
        <v>112</v>
      </c>
      <c r="F113" s="30">
        <v>22600</v>
      </c>
    </row>
    <row r="114" spans="5:6" x14ac:dyDescent="0.35">
      <c r="E114" s="30">
        <v>113</v>
      </c>
      <c r="F114" s="30">
        <v>22800</v>
      </c>
    </row>
    <row r="115" spans="5:6" x14ac:dyDescent="0.35">
      <c r="E115" s="30">
        <v>114</v>
      </c>
      <c r="F115" s="30">
        <v>23000</v>
      </c>
    </row>
    <row r="116" spans="5:6" x14ac:dyDescent="0.35">
      <c r="E116" s="30">
        <v>115</v>
      </c>
      <c r="F116" s="30">
        <v>23200</v>
      </c>
    </row>
    <row r="117" spans="5:6" x14ac:dyDescent="0.35">
      <c r="E117" s="30">
        <v>116</v>
      </c>
      <c r="F117" s="30">
        <v>23400</v>
      </c>
    </row>
    <row r="118" spans="5:6" x14ac:dyDescent="0.35">
      <c r="E118" s="30">
        <v>117</v>
      </c>
      <c r="F118" s="30">
        <v>23600</v>
      </c>
    </row>
    <row r="119" spans="5:6" x14ac:dyDescent="0.35">
      <c r="E119" s="30">
        <v>118</v>
      </c>
      <c r="F119" s="30">
        <v>23800</v>
      </c>
    </row>
    <row r="120" spans="5:6" x14ac:dyDescent="0.35">
      <c r="E120" s="30">
        <v>119</v>
      </c>
      <c r="F120" s="30">
        <v>24000</v>
      </c>
    </row>
    <row r="121" spans="5:6" x14ac:dyDescent="0.35">
      <c r="E121" s="30">
        <v>120</v>
      </c>
      <c r="F121" s="30">
        <v>24200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B761-A814-4F35-811A-ABCC2968D778}">
  <dimension ref="A1:I15"/>
  <sheetViews>
    <sheetView zoomScale="115" zoomScaleNormal="115" workbookViewId="0">
      <selection activeCell="B23" sqref="B23"/>
    </sheetView>
  </sheetViews>
  <sheetFormatPr defaultColWidth="27.42578125" defaultRowHeight="14.15" x14ac:dyDescent="0.35"/>
  <cols>
    <col min="1" max="16384" width="27.42578125" style="4"/>
  </cols>
  <sheetData>
    <row r="1" spans="1:9" ht="16.3" x14ac:dyDescent="0.35">
      <c r="A1" s="1" t="s">
        <v>22</v>
      </c>
    </row>
    <row r="2" spans="1:9" x14ac:dyDescent="0.35">
      <c r="A2" s="13" t="s">
        <v>23</v>
      </c>
      <c r="B2" s="12" t="s">
        <v>24</v>
      </c>
      <c r="C2" s="12" t="s">
        <v>25</v>
      </c>
      <c r="D2" s="12" t="s">
        <v>26</v>
      </c>
      <c r="E2" s="12" t="s">
        <v>27</v>
      </c>
      <c r="F2" s="12" t="s">
        <v>28</v>
      </c>
      <c r="G2" s="6" t="s">
        <v>29</v>
      </c>
      <c r="H2" s="12" t="s">
        <v>52</v>
      </c>
      <c r="I2" s="12" t="s">
        <v>57</v>
      </c>
    </row>
    <row r="3" spans="1:9" x14ac:dyDescent="0.35">
      <c r="A3" s="13" t="s">
        <v>56</v>
      </c>
      <c r="B3" s="12" t="s">
        <v>30</v>
      </c>
      <c r="C3" s="12" t="s">
        <v>31</v>
      </c>
      <c r="D3" s="12" t="s">
        <v>32</v>
      </c>
      <c r="E3" s="12" t="s">
        <v>33</v>
      </c>
      <c r="F3" s="12" t="s">
        <v>34</v>
      </c>
      <c r="G3" s="6" t="s">
        <v>35</v>
      </c>
      <c r="H3" s="12" t="s">
        <v>53</v>
      </c>
      <c r="I3" s="12" t="s">
        <v>58</v>
      </c>
    </row>
    <row r="4" spans="1:9" x14ac:dyDescent="0.35">
      <c r="A4" s="3" t="s">
        <v>38</v>
      </c>
      <c r="B4" s="4">
        <v>1</v>
      </c>
      <c r="C4" s="4" t="s">
        <v>157</v>
      </c>
      <c r="E4" s="3" t="s">
        <v>146</v>
      </c>
      <c r="F4" s="3" t="s">
        <v>151</v>
      </c>
      <c r="H4" s="34" t="s">
        <v>54</v>
      </c>
      <c r="I4" s="3" t="s">
        <v>161</v>
      </c>
    </row>
    <row r="5" spans="1:9" x14ac:dyDescent="0.35">
      <c r="A5" s="3" t="s">
        <v>42</v>
      </c>
      <c r="B5" s="4">
        <v>1</v>
      </c>
      <c r="C5" s="4" t="s">
        <v>156</v>
      </c>
      <c r="E5" s="3" t="s">
        <v>146</v>
      </c>
      <c r="F5" s="3" t="s">
        <v>148</v>
      </c>
      <c r="H5" s="34" t="s">
        <v>54</v>
      </c>
      <c r="I5" s="3" t="s">
        <v>161</v>
      </c>
    </row>
    <row r="6" spans="1:9" x14ac:dyDescent="0.35">
      <c r="A6" s="3" t="s">
        <v>36</v>
      </c>
      <c r="C6" s="4" t="s">
        <v>154</v>
      </c>
      <c r="E6" s="3" t="s">
        <v>146</v>
      </c>
      <c r="F6" s="3" t="s">
        <v>147</v>
      </c>
      <c r="H6" s="33" t="s">
        <v>55</v>
      </c>
      <c r="I6" s="3" t="s">
        <v>161</v>
      </c>
    </row>
    <row r="7" spans="1:9" x14ac:dyDescent="0.35">
      <c r="A7" s="3" t="s">
        <v>37</v>
      </c>
      <c r="B7" s="4">
        <v>1</v>
      </c>
      <c r="C7" s="4" t="s">
        <v>155</v>
      </c>
      <c r="E7" s="3" t="s">
        <v>146</v>
      </c>
      <c r="F7" s="3" t="s">
        <v>153</v>
      </c>
      <c r="H7" s="33" t="s">
        <v>55</v>
      </c>
      <c r="I7" s="3" t="s">
        <v>161</v>
      </c>
    </row>
    <row r="8" spans="1:9" x14ac:dyDescent="0.35">
      <c r="A8" s="3" t="s">
        <v>39</v>
      </c>
      <c r="C8" s="4" t="s">
        <v>158</v>
      </c>
      <c r="E8" s="3" t="s">
        <v>146</v>
      </c>
      <c r="F8" s="3" t="s">
        <v>149</v>
      </c>
      <c r="H8" s="33" t="s">
        <v>55</v>
      </c>
      <c r="I8" s="3" t="s">
        <v>161</v>
      </c>
    </row>
    <row r="9" spans="1:9" x14ac:dyDescent="0.35">
      <c r="A9" s="3" t="s">
        <v>41</v>
      </c>
      <c r="C9" s="4" t="s">
        <v>160</v>
      </c>
      <c r="E9" s="3" t="s">
        <v>146</v>
      </c>
      <c r="F9" s="3" t="s">
        <v>152</v>
      </c>
      <c r="H9" s="33" t="s">
        <v>55</v>
      </c>
      <c r="I9" s="3" t="s">
        <v>162</v>
      </c>
    </row>
    <row r="10" spans="1:9" x14ac:dyDescent="0.35">
      <c r="A10" s="3" t="s">
        <v>40</v>
      </c>
      <c r="B10" s="4">
        <v>1</v>
      </c>
      <c r="C10" s="4" t="s">
        <v>159</v>
      </c>
      <c r="E10" s="3" t="s">
        <v>146</v>
      </c>
      <c r="F10" s="3" t="s">
        <v>150</v>
      </c>
      <c r="H10" s="33" t="s">
        <v>55</v>
      </c>
      <c r="I10" s="3" t="s">
        <v>161</v>
      </c>
    </row>
    <row r="11" spans="1:9" x14ac:dyDescent="0.35">
      <c r="G11" s="34"/>
      <c r="I11" s="3"/>
    </row>
    <row r="12" spans="1:9" x14ac:dyDescent="0.35">
      <c r="I12" s="3"/>
    </row>
    <row r="13" spans="1:9" x14ac:dyDescent="0.35">
      <c r="I13" s="3"/>
    </row>
    <row r="14" spans="1:9" x14ac:dyDescent="0.35">
      <c r="I14" s="3"/>
    </row>
    <row r="15" spans="1:9" x14ac:dyDescent="0.35">
      <c r="I15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CE99-8FCE-4BCE-9599-BC47DCBB0813}">
  <dimension ref="A1:D33"/>
  <sheetViews>
    <sheetView tabSelected="1" workbookViewId="0">
      <selection activeCell="B18" sqref="B18"/>
    </sheetView>
  </sheetViews>
  <sheetFormatPr defaultColWidth="31.640625" defaultRowHeight="14.15" x14ac:dyDescent="0.35"/>
  <sheetData>
    <row r="1" spans="1:4" ht="16.3" x14ac:dyDescent="0.35">
      <c r="A1" s="1" t="s">
        <v>43</v>
      </c>
    </row>
    <row r="2" spans="1:4" x14ac:dyDescent="0.35">
      <c r="A2" s="5" t="s">
        <v>44</v>
      </c>
      <c r="B2" s="5" t="s">
        <v>48</v>
      </c>
      <c r="C2" s="6" t="s">
        <v>47</v>
      </c>
      <c r="D2" s="6" t="s">
        <v>46</v>
      </c>
    </row>
    <row r="3" spans="1:4" x14ac:dyDescent="0.35">
      <c r="A3" s="5" t="s">
        <v>0</v>
      </c>
      <c r="B3" s="5" t="s">
        <v>50</v>
      </c>
      <c r="C3" s="6" t="s">
        <v>49</v>
      </c>
      <c r="D3" s="6" t="s">
        <v>45</v>
      </c>
    </row>
    <row r="4" spans="1:4" x14ac:dyDescent="0.35">
      <c r="A4" s="4">
        <v>1</v>
      </c>
      <c r="B4" s="4">
        <v>0.3</v>
      </c>
      <c r="C4" s="7"/>
      <c r="D4" s="7"/>
    </row>
    <row r="5" spans="1:4" ht="16.3" x14ac:dyDescent="0.35">
      <c r="A5" s="1">
        <v>2</v>
      </c>
      <c r="B5" s="4">
        <v>0.3</v>
      </c>
      <c r="C5" s="7"/>
      <c r="D5" s="7"/>
    </row>
    <row r="6" spans="1:4" ht="16.3" x14ac:dyDescent="0.35">
      <c r="A6" s="1">
        <v>3</v>
      </c>
      <c r="B6" s="4">
        <v>0.3</v>
      </c>
      <c r="C6" s="7"/>
      <c r="D6" s="7"/>
    </row>
    <row r="7" spans="1:4" ht="16.3" x14ac:dyDescent="0.35">
      <c r="A7" s="1">
        <v>4</v>
      </c>
      <c r="B7" s="4">
        <v>0.3</v>
      </c>
      <c r="C7" s="7"/>
      <c r="D7" s="7"/>
    </row>
    <row r="8" spans="1:4" ht="16.3" x14ac:dyDescent="0.35">
      <c r="A8" s="1">
        <v>5</v>
      </c>
      <c r="B8" s="4">
        <v>0.3</v>
      </c>
      <c r="C8" s="7"/>
      <c r="D8" s="7"/>
    </row>
    <row r="9" spans="1:4" ht="16.3" x14ac:dyDescent="0.35">
      <c r="A9" s="1">
        <v>6</v>
      </c>
      <c r="B9" s="4">
        <v>0.3</v>
      </c>
      <c r="C9" s="7"/>
      <c r="D9" s="7"/>
    </row>
    <row r="10" spans="1:4" ht="16.3" x14ac:dyDescent="0.35">
      <c r="A10" s="1">
        <v>7</v>
      </c>
      <c r="B10" s="4">
        <v>0.3</v>
      </c>
      <c r="C10" s="7"/>
      <c r="D10" s="7"/>
    </row>
    <row r="11" spans="1:4" ht="16.3" x14ac:dyDescent="0.35">
      <c r="A11" s="1">
        <v>8</v>
      </c>
      <c r="B11" s="4">
        <v>0.3</v>
      </c>
      <c r="C11" s="7"/>
      <c r="D11" s="7"/>
    </row>
    <row r="12" spans="1:4" ht="16.3" x14ac:dyDescent="0.35">
      <c r="A12" s="1">
        <v>9</v>
      </c>
      <c r="B12" s="4">
        <v>0.3</v>
      </c>
      <c r="C12" s="7"/>
      <c r="D12" s="7"/>
    </row>
    <row r="13" spans="1:4" ht="16.3" x14ac:dyDescent="0.35">
      <c r="A13" s="1">
        <v>10</v>
      </c>
      <c r="B13" s="4">
        <v>0.3</v>
      </c>
      <c r="C13" s="7"/>
      <c r="D13" s="7"/>
    </row>
    <row r="14" spans="1:4" ht="16.3" x14ac:dyDescent="0.35">
      <c r="A14" s="1">
        <v>11</v>
      </c>
      <c r="B14" s="4">
        <v>0.3</v>
      </c>
      <c r="C14" s="7"/>
      <c r="D14" s="7"/>
    </row>
    <row r="15" spans="1:4" ht="16.3" x14ac:dyDescent="0.35">
      <c r="A15" s="1">
        <v>12</v>
      </c>
      <c r="B15" s="4">
        <v>0.3</v>
      </c>
      <c r="C15" s="7"/>
      <c r="D15" s="7"/>
    </row>
    <row r="16" spans="1:4" ht="16.3" x14ac:dyDescent="0.35">
      <c r="A16" s="1">
        <v>13</v>
      </c>
      <c r="B16" s="4">
        <v>0.3</v>
      </c>
      <c r="C16" s="7"/>
      <c r="D16" s="7"/>
    </row>
    <row r="17" spans="1:4" ht="16.3" x14ac:dyDescent="0.35">
      <c r="A17" s="1">
        <v>14</v>
      </c>
      <c r="B17" s="4">
        <v>0.3</v>
      </c>
      <c r="C17" s="7"/>
      <c r="D17" s="7"/>
    </row>
    <row r="18" spans="1:4" ht="16.3" x14ac:dyDescent="0.35">
      <c r="A18" s="1">
        <v>15</v>
      </c>
      <c r="B18" s="4">
        <v>0.3</v>
      </c>
      <c r="C18" s="7"/>
      <c r="D18" s="7"/>
    </row>
    <row r="19" spans="1:4" ht="16.3" x14ac:dyDescent="0.35">
      <c r="A19" s="1">
        <v>16</v>
      </c>
      <c r="B19" s="4">
        <v>0.3</v>
      </c>
      <c r="C19" s="7"/>
      <c r="D19" s="7"/>
    </row>
    <row r="20" spans="1:4" ht="16.3" x14ac:dyDescent="0.35">
      <c r="A20" s="1">
        <v>17</v>
      </c>
      <c r="B20" s="4">
        <v>0.3</v>
      </c>
      <c r="C20" s="7"/>
      <c r="D20" s="7"/>
    </row>
    <row r="21" spans="1:4" ht="16.3" x14ac:dyDescent="0.35">
      <c r="A21" s="1">
        <v>18</v>
      </c>
      <c r="B21" s="4">
        <v>0.3</v>
      </c>
      <c r="C21" s="7"/>
      <c r="D21" s="7"/>
    </row>
    <row r="22" spans="1:4" ht="16.3" x14ac:dyDescent="0.35">
      <c r="A22" s="1">
        <v>19</v>
      </c>
      <c r="B22" s="4">
        <v>0.3</v>
      </c>
      <c r="C22" s="7"/>
      <c r="D22" s="7"/>
    </row>
    <row r="23" spans="1:4" ht="16.3" x14ac:dyDescent="0.35">
      <c r="A23" s="1">
        <v>20</v>
      </c>
      <c r="B23" s="4">
        <v>0.3</v>
      </c>
      <c r="C23" s="7"/>
      <c r="D23" s="7"/>
    </row>
    <row r="24" spans="1:4" ht="16.3" x14ac:dyDescent="0.35">
      <c r="A24" s="1">
        <v>21</v>
      </c>
      <c r="B24" s="4">
        <v>0.3</v>
      </c>
      <c r="C24" s="7"/>
      <c r="D24" s="7"/>
    </row>
    <row r="25" spans="1:4" ht="16.3" x14ac:dyDescent="0.35">
      <c r="A25" s="1">
        <v>22</v>
      </c>
      <c r="B25" s="4">
        <v>0.3</v>
      </c>
      <c r="C25" s="7"/>
      <c r="D25" s="7"/>
    </row>
    <row r="26" spans="1:4" ht="16.3" x14ac:dyDescent="0.35">
      <c r="A26" s="1">
        <v>23</v>
      </c>
      <c r="B26" s="4">
        <v>0.3</v>
      </c>
      <c r="C26" s="7"/>
      <c r="D26" s="7"/>
    </row>
    <row r="27" spans="1:4" ht="16.3" x14ac:dyDescent="0.35">
      <c r="A27" s="1">
        <v>24</v>
      </c>
      <c r="B27" s="4">
        <v>0.3</v>
      </c>
      <c r="C27" s="7"/>
      <c r="D27" s="7"/>
    </row>
    <row r="28" spans="1:4" ht="16.3" x14ac:dyDescent="0.35">
      <c r="A28" s="1">
        <v>25</v>
      </c>
      <c r="B28" s="4">
        <v>0.3</v>
      </c>
      <c r="C28" s="7"/>
      <c r="D28" s="7"/>
    </row>
    <row r="29" spans="1:4" ht="16.3" x14ac:dyDescent="0.35">
      <c r="A29" s="1">
        <v>26</v>
      </c>
      <c r="B29" s="4">
        <v>0.3</v>
      </c>
      <c r="C29" s="7"/>
      <c r="D29" s="7"/>
    </row>
    <row r="30" spans="1:4" ht="16.3" x14ac:dyDescent="0.35">
      <c r="A30" s="1">
        <v>27</v>
      </c>
      <c r="B30" s="4">
        <v>0.3</v>
      </c>
      <c r="C30" s="7"/>
      <c r="D30" s="7"/>
    </row>
    <row r="31" spans="1:4" ht="16.3" x14ac:dyDescent="0.35">
      <c r="A31" s="1">
        <v>28</v>
      </c>
      <c r="B31" s="4">
        <v>0.3</v>
      </c>
      <c r="C31" s="7"/>
      <c r="D31" s="7"/>
    </row>
    <row r="32" spans="1:4" ht="16.3" x14ac:dyDescent="0.35">
      <c r="A32" s="1">
        <v>29</v>
      </c>
      <c r="B32" s="4">
        <v>0.3</v>
      </c>
      <c r="C32" s="7"/>
      <c r="D32" s="7"/>
    </row>
    <row r="33" spans="1:4" ht="16.3" x14ac:dyDescent="0.35">
      <c r="A33" s="1">
        <v>30</v>
      </c>
      <c r="B33" s="4">
        <v>0.3</v>
      </c>
      <c r="C33" s="7"/>
      <c r="D3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战力推荐参数</vt:lpstr>
      <vt:lpstr>#现网数据参考</vt:lpstr>
      <vt:lpstr>#出征索引</vt:lpstr>
      <vt:lpstr>触发逻辑表</vt:lpstr>
      <vt:lpstr>战力系数表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afengjiang(江枫)</dc:creator>
  <cp:lastModifiedBy>T189342</cp:lastModifiedBy>
  <dcterms:created xsi:type="dcterms:W3CDTF">2015-06-05T18:19:00Z</dcterms:created>
  <dcterms:modified xsi:type="dcterms:W3CDTF">2024-12-23T02:29:27Z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D04BCC50F7764C0D9DE66471914723AD_12</vt:lpwstr>
  </property>
  <property fmtid="{D5CDD505-2E9C-101B-9397-08002B2CF9AE}" pid="3" name="KSOProductBuildVer">
    <vt:lpwstr>2052-12.1.0.16929</vt:lpwstr>
  </property>
</Properties>
</file>