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AABBA03C-A632-429B-8D17-C2041A2968B4}" xr6:coauthVersionLast="47" xr6:coauthVersionMax="47" xr10:uidLastSave="{00000000-0000-0000-0000-000000000000}"/>
  <bookViews>
    <workbookView xWindow="42260" yWindow="4300" windowWidth="30100" windowHeight="14150" tabRatio="695" activeTab="1" xr2:uid="{00000000-000D-0000-FFFF-FFFF00000000}"/>
  </bookViews>
  <sheets>
    <sheet name="英雄重置CD" sheetId="1" r:id="rId1"/>
    <sheet name="技能重置CD" sheetId="2" r:id="rId2"/>
    <sheet name="#TID_base_up" sheetId="3" r:id="rId3"/>
  </sheets>
  <externalReferences>
    <externalReference r:id="rId4"/>
    <externalReference r:id="rId5"/>
    <externalReference r:id="rId6"/>
  </externalReferences>
  <definedNames>
    <definedName name="skilldatabase">'[1]数据库-技能'!$A$3:$K$129</definedName>
    <definedName name="t2k">#REF!</definedName>
    <definedName name="TalentId2Des">[2]天赋表!$A$2:$C$24</definedName>
    <definedName name="英雄战力系数">'[3]总规|战力'!$C$8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5" i="2"/>
  <c r="E4" i="2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<sst xmlns="http://schemas.openxmlformats.org/spreadsheetml/2006/main" count="27" uniqueCount="16">
  <si>
    <t>convert(ResHero.proto, table_HeroResetCdConf, HeroResetCdConf.pbin)</t>
  </si>
  <si>
    <t>ID</t>
  </si>
  <si>
    <t>重置次数</t>
  </si>
  <si>
    <t>使用后CD时间（秒）</t>
  </si>
  <si>
    <t>id</t>
  </si>
  <si>
    <t>resetCnt</t>
  </si>
  <si>
    <t>cdTime</t>
  </si>
  <si>
    <t>2h</t>
  </si>
  <si>
    <t>12h</t>
  </si>
  <si>
    <t>1D</t>
  </si>
  <si>
    <t>2D</t>
  </si>
  <si>
    <t>5D</t>
  </si>
  <si>
    <t>convert(ResHero.proto, table_SkillResetCdConf, SkillResetCdConf.pbin)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</si>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</sst>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charset val="134"/>
    </font>
    <font>
      <sz val="11"/>
      <color indexed="8"/>
      <name val="等线"/>
      <family val="3"/>
      <charset val="134"/>
    </font>
    <font>
      <sz val="9"/>
      <name val="等线"/>
      <family val="3"/>
      <charset val="134"/>
    </font>
    <font>
      <sz val="11"/>
      <color rgb="FFFFFF00"/>
      <name val="等线"/>
      <family val="3"/>
      <charset val="134"/>
    </font>
    <font>
      <b/>
      <sz val="11"/>
      <color indexed="8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 applyAlignment="1"/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0" fillId="2" borderId="1" xfId="0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2167eab1f9dd5292\Documents\20211227-&#33521;&#38596;&#25968;&#25454;&#2421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2167eab1f9dd5292\Documents\1115&#20020;&#26102;&#22825;&#36171;&#35774;&#3574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EOMobile_proj/document/Designer/&#31574;&#21010;&#25991;&#26723;/&#25968;&#20540;&#31995;&#32479;/&#32463;&#27982;&#25968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单个英雄-基础"/>
      <sheetName val="英雄"/>
      <sheetName val="阵容搭配"/>
      <sheetName val="技能"/>
      <sheetName val="单个技能 - 主将技"/>
      <sheetName val="单个技能j-固有技能"/>
      <sheetName val="单个技能 - 装配技能"/>
      <sheetName val="一分钟英雄"/>
      <sheetName val="#数据库"/>
      <sheetName val="数据库-技能"/>
      <sheetName val="数据-英雄"/>
      <sheetName val="1227阵容"/>
      <sheetName val="1227阵容meta"/>
      <sheetName val="阵容database"/>
      <sheetName val="Skill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天赋消耗计算"/>
      <sheetName val="1115天赋设计"/>
      <sheetName val="3级天赋"/>
      <sheetName val="5级天赋"/>
      <sheetName val="6级天赋"/>
      <sheetName val="7级天赋"/>
      <sheetName val="8级天赋"/>
      <sheetName val="配置表"/>
      <sheetName val="天赋表"/>
      <sheetName val="参考"/>
      <sheetName val="Sheet8"/>
      <sheetName val="Sheet1"/>
      <sheetName val="三战参考"/>
      <sheetName val="Sheet2"/>
      <sheetName val="Sheet3"/>
      <sheetName val="LOL参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录"/>
      <sheetName val="总规|模块"/>
      <sheetName val="总规|成长"/>
      <sheetName val="总规|成长树"/>
      <sheetName val="总规|产出"/>
      <sheetName val="总规|资源"/>
      <sheetName val="总规|定价"/>
      <sheetName val="总规|bf分类"/>
      <sheetName val="总规|bf列表"/>
      <sheetName val="总规|战力"/>
      <sheetName val="总规|活跃"/>
      <sheetName val="规|建筑"/>
      <sheetName val="规|科技"/>
      <sheetName val="规|文明"/>
      <sheetName val="规|领主"/>
      <sheetName val="规|装备"/>
      <sheetName val="规|联盟"/>
      <sheetName val="规|英雄"/>
      <sheetName val="消|建筑"/>
      <sheetName val="消|建科"/>
      <sheetName val="消|科技"/>
      <sheetName val="消|时代"/>
      <sheetName val="消|部队"/>
      <sheetName val="消|弹药"/>
      <sheetName val="消|领主"/>
      <sheetName val="消|英雄"/>
      <sheetName val="消|联盟"/>
      <sheetName val="消|装备"/>
      <sheetName val="产|生产"/>
      <sheetName val="产|采集"/>
      <sheetName val="产|野怪"/>
      <sheetName val="产|活跃度"/>
      <sheetName val="产|领主"/>
      <sheetName val="产|云游"/>
      <sheetName val="产|联盟"/>
      <sheetName val="产|AI"/>
      <sheetName val="产|迷雾"/>
      <sheetName val="活|商城"/>
      <sheetName val="活|VIP"/>
      <sheetName val="活|签到"/>
      <sheetName val="统|产消(新手)"/>
      <sheetName val="统|产消(首日)"/>
      <sheetName val="统|产消(首月)"/>
      <sheetName val="士兵表"/>
      <sheetName val="统|成长(首月)"/>
      <sheetName val="测试用例"/>
      <sheetName val="总规|横向消耗"/>
      <sheetName val="总规|纵向消耗"/>
      <sheetName val="总规|bf"/>
      <sheetName val="总规|bf性价比"/>
      <sheetName val="消&amp;bf|建筑"/>
      <sheetName val="消&amp;bf|建科"/>
      <sheetName val="消&amp;bf|科技"/>
      <sheetName val="消|城墙"/>
      <sheetName val="bf|领主"/>
      <sheetName val="bf|英雄"/>
      <sheetName val="bf|装备"/>
      <sheetName val="bf|联盟"/>
      <sheetName val="bf|VIP"/>
      <sheetName val="bf|签到"/>
      <sheetName val="产|内采"/>
      <sheetName val="产|外采"/>
      <sheetName val="产|码头"/>
      <sheetName val="产|VIP"/>
      <sheetName val="产|商店"/>
      <sheetName val="产|活动"/>
      <sheetName val="产|一次性"/>
      <sheetName val="活|7天"/>
      <sheetName val="统|bf列表"/>
      <sheetName val="统|产出"/>
      <sheetName val="统|消耗"/>
      <sheetName val="统|战力"/>
      <sheetName val="统|成长"/>
      <sheetName val="轻测"/>
      <sheetName val="新手"/>
      <sheetName val="活|帝王路"/>
      <sheetName val="统|成长(天)"/>
      <sheetName val="统|成长(新手)"/>
      <sheetName val="统|成长(首日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D16" sqref="D16"/>
    </sheetView>
  </sheetViews>
  <sheetFormatPr defaultRowHeight="14" x14ac:dyDescent="0.3"/>
  <cols>
    <col min="1" max="1" width="5.75" style="4" customWidth="1"/>
    <col min="2" max="2" width="14.6640625" style="4" customWidth="1"/>
    <col min="3" max="3" width="23.33203125" style="4" customWidth="1"/>
  </cols>
  <sheetData>
    <row r="1" spans="1:9" x14ac:dyDescent="0.3">
      <c r="A1" s="3" t="s">
        <v>0</v>
      </c>
    </row>
    <row r="2" spans="1:9" x14ac:dyDescent="0.3">
      <c r="A2" s="1" t="s">
        <v>1</v>
      </c>
      <c r="B2" s="1" t="s">
        <v>2</v>
      </c>
      <c r="C2" s="1" t="s">
        <v>3</v>
      </c>
    </row>
    <row r="3" spans="1:9" x14ac:dyDescent="0.3">
      <c r="A3" s="2" t="s">
        <v>4</v>
      </c>
      <c r="B3" s="2" t="s">
        <v>5</v>
      </c>
      <c r="C3" s="2" t="s">
        <v>6</v>
      </c>
    </row>
    <row r="4" spans="1:9" x14ac:dyDescent="0.3">
      <c r="A4" s="5">
        <v>1</v>
      </c>
      <c r="B4" s="5">
        <v>1</v>
      </c>
      <c r="C4" s="5">
        <v>7200</v>
      </c>
      <c r="D4" s="6" t="s">
        <v>7</v>
      </c>
      <c r="E4" s="7">
        <f>F4*G4*H4</f>
        <v>7200</v>
      </c>
      <c r="F4" s="5">
        <v>2</v>
      </c>
      <c r="G4" s="5">
        <v>60</v>
      </c>
      <c r="H4" s="5">
        <v>60</v>
      </c>
      <c r="I4" s="8"/>
    </row>
    <row r="5" spans="1:9" x14ac:dyDescent="0.3">
      <c r="A5" s="5">
        <v>2</v>
      </c>
      <c r="B5" s="5">
        <v>2</v>
      </c>
      <c r="C5" s="5">
        <v>7200</v>
      </c>
      <c r="D5" s="6" t="s">
        <v>7</v>
      </c>
      <c r="E5" s="7">
        <f>F5*G5*H5</f>
        <v>7200</v>
      </c>
      <c r="F5" s="5">
        <v>2</v>
      </c>
      <c r="G5" s="5">
        <v>60</v>
      </c>
      <c r="H5" s="5">
        <v>60</v>
      </c>
      <c r="I5" s="8"/>
    </row>
    <row r="6" spans="1:9" x14ac:dyDescent="0.3">
      <c r="A6" s="5">
        <v>3</v>
      </c>
      <c r="B6" s="5">
        <v>3</v>
      </c>
      <c r="C6" s="5">
        <v>7200</v>
      </c>
      <c r="D6" s="6" t="s">
        <v>7</v>
      </c>
      <c r="E6" s="7">
        <f>F6*G6*H6</f>
        <v>7200</v>
      </c>
      <c r="F6" s="5">
        <v>2</v>
      </c>
      <c r="G6" s="5">
        <v>60</v>
      </c>
      <c r="H6" s="5">
        <v>60</v>
      </c>
      <c r="I6" s="8"/>
    </row>
    <row r="7" spans="1:9" x14ac:dyDescent="0.3">
      <c r="A7" s="5">
        <v>4</v>
      </c>
      <c r="B7" s="5">
        <v>4</v>
      </c>
      <c r="C7" s="5">
        <v>43200</v>
      </c>
      <c r="D7" s="6" t="s">
        <v>8</v>
      </c>
      <c r="E7" s="7">
        <f>F7*G7*H7</f>
        <v>43200</v>
      </c>
      <c r="F7" s="5">
        <v>12</v>
      </c>
      <c r="G7" s="5">
        <v>60</v>
      </c>
      <c r="H7" s="5">
        <v>60</v>
      </c>
      <c r="I7" s="5"/>
    </row>
    <row r="8" spans="1:9" x14ac:dyDescent="0.3">
      <c r="A8" s="5">
        <v>5</v>
      </c>
      <c r="B8" s="5">
        <v>5</v>
      </c>
      <c r="C8" s="5">
        <v>86400</v>
      </c>
      <c r="D8" s="9" t="s">
        <v>9</v>
      </c>
      <c r="E8" s="7">
        <f>F8*G8*H8*I8</f>
        <v>86400</v>
      </c>
      <c r="F8" s="5">
        <v>24</v>
      </c>
      <c r="G8" s="5">
        <v>60</v>
      </c>
      <c r="H8" s="5">
        <v>60</v>
      </c>
      <c r="I8" s="5">
        <v>1</v>
      </c>
    </row>
    <row r="9" spans="1:9" x14ac:dyDescent="0.3">
      <c r="A9" s="5">
        <v>6</v>
      </c>
      <c r="B9" s="5">
        <v>6</v>
      </c>
      <c r="C9" s="5">
        <v>172800</v>
      </c>
      <c r="D9" s="6" t="s">
        <v>10</v>
      </c>
      <c r="E9" s="7">
        <f>F9*G9*H9*I9</f>
        <v>172800</v>
      </c>
      <c r="F9" s="5">
        <v>24</v>
      </c>
      <c r="G9" s="5">
        <v>60</v>
      </c>
      <c r="H9" s="5">
        <v>60</v>
      </c>
      <c r="I9" s="5">
        <v>2</v>
      </c>
    </row>
    <row r="10" spans="1:9" x14ac:dyDescent="0.3">
      <c r="A10" s="5">
        <v>7</v>
      </c>
      <c r="B10" s="5">
        <v>7</v>
      </c>
      <c r="C10" s="5">
        <v>432000</v>
      </c>
      <c r="D10" s="6" t="s">
        <v>11</v>
      </c>
      <c r="E10" s="7">
        <f>F10*G10*H10*I10</f>
        <v>432000</v>
      </c>
      <c r="F10" s="5">
        <v>24</v>
      </c>
      <c r="G10" s="5">
        <v>60</v>
      </c>
      <c r="H10" s="5">
        <v>60</v>
      </c>
      <c r="I10" s="5">
        <v>5</v>
      </c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tabSelected="1" workbookViewId="0">
      <selection activeCell="M20" sqref="M20"/>
    </sheetView>
  </sheetViews>
  <sheetFormatPr defaultRowHeight="14" x14ac:dyDescent="0.3"/>
  <cols>
    <col min="1" max="1" width="5.75" style="4" customWidth="1"/>
    <col min="2" max="2" width="14.6640625" style="4" customWidth="1"/>
    <col min="3" max="3" width="23.33203125" style="4" customWidth="1"/>
  </cols>
  <sheetData>
    <row r="1" spans="1:9" x14ac:dyDescent="0.3">
      <c r="A1" s="3" t="s">
        <v>12</v>
      </c>
    </row>
    <row r="2" spans="1:9" x14ac:dyDescent="0.3">
      <c r="A2" s="1" t="s">
        <v>1</v>
      </c>
      <c r="B2" s="1" t="s">
        <v>2</v>
      </c>
      <c r="C2" s="1" t="s">
        <v>3</v>
      </c>
    </row>
    <row r="3" spans="1:9" x14ac:dyDescent="0.3">
      <c r="A3" s="2" t="s">
        <v>4</v>
      </c>
      <c r="B3" s="2" t="s">
        <v>5</v>
      </c>
      <c r="C3" s="2" t="s">
        <v>6</v>
      </c>
    </row>
    <row r="4" spans="1:9" x14ac:dyDescent="0.3">
      <c r="A4" s="5">
        <v>1</v>
      </c>
      <c r="B4" s="5">
        <v>1</v>
      </c>
      <c r="C4" s="5">
        <v>7200</v>
      </c>
      <c r="D4" s="10" t="s">
        <v>7</v>
      </c>
      <c r="E4" s="7">
        <f>F4*G4*H4</f>
        <v>7200</v>
      </c>
      <c r="F4" s="5">
        <v>2</v>
      </c>
      <c r="G4" s="5">
        <v>60</v>
      </c>
      <c r="H4" s="5">
        <v>60</v>
      </c>
      <c r="I4" s="8"/>
    </row>
    <row r="5" spans="1:9" x14ac:dyDescent="0.3">
      <c r="A5" s="5">
        <v>2</v>
      </c>
      <c r="B5" s="5">
        <v>2</v>
      </c>
      <c r="C5" s="5">
        <v>7200</v>
      </c>
      <c r="D5" s="10" t="s">
        <v>7</v>
      </c>
      <c r="E5" s="7">
        <f>F5*G5*H5</f>
        <v>7200</v>
      </c>
      <c r="F5" s="5">
        <v>2</v>
      </c>
      <c r="G5" s="5">
        <v>60</v>
      </c>
      <c r="H5" s="5">
        <v>60</v>
      </c>
      <c r="I5" s="8"/>
    </row>
    <row r="6" spans="1:9" x14ac:dyDescent="0.3">
      <c r="A6" s="5">
        <v>3</v>
      </c>
      <c r="B6" s="5">
        <v>3</v>
      </c>
      <c r="C6" s="5">
        <v>86400</v>
      </c>
      <c r="D6" s="11" t="s">
        <v>9</v>
      </c>
      <c r="E6" s="7">
        <f>F6*G6*H6*I6</f>
        <v>86400</v>
      </c>
      <c r="F6" s="5">
        <v>24</v>
      </c>
      <c r="G6" s="5">
        <v>60</v>
      </c>
      <c r="H6" s="5">
        <v>60</v>
      </c>
      <c r="I6" s="5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" x14ac:dyDescent="0.3"/>
  <cols>
    <col min="1" max="3" width="80" style="4" customWidth="1"/>
  </cols>
  <sheetData>
    <row r="1" spans="1:3" x14ac:dyDescent="0.3">
      <c r="A1" t="s">
        <v>13</v>
      </c>
      <c r="B1" t="s">
        <v>14</v>
      </c>
      <c r="C1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英雄重置CD</vt:lpstr>
      <vt:lpstr>技能重置CD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fisherzhyu</dc:creator>
  <cp:lastModifiedBy>wenshen(沈文)</cp:lastModifiedBy>
  <dcterms:created xsi:type="dcterms:W3CDTF">2019-04-09T11:29:00Z</dcterms:created>
  <dcterms:modified xsi:type="dcterms:W3CDTF">2023-05-29T04:04:08Z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2052-11.1.0.9997</vt:lpwstr>
  </property>
  <property fmtid="{D5CDD505-2E9C-101B-9397-08002B2CF9AE}" pid="3" name="KSOReadingLayout">
    <vt:bool>false</vt:bool>
  </property>
  <property fmtid="{D5CDD505-2E9C-101B-9397-08002B2CF9AE}" pid="4" name="ICV">
    <vt:lpwstr>1BB811834565408EAD5345A1E36D6087</vt:lpwstr>
  </property>
</Properties>
</file>