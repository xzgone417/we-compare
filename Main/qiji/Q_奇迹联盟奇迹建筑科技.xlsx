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OEM\GameDesigner_NoArt_Global\common\excel\xls\Main\qiji\"/>
    </mc:Choice>
  </mc:AlternateContent>
  <xr:revisionPtr revIDLastSave="0" documentId="13_ncr:1_{526798C6-61A3-46D8-BE78-5D980826BF59}" xr6:coauthVersionLast="47" xr6:coauthVersionMax="47" xr10:uidLastSave="{00000000-0000-0000-0000-000000000000}"/>
  <bookViews>
    <workbookView xWindow="-110" yWindow="-110" windowWidth="38620" windowHeight="21220" tabRatio="881" activeTab="3" xr2:uid="{00000000-000D-0000-FFFF-FFFF00000000}"/>
  </bookViews>
  <sheets>
    <sheet name="奇迹建筑模板" sheetId="30" r:id="rId1"/>
    <sheet name="奇迹特效" sheetId="31" r:id="rId2"/>
    <sheet name="奇迹建筑" sheetId="27" r:id="rId3"/>
    <sheet name="奇迹科技" sheetId="28" r:id="rId4"/>
    <sheet name="奇迹祝福" sheetId="33" r:id="rId5"/>
    <sheet name="联盟奇迹解锁配置" sheetId="29" r:id="rId6"/>
    <sheet name="奇迹建筑升星配置_replace" sheetId="32" r:id="rId7"/>
    <sheet name="#奇迹建筑模板-空中花园和金字塔已配置" sheetId="36" r:id="rId8"/>
    <sheet name="#奇迹建筑模板-国内" sheetId="35" r:id="rId9"/>
    <sheet name="#奇迹科技-旧科技临时备份" sheetId="34" r:id="rId10"/>
  </sheets>
  <definedNames>
    <definedName name="_xlnm._FilterDatabase" localSheetId="8" hidden="1">'#奇迹建筑模板-国内'!$A$2:$BO$183</definedName>
    <definedName name="_xlnm._FilterDatabase" localSheetId="7" hidden="1">'#奇迹建筑模板-空中花园和金字塔已配置'!$A$2:$BP$43</definedName>
    <definedName name="_xlnm._FilterDatabase" localSheetId="9" hidden="1">'#奇迹科技-旧科技临时备份'!$V$1:$V$827</definedName>
    <definedName name="_xlnm._FilterDatabase" localSheetId="0" hidden="1">奇迹建筑模板!$A$2:$BP$33</definedName>
    <definedName name="_xlnm._FilterDatabase" localSheetId="6" hidden="1">奇迹建筑升星配置_replace!$A$2:$BK$30</definedName>
    <definedName name="_xlnm._FilterDatabase" localSheetId="3" hidden="1">奇迹科技!$A$2:$AE$191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43" i="30" l="1"/>
  <c r="BM42" i="30"/>
  <c r="BM41" i="30"/>
  <c r="BM40" i="30"/>
  <c r="BM39" i="30"/>
  <c r="BM38" i="30"/>
  <c r="BM37" i="30"/>
  <c r="BM36" i="30"/>
  <c r="BM35" i="30"/>
  <c r="BM34" i="30"/>
  <c r="A803" i="34"/>
  <c r="A802" i="34"/>
  <c r="A801" i="34"/>
  <c r="A800" i="34"/>
  <c r="A799" i="34"/>
  <c r="A798" i="34"/>
  <c r="A797" i="34"/>
  <c r="A796" i="34"/>
  <c r="A795" i="34"/>
  <c r="A794" i="34"/>
  <c r="A793" i="34"/>
  <c r="A792" i="34"/>
  <c r="A791" i="34"/>
  <c r="A790" i="34"/>
  <c r="A789" i="34"/>
  <c r="A788" i="34"/>
  <c r="A787" i="34"/>
  <c r="A786" i="34"/>
  <c r="A785" i="34"/>
  <c r="A784" i="34"/>
  <c r="A783" i="34"/>
  <c r="A782" i="34"/>
  <c r="A781" i="34"/>
  <c r="A780" i="34"/>
  <c r="A779" i="34"/>
  <c r="A778" i="34"/>
  <c r="A777" i="34"/>
  <c r="A776" i="34"/>
  <c r="A775" i="34"/>
  <c r="A774" i="34"/>
  <c r="A773" i="34"/>
  <c r="A772" i="34"/>
  <c r="A771" i="34"/>
  <c r="A770" i="34"/>
  <c r="A769" i="34"/>
  <c r="A768" i="34"/>
  <c r="A767" i="34"/>
  <c r="A766" i="34"/>
  <c r="A765" i="34"/>
  <c r="A764" i="34"/>
  <c r="A763" i="34"/>
  <c r="A762" i="34"/>
  <c r="A761" i="34"/>
  <c r="A760" i="34"/>
  <c r="A759" i="34"/>
  <c r="A758" i="34"/>
  <c r="A757" i="34"/>
  <c r="A756" i="34"/>
  <c r="A755" i="34"/>
  <c r="A754" i="34"/>
  <c r="A753" i="34"/>
  <c r="A752" i="34"/>
  <c r="A751" i="34"/>
  <c r="A750" i="34"/>
  <c r="A749" i="34"/>
  <c r="A748" i="34"/>
  <c r="A747" i="34"/>
  <c r="A746" i="34"/>
  <c r="A745" i="34"/>
  <c r="A744" i="34"/>
  <c r="A743" i="34"/>
  <c r="A742" i="34"/>
  <c r="A741" i="34"/>
  <c r="A740" i="34"/>
  <c r="A739" i="34"/>
  <c r="A738" i="34"/>
  <c r="A737" i="34"/>
  <c r="A736" i="34"/>
  <c r="A735" i="34"/>
  <c r="A734" i="34"/>
  <c r="A733" i="34"/>
  <c r="A732" i="34"/>
  <c r="A731" i="34"/>
  <c r="A730" i="34"/>
  <c r="A729" i="34"/>
  <c r="A728" i="34"/>
  <c r="A727" i="34"/>
  <c r="A726" i="34"/>
  <c r="A725" i="34"/>
  <c r="A724" i="34"/>
  <c r="A723" i="34"/>
  <c r="A722" i="34"/>
  <c r="A721" i="34"/>
  <c r="A720" i="34"/>
  <c r="A719" i="34"/>
  <c r="A718" i="34"/>
  <c r="A717" i="34"/>
  <c r="A716" i="34"/>
  <c r="A715" i="34"/>
  <c r="A714" i="34"/>
  <c r="A713" i="34"/>
  <c r="A712" i="34"/>
  <c r="A711" i="34"/>
  <c r="A710" i="34"/>
  <c r="A709" i="34"/>
  <c r="A708" i="34"/>
  <c r="A707" i="34"/>
  <c r="A706" i="34"/>
  <c r="A705" i="34"/>
  <c r="A704" i="34"/>
  <c r="A703" i="34"/>
  <c r="A702" i="34"/>
  <c r="A701" i="34"/>
  <c r="A700" i="34"/>
  <c r="A699" i="34"/>
  <c r="A698" i="34"/>
  <c r="A697" i="34"/>
  <c r="A696" i="34"/>
  <c r="A695" i="34"/>
  <c r="A694" i="34"/>
  <c r="A693" i="34"/>
  <c r="A692" i="34"/>
  <c r="A691" i="34"/>
  <c r="A690" i="34"/>
  <c r="A689" i="34"/>
  <c r="A688" i="34"/>
  <c r="A687" i="34"/>
  <c r="A686" i="34"/>
  <c r="A685" i="34"/>
  <c r="A684" i="34"/>
  <c r="A683" i="34"/>
  <c r="A682" i="34"/>
  <c r="A681" i="34"/>
  <c r="A680" i="34"/>
  <c r="A679" i="34"/>
  <c r="A678" i="34"/>
  <c r="A677" i="34"/>
  <c r="A676" i="34"/>
  <c r="A675" i="34"/>
  <c r="A674" i="34"/>
  <c r="A673" i="34"/>
  <c r="A672" i="34"/>
  <c r="A671" i="34"/>
  <c r="A670" i="34"/>
  <c r="A669" i="34"/>
  <c r="A668" i="34"/>
  <c r="A667" i="34"/>
  <c r="A666" i="34"/>
  <c r="A665" i="34"/>
  <c r="A664" i="34"/>
  <c r="A663" i="34"/>
  <c r="A662" i="34"/>
  <c r="A661" i="34"/>
  <c r="A660" i="34"/>
  <c r="A659" i="34"/>
  <c r="A658" i="34"/>
  <c r="A657" i="34"/>
  <c r="A656" i="34"/>
  <c r="A655" i="34"/>
  <c r="A654" i="34"/>
  <c r="A653" i="34"/>
  <c r="A652" i="34"/>
  <c r="A651" i="34"/>
  <c r="A650" i="34"/>
  <c r="A649" i="34"/>
  <c r="A648" i="34"/>
  <c r="A647" i="34"/>
  <c r="A646" i="34"/>
  <c r="A645" i="34"/>
  <c r="A644" i="34"/>
  <c r="A643" i="34"/>
  <c r="A642" i="34"/>
  <c r="A641" i="34"/>
  <c r="A640" i="34"/>
  <c r="A639" i="34"/>
  <c r="A638" i="34"/>
  <c r="A637" i="34"/>
  <c r="A636" i="34"/>
  <c r="A635" i="34"/>
  <c r="A634" i="34"/>
  <c r="A633" i="34"/>
  <c r="A632" i="34"/>
  <c r="A631" i="34"/>
  <c r="A630" i="34"/>
  <c r="A629" i="34"/>
  <c r="A628" i="34"/>
  <c r="A627" i="34"/>
  <c r="A626" i="34"/>
  <c r="A625" i="34"/>
  <c r="A624" i="34"/>
  <c r="A623" i="34"/>
  <c r="A622" i="34"/>
  <c r="A621" i="34"/>
  <c r="A620" i="34"/>
  <c r="A619" i="34"/>
  <c r="A618" i="34"/>
  <c r="A617" i="34"/>
  <c r="A616" i="34"/>
  <c r="A615" i="34"/>
  <c r="A614" i="34"/>
  <c r="A613" i="34"/>
  <c r="A612" i="34"/>
  <c r="A611" i="34"/>
  <c r="A610" i="34"/>
  <c r="A609" i="34"/>
  <c r="A608" i="34"/>
  <c r="A607" i="34"/>
  <c r="A606" i="34"/>
  <c r="A605" i="34"/>
  <c r="A604" i="34"/>
  <c r="A603" i="34"/>
  <c r="A602" i="34"/>
  <c r="A601" i="34"/>
  <c r="A600" i="34"/>
  <c r="A599" i="34"/>
  <c r="A598" i="34"/>
  <c r="A597" i="34"/>
  <c r="A596" i="34"/>
  <c r="A595" i="34"/>
  <c r="A594" i="34"/>
  <c r="A593" i="34"/>
  <c r="A592" i="34"/>
  <c r="A591" i="34"/>
  <c r="A590" i="34"/>
  <c r="A589" i="34"/>
  <c r="A588" i="34"/>
  <c r="A587" i="34"/>
  <c r="A586" i="34"/>
  <c r="A585" i="34"/>
  <c r="A584" i="34"/>
  <c r="A583" i="34"/>
  <c r="A582" i="34"/>
  <c r="A581" i="34"/>
  <c r="A580" i="34"/>
  <c r="A579" i="34"/>
  <c r="A578" i="34"/>
  <c r="A577" i="34"/>
  <c r="A576" i="34"/>
  <c r="A575" i="34"/>
  <c r="A574" i="34"/>
  <c r="A573" i="34"/>
  <c r="A572" i="34"/>
  <c r="A571" i="34"/>
  <c r="A570" i="34"/>
  <c r="A569" i="34"/>
  <c r="A568" i="34"/>
  <c r="A567" i="34"/>
  <c r="A566" i="34"/>
  <c r="A565" i="34"/>
  <c r="A564" i="34"/>
  <c r="A563" i="34"/>
  <c r="A562" i="34"/>
  <c r="A561" i="34"/>
  <c r="A560" i="34"/>
  <c r="A559" i="34"/>
  <c r="A558" i="34"/>
  <c r="A557" i="34"/>
  <c r="A556" i="34"/>
  <c r="A555" i="34"/>
  <c r="A554" i="34"/>
  <c r="A553" i="34"/>
  <c r="A552" i="34"/>
  <c r="A551" i="34"/>
  <c r="A550" i="34"/>
  <c r="A549" i="34"/>
  <c r="A548" i="34"/>
  <c r="A547" i="34"/>
  <c r="A546" i="34"/>
  <c r="A545" i="34"/>
  <c r="A544" i="34"/>
  <c r="A543" i="34"/>
  <c r="A542" i="34"/>
  <c r="A541" i="34"/>
  <c r="A540" i="34"/>
  <c r="A539" i="34"/>
  <c r="A538" i="34"/>
  <c r="A537" i="34"/>
  <c r="A536" i="34"/>
  <c r="A535" i="34"/>
  <c r="A534" i="34"/>
  <c r="A533" i="34"/>
  <c r="A532" i="34"/>
  <c r="A531" i="34"/>
  <c r="A530" i="34"/>
  <c r="A529" i="34"/>
  <c r="A528" i="34"/>
  <c r="A527" i="34"/>
  <c r="A526" i="34"/>
  <c r="A525" i="34"/>
  <c r="A524" i="34"/>
  <c r="A523" i="34"/>
  <c r="A522" i="34"/>
  <c r="A521" i="34"/>
  <c r="A520" i="34"/>
  <c r="A519" i="34"/>
  <c r="A518" i="34"/>
  <c r="A517" i="34"/>
  <c r="A516" i="34"/>
  <c r="A515" i="34"/>
  <c r="A514" i="34"/>
  <c r="A513" i="34"/>
  <c r="A512" i="34"/>
  <c r="A511" i="34"/>
  <c r="A510" i="34"/>
  <c r="A509" i="34"/>
  <c r="A508" i="34"/>
  <c r="A507" i="34"/>
  <c r="A506" i="34"/>
  <c r="A505" i="34"/>
  <c r="A504" i="34"/>
  <c r="A503" i="34"/>
  <c r="A502" i="34"/>
  <c r="A501" i="34"/>
  <c r="A500" i="34"/>
  <c r="A499" i="34"/>
  <c r="A498" i="34"/>
  <c r="A497" i="34"/>
  <c r="A496" i="34"/>
  <c r="A495" i="34"/>
  <c r="A494" i="34"/>
  <c r="A493" i="34"/>
  <c r="A492" i="34"/>
  <c r="A491" i="34"/>
  <c r="A490" i="34"/>
  <c r="A489" i="34"/>
  <c r="A488" i="34"/>
  <c r="A487" i="34"/>
  <c r="A486" i="34"/>
  <c r="A485" i="34"/>
  <c r="A484" i="34"/>
  <c r="A483" i="34"/>
  <c r="A482" i="34"/>
  <c r="A481" i="34"/>
  <c r="A480" i="34"/>
  <c r="A479" i="34"/>
  <c r="A478" i="34"/>
  <c r="A477" i="34"/>
  <c r="A476" i="34"/>
  <c r="A475" i="34"/>
  <c r="A474" i="34"/>
  <c r="A473" i="34"/>
  <c r="A472" i="34"/>
  <c r="A471" i="34"/>
  <c r="A470" i="34"/>
  <c r="A469" i="34"/>
  <c r="A468" i="34"/>
  <c r="A467" i="34"/>
  <c r="A466" i="34"/>
  <c r="A465" i="34"/>
  <c r="A464" i="34"/>
  <c r="A463" i="34"/>
  <c r="A462" i="34"/>
  <c r="A461" i="34"/>
  <c r="A460" i="34"/>
  <c r="A459" i="34"/>
  <c r="A458" i="34"/>
  <c r="A457" i="34"/>
  <c r="A456" i="34"/>
  <c r="A455" i="34"/>
  <c r="A454" i="34"/>
  <c r="A453" i="34"/>
  <c r="A452" i="34"/>
  <c r="A451" i="34"/>
  <c r="A450" i="34"/>
  <c r="A449" i="34"/>
  <c r="A448" i="34"/>
  <c r="A447" i="34"/>
  <c r="A446" i="34"/>
  <c r="A445" i="34"/>
  <c r="A444" i="34"/>
  <c r="A443" i="34"/>
  <c r="A442" i="34"/>
  <c r="A441" i="34"/>
  <c r="A440" i="34"/>
  <c r="A439" i="34"/>
  <c r="A438" i="34"/>
  <c r="A437" i="34"/>
  <c r="A436" i="34"/>
  <c r="A435" i="34"/>
  <c r="A434" i="34"/>
  <c r="A433" i="34"/>
  <c r="A432" i="34"/>
  <c r="A431" i="34"/>
  <c r="A430" i="34"/>
  <c r="A429" i="34"/>
  <c r="A428" i="34"/>
  <c r="A427" i="34"/>
  <c r="A426" i="34"/>
  <c r="A425" i="34"/>
  <c r="A424" i="34"/>
  <c r="A423" i="34"/>
  <c r="A422" i="34"/>
  <c r="A421" i="34"/>
  <c r="A420" i="34"/>
  <c r="A419" i="34"/>
  <c r="A418" i="34"/>
  <c r="A417" i="34"/>
  <c r="A416" i="34"/>
  <c r="A415" i="34"/>
  <c r="A414" i="34"/>
  <c r="A413" i="34"/>
  <c r="A412" i="34"/>
  <c r="A411" i="34"/>
  <c r="A410" i="34"/>
  <c r="A409" i="34"/>
  <c r="A408" i="34"/>
  <c r="A407" i="34"/>
  <c r="A406" i="34"/>
  <c r="A405" i="34"/>
  <c r="A404" i="34"/>
  <c r="A403" i="34"/>
  <c r="A402" i="34"/>
  <c r="A401" i="34"/>
  <c r="A400" i="34"/>
  <c r="A399" i="34"/>
  <c r="A398" i="34"/>
  <c r="A397" i="34"/>
  <c r="A396" i="34"/>
  <c r="A395" i="34"/>
  <c r="A394" i="34"/>
  <c r="A393" i="34"/>
  <c r="A392" i="34"/>
  <c r="A391" i="34"/>
  <c r="A390" i="34"/>
  <c r="A389" i="34"/>
  <c r="A388" i="34"/>
  <c r="A387" i="34"/>
  <c r="A386" i="34"/>
  <c r="A385" i="34"/>
  <c r="A384" i="34"/>
  <c r="A383" i="34"/>
  <c r="A382" i="34"/>
  <c r="A381" i="34"/>
  <c r="A380" i="34"/>
  <c r="A379" i="34"/>
  <c r="A378" i="34"/>
  <c r="A377" i="34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BL183" i="35"/>
  <c r="BL182" i="35"/>
  <c r="BL181" i="35"/>
  <c r="BL180" i="35"/>
  <c r="BL179" i="35"/>
  <c r="BL178" i="35"/>
  <c r="BL177" i="35"/>
  <c r="BL176" i="35"/>
  <c r="BL175" i="35"/>
  <c r="BL174" i="35"/>
  <c r="BL173" i="35"/>
  <c r="BL172" i="35"/>
  <c r="BL171" i="35"/>
  <c r="BL170" i="35"/>
  <c r="BL169" i="35"/>
  <c r="BL168" i="35"/>
  <c r="BL167" i="35"/>
  <c r="BL166" i="35"/>
  <c r="BL165" i="35"/>
  <c r="BL164" i="35"/>
  <c r="BL163" i="35"/>
  <c r="BL162" i="35"/>
  <c r="BL161" i="35"/>
  <c r="BL160" i="35"/>
  <c r="BL159" i="35"/>
  <c r="BL158" i="35"/>
  <c r="BL157" i="35"/>
  <c r="BL156" i="35"/>
  <c r="BL155" i="35"/>
  <c r="BL154" i="35"/>
  <c r="BL153" i="35"/>
  <c r="BL152" i="35"/>
  <c r="BL151" i="35"/>
  <c r="BL150" i="35"/>
  <c r="BL149" i="35"/>
  <c r="BL148" i="35"/>
  <c r="BL147" i="35"/>
  <c r="BL146" i="35"/>
  <c r="BL145" i="35"/>
  <c r="BL144" i="35"/>
  <c r="BL143" i="35"/>
  <c r="BL142" i="35"/>
  <c r="BL141" i="35"/>
  <c r="BL140" i="35"/>
  <c r="BL139" i="35"/>
  <c r="BL138" i="35"/>
  <c r="BL137" i="35"/>
  <c r="BL136" i="35"/>
  <c r="BL135" i="35"/>
  <c r="BL134" i="35"/>
  <c r="BL133" i="35"/>
  <c r="BL132" i="35"/>
  <c r="BL131" i="35"/>
  <c r="BL130" i="35"/>
  <c r="BL129" i="35"/>
  <c r="BL128" i="35"/>
  <c r="BL127" i="35"/>
  <c r="BL126" i="35"/>
  <c r="BL125" i="35"/>
  <c r="BL124" i="35"/>
  <c r="BL123" i="35"/>
  <c r="BL122" i="35"/>
  <c r="BL121" i="35"/>
  <c r="BL120" i="35"/>
  <c r="BL119" i="35"/>
  <c r="BL118" i="35"/>
  <c r="BL117" i="35"/>
  <c r="BL116" i="35"/>
  <c r="BL115" i="35"/>
  <c r="BL114" i="35"/>
  <c r="BL113" i="35"/>
  <c r="BL112" i="35"/>
  <c r="BL111" i="35"/>
  <c r="BL110" i="35"/>
  <c r="BL109" i="35"/>
  <c r="BL108" i="35"/>
  <c r="BL107" i="35"/>
  <c r="BL106" i="35"/>
  <c r="BL105" i="35"/>
  <c r="BL104" i="35"/>
  <c r="BL103" i="35"/>
  <c r="BL102" i="35"/>
  <c r="BL101" i="35"/>
  <c r="BL100" i="35"/>
  <c r="BL99" i="35"/>
  <c r="BL98" i="35"/>
  <c r="BL97" i="35"/>
  <c r="BL96" i="35"/>
  <c r="BL95" i="35"/>
  <c r="BL94" i="35"/>
  <c r="BL93" i="35"/>
  <c r="BL92" i="35"/>
  <c r="BL91" i="35"/>
  <c r="BL90" i="35"/>
  <c r="BL89" i="35"/>
  <c r="BL88" i="35"/>
  <c r="BL87" i="35"/>
  <c r="BL86" i="35"/>
  <c r="BL85" i="35"/>
  <c r="BL84" i="35"/>
  <c r="BL83" i="35"/>
  <c r="BL82" i="35"/>
  <c r="BL81" i="35"/>
  <c r="BL80" i="35"/>
  <c r="BL79" i="35"/>
  <c r="BL78" i="35"/>
  <c r="BL77" i="35"/>
  <c r="BL76" i="35"/>
  <c r="BL75" i="35"/>
  <c r="BL74" i="35"/>
  <c r="BL73" i="35"/>
  <c r="BL72" i="35"/>
  <c r="BL71" i="35"/>
  <c r="BL70" i="35"/>
  <c r="BL69" i="35"/>
  <c r="BL68" i="35"/>
  <c r="BL67" i="35"/>
  <c r="BL66" i="35"/>
  <c r="BL65" i="35"/>
  <c r="BL64" i="35"/>
  <c r="BL63" i="35"/>
  <c r="BL62" i="35"/>
  <c r="BL61" i="35"/>
  <c r="BL60" i="35"/>
  <c r="BL59" i="35"/>
  <c r="BL58" i="35"/>
  <c r="BL57" i="35"/>
  <c r="BL56" i="35"/>
  <c r="BL55" i="35"/>
  <c r="BL54" i="35"/>
  <c r="BL53" i="35"/>
  <c r="BL52" i="35"/>
  <c r="BL51" i="35"/>
  <c r="BL50" i="35"/>
  <c r="BL49" i="35"/>
  <c r="BL48" i="35"/>
  <c r="BL47" i="35"/>
  <c r="BL46" i="35"/>
  <c r="BL45" i="35"/>
  <c r="BL44" i="35"/>
  <c r="BL43" i="35"/>
  <c r="BL42" i="35"/>
  <c r="BL41" i="35"/>
  <c r="BL40" i="35"/>
  <c r="BL39" i="35"/>
  <c r="BL38" i="35"/>
  <c r="BL37" i="35"/>
  <c r="BL36" i="35"/>
  <c r="BL35" i="35"/>
  <c r="BL34" i="35"/>
  <c r="BL33" i="35"/>
  <c r="BL32" i="35"/>
  <c r="BL31" i="35"/>
  <c r="BL30" i="35"/>
  <c r="BL29" i="35"/>
  <c r="BL28" i="35"/>
  <c r="BL27" i="35"/>
  <c r="BL26" i="35"/>
  <c r="BL25" i="35"/>
  <c r="BL24" i="35"/>
  <c r="BM43" i="36"/>
  <c r="BM42" i="36"/>
  <c r="BM41" i="36"/>
  <c r="BM40" i="36"/>
  <c r="BM39" i="36"/>
  <c r="BM38" i="36"/>
  <c r="BM37" i="36"/>
  <c r="BM36" i="36"/>
  <c r="BM35" i="36"/>
  <c r="BM34" i="36"/>
  <c r="BM33" i="36"/>
  <c r="BM32" i="36"/>
  <c r="BM31" i="36"/>
  <c r="BM30" i="36"/>
  <c r="BM29" i="36"/>
  <c r="BM28" i="36"/>
  <c r="BM27" i="36"/>
  <c r="BM26" i="36"/>
  <c r="BM25" i="36"/>
  <c r="BM24" i="36"/>
  <c r="K30" i="32"/>
  <c r="K29" i="32"/>
  <c r="G29" i="32"/>
  <c r="K28" i="32"/>
  <c r="G28" i="32"/>
  <c r="K27" i="32"/>
  <c r="K26" i="32"/>
  <c r="G26" i="32"/>
  <c r="K25" i="32"/>
  <c r="G25" i="32"/>
  <c r="K24" i="32"/>
  <c r="K23" i="32"/>
  <c r="G23" i="32"/>
  <c r="K22" i="32"/>
  <c r="G22" i="32"/>
  <c r="K21" i="32"/>
  <c r="K20" i="32"/>
  <c r="G20" i="32"/>
  <c r="K19" i="32"/>
  <c r="G19" i="32"/>
  <c r="K18" i="32"/>
  <c r="K17" i="32"/>
  <c r="G17" i="32"/>
  <c r="K16" i="32"/>
  <c r="G16" i="32"/>
  <c r="K15" i="32"/>
  <c r="K14" i="32"/>
  <c r="G14" i="32"/>
  <c r="K13" i="32"/>
  <c r="G13" i="32"/>
  <c r="K12" i="32"/>
  <c r="K11" i="32"/>
  <c r="G11" i="32"/>
  <c r="K10" i="32"/>
  <c r="G10" i="32"/>
  <c r="K9" i="32"/>
  <c r="K8" i="32"/>
  <c r="G8" i="32"/>
  <c r="K7" i="32"/>
  <c r="G7" i="32"/>
  <c r="K6" i="32"/>
  <c r="K5" i="32"/>
  <c r="G5" i="32"/>
  <c r="G4" i="32"/>
  <c r="H15" i="33"/>
  <c r="H14" i="33"/>
  <c r="H13" i="33"/>
  <c r="H12" i="33"/>
  <c r="H11" i="33"/>
  <c r="H10" i="33"/>
  <c r="H9" i="33"/>
  <c r="H8" i="33"/>
  <c r="H7" i="33"/>
  <c r="H6" i="33"/>
  <c r="H5" i="33"/>
  <c r="H4" i="33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注意！附属建筑模板id和地基模板id不能重复！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注意！附属建筑模板id和地基模板id不能重复！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注意！附属建筑模板id和地基模板id不能重复！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注意！附属建筑模板id和地基模板id不能重复！</t>
        </r>
      </text>
    </comment>
  </commentList>
</comments>
</file>

<file path=xl/sharedStrings.xml><?xml version="1.0" encoding="utf-8"?>
<sst xmlns="http://schemas.openxmlformats.org/spreadsheetml/2006/main" count="21901" uniqueCount="1566">
  <si>
    <t>convert(ResWorld.proto, table_BigSceneMingChengOtherBuildingTemplateConf, BigSceneMingChengOtherBuildingTemplateConfData_1.pbin)</t>
  </si>
  <si>
    <t>STREAM_KEY:id</t>
  </si>
  <si>
    <t>id</t>
  </si>
  <si>
    <t>建筑类型</t>
  </si>
  <si>
    <t>建筑分类</t>
  </si>
  <si>
    <t>奇迹类型</t>
  </si>
  <si>
    <t>奇迹星级</t>
  </si>
  <si>
    <t>icon图集（类型缩略图）</t>
  </si>
  <si>
    <t>icon名称（类型缩略图）</t>
  </si>
  <si>
    <t>技能配置id</t>
  </si>
  <si>
    <t>建筑实际类型</t>
  </si>
  <si>
    <t>npc恢复时间(秒)</t>
  </si>
  <si>
    <t>名字</t>
  </si>
  <si>
    <t>科技类别</t>
  </si>
  <si>
    <t>城防值</t>
  </si>
  <si>
    <t>初始城防百分比</t>
  </si>
  <si>
    <t>类型名称</t>
  </si>
  <si>
    <t>势力值</t>
  </si>
  <si>
    <t>驻防部队</t>
  </si>
  <si>
    <t>描述</t>
  </si>
  <si>
    <t>解锁科技等级</t>
  </si>
  <si>
    <t>等级</t>
  </si>
  <si>
    <t>士气值</t>
  </si>
  <si>
    <t>建筑buffer</t>
  </si>
  <si>
    <t>建筑buffer值</t>
  </si>
  <si>
    <t>地基模型Id</t>
  </si>
  <si>
    <t>适配的地基模型ID列表</t>
  </si>
  <si>
    <t>消耗联盟资源数量</t>
  </si>
  <si>
    <t>消耗的联盟资金数量</t>
  </si>
  <si>
    <t>占用地格大小</t>
  </si>
  <si>
    <t>间隔地格大小</t>
  </si>
  <si>
    <t>建造工程总量</t>
  </si>
  <si>
    <t>援助建造的士兵数量上限（作废）</t>
  </si>
  <si>
    <t>取消建造资源返回系数（千分比）</t>
  </si>
  <si>
    <t>可被掠夺系数（千分比）</t>
  </si>
  <si>
    <t>升级后配置ID</t>
  </si>
  <si>
    <t>升级消耗联盟资源</t>
  </si>
  <si>
    <t>升级消耗联盟资金数量</t>
  </si>
  <si>
    <t>升级消耗时长(秒)</t>
  </si>
  <si>
    <t>取消升级资源返还系数（千分比）</t>
  </si>
  <si>
    <t>拆除资源返还系数（千分比）</t>
  </si>
  <si>
    <t>拆除消耗时间（秒）</t>
  </si>
  <si>
    <t>维修时间系数（单位血量/秒的千分比）</t>
  </si>
  <si>
    <t>维修资源消耗系数（数量为千分比）</t>
  </si>
  <si>
    <t>维修消耗联盟资金数量</t>
  </si>
  <si>
    <t>重建消耗联盟资源</t>
  </si>
  <si>
    <t>重建消耗联盟资金数量</t>
  </si>
  <si>
    <t>重建消耗时长(秒)-作废</t>
  </si>
  <si>
    <t>重新建造工程总量</t>
  </si>
  <si>
    <t>援助维修的士兵数量上限（作废）</t>
  </si>
  <si>
    <t>驻防部队队列数量上限（作废）</t>
  </si>
  <si>
    <t>驻防部队单队士兵数量上限（作废）</t>
  </si>
  <si>
    <t>战斗技能</t>
  </si>
  <si>
    <t>摧毁掉落</t>
  </si>
  <si>
    <t>icon图集（大图）</t>
  </si>
  <si>
    <t>icon名称（大图）</t>
  </si>
  <si>
    <t>所属文明CTE_Frank|CTE_China|CTE_Byzantine（ResKeywords.proto\CivilTypeEnum）</t>
  </si>
  <si>
    <t>集结配置</t>
  </si>
  <si>
    <t>玩家创建的建筑是否包含npc</t>
  </si>
  <si>
    <t>离近循环音效</t>
  </si>
  <si>
    <t>icon图集（战报页面）</t>
  </si>
  <si>
    <t>icon名称（战报页面）</t>
  </si>
  <si>
    <t>拆迁值占比奖励组
（参见野怪伤害占比奖励）</t>
  </si>
  <si>
    <t>免战时间（秒）</t>
  </si>
  <si>
    <t>放弃时间（秒）</t>
  </si>
  <si>
    <t>联盟奇迹建筑
联盟奇迹积分的加成</t>
  </si>
  <si>
    <t>奇迹子id，对应科技列表</t>
  </si>
  <si>
    <t>养成界面背景图</t>
  </si>
  <si>
    <t>科技背景图图集配置</t>
  </si>
  <si>
    <t>科技背景图配置</t>
  </si>
  <si>
    <t>buildingBroadType</t>
  </si>
  <si>
    <t>buildingEntityType</t>
  </si>
  <si>
    <t>miracleBuildingType</t>
  </si>
  <si>
    <t>miracleBuildingStar</t>
  </si>
  <si>
    <t>typeBuildingIconAtlasPath</t>
  </si>
  <si>
    <t>typeBuildingIcon</t>
  </si>
  <si>
    <t>buildingSkillId</t>
  </si>
  <si>
    <t>buildingPracticalType</t>
  </si>
  <si>
    <t>npcTroopRecoverTimeSec</t>
  </si>
  <si>
    <t>name</t>
  </si>
  <si>
    <t>allianceScienceType</t>
  </si>
  <si>
    <t>hp</t>
  </si>
  <si>
    <t>initHpPercentage</t>
  </si>
  <si>
    <t>typeName</t>
  </si>
  <si>
    <t>territoryPower</t>
  </si>
  <si>
    <t>groupMonsterId[;]</t>
  </si>
  <si>
    <t>desc</t>
  </si>
  <si>
    <t>unlockTechLevel</t>
  </si>
  <si>
    <t>level</t>
  </si>
  <si>
    <t>morale</t>
  </si>
  <si>
    <t>bufferID[|]</t>
  </si>
  <si>
    <t>bValue[|]</t>
  </si>
  <si>
    <t>groundBaseConfId</t>
  </si>
  <si>
    <t>fitGroundBaseConfId[|]</t>
  </si>
  <si>
    <t>buildConf.allianceResourceConsume[|]{type;value}</t>
  </si>
  <si>
    <t>buildConf.buildAllianceMoneyConsume</t>
  </si>
  <si>
    <t>radius</t>
  </si>
  <si>
    <t>intervalGridSize</t>
  </si>
  <si>
    <t>buildConf.buildWorkload</t>
  </si>
  <si>
    <t>buildConf.assistBuildSoldierAmountLimit</t>
  </si>
  <si>
    <t>buildConf.cancelBuildRetResourceCoe</t>
  </si>
  <si>
    <t>robResourceCoe</t>
  </si>
  <si>
    <t>buildConf.upgradeTo</t>
  </si>
  <si>
    <t>buildConf.upgradeResourceConsume[|]{type;value}</t>
  </si>
  <si>
    <t>buildConf.upgradeAllianceMoneyConsume</t>
  </si>
  <si>
    <t>buildConf.upgradeCostTime</t>
  </si>
  <si>
    <t>buildConf.cancelUpgradeRetResourceCoe</t>
  </si>
  <si>
    <t>buildConf.demolishRetResourceCoe</t>
  </si>
  <si>
    <t>buildConf.demolishCostTime</t>
  </si>
  <si>
    <t>buildConf.repairCostTimeCoe</t>
  </si>
  <si>
    <t>buildConf.repairResourceConsumeCoe[|]{type;value}</t>
  </si>
  <si>
    <t>buildConf.repairAllianceMoneyConsume</t>
  </si>
  <si>
    <t>buildConf.rebuildResourceConsume[|]{type;value}</t>
  </si>
  <si>
    <t>buildConf.rebuildAllianceMoneyConsume</t>
  </si>
  <si>
    <t>buildConf.rebuildCostTime</t>
  </si>
  <si>
    <t>buildConf.rebuildWorkload</t>
  </si>
  <si>
    <t>buildConf.assistRepairSoldierAmountLimit</t>
  </si>
  <si>
    <t>armyNumberLimit</t>
  </si>
  <si>
    <t>soldierNumberLimitPerArmy</t>
  </si>
  <si>
    <t>battleSkill</t>
  </si>
  <si>
    <t>dropReward{poolId,count,expireSec}</t>
  </si>
  <si>
    <t>bigBuildingIconAtlasPath</t>
  </si>
  <si>
    <t>bigBuildingIcon</t>
  </si>
  <si>
    <t>civil</t>
  </si>
  <si>
    <t>groupBuildingConf.intention[|]{intention;maxArmyCount;maxSoldierCount}</t>
  </si>
  <si>
    <t>playerBuildContainNpc</t>
  </si>
  <si>
    <t>nearLoopSound</t>
  </si>
  <si>
    <t>mailBuildingAtlas</t>
  </si>
  <si>
    <t>mailBuildingSprite</t>
  </si>
  <si>
    <t>hurtRewardGroupId</t>
  </si>
  <si>
    <t>protectionTime</t>
  </si>
  <si>
    <t>giveUpTime</t>
  </si>
  <si>
    <t>allianceMiracleScore</t>
  </si>
  <si>
    <t>miracleSubId</t>
  </si>
  <si>
    <t>backGroundAtlas</t>
  </si>
  <si>
    <t>backGroundIcon</t>
  </si>
  <si>
    <t>portraitBackGroundAtlas</t>
  </si>
  <si>
    <t>portraitBackGroundIcon</t>
  </si>
  <si>
    <t>TechbackGroundAtlas</t>
  </si>
  <si>
    <t>TechbackGroundIcon</t>
  </si>
  <si>
    <t>斗兽场1级</t>
  </si>
  <si>
    <t>奇迹</t>
  </si>
  <si>
    <t>联盟奇迹</t>
  </si>
  <si>
    <t>斗兽场</t>
  </si>
  <si>
    <t>一星奇迹</t>
  </si>
  <si>
    <t>icon_type</t>
  </si>
  <si>
    <t>icon_type_m_015</t>
  </si>
  <si>
    <t>默认</t>
  </si>
  <si>
    <t>TID_BigSceneMingChengOtherBuildingTemplateConfData_1_replace_40301_name_CN_S2</t>
  </si>
  <si>
    <t>未知</t>
  </si>
  <si>
    <t>TID_BigSceneMingChengOtherBuildingTemplateConfData_1_replace_40101_typeName_CN_S2</t>
  </si>
  <si>
    <t>400901;400902;400903;400904;400901;400902;400903;400904;400901;400902;400903;400904;400901;400902;400903;400904;400901;400902;400903;400904</t>
  </si>
  <si>
    <t>TID_BigSceneMingChengOtherBuildingTemplateConfData_1_replace_40301_desc_CN_S2</t>
  </si>
  <si>
    <t>ART_Wood;200000|ART_Food;200000|ART_Stone;200000|ART_Gold;200000|ART_MiraclePiece;750</t>
  </si>
  <si>
    <t>ART_Wood;80000|ART_Food;80000|ART_Stone;80000|ART_Gold;80000|ART_MiraclePiece;150</t>
  </si>
  <si>
    <t>ART_Wood;100|ART_Food;100|ART_Stone;100|ART_Gold;100</t>
  </si>
  <si>
    <t>ART_Wood;200000|ART_Food;200000|ART_Stone;200000|ART_Gold;200000|ART_MiraclePiece;375</t>
  </si>
  <si>
    <t>icon_miracle</t>
  </si>
  <si>
    <t>miracle_hud_bg_01</t>
  </si>
  <si>
    <t>GAI_Battle;40;2000000</t>
  </si>
  <si>
    <t>Play_qiji_surround</t>
  </si>
  <si>
    <t>icon_n_buildingheadimage</t>
  </si>
  <si>
    <t>map_babylon_base_shizhengting1</t>
  </si>
  <si>
    <t>icon_g_miraclebg</t>
  </si>
  <si>
    <t>bg_miracle_03</t>
  </si>
  <si>
    <t>miracle01_bg_v</t>
  </si>
  <si>
    <t>bg_miracletech_03</t>
  </si>
  <si>
    <t>斗兽场2级</t>
  </si>
  <si>
    <t>ART_Wood;120000|ART_Food;120000|ART_Stone;120000|ART_Gold;120000|ART_MiraclePiece;300</t>
  </si>
  <si>
    <t>斗兽场3级</t>
  </si>
  <si>
    <t>ART_Wood;150000|ART_Food;150000|ART_Stone;150000|ART_Gold;150000|ART_MiraclePiece;450</t>
  </si>
  <si>
    <t>斗兽场4级</t>
  </si>
  <si>
    <t>ART_Wood;180000|ART_Food;180000|ART_Stone;180000|ART_Gold;180000|ART_MiraclePiece;600</t>
  </si>
  <si>
    <t>斗兽场5级</t>
  </si>
  <si>
    <t>ART_Wood;200000|ART_Food;200000|ART_Stone;200000|ART_Gold;200000|ART_MiraclePiece;900</t>
  </si>
  <si>
    <t>斗兽场6级</t>
  </si>
  <si>
    <t>二星奇迹</t>
  </si>
  <si>
    <t>401001;401002;401003;401004;401001;401002;401003;401004;401001;401002;401003;401004;401001;401002;401003;401004;401001;401002;401003;401004</t>
  </si>
  <si>
    <t>ART_Wood;230000|ART_Food;230000|ART_Stone;230000|ART_Gold;230000|ART_MiraclePiece;1200</t>
  </si>
  <si>
    <t>斗兽场7级</t>
  </si>
  <si>
    <t>ART_Wood;250000|ART_Food;250000|ART_Stone;250000|ART_Gold;250000|ART_MiraclePiece;1500</t>
  </si>
  <si>
    <t>斗兽场8级</t>
  </si>
  <si>
    <t>ART_Wood;280000|ART_Food;280000|ART_Stone;280000|ART_Gold;280000|ART_MiraclePiece;1800</t>
  </si>
  <si>
    <t>斗兽场9级</t>
  </si>
  <si>
    <t>三星奇迹</t>
  </si>
  <si>
    <t>ART_Wood;300000|ART_Food;300000|ART_Stone;300000|ART_Gold;300000|ART_MiraclePiece;2100</t>
  </si>
  <si>
    <t>斗兽场10级</t>
  </si>
  <si>
    <t>巴别塔1级</t>
  </si>
  <si>
    <t>巴别塔</t>
  </si>
  <si>
    <t>TID_BigSceneMingChengOtherBuildingTemplateConfData_1_replace_40701_name_CN_S2</t>
  </si>
  <si>
    <t>TID_BigSceneMingChengOtherBuildingTemplateConfData_1_replace_40701_desc_CN_S2</t>
  </si>
  <si>
    <t>miracle_hud_bg_08</t>
  </si>
  <si>
    <t>bg_miracle_07</t>
  </si>
  <si>
    <t>miracle08_bg_v</t>
  </si>
  <si>
    <t>bg_miracletech_07</t>
  </si>
  <si>
    <t>巴别塔2级</t>
  </si>
  <si>
    <t>巴别塔3级</t>
  </si>
  <si>
    <t>巴别塔4级</t>
  </si>
  <si>
    <t>巴别塔5级</t>
  </si>
  <si>
    <t>巴别塔6级</t>
  </si>
  <si>
    <t>巴别塔7级</t>
  </si>
  <si>
    <t>巴别塔8级</t>
  </si>
  <si>
    <t>巴别塔9级</t>
  </si>
  <si>
    <t>巴别塔10级</t>
  </si>
  <si>
    <t>convert(ResWorld.proto,table_MiracleEffectTemplateConf, MiracleEffectTemplateConf_replace.pbin)</t>
  </si>
  <si>
    <t>特效模型id缩放</t>
  </si>
  <si>
    <t>x偏移</t>
  </si>
  <si>
    <t>y偏移</t>
  </si>
  <si>
    <t>effectId</t>
  </si>
  <si>
    <t>scale[|]</t>
  </si>
  <si>
    <t>offsetX</t>
  </si>
  <si>
    <t>offsetY</t>
  </si>
  <si>
    <t>0.9|0.9|0.9</t>
  </si>
  <si>
    <t>1星普通奇迹常驻</t>
  </si>
  <si>
    <t>1.1|1.1|1.1</t>
  </si>
  <si>
    <t>2星普通奇迹常驻</t>
  </si>
  <si>
    <t>1.3|1.3|1.3</t>
  </si>
  <si>
    <t>3星普通奇迹常驻</t>
  </si>
  <si>
    <t>0.7|0.7|0.7</t>
  </si>
  <si>
    <t>1星普通奇迹升级中</t>
  </si>
  <si>
    <t>2星普通奇迹升级中</t>
  </si>
  <si>
    <t>3星普通奇迹升级中</t>
  </si>
  <si>
    <t>1|1|1</t>
  </si>
  <si>
    <t>1星普通奇迹升级完成</t>
  </si>
  <si>
    <t>1.2|1.2|1.2</t>
  </si>
  <si>
    <t>2星普通奇迹升级完成</t>
  </si>
  <si>
    <t>1.4|1.4|1.4</t>
  </si>
  <si>
    <t>3星普通奇迹升级完成</t>
  </si>
  <si>
    <t>1星普通奇迹耐久不足</t>
  </si>
  <si>
    <t>2星普通奇迹耐久不足</t>
  </si>
  <si>
    <t>3星普通奇迹耐久不足</t>
  </si>
  <si>
    <t>0.6|0.6|0.6</t>
  </si>
  <si>
    <t>1星特殊奇迹常驻</t>
  </si>
  <si>
    <t>0.8|0.8|0.8</t>
  </si>
  <si>
    <t>2星特殊奇迹常驻</t>
  </si>
  <si>
    <t>3星特殊奇迹常驻</t>
  </si>
  <si>
    <t>1星特殊奇迹升级中</t>
  </si>
  <si>
    <t>2星特殊奇迹升级中</t>
  </si>
  <si>
    <t>3星特殊奇迹升级中</t>
  </si>
  <si>
    <t>1星特殊奇迹升级完成</t>
  </si>
  <si>
    <t>2星特殊奇迹升级完成</t>
  </si>
  <si>
    <t>3星特殊奇迹升级完成</t>
  </si>
  <si>
    <t>1星特殊奇迹耐久不足</t>
  </si>
  <si>
    <t>2星特殊奇迹耐久不足</t>
  </si>
  <si>
    <t>3星特殊奇迹耐久不足</t>
  </si>
  <si>
    <t>convert(ResWorld.proto, table_MiracleBuildingTemplateConf, MiracleBuildingTemplateConfData.pbin)</t>
  </si>
  <si>
    <t>策划备注</t>
  </si>
  <si>
    <t>奇迹建筑子类型</t>
  </si>
  <si>
    <t>得分速率</t>
  </si>
  <si>
    <t>占领区域位置偏移</t>
  </si>
  <si>
    <t>占领区域大小</t>
  </si>
  <si>
    <t>装饰的subPrefabId列表</t>
  </si>
  <si>
    <t>开放阶段</t>
  </si>
  <si>
    <t>buff塔数值加成</t>
  </si>
  <si>
    <t>boss模板</t>
  </si>
  <si>
    <t>boss出生点相对坐标</t>
  </si>
  <si>
    <t>无极缩放Sprite（中心建筑需配置）</t>
  </si>
  <si>
    <t>buildingSubType</t>
  </si>
  <si>
    <t>scoreSpeed</t>
  </si>
  <si>
    <t>captureZoneOffset{x;y}</t>
  </si>
  <si>
    <t>captureZoneSize{width;height}</t>
  </si>
  <si>
    <t>subPrefabIds[|]</t>
  </si>
  <si>
    <t>openGamePhase</t>
  </si>
  <si>
    <t>numPropArray[|]{bufferId;b}</t>
  </si>
  <si>
    <t>bossMonsterTemplateId</t>
  </si>
  <si>
    <t>bossBornPosOffset[|]{x;y}</t>
  </si>
  <si>
    <t>zoomSprite</t>
  </si>
  <si>
    <t>帝国角斗场</t>
  </si>
  <si>
    <t>奇迹中心建筑</t>
  </si>
  <si>
    <t>0;0</t>
  </si>
  <si>
    <t>11;11</t>
  </si>
  <si>
    <t>奇迹阶段2</t>
  </si>
  <si>
    <t>0;10|10;0|-10;0|0;-10</t>
  </si>
  <si>
    <t>iconlayer_qiji_center01_lv9_4</t>
  </si>
  <si>
    <t>轩辕坛</t>
  </si>
  <si>
    <t>iconlayer_qiji_center02_lv9_4</t>
  </si>
  <si>
    <t>天元禁宫</t>
  </si>
  <si>
    <t>3;0</t>
  </si>
  <si>
    <t>5;5</t>
  </si>
  <si>
    <t>iconlayer_qiji_center03_lv9_4</t>
  </si>
  <si>
    <t>安息之塔</t>
  </si>
  <si>
    <t>iconlayer_qiji_center04_lv9_4</t>
  </si>
  <si>
    <t>守陵石像</t>
  </si>
  <si>
    <t>iconlayer_qiji_center05_lv9_4</t>
  </si>
  <si>
    <t>赫拉斯青铜巨像</t>
  </si>
  <si>
    <t>iconlayer_qiji_center06_lv9_4</t>
  </si>
  <si>
    <t>空中花园</t>
  </si>
  <si>
    <t>iconlayer_qiji_center07_lv9_4</t>
  </si>
  <si>
    <t>通天塔</t>
  </si>
  <si>
    <t>iconlayer_qiji_center08_lv9_4</t>
  </si>
  <si>
    <t>狩猎殿堂</t>
  </si>
  <si>
    <t>iconlayer_qiji_center09_lv9_4</t>
  </si>
  <si>
    <t>帝国角斗场中得分</t>
  </si>
  <si>
    <t>奇迹中得分建筑</t>
  </si>
  <si>
    <t>7;7</t>
  </si>
  <si>
    <t>奇迹阶段1</t>
  </si>
  <si>
    <t>iconlayer_qiji_score0106_lv4_4</t>
  </si>
  <si>
    <t>轩辕坛中得分</t>
  </si>
  <si>
    <t>iconlayer_qiji_score0203_lv4_4</t>
  </si>
  <si>
    <t>天元禁宫中得分</t>
  </si>
  <si>
    <t>安息之塔中得分</t>
  </si>
  <si>
    <t>iconlayer_qiji_score0405_lv4_4</t>
  </si>
  <si>
    <t>守陵石像中得分</t>
  </si>
  <si>
    <t>赫拉斯青铜巨像中得分</t>
  </si>
  <si>
    <t>空中花园中得分</t>
  </si>
  <si>
    <t>iconlayer_qiji_score0708_lv4_4</t>
  </si>
  <si>
    <t>通天塔中得分</t>
  </si>
  <si>
    <t>狩猎殿堂中得分</t>
  </si>
  <si>
    <t>iconlayer_qiji_score09_lv4_4</t>
  </si>
  <si>
    <t>斗兽场 西方 8个小得分</t>
  </si>
  <si>
    <t>奇迹小得分建筑</t>
  </si>
  <si>
    <t>黄帝陵 东方 12个小得分</t>
  </si>
  <si>
    <t>大明宫 东方 12个小得分</t>
  </si>
  <si>
    <t>金字塔 西方 8个小得分</t>
  </si>
  <si>
    <t>狮身人面 西方 8个小得分</t>
  </si>
  <si>
    <t>青铜巨像 西方 8个小得分</t>
  </si>
  <si>
    <t>空中花园 西方 8个小得分</t>
  </si>
  <si>
    <t>通天塔 西方 12个小得分</t>
  </si>
  <si>
    <t>神庙 西方 8个中得分</t>
  </si>
  <si>
    <t>斗兽场 攻击塔</t>
  </si>
  <si>
    <t>奇迹buff塔</t>
  </si>
  <si>
    <t>20000;0.3</t>
  </si>
  <si>
    <t>黄帝陵 攻击塔</t>
  </si>
  <si>
    <t>大明宫 攻击塔</t>
  </si>
  <si>
    <t>金字塔 攻击塔</t>
  </si>
  <si>
    <t>20000;0.2</t>
  </si>
  <si>
    <t>金字塔 防御塔</t>
  </si>
  <si>
    <t>20030;0.2</t>
  </si>
  <si>
    <t>狮身人面 攻击塔</t>
  </si>
  <si>
    <t>狮身人面 防御塔</t>
  </si>
  <si>
    <t>青铜巨像 攻击塔</t>
  </si>
  <si>
    <t>空中花园 攻击塔</t>
  </si>
  <si>
    <t>通天塔 攻击塔</t>
  </si>
  <si>
    <t>神庙 攻击塔</t>
  </si>
  <si>
    <t>神庙 防御塔</t>
  </si>
  <si>
    <t>出生点</t>
  </si>
  <si>
    <t>奇迹出生点</t>
  </si>
  <si>
    <t>帝国角斗场荣誉碑</t>
  </si>
  <si>
    <t>奇迹荣誉碑</t>
  </si>
  <si>
    <t>轩辕坛荣誉碑</t>
  </si>
  <si>
    <t>天元禁宫荣誉碑</t>
  </si>
  <si>
    <t>安息之塔荣誉碑</t>
  </si>
  <si>
    <t>守陵石像荣誉碑</t>
  </si>
  <si>
    <t>赫拉斯青铜巨像荣誉碑</t>
  </si>
  <si>
    <t>空小花园荣誉碑</t>
  </si>
  <si>
    <t>通天塔荣誉碑</t>
  </si>
  <si>
    <t>狩猎殿堂荣誉碑</t>
  </si>
  <si>
    <t>convert(ResMiracle.proto, table_MiracleScienceConf, MiracleScienceConfData.pbin)</t>
  </si>
  <si>
    <t>该字段貌似没用</t>
  </si>
  <si>
    <t>复合主键</t>
  </si>
  <si>
    <t>科技类型ID</t>
  </si>
  <si>
    <t>归属联盟奇迹建筑名称</t>
  </si>
  <si>
    <t>科技备注</t>
  </si>
  <si>
    <t>科技等级</t>
  </si>
  <si>
    <t>奇迹建筑等级</t>
  </si>
  <si>
    <t>奇迹建筑分支id</t>
  </si>
  <si>
    <t>奇迹科技所在圈</t>
  </si>
  <si>
    <t>所在圈描述</t>
  </si>
  <si>
    <t>前置科技</t>
  </si>
  <si>
    <t>研究消耗时间</t>
  </si>
  <si>
    <t>消耗联盟科研资金</t>
  </si>
  <si>
    <t>消耗资源</t>
  </si>
  <si>
    <t>研发需要消耗联盟资金</t>
  </si>
  <si>
    <t>资源赞助资源类型</t>
  </si>
  <si>
    <t>资源赞助资源数量</t>
  </si>
  <si>
    <t>BufferID</t>
  </si>
  <si>
    <t>B基础增益数值</t>
  </si>
  <si>
    <t>科技效果数值</t>
  </si>
  <si>
    <t>科技名称</t>
  </si>
  <si>
    <t>科技描述</t>
  </si>
  <si>
    <t>科技效果说明</t>
  </si>
  <si>
    <t>科技用的buff描述列表</t>
  </si>
  <si>
    <t>图标图集路径</t>
  </si>
  <si>
    <t>图标名称</t>
  </si>
  <si>
    <t>客户端坐标</t>
  </si>
  <si>
    <t>scienceId</t>
  </si>
  <si>
    <t>belongBuildingName</t>
  </si>
  <si>
    <t>type</t>
  </si>
  <si>
    <t>buildingLevel</t>
  </si>
  <si>
    <t>preBuildingSubId</t>
  </si>
  <si>
    <t>overseaTechRound</t>
  </si>
  <si>
    <t>overseaTechRoundDescKey</t>
  </si>
  <si>
    <t>preScience[|]</t>
  </si>
  <si>
    <t>studyCostSecond</t>
  </si>
  <si>
    <t>costAllianceCoin</t>
  </si>
  <si>
    <t>resourceConsume[|]{type;value}</t>
  </si>
  <si>
    <t>shareCoinConsume</t>
  </si>
  <si>
    <t>resourceDonateResourceType</t>
  </si>
  <si>
    <t>resourceDonateResourceCnt</t>
  </si>
  <si>
    <t>effectValue</t>
  </si>
  <si>
    <t>effectDesc</t>
  </si>
  <si>
    <t>buffDesc[|]</t>
  </si>
  <si>
    <t>atlasPath</t>
  </si>
  <si>
    <t>spriteName</t>
  </si>
  <si>
    <t>listCoord[;]</t>
  </si>
  <si>
    <t>内城黄金产量</t>
  </si>
  <si>
    <t>经济</t>
  </si>
  <si>
    <t>ART_Wood;100000|ART_Food;100000|ART_Stone;100000|ART_Gold;100000</t>
  </si>
  <si>
    <t>RT_MiracleBluePrint</t>
  </si>
  <si>
    <t>TID_Miracle_Tech_3111_Name</t>
  </si>
  <si>
    <t>淘金热潮</t>
  </si>
  <si>
    <t>TID_Miracle_Tech_3111_Desc</t>
  </si>
  <si>
    <t>提升联盟成员金矿场产量</t>
  </si>
  <si>
    <t>TID_Miracle_Tech_3111_BuffDesc</t>
  </si>
  <si>
    <t>提升金矿场产量</t>
  </si>
  <si>
    <t>icon_g_miracletech</t>
  </si>
  <si>
    <t>icon_miracle_01</t>
  </si>
  <si>
    <t>-1;1</t>
  </si>
  <si>
    <t>ART_Wood;120000|ART_Food;120000|ART_Stone;120000|ART_Gold;120000</t>
  </si>
  <si>
    <t>ART_Wood;150000|ART_Food;150000|ART_Stone;150000|ART_Gold;150000</t>
  </si>
  <si>
    <t>ART_Wood;200000|ART_Food;200000|ART_Stone;200000|ART_Gold;200000</t>
  </si>
  <si>
    <t>ART_Wood;300000|ART_Food;300000|ART_Stone;300000|ART_Gold;300000</t>
  </si>
  <si>
    <t>黄金采集速度</t>
  </si>
  <si>
    <t>TID_Miracle_Tech_3112_Name</t>
  </si>
  <si>
    <t>勘探计划</t>
  </si>
  <si>
    <t>TID_Miracle_Tech_3112_Desc</t>
  </si>
  <si>
    <t>提升联盟成员黄金资源采集速度</t>
  </si>
  <si>
    <t>TID_Miracle_Tech_3112_BuffDesc</t>
  </si>
  <si>
    <t>提升黄金资源点采集速度</t>
  </si>
  <si>
    <t>icon_miracle_02</t>
  </si>
  <si>
    <t>-2;1</t>
  </si>
  <si>
    <t>单人战斗攻击</t>
  </si>
  <si>
    <t>TID_Miracle_Tech_CircleUnlock2</t>
  </si>
  <si>
    <t>奇迹3级解锁</t>
  </si>
  <si>
    <t>311105|311205</t>
  </si>
  <si>
    <t>ART_Wood;105000|ART_Food;105000|ART_Stone;105000|ART_Gold;105000</t>
  </si>
  <si>
    <t>TID_Miracle_Tech_3121_Name</t>
  </si>
  <si>
    <t>单人攻击</t>
  </si>
  <si>
    <t>TID_Miracle_Tech_3121_Desc</t>
  </si>
  <si>
    <t>提升联盟成员单人出战时攻击加成</t>
  </si>
  <si>
    <t>TID_Miracle_Tech_3121_BuffDesc</t>
  </si>
  <si>
    <t>提升单人攻击</t>
  </si>
  <si>
    <t>icon_miracle_03</t>
  </si>
  <si>
    <t>-2;2</t>
  </si>
  <si>
    <t>ART_Wood;126000|ART_Food;126000|ART_Stone;126000|ART_Gold;126000</t>
  </si>
  <si>
    <t>ART_Wood;157500|ART_Food;157500|ART_Stone;157500|ART_Gold;157500</t>
  </si>
  <si>
    <t>ART_Wood;210000|ART_Food;210000|ART_Stone;210000|ART_Gold;210000</t>
  </si>
  <si>
    <t>ART_Wood;315000|ART_Food;315000|ART_Stone;315000|ART_Gold;315000</t>
  </si>
  <si>
    <t>全兵种攻击</t>
  </si>
  <si>
    <t>TID_Miracle_Tech_3122_Name</t>
  </si>
  <si>
    <t>TID_Miracle_Tech_3122_Desc</t>
  </si>
  <si>
    <t>提升联盟成员全兵种攻击加成</t>
  </si>
  <si>
    <t>TID_Miracle_Tech_3122_BuffDesc</t>
  </si>
  <si>
    <t>提升全兵种攻击</t>
  </si>
  <si>
    <t>icon_miracle_04</t>
  </si>
  <si>
    <t>-1;2</t>
  </si>
  <si>
    <t>集结攻击</t>
  </si>
  <si>
    <t>TID_Miracle_Tech_3123_Name</t>
  </si>
  <si>
    <t>TID_Miracle_Tech_3123_Desc</t>
  </si>
  <si>
    <t>提升联盟成员组队出出战时攻击加成</t>
  </si>
  <si>
    <t>TID_Miracle_Tech_3123_BuffDesc</t>
  </si>
  <si>
    <t>提升组队攻击</t>
  </si>
  <si>
    <t>icon_miracle_05</t>
  </si>
  <si>
    <t>-3;1</t>
  </si>
  <si>
    <t>TID_Miracle_Tech_CircleUnlock3</t>
  </si>
  <si>
    <t>奇迹6级解锁</t>
  </si>
  <si>
    <t>312105|312205|312305</t>
  </si>
  <si>
    <t>-3;2</t>
  </si>
  <si>
    <t>ART_Wood;144000|ART_Food;144000|ART_Stone;144000|ART_Gold;144000</t>
  </si>
  <si>
    <t>ART_Wood;180000|ART_Food;180000|ART_Stone;180000|ART_Gold;180000</t>
  </si>
  <si>
    <t>ART_Wood;240000|ART_Food;240000|ART_Stone;240000|ART_Gold;240000</t>
  </si>
  <si>
    <t>ART_Wood;360000|ART_Food;360000|ART_Stone;360000|ART_Gold;360000</t>
  </si>
  <si>
    <t>-2;3</t>
  </si>
  <si>
    <t>TID_Miracle_Tech_CircleUnlock4</t>
  </si>
  <si>
    <t>奇迹9级解锁</t>
  </si>
  <si>
    <t>313105|313205</t>
  </si>
  <si>
    <t>ART_Wood;140000|ART_Food;140000|ART_Stone;140000|ART_Gold;140000</t>
  </si>
  <si>
    <t>-1;3</t>
  </si>
  <si>
    <t>ART_Wood;168000|ART_Food;168000|ART_Stone;168000|ART_Gold;168000</t>
  </si>
  <si>
    <t>ART_Wood;280000|ART_Food;280000|ART_Stone;280000|ART_Gold;280000</t>
  </si>
  <si>
    <t>ART_Wood;420000|ART_Food;420000|ART_Stone;420000|ART_Gold;420000</t>
  </si>
  <si>
    <t>-4;1</t>
  </si>
  <si>
    <t>-4;2</t>
  </si>
  <si>
    <t>内城食物产量</t>
  </si>
  <si>
    <t>TID_Miracle_Tech_6111_Name</t>
  </si>
  <si>
    <t>选种培育</t>
  </si>
  <si>
    <t>TID_Miracle_Tech_6111_Desc</t>
  </si>
  <si>
    <t>提升联盟成员磨坊产量</t>
  </si>
  <si>
    <t>TID_Miracle_Tech_6111_BuffDesc</t>
  </si>
  <si>
    <t>提升磨坊产量</t>
  </si>
  <si>
    <t>icon_miracle_11</t>
  </si>
  <si>
    <t>食物采集速度</t>
  </si>
  <si>
    <t>TID_Miracle_Tech_6112_Name</t>
  </si>
  <si>
    <t>扩耕计划</t>
  </si>
  <si>
    <t>TID_Miracle_Tech_6112_Desc</t>
  </si>
  <si>
    <t>提升联盟成员食物资源采集速度</t>
  </si>
  <si>
    <t>TID_Miracle_Tech_6112_BuffDesc</t>
  </si>
  <si>
    <t>提升食物资源点采集速度</t>
  </si>
  <si>
    <t>icon_miracle_12</t>
  </si>
  <si>
    <t>伤兵治疗速度</t>
  </si>
  <si>
    <t>611105|611205</t>
  </si>
  <si>
    <t>TID_Miracle_Tech_6121_Name</t>
  </si>
  <si>
    <t>医术进步</t>
  </si>
  <si>
    <t>TID_Miracle_Tech_6121_Desc</t>
  </si>
  <si>
    <t>提升联盟成员伤兵治疗速度</t>
  </si>
  <si>
    <t>TID_Miracle_Tech_6121_BuffDesc</t>
  </si>
  <si>
    <t>提升伤兵治疗速度</t>
  </si>
  <si>
    <t>icon_miracle_13</t>
  </si>
  <si>
    <t>医馆上限</t>
  </si>
  <si>
    <t>TID_Miracle_Tech_6122_Name</t>
  </si>
  <si>
    <t>医馆扩容</t>
  </si>
  <si>
    <t>TID_Miracle_Tech_6122_Desc</t>
  </si>
  <si>
    <t>提升联盟成员治疗房舍的伤兵上限</t>
  </si>
  <si>
    <t>TID_Miracle_Tech_6122_BuffDesc</t>
  </si>
  <si>
    <t>提升伤兵上限</t>
  </si>
  <si>
    <t>icon_miracle_14</t>
  </si>
  <si>
    <t>单人PVP重伤下降</t>
  </si>
  <si>
    <t>TID_Miracle_Tech_6123_Name</t>
  </si>
  <si>
    <t>单人减伤</t>
  </si>
  <si>
    <t>TID_Miracle_Tech_6123_Desc</t>
  </si>
  <si>
    <t>降低联盟成员与其他玩家战斗时重伤士兵比例</t>
  </si>
  <si>
    <t>TID_Miracle_Tech_6123_BuffDesc</t>
  </si>
  <si>
    <t>降低重伤士兵比例</t>
  </si>
  <si>
    <t>icon_miracle_15</t>
  </si>
  <si>
    <t>612105|612205|612305</t>
  </si>
  <si>
    <t>613105|613205</t>
  </si>
  <si>
    <t>内城木头产量</t>
  </si>
  <si>
    <t>TID_Miracle_Tech_7111_Name</t>
  </si>
  <si>
    <t>开山伐木</t>
  </si>
  <si>
    <t>TID_Miracle_Tech_7111_Desc</t>
  </si>
  <si>
    <t>提升联盟成员伐木场产量</t>
  </si>
  <si>
    <t>TID_Miracle_Tech_7111_BuffDesc</t>
  </si>
  <si>
    <t>提升伐木场产量</t>
  </si>
  <si>
    <t>icon_miracle_06</t>
  </si>
  <si>
    <t>木头采集速度</t>
  </si>
  <si>
    <t>TID_Miracle_Tech_7112_Name</t>
  </si>
  <si>
    <t>养林计划</t>
  </si>
  <si>
    <t>TID_Miracle_Tech_7112_Desc</t>
  </si>
  <si>
    <t>提升联盟成员木材资源采集速度</t>
  </si>
  <si>
    <t>TID_Miracle_Tech_7112_BuffDesc</t>
  </si>
  <si>
    <t>提升木材资源点采集速度</t>
  </si>
  <si>
    <t>icon_miracle_07</t>
  </si>
  <si>
    <t>单人战斗防御</t>
  </si>
  <si>
    <t>711105|711205</t>
  </si>
  <si>
    <t>TID_Miracle_Tech_7121_Name</t>
  </si>
  <si>
    <t>单人防御</t>
  </si>
  <si>
    <t>TID_Miracle_Tech_7121_Desc</t>
  </si>
  <si>
    <t>提升联盟成员单人出战时防御加成</t>
  </si>
  <si>
    <t>TID_Miracle_Tech_7121_BuffDesc</t>
  </si>
  <si>
    <t>提升单人防御</t>
  </si>
  <si>
    <t>icon_miracle_08</t>
  </si>
  <si>
    <t>全兵种防御</t>
  </si>
  <si>
    <t>TID_Miracle_Tech_7122_Name</t>
  </si>
  <si>
    <t>TID_Miracle_Tech_7122_Desc</t>
  </si>
  <si>
    <t>提升联盟成员全兵种防御加成</t>
  </si>
  <si>
    <t>TID_Miracle_Tech_7122_BuffDesc</t>
  </si>
  <si>
    <t>提升全兵种防御</t>
  </si>
  <si>
    <t>icon_miracle_09</t>
  </si>
  <si>
    <t>组队战斗防御</t>
  </si>
  <si>
    <t>TID_Miracle_Tech_7123_Name</t>
  </si>
  <si>
    <t>集结防御</t>
  </si>
  <si>
    <t>TID_Miracle_Tech_7123_Desc</t>
  </si>
  <si>
    <t>提升联盟成员组队出出战时防御加成</t>
  </si>
  <si>
    <t>TID_Miracle_Tech_7123_BuffDesc</t>
  </si>
  <si>
    <t>提升组队防御</t>
  </si>
  <si>
    <t>icon_miracle_10</t>
  </si>
  <si>
    <t>712105|712205|712305</t>
  </si>
  <si>
    <t>713105|713205</t>
  </si>
  <si>
    <t>金字塔</t>
  </si>
  <si>
    <t>内城石头产量</t>
  </si>
  <si>
    <t>TID_Miracle_Tech_8111_Name</t>
  </si>
  <si>
    <t>采石工程</t>
  </si>
  <si>
    <t>TID_Miracle_Tech_8111_Desc</t>
  </si>
  <si>
    <t>提升联盟成员石矿场产量</t>
  </si>
  <si>
    <t>TID_Miracle_Tech_8111_BuffDesc</t>
  </si>
  <si>
    <t>提升石矿场产量</t>
  </si>
  <si>
    <t>icon_miracle_16</t>
  </si>
  <si>
    <t>石头采集速度</t>
  </si>
  <si>
    <t>TID_Miracle_Tech_8112_Name</t>
  </si>
  <si>
    <t>采石计划</t>
  </si>
  <si>
    <t>TID_Miracle_Tech_8112_Desc</t>
  </si>
  <si>
    <t>提升联盟成员石头资源采集速度</t>
  </si>
  <si>
    <t>TID_Miracle_Tech_8112_BuffDesc</t>
  </si>
  <si>
    <t>提升石头资源点采集速度</t>
  </si>
  <si>
    <t>icon_miracle_17</t>
  </si>
  <si>
    <t>歼灭提升</t>
  </si>
  <si>
    <t>811105|811205</t>
  </si>
  <si>
    <t>TID_Miracle_Tech_8121_Name</t>
  </si>
  <si>
    <t>额外歼灭</t>
  </si>
  <si>
    <t>TID_Miracle_Tech_8121_Desc</t>
  </si>
  <si>
    <t>提升联盟成员战斗中导致敌军死亡士兵比例</t>
  </si>
  <si>
    <t>TID_Miracle_Tech_8121_BuffDesc</t>
  </si>
  <si>
    <t>提升全兵种歼灭</t>
  </si>
  <si>
    <t>icon_miracle_18</t>
  </si>
  <si>
    <t>攻城基础歼灭</t>
  </si>
  <si>
    <t>TID_Miracle_Tech_8122_Name</t>
  </si>
  <si>
    <t>攻城歼灭</t>
  </si>
  <si>
    <t>TID_Miracle_Tech_8122_Desc</t>
  </si>
  <si>
    <t>提升联盟成员攻打其他玩家城池时的歼灭加成</t>
  </si>
  <si>
    <t>TID_Miracle_Tech_8122_BuffDesc</t>
  </si>
  <si>
    <t>提升攻城歼灭</t>
  </si>
  <si>
    <t>icon_miracle_19</t>
  </si>
  <si>
    <t>致伤提升</t>
  </si>
  <si>
    <t>TID_Miracle_Tech_8123_Name</t>
  </si>
  <si>
    <t>额外致伤</t>
  </si>
  <si>
    <t>TID_Miracle_Tech_8123_Desc</t>
  </si>
  <si>
    <t>提升联盟成员战斗中导致敌军重伤士兵比例</t>
  </si>
  <si>
    <t>TID_Miracle_Tech_8123_BuffDesc</t>
  </si>
  <si>
    <t>提升全兵种致伤</t>
  </si>
  <si>
    <t>icon_miracle_20</t>
  </si>
  <si>
    <t>812105|812205|812305</t>
  </si>
  <si>
    <t>采矿技术</t>
  </si>
  <si>
    <t>采矿效率</t>
  </si>
  <si>
    <t>提升联盟成员金资源采集速度</t>
  </si>
  <si>
    <t>提升金资源点采集速度</t>
  </si>
  <si>
    <t>813105|813205</t>
  </si>
  <si>
    <t>convert(ResMiracle.proto, table_MiracleBuildingBlessConf,  MiracleBuildingBlessConf.pbin)</t>
  </si>
  <si>
    <t>奇迹建筑sub_id</t>
  </si>
  <si>
    <t>祝福等级</t>
  </si>
  <si>
    <t>奇迹道具消耗</t>
  </si>
  <si>
    <t>持续时间(秒）</t>
  </si>
  <si>
    <t>冷却时间(秒）</t>
  </si>
  <si>
    <t>准备时间（秒）</t>
  </si>
  <si>
    <t>buff列表</t>
  </si>
  <si>
    <t>祝福名字</t>
  </si>
  <si>
    <t>祝福描述</t>
  </si>
  <si>
    <t>buff栏简略描述</t>
  </si>
  <si>
    <t>buff栏图集</t>
  </si>
  <si>
    <t>buff栏图标名</t>
  </si>
  <si>
    <t>增益类型</t>
  </si>
  <si>
    <t>主动技能id</t>
  </si>
  <si>
    <t>miracleBuildingConfId</t>
  </si>
  <si>
    <t>miracleScienceLevel</t>
  </si>
  <si>
    <t>effectDurationSec</t>
  </si>
  <si>
    <t>cdSec</t>
  </si>
  <si>
    <t>prepareSec</t>
  </si>
  <si>
    <t>buffList.bufferId</t>
  </si>
  <si>
    <t>buffList.b</t>
  </si>
  <si>
    <t>BlessName</t>
  </si>
  <si>
    <t>BlessDesc</t>
  </si>
  <si>
    <t>buffDesc</t>
  </si>
  <si>
    <t>smallIconAtlas</t>
  </si>
  <si>
    <t>smallIcon</t>
  </si>
  <si>
    <t>enhanceType</t>
  </si>
  <si>
    <t>inactiveSpriteName</t>
  </si>
  <si>
    <t>blessType</t>
  </si>
  <si>
    <t>activeSkillId</t>
  </si>
  <si>
    <t>ART_MiracleBlessItem;2000</t>
  </si>
  <si>
    <t>TID_Miracle_Bless_3_Name</t>
  </si>
  <si>
    <t>冠军勇士</t>
  </si>
  <si>
    <t>TID_Miracle_Bless_3_Desc1</t>
  </si>
  <si>
    <t>全联盟成员获得10%的全兵种攻击加成，准备时间30分钟，生效时间1小时，冷却时间1天。</t>
  </si>
  <si>
    <t>icon_miraclebig_03b</t>
  </si>
  <si>
    <t>TID_Miracle_Bless_3_buffDesc1</t>
  </si>
  <si>
    <t>全兵种攻击加成10%</t>
  </si>
  <si>
    <t>icon_buff</t>
  </si>
  <si>
    <t>icon_hudbuff_18</t>
  </si>
  <si>
    <t>icon_miraclebig_03</t>
  </si>
  <si>
    <t>龙卷风</t>
  </si>
  <si>
    <t>TID_Miracle_Bless_3_Desc2</t>
  </si>
  <si>
    <t>全联盟成员获得15%的全兵种攻击加成，准备时间30分钟，生效时间1小时，冷却时间1天。</t>
  </si>
  <si>
    <t>TID_Miracle_Bless_3_buffDesc2</t>
  </si>
  <si>
    <t>全兵种攻击加成15%</t>
  </si>
  <si>
    <t>TID_Miracle_Bless_3_Desc3</t>
  </si>
  <si>
    <t>全联盟成员获得20%的全兵种攻击加成，准备时间30分钟，生效时间1小时，冷却时间1天。</t>
  </si>
  <si>
    <t>TID_Miracle_Bless_3_buffDesc3</t>
  </si>
  <si>
    <t>全兵种攻击加成20%</t>
  </si>
  <si>
    <t>icon_miraclebig_06b</t>
  </si>
  <si>
    <t>TID_Miracle_Bless_7_Name</t>
  </si>
  <si>
    <t>世界之柱</t>
  </si>
  <si>
    <t>TID_Miracle_Bless_7_Desc1</t>
  </si>
  <si>
    <t>全联盟成员获得10%的全兵种防御加成，准备时间30分钟，生效时间1小时，冷却时间1天。</t>
  </si>
  <si>
    <t>icon_miraclebig_07b</t>
  </si>
  <si>
    <t>TID_Miracle_Bless_7_buffDesc1</t>
  </si>
  <si>
    <t>全兵种防御加成10%</t>
  </si>
  <si>
    <t>icon_hudbuff_17</t>
  </si>
  <si>
    <t>icon_miraclebig_07</t>
  </si>
  <si>
    <t>TID_Miracle_Bless_7_Desc2</t>
  </si>
  <si>
    <t>全联盟成员获得15%的全兵种防御加成，准备时间30分钟，生效时间1小时，冷却时间1天。</t>
  </si>
  <si>
    <t>TID_Miracle_Bless_7_buffDesc2</t>
  </si>
  <si>
    <t>全兵种防御加成15%</t>
  </si>
  <si>
    <t>TID_Miracle_Bless_7_Desc3</t>
  </si>
  <si>
    <t>全联盟成员获得20%的全兵种防御加成，准备时间30分钟，生效时间1小时，冷却时间1天。</t>
  </si>
  <si>
    <t>TID_Miracle_Bless_7_buffDesc3</t>
  </si>
  <si>
    <t>全兵种防御加成20%</t>
  </si>
  <si>
    <t>icon_miraclebig_08b</t>
  </si>
  <si>
    <t>convert(ResMiracle.proto, table_AllianceMiracleBuildingMilestoneUnlockConf, AllianceMiracleBuildingMilestoneUnlockConfData.pbin)</t>
  </si>
  <si>
    <t>天下大势ID</t>
  </si>
  <si>
    <t>解锁奇迹类型</t>
  </si>
  <si>
    <t>buildingType[;]</t>
  </si>
  <si>
    <t>convert(ResWorld.proto, table_BigSceneAllianceMiracleBuildingAdvanceConf, BigSceneAllianceMiracleBuildingAdvanceConfData_replace.pbin)</t>
  </si>
  <si>
    <t>升星消耗联盟资源</t>
  </si>
  <si>
    <t>升星消耗联盟资金数量</t>
  </si>
  <si>
    <t>升星消耗时长(秒)</t>
  </si>
  <si>
    <t>取消升星资源返还系数（千分比）</t>
  </si>
  <si>
    <t>解锁奇迹科技分支类型</t>
  </si>
  <si>
    <t>模型id</t>
  </si>
  <si>
    <t>装饰id</t>
  </si>
  <si>
    <t>icon图集（建造页面）</t>
  </si>
  <si>
    <t>icon名称（建造页面）</t>
  </si>
  <si>
    <t>icon图集（总览页面）</t>
  </si>
  <si>
    <t>icon名称（总览页面）</t>
  </si>
  <si>
    <t>特效：常驻、升级中、升级完成、耐久不足</t>
  </si>
  <si>
    <t>unlockMiracleScienceType</t>
  </si>
  <si>
    <t>prefabid</t>
  </si>
  <si>
    <t>prefabSubId</t>
  </si>
  <si>
    <t>previewBuildingIconAtlasPath</t>
  </si>
  <si>
    <t>previewBuildingIcon</t>
  </si>
  <si>
    <t>overallBuildingIconAtlasPath</t>
  </si>
  <si>
    <t>overallBuildingIcon</t>
  </si>
  <si>
    <t>miracleEfefctIds[|]</t>
  </si>
  <si>
    <t>阿尔忒弥斯神庙</t>
  </si>
  <si>
    <t>ART_Wood;50000|ART_Food;50000|ART_Stone;50000|ART_Gold;50000|ART_MiraclePoint;160</t>
  </si>
  <si>
    <t>icon_miracleentity</t>
  </si>
  <si>
    <t>icon_miracleentity_temple_l1</t>
  </si>
  <si>
    <t>101|104|107|110</t>
  </si>
  <si>
    <t>map_miracleentity_temple_l1</t>
  </si>
  <si>
    <t>ART_Wood;300000|ART_Food;300000|ART_Stone;300000|ART_Gold;300000|ART_MiraclePoint;800</t>
  </si>
  <si>
    <t>战争</t>
  </si>
  <si>
    <t>icon_miracleentity_temple_l2</t>
  </si>
  <si>
    <t>102|105|108|111</t>
  </si>
  <si>
    <t>map_miracleentity_temple_l2</t>
  </si>
  <si>
    <t>信仰</t>
  </si>
  <si>
    <t>icon_miracleentity_temple_l3</t>
  </si>
  <si>
    <t>103|106|109|112</t>
  </si>
  <si>
    <t>map_miracleentity_temple_l3</t>
  </si>
  <si>
    <t>罗德岛神像</t>
  </si>
  <si>
    <t>icon_miracleentity_rdd_l1</t>
  </si>
  <si>
    <t>map_miracleentity_rdd_l1</t>
  </si>
  <si>
    <t>icon_miracleentity_rdd_l2</t>
  </si>
  <si>
    <t>map_miracleentity_rdd_l2</t>
  </si>
  <si>
    <t>icon_miracleentity_rdd_l3</t>
  </si>
  <si>
    <t>map_miracleentity_rdd_l3</t>
  </si>
  <si>
    <t>icon_miracleentity_colosseum_l1</t>
  </si>
  <si>
    <t>map_miracleentity_colosseum_l1</t>
  </si>
  <si>
    <t>icon_miracleentity_colosseum_l2</t>
  </si>
  <si>
    <t>map_miracleentity_colosseum_l2</t>
  </si>
  <si>
    <t>icon_miracleentity_colosseum_l3</t>
  </si>
  <si>
    <t>map_miracleentity_colosseum_l3</t>
  </si>
  <si>
    <t>黄帝陵</t>
  </si>
  <si>
    <t>icon_miracleentity_hdl_l1</t>
  </si>
  <si>
    <t>map_miracleentity_hdl_l1</t>
  </si>
  <si>
    <t>icon_miracleentity_hdl_l2</t>
  </si>
  <si>
    <t>map_miracleentity_hdl_l2</t>
  </si>
  <si>
    <t>icon_miracleentity_hdl_l3</t>
  </si>
  <si>
    <t>map_miracleentity_hdl_l3</t>
  </si>
  <si>
    <t>大明宫</t>
  </si>
  <si>
    <t>icon_miracleentity_dmg_l1</t>
  </si>
  <si>
    <t>201|204|207|210</t>
  </si>
  <si>
    <t>map_miracleentity_dmg_l1</t>
  </si>
  <si>
    <t>icon_miracleentity_dmg_l2</t>
  </si>
  <si>
    <t>202|205|208|211</t>
  </si>
  <si>
    <t>map_miracleentity_dmg_l2</t>
  </si>
  <si>
    <t>icon_miracleentity_dmg_l3</t>
  </si>
  <si>
    <t>203|206|209|212</t>
  </si>
  <si>
    <t>map_miracleentity_dmg_l3</t>
  </si>
  <si>
    <t>icon_miracleentity_garden_l1</t>
  </si>
  <si>
    <t>map_miracleentity_garden_l1</t>
  </si>
  <si>
    <t>icon_miracleentity_garden_l2</t>
  </si>
  <si>
    <t>map_miracleentity_garden_l2</t>
  </si>
  <si>
    <t>icon_miracleentity_garden_l3</t>
  </si>
  <si>
    <t>map_miracleentity_garden_l3</t>
  </si>
  <si>
    <t>icon_miracleentity_skyt_l1</t>
  </si>
  <si>
    <t>map_miracleentity_skyt_l1</t>
  </si>
  <si>
    <t>icon_miracleentity_skyt_l2</t>
  </si>
  <si>
    <t>map_miracleentity_skyt_l2</t>
  </si>
  <si>
    <t>icon_miracleentity_skyt_l3</t>
  </si>
  <si>
    <t>map_miracleentity_skyt_l3</t>
  </si>
  <si>
    <t>icon_miracleentity_pyramid_l1</t>
  </si>
  <si>
    <t>map_miracleentity_pyramid_l1</t>
  </si>
  <si>
    <t>icon_miracleentity_pyramid_l2</t>
  </si>
  <si>
    <t>map_miracleentity_pyramid_l2</t>
  </si>
  <si>
    <t>icon_miracleentity_pyramid_l3</t>
  </si>
  <si>
    <t>map_miracleentity_pyramid_l3</t>
  </si>
  <si>
    <t>狮身人面像</t>
  </si>
  <si>
    <t>icon_miracleentity_sphinx_l1</t>
  </si>
  <si>
    <t>map_miracleentity_sphinx_l1</t>
  </si>
  <si>
    <t>icon_miracleentity_sphinx_l2</t>
  </si>
  <si>
    <t>map_miracleentity_sphinx_l2</t>
  </si>
  <si>
    <t>icon_miracleentity_sphinx_l3</t>
  </si>
  <si>
    <t>map_miracleentity_sphinx_l3</t>
  </si>
  <si>
    <t>空中花园1级</t>
  </si>
  <si>
    <t>TID_BigSceneMingChengOtherBuildingTemplateConfData_1_replace_40601_name_CN_S2</t>
  </si>
  <si>
    <t>TID_BigSceneMingChengOtherBuildingTemplateConfData_1_replace_40601_desc_CN_S2</t>
  </si>
  <si>
    <t>miracle_hud_bg_07</t>
  </si>
  <si>
    <t>bg_miracle_06</t>
  </si>
  <si>
    <t>miracle07_bg_v</t>
  </si>
  <si>
    <t>bg_miracletech_06</t>
  </si>
  <si>
    <t>空中花园2级</t>
  </si>
  <si>
    <t>空中花园3级</t>
  </si>
  <si>
    <t>空中花园4级</t>
  </si>
  <si>
    <t>空中花园5级</t>
  </si>
  <si>
    <t>空中花园6级</t>
  </si>
  <si>
    <t>空中花园7级</t>
  </si>
  <si>
    <t>空中花园8级</t>
  </si>
  <si>
    <t>空中花园9级</t>
  </si>
  <si>
    <t>空中花园10级</t>
  </si>
  <si>
    <t>金字塔1级</t>
  </si>
  <si>
    <t>TID_BigSceneMingChengOtherBuildingTemplateConfData_1_replace_40801_name_CN_S2</t>
  </si>
  <si>
    <t>TID_BigSceneMingChengOtherBuildingTemplateConfData_1_replace_40801_desc_CN_S2</t>
  </si>
  <si>
    <t>miracle_hud_bg_04</t>
  </si>
  <si>
    <t>bg_miracle_08</t>
  </si>
  <si>
    <t>miracle04_bg_v</t>
  </si>
  <si>
    <t>bg_miracletech_08</t>
  </si>
  <si>
    <t>金字塔2级</t>
  </si>
  <si>
    <t>金字塔3级</t>
  </si>
  <si>
    <t>金字塔4级</t>
  </si>
  <si>
    <t>金字塔5级</t>
  </si>
  <si>
    <t>金字塔6级</t>
  </si>
  <si>
    <t>金字塔7级</t>
  </si>
  <si>
    <t>金字塔8级</t>
  </si>
  <si>
    <t>金字塔9级</t>
  </si>
  <si>
    <t>金字塔10级</t>
  </si>
  <si>
    <t>阿尔忒弥斯神庙1级</t>
  </si>
  <si>
    <t>TID_BigSceneMingChengOtherBuildingTemplateConfData_1_replace_40101_name_CN_S2</t>
  </si>
  <si>
    <t>401501;401502;401503;401504;401501;401502;401503;401504;401501;401502;401503;401504;401501;401502;401503;401504</t>
  </si>
  <si>
    <t>TID_BigSceneMingChengOtherBuildingTemplateConfData_1_replace_40101_desc_CN_S2</t>
  </si>
  <si>
    <t>ART_Wood;20000|ART_Food;20000|ART_Stone;20000|ART_Gold;20000|ART_MiraclePiece;400</t>
  </si>
  <si>
    <t>ART_Wood;30000|ART_Food;30000|ART_Stone;30000|ART_Gold;30000|ART_MiraclePiece;15</t>
  </si>
  <si>
    <t>ART_Wood;1000000|ART_Food;1000000|ART_Stone;1000000|ART_Gold;1000000|ART_MiraclePiece;40</t>
  </si>
  <si>
    <t>miracle_hud_bg_09</t>
  </si>
  <si>
    <t>GAI_Build;50;500000|GAI_Repair;50;500000|GAI_Battle;20;1200000</t>
  </si>
  <si>
    <t>miracle09_bg</t>
  </si>
  <si>
    <t>miracle09_bg_v</t>
  </si>
  <si>
    <t>阿尔忒弥斯神庙2级</t>
  </si>
  <si>
    <t>ART_Wood;40000|ART_Food;40000|ART_Stone;40000|ART_Gold;40000|ART_MiraclePiece;20</t>
  </si>
  <si>
    <t>阿尔忒弥斯神庙3级</t>
  </si>
  <si>
    <t>ART_Wood;50000|ART_Food;50000|ART_Stone;50000|ART_Gold;50000|ART_MiraclePiece;25</t>
  </si>
  <si>
    <t>阿尔忒弥斯神庙4级</t>
  </si>
  <si>
    <t>ART_Wood;60000|ART_Food;60000|ART_Stone;60000|ART_Gold;60000|ART_MiraclePiece;30</t>
  </si>
  <si>
    <t>阿尔忒弥斯神庙5级</t>
  </si>
  <si>
    <t>ART_Wood;70000|ART_Food;70000|ART_Stone;70000|ART_Gold;70000|ART_MiraclePiece;35</t>
  </si>
  <si>
    <t>阿尔忒弥斯神庙6级</t>
  </si>
  <si>
    <t>401601;401602;401603;401604;401601;401602;401603;401604;401601;401602;401603;401604;401601;401602;401603;401604</t>
  </si>
  <si>
    <t>ART_Wood;80000|ART_Food;80000|ART_Stone;80000|ART_Gold;80000|ART_MiraclePiece;40</t>
  </si>
  <si>
    <t>阿尔忒弥斯神庙7级</t>
  </si>
  <si>
    <t>ART_Wood;90000|ART_Food;90000|ART_Stone;90000|ART_Gold;90000|ART_MiraclePiece;45</t>
  </si>
  <si>
    <t>阿尔忒弥斯神庙8级</t>
  </si>
  <si>
    <t>ART_Wood;100000|ART_Food;100000|ART_Stone;100000|ART_Gold;100000|ART_MiraclePiece;50</t>
  </si>
  <si>
    <t>阿尔忒弥斯神庙9级</t>
  </si>
  <si>
    <t>ART_Wood;150000|ART_Food;150000|ART_Stone;150000|ART_Gold;150000|ART_MiraclePiece;55</t>
  </si>
  <si>
    <t>阿尔忒弥斯神庙10级</t>
  </si>
  <si>
    <t>ART_Wood;200000|ART_Food;200000|ART_Stone;200000|ART_Gold;200000|ART_MiraclePiece;60</t>
  </si>
  <si>
    <t>阿尔忒弥斯神庙11级</t>
  </si>
  <si>
    <t>401701;401702;401703;401704;401701;401702;401703;401704;401701;401702;401703;401704;401701;401702;401703;401704;401701;401702;401703;401704</t>
  </si>
  <si>
    <t>ART_Wood;250000|ART_Food;250000|ART_Stone;250000|ART_Gold;250000|ART_MiraclePiece;65</t>
  </si>
  <si>
    <t>阿尔忒弥斯神庙12级</t>
  </si>
  <si>
    <t>ART_Wood;300000|ART_Food;300000|ART_Stone;300000|ART_Gold;300000|ART_MiraclePiece;70</t>
  </si>
  <si>
    <t>阿尔忒弥斯神庙13级</t>
  </si>
  <si>
    <t>ART_Wood;350000|ART_Food;350000|ART_Stone;350000|ART_Gold;350000|ART_MiraclePiece;75</t>
  </si>
  <si>
    <t>阿尔忒弥斯神庙14级</t>
  </si>
  <si>
    <t>ART_Wood;400000|ART_Food;400000|ART_Stone;400000|ART_Gold;400000|ART_MiraclePiece;80</t>
  </si>
  <si>
    <t>阿尔忒弥斯神庙15级</t>
  </si>
  <si>
    <t>ART_Wood;500000|ART_Food;500000|ART_Stone;500000|ART_Gold;500000|ART_MiraclePiece;85</t>
  </si>
  <si>
    <t>阿尔忒弥斯神庙16级</t>
  </si>
  <si>
    <t>401801;401802;401803;401804;401801;401802;401803;401804;401801;401802;401803;401804;401801;401802;401803;401804;401801;401802;401803;401804</t>
  </si>
  <si>
    <t>ART_Wood;700000|ART_Food;700000|ART_Stone;700000|ART_Gold;700000|ART_MiraclePiece;90</t>
  </si>
  <si>
    <t>阿尔忒弥斯神庙17级</t>
  </si>
  <si>
    <t>ART_Wood;1000000|ART_Food;1000000|ART_Stone;1000000|ART_Gold;1000000|ART_MiraclePiece;95</t>
  </si>
  <si>
    <t>阿尔忒弥斯神庙18级</t>
  </si>
  <si>
    <t>ART_Wood;1500000|ART_Food;1500000|ART_Stone;1500000|ART_Gold;1500000|ART_MiraclePiece;100</t>
  </si>
  <si>
    <t>阿尔忒弥斯神庙19级</t>
  </si>
  <si>
    <t>ART_Wood;2000000|ART_Food;2000000|ART_Stone;2000000|ART_Gold;2000000|ART_MiraclePiece;105</t>
  </si>
  <si>
    <t>阿尔忒弥斯神庙20级</t>
  </si>
  <si>
    <t>罗德岛神像1级</t>
  </si>
  <si>
    <t>TID_BigSceneMingChengOtherBuildingTemplateConfData_1_replace_40201_name_CN_S2</t>
  </si>
  <si>
    <t>TID_BigSceneMingChengOtherBuildingTemplateConfData_1_replace_40201_desc_CN_S2</t>
  </si>
  <si>
    <t>miracle_hud_bg_06</t>
  </si>
  <si>
    <t>miracle06_bg</t>
  </si>
  <si>
    <t>miracle06_bg_v</t>
  </si>
  <si>
    <t>罗德岛神像2级</t>
  </si>
  <si>
    <t>罗德岛神像3级</t>
  </si>
  <si>
    <t>罗德岛神像4级</t>
  </si>
  <si>
    <t>罗德岛神像5级</t>
  </si>
  <si>
    <t>罗德岛神像6级</t>
  </si>
  <si>
    <t>罗德岛神像7级</t>
  </si>
  <si>
    <t>罗德岛神像8级</t>
  </si>
  <si>
    <t>罗德岛神像9级</t>
  </si>
  <si>
    <t>罗德岛神像10级</t>
  </si>
  <si>
    <t>罗德岛神像11级</t>
  </si>
  <si>
    <t>罗德岛神像12级</t>
  </si>
  <si>
    <t>罗德岛神像13级</t>
  </si>
  <si>
    <t>罗德岛神像14级</t>
  </si>
  <si>
    <t>罗德岛神像15级</t>
  </si>
  <si>
    <t>罗德岛神像16级</t>
  </si>
  <si>
    <t>罗德岛神像17级</t>
  </si>
  <si>
    <t>罗德岛神像18级</t>
  </si>
  <si>
    <t>罗德岛神像19级</t>
  </si>
  <si>
    <t>罗德岛神像20级</t>
  </si>
  <si>
    <t>miracle01_bg</t>
  </si>
  <si>
    <t>斗兽场11级</t>
  </si>
  <si>
    <t>斗兽场12级</t>
  </si>
  <si>
    <t>斗兽场13级</t>
  </si>
  <si>
    <t>斗兽场14级</t>
  </si>
  <si>
    <t>斗兽场15级</t>
  </si>
  <si>
    <t>斗兽场16级</t>
  </si>
  <si>
    <t>斗兽场17级</t>
  </si>
  <si>
    <t>斗兽场18级</t>
  </si>
  <si>
    <t>斗兽场19级</t>
  </si>
  <si>
    <t>斗兽场20级</t>
  </si>
  <si>
    <t>黄帝陵1级</t>
  </si>
  <si>
    <t>TID_BigSceneMingChengOtherBuildingTemplateConfData_1_replace_40401_name_CN_S2</t>
  </si>
  <si>
    <t>TID_BigSceneMingChengOtherBuildingTemplateConfData_1_replace_40401_desc_CN_S2</t>
  </si>
  <si>
    <t>miracle_hud_bg_02</t>
  </si>
  <si>
    <t>miracle02_bg</t>
  </si>
  <si>
    <t>miracle02_bg_v</t>
  </si>
  <si>
    <t>黄帝陵2级</t>
  </si>
  <si>
    <t>黄帝陵3级</t>
  </si>
  <si>
    <t>黄帝陵4级</t>
  </si>
  <si>
    <t>黄帝陵5级</t>
  </si>
  <si>
    <t>黄帝陵6级</t>
  </si>
  <si>
    <t>黄帝陵7级</t>
  </si>
  <si>
    <t>黄帝陵8级</t>
  </si>
  <si>
    <t>黄帝陵9级</t>
  </si>
  <si>
    <t>黄帝陵10级</t>
  </si>
  <si>
    <t>黄帝陵11级</t>
  </si>
  <si>
    <t>黄帝陵12级</t>
  </si>
  <si>
    <t>黄帝陵13级</t>
  </si>
  <si>
    <t>黄帝陵14级</t>
  </si>
  <si>
    <t>黄帝陵15级</t>
  </si>
  <si>
    <t>黄帝陵16级</t>
  </si>
  <si>
    <t>黄帝陵17级</t>
  </si>
  <si>
    <t>黄帝陵18级</t>
  </si>
  <si>
    <t>黄帝陵19级</t>
  </si>
  <si>
    <t>黄帝陵20级</t>
  </si>
  <si>
    <t>大明宫1级</t>
  </si>
  <si>
    <t>TID_BigSceneMingChengOtherBuildingTemplateConfData_1_replace_40501_name_CN_S2</t>
  </si>
  <si>
    <t>TID_BigSceneMingChengOtherBuildingTemplateConfData_1_replace_40501_desc_CN_S2</t>
  </si>
  <si>
    <t>miracle_hud_bg_03</t>
  </si>
  <si>
    <t>miracle03_bg</t>
  </si>
  <si>
    <t>miracle03_bg_v</t>
  </si>
  <si>
    <t>大明宫2级</t>
  </si>
  <si>
    <t>大明宫3级</t>
  </si>
  <si>
    <t>大明宫4级</t>
  </si>
  <si>
    <t>大明宫5级</t>
  </si>
  <si>
    <t>大明宫6级</t>
  </si>
  <si>
    <t>大明宫7级</t>
  </si>
  <si>
    <t>大明宫8级</t>
  </si>
  <si>
    <t>大明宫9级</t>
  </si>
  <si>
    <t>大明宫10级</t>
  </si>
  <si>
    <t>大明宫11级</t>
  </si>
  <si>
    <t>大明宫12级</t>
  </si>
  <si>
    <t>大明宫13级</t>
  </si>
  <si>
    <t>大明宫14级</t>
  </si>
  <si>
    <t>大明宫15级</t>
  </si>
  <si>
    <t>大明宫16级</t>
  </si>
  <si>
    <t>大明宫17级</t>
  </si>
  <si>
    <t>大明宫18级</t>
  </si>
  <si>
    <t>大明宫19级</t>
  </si>
  <si>
    <t>大明宫20级</t>
  </si>
  <si>
    <t>miracle07_bg</t>
  </si>
  <si>
    <t>空中花园11级</t>
  </si>
  <si>
    <t>空中花园12级</t>
  </si>
  <si>
    <t>空中花园13级</t>
  </si>
  <si>
    <t>空中花园14级</t>
  </si>
  <si>
    <t>空中花园15级</t>
  </si>
  <si>
    <t>空中花园16级</t>
  </si>
  <si>
    <t>空中花园17级</t>
  </si>
  <si>
    <t>空中花园18级</t>
  </si>
  <si>
    <t>空中花园19级</t>
  </si>
  <si>
    <t>空中花园20级</t>
  </si>
  <si>
    <t>miracle08_bg</t>
  </si>
  <si>
    <t>巴别塔11级</t>
  </si>
  <si>
    <t>巴别塔12级</t>
  </si>
  <si>
    <t>巴别塔13级</t>
  </si>
  <si>
    <t>巴别塔14级</t>
  </si>
  <si>
    <t>巴别塔15级</t>
  </si>
  <si>
    <t>巴别塔16级</t>
  </si>
  <si>
    <t>巴别塔17级</t>
  </si>
  <si>
    <t>巴别塔18级</t>
  </si>
  <si>
    <t>巴别塔19级</t>
  </si>
  <si>
    <t>巴别塔20级</t>
  </si>
  <si>
    <t>miracle04_bg</t>
  </si>
  <si>
    <t>金字塔11级</t>
  </si>
  <si>
    <t>金字塔12级</t>
  </si>
  <si>
    <t>金字塔13级</t>
  </si>
  <si>
    <t>金字塔14级</t>
  </si>
  <si>
    <t>金字塔15级</t>
  </si>
  <si>
    <t>金字塔16级</t>
  </si>
  <si>
    <t>金字塔17级</t>
  </si>
  <si>
    <t>金字塔18级</t>
  </si>
  <si>
    <t>金字塔19级</t>
  </si>
  <si>
    <t>金字塔20级</t>
  </si>
  <si>
    <t>狮身人面像1级</t>
  </si>
  <si>
    <t>TID_BigSceneMingChengOtherBuildingTemplateConfData_1_replace_40901_name_CN_S2</t>
  </si>
  <si>
    <t>TID_BigSceneMingChengOtherBuildingTemplateConfData_1_replace_40901_desc_CN_S2</t>
  </si>
  <si>
    <t>miracle_hud_bg_05</t>
  </si>
  <si>
    <t>miracle05_bg</t>
  </si>
  <si>
    <t>miracle05_bg_v</t>
  </si>
  <si>
    <t>狮身人面像2级</t>
  </si>
  <si>
    <t>狮身人面像3级</t>
  </si>
  <si>
    <t>狮身人面像4级</t>
  </si>
  <si>
    <t>狮身人面像5级</t>
  </si>
  <si>
    <t>狮身人面像6级</t>
  </si>
  <si>
    <t>狮身人面像7级</t>
  </si>
  <si>
    <t>狮身人面像8级</t>
  </si>
  <si>
    <t>狮身人面像9级</t>
  </si>
  <si>
    <t>狮身人面像10级</t>
  </si>
  <si>
    <t>狮身人面像11级</t>
  </si>
  <si>
    <t>狮身人面像12级</t>
  </si>
  <si>
    <t>狮身人面像13级</t>
  </si>
  <si>
    <t>狮身人面像14级</t>
  </si>
  <si>
    <t>狮身人面像15级</t>
  </si>
  <si>
    <t>狮身人面像16级</t>
  </si>
  <si>
    <t>狮身人面像17级</t>
  </si>
  <si>
    <t>狮身人面像18级</t>
  </si>
  <si>
    <t>狮身人面像19级</t>
  </si>
  <si>
    <t>狮身人面像20级</t>
  </si>
  <si>
    <t>黄金内外城产量提升</t>
  </si>
  <si>
    <t>ART_Wood;10000|ART_Food;10000|ART_Stone;10000|ART_Gold;10000</t>
  </si>
  <si>
    <t>1060|1065</t>
  </si>
  <si>
    <t>0.004|0.002</t>
  </si>
  <si>
    <t>采矿方案</t>
  </si>
  <si>
    <t>提升联盟成员金矿场和金资源点产量</t>
  </si>
  <si>
    <t>提升金矿场产量|提升金资源点产量</t>
  </si>
  <si>
    <t>icon_n_guildtech</t>
  </si>
  <si>
    <t>icon_n_guildtech_050</t>
  </si>
  <si>
    <t>金矿场产量提升</t>
  </si>
  <si>
    <t>ART_Wood;20000|ART_Food;20000|ART_Stone;20000|ART_Gold;20000</t>
  </si>
  <si>
    <t>icon_n_guildtech_062</t>
  </si>
  <si>
    <t>金地产量提升</t>
  </si>
  <si>
    <t>采矿计划</t>
  </si>
  <si>
    <t>提升联盟成员金资源点产量</t>
  </si>
  <si>
    <t>提升金资源点产量</t>
  </si>
  <si>
    <t>每小时黄金产量提升</t>
  </si>
  <si>
    <t>ART_Wood;40000|ART_Food;40000|ART_Stone;40000|ART_Gold;40000</t>
  </si>
  <si>
    <t>采矿基础</t>
  </si>
  <si>
    <t>提升联盟成员每小时黄金产量</t>
  </si>
  <si>
    <t>提升每小时黄金产量</t>
  </si>
  <si>
    <t>农民生产黄金效率</t>
  </si>
  <si>
    <t>提升联盟成员农民生产黄金效率</t>
  </si>
  <si>
    <t>提升农民生产黄金效率</t>
  </si>
  <si>
    <t>特殊点</t>
  </si>
  <si>
    <t>支撑立柱</t>
  </si>
  <si>
    <t>研究后才可解锁第二系科技</t>
  </si>
  <si>
    <t>icon_n_guildtech_069</t>
  </si>
  <si>
    <t>-3;3</t>
  </si>
  <si>
    <t>金地采集速度</t>
  </si>
  <si>
    <t>金地采集量</t>
  </si>
  <si>
    <t>采矿工程</t>
  </si>
  <si>
    <t>提升联盟成员金资源采集产出</t>
  </si>
  <si>
    <t>提升金资源点采集产出</t>
  </si>
  <si>
    <t>ART_Wood;60000|ART_Food;60000|ART_Stone;60000|ART_Gold;60000</t>
  </si>
  <si>
    <t>ART_Wood;80000|ART_Food;80000|ART_Stone;80000|ART_Gold;80000</t>
  </si>
  <si>
    <t>-4;3</t>
  </si>
  <si>
    <t>0.01|0.005</t>
  </si>
  <si>
    <t>-4;4</t>
  </si>
  <si>
    <t>-3;4</t>
  </si>
  <si>
    <t>-2;4</t>
  </si>
  <si>
    <t>-1;4</t>
  </si>
  <si>
    <t>弓兵攻防血</t>
  </si>
  <si>
    <t>20004|20034|20064</t>
  </si>
  <si>
    <t>0.01|0.01|0.005</t>
  </si>
  <si>
    <t>弓兵加强</t>
  </si>
  <si>
    <t>提升联盟成员的弓兵攻击、防御和生命</t>
  </si>
  <si>
    <t>提升弓兵攻击|提升弓兵防御|提升弓兵生命</t>
  </si>
  <si>
    <t>icon_n_guildtech_010</t>
  </si>
  <si>
    <t>1;0</t>
  </si>
  <si>
    <t>弓兵攻击</t>
  </si>
  <si>
    <t>提升联盟成员的弓兵攻击</t>
  </si>
  <si>
    <t>提升弓兵攻击</t>
  </si>
  <si>
    <t>icon_n_guildtech_009</t>
  </si>
  <si>
    <t>1;1</t>
  </si>
  <si>
    <t>弓兵生命</t>
  </si>
  <si>
    <t>提升联盟成员的弓兵生命</t>
  </si>
  <si>
    <t>提升弓兵生命</t>
  </si>
  <si>
    <t>2;0</t>
  </si>
  <si>
    <t>弓兵防御</t>
  </si>
  <si>
    <t>提升联盟成员的弓兵防御</t>
  </si>
  <si>
    <t>提升弓兵防御</t>
  </si>
  <si>
    <t>icon_n_guildtech_008</t>
  </si>
  <si>
    <t>2;-1</t>
  </si>
  <si>
    <t>弓兵单人攻击</t>
  </si>
  <si>
    <t>提升联盟成员的单人出战时弓兵攻击</t>
  </si>
  <si>
    <t>提升弓兵单人攻击</t>
  </si>
  <si>
    <t>1;2</t>
  </si>
  <si>
    <t>弓兵组队攻击</t>
  </si>
  <si>
    <t>提升联盟成员的组队出战时弓兵攻击</t>
  </si>
  <si>
    <t>提升弓兵组队攻击</t>
  </si>
  <si>
    <t>2;1</t>
  </si>
  <si>
    <t>狩猎之眷</t>
  </si>
  <si>
    <t>研究后才可解锁第三系科技</t>
  </si>
  <si>
    <t>弓兵组队防御</t>
  </si>
  <si>
    <t>提升联盟成员的组队出战时弓兵防御</t>
  </si>
  <si>
    <t>提升弓兵组队防御</t>
  </si>
  <si>
    <t>3;-1</t>
  </si>
  <si>
    <t>弓兵单人防御</t>
  </si>
  <si>
    <t>提升联盟成员的单人出战时弓兵防御</t>
  </si>
  <si>
    <t>提升弓兵单人防御</t>
  </si>
  <si>
    <t>3;-2</t>
  </si>
  <si>
    <t>弓兵歼灭</t>
  </si>
  <si>
    <t>提升联盟成员弓兵歼灭敌军比例</t>
  </si>
  <si>
    <t>提升弓兵歼灭敌军比例</t>
  </si>
  <si>
    <t>1;3</t>
  </si>
  <si>
    <t>弓兵单人生命</t>
  </si>
  <si>
    <t>提升联盟成员的单人出战时弓兵生命</t>
  </si>
  <si>
    <t>提升弓兵单人生命</t>
  </si>
  <si>
    <t>2;2</t>
  </si>
  <si>
    <t>弓兵组队生命</t>
  </si>
  <si>
    <t>提升联盟成员的组队出战时弓兵生命</t>
  </si>
  <si>
    <t>提升弓兵组队生命</t>
  </si>
  <si>
    <t>3;1</t>
  </si>
  <si>
    <t>1233|1243|1245</t>
  </si>
  <si>
    <t>4;0</t>
  </si>
  <si>
    <t>4;-1</t>
  </si>
  <si>
    <t>4;-2</t>
  </si>
  <si>
    <t>4;-3</t>
  </si>
  <si>
    <t>诸葛弩攻防血</t>
  </si>
  <si>
    <t>20008|20038|20068</t>
  </si>
  <si>
    <t>0.015|0.015|0.0075</t>
  </si>
  <si>
    <t>诸葛弩加强</t>
  </si>
  <si>
    <t>提升联盟成员的诸葛弩攻击、防御和生命</t>
  </si>
  <si>
    <t>提升诸葛弩攻击|提升诸葛弩防御|提升诸葛弩生命</t>
  </si>
  <si>
    <t>0;-1</t>
  </si>
  <si>
    <t>诸葛弩攻击</t>
  </si>
  <si>
    <t>提升联盟成员的诸葛弩攻击</t>
  </si>
  <si>
    <t>提升诸葛弩攻击</t>
  </si>
  <si>
    <t>-1;-1</t>
  </si>
  <si>
    <t>智谋型3属性</t>
  </si>
  <si>
    <t>30223|30233|30243</t>
  </si>
  <si>
    <t>谋略之杖</t>
  </si>
  <si>
    <t>提升联盟成员智谋型英雄武力、守备和谋略</t>
  </si>
  <si>
    <t>提升智谋型英雄武力|提升智谋型英雄守备|提升智谋型英雄谋略</t>
  </si>
  <si>
    <t>icon_n_guildtech_028</t>
  </si>
  <si>
    <t>0;-2</t>
  </si>
  <si>
    <t>诸葛弩防御</t>
  </si>
  <si>
    <t>提升联盟成员的诸葛弩防御</t>
  </si>
  <si>
    <t>提升诸葛弩防御</t>
  </si>
  <si>
    <t>1;-2</t>
  </si>
  <si>
    <t>-2;-1</t>
  </si>
  <si>
    <t>智谋型智谋</t>
  </si>
  <si>
    <t>1321|1322</t>
  </si>
  <si>
    <t>提升联盟成员智谋型英雄谋略</t>
  </si>
  <si>
    <t>提升智谋型英雄谋略</t>
  </si>
  <si>
    <t>icon_n_guildtech_029</t>
  </si>
  <si>
    <t>-1;-2</t>
  </si>
  <si>
    <t>智谋型武力</t>
  </si>
  <si>
    <t>提升联盟成员智谋型英雄武力</t>
  </si>
  <si>
    <t>提升智谋型英雄武力</t>
  </si>
  <si>
    <t>icon_n_guildtech_030</t>
  </si>
  <si>
    <t>0;-3</t>
  </si>
  <si>
    <t>智谋型守备</t>
  </si>
  <si>
    <t>1323|1322</t>
  </si>
  <si>
    <t>提升联盟成员智谋型英雄守备</t>
  </si>
  <si>
    <t>提升智谋型英雄守备</t>
  </si>
  <si>
    <t>icon_n_guildtech_031</t>
  </si>
  <si>
    <t>1;-3</t>
  </si>
  <si>
    <t>2;-3</t>
  </si>
  <si>
    <t>-3;-1</t>
  </si>
  <si>
    <t>诸葛弩生命</t>
  </si>
  <si>
    <t>提升联盟成员的诸葛弩生命</t>
  </si>
  <si>
    <t>提升诸葛弩生命</t>
  </si>
  <si>
    <t>-2;-2</t>
  </si>
  <si>
    <t>智谋型武力和智谋</t>
  </si>
  <si>
    <t>1332|1333</t>
  </si>
  <si>
    <t>30223|30243</t>
  </si>
  <si>
    <t>1.5|1.5</t>
  </si>
  <si>
    <t>提升联盟成员智谋型英雄武力和谋略</t>
  </si>
  <si>
    <t>提升智谋型英雄武力|提升智谋型英雄谋略</t>
  </si>
  <si>
    <t>-1;-3</t>
  </si>
  <si>
    <t>1343|1345</t>
  </si>
  <si>
    <t>0;-4</t>
  </si>
  <si>
    <t>智谋型武力和守备</t>
  </si>
  <si>
    <t>1334|1333</t>
  </si>
  <si>
    <t>30223|30233</t>
  </si>
  <si>
    <t>提升联盟成员智谋型英雄武力和守备</t>
  </si>
  <si>
    <t>提升智谋型英雄武力|提升智谋型英雄守备</t>
  </si>
  <si>
    <t>1;-4</t>
  </si>
  <si>
    <t>2;-4</t>
  </si>
  <si>
    <t>3;-4</t>
  </si>
  <si>
    <t>粮草内外城产量提升</t>
  </si>
  <si>
    <t>1057|1062</t>
  </si>
  <si>
    <t>耕田方案</t>
  </si>
  <si>
    <t>提升联盟成员磨坊和粮资源点产量</t>
  </si>
  <si>
    <t>提升磨坊产量|提升粮资源点产量</t>
  </si>
  <si>
    <t>icon_n_guildtech_051</t>
  </si>
  <si>
    <t>磨坊产量提升</t>
  </si>
  <si>
    <t>耕田技术</t>
  </si>
  <si>
    <t>icon_n_guildtech_035</t>
  </si>
  <si>
    <t>内外城产量提升</t>
  </si>
  <si>
    <t>粮地产量提升</t>
  </si>
  <si>
    <t>耕田计划</t>
  </si>
  <si>
    <t>提升联盟成员粮资源点产量</t>
  </si>
  <si>
    <t>提升粮资源点产量</t>
  </si>
  <si>
    <t>每小时食物产量提升</t>
  </si>
  <si>
    <t>耕田基础</t>
  </si>
  <si>
    <t>提升联盟成员每小时食物产量</t>
  </si>
  <si>
    <t>提升每小时食物产量</t>
  </si>
  <si>
    <t>农民生产粮食效率</t>
  </si>
  <si>
    <t>耕田效率</t>
  </si>
  <si>
    <t>提升联盟成员农民生产粮食效率</t>
  </si>
  <si>
    <t>提升农民生产粮食效率</t>
  </si>
  <si>
    <t>大型铸模</t>
  </si>
  <si>
    <t>粮地采集速度</t>
  </si>
  <si>
    <t>提升联盟成员粮资源采集速度</t>
  </si>
  <si>
    <t>提升粮资源点采集速度</t>
  </si>
  <si>
    <t>粮地采集量</t>
  </si>
  <si>
    <t>耕田工程</t>
  </si>
  <si>
    <t>提升联盟成员粮资源采集产出</t>
  </si>
  <si>
    <t>提升粮资源点采集产出</t>
  </si>
  <si>
    <t>提升磨坊产量|粮资源点产量</t>
  </si>
  <si>
    <t>枪兵攻防血</t>
  </si>
  <si>
    <t>20002|20032|20062</t>
  </si>
  <si>
    <t>枪兵加强</t>
  </si>
  <si>
    <t>提升联盟成员的枪兵攻击、防御和生命</t>
  </si>
  <si>
    <t>提升枪兵攻击|提升枪兵防御|提升枪兵生命</t>
  </si>
  <si>
    <t>icon_n_guildtech_048</t>
  </si>
  <si>
    <t>枪兵攻击</t>
  </si>
  <si>
    <t>提升联盟成员的枪兵攻击</t>
  </si>
  <si>
    <t>提升枪兵攻击</t>
  </si>
  <si>
    <t>icon_n_guildtech_047</t>
  </si>
  <si>
    <t>枪兵生命</t>
  </si>
  <si>
    <t>提升联盟成员的枪兵生命</t>
  </si>
  <si>
    <t>提升枪兵生命</t>
  </si>
  <si>
    <t>枪兵防御</t>
  </si>
  <si>
    <t>提升联盟成员的枪兵防御</t>
  </si>
  <si>
    <t>提升枪兵防御</t>
  </si>
  <si>
    <t>icon_n_guildtech_046</t>
  </si>
  <si>
    <t>枪兵单人攻击</t>
  </si>
  <si>
    <t>提升联盟成员的单人出战时枪兵攻击</t>
  </si>
  <si>
    <t>提升枪兵单人攻击</t>
  </si>
  <si>
    <t>枪兵组队攻击</t>
  </si>
  <si>
    <t>提升联盟成员的组队出战时枪兵攻击</t>
  </si>
  <si>
    <t>提升枪兵组队攻击</t>
  </si>
  <si>
    <t>太阳之辉</t>
  </si>
  <si>
    <t>枪兵组队防御</t>
  </si>
  <si>
    <t>提升联盟成员的组队出战时枪兵防御</t>
  </si>
  <si>
    <t>提升枪兵组队防御</t>
  </si>
  <si>
    <t>枪兵单人防御</t>
  </si>
  <si>
    <t>提升联盟成员的单人出战时枪兵防御</t>
  </si>
  <si>
    <t>提升枪兵单人防御</t>
  </si>
  <si>
    <t>枪兵歼灭</t>
  </si>
  <si>
    <t>提升联盟成员枪兵歼灭敌军比例</t>
  </si>
  <si>
    <t>提升枪兵歼灭敌军比例</t>
  </si>
  <si>
    <t>枪兵单人生命</t>
  </si>
  <si>
    <t>提升联盟成员的单人出战时枪兵生命</t>
  </si>
  <si>
    <t>提升枪兵单人生命</t>
  </si>
  <si>
    <t>枪兵组队生命</t>
  </si>
  <si>
    <t>提升联盟成员的组队出战时枪兵生命</t>
  </si>
  <si>
    <t>提升枪兵组队生命</t>
  </si>
  <si>
    <t>2233|2243|2245</t>
  </si>
  <si>
    <t>方阵兵攻防血</t>
  </si>
  <si>
    <t>20006|20036|20066</t>
  </si>
  <si>
    <t>方阵兵加强</t>
  </si>
  <si>
    <t>提升联盟成员的方阵兵攻击、防御和生命</t>
  </si>
  <si>
    <t>提升方阵兵攻击|提升方阵兵防御|提升方阵兵生命</t>
  </si>
  <si>
    <t>方阵兵攻击</t>
  </si>
  <si>
    <t>提升联盟成员的方阵兵攻击</t>
  </si>
  <si>
    <t>提升方阵兵攻击</t>
  </si>
  <si>
    <t>勇武型3属性</t>
  </si>
  <si>
    <t>30221|30231|30241</t>
  </si>
  <si>
    <t>英勇之剑</t>
  </si>
  <si>
    <t>提升联盟成员勇武型英雄武力、守备和谋略</t>
  </si>
  <si>
    <t>提升勇武型英雄武力|提升勇武型英雄守备|提升勇武型英雄谋略</t>
  </si>
  <si>
    <t>方阵兵防御</t>
  </si>
  <si>
    <t>提升联盟成员的方阵兵防御</t>
  </si>
  <si>
    <t>提升方阵兵防御</t>
  </si>
  <si>
    <t>勇武型智谋</t>
  </si>
  <si>
    <t>2321|2322</t>
  </si>
  <si>
    <t>提升联盟成员勇武型英雄谋略</t>
  </si>
  <si>
    <t>提升勇武型英雄谋略</t>
  </si>
  <si>
    <t>勇武型武力</t>
  </si>
  <si>
    <t>提升联盟成员勇武型英雄武力</t>
  </si>
  <si>
    <t>提升勇武型英雄武力</t>
  </si>
  <si>
    <t>勇武型守备</t>
  </si>
  <si>
    <t>2323|2322</t>
  </si>
  <si>
    <t>提升联盟成员勇武型英雄守备</t>
  </si>
  <si>
    <t>提升勇武型英雄守备</t>
  </si>
  <si>
    <t>方阵兵生命</t>
  </si>
  <si>
    <t>提升联盟成员的方阵兵生命</t>
  </si>
  <si>
    <t>提升方阵兵生命</t>
  </si>
  <si>
    <t>勇武型武力和智谋</t>
  </si>
  <si>
    <t>2332|2333</t>
  </si>
  <si>
    <t>30221|30241</t>
  </si>
  <si>
    <t>提升联盟成员勇武型英雄武力和谋略</t>
  </si>
  <si>
    <t>提升勇武型英雄武力|提升勇武型英雄谋略</t>
  </si>
  <si>
    <t>2343|2345</t>
  </si>
  <si>
    <t>勇武型武力和守备</t>
  </si>
  <si>
    <t>2334|2333</t>
  </si>
  <si>
    <t>30221|30231</t>
  </si>
  <si>
    <t>提升联盟成员勇武型英雄武力和守备</t>
  </si>
  <si>
    <t>提升勇武型英雄武力|提升勇武型英雄守备</t>
  </si>
  <si>
    <t>1059|1064</t>
  </si>
  <si>
    <t>采石方案</t>
  </si>
  <si>
    <t>提升联盟成员石矿场和石资源点产量</t>
  </si>
  <si>
    <t>提升石矿场产量|提升石资源点产量</t>
  </si>
  <si>
    <t>icon_n_guildtech_053</t>
  </si>
  <si>
    <t>采石场产量提升</t>
  </si>
  <si>
    <t>采石技术</t>
  </si>
  <si>
    <t>icon_n_guildtech_061</t>
  </si>
  <si>
    <t>石地产量提升</t>
  </si>
  <si>
    <t>奇迹5级解锁</t>
  </si>
  <si>
    <t>3111|3121|3122</t>
  </si>
  <si>
    <t>提升联盟成员石资源点产量</t>
  </si>
  <si>
    <t>提升石资源点产量</t>
  </si>
  <si>
    <t>每小时石头产量提升</t>
  </si>
  <si>
    <t>采石基础</t>
  </si>
  <si>
    <t>提升联盟成员每小时石头产量</t>
  </si>
  <si>
    <t>提升每小时石头产量</t>
  </si>
  <si>
    <t>农民生产石头效率</t>
  </si>
  <si>
    <t>奇迹10级解锁</t>
  </si>
  <si>
    <t>3123|3131</t>
  </si>
  <si>
    <t>采石效率</t>
  </si>
  <si>
    <t>提升联盟成员农民生产石头效率</t>
  </si>
  <si>
    <t>提升农民生产石头效率</t>
  </si>
  <si>
    <t>环形结构</t>
  </si>
  <si>
    <t>石地采集速度</t>
  </si>
  <si>
    <t>提升联盟成员石资源采集速度</t>
  </si>
  <si>
    <t>提升石资源点采集速度</t>
  </si>
  <si>
    <t>石地采集量</t>
  </si>
  <si>
    <t>提升联盟成员石资源采集产出</t>
  </si>
  <si>
    <t>提升石资源点采集产出</t>
  </si>
  <si>
    <t>奇迹15级解锁</t>
  </si>
  <si>
    <t>3132|3134|3135|3141</t>
  </si>
  <si>
    <t>奇迹20级解锁</t>
  </si>
  <si>
    <t>3142|3143</t>
  </si>
  <si>
    <t>剑士攻防血</t>
  </si>
  <si>
    <t>20001|20031|20061</t>
  </si>
  <si>
    <t>剑士加强</t>
  </si>
  <si>
    <t>提升联盟成员的剑士攻击、防御和生命</t>
  </si>
  <si>
    <t>提升剑士攻击|提升剑士防御|提升剑士生命</t>
  </si>
  <si>
    <t>icon_n_guildtech_019</t>
  </si>
  <si>
    <t>剑士攻击</t>
  </si>
  <si>
    <t>提升联盟成员的剑士攻击</t>
  </si>
  <si>
    <t>提升剑士攻击</t>
  </si>
  <si>
    <t>icon_n_guildtech_018</t>
  </si>
  <si>
    <t>剑士生命</t>
  </si>
  <si>
    <t>提升联盟成员的剑士生命</t>
  </si>
  <si>
    <t>提升剑士生命</t>
  </si>
  <si>
    <t>剑士防御</t>
  </si>
  <si>
    <t>提升联盟成员的剑士防御</t>
  </si>
  <si>
    <t>提升剑士防御</t>
  </si>
  <si>
    <t>icon_n_guildtech_017</t>
  </si>
  <si>
    <t>剑士单人攻击</t>
  </si>
  <si>
    <t>提升联盟成员的单人出战时剑士攻击</t>
  </si>
  <si>
    <t>提升剑士单人攻击</t>
  </si>
  <si>
    <t>剑士组队攻击</t>
  </si>
  <si>
    <t>提升联盟成员的组队出战时剑士攻击</t>
  </si>
  <si>
    <t>提升剑士组队攻击</t>
  </si>
  <si>
    <t>竞技之魂</t>
  </si>
  <si>
    <t>剑士组队防御</t>
  </si>
  <si>
    <t>提升联盟成员的组队出战时剑士防御</t>
  </si>
  <si>
    <t>提升剑士组队防御</t>
  </si>
  <si>
    <t>剑士单人防御</t>
  </si>
  <si>
    <t>提升联盟成员的单人出战时剑士防御</t>
  </si>
  <si>
    <t>提升剑士单人防御</t>
  </si>
  <si>
    <t>剑士歼灭</t>
  </si>
  <si>
    <t>提升联盟成员剑士歼灭敌军比例</t>
  </si>
  <si>
    <t>提升剑士歼灭敌军比例</t>
  </si>
  <si>
    <t>剑士单人生命</t>
  </si>
  <si>
    <t>提升联盟成员的单人出战时剑士生命</t>
  </si>
  <si>
    <t>提升剑士单人生命</t>
  </si>
  <si>
    <t>剑士组队生命</t>
  </si>
  <si>
    <t>提升联盟成员的组队出战时剑士生命</t>
  </si>
  <si>
    <t>提升剑士组队生命</t>
  </si>
  <si>
    <t>3233|3243|3245</t>
  </si>
  <si>
    <t>掷斧兵攻防血</t>
  </si>
  <si>
    <t>20005|20035|20065</t>
  </si>
  <si>
    <t>掷斧兵加强</t>
  </si>
  <si>
    <t>提升联盟成员的掷斧兵攻击、防御和生命</t>
  </si>
  <si>
    <t>提升掷斧兵攻击|提升掷斧兵防御|提升掷斧兵生命</t>
  </si>
  <si>
    <t>掷斧兵攻击</t>
  </si>
  <si>
    <t>提升联盟成员的掷斧兵攻击</t>
  </si>
  <si>
    <t>提升掷斧兵攻击</t>
  </si>
  <si>
    <t>掷斧兵防御</t>
  </si>
  <si>
    <t>提升联盟成员的掷斧兵防御</t>
  </si>
  <si>
    <t>提升掷斧兵防御</t>
  </si>
  <si>
    <t>3321|3322</t>
  </si>
  <si>
    <t>3323|3322</t>
  </si>
  <si>
    <t>掷斧兵生命</t>
  </si>
  <si>
    <t>提升联盟成员的掷斧兵生命</t>
  </si>
  <si>
    <t>提升掷斧兵生命</t>
  </si>
  <si>
    <t>3332|3333</t>
  </si>
  <si>
    <t>3343|3345</t>
  </si>
  <si>
    <t>3334|3333</t>
  </si>
  <si>
    <t>阴符经</t>
  </si>
  <si>
    <t>黄龙之祖</t>
  </si>
  <si>
    <t>4233|4243|4245</t>
  </si>
  <si>
    <t>统率型3属性</t>
  </si>
  <si>
    <t>30222|30232|30242</t>
  </si>
  <si>
    <t>统御皇冠</t>
  </si>
  <si>
    <t>提升联盟成员统率型英雄武力、守备和谋略</t>
  </si>
  <si>
    <t>提升统率型英雄武力|提升统率型英雄守备|提升统率型英雄谋略</t>
  </si>
  <si>
    <t>统率型智谋</t>
  </si>
  <si>
    <t>4321|4322</t>
  </si>
  <si>
    <t>提升联盟成员统率型英雄谋略</t>
  </si>
  <si>
    <t>提升统率型英雄谋略</t>
  </si>
  <si>
    <t>统率型武力</t>
  </si>
  <si>
    <t>提升联盟成员统率型英雄武力</t>
  </si>
  <si>
    <t>提升统率型英雄武力</t>
  </si>
  <si>
    <t>统率型守备</t>
  </si>
  <si>
    <t>4323|4322</t>
  </si>
  <si>
    <t>提升联盟成员统率型英雄守备</t>
  </si>
  <si>
    <t>提升统率型英雄守备</t>
  </si>
  <si>
    <t>统率型武力和智谋</t>
  </si>
  <si>
    <t>4332|4333</t>
  </si>
  <si>
    <t>30222|30242</t>
  </si>
  <si>
    <t>提升联盟成员统率型英雄武力和谋略</t>
  </si>
  <si>
    <t>提升统率型英雄武力|提升统率型英雄谋略</t>
  </si>
  <si>
    <t>4343|4345</t>
  </si>
  <si>
    <t>统率型武力和守备</t>
  </si>
  <si>
    <t>4334|4333</t>
  </si>
  <si>
    <t>30222|30232</t>
  </si>
  <si>
    <t>提升联盟成员统率型英雄武力和守备</t>
  </si>
  <si>
    <t>提升统率型英雄武力|提升统率型英雄守备</t>
  </si>
  <si>
    <t>1058|1063</t>
  </si>
  <si>
    <t>伐木方案</t>
  </si>
  <si>
    <t>提升联盟成员伐木场和木资源点产量</t>
  </si>
  <si>
    <t>提升伐木场产量|提升木资源点产量</t>
  </si>
  <si>
    <t>icon_n_guildtech_052</t>
  </si>
  <si>
    <t>伐木场产量提升</t>
  </si>
  <si>
    <t>伐木技术</t>
  </si>
  <si>
    <t>icon_n_guildtech_041</t>
  </si>
  <si>
    <t>木地产量提升</t>
  </si>
  <si>
    <t>伐木计划</t>
  </si>
  <si>
    <t>提升联盟成员木资源点产量</t>
  </si>
  <si>
    <t>提升木资源点产量</t>
  </si>
  <si>
    <t>每小时木材产量提升</t>
  </si>
  <si>
    <t>伐木基础</t>
  </si>
  <si>
    <t>提升联盟成员每小时木材产量</t>
  </si>
  <si>
    <t>提升每小时木材产量</t>
  </si>
  <si>
    <t>农民生产木头效率</t>
  </si>
  <si>
    <t>伐木效率</t>
  </si>
  <si>
    <t>提升联盟成员农民生产木头效率</t>
  </si>
  <si>
    <t>提升农民生产木头效率</t>
  </si>
  <si>
    <t>宫殿形制</t>
  </si>
  <si>
    <t>木地采集速度</t>
  </si>
  <si>
    <t>提升联盟成员木资源采集速度</t>
  </si>
  <si>
    <t>提升木资源点采集速度</t>
  </si>
  <si>
    <t>木地采集量</t>
  </si>
  <si>
    <t>伐木工程</t>
  </si>
  <si>
    <t>提升联盟成员木资源采集产出</t>
  </si>
  <si>
    <t>提升木资源点采集产出</t>
  </si>
  <si>
    <t>九鼎之尊</t>
  </si>
  <si>
    <t>5233|5243|5245</t>
  </si>
  <si>
    <t>5321|5322</t>
  </si>
  <si>
    <t>5323|5322</t>
  </si>
  <si>
    <t>5332|5333</t>
  </si>
  <si>
    <t>5343|5345</t>
  </si>
  <si>
    <t>5334|5333</t>
  </si>
  <si>
    <t>6111|6121|6122</t>
  </si>
  <si>
    <t>6123|6131</t>
  </si>
  <si>
    <t>6132|6134|6135|6141</t>
  </si>
  <si>
    <t>6142|6143</t>
  </si>
  <si>
    <t>骑士攻防血</t>
  </si>
  <si>
    <t>20003|20033|20063</t>
  </si>
  <si>
    <t>骑士加强</t>
  </si>
  <si>
    <t>提升联盟成员的骑士攻击、防御和生命</t>
  </si>
  <si>
    <t>提升骑士攻击|提升骑士防御|提升骑士生命</t>
  </si>
  <si>
    <t>icon_n_guildtech_045</t>
  </si>
  <si>
    <t>骑士攻击</t>
  </si>
  <si>
    <t>提升联盟成员的骑士攻击</t>
  </si>
  <si>
    <t>提升骑士攻击</t>
  </si>
  <si>
    <t>icon_n_guildtech_044</t>
  </si>
  <si>
    <t>骑士生命</t>
  </si>
  <si>
    <t>提升联盟成员的骑士生命</t>
  </si>
  <si>
    <t>提升骑士生命</t>
  </si>
  <si>
    <t>骑士防御</t>
  </si>
  <si>
    <t>提升联盟成员的骑士防御</t>
  </si>
  <si>
    <t>提升骑士防御</t>
  </si>
  <si>
    <t>icon_n_guildtech_043</t>
  </si>
  <si>
    <t>骑士单人攻击</t>
  </si>
  <si>
    <t>提升联盟成员的单人出战时骑士攻击</t>
  </si>
  <si>
    <t>提升骑士单人攻击</t>
  </si>
  <si>
    <t>骑士组队攻击</t>
  </si>
  <si>
    <t>提升联盟成员的组队出战时骑士攻击</t>
  </si>
  <si>
    <t>提升骑士组队攻击</t>
  </si>
  <si>
    <t>悬天之阁</t>
  </si>
  <si>
    <t>骑士组队防御</t>
  </si>
  <si>
    <t>提升联盟成员的组队出战时骑士防御</t>
  </si>
  <si>
    <t>提升骑士组队防御</t>
  </si>
  <si>
    <t>骑士单人防御</t>
  </si>
  <si>
    <t>提升联盟成员的单人出战时骑士防御</t>
  </si>
  <si>
    <t>提升骑士单人防御</t>
  </si>
  <si>
    <t>骑士歼灭</t>
  </si>
  <si>
    <t>提升联盟成员骑士歼灭敌军比例</t>
  </si>
  <si>
    <t>提升骑士歼灭敌军比例</t>
  </si>
  <si>
    <t>骑士单人生命</t>
  </si>
  <si>
    <t>提升联盟成员的单人出战时骑士生命</t>
  </si>
  <si>
    <t>提升骑士单人生命</t>
  </si>
  <si>
    <t>骑士组队生命</t>
  </si>
  <si>
    <t>提升联盟成员的组队出战时骑士生命</t>
  </si>
  <si>
    <t>提升骑士组队生命</t>
  </si>
  <si>
    <t>6233|6243|6245</t>
  </si>
  <si>
    <t>甲胄骑士攻防血</t>
  </si>
  <si>
    <t>20007|20037|20067</t>
  </si>
  <si>
    <t>甲胄骑士加强</t>
  </si>
  <si>
    <t>提升联盟成员的甲胄骑士攻击、防御和生命</t>
  </si>
  <si>
    <t>提升甲胄骑士攻击|提升甲胄骑士防御|提升甲胄骑士生命</t>
  </si>
  <si>
    <t>甲胄骑士攻击</t>
  </si>
  <si>
    <t>提升联盟成员的甲胄骑士攻击</t>
  </si>
  <si>
    <t>提升甲胄骑士攻击</t>
  </si>
  <si>
    <t>甲胄骑士防御</t>
  </si>
  <si>
    <t>提升联盟成员的甲胄骑士防御</t>
  </si>
  <si>
    <t>提升甲胄骑士防御</t>
  </si>
  <si>
    <t>6321|6322</t>
  </si>
  <si>
    <t>6323|6322</t>
  </si>
  <si>
    <t>甲胄骑士生命</t>
  </si>
  <si>
    <t>提升联盟成员的甲胄骑士生命</t>
  </si>
  <si>
    <t>提升甲胄骑士生命</t>
  </si>
  <si>
    <t>6332|6333</t>
  </si>
  <si>
    <t>6343|6345</t>
  </si>
  <si>
    <t>6334|6333</t>
  </si>
  <si>
    <t>7111|7121|7122</t>
  </si>
  <si>
    <t>7123|7131</t>
  </si>
  <si>
    <t>高层建筑</t>
  </si>
  <si>
    <t>7132|7134|7135|7141</t>
  </si>
  <si>
    <t>7142|7143</t>
  </si>
  <si>
    <t>世界之语</t>
  </si>
  <si>
    <t>7233|7243|7245</t>
  </si>
  <si>
    <t>7321|7322</t>
  </si>
  <si>
    <t>7323|7322</t>
  </si>
  <si>
    <t>7332|7333</t>
  </si>
  <si>
    <t>7343|7345</t>
  </si>
  <si>
    <t>7334|7333</t>
  </si>
  <si>
    <t>8111|8121|8122</t>
  </si>
  <si>
    <t>8123|8131</t>
  </si>
  <si>
    <t>巨物运输</t>
  </si>
  <si>
    <t>8132|8134|8135|8141</t>
  </si>
  <si>
    <t>8142|8143</t>
  </si>
  <si>
    <t>静谧之地</t>
  </si>
  <si>
    <t>8233|8243|8245</t>
  </si>
  <si>
    <t>8321|8322</t>
  </si>
  <si>
    <t>8323|8322</t>
  </si>
  <si>
    <t>8332|8333</t>
  </si>
  <si>
    <t>8343|8345</t>
  </si>
  <si>
    <t>8334|8333</t>
  </si>
  <si>
    <t>巨像雕刻</t>
  </si>
  <si>
    <t>守望之王</t>
  </si>
  <si>
    <t>9233|9243|9245</t>
  </si>
  <si>
    <t>统率型统率</t>
  </si>
  <si>
    <t>9321|9322</t>
  </si>
  <si>
    <t>9323|9322</t>
  </si>
  <si>
    <t>统率型武力和统率</t>
  </si>
  <si>
    <t>9332|9333</t>
  </si>
  <si>
    <t>9343|9345</t>
  </si>
  <si>
    <t>9334|9333</t>
  </si>
  <si>
    <t>祝福类型(默认,龙卷风,雷电)</t>
    <phoneticPr fontId="14" type="noConversion"/>
  </si>
  <si>
    <t>雷电</t>
  </si>
  <si>
    <t>建筑详情界面描述</t>
    <phoneticPr fontId="14" type="noConversion"/>
  </si>
  <si>
    <t>TID_Miracle_Bless_3_ShortDesc1</t>
    <phoneticPr fontId="14" type="noConversion"/>
  </si>
  <si>
    <t>TID_Miracle_Bless_3_ShortDesc2</t>
  </si>
  <si>
    <t>TID_Miracle_Bless_3_ShortDesc3</t>
  </si>
  <si>
    <t>TID_Miracle_Bless_7_ShortDesc2</t>
  </si>
  <si>
    <t>TID_Miracle_Bless_7_ShortDesc3</t>
  </si>
  <si>
    <t>TID_Miracle_Bless_7_ShortDesc1</t>
    <phoneticPr fontId="14" type="noConversion"/>
  </si>
  <si>
    <t>联盟成员获得10%攻击加成，持续1小时。</t>
    <phoneticPr fontId="14" type="noConversion"/>
  </si>
  <si>
    <t>联盟成员获得15%攻击加成，持续1小时。</t>
    <phoneticPr fontId="14" type="noConversion"/>
  </si>
  <si>
    <t>联盟成员获得20%攻击加成，持续1小时。</t>
    <phoneticPr fontId="14" type="noConversion"/>
  </si>
  <si>
    <t>联盟成员获得10%防御加成，持续1小时。</t>
    <phoneticPr fontId="14" type="noConversion"/>
  </si>
  <si>
    <t>联盟成员获得15%防御加成，持续1小时。</t>
    <phoneticPr fontId="14" type="noConversion"/>
  </si>
  <si>
    <t>联盟成员获得20%防御加成，持续1小时。</t>
    <phoneticPr fontId="14" type="noConversion"/>
  </si>
  <si>
    <t>shortBlessDesc</t>
    <phoneticPr fontId="14" type="noConversion"/>
  </si>
  <si>
    <t>巴别塔;斗兽场;空中花园;金字塔</t>
    <phoneticPr fontId="14" type="noConversion"/>
  </si>
  <si>
    <t>黄帝陵;大明宫;罗德岛神像;阿尔忒弥斯神庙;狮身人面像</t>
    <phoneticPr fontId="14" type="noConversion"/>
  </si>
  <si>
    <t>TID_Miracle_Bless_3_Name</t>
    <phoneticPr fontId="14" type="noConversion"/>
  </si>
  <si>
    <t>默认</t>
    <phoneticPr fontId="14" type="noConversion"/>
  </si>
  <si>
    <t>TID_Miracle_Bless_6_Name</t>
    <phoneticPr fontId="14" type="noConversion"/>
  </si>
  <si>
    <t>TID_Miracle_Bless_8_Name</t>
    <phoneticPr fontId="14" type="noConversion"/>
  </si>
  <si>
    <t>TID_Miracle_Bless_6_Desc1</t>
    <phoneticPr fontId="14" type="noConversion"/>
  </si>
  <si>
    <t>TID_Miracle_Bless_6_Desc2</t>
    <phoneticPr fontId="14" type="noConversion"/>
  </si>
  <si>
    <t>TID_Miracle_Bless_6_Desc3</t>
    <phoneticPr fontId="14" type="noConversion"/>
  </si>
  <si>
    <t>空中愤怒</t>
    <phoneticPr fontId="14" type="noConversion"/>
  </si>
  <si>
    <t>塔间狂风</t>
    <phoneticPr fontId="14" type="noConversion"/>
  </si>
  <si>
    <t>TID_Miracle_Bless_6_ShortDesc1</t>
    <phoneticPr fontId="14" type="noConversion"/>
  </si>
  <si>
    <t>TID_Miracle_Bless_6_ShortDesc2</t>
    <phoneticPr fontId="14" type="noConversion"/>
  </si>
  <si>
    <t>TID_Miracle_Bless_6_ShortDesc3</t>
    <phoneticPr fontId="14" type="noConversion"/>
  </si>
  <si>
    <t>TID_Miracle_Bless_8_ShortDesc1</t>
    <phoneticPr fontId="14" type="noConversion"/>
  </si>
  <si>
    <t>TID_Miracle_Bless_8_ShortDesc2</t>
    <phoneticPr fontId="14" type="noConversion"/>
  </si>
  <si>
    <t>TID_Miracle_Bless_8_ShortDesc3</t>
    <phoneticPr fontId="14" type="noConversion"/>
  </si>
  <si>
    <t>TID_Miracle_Bless_8_Desc1</t>
    <phoneticPr fontId="14" type="noConversion"/>
  </si>
  <si>
    <t>icon_miraclebig_06</t>
    <phoneticPr fontId="14" type="noConversion"/>
  </si>
  <si>
    <t>icon_miraclebig_08</t>
    <phoneticPr fontId="14" type="noConversion"/>
  </si>
  <si>
    <t>未激活图标名称</t>
    <phoneticPr fontId="14" type="noConversion"/>
  </si>
  <si>
    <t>TID_Miracle_Bless_8_Desc2</t>
    <phoneticPr fontId="14" type="noConversion"/>
  </si>
  <si>
    <t>TID_Miracle_Bless_8_Desc3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</si>
</sst>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FFFFFF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82909634693444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>
      <alignment vertical="center"/>
    </xf>
  </cellStyleXfs>
  <cellXfs count="103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4" borderId="0" xfId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2" borderId="1" xfId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4" borderId="0" xfId="0" applyFill="1"/>
    <xf numFmtId="0" fontId="1" fillId="8" borderId="0" xfId="0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1" fillId="0" borderId="0" xfId="0" applyFont="1"/>
    <xf numFmtId="49" fontId="1" fillId="0" borderId="1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top"/>
    </xf>
    <xf numFmtId="0" fontId="0" fillId="7" borderId="0" xfId="0" applyFill="1" applyAlignment="1">
      <alignment horizontal="left" vertical="top"/>
    </xf>
    <xf numFmtId="0" fontId="1" fillId="9" borderId="0" xfId="0" applyFont="1" applyFill="1" applyAlignment="1">
      <alignment horizontal="left"/>
    </xf>
    <xf numFmtId="0" fontId="1" fillId="9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1" fillId="10" borderId="0" xfId="0" applyFont="1" applyFill="1"/>
    <xf numFmtId="0" fontId="1" fillId="11" borderId="0" xfId="0" applyFont="1" applyFill="1"/>
    <xf numFmtId="49" fontId="2" fillId="10" borderId="1" xfId="0" applyNumberFormat="1" applyFont="1" applyFill="1" applyBorder="1" applyAlignment="1">
      <alignment horizontal="left"/>
    </xf>
    <xf numFmtId="0" fontId="1" fillId="10" borderId="1" xfId="0" applyFont="1" applyFill="1" applyBorder="1"/>
    <xf numFmtId="0" fontId="1" fillId="11" borderId="1" xfId="0" applyFont="1" applyFill="1" applyBorder="1" applyAlignment="1">
      <alignment horizontal="left"/>
    </xf>
    <xf numFmtId="0" fontId="1" fillId="11" borderId="1" xfId="0" applyFont="1" applyFill="1" applyBorder="1"/>
    <xf numFmtId="49" fontId="2" fillId="0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12" borderId="0" xfId="1" applyFont="1" applyFill="1" applyAlignment="1">
      <alignment horizontal="center" vertical="center"/>
    </xf>
    <xf numFmtId="0" fontId="0" fillId="9" borderId="0" xfId="1" applyFont="1" applyFill="1" applyAlignment="1">
      <alignment horizontal="center" vertical="center"/>
    </xf>
    <xf numFmtId="0" fontId="0" fillId="0" borderId="0" xfId="1" applyFont="1" applyFill="1" applyAlignment="1">
      <alignment horizontal="center" vertical="center"/>
    </xf>
    <xf numFmtId="0" fontId="1" fillId="0" borderId="1" xfId="1" applyFont="1" applyFill="1" applyBorder="1" applyAlignment="1">
      <alignment horizontal="center" shrinkToFit="1"/>
    </xf>
    <xf numFmtId="0" fontId="1" fillId="0" borderId="0" xfId="1" applyFont="1" applyFill="1" applyBorder="1" applyAlignment="1">
      <alignment horizontal="center" shrinkToFit="1"/>
    </xf>
    <xf numFmtId="0" fontId="1" fillId="0" borderId="0" xfId="1" applyFont="1" applyFill="1" applyAlignment="1">
      <alignment horizontal="center" shrinkToFit="1"/>
    </xf>
    <xf numFmtId="0" fontId="6" fillId="12" borderId="1" xfId="1" applyFont="1" applyFill="1" applyBorder="1" applyAlignment="1">
      <alignment horizontal="center" vertical="center" wrapText="1"/>
    </xf>
    <xf numFmtId="0" fontId="7" fillId="13" borderId="1" xfId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1" fillId="9" borderId="0" xfId="1" applyFont="1" applyFill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" fillId="0" borderId="0" xfId="1" applyFont="1" applyFill="1" applyAlignment="1">
      <alignment horizontal="center" vertical="center" wrapText="1"/>
    </xf>
    <xf numFmtId="0" fontId="1" fillId="9" borderId="0" xfId="1" applyFont="1" applyFill="1" applyAlignment="1">
      <alignment horizontal="center" vertical="center" wrapText="1"/>
    </xf>
    <xf numFmtId="0" fontId="8" fillId="12" borderId="1" xfId="1" applyFont="1" applyFill="1" applyBorder="1" applyAlignment="1">
      <alignment horizontal="center" vertical="center" wrapText="1"/>
    </xf>
    <xf numFmtId="0" fontId="9" fillId="13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1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5" borderId="0" xfId="0" applyFill="1"/>
    <xf numFmtId="0" fontId="0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10" fillId="12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2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B19D5B"/>
      <color rgb="FFBAB35A"/>
      <color rgb="FFC2B752"/>
      <color rgb="FFCAC168"/>
      <color rgb="FFB3AE4D"/>
      <color rgb="FF9E9A44"/>
      <color rgb="FF9494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workbookViewId="0">
      <pane xSplit="2" ySplit="3" topLeftCell="BG49" activePane="bottomRight" state="frozen"/>
      <selection pane="topRight"/>
      <selection pane="bottomLeft"/>
      <selection pane="bottomRight" activeCell="B38" sqref="B38"/>
    </sheetView>
  </sheetViews>
  <sheetFormatPr defaultColWidth="9" defaultRowHeight="16.5" x14ac:dyDescent="0.45"/>
  <cols>
    <col min="1" max="1" width="9" style="36"/>
    <col min="2" max="2" width="27" style="36" customWidth="1"/>
    <col min="3" max="3" width="20.08984375" style="36" customWidth="1"/>
    <col min="4" max="6" width="20.453125" style="36" customWidth="1"/>
    <col min="7" max="7" width="27.08984375" style="36" customWidth="1"/>
    <col min="8" max="8" width="25.453125" style="36" customWidth="1"/>
    <col min="9" max="10" width="19.90625" style="36" customWidth="1"/>
    <col min="11" max="11" width="28.26953125" style="36" customWidth="1"/>
    <col min="12" max="12" width="13" style="37" customWidth="1"/>
    <col min="13" max="13" width="20.453125" style="36" customWidth="1"/>
    <col min="14" max="14" width="9.90625" style="38" customWidth="1"/>
    <col min="15" max="15" width="18.90625" style="36" customWidth="1"/>
    <col min="16" max="16" width="18" style="36" customWidth="1"/>
    <col min="17" max="17" width="15.453125" style="56" customWidth="1"/>
    <col min="18" max="18" width="12.90625" style="39" customWidth="1"/>
    <col min="19" max="19" width="36" style="36" customWidth="1"/>
    <col min="20" max="20" width="16.90625" style="36" customWidth="1"/>
    <col min="21" max="21" width="6" style="36" customWidth="1"/>
    <col min="22" max="22" width="9" style="36" customWidth="1"/>
    <col min="23" max="23" width="11.08984375" style="36" customWidth="1"/>
    <col min="24" max="24" width="13.08984375" style="36" customWidth="1"/>
    <col min="25" max="25" width="19.453125" style="36" customWidth="1"/>
    <col min="26" max="26" width="21.453125" style="36" customWidth="1"/>
    <col min="27" max="27" width="95.36328125" style="38" customWidth="1"/>
    <col min="28" max="28" width="37.08984375" style="38" customWidth="1"/>
    <col min="29" max="30" width="15.90625" style="36" customWidth="1"/>
    <col min="31" max="31" width="17.453125" style="38" customWidth="1"/>
    <col min="32" max="32" width="39" style="38" customWidth="1"/>
    <col min="33" max="33" width="39" style="36" customWidth="1"/>
    <col min="34" max="34" width="20.90625" style="36" customWidth="1"/>
    <col min="35" max="35" width="22.453125" style="36" customWidth="1"/>
    <col min="36" max="36" width="100.7265625" style="38" customWidth="1"/>
    <col min="37" max="37" width="38.90625" style="38" customWidth="1"/>
    <col min="38" max="38" width="29.08984375" style="36" customWidth="1"/>
    <col min="39" max="39" width="43.08984375" style="36" customWidth="1"/>
    <col min="40" max="40" width="37.08984375" style="36" customWidth="1"/>
    <col min="41" max="41" width="30.08984375" style="36" customWidth="1"/>
    <col min="42" max="42" width="37" style="36" customWidth="1"/>
    <col min="43" max="43" width="67.453125" style="38" customWidth="1"/>
    <col min="44" max="44" width="13.7265625" style="38" customWidth="1"/>
    <col min="45" max="45" width="94.90625" style="38" customWidth="1"/>
    <col min="46" max="46" width="38.90625" style="38" customWidth="1"/>
    <col min="47" max="48" width="29.08984375" style="38" customWidth="1"/>
    <col min="49" max="49" width="40.453125" style="36" customWidth="1"/>
    <col min="50" max="50" width="21.90625" style="36" customWidth="1"/>
    <col min="51" max="51" width="29.90625" style="36" customWidth="1"/>
    <col min="52" max="52" width="10.90625" style="36" customWidth="1"/>
    <col min="53" max="53" width="38.08984375" style="36" customWidth="1"/>
    <col min="54" max="54" width="27.08984375" style="36" customWidth="1"/>
    <col min="55" max="55" width="33.08984375" style="36" customWidth="1"/>
    <col min="56" max="56" width="15.08984375" style="40" customWidth="1"/>
    <col min="57" max="57" width="63.08984375" style="39" customWidth="1"/>
    <col min="58" max="58" width="24.453125" style="36" customWidth="1"/>
    <col min="59" max="59" width="49.90625" style="36" customWidth="1"/>
    <col min="60" max="60" width="27.08984375" style="36" customWidth="1"/>
    <col min="61" max="61" width="31.90625" style="36" customWidth="1"/>
    <col min="62" max="62" width="20.90625" customWidth="1"/>
    <col min="63" max="64" width="16.6328125" style="41" customWidth="1"/>
    <col min="65" max="65" width="21.6328125" style="56" customWidth="1"/>
    <col min="66" max="66" width="9" style="36"/>
    <col min="67" max="67" width="18.90625" style="36" customWidth="1"/>
    <col min="68" max="68" width="18.36328125" style="36" customWidth="1"/>
    <col min="69" max="69" width="26.7265625" style="36" customWidth="1"/>
    <col min="70" max="70" width="26.26953125" style="36" customWidth="1"/>
    <col min="71" max="71" width="21.26953125" style="36" customWidth="1"/>
    <col min="72" max="72" width="18.36328125" style="36" customWidth="1"/>
    <col min="73" max="16384" width="9" style="36"/>
  </cols>
  <sheetData>
    <row r="1" spans="1:72" x14ac:dyDescent="0.45">
      <c r="A1" s="40" t="s">
        <v>0</v>
      </c>
      <c r="B1" s="40" t="s">
        <v>1</v>
      </c>
    </row>
    <row r="2" spans="1:72" ht="49.5" x14ac:dyDescent="0.45">
      <c r="A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7" t="s">
        <v>12</v>
      </c>
      <c r="M2" s="36" t="s">
        <v>13</v>
      </c>
      <c r="N2" s="38" t="s">
        <v>14</v>
      </c>
      <c r="O2" s="36" t="s">
        <v>15</v>
      </c>
      <c r="P2" s="36" t="s">
        <v>16</v>
      </c>
      <c r="Q2" s="56" t="s">
        <v>17</v>
      </c>
      <c r="R2" s="39" t="s">
        <v>18</v>
      </c>
      <c r="S2" s="36" t="s">
        <v>19</v>
      </c>
      <c r="T2" s="36" t="s">
        <v>20</v>
      </c>
      <c r="U2" s="36" t="s">
        <v>21</v>
      </c>
      <c r="V2" s="36" t="s">
        <v>22</v>
      </c>
      <c r="W2" s="36" t="s">
        <v>23</v>
      </c>
      <c r="X2" s="36" t="s">
        <v>24</v>
      </c>
      <c r="Y2" s="36" t="s">
        <v>25</v>
      </c>
      <c r="Z2" s="36" t="s">
        <v>26</v>
      </c>
      <c r="AA2" s="38" t="s">
        <v>27</v>
      </c>
      <c r="AB2" s="38" t="s">
        <v>28</v>
      </c>
      <c r="AC2" s="36" t="s">
        <v>29</v>
      </c>
      <c r="AD2" s="36" t="s">
        <v>30</v>
      </c>
      <c r="AE2" s="38" t="s">
        <v>31</v>
      </c>
      <c r="AF2" s="38" t="s">
        <v>32</v>
      </c>
      <c r="AG2" s="36" t="s">
        <v>33</v>
      </c>
      <c r="AH2" s="36" t="s">
        <v>34</v>
      </c>
      <c r="AI2" s="36" t="s">
        <v>35</v>
      </c>
      <c r="AJ2" s="38" t="s">
        <v>36</v>
      </c>
      <c r="AK2" s="38" t="s">
        <v>37</v>
      </c>
      <c r="AL2" s="36" t="s">
        <v>38</v>
      </c>
      <c r="AM2" s="36" t="s">
        <v>39</v>
      </c>
      <c r="AN2" s="36" t="s">
        <v>40</v>
      </c>
      <c r="AO2" s="36" t="s">
        <v>41</v>
      </c>
      <c r="AP2" s="36" t="s">
        <v>42</v>
      </c>
      <c r="AQ2" s="38" t="s">
        <v>43</v>
      </c>
      <c r="AR2" s="38" t="s">
        <v>44</v>
      </c>
      <c r="AS2" s="38" t="s">
        <v>45</v>
      </c>
      <c r="AT2" s="38" t="s">
        <v>46</v>
      </c>
      <c r="AU2" s="44" t="s">
        <v>47</v>
      </c>
      <c r="AV2" s="38" t="s">
        <v>48</v>
      </c>
      <c r="AW2" s="36" t="s">
        <v>49</v>
      </c>
      <c r="AX2" s="45" t="s">
        <v>50</v>
      </c>
      <c r="AY2" s="45" t="s">
        <v>51</v>
      </c>
      <c r="AZ2" s="36" t="s">
        <v>52</v>
      </c>
      <c r="BA2" s="36" t="s">
        <v>53</v>
      </c>
      <c r="BB2" s="36" t="s">
        <v>54</v>
      </c>
      <c r="BC2" s="36" t="s">
        <v>55</v>
      </c>
      <c r="BD2" s="40" t="s">
        <v>56</v>
      </c>
      <c r="BE2" s="39" t="s">
        <v>57</v>
      </c>
      <c r="BF2" s="36" t="s">
        <v>58</v>
      </c>
      <c r="BG2" s="36" t="s">
        <v>59</v>
      </c>
      <c r="BH2" s="36" t="s">
        <v>60</v>
      </c>
      <c r="BI2" s="36" t="s">
        <v>61</v>
      </c>
      <c r="BJ2" s="49" t="s">
        <v>62</v>
      </c>
      <c r="BK2" s="50" t="s">
        <v>63</v>
      </c>
      <c r="BL2" s="50" t="s">
        <v>64</v>
      </c>
      <c r="BM2" s="57" t="s">
        <v>65</v>
      </c>
      <c r="BN2" s="36" t="s">
        <v>66</v>
      </c>
      <c r="BP2" s="36" t="s">
        <v>67</v>
      </c>
      <c r="BS2" s="36" t="s">
        <v>68</v>
      </c>
      <c r="BT2" s="36" t="s">
        <v>69</v>
      </c>
    </row>
    <row r="3" spans="1:72" x14ac:dyDescent="0.45">
      <c r="A3" s="36" t="s">
        <v>2</v>
      </c>
      <c r="C3" s="36" t="s">
        <v>70</v>
      </c>
      <c r="D3" s="36" t="s">
        <v>71</v>
      </c>
      <c r="E3" s="36" t="s">
        <v>72</v>
      </c>
      <c r="F3" s="36" t="s">
        <v>73</v>
      </c>
      <c r="G3" s="36" t="s">
        <v>74</v>
      </c>
      <c r="H3" s="36" t="s">
        <v>75</v>
      </c>
      <c r="I3" s="36" t="s">
        <v>76</v>
      </c>
      <c r="J3" s="36" t="s">
        <v>77</v>
      </c>
      <c r="K3" s="36" t="s">
        <v>78</v>
      </c>
      <c r="L3" s="37" t="s">
        <v>79</v>
      </c>
      <c r="M3" s="36" t="s">
        <v>80</v>
      </c>
      <c r="N3" s="38" t="s">
        <v>81</v>
      </c>
      <c r="O3" s="36" t="s">
        <v>82</v>
      </c>
      <c r="P3" s="36" t="s">
        <v>83</v>
      </c>
      <c r="Q3" s="56" t="s">
        <v>84</v>
      </c>
      <c r="R3" s="39" t="s">
        <v>85</v>
      </c>
      <c r="S3" s="36" t="s">
        <v>86</v>
      </c>
      <c r="T3" s="36" t="s">
        <v>87</v>
      </c>
      <c r="U3" s="36" t="s">
        <v>88</v>
      </c>
      <c r="V3" s="36" t="s">
        <v>89</v>
      </c>
      <c r="W3" s="36" t="s">
        <v>90</v>
      </c>
      <c r="X3" s="36" t="s">
        <v>91</v>
      </c>
      <c r="Y3" s="36" t="s">
        <v>92</v>
      </c>
      <c r="Z3" s="36" t="s">
        <v>93</v>
      </c>
      <c r="AA3" s="43" t="s">
        <v>94</v>
      </c>
      <c r="AB3" s="43" t="s">
        <v>95</v>
      </c>
      <c r="AC3" s="36" t="s">
        <v>96</v>
      </c>
      <c r="AD3" s="36" t="s">
        <v>97</v>
      </c>
      <c r="AE3" s="38" t="s">
        <v>98</v>
      </c>
      <c r="AF3" s="38" t="s">
        <v>99</v>
      </c>
      <c r="AG3" s="36" t="s">
        <v>100</v>
      </c>
      <c r="AH3" s="36" t="s">
        <v>101</v>
      </c>
      <c r="AI3" s="36" t="s">
        <v>102</v>
      </c>
      <c r="AJ3" s="38" t="s">
        <v>103</v>
      </c>
      <c r="AK3" s="38" t="s">
        <v>104</v>
      </c>
      <c r="AL3" s="36" t="s">
        <v>105</v>
      </c>
      <c r="AM3" s="36" t="s">
        <v>106</v>
      </c>
      <c r="AN3" s="36" t="s">
        <v>107</v>
      </c>
      <c r="AO3" s="36" t="s">
        <v>108</v>
      </c>
      <c r="AP3" s="36" t="s">
        <v>109</v>
      </c>
      <c r="AQ3" s="38" t="s">
        <v>110</v>
      </c>
      <c r="AR3" s="38" t="s">
        <v>111</v>
      </c>
      <c r="AS3" s="38" t="s">
        <v>112</v>
      </c>
      <c r="AT3" s="38" t="s">
        <v>113</v>
      </c>
      <c r="AU3" s="38" t="s">
        <v>114</v>
      </c>
      <c r="AV3" s="38" t="s">
        <v>115</v>
      </c>
      <c r="AW3" s="36" t="s">
        <v>116</v>
      </c>
      <c r="AX3" s="45" t="s">
        <v>117</v>
      </c>
      <c r="AY3" s="45" t="s">
        <v>118</v>
      </c>
      <c r="AZ3" s="36" t="s">
        <v>119</v>
      </c>
      <c r="BA3" s="36" t="s">
        <v>120</v>
      </c>
      <c r="BB3" s="36" t="s">
        <v>121</v>
      </c>
      <c r="BC3" s="36" t="s">
        <v>122</v>
      </c>
      <c r="BD3" s="40" t="s">
        <v>123</v>
      </c>
      <c r="BE3" s="39" t="s">
        <v>124</v>
      </c>
      <c r="BF3" s="36" t="s">
        <v>125</v>
      </c>
      <c r="BG3" s="36" t="s">
        <v>126</v>
      </c>
      <c r="BH3" s="36" t="s">
        <v>127</v>
      </c>
      <c r="BI3" s="36" t="s">
        <v>128</v>
      </c>
      <c r="BJ3" s="36" t="s">
        <v>129</v>
      </c>
      <c r="BK3" s="38" t="s">
        <v>130</v>
      </c>
      <c r="BL3" s="38" t="s">
        <v>131</v>
      </c>
      <c r="BM3" s="56" t="s">
        <v>132</v>
      </c>
      <c r="BN3" s="36" t="s">
        <v>133</v>
      </c>
      <c r="BO3" s="36" t="s">
        <v>134</v>
      </c>
      <c r="BP3" s="36" t="s">
        <v>135</v>
      </c>
      <c r="BQ3" s="36" t="s">
        <v>136</v>
      </c>
      <c r="BR3" s="36" t="s">
        <v>137</v>
      </c>
      <c r="BS3" s="36" t="s">
        <v>138</v>
      </c>
      <c r="BT3" s="36" t="s">
        <v>139</v>
      </c>
    </row>
    <row r="4" spans="1:72" x14ac:dyDescent="0.45">
      <c r="A4" s="36">
        <v>40301</v>
      </c>
      <c r="B4" s="36" t="s">
        <v>140</v>
      </c>
      <c r="C4" s="36" t="s">
        <v>141</v>
      </c>
      <c r="D4" s="36" t="s">
        <v>142</v>
      </c>
      <c r="E4" s="36" t="s">
        <v>143</v>
      </c>
      <c r="F4" s="36" t="s">
        <v>144</v>
      </c>
      <c r="G4" s="36" t="s">
        <v>145</v>
      </c>
      <c r="H4" s="36" t="s">
        <v>146</v>
      </c>
      <c r="J4" s="36" t="s">
        <v>147</v>
      </c>
      <c r="K4" s="36">
        <v>3600</v>
      </c>
      <c r="L4" s="36" t="s">
        <v>148</v>
      </c>
      <c r="M4" s="36" t="s">
        <v>149</v>
      </c>
      <c r="N4" s="38">
        <v>4050000</v>
      </c>
      <c r="O4" s="36">
        <v>1</v>
      </c>
      <c r="P4" s="36" t="s">
        <v>150</v>
      </c>
      <c r="Q4" s="56">
        <v>50</v>
      </c>
      <c r="R4" s="36" t="s">
        <v>151</v>
      </c>
      <c r="S4" s="36" t="s">
        <v>152</v>
      </c>
      <c r="U4" s="36">
        <v>1</v>
      </c>
      <c r="AA4" s="38" t="s">
        <v>153</v>
      </c>
      <c r="AB4" s="38">
        <v>1000</v>
      </c>
      <c r="AC4" s="36">
        <v>5</v>
      </c>
      <c r="AE4" s="38">
        <v>14400000</v>
      </c>
      <c r="AF4" s="38">
        <v>500000</v>
      </c>
      <c r="AG4" s="36">
        <v>500</v>
      </c>
      <c r="AH4" s="36">
        <v>0</v>
      </c>
      <c r="AI4" s="36">
        <v>40302</v>
      </c>
      <c r="AJ4" s="38" t="s">
        <v>154</v>
      </c>
      <c r="AK4" s="38">
        <v>1000</v>
      </c>
      <c r="AL4" s="36">
        <v>21600</v>
      </c>
      <c r="AM4" s="36">
        <v>1000</v>
      </c>
      <c r="AN4" s="36">
        <v>0</v>
      </c>
      <c r="AO4" s="36">
        <v>600</v>
      </c>
      <c r="AP4" s="36">
        <v>2500</v>
      </c>
      <c r="AQ4" s="38" t="s">
        <v>155</v>
      </c>
      <c r="AR4" s="38">
        <v>100</v>
      </c>
      <c r="AS4" s="38" t="s">
        <v>156</v>
      </c>
      <c r="AT4" s="38">
        <v>1000</v>
      </c>
      <c r="AU4" s="38">
        <v>10800</v>
      </c>
      <c r="AV4" s="38">
        <v>14400000</v>
      </c>
      <c r="AW4" s="36">
        <v>200000</v>
      </c>
      <c r="BB4" s="36" t="s">
        <v>157</v>
      </c>
      <c r="BC4" s="36" t="s">
        <v>158</v>
      </c>
      <c r="BD4" s="46"/>
      <c r="BE4" s="39" t="s">
        <v>159</v>
      </c>
      <c r="BF4" s="36">
        <v>1</v>
      </c>
      <c r="BG4" s="36" t="s">
        <v>160</v>
      </c>
      <c r="BH4" s="36" t="s">
        <v>161</v>
      </c>
      <c r="BI4" s="36" t="s">
        <v>162</v>
      </c>
      <c r="BK4" s="38">
        <v>7200</v>
      </c>
      <c r="BL4" s="38">
        <v>1800</v>
      </c>
      <c r="BM4" s="56">
        <v>400</v>
      </c>
      <c r="BN4" s="36">
        <v>3</v>
      </c>
      <c r="BO4" s="35" t="s">
        <v>163</v>
      </c>
      <c r="BP4" s="36" t="s">
        <v>164</v>
      </c>
      <c r="BQ4" s="54" t="s">
        <v>157</v>
      </c>
      <c r="BR4" s="36" t="s">
        <v>165</v>
      </c>
      <c r="BS4" s="35" t="s">
        <v>163</v>
      </c>
      <c r="BT4" s="36" t="s">
        <v>166</v>
      </c>
    </row>
    <row r="5" spans="1:72" x14ac:dyDescent="0.45">
      <c r="A5" s="36">
        <v>40302</v>
      </c>
      <c r="B5" s="36" t="s">
        <v>167</v>
      </c>
      <c r="C5" s="36" t="s">
        <v>141</v>
      </c>
      <c r="D5" s="36" t="s">
        <v>142</v>
      </c>
      <c r="E5" s="36" t="s">
        <v>143</v>
      </c>
      <c r="F5" s="36" t="s">
        <v>144</v>
      </c>
      <c r="G5" s="36" t="s">
        <v>145</v>
      </c>
      <c r="H5" s="36" t="s">
        <v>146</v>
      </c>
      <c r="J5" s="36" t="s">
        <v>147</v>
      </c>
      <c r="K5" s="36">
        <v>3600</v>
      </c>
      <c r="L5" s="36" t="s">
        <v>148</v>
      </c>
      <c r="M5" s="36" t="s">
        <v>149</v>
      </c>
      <c r="N5" s="38">
        <v>4350000</v>
      </c>
      <c r="O5" s="36">
        <v>1</v>
      </c>
      <c r="P5" s="36" t="s">
        <v>150</v>
      </c>
      <c r="Q5" s="56">
        <v>100</v>
      </c>
      <c r="R5" s="36" t="s">
        <v>151</v>
      </c>
      <c r="S5" s="36" t="s">
        <v>152</v>
      </c>
      <c r="U5" s="36">
        <v>2</v>
      </c>
      <c r="AA5" s="38" t="s">
        <v>153</v>
      </c>
      <c r="AB5" s="38">
        <v>1000</v>
      </c>
      <c r="AC5" s="36">
        <v>5</v>
      </c>
      <c r="AE5" s="38">
        <v>14400000</v>
      </c>
      <c r="AF5" s="38">
        <v>500000</v>
      </c>
      <c r="AG5" s="36">
        <v>500</v>
      </c>
      <c r="AH5" s="36">
        <v>0</v>
      </c>
      <c r="AI5" s="36">
        <v>40303</v>
      </c>
      <c r="AJ5" s="38" t="s">
        <v>168</v>
      </c>
      <c r="AK5" s="38">
        <v>1000</v>
      </c>
      <c r="AL5" s="36">
        <v>32400</v>
      </c>
      <c r="AM5" s="36">
        <v>1000</v>
      </c>
      <c r="AN5" s="36">
        <v>0</v>
      </c>
      <c r="AO5" s="36">
        <v>600</v>
      </c>
      <c r="AP5" s="36">
        <v>2500</v>
      </c>
      <c r="AQ5" s="38" t="s">
        <v>155</v>
      </c>
      <c r="AR5" s="38">
        <v>100</v>
      </c>
      <c r="AS5" s="38" t="s">
        <v>156</v>
      </c>
      <c r="AT5" s="38">
        <v>1000</v>
      </c>
      <c r="AU5" s="38">
        <v>10800</v>
      </c>
      <c r="AV5" s="38">
        <v>14400000</v>
      </c>
      <c r="AW5" s="36">
        <v>200000</v>
      </c>
      <c r="BB5" s="36" t="s">
        <v>157</v>
      </c>
      <c r="BC5" s="36" t="s">
        <v>158</v>
      </c>
      <c r="BD5" s="46"/>
      <c r="BE5" s="39" t="s">
        <v>159</v>
      </c>
      <c r="BF5" s="36">
        <v>1</v>
      </c>
      <c r="BG5" s="36" t="s">
        <v>160</v>
      </c>
      <c r="BH5" s="36" t="s">
        <v>161</v>
      </c>
      <c r="BI5" s="36" t="s">
        <v>162</v>
      </c>
      <c r="BK5" s="38">
        <v>7200</v>
      </c>
      <c r="BL5" s="38">
        <v>1800</v>
      </c>
      <c r="BM5" s="56">
        <v>415</v>
      </c>
      <c r="BN5" s="36">
        <v>3</v>
      </c>
      <c r="BO5" s="35" t="s">
        <v>163</v>
      </c>
      <c r="BP5" s="36" t="s">
        <v>164</v>
      </c>
      <c r="BQ5" s="54" t="s">
        <v>157</v>
      </c>
      <c r="BR5" s="36" t="s">
        <v>165</v>
      </c>
      <c r="BS5" s="35" t="s">
        <v>163</v>
      </c>
      <c r="BT5" s="36" t="s">
        <v>166</v>
      </c>
    </row>
    <row r="6" spans="1:72" x14ac:dyDescent="0.45">
      <c r="A6" s="36">
        <v>40303</v>
      </c>
      <c r="B6" s="36" t="s">
        <v>169</v>
      </c>
      <c r="C6" s="36" t="s">
        <v>141</v>
      </c>
      <c r="D6" s="36" t="s">
        <v>142</v>
      </c>
      <c r="E6" s="36" t="s">
        <v>143</v>
      </c>
      <c r="F6" s="36" t="s">
        <v>144</v>
      </c>
      <c r="G6" s="36" t="s">
        <v>145</v>
      </c>
      <c r="H6" s="36" t="s">
        <v>146</v>
      </c>
      <c r="J6" s="36" t="s">
        <v>147</v>
      </c>
      <c r="K6" s="36">
        <v>3600</v>
      </c>
      <c r="L6" s="36" t="s">
        <v>148</v>
      </c>
      <c r="M6" s="36" t="s">
        <v>149</v>
      </c>
      <c r="N6" s="38">
        <v>4650000</v>
      </c>
      <c r="O6" s="36">
        <v>1</v>
      </c>
      <c r="P6" s="36" t="s">
        <v>150</v>
      </c>
      <c r="Q6" s="56">
        <v>150</v>
      </c>
      <c r="R6" s="36" t="s">
        <v>151</v>
      </c>
      <c r="S6" s="36" t="s">
        <v>152</v>
      </c>
      <c r="U6" s="36">
        <v>3</v>
      </c>
      <c r="AA6" s="38" t="s">
        <v>153</v>
      </c>
      <c r="AB6" s="38">
        <v>1000</v>
      </c>
      <c r="AC6" s="36">
        <v>5</v>
      </c>
      <c r="AE6" s="38">
        <v>14400000</v>
      </c>
      <c r="AF6" s="38">
        <v>500000</v>
      </c>
      <c r="AG6" s="36">
        <v>500</v>
      </c>
      <c r="AH6" s="36">
        <v>0</v>
      </c>
      <c r="AI6" s="36">
        <v>40304</v>
      </c>
      <c r="AJ6" s="38" t="s">
        <v>170</v>
      </c>
      <c r="AK6" s="38">
        <v>1000</v>
      </c>
      <c r="AL6" s="36">
        <v>43200</v>
      </c>
      <c r="AM6" s="36">
        <v>1000</v>
      </c>
      <c r="AN6" s="36">
        <v>0</v>
      </c>
      <c r="AO6" s="36">
        <v>600</v>
      </c>
      <c r="AP6" s="36">
        <v>2500</v>
      </c>
      <c r="AQ6" s="38" t="s">
        <v>155</v>
      </c>
      <c r="AR6" s="38">
        <v>100</v>
      </c>
      <c r="AS6" s="38" t="s">
        <v>156</v>
      </c>
      <c r="AT6" s="38">
        <v>1000</v>
      </c>
      <c r="AU6" s="38">
        <v>10800</v>
      </c>
      <c r="AV6" s="38">
        <v>14400000</v>
      </c>
      <c r="AW6" s="36">
        <v>200000</v>
      </c>
      <c r="BB6" s="36" t="s">
        <v>157</v>
      </c>
      <c r="BC6" s="36" t="s">
        <v>158</v>
      </c>
      <c r="BD6" s="46"/>
      <c r="BE6" s="39" t="s">
        <v>159</v>
      </c>
      <c r="BF6" s="36">
        <v>1</v>
      </c>
      <c r="BG6" s="36" t="s">
        <v>160</v>
      </c>
      <c r="BH6" s="36" t="s">
        <v>161</v>
      </c>
      <c r="BI6" s="36" t="s">
        <v>162</v>
      </c>
      <c r="BK6" s="38">
        <v>7200</v>
      </c>
      <c r="BL6" s="38">
        <v>1800</v>
      </c>
      <c r="BM6" s="56">
        <v>435</v>
      </c>
      <c r="BN6" s="36">
        <v>3</v>
      </c>
      <c r="BO6" s="35" t="s">
        <v>163</v>
      </c>
      <c r="BP6" s="36" t="s">
        <v>164</v>
      </c>
      <c r="BQ6" s="54" t="s">
        <v>157</v>
      </c>
      <c r="BR6" s="36" t="s">
        <v>165</v>
      </c>
      <c r="BS6" s="35" t="s">
        <v>163</v>
      </c>
      <c r="BT6" s="36" t="s">
        <v>166</v>
      </c>
    </row>
    <row r="7" spans="1:72" s="35" customFormat="1" x14ac:dyDescent="0.45">
      <c r="A7" s="36">
        <v>40304</v>
      </c>
      <c r="B7" s="36" t="s">
        <v>171</v>
      </c>
      <c r="C7" s="36" t="s">
        <v>141</v>
      </c>
      <c r="D7" s="36" t="s">
        <v>142</v>
      </c>
      <c r="E7" s="36" t="s">
        <v>143</v>
      </c>
      <c r="F7" s="36" t="s">
        <v>144</v>
      </c>
      <c r="G7" s="36" t="s">
        <v>145</v>
      </c>
      <c r="H7" s="36" t="s">
        <v>146</v>
      </c>
      <c r="I7" s="36"/>
      <c r="J7" s="36" t="s">
        <v>147</v>
      </c>
      <c r="K7" s="36">
        <v>3600</v>
      </c>
      <c r="L7" s="36" t="s">
        <v>148</v>
      </c>
      <c r="M7" s="36" t="s">
        <v>149</v>
      </c>
      <c r="N7" s="38">
        <v>4950000</v>
      </c>
      <c r="O7" s="36">
        <v>1</v>
      </c>
      <c r="P7" s="36" t="s">
        <v>150</v>
      </c>
      <c r="Q7" s="56">
        <v>200</v>
      </c>
      <c r="R7" s="36" t="s">
        <v>151</v>
      </c>
      <c r="S7" s="36" t="s">
        <v>152</v>
      </c>
      <c r="T7" s="36"/>
      <c r="U7" s="36">
        <v>4</v>
      </c>
      <c r="V7" s="36"/>
      <c r="W7" s="36"/>
      <c r="X7" s="36"/>
      <c r="Y7" s="36"/>
      <c r="Z7" s="36"/>
      <c r="AA7" s="38" t="s">
        <v>153</v>
      </c>
      <c r="AB7" s="38">
        <v>1000</v>
      </c>
      <c r="AC7" s="36">
        <v>5</v>
      </c>
      <c r="AD7" s="36"/>
      <c r="AE7" s="38">
        <v>14400000</v>
      </c>
      <c r="AF7" s="38">
        <v>500000</v>
      </c>
      <c r="AG7" s="36">
        <v>500</v>
      </c>
      <c r="AH7" s="36">
        <v>0</v>
      </c>
      <c r="AI7" s="36">
        <v>40305</v>
      </c>
      <c r="AJ7" s="38" t="s">
        <v>172</v>
      </c>
      <c r="AK7" s="38">
        <v>1000</v>
      </c>
      <c r="AL7" s="36">
        <v>54000</v>
      </c>
      <c r="AM7" s="36">
        <v>1000</v>
      </c>
      <c r="AN7" s="36">
        <v>0</v>
      </c>
      <c r="AO7" s="36">
        <v>600</v>
      </c>
      <c r="AP7" s="36">
        <v>2500</v>
      </c>
      <c r="AQ7" s="38" t="s">
        <v>155</v>
      </c>
      <c r="AR7" s="38">
        <v>100</v>
      </c>
      <c r="AS7" s="38" t="s">
        <v>156</v>
      </c>
      <c r="AT7" s="38">
        <v>1000</v>
      </c>
      <c r="AU7" s="38">
        <v>10800</v>
      </c>
      <c r="AV7" s="38">
        <v>14400000</v>
      </c>
      <c r="AW7" s="36">
        <v>200000</v>
      </c>
      <c r="AX7" s="36"/>
      <c r="AY7" s="36"/>
      <c r="AZ7" s="36"/>
      <c r="BA7" s="36"/>
      <c r="BB7" s="36" t="s">
        <v>157</v>
      </c>
      <c r="BC7" s="36" t="s">
        <v>158</v>
      </c>
      <c r="BD7" s="46"/>
      <c r="BE7" s="39" t="s">
        <v>159</v>
      </c>
      <c r="BF7" s="36">
        <v>1</v>
      </c>
      <c r="BG7" s="36" t="s">
        <v>160</v>
      </c>
      <c r="BH7" s="36" t="s">
        <v>161</v>
      </c>
      <c r="BI7" s="36" t="s">
        <v>162</v>
      </c>
      <c r="BJ7"/>
      <c r="BK7" s="38">
        <v>7200</v>
      </c>
      <c r="BL7" s="38">
        <v>1800</v>
      </c>
      <c r="BM7" s="56">
        <v>460</v>
      </c>
      <c r="BN7" s="36">
        <v>3</v>
      </c>
      <c r="BO7" s="35" t="s">
        <v>163</v>
      </c>
      <c r="BP7" s="36" t="s">
        <v>164</v>
      </c>
      <c r="BQ7" s="54" t="s">
        <v>157</v>
      </c>
      <c r="BR7" s="36" t="s">
        <v>165</v>
      </c>
      <c r="BS7" s="35" t="s">
        <v>163</v>
      </c>
      <c r="BT7" s="36" t="s">
        <v>166</v>
      </c>
    </row>
    <row r="8" spans="1:72" x14ac:dyDescent="0.45">
      <c r="A8" s="36">
        <v>40305</v>
      </c>
      <c r="B8" s="36" t="s">
        <v>173</v>
      </c>
      <c r="C8" s="36" t="s">
        <v>141</v>
      </c>
      <c r="D8" s="36" t="s">
        <v>142</v>
      </c>
      <c r="E8" s="36" t="s">
        <v>143</v>
      </c>
      <c r="F8" s="36" t="s">
        <v>144</v>
      </c>
      <c r="G8" s="36" t="s">
        <v>145</v>
      </c>
      <c r="H8" s="36" t="s">
        <v>146</v>
      </c>
      <c r="J8" s="36" t="s">
        <v>147</v>
      </c>
      <c r="K8" s="36">
        <v>3600</v>
      </c>
      <c r="L8" s="36" t="s">
        <v>148</v>
      </c>
      <c r="M8" s="36" t="s">
        <v>149</v>
      </c>
      <c r="N8" s="38">
        <v>5250000</v>
      </c>
      <c r="O8" s="36">
        <v>1</v>
      </c>
      <c r="P8" s="36" t="s">
        <v>150</v>
      </c>
      <c r="Q8" s="56">
        <v>250</v>
      </c>
      <c r="R8" s="36" t="s">
        <v>151</v>
      </c>
      <c r="S8" s="36" t="s">
        <v>152</v>
      </c>
      <c r="U8" s="36">
        <v>5</v>
      </c>
      <c r="AA8" s="38" t="s">
        <v>153</v>
      </c>
      <c r="AB8" s="38">
        <v>1000</v>
      </c>
      <c r="AC8" s="36">
        <v>5</v>
      </c>
      <c r="AE8" s="38">
        <v>14400000</v>
      </c>
      <c r="AF8" s="38">
        <v>500000</v>
      </c>
      <c r="AG8" s="36">
        <v>500</v>
      </c>
      <c r="AH8" s="36">
        <v>0</v>
      </c>
      <c r="AI8" s="36">
        <v>40306</v>
      </c>
      <c r="AJ8" s="38" t="s">
        <v>174</v>
      </c>
      <c r="AK8" s="38">
        <v>1000</v>
      </c>
      <c r="AL8" s="36">
        <v>64800</v>
      </c>
      <c r="AM8" s="36">
        <v>1000</v>
      </c>
      <c r="AN8" s="36">
        <v>0</v>
      </c>
      <c r="AO8" s="36">
        <v>600</v>
      </c>
      <c r="AP8" s="36">
        <v>2500</v>
      </c>
      <c r="AQ8" s="38" t="s">
        <v>155</v>
      </c>
      <c r="AR8" s="38">
        <v>100</v>
      </c>
      <c r="AS8" s="38" t="s">
        <v>156</v>
      </c>
      <c r="AT8" s="38">
        <v>1000</v>
      </c>
      <c r="AU8" s="38">
        <v>10800</v>
      </c>
      <c r="AV8" s="38">
        <v>14400000</v>
      </c>
      <c r="AW8" s="36">
        <v>200000</v>
      </c>
      <c r="BB8" s="36" t="s">
        <v>157</v>
      </c>
      <c r="BC8" s="36" t="s">
        <v>158</v>
      </c>
      <c r="BD8" s="46"/>
      <c r="BE8" s="39" t="s">
        <v>159</v>
      </c>
      <c r="BF8" s="36">
        <v>1</v>
      </c>
      <c r="BG8" s="36" t="s">
        <v>160</v>
      </c>
      <c r="BH8" s="36" t="s">
        <v>161</v>
      </c>
      <c r="BI8" s="36" t="s">
        <v>162</v>
      </c>
      <c r="BK8" s="38">
        <v>7200</v>
      </c>
      <c r="BL8" s="38">
        <v>1800</v>
      </c>
      <c r="BM8" s="56">
        <v>490</v>
      </c>
      <c r="BN8" s="36">
        <v>3</v>
      </c>
      <c r="BO8" s="35" t="s">
        <v>163</v>
      </c>
      <c r="BP8" s="36" t="s">
        <v>164</v>
      </c>
      <c r="BQ8" s="54" t="s">
        <v>157</v>
      </c>
      <c r="BR8" s="36" t="s">
        <v>165</v>
      </c>
      <c r="BS8" s="35" t="s">
        <v>163</v>
      </c>
      <c r="BT8" s="36" t="s">
        <v>166</v>
      </c>
    </row>
    <row r="9" spans="1:72" x14ac:dyDescent="0.45">
      <c r="A9" s="36">
        <v>40306</v>
      </c>
      <c r="B9" s="36" t="s">
        <v>175</v>
      </c>
      <c r="C9" s="36" t="s">
        <v>141</v>
      </c>
      <c r="D9" s="36" t="s">
        <v>142</v>
      </c>
      <c r="E9" s="36" t="s">
        <v>143</v>
      </c>
      <c r="F9" s="36" t="s">
        <v>176</v>
      </c>
      <c r="G9" s="36" t="s">
        <v>145</v>
      </c>
      <c r="H9" s="36" t="s">
        <v>146</v>
      </c>
      <c r="J9" s="36" t="s">
        <v>147</v>
      </c>
      <c r="K9" s="36">
        <v>3600</v>
      </c>
      <c r="L9" s="36" t="s">
        <v>148</v>
      </c>
      <c r="M9" s="36" t="s">
        <v>149</v>
      </c>
      <c r="N9" s="38">
        <v>5550000</v>
      </c>
      <c r="O9" s="36">
        <v>1</v>
      </c>
      <c r="P9" s="36" t="s">
        <v>150</v>
      </c>
      <c r="Q9" s="56">
        <v>300</v>
      </c>
      <c r="R9" s="42" t="s">
        <v>177</v>
      </c>
      <c r="S9" s="36" t="s">
        <v>152</v>
      </c>
      <c r="U9" s="36">
        <v>6</v>
      </c>
      <c r="AA9" s="38" t="s">
        <v>153</v>
      </c>
      <c r="AB9" s="38">
        <v>1000</v>
      </c>
      <c r="AC9" s="36">
        <v>5</v>
      </c>
      <c r="AE9" s="38">
        <v>14400000</v>
      </c>
      <c r="AF9" s="38">
        <v>500000</v>
      </c>
      <c r="AG9" s="36">
        <v>500</v>
      </c>
      <c r="AH9" s="36">
        <v>0</v>
      </c>
      <c r="AI9" s="36">
        <v>40307</v>
      </c>
      <c r="AJ9" s="38" t="s">
        <v>178</v>
      </c>
      <c r="AK9" s="38">
        <v>1000</v>
      </c>
      <c r="AL9" s="36">
        <v>75600</v>
      </c>
      <c r="AM9" s="36">
        <v>1000</v>
      </c>
      <c r="AN9" s="36">
        <v>0</v>
      </c>
      <c r="AO9" s="36">
        <v>600</v>
      </c>
      <c r="AP9" s="36">
        <v>2500</v>
      </c>
      <c r="AQ9" s="38" t="s">
        <v>155</v>
      </c>
      <c r="AR9" s="38">
        <v>100</v>
      </c>
      <c r="AS9" s="38" t="s">
        <v>156</v>
      </c>
      <c r="AT9" s="38">
        <v>1000</v>
      </c>
      <c r="AU9" s="38">
        <v>10800</v>
      </c>
      <c r="AV9" s="38">
        <v>14400000</v>
      </c>
      <c r="AW9" s="36">
        <v>200000</v>
      </c>
      <c r="BB9" s="36" t="s">
        <v>157</v>
      </c>
      <c r="BC9" s="36" t="s">
        <v>158</v>
      </c>
      <c r="BD9" s="46"/>
      <c r="BE9" s="39" t="s">
        <v>159</v>
      </c>
      <c r="BF9" s="36">
        <v>1</v>
      </c>
      <c r="BG9" s="36" t="s">
        <v>160</v>
      </c>
      <c r="BH9" s="36" t="s">
        <v>161</v>
      </c>
      <c r="BI9" s="36" t="s">
        <v>162</v>
      </c>
      <c r="BK9" s="38">
        <v>7200</v>
      </c>
      <c r="BL9" s="38">
        <v>1800</v>
      </c>
      <c r="BM9" s="56">
        <v>525</v>
      </c>
      <c r="BN9" s="36">
        <v>3</v>
      </c>
      <c r="BO9" s="35" t="s">
        <v>163</v>
      </c>
      <c r="BP9" s="36" t="s">
        <v>164</v>
      </c>
      <c r="BQ9" s="54" t="s">
        <v>157</v>
      </c>
      <c r="BR9" s="36" t="s">
        <v>165</v>
      </c>
      <c r="BS9" s="35" t="s">
        <v>163</v>
      </c>
      <c r="BT9" s="36" t="s">
        <v>166</v>
      </c>
    </row>
    <row r="10" spans="1:72" x14ac:dyDescent="0.45">
      <c r="A10" s="36">
        <v>40307</v>
      </c>
      <c r="B10" s="36" t="s">
        <v>179</v>
      </c>
      <c r="C10" s="36" t="s">
        <v>141</v>
      </c>
      <c r="D10" s="36" t="s">
        <v>142</v>
      </c>
      <c r="E10" s="36" t="s">
        <v>143</v>
      </c>
      <c r="F10" s="36" t="s">
        <v>176</v>
      </c>
      <c r="G10" s="36" t="s">
        <v>145</v>
      </c>
      <c r="H10" s="36" t="s">
        <v>146</v>
      </c>
      <c r="J10" s="36" t="s">
        <v>147</v>
      </c>
      <c r="K10" s="36">
        <v>3600</v>
      </c>
      <c r="L10" s="36" t="s">
        <v>148</v>
      </c>
      <c r="M10" s="36" t="s">
        <v>149</v>
      </c>
      <c r="N10" s="38">
        <v>5850000</v>
      </c>
      <c r="O10" s="36">
        <v>1</v>
      </c>
      <c r="P10" s="36" t="s">
        <v>150</v>
      </c>
      <c r="Q10" s="56">
        <v>350</v>
      </c>
      <c r="R10" s="42" t="s">
        <v>177</v>
      </c>
      <c r="S10" s="36" t="s">
        <v>152</v>
      </c>
      <c r="U10" s="36">
        <v>7</v>
      </c>
      <c r="AA10" s="38" t="s">
        <v>153</v>
      </c>
      <c r="AB10" s="38">
        <v>1000</v>
      </c>
      <c r="AC10" s="36">
        <v>5</v>
      </c>
      <c r="AE10" s="38">
        <v>14400000</v>
      </c>
      <c r="AF10" s="38">
        <v>500000</v>
      </c>
      <c r="AG10" s="36">
        <v>500</v>
      </c>
      <c r="AH10" s="36">
        <v>0</v>
      </c>
      <c r="AI10" s="36">
        <v>40308</v>
      </c>
      <c r="AJ10" s="38" t="s">
        <v>180</v>
      </c>
      <c r="AK10" s="38">
        <v>1000</v>
      </c>
      <c r="AL10" s="36">
        <v>86400</v>
      </c>
      <c r="AM10" s="36">
        <v>1000</v>
      </c>
      <c r="AN10" s="36">
        <v>0</v>
      </c>
      <c r="AO10" s="36">
        <v>600</v>
      </c>
      <c r="AP10" s="36">
        <v>2500</v>
      </c>
      <c r="AQ10" s="38" t="s">
        <v>155</v>
      </c>
      <c r="AR10" s="38">
        <v>100</v>
      </c>
      <c r="AS10" s="38" t="s">
        <v>156</v>
      </c>
      <c r="AT10" s="38">
        <v>1000</v>
      </c>
      <c r="AU10" s="38">
        <v>10800</v>
      </c>
      <c r="AV10" s="38">
        <v>14400000</v>
      </c>
      <c r="AW10" s="36">
        <v>200000</v>
      </c>
      <c r="BB10" s="36" t="s">
        <v>157</v>
      </c>
      <c r="BC10" s="36" t="s">
        <v>158</v>
      </c>
      <c r="BD10" s="46"/>
      <c r="BE10" s="39" t="s">
        <v>159</v>
      </c>
      <c r="BF10" s="36">
        <v>1</v>
      </c>
      <c r="BG10" s="36" t="s">
        <v>160</v>
      </c>
      <c r="BH10" s="36" t="s">
        <v>161</v>
      </c>
      <c r="BI10" s="36" t="s">
        <v>162</v>
      </c>
      <c r="BK10" s="38">
        <v>7200</v>
      </c>
      <c r="BL10" s="38">
        <v>1800</v>
      </c>
      <c r="BM10" s="56">
        <v>565</v>
      </c>
      <c r="BN10" s="36">
        <v>3</v>
      </c>
      <c r="BO10" s="35" t="s">
        <v>163</v>
      </c>
      <c r="BP10" s="36" t="s">
        <v>164</v>
      </c>
      <c r="BQ10" s="54" t="s">
        <v>157</v>
      </c>
      <c r="BR10" s="36" t="s">
        <v>165</v>
      </c>
      <c r="BS10" s="35" t="s">
        <v>163</v>
      </c>
      <c r="BT10" s="36" t="s">
        <v>166</v>
      </c>
    </row>
    <row r="11" spans="1:72" x14ac:dyDescent="0.45">
      <c r="A11" s="36">
        <v>40308</v>
      </c>
      <c r="B11" s="36" t="s">
        <v>181</v>
      </c>
      <c r="C11" s="36" t="s">
        <v>141</v>
      </c>
      <c r="D11" s="36" t="s">
        <v>142</v>
      </c>
      <c r="E11" s="36" t="s">
        <v>143</v>
      </c>
      <c r="F11" s="36" t="s">
        <v>176</v>
      </c>
      <c r="G11" s="36" t="s">
        <v>145</v>
      </c>
      <c r="H11" s="36" t="s">
        <v>146</v>
      </c>
      <c r="J11" s="36" t="s">
        <v>147</v>
      </c>
      <c r="K11" s="36">
        <v>3600</v>
      </c>
      <c r="L11" s="36" t="s">
        <v>148</v>
      </c>
      <c r="M11" s="36" t="s">
        <v>149</v>
      </c>
      <c r="N11" s="38">
        <v>6150000</v>
      </c>
      <c r="O11" s="36">
        <v>1</v>
      </c>
      <c r="P11" s="36" t="s">
        <v>150</v>
      </c>
      <c r="Q11" s="56">
        <v>400</v>
      </c>
      <c r="R11" s="42" t="s">
        <v>177</v>
      </c>
      <c r="S11" s="36" t="s">
        <v>152</v>
      </c>
      <c r="U11" s="36">
        <v>8</v>
      </c>
      <c r="AA11" s="38" t="s">
        <v>153</v>
      </c>
      <c r="AB11" s="38">
        <v>1000</v>
      </c>
      <c r="AC11" s="36">
        <v>5</v>
      </c>
      <c r="AE11" s="38">
        <v>14400000</v>
      </c>
      <c r="AF11" s="38">
        <v>500000</v>
      </c>
      <c r="AG11" s="36">
        <v>500</v>
      </c>
      <c r="AH11" s="36">
        <v>0</v>
      </c>
      <c r="AI11" s="36">
        <v>40309</v>
      </c>
      <c r="AJ11" s="38" t="s">
        <v>182</v>
      </c>
      <c r="AK11" s="38">
        <v>1000</v>
      </c>
      <c r="AL11" s="36">
        <v>97200</v>
      </c>
      <c r="AM11" s="36">
        <v>1000</v>
      </c>
      <c r="AN11" s="36">
        <v>0</v>
      </c>
      <c r="AO11" s="36">
        <v>600</v>
      </c>
      <c r="AP11" s="36">
        <v>2500</v>
      </c>
      <c r="AQ11" s="38" t="s">
        <v>155</v>
      </c>
      <c r="AR11" s="38">
        <v>100</v>
      </c>
      <c r="AS11" s="38" t="s">
        <v>156</v>
      </c>
      <c r="AT11" s="38">
        <v>1000</v>
      </c>
      <c r="AU11" s="38">
        <v>10800</v>
      </c>
      <c r="AV11" s="38">
        <v>14400000</v>
      </c>
      <c r="AW11" s="36">
        <v>200000</v>
      </c>
      <c r="BB11" s="36" t="s">
        <v>157</v>
      </c>
      <c r="BC11" s="36" t="s">
        <v>158</v>
      </c>
      <c r="BD11" s="46"/>
      <c r="BE11" s="39" t="s">
        <v>159</v>
      </c>
      <c r="BF11" s="36">
        <v>1</v>
      </c>
      <c r="BG11" s="36" t="s">
        <v>160</v>
      </c>
      <c r="BH11" s="36" t="s">
        <v>161</v>
      </c>
      <c r="BI11" s="36" t="s">
        <v>162</v>
      </c>
      <c r="BK11" s="38">
        <v>7200</v>
      </c>
      <c r="BL11" s="38">
        <v>1800</v>
      </c>
      <c r="BM11" s="56">
        <v>610</v>
      </c>
      <c r="BN11" s="36">
        <v>3</v>
      </c>
      <c r="BO11" s="35" t="s">
        <v>163</v>
      </c>
      <c r="BP11" s="36" t="s">
        <v>164</v>
      </c>
      <c r="BQ11" s="54" t="s">
        <v>157</v>
      </c>
      <c r="BR11" s="36" t="s">
        <v>165</v>
      </c>
      <c r="BS11" s="35" t="s">
        <v>163</v>
      </c>
      <c r="BT11" s="36" t="s">
        <v>166</v>
      </c>
    </row>
    <row r="12" spans="1:72" x14ac:dyDescent="0.45">
      <c r="A12" s="36">
        <v>40309</v>
      </c>
      <c r="B12" s="36" t="s">
        <v>183</v>
      </c>
      <c r="C12" s="36" t="s">
        <v>141</v>
      </c>
      <c r="D12" s="36" t="s">
        <v>142</v>
      </c>
      <c r="E12" s="36" t="s">
        <v>143</v>
      </c>
      <c r="F12" s="36" t="s">
        <v>184</v>
      </c>
      <c r="G12" s="36" t="s">
        <v>145</v>
      </c>
      <c r="H12" s="36" t="s">
        <v>146</v>
      </c>
      <c r="J12" s="36" t="s">
        <v>147</v>
      </c>
      <c r="K12" s="36">
        <v>3600</v>
      </c>
      <c r="L12" s="36" t="s">
        <v>148</v>
      </c>
      <c r="M12" s="36" t="s">
        <v>149</v>
      </c>
      <c r="N12" s="38">
        <v>6450000</v>
      </c>
      <c r="O12" s="36">
        <v>1</v>
      </c>
      <c r="P12" s="36" t="s">
        <v>150</v>
      </c>
      <c r="Q12" s="56">
        <v>450</v>
      </c>
      <c r="R12" s="42" t="s">
        <v>177</v>
      </c>
      <c r="S12" s="36" t="s">
        <v>152</v>
      </c>
      <c r="U12" s="36">
        <v>9</v>
      </c>
      <c r="AA12" s="38" t="s">
        <v>153</v>
      </c>
      <c r="AB12" s="38">
        <v>1000</v>
      </c>
      <c r="AC12" s="36">
        <v>5</v>
      </c>
      <c r="AE12" s="38">
        <v>14400000</v>
      </c>
      <c r="AF12" s="38">
        <v>500000</v>
      </c>
      <c r="AG12" s="36">
        <v>500</v>
      </c>
      <c r="AH12" s="36">
        <v>0</v>
      </c>
      <c r="AI12" s="36">
        <v>40310</v>
      </c>
      <c r="AJ12" s="38" t="s">
        <v>185</v>
      </c>
      <c r="AK12" s="38">
        <v>1000</v>
      </c>
      <c r="AL12" s="36">
        <v>108000</v>
      </c>
      <c r="AM12" s="36">
        <v>1000</v>
      </c>
      <c r="AN12" s="36">
        <v>0</v>
      </c>
      <c r="AO12" s="36">
        <v>600</v>
      </c>
      <c r="AP12" s="36">
        <v>2500</v>
      </c>
      <c r="AQ12" s="38" t="s">
        <v>155</v>
      </c>
      <c r="AR12" s="38">
        <v>100</v>
      </c>
      <c r="AS12" s="38" t="s">
        <v>156</v>
      </c>
      <c r="AT12" s="38">
        <v>1000</v>
      </c>
      <c r="AU12" s="38">
        <v>10800</v>
      </c>
      <c r="AV12" s="38">
        <v>14400000</v>
      </c>
      <c r="AW12" s="36">
        <v>200000</v>
      </c>
      <c r="BB12" s="36" t="s">
        <v>157</v>
      </c>
      <c r="BC12" s="36" t="s">
        <v>158</v>
      </c>
      <c r="BD12" s="46"/>
      <c r="BE12" s="39" t="s">
        <v>159</v>
      </c>
      <c r="BF12" s="36">
        <v>1</v>
      </c>
      <c r="BG12" s="36" t="s">
        <v>160</v>
      </c>
      <c r="BH12" s="36" t="s">
        <v>161</v>
      </c>
      <c r="BI12" s="36" t="s">
        <v>162</v>
      </c>
      <c r="BK12" s="38">
        <v>7200</v>
      </c>
      <c r="BL12" s="38">
        <v>1800</v>
      </c>
      <c r="BM12" s="56">
        <v>660</v>
      </c>
      <c r="BN12" s="36">
        <v>3</v>
      </c>
      <c r="BO12" s="35" t="s">
        <v>163</v>
      </c>
      <c r="BP12" s="36" t="s">
        <v>164</v>
      </c>
      <c r="BQ12" s="54" t="s">
        <v>157</v>
      </c>
      <c r="BR12" s="36" t="s">
        <v>165</v>
      </c>
      <c r="BS12" s="35" t="s">
        <v>163</v>
      </c>
      <c r="BT12" s="36" t="s">
        <v>166</v>
      </c>
    </row>
    <row r="13" spans="1:72" x14ac:dyDescent="0.45">
      <c r="A13" s="36">
        <v>40310</v>
      </c>
      <c r="B13" s="36" t="s">
        <v>186</v>
      </c>
      <c r="C13" s="36" t="s">
        <v>141</v>
      </c>
      <c r="D13" s="36" t="s">
        <v>142</v>
      </c>
      <c r="E13" s="36" t="s">
        <v>143</v>
      </c>
      <c r="F13" s="36" t="s">
        <v>184</v>
      </c>
      <c r="G13" s="36" t="s">
        <v>145</v>
      </c>
      <c r="H13" s="36" t="s">
        <v>146</v>
      </c>
      <c r="J13" s="36" t="s">
        <v>147</v>
      </c>
      <c r="K13" s="36">
        <v>3600</v>
      </c>
      <c r="L13" s="36" t="s">
        <v>148</v>
      </c>
      <c r="M13" s="36" t="s">
        <v>149</v>
      </c>
      <c r="N13" s="38">
        <v>6750000</v>
      </c>
      <c r="O13" s="36">
        <v>1</v>
      </c>
      <c r="P13" s="36" t="s">
        <v>150</v>
      </c>
      <c r="Q13" s="56">
        <v>500</v>
      </c>
      <c r="R13" s="42" t="s">
        <v>177</v>
      </c>
      <c r="S13" s="36" t="s">
        <v>152</v>
      </c>
      <c r="U13" s="36">
        <v>10</v>
      </c>
      <c r="AA13" s="38" t="s">
        <v>153</v>
      </c>
      <c r="AB13" s="38">
        <v>1000</v>
      </c>
      <c r="AC13" s="36">
        <v>5</v>
      </c>
      <c r="AE13" s="38">
        <v>14400000</v>
      </c>
      <c r="AF13" s="38">
        <v>500000</v>
      </c>
      <c r="AG13" s="36">
        <v>500</v>
      </c>
      <c r="AH13" s="36">
        <v>0</v>
      </c>
      <c r="AI13" s="36">
        <v>-1</v>
      </c>
      <c r="AK13" s="38">
        <v>1000</v>
      </c>
      <c r="AM13" s="36">
        <v>1000</v>
      </c>
      <c r="AN13" s="36">
        <v>0</v>
      </c>
      <c r="AO13" s="36">
        <v>600</v>
      </c>
      <c r="AP13" s="36">
        <v>2500</v>
      </c>
      <c r="AQ13" s="38" t="s">
        <v>155</v>
      </c>
      <c r="AR13" s="38">
        <v>100</v>
      </c>
      <c r="AS13" s="38" t="s">
        <v>156</v>
      </c>
      <c r="AT13" s="38">
        <v>1000</v>
      </c>
      <c r="AU13" s="38">
        <v>10800</v>
      </c>
      <c r="AV13" s="38">
        <v>14400000</v>
      </c>
      <c r="AW13" s="36">
        <v>200000</v>
      </c>
      <c r="BB13" s="36" t="s">
        <v>157</v>
      </c>
      <c r="BC13" s="36" t="s">
        <v>158</v>
      </c>
      <c r="BD13" s="46"/>
      <c r="BE13" s="39" t="s">
        <v>159</v>
      </c>
      <c r="BF13" s="36">
        <v>1</v>
      </c>
      <c r="BG13" s="36" t="s">
        <v>160</v>
      </c>
      <c r="BH13" s="36" t="s">
        <v>161</v>
      </c>
      <c r="BI13" s="36" t="s">
        <v>162</v>
      </c>
      <c r="BK13" s="38">
        <v>7200</v>
      </c>
      <c r="BL13" s="38">
        <v>1800</v>
      </c>
      <c r="BM13" s="56">
        <v>715</v>
      </c>
      <c r="BN13" s="36">
        <v>3</v>
      </c>
      <c r="BO13" s="35" t="s">
        <v>163</v>
      </c>
      <c r="BP13" s="36" t="s">
        <v>164</v>
      </c>
      <c r="BQ13" s="54" t="s">
        <v>157</v>
      </c>
      <c r="BR13" s="36" t="s">
        <v>165</v>
      </c>
      <c r="BS13" s="35" t="s">
        <v>163</v>
      </c>
      <c r="BT13" s="36" t="s">
        <v>166</v>
      </c>
    </row>
    <row r="14" spans="1:72" x14ac:dyDescent="0.45">
      <c r="A14" s="36">
        <v>40701</v>
      </c>
      <c r="B14" s="36" t="s">
        <v>187</v>
      </c>
      <c r="C14" s="36" t="s">
        <v>141</v>
      </c>
      <c r="D14" s="36" t="s">
        <v>142</v>
      </c>
      <c r="E14" s="36" t="s">
        <v>188</v>
      </c>
      <c r="F14" s="36" t="s">
        <v>144</v>
      </c>
      <c r="G14" s="36" t="s">
        <v>145</v>
      </c>
      <c r="H14" s="36" t="s">
        <v>146</v>
      </c>
      <c r="J14" s="36" t="s">
        <v>147</v>
      </c>
      <c r="K14" s="36">
        <v>3600</v>
      </c>
      <c r="L14" s="36" t="s">
        <v>189</v>
      </c>
      <c r="M14" s="36" t="s">
        <v>149</v>
      </c>
      <c r="N14" s="38">
        <v>4050000</v>
      </c>
      <c r="O14" s="36">
        <v>1</v>
      </c>
      <c r="P14" s="36" t="s">
        <v>150</v>
      </c>
      <c r="Q14" s="56">
        <v>50</v>
      </c>
      <c r="R14" s="36" t="s">
        <v>151</v>
      </c>
      <c r="S14" s="36" t="s">
        <v>190</v>
      </c>
      <c r="U14" s="36">
        <v>1</v>
      </c>
      <c r="AA14" s="38" t="s">
        <v>153</v>
      </c>
      <c r="AB14" s="38">
        <v>1000</v>
      </c>
      <c r="AC14" s="36">
        <v>5</v>
      </c>
      <c r="AE14" s="38">
        <v>14400000</v>
      </c>
      <c r="AF14" s="38">
        <v>500000</v>
      </c>
      <c r="AG14" s="36">
        <v>500</v>
      </c>
      <c r="AH14" s="36">
        <v>0</v>
      </c>
      <c r="AI14" s="36">
        <v>40702</v>
      </c>
      <c r="AJ14" s="38" t="s">
        <v>154</v>
      </c>
      <c r="AK14" s="38">
        <v>1000</v>
      </c>
      <c r="AL14" s="36">
        <v>21600</v>
      </c>
      <c r="AM14" s="36">
        <v>1000</v>
      </c>
      <c r="AN14" s="36">
        <v>0</v>
      </c>
      <c r="AO14" s="36">
        <v>600</v>
      </c>
      <c r="AP14" s="36">
        <v>2500</v>
      </c>
      <c r="AQ14" s="38" t="s">
        <v>155</v>
      </c>
      <c r="AR14" s="38">
        <v>100</v>
      </c>
      <c r="AS14" s="38" t="s">
        <v>156</v>
      </c>
      <c r="AT14" s="38">
        <v>1000</v>
      </c>
      <c r="AU14" s="38">
        <v>10800</v>
      </c>
      <c r="AV14" s="38">
        <v>14400000</v>
      </c>
      <c r="AW14" s="36">
        <v>200000</v>
      </c>
      <c r="BB14" s="36" t="s">
        <v>157</v>
      </c>
      <c r="BC14" s="36" t="s">
        <v>191</v>
      </c>
      <c r="BD14" s="46"/>
      <c r="BE14" s="39" t="s">
        <v>159</v>
      </c>
      <c r="BF14" s="36">
        <v>1</v>
      </c>
      <c r="BG14" s="36" t="s">
        <v>160</v>
      </c>
      <c r="BH14" s="36" t="s">
        <v>161</v>
      </c>
      <c r="BI14" s="36" t="s">
        <v>162</v>
      </c>
      <c r="BK14" s="38">
        <v>7200</v>
      </c>
      <c r="BL14" s="38">
        <v>1800</v>
      </c>
      <c r="BM14" s="56">
        <v>400</v>
      </c>
      <c r="BN14" s="36">
        <v>7</v>
      </c>
      <c r="BO14" s="35" t="s">
        <v>163</v>
      </c>
      <c r="BP14" s="36" t="s">
        <v>192</v>
      </c>
      <c r="BQ14" s="54" t="s">
        <v>157</v>
      </c>
      <c r="BR14" s="36" t="s">
        <v>193</v>
      </c>
      <c r="BS14" s="35" t="s">
        <v>163</v>
      </c>
      <c r="BT14" s="36" t="s">
        <v>194</v>
      </c>
    </row>
    <row r="15" spans="1:72" x14ac:dyDescent="0.45">
      <c r="A15" s="36">
        <v>40702</v>
      </c>
      <c r="B15" s="36" t="s">
        <v>195</v>
      </c>
      <c r="C15" s="36" t="s">
        <v>141</v>
      </c>
      <c r="D15" s="36" t="s">
        <v>142</v>
      </c>
      <c r="E15" s="36" t="s">
        <v>188</v>
      </c>
      <c r="F15" s="36" t="s">
        <v>144</v>
      </c>
      <c r="G15" s="36" t="s">
        <v>145</v>
      </c>
      <c r="H15" s="36" t="s">
        <v>146</v>
      </c>
      <c r="J15" s="36" t="s">
        <v>147</v>
      </c>
      <c r="K15" s="36">
        <v>3600</v>
      </c>
      <c r="L15" s="36" t="s">
        <v>189</v>
      </c>
      <c r="M15" s="36" t="s">
        <v>149</v>
      </c>
      <c r="N15" s="38">
        <v>4350000</v>
      </c>
      <c r="O15" s="36">
        <v>1</v>
      </c>
      <c r="P15" s="36" t="s">
        <v>150</v>
      </c>
      <c r="Q15" s="56">
        <v>100</v>
      </c>
      <c r="R15" s="36" t="s">
        <v>151</v>
      </c>
      <c r="S15" s="36" t="s">
        <v>190</v>
      </c>
      <c r="U15" s="36">
        <v>2</v>
      </c>
      <c r="AA15" s="38" t="s">
        <v>153</v>
      </c>
      <c r="AB15" s="38">
        <v>1000</v>
      </c>
      <c r="AC15" s="36">
        <v>5</v>
      </c>
      <c r="AE15" s="38">
        <v>14400000</v>
      </c>
      <c r="AF15" s="38">
        <v>500000</v>
      </c>
      <c r="AG15" s="36">
        <v>500</v>
      </c>
      <c r="AH15" s="36">
        <v>0</v>
      </c>
      <c r="AI15" s="36">
        <v>40703</v>
      </c>
      <c r="AJ15" s="38" t="s">
        <v>168</v>
      </c>
      <c r="AK15" s="38">
        <v>1000</v>
      </c>
      <c r="AL15" s="36">
        <v>32400</v>
      </c>
      <c r="AM15" s="36">
        <v>1000</v>
      </c>
      <c r="AN15" s="36">
        <v>0</v>
      </c>
      <c r="AO15" s="36">
        <v>600</v>
      </c>
      <c r="AP15" s="36">
        <v>2500</v>
      </c>
      <c r="AQ15" s="38" t="s">
        <v>155</v>
      </c>
      <c r="AR15" s="38">
        <v>100</v>
      </c>
      <c r="AS15" s="38" t="s">
        <v>156</v>
      </c>
      <c r="AT15" s="38">
        <v>1000</v>
      </c>
      <c r="AU15" s="38">
        <v>10800</v>
      </c>
      <c r="AV15" s="38">
        <v>14400000</v>
      </c>
      <c r="AW15" s="36">
        <v>200000</v>
      </c>
      <c r="BB15" s="36" t="s">
        <v>157</v>
      </c>
      <c r="BC15" s="36" t="s">
        <v>191</v>
      </c>
      <c r="BD15" s="46"/>
      <c r="BE15" s="39" t="s">
        <v>159</v>
      </c>
      <c r="BF15" s="36">
        <v>1</v>
      </c>
      <c r="BG15" s="36" t="s">
        <v>160</v>
      </c>
      <c r="BH15" s="36" t="s">
        <v>161</v>
      </c>
      <c r="BI15" s="36" t="s">
        <v>162</v>
      </c>
      <c r="BK15" s="38">
        <v>7200</v>
      </c>
      <c r="BL15" s="38">
        <v>1800</v>
      </c>
      <c r="BM15" s="56">
        <v>415</v>
      </c>
      <c r="BN15" s="36">
        <v>7</v>
      </c>
      <c r="BO15" s="35" t="s">
        <v>163</v>
      </c>
      <c r="BP15" s="36" t="s">
        <v>192</v>
      </c>
      <c r="BQ15" s="54" t="s">
        <v>157</v>
      </c>
      <c r="BR15" s="36" t="s">
        <v>193</v>
      </c>
      <c r="BS15" s="35" t="s">
        <v>163</v>
      </c>
      <c r="BT15" s="36" t="s">
        <v>194</v>
      </c>
    </row>
    <row r="16" spans="1:72" x14ac:dyDescent="0.45">
      <c r="A16" s="36">
        <v>40703</v>
      </c>
      <c r="B16" s="36" t="s">
        <v>196</v>
      </c>
      <c r="C16" s="36" t="s">
        <v>141</v>
      </c>
      <c r="D16" s="36" t="s">
        <v>142</v>
      </c>
      <c r="E16" s="36" t="s">
        <v>188</v>
      </c>
      <c r="F16" s="36" t="s">
        <v>144</v>
      </c>
      <c r="G16" s="36" t="s">
        <v>145</v>
      </c>
      <c r="H16" s="36" t="s">
        <v>146</v>
      </c>
      <c r="J16" s="36" t="s">
        <v>147</v>
      </c>
      <c r="K16" s="36">
        <v>3600</v>
      </c>
      <c r="L16" s="36" t="s">
        <v>189</v>
      </c>
      <c r="M16" s="36" t="s">
        <v>149</v>
      </c>
      <c r="N16" s="38">
        <v>4650000</v>
      </c>
      <c r="O16" s="36">
        <v>1</v>
      </c>
      <c r="P16" s="36" t="s">
        <v>150</v>
      </c>
      <c r="Q16" s="56">
        <v>150</v>
      </c>
      <c r="R16" s="36" t="s">
        <v>151</v>
      </c>
      <c r="S16" s="36" t="s">
        <v>190</v>
      </c>
      <c r="U16" s="36">
        <v>3</v>
      </c>
      <c r="AA16" s="38" t="s">
        <v>153</v>
      </c>
      <c r="AB16" s="38">
        <v>1000</v>
      </c>
      <c r="AC16" s="36">
        <v>5</v>
      </c>
      <c r="AE16" s="38">
        <v>14400000</v>
      </c>
      <c r="AF16" s="38">
        <v>500000</v>
      </c>
      <c r="AG16" s="36">
        <v>500</v>
      </c>
      <c r="AH16" s="36">
        <v>0</v>
      </c>
      <c r="AI16" s="36">
        <v>40704</v>
      </c>
      <c r="AJ16" s="38" t="s">
        <v>170</v>
      </c>
      <c r="AK16" s="38">
        <v>1000</v>
      </c>
      <c r="AL16" s="36">
        <v>43200</v>
      </c>
      <c r="AM16" s="36">
        <v>1000</v>
      </c>
      <c r="AN16" s="36">
        <v>0</v>
      </c>
      <c r="AO16" s="36">
        <v>600</v>
      </c>
      <c r="AP16" s="36">
        <v>2500</v>
      </c>
      <c r="AQ16" s="38" t="s">
        <v>155</v>
      </c>
      <c r="AR16" s="38">
        <v>100</v>
      </c>
      <c r="AS16" s="38" t="s">
        <v>156</v>
      </c>
      <c r="AT16" s="38">
        <v>1000</v>
      </c>
      <c r="AU16" s="38">
        <v>10800</v>
      </c>
      <c r="AV16" s="38">
        <v>14400000</v>
      </c>
      <c r="AW16" s="36">
        <v>200000</v>
      </c>
      <c r="BB16" s="36" t="s">
        <v>157</v>
      </c>
      <c r="BC16" s="36" t="s">
        <v>191</v>
      </c>
      <c r="BD16" s="46"/>
      <c r="BE16" s="39" t="s">
        <v>159</v>
      </c>
      <c r="BF16" s="36">
        <v>1</v>
      </c>
      <c r="BG16" s="36" t="s">
        <v>160</v>
      </c>
      <c r="BH16" s="36" t="s">
        <v>161</v>
      </c>
      <c r="BI16" s="36" t="s">
        <v>162</v>
      </c>
      <c r="BK16" s="38">
        <v>7200</v>
      </c>
      <c r="BL16" s="38">
        <v>1800</v>
      </c>
      <c r="BM16" s="56">
        <v>435</v>
      </c>
      <c r="BN16" s="36">
        <v>7</v>
      </c>
      <c r="BO16" s="35" t="s">
        <v>163</v>
      </c>
      <c r="BP16" s="36" t="s">
        <v>192</v>
      </c>
      <c r="BQ16" s="54" t="s">
        <v>157</v>
      </c>
      <c r="BR16" s="36" t="s">
        <v>193</v>
      </c>
      <c r="BS16" s="35" t="s">
        <v>163</v>
      </c>
      <c r="BT16" s="36" t="s">
        <v>194</v>
      </c>
    </row>
    <row r="17" spans="1:72" s="35" customFormat="1" x14ac:dyDescent="0.45">
      <c r="A17" s="36">
        <v>40704</v>
      </c>
      <c r="B17" s="36" t="s">
        <v>197</v>
      </c>
      <c r="C17" s="36" t="s">
        <v>141</v>
      </c>
      <c r="D17" s="36" t="s">
        <v>142</v>
      </c>
      <c r="E17" s="36" t="s">
        <v>188</v>
      </c>
      <c r="F17" s="36" t="s">
        <v>144</v>
      </c>
      <c r="G17" s="36" t="s">
        <v>145</v>
      </c>
      <c r="H17" s="36" t="s">
        <v>146</v>
      </c>
      <c r="I17" s="36"/>
      <c r="J17" s="36" t="s">
        <v>147</v>
      </c>
      <c r="K17" s="36">
        <v>3600</v>
      </c>
      <c r="L17" s="36" t="s">
        <v>189</v>
      </c>
      <c r="M17" s="36" t="s">
        <v>149</v>
      </c>
      <c r="N17" s="38">
        <v>4950000</v>
      </c>
      <c r="O17" s="36">
        <v>1</v>
      </c>
      <c r="P17" s="36" t="s">
        <v>150</v>
      </c>
      <c r="Q17" s="56">
        <v>200</v>
      </c>
      <c r="R17" s="36" t="s">
        <v>151</v>
      </c>
      <c r="S17" s="36" t="s">
        <v>190</v>
      </c>
      <c r="T17" s="36"/>
      <c r="U17" s="36">
        <v>4</v>
      </c>
      <c r="V17" s="36"/>
      <c r="W17" s="36"/>
      <c r="X17" s="36"/>
      <c r="Y17" s="36"/>
      <c r="Z17" s="36"/>
      <c r="AA17" s="38" t="s">
        <v>153</v>
      </c>
      <c r="AB17" s="38">
        <v>1000</v>
      </c>
      <c r="AC17" s="36">
        <v>5</v>
      </c>
      <c r="AD17" s="36"/>
      <c r="AE17" s="38">
        <v>14400000</v>
      </c>
      <c r="AF17" s="38">
        <v>500000</v>
      </c>
      <c r="AG17" s="36">
        <v>500</v>
      </c>
      <c r="AH17" s="36">
        <v>0</v>
      </c>
      <c r="AI17" s="36">
        <v>40705</v>
      </c>
      <c r="AJ17" s="38" t="s">
        <v>172</v>
      </c>
      <c r="AK17" s="38">
        <v>1000</v>
      </c>
      <c r="AL17" s="36">
        <v>54000</v>
      </c>
      <c r="AM17" s="36">
        <v>1000</v>
      </c>
      <c r="AN17" s="36">
        <v>0</v>
      </c>
      <c r="AO17" s="36">
        <v>600</v>
      </c>
      <c r="AP17" s="36">
        <v>2500</v>
      </c>
      <c r="AQ17" s="38" t="s">
        <v>155</v>
      </c>
      <c r="AR17" s="38">
        <v>100</v>
      </c>
      <c r="AS17" s="38" t="s">
        <v>156</v>
      </c>
      <c r="AT17" s="38">
        <v>1000</v>
      </c>
      <c r="AU17" s="38">
        <v>10800</v>
      </c>
      <c r="AV17" s="38">
        <v>14400000</v>
      </c>
      <c r="AW17" s="36">
        <v>200000</v>
      </c>
      <c r="AX17" s="36"/>
      <c r="AY17" s="36"/>
      <c r="AZ17" s="36"/>
      <c r="BA17" s="36"/>
      <c r="BB17" s="36" t="s">
        <v>157</v>
      </c>
      <c r="BC17" s="36" t="s">
        <v>191</v>
      </c>
      <c r="BD17" s="46"/>
      <c r="BE17" s="39" t="s">
        <v>159</v>
      </c>
      <c r="BF17" s="36">
        <v>1</v>
      </c>
      <c r="BG17" s="36" t="s">
        <v>160</v>
      </c>
      <c r="BH17" s="36" t="s">
        <v>161</v>
      </c>
      <c r="BI17" s="36" t="s">
        <v>162</v>
      </c>
      <c r="BJ17"/>
      <c r="BK17" s="38">
        <v>7200</v>
      </c>
      <c r="BL17" s="38">
        <v>1800</v>
      </c>
      <c r="BM17" s="56">
        <v>460</v>
      </c>
      <c r="BN17" s="36">
        <v>7</v>
      </c>
      <c r="BO17" s="35" t="s">
        <v>163</v>
      </c>
      <c r="BP17" s="36" t="s">
        <v>192</v>
      </c>
      <c r="BQ17" s="54" t="s">
        <v>157</v>
      </c>
      <c r="BR17" s="36" t="s">
        <v>193</v>
      </c>
      <c r="BS17" s="35" t="s">
        <v>163</v>
      </c>
      <c r="BT17" s="36" t="s">
        <v>194</v>
      </c>
    </row>
    <row r="18" spans="1:72" x14ac:dyDescent="0.45">
      <c r="A18" s="36">
        <v>40705</v>
      </c>
      <c r="B18" s="36" t="s">
        <v>198</v>
      </c>
      <c r="C18" s="36" t="s">
        <v>141</v>
      </c>
      <c r="D18" s="36" t="s">
        <v>142</v>
      </c>
      <c r="E18" s="36" t="s">
        <v>188</v>
      </c>
      <c r="F18" s="36" t="s">
        <v>144</v>
      </c>
      <c r="G18" s="36" t="s">
        <v>145</v>
      </c>
      <c r="H18" s="36" t="s">
        <v>146</v>
      </c>
      <c r="J18" s="36" t="s">
        <v>147</v>
      </c>
      <c r="K18" s="36">
        <v>3600</v>
      </c>
      <c r="L18" s="36" t="s">
        <v>189</v>
      </c>
      <c r="M18" s="36" t="s">
        <v>149</v>
      </c>
      <c r="N18" s="38">
        <v>5250000</v>
      </c>
      <c r="O18" s="36">
        <v>1</v>
      </c>
      <c r="P18" s="36" t="s">
        <v>150</v>
      </c>
      <c r="Q18" s="56">
        <v>250</v>
      </c>
      <c r="R18" s="36" t="s">
        <v>151</v>
      </c>
      <c r="S18" s="36" t="s">
        <v>190</v>
      </c>
      <c r="U18" s="36">
        <v>5</v>
      </c>
      <c r="AA18" s="38" t="s">
        <v>153</v>
      </c>
      <c r="AB18" s="38">
        <v>1000</v>
      </c>
      <c r="AC18" s="36">
        <v>5</v>
      </c>
      <c r="AE18" s="38">
        <v>14400000</v>
      </c>
      <c r="AF18" s="38">
        <v>500000</v>
      </c>
      <c r="AG18" s="36">
        <v>500</v>
      </c>
      <c r="AH18" s="36">
        <v>0</v>
      </c>
      <c r="AI18" s="36">
        <v>40706</v>
      </c>
      <c r="AJ18" s="38" t="s">
        <v>174</v>
      </c>
      <c r="AK18" s="38">
        <v>1000</v>
      </c>
      <c r="AL18" s="36">
        <v>64800</v>
      </c>
      <c r="AM18" s="36">
        <v>1000</v>
      </c>
      <c r="AN18" s="36">
        <v>0</v>
      </c>
      <c r="AO18" s="36">
        <v>600</v>
      </c>
      <c r="AP18" s="36">
        <v>2500</v>
      </c>
      <c r="AQ18" s="38" t="s">
        <v>155</v>
      </c>
      <c r="AR18" s="38">
        <v>100</v>
      </c>
      <c r="AS18" s="38" t="s">
        <v>156</v>
      </c>
      <c r="AT18" s="38">
        <v>1000</v>
      </c>
      <c r="AU18" s="38">
        <v>10800</v>
      </c>
      <c r="AV18" s="38">
        <v>14400000</v>
      </c>
      <c r="AW18" s="36">
        <v>200000</v>
      </c>
      <c r="BB18" s="36" t="s">
        <v>157</v>
      </c>
      <c r="BC18" s="36" t="s">
        <v>191</v>
      </c>
      <c r="BD18" s="46"/>
      <c r="BE18" s="39" t="s">
        <v>159</v>
      </c>
      <c r="BF18" s="36">
        <v>1</v>
      </c>
      <c r="BG18" s="36" t="s">
        <v>160</v>
      </c>
      <c r="BH18" s="36" t="s">
        <v>161</v>
      </c>
      <c r="BI18" s="36" t="s">
        <v>162</v>
      </c>
      <c r="BK18" s="38">
        <v>7200</v>
      </c>
      <c r="BL18" s="38">
        <v>1800</v>
      </c>
      <c r="BM18" s="56">
        <v>490</v>
      </c>
      <c r="BN18" s="36">
        <v>7</v>
      </c>
      <c r="BO18" s="35" t="s">
        <v>163</v>
      </c>
      <c r="BP18" s="36" t="s">
        <v>192</v>
      </c>
      <c r="BQ18" s="54" t="s">
        <v>157</v>
      </c>
      <c r="BR18" s="36" t="s">
        <v>193</v>
      </c>
      <c r="BS18" s="35" t="s">
        <v>163</v>
      </c>
      <c r="BT18" s="36" t="s">
        <v>194</v>
      </c>
    </row>
    <row r="19" spans="1:72" x14ac:dyDescent="0.45">
      <c r="A19" s="36">
        <v>40706</v>
      </c>
      <c r="B19" s="36" t="s">
        <v>199</v>
      </c>
      <c r="C19" s="36" t="s">
        <v>141</v>
      </c>
      <c r="D19" s="36" t="s">
        <v>142</v>
      </c>
      <c r="E19" s="36" t="s">
        <v>188</v>
      </c>
      <c r="F19" s="36" t="s">
        <v>176</v>
      </c>
      <c r="G19" s="36" t="s">
        <v>145</v>
      </c>
      <c r="H19" s="36" t="s">
        <v>146</v>
      </c>
      <c r="J19" s="36" t="s">
        <v>147</v>
      </c>
      <c r="K19" s="36">
        <v>3600</v>
      </c>
      <c r="L19" s="36" t="s">
        <v>189</v>
      </c>
      <c r="M19" s="36" t="s">
        <v>149</v>
      </c>
      <c r="N19" s="38">
        <v>5550000</v>
      </c>
      <c r="O19" s="36">
        <v>1</v>
      </c>
      <c r="P19" s="36" t="s">
        <v>150</v>
      </c>
      <c r="Q19" s="56">
        <v>300</v>
      </c>
      <c r="R19" s="42" t="s">
        <v>177</v>
      </c>
      <c r="S19" s="36" t="s">
        <v>190</v>
      </c>
      <c r="U19" s="36">
        <v>6</v>
      </c>
      <c r="AA19" s="38" t="s">
        <v>153</v>
      </c>
      <c r="AB19" s="38">
        <v>1000</v>
      </c>
      <c r="AC19" s="36">
        <v>5</v>
      </c>
      <c r="AE19" s="38">
        <v>14400000</v>
      </c>
      <c r="AF19" s="38">
        <v>500000</v>
      </c>
      <c r="AG19" s="36">
        <v>500</v>
      </c>
      <c r="AH19" s="36">
        <v>0</v>
      </c>
      <c r="AI19" s="36">
        <v>40707</v>
      </c>
      <c r="AJ19" s="38" t="s">
        <v>178</v>
      </c>
      <c r="AK19" s="38">
        <v>1000</v>
      </c>
      <c r="AL19" s="36">
        <v>75600</v>
      </c>
      <c r="AM19" s="36">
        <v>1000</v>
      </c>
      <c r="AN19" s="36">
        <v>0</v>
      </c>
      <c r="AO19" s="36">
        <v>600</v>
      </c>
      <c r="AP19" s="36">
        <v>2500</v>
      </c>
      <c r="AQ19" s="38" t="s">
        <v>155</v>
      </c>
      <c r="AR19" s="38">
        <v>100</v>
      </c>
      <c r="AS19" s="38" t="s">
        <v>156</v>
      </c>
      <c r="AT19" s="38">
        <v>1000</v>
      </c>
      <c r="AU19" s="38">
        <v>10800</v>
      </c>
      <c r="AV19" s="38">
        <v>14400000</v>
      </c>
      <c r="AW19" s="36">
        <v>200000</v>
      </c>
      <c r="BB19" s="36" t="s">
        <v>157</v>
      </c>
      <c r="BC19" s="36" t="s">
        <v>191</v>
      </c>
      <c r="BD19" s="46"/>
      <c r="BE19" s="39" t="s">
        <v>159</v>
      </c>
      <c r="BF19" s="36">
        <v>1</v>
      </c>
      <c r="BG19" s="36" t="s">
        <v>160</v>
      </c>
      <c r="BH19" s="36" t="s">
        <v>161</v>
      </c>
      <c r="BI19" s="36" t="s">
        <v>162</v>
      </c>
      <c r="BK19" s="38">
        <v>7200</v>
      </c>
      <c r="BL19" s="38">
        <v>1800</v>
      </c>
      <c r="BM19" s="56">
        <v>525</v>
      </c>
      <c r="BN19" s="36">
        <v>7</v>
      </c>
      <c r="BO19" s="35" t="s">
        <v>163</v>
      </c>
      <c r="BP19" s="36" t="s">
        <v>192</v>
      </c>
      <c r="BQ19" s="54" t="s">
        <v>157</v>
      </c>
      <c r="BR19" s="36" t="s">
        <v>193</v>
      </c>
      <c r="BS19" s="35" t="s">
        <v>163</v>
      </c>
      <c r="BT19" s="36" t="s">
        <v>194</v>
      </c>
    </row>
    <row r="20" spans="1:72" x14ac:dyDescent="0.45">
      <c r="A20" s="36">
        <v>40707</v>
      </c>
      <c r="B20" s="36" t="s">
        <v>200</v>
      </c>
      <c r="C20" s="36" t="s">
        <v>141</v>
      </c>
      <c r="D20" s="36" t="s">
        <v>142</v>
      </c>
      <c r="E20" s="36" t="s">
        <v>188</v>
      </c>
      <c r="F20" s="36" t="s">
        <v>176</v>
      </c>
      <c r="G20" s="36" t="s">
        <v>145</v>
      </c>
      <c r="H20" s="36" t="s">
        <v>146</v>
      </c>
      <c r="J20" s="36" t="s">
        <v>147</v>
      </c>
      <c r="K20" s="36">
        <v>3600</v>
      </c>
      <c r="L20" s="36" t="s">
        <v>189</v>
      </c>
      <c r="M20" s="36" t="s">
        <v>149</v>
      </c>
      <c r="N20" s="38">
        <v>5850000</v>
      </c>
      <c r="O20" s="36">
        <v>1</v>
      </c>
      <c r="P20" s="36" t="s">
        <v>150</v>
      </c>
      <c r="Q20" s="56">
        <v>350</v>
      </c>
      <c r="R20" s="42" t="s">
        <v>177</v>
      </c>
      <c r="S20" s="36" t="s">
        <v>190</v>
      </c>
      <c r="U20" s="36">
        <v>7</v>
      </c>
      <c r="AA20" s="38" t="s">
        <v>153</v>
      </c>
      <c r="AB20" s="38">
        <v>1000</v>
      </c>
      <c r="AC20" s="36">
        <v>5</v>
      </c>
      <c r="AE20" s="38">
        <v>14400000</v>
      </c>
      <c r="AF20" s="38">
        <v>500000</v>
      </c>
      <c r="AG20" s="36">
        <v>500</v>
      </c>
      <c r="AH20" s="36">
        <v>0</v>
      </c>
      <c r="AI20" s="36">
        <v>40708</v>
      </c>
      <c r="AJ20" s="38" t="s">
        <v>180</v>
      </c>
      <c r="AK20" s="38">
        <v>1000</v>
      </c>
      <c r="AL20" s="36">
        <v>86400</v>
      </c>
      <c r="AM20" s="36">
        <v>1000</v>
      </c>
      <c r="AN20" s="36">
        <v>0</v>
      </c>
      <c r="AO20" s="36">
        <v>600</v>
      </c>
      <c r="AP20" s="36">
        <v>2500</v>
      </c>
      <c r="AQ20" s="38" t="s">
        <v>155</v>
      </c>
      <c r="AR20" s="38">
        <v>100</v>
      </c>
      <c r="AS20" s="38" t="s">
        <v>156</v>
      </c>
      <c r="AT20" s="38">
        <v>1000</v>
      </c>
      <c r="AU20" s="38">
        <v>10800</v>
      </c>
      <c r="AV20" s="38">
        <v>14400000</v>
      </c>
      <c r="AW20" s="36">
        <v>200000</v>
      </c>
      <c r="BB20" s="36" t="s">
        <v>157</v>
      </c>
      <c r="BC20" s="36" t="s">
        <v>191</v>
      </c>
      <c r="BD20" s="46"/>
      <c r="BE20" s="39" t="s">
        <v>159</v>
      </c>
      <c r="BF20" s="36">
        <v>1</v>
      </c>
      <c r="BG20" s="36" t="s">
        <v>160</v>
      </c>
      <c r="BH20" s="36" t="s">
        <v>161</v>
      </c>
      <c r="BI20" s="36" t="s">
        <v>162</v>
      </c>
      <c r="BK20" s="38">
        <v>7200</v>
      </c>
      <c r="BL20" s="38">
        <v>1800</v>
      </c>
      <c r="BM20" s="56">
        <v>565</v>
      </c>
      <c r="BN20" s="36">
        <v>7</v>
      </c>
      <c r="BO20" s="35" t="s">
        <v>163</v>
      </c>
      <c r="BP20" s="36" t="s">
        <v>192</v>
      </c>
      <c r="BQ20" s="54" t="s">
        <v>157</v>
      </c>
      <c r="BR20" s="36" t="s">
        <v>193</v>
      </c>
      <c r="BS20" s="35" t="s">
        <v>163</v>
      </c>
      <c r="BT20" s="36" t="s">
        <v>194</v>
      </c>
    </row>
    <row r="21" spans="1:72" x14ac:dyDescent="0.45">
      <c r="A21" s="36">
        <v>40708</v>
      </c>
      <c r="B21" s="36" t="s">
        <v>201</v>
      </c>
      <c r="C21" s="36" t="s">
        <v>141</v>
      </c>
      <c r="D21" s="36" t="s">
        <v>142</v>
      </c>
      <c r="E21" s="36" t="s">
        <v>188</v>
      </c>
      <c r="F21" s="36" t="s">
        <v>176</v>
      </c>
      <c r="G21" s="36" t="s">
        <v>145</v>
      </c>
      <c r="H21" s="36" t="s">
        <v>146</v>
      </c>
      <c r="J21" s="36" t="s">
        <v>147</v>
      </c>
      <c r="K21" s="36">
        <v>3600</v>
      </c>
      <c r="L21" s="36" t="s">
        <v>189</v>
      </c>
      <c r="M21" s="36" t="s">
        <v>149</v>
      </c>
      <c r="N21" s="38">
        <v>6150000</v>
      </c>
      <c r="O21" s="36">
        <v>1</v>
      </c>
      <c r="P21" s="36" t="s">
        <v>150</v>
      </c>
      <c r="Q21" s="56">
        <v>400</v>
      </c>
      <c r="R21" s="42" t="s">
        <v>177</v>
      </c>
      <c r="S21" s="36" t="s">
        <v>190</v>
      </c>
      <c r="U21" s="36">
        <v>8</v>
      </c>
      <c r="AA21" s="38" t="s">
        <v>153</v>
      </c>
      <c r="AB21" s="38">
        <v>1000</v>
      </c>
      <c r="AC21" s="36">
        <v>5</v>
      </c>
      <c r="AE21" s="38">
        <v>14400000</v>
      </c>
      <c r="AF21" s="38">
        <v>500000</v>
      </c>
      <c r="AG21" s="36">
        <v>500</v>
      </c>
      <c r="AH21" s="36">
        <v>0</v>
      </c>
      <c r="AI21" s="36">
        <v>40709</v>
      </c>
      <c r="AJ21" s="38" t="s">
        <v>182</v>
      </c>
      <c r="AK21" s="38">
        <v>1000</v>
      </c>
      <c r="AL21" s="36">
        <v>97200</v>
      </c>
      <c r="AM21" s="36">
        <v>1000</v>
      </c>
      <c r="AN21" s="36">
        <v>0</v>
      </c>
      <c r="AO21" s="36">
        <v>600</v>
      </c>
      <c r="AP21" s="36">
        <v>2500</v>
      </c>
      <c r="AQ21" s="38" t="s">
        <v>155</v>
      </c>
      <c r="AR21" s="38">
        <v>100</v>
      </c>
      <c r="AS21" s="38" t="s">
        <v>156</v>
      </c>
      <c r="AT21" s="38">
        <v>1000</v>
      </c>
      <c r="AU21" s="38">
        <v>10800</v>
      </c>
      <c r="AV21" s="38">
        <v>14400000</v>
      </c>
      <c r="AW21" s="36">
        <v>200000</v>
      </c>
      <c r="BB21" s="36" t="s">
        <v>157</v>
      </c>
      <c r="BC21" s="36" t="s">
        <v>191</v>
      </c>
      <c r="BD21" s="46"/>
      <c r="BE21" s="39" t="s">
        <v>159</v>
      </c>
      <c r="BF21" s="36">
        <v>1</v>
      </c>
      <c r="BG21" s="36" t="s">
        <v>160</v>
      </c>
      <c r="BH21" s="36" t="s">
        <v>161</v>
      </c>
      <c r="BI21" s="36" t="s">
        <v>162</v>
      </c>
      <c r="BK21" s="38">
        <v>7200</v>
      </c>
      <c r="BL21" s="38">
        <v>1800</v>
      </c>
      <c r="BM21" s="56">
        <v>610</v>
      </c>
      <c r="BN21" s="36">
        <v>7</v>
      </c>
      <c r="BO21" s="35" t="s">
        <v>163</v>
      </c>
      <c r="BP21" s="36" t="s">
        <v>192</v>
      </c>
      <c r="BQ21" s="54" t="s">
        <v>157</v>
      </c>
      <c r="BR21" s="36" t="s">
        <v>193</v>
      </c>
      <c r="BS21" s="35" t="s">
        <v>163</v>
      </c>
      <c r="BT21" s="36" t="s">
        <v>194</v>
      </c>
    </row>
    <row r="22" spans="1:72" x14ac:dyDescent="0.45">
      <c r="A22" s="36">
        <v>40709</v>
      </c>
      <c r="B22" s="36" t="s">
        <v>202</v>
      </c>
      <c r="C22" s="36" t="s">
        <v>141</v>
      </c>
      <c r="D22" s="36" t="s">
        <v>142</v>
      </c>
      <c r="E22" s="36" t="s">
        <v>188</v>
      </c>
      <c r="F22" s="36" t="s">
        <v>184</v>
      </c>
      <c r="G22" s="36" t="s">
        <v>145</v>
      </c>
      <c r="H22" s="36" t="s">
        <v>146</v>
      </c>
      <c r="J22" s="36" t="s">
        <v>147</v>
      </c>
      <c r="K22" s="36">
        <v>3600</v>
      </c>
      <c r="L22" s="36" t="s">
        <v>189</v>
      </c>
      <c r="M22" s="36" t="s">
        <v>149</v>
      </c>
      <c r="N22" s="38">
        <v>6450000</v>
      </c>
      <c r="O22" s="36">
        <v>1</v>
      </c>
      <c r="P22" s="36" t="s">
        <v>150</v>
      </c>
      <c r="Q22" s="56">
        <v>450</v>
      </c>
      <c r="R22" s="42" t="s">
        <v>177</v>
      </c>
      <c r="S22" s="36" t="s">
        <v>190</v>
      </c>
      <c r="U22" s="36">
        <v>9</v>
      </c>
      <c r="AA22" s="38" t="s">
        <v>153</v>
      </c>
      <c r="AB22" s="38">
        <v>1000</v>
      </c>
      <c r="AC22" s="36">
        <v>5</v>
      </c>
      <c r="AE22" s="38">
        <v>14400000</v>
      </c>
      <c r="AF22" s="38">
        <v>500000</v>
      </c>
      <c r="AG22" s="36">
        <v>500</v>
      </c>
      <c r="AH22" s="36">
        <v>0</v>
      </c>
      <c r="AI22" s="36">
        <v>40710</v>
      </c>
      <c r="AJ22" s="38" t="s">
        <v>185</v>
      </c>
      <c r="AK22" s="38">
        <v>1000</v>
      </c>
      <c r="AL22" s="36">
        <v>108000</v>
      </c>
      <c r="AM22" s="36">
        <v>1000</v>
      </c>
      <c r="AN22" s="36">
        <v>0</v>
      </c>
      <c r="AO22" s="36">
        <v>600</v>
      </c>
      <c r="AP22" s="36">
        <v>2500</v>
      </c>
      <c r="AQ22" s="38" t="s">
        <v>155</v>
      </c>
      <c r="AR22" s="38">
        <v>100</v>
      </c>
      <c r="AS22" s="38" t="s">
        <v>156</v>
      </c>
      <c r="AT22" s="38">
        <v>1000</v>
      </c>
      <c r="AU22" s="38">
        <v>10800</v>
      </c>
      <c r="AV22" s="38">
        <v>14400000</v>
      </c>
      <c r="AW22" s="36">
        <v>200000</v>
      </c>
      <c r="BB22" s="36" t="s">
        <v>157</v>
      </c>
      <c r="BC22" s="36" t="s">
        <v>191</v>
      </c>
      <c r="BD22" s="46"/>
      <c r="BE22" s="39" t="s">
        <v>159</v>
      </c>
      <c r="BF22" s="36">
        <v>1</v>
      </c>
      <c r="BG22" s="36" t="s">
        <v>160</v>
      </c>
      <c r="BH22" s="36" t="s">
        <v>161</v>
      </c>
      <c r="BI22" s="36" t="s">
        <v>162</v>
      </c>
      <c r="BK22" s="38">
        <v>7200</v>
      </c>
      <c r="BL22" s="38">
        <v>1800</v>
      </c>
      <c r="BM22" s="56">
        <v>660</v>
      </c>
      <c r="BN22" s="36">
        <v>7</v>
      </c>
      <c r="BO22" s="35" t="s">
        <v>163</v>
      </c>
      <c r="BP22" s="36" t="s">
        <v>192</v>
      </c>
      <c r="BQ22" s="54" t="s">
        <v>157</v>
      </c>
      <c r="BR22" s="36" t="s">
        <v>193</v>
      </c>
      <c r="BS22" s="35" t="s">
        <v>163</v>
      </c>
      <c r="BT22" s="36" t="s">
        <v>194</v>
      </c>
    </row>
    <row r="23" spans="1:72" x14ac:dyDescent="0.45">
      <c r="A23" s="36">
        <v>40710</v>
      </c>
      <c r="B23" s="36" t="s">
        <v>203</v>
      </c>
      <c r="C23" s="36" t="s">
        <v>141</v>
      </c>
      <c r="D23" s="36" t="s">
        <v>142</v>
      </c>
      <c r="E23" s="36" t="s">
        <v>188</v>
      </c>
      <c r="F23" s="36" t="s">
        <v>184</v>
      </c>
      <c r="G23" s="36" t="s">
        <v>145</v>
      </c>
      <c r="H23" s="36" t="s">
        <v>146</v>
      </c>
      <c r="J23" s="36" t="s">
        <v>147</v>
      </c>
      <c r="K23" s="36">
        <v>3600</v>
      </c>
      <c r="L23" s="36" t="s">
        <v>189</v>
      </c>
      <c r="M23" s="36" t="s">
        <v>149</v>
      </c>
      <c r="N23" s="38">
        <v>6750000</v>
      </c>
      <c r="O23" s="36">
        <v>1</v>
      </c>
      <c r="P23" s="36" t="s">
        <v>150</v>
      </c>
      <c r="Q23" s="56">
        <v>500</v>
      </c>
      <c r="R23" s="42" t="s">
        <v>177</v>
      </c>
      <c r="S23" s="36" t="s">
        <v>190</v>
      </c>
      <c r="U23" s="36">
        <v>10</v>
      </c>
      <c r="AA23" s="38" t="s">
        <v>153</v>
      </c>
      <c r="AB23" s="38">
        <v>1000</v>
      </c>
      <c r="AC23" s="36">
        <v>5</v>
      </c>
      <c r="AE23" s="38">
        <v>14400000</v>
      </c>
      <c r="AF23" s="38">
        <v>500000</v>
      </c>
      <c r="AG23" s="36">
        <v>500</v>
      </c>
      <c r="AH23" s="36">
        <v>0</v>
      </c>
      <c r="AI23" s="36">
        <v>-1</v>
      </c>
      <c r="AK23" s="38">
        <v>1000</v>
      </c>
      <c r="AM23" s="36">
        <v>1000</v>
      </c>
      <c r="AN23" s="36">
        <v>0</v>
      </c>
      <c r="AO23" s="36">
        <v>600</v>
      </c>
      <c r="AP23" s="36">
        <v>2500</v>
      </c>
      <c r="AQ23" s="38" t="s">
        <v>155</v>
      </c>
      <c r="AR23" s="38">
        <v>100</v>
      </c>
      <c r="AS23" s="38" t="s">
        <v>156</v>
      </c>
      <c r="AT23" s="38">
        <v>1000</v>
      </c>
      <c r="AU23" s="38">
        <v>10800</v>
      </c>
      <c r="AV23" s="38">
        <v>14400000</v>
      </c>
      <c r="AW23" s="36">
        <v>200000</v>
      </c>
      <c r="BB23" s="36" t="s">
        <v>157</v>
      </c>
      <c r="BC23" s="36" t="s">
        <v>191</v>
      </c>
      <c r="BD23" s="46"/>
      <c r="BE23" s="39" t="s">
        <v>159</v>
      </c>
      <c r="BF23" s="36">
        <v>1</v>
      </c>
      <c r="BG23" s="36" t="s">
        <v>160</v>
      </c>
      <c r="BH23" s="36" t="s">
        <v>161</v>
      </c>
      <c r="BI23" s="36" t="s">
        <v>162</v>
      </c>
      <c r="BK23" s="38">
        <v>7200</v>
      </c>
      <c r="BL23" s="38">
        <v>1800</v>
      </c>
      <c r="BM23" s="56">
        <v>715</v>
      </c>
      <c r="BN23" s="36">
        <v>7</v>
      </c>
      <c r="BO23" s="35" t="s">
        <v>163</v>
      </c>
      <c r="BP23" s="36" t="s">
        <v>192</v>
      </c>
      <c r="BQ23" s="54" t="s">
        <v>157</v>
      </c>
      <c r="BR23" s="36" t="s">
        <v>193</v>
      </c>
      <c r="BS23" s="35" t="s">
        <v>163</v>
      </c>
      <c r="BT23" s="36" t="s">
        <v>194</v>
      </c>
    </row>
    <row r="24" spans="1:72" x14ac:dyDescent="0.45">
      <c r="A24" s="36">
        <v>40601</v>
      </c>
      <c r="B24" s="36" t="s">
        <v>771</v>
      </c>
      <c r="C24" s="36" t="s">
        <v>141</v>
      </c>
      <c r="D24" s="36" t="s">
        <v>142</v>
      </c>
      <c r="E24" s="36" t="s">
        <v>286</v>
      </c>
      <c r="F24" s="36" t="s">
        <v>144</v>
      </c>
      <c r="G24" s="36" t="s">
        <v>145</v>
      </c>
      <c r="H24" s="36" t="s">
        <v>146</v>
      </c>
      <c r="J24" s="36" t="s">
        <v>147</v>
      </c>
      <c r="K24" s="36">
        <v>3600</v>
      </c>
      <c r="L24" s="36" t="s">
        <v>772</v>
      </c>
      <c r="M24" s="36" t="s">
        <v>149</v>
      </c>
      <c r="N24" s="38">
        <v>4050000</v>
      </c>
      <c r="O24" s="36">
        <v>1</v>
      </c>
      <c r="P24" s="36" t="s">
        <v>150</v>
      </c>
      <c r="Q24" s="56">
        <v>50</v>
      </c>
      <c r="R24" s="36" t="s">
        <v>151</v>
      </c>
      <c r="S24" s="36" t="s">
        <v>773</v>
      </c>
      <c r="U24" s="36">
        <v>1</v>
      </c>
      <c r="AA24" s="38" t="s">
        <v>153</v>
      </c>
      <c r="AB24" s="38">
        <v>1000</v>
      </c>
      <c r="AC24" s="36">
        <v>5</v>
      </c>
      <c r="AE24" s="38">
        <v>14400000</v>
      </c>
      <c r="AF24" s="38">
        <v>500000</v>
      </c>
      <c r="AG24" s="36">
        <v>500</v>
      </c>
      <c r="AH24" s="36">
        <v>0</v>
      </c>
      <c r="AI24" s="36">
        <v>40602</v>
      </c>
      <c r="AJ24" s="38" t="s">
        <v>154</v>
      </c>
      <c r="AK24" s="38">
        <v>1000</v>
      </c>
      <c r="AL24" s="36">
        <v>21600</v>
      </c>
      <c r="AM24" s="36">
        <v>1000</v>
      </c>
      <c r="AN24" s="36">
        <v>0</v>
      </c>
      <c r="AO24" s="36">
        <v>600</v>
      </c>
      <c r="AP24" s="36">
        <v>2500</v>
      </c>
      <c r="AQ24" s="38" t="s">
        <v>155</v>
      </c>
      <c r="AR24" s="38">
        <v>100</v>
      </c>
      <c r="AS24" s="38" t="s">
        <v>156</v>
      </c>
      <c r="AT24" s="38">
        <v>1000</v>
      </c>
      <c r="AU24" s="38">
        <v>10800</v>
      </c>
      <c r="AV24" s="38">
        <v>14400000</v>
      </c>
      <c r="AW24" s="36">
        <v>200000</v>
      </c>
      <c r="BB24" s="36" t="s">
        <v>157</v>
      </c>
      <c r="BC24" s="36" t="s">
        <v>774</v>
      </c>
      <c r="BD24" s="46"/>
      <c r="BE24" s="39" t="s">
        <v>159</v>
      </c>
      <c r="BF24" s="36">
        <v>1</v>
      </c>
      <c r="BG24" s="36" t="s">
        <v>160</v>
      </c>
      <c r="BH24" s="36" t="s">
        <v>161</v>
      </c>
      <c r="BI24" s="36" t="s">
        <v>162</v>
      </c>
      <c r="BK24" s="38">
        <v>7200</v>
      </c>
      <c r="BL24" s="38">
        <v>1800</v>
      </c>
      <c r="BM24" s="56">
        <v>400</v>
      </c>
      <c r="BN24" s="36">
        <v>6</v>
      </c>
      <c r="BO24" s="35" t="s">
        <v>163</v>
      </c>
      <c r="BP24" s="36" t="s">
        <v>775</v>
      </c>
      <c r="BQ24" s="54" t="s">
        <v>157</v>
      </c>
      <c r="BR24" s="36" t="s">
        <v>776</v>
      </c>
      <c r="BS24" s="35" t="s">
        <v>163</v>
      </c>
      <c r="BT24" s="36" t="s">
        <v>777</v>
      </c>
    </row>
    <row r="25" spans="1:72" x14ac:dyDescent="0.45">
      <c r="A25" s="36">
        <v>40602</v>
      </c>
      <c r="B25" s="36" t="s">
        <v>778</v>
      </c>
      <c r="C25" s="36" t="s">
        <v>141</v>
      </c>
      <c r="D25" s="36" t="s">
        <v>142</v>
      </c>
      <c r="E25" s="36" t="s">
        <v>286</v>
      </c>
      <c r="F25" s="36" t="s">
        <v>144</v>
      </c>
      <c r="G25" s="36" t="s">
        <v>145</v>
      </c>
      <c r="H25" s="36" t="s">
        <v>146</v>
      </c>
      <c r="J25" s="36" t="s">
        <v>147</v>
      </c>
      <c r="K25" s="36">
        <v>3600</v>
      </c>
      <c r="L25" s="36" t="s">
        <v>772</v>
      </c>
      <c r="M25" s="36" t="s">
        <v>149</v>
      </c>
      <c r="N25" s="38">
        <v>4350000</v>
      </c>
      <c r="O25" s="36">
        <v>1</v>
      </c>
      <c r="P25" s="36" t="s">
        <v>150</v>
      </c>
      <c r="Q25" s="56">
        <v>100</v>
      </c>
      <c r="R25" s="36" t="s">
        <v>151</v>
      </c>
      <c r="S25" s="36" t="s">
        <v>773</v>
      </c>
      <c r="U25" s="36">
        <v>2</v>
      </c>
      <c r="AA25" s="38" t="s">
        <v>153</v>
      </c>
      <c r="AB25" s="38">
        <v>1000</v>
      </c>
      <c r="AC25" s="36">
        <v>5</v>
      </c>
      <c r="AE25" s="38">
        <v>14400000</v>
      </c>
      <c r="AF25" s="38">
        <v>500000</v>
      </c>
      <c r="AG25" s="36">
        <v>500</v>
      </c>
      <c r="AH25" s="36">
        <v>0</v>
      </c>
      <c r="AI25" s="36">
        <v>40603</v>
      </c>
      <c r="AJ25" s="38" t="s">
        <v>168</v>
      </c>
      <c r="AK25" s="38">
        <v>1000</v>
      </c>
      <c r="AL25" s="36">
        <v>32400</v>
      </c>
      <c r="AM25" s="36">
        <v>1000</v>
      </c>
      <c r="AN25" s="36">
        <v>0</v>
      </c>
      <c r="AO25" s="36">
        <v>600</v>
      </c>
      <c r="AP25" s="36">
        <v>2500</v>
      </c>
      <c r="AQ25" s="38" t="s">
        <v>155</v>
      </c>
      <c r="AR25" s="38">
        <v>100</v>
      </c>
      <c r="AS25" s="38" t="s">
        <v>156</v>
      </c>
      <c r="AT25" s="38">
        <v>1000</v>
      </c>
      <c r="AU25" s="38">
        <v>10800</v>
      </c>
      <c r="AV25" s="38">
        <v>14400000</v>
      </c>
      <c r="AW25" s="36">
        <v>200000</v>
      </c>
      <c r="BB25" s="36" t="s">
        <v>157</v>
      </c>
      <c r="BC25" s="36" t="s">
        <v>774</v>
      </c>
      <c r="BD25" s="46"/>
      <c r="BE25" s="39" t="s">
        <v>159</v>
      </c>
      <c r="BF25" s="36">
        <v>1</v>
      </c>
      <c r="BG25" s="36" t="s">
        <v>160</v>
      </c>
      <c r="BH25" s="36" t="s">
        <v>161</v>
      </c>
      <c r="BI25" s="36" t="s">
        <v>162</v>
      </c>
      <c r="BK25" s="38">
        <v>7200</v>
      </c>
      <c r="BL25" s="38">
        <v>1800</v>
      </c>
      <c r="BM25" s="56">
        <v>415</v>
      </c>
      <c r="BN25" s="36">
        <v>6</v>
      </c>
      <c r="BO25" s="35" t="s">
        <v>163</v>
      </c>
      <c r="BP25" s="36" t="s">
        <v>775</v>
      </c>
      <c r="BQ25" s="54" t="s">
        <v>157</v>
      </c>
      <c r="BR25" s="36" t="s">
        <v>776</v>
      </c>
      <c r="BS25" s="35" t="s">
        <v>163</v>
      </c>
      <c r="BT25" s="36" t="s">
        <v>777</v>
      </c>
    </row>
    <row r="26" spans="1:72" x14ac:dyDescent="0.45">
      <c r="A26" s="36">
        <v>40603</v>
      </c>
      <c r="B26" s="36" t="s">
        <v>779</v>
      </c>
      <c r="C26" s="36" t="s">
        <v>141</v>
      </c>
      <c r="D26" s="36" t="s">
        <v>142</v>
      </c>
      <c r="E26" s="36" t="s">
        <v>286</v>
      </c>
      <c r="F26" s="36" t="s">
        <v>144</v>
      </c>
      <c r="G26" s="36" t="s">
        <v>145</v>
      </c>
      <c r="H26" s="36" t="s">
        <v>146</v>
      </c>
      <c r="J26" s="36" t="s">
        <v>147</v>
      </c>
      <c r="K26" s="36">
        <v>3600</v>
      </c>
      <c r="L26" s="36" t="s">
        <v>772</v>
      </c>
      <c r="M26" s="36" t="s">
        <v>149</v>
      </c>
      <c r="N26" s="38">
        <v>4650000</v>
      </c>
      <c r="O26" s="36">
        <v>1</v>
      </c>
      <c r="P26" s="36" t="s">
        <v>150</v>
      </c>
      <c r="Q26" s="56">
        <v>150</v>
      </c>
      <c r="R26" s="36" t="s">
        <v>151</v>
      </c>
      <c r="S26" s="36" t="s">
        <v>773</v>
      </c>
      <c r="U26" s="36">
        <v>3</v>
      </c>
      <c r="AA26" s="38" t="s">
        <v>153</v>
      </c>
      <c r="AB26" s="38">
        <v>1000</v>
      </c>
      <c r="AC26" s="36">
        <v>5</v>
      </c>
      <c r="AE26" s="38">
        <v>14400000</v>
      </c>
      <c r="AF26" s="38">
        <v>500000</v>
      </c>
      <c r="AG26" s="36">
        <v>500</v>
      </c>
      <c r="AH26" s="36">
        <v>0</v>
      </c>
      <c r="AI26" s="36">
        <v>40604</v>
      </c>
      <c r="AJ26" s="38" t="s">
        <v>170</v>
      </c>
      <c r="AK26" s="38">
        <v>1000</v>
      </c>
      <c r="AL26" s="36">
        <v>43200</v>
      </c>
      <c r="AM26" s="36">
        <v>1000</v>
      </c>
      <c r="AN26" s="36">
        <v>0</v>
      </c>
      <c r="AO26" s="36">
        <v>600</v>
      </c>
      <c r="AP26" s="36">
        <v>2500</v>
      </c>
      <c r="AQ26" s="38" t="s">
        <v>155</v>
      </c>
      <c r="AR26" s="38">
        <v>100</v>
      </c>
      <c r="AS26" s="38" t="s">
        <v>156</v>
      </c>
      <c r="AT26" s="38">
        <v>1000</v>
      </c>
      <c r="AU26" s="38">
        <v>10800</v>
      </c>
      <c r="AV26" s="38">
        <v>14400000</v>
      </c>
      <c r="AW26" s="36">
        <v>200000</v>
      </c>
      <c r="BB26" s="36" t="s">
        <v>157</v>
      </c>
      <c r="BC26" s="36" t="s">
        <v>774</v>
      </c>
      <c r="BD26" s="46"/>
      <c r="BE26" s="39" t="s">
        <v>159</v>
      </c>
      <c r="BF26" s="36">
        <v>1</v>
      </c>
      <c r="BG26" s="36" t="s">
        <v>160</v>
      </c>
      <c r="BH26" s="36" t="s">
        <v>161</v>
      </c>
      <c r="BI26" s="36" t="s">
        <v>162</v>
      </c>
      <c r="BK26" s="38">
        <v>7200</v>
      </c>
      <c r="BL26" s="38">
        <v>1800</v>
      </c>
      <c r="BM26" s="56">
        <v>435</v>
      </c>
      <c r="BN26" s="36">
        <v>6</v>
      </c>
      <c r="BO26" s="35" t="s">
        <v>163</v>
      </c>
      <c r="BP26" s="36" t="s">
        <v>775</v>
      </c>
      <c r="BQ26" s="54" t="s">
        <v>157</v>
      </c>
      <c r="BR26" s="36" t="s">
        <v>776</v>
      </c>
      <c r="BS26" s="35" t="s">
        <v>163</v>
      </c>
      <c r="BT26" s="36" t="s">
        <v>777</v>
      </c>
    </row>
    <row r="27" spans="1:72" s="35" customFormat="1" x14ac:dyDescent="0.45">
      <c r="A27" s="36">
        <v>40604</v>
      </c>
      <c r="B27" s="36" t="s">
        <v>780</v>
      </c>
      <c r="C27" s="36" t="s">
        <v>141</v>
      </c>
      <c r="D27" s="36" t="s">
        <v>142</v>
      </c>
      <c r="E27" s="36" t="s">
        <v>286</v>
      </c>
      <c r="F27" s="36" t="s">
        <v>144</v>
      </c>
      <c r="G27" s="36" t="s">
        <v>145</v>
      </c>
      <c r="H27" s="36" t="s">
        <v>146</v>
      </c>
      <c r="I27" s="36"/>
      <c r="J27" s="36" t="s">
        <v>147</v>
      </c>
      <c r="K27" s="36">
        <v>3600</v>
      </c>
      <c r="L27" s="36" t="s">
        <v>772</v>
      </c>
      <c r="M27" s="36" t="s">
        <v>149</v>
      </c>
      <c r="N27" s="38">
        <v>4950000</v>
      </c>
      <c r="O27" s="36">
        <v>1</v>
      </c>
      <c r="P27" s="36" t="s">
        <v>150</v>
      </c>
      <c r="Q27" s="56">
        <v>200</v>
      </c>
      <c r="R27" s="36" t="s">
        <v>151</v>
      </c>
      <c r="S27" s="36" t="s">
        <v>773</v>
      </c>
      <c r="T27" s="36"/>
      <c r="U27" s="36">
        <v>4</v>
      </c>
      <c r="V27" s="36"/>
      <c r="W27" s="36"/>
      <c r="X27" s="36"/>
      <c r="Y27" s="36"/>
      <c r="Z27" s="36"/>
      <c r="AA27" s="38" t="s">
        <v>153</v>
      </c>
      <c r="AB27" s="38">
        <v>1000</v>
      </c>
      <c r="AC27" s="36">
        <v>5</v>
      </c>
      <c r="AD27" s="36"/>
      <c r="AE27" s="38">
        <v>14400000</v>
      </c>
      <c r="AF27" s="38">
        <v>500000</v>
      </c>
      <c r="AG27" s="36">
        <v>500</v>
      </c>
      <c r="AH27" s="36">
        <v>0</v>
      </c>
      <c r="AI27" s="36">
        <v>40605</v>
      </c>
      <c r="AJ27" s="38" t="s">
        <v>172</v>
      </c>
      <c r="AK27" s="38">
        <v>1000</v>
      </c>
      <c r="AL27" s="36">
        <v>54000</v>
      </c>
      <c r="AM27" s="36">
        <v>1000</v>
      </c>
      <c r="AN27" s="36">
        <v>0</v>
      </c>
      <c r="AO27" s="36">
        <v>600</v>
      </c>
      <c r="AP27" s="36">
        <v>2500</v>
      </c>
      <c r="AQ27" s="38" t="s">
        <v>155</v>
      </c>
      <c r="AR27" s="38">
        <v>100</v>
      </c>
      <c r="AS27" s="38" t="s">
        <v>156</v>
      </c>
      <c r="AT27" s="38">
        <v>1000</v>
      </c>
      <c r="AU27" s="38">
        <v>10800</v>
      </c>
      <c r="AV27" s="38">
        <v>14400000</v>
      </c>
      <c r="AW27" s="36">
        <v>200000</v>
      </c>
      <c r="AX27" s="36"/>
      <c r="AY27" s="36"/>
      <c r="AZ27" s="36"/>
      <c r="BA27" s="36"/>
      <c r="BB27" s="36" t="s">
        <v>157</v>
      </c>
      <c r="BC27" s="36" t="s">
        <v>774</v>
      </c>
      <c r="BD27" s="46"/>
      <c r="BE27" s="39" t="s">
        <v>159</v>
      </c>
      <c r="BF27" s="36">
        <v>1</v>
      </c>
      <c r="BG27" s="36" t="s">
        <v>160</v>
      </c>
      <c r="BH27" s="36" t="s">
        <v>161</v>
      </c>
      <c r="BI27" s="36" t="s">
        <v>162</v>
      </c>
      <c r="BJ27"/>
      <c r="BK27" s="38">
        <v>7200</v>
      </c>
      <c r="BL27" s="38">
        <v>1800</v>
      </c>
      <c r="BM27" s="56">
        <v>460</v>
      </c>
      <c r="BN27" s="36">
        <v>6</v>
      </c>
      <c r="BO27" s="35" t="s">
        <v>163</v>
      </c>
      <c r="BP27" s="36" t="s">
        <v>775</v>
      </c>
      <c r="BQ27" s="54" t="s">
        <v>157</v>
      </c>
      <c r="BR27" s="36" t="s">
        <v>776</v>
      </c>
      <c r="BS27" s="35" t="s">
        <v>163</v>
      </c>
      <c r="BT27" s="36" t="s">
        <v>777</v>
      </c>
    </row>
    <row r="28" spans="1:72" x14ac:dyDescent="0.45">
      <c r="A28" s="36">
        <v>40605</v>
      </c>
      <c r="B28" s="36" t="s">
        <v>781</v>
      </c>
      <c r="C28" s="36" t="s">
        <v>141</v>
      </c>
      <c r="D28" s="36" t="s">
        <v>142</v>
      </c>
      <c r="E28" s="36" t="s">
        <v>286</v>
      </c>
      <c r="F28" s="36" t="s">
        <v>144</v>
      </c>
      <c r="G28" s="36" t="s">
        <v>145</v>
      </c>
      <c r="H28" s="36" t="s">
        <v>146</v>
      </c>
      <c r="J28" s="36" t="s">
        <v>147</v>
      </c>
      <c r="K28" s="36">
        <v>3600</v>
      </c>
      <c r="L28" s="36" t="s">
        <v>772</v>
      </c>
      <c r="M28" s="36" t="s">
        <v>149</v>
      </c>
      <c r="N28" s="38">
        <v>5250000</v>
      </c>
      <c r="O28" s="36">
        <v>1</v>
      </c>
      <c r="P28" s="36" t="s">
        <v>150</v>
      </c>
      <c r="Q28" s="56">
        <v>250</v>
      </c>
      <c r="R28" s="36" t="s">
        <v>151</v>
      </c>
      <c r="S28" s="36" t="s">
        <v>773</v>
      </c>
      <c r="U28" s="36">
        <v>5</v>
      </c>
      <c r="AA28" s="38" t="s">
        <v>153</v>
      </c>
      <c r="AB28" s="38">
        <v>1000</v>
      </c>
      <c r="AC28" s="36">
        <v>5</v>
      </c>
      <c r="AE28" s="38">
        <v>14400000</v>
      </c>
      <c r="AF28" s="38">
        <v>500000</v>
      </c>
      <c r="AG28" s="36">
        <v>500</v>
      </c>
      <c r="AH28" s="36">
        <v>0</v>
      </c>
      <c r="AI28" s="36">
        <v>40606</v>
      </c>
      <c r="AJ28" s="38" t="s">
        <v>174</v>
      </c>
      <c r="AK28" s="38">
        <v>1000</v>
      </c>
      <c r="AL28" s="36">
        <v>64800</v>
      </c>
      <c r="AM28" s="36">
        <v>1000</v>
      </c>
      <c r="AN28" s="36">
        <v>0</v>
      </c>
      <c r="AO28" s="36">
        <v>600</v>
      </c>
      <c r="AP28" s="36">
        <v>2500</v>
      </c>
      <c r="AQ28" s="38" t="s">
        <v>155</v>
      </c>
      <c r="AR28" s="38">
        <v>100</v>
      </c>
      <c r="AS28" s="38" t="s">
        <v>156</v>
      </c>
      <c r="AT28" s="38">
        <v>1000</v>
      </c>
      <c r="AU28" s="38">
        <v>10800</v>
      </c>
      <c r="AV28" s="38">
        <v>14400000</v>
      </c>
      <c r="AW28" s="36">
        <v>200000</v>
      </c>
      <c r="BB28" s="36" t="s">
        <v>157</v>
      </c>
      <c r="BC28" s="36" t="s">
        <v>774</v>
      </c>
      <c r="BD28" s="46"/>
      <c r="BE28" s="39" t="s">
        <v>159</v>
      </c>
      <c r="BF28" s="36">
        <v>1</v>
      </c>
      <c r="BG28" s="36" t="s">
        <v>160</v>
      </c>
      <c r="BH28" s="36" t="s">
        <v>161</v>
      </c>
      <c r="BI28" s="36" t="s">
        <v>162</v>
      </c>
      <c r="BK28" s="38">
        <v>7200</v>
      </c>
      <c r="BL28" s="38">
        <v>1800</v>
      </c>
      <c r="BM28" s="56">
        <v>490</v>
      </c>
      <c r="BN28" s="36">
        <v>6</v>
      </c>
      <c r="BO28" s="35" t="s">
        <v>163</v>
      </c>
      <c r="BP28" s="36" t="s">
        <v>775</v>
      </c>
      <c r="BQ28" s="54" t="s">
        <v>157</v>
      </c>
      <c r="BR28" s="36" t="s">
        <v>776</v>
      </c>
      <c r="BS28" s="35" t="s">
        <v>163</v>
      </c>
      <c r="BT28" s="36" t="s">
        <v>777</v>
      </c>
    </row>
    <row r="29" spans="1:72" x14ac:dyDescent="0.45">
      <c r="A29" s="36">
        <v>40606</v>
      </c>
      <c r="B29" s="36" t="s">
        <v>782</v>
      </c>
      <c r="C29" s="36" t="s">
        <v>141</v>
      </c>
      <c r="D29" s="36" t="s">
        <v>142</v>
      </c>
      <c r="E29" s="36" t="s">
        <v>286</v>
      </c>
      <c r="F29" s="36" t="s">
        <v>176</v>
      </c>
      <c r="G29" s="36" t="s">
        <v>145</v>
      </c>
      <c r="H29" s="36" t="s">
        <v>146</v>
      </c>
      <c r="J29" s="36" t="s">
        <v>147</v>
      </c>
      <c r="K29" s="36">
        <v>3600</v>
      </c>
      <c r="L29" s="36" t="s">
        <v>772</v>
      </c>
      <c r="M29" s="36" t="s">
        <v>149</v>
      </c>
      <c r="N29" s="38">
        <v>5550000</v>
      </c>
      <c r="O29" s="36">
        <v>1</v>
      </c>
      <c r="P29" s="36" t="s">
        <v>150</v>
      </c>
      <c r="Q29" s="56">
        <v>300</v>
      </c>
      <c r="R29" s="42" t="s">
        <v>177</v>
      </c>
      <c r="S29" s="36" t="s">
        <v>773</v>
      </c>
      <c r="U29" s="36">
        <v>6</v>
      </c>
      <c r="AA29" s="38" t="s">
        <v>153</v>
      </c>
      <c r="AB29" s="38">
        <v>1000</v>
      </c>
      <c r="AC29" s="36">
        <v>5</v>
      </c>
      <c r="AE29" s="38">
        <v>14400000</v>
      </c>
      <c r="AF29" s="38">
        <v>500000</v>
      </c>
      <c r="AG29" s="36">
        <v>500</v>
      </c>
      <c r="AH29" s="36">
        <v>0</v>
      </c>
      <c r="AI29" s="36">
        <v>40607</v>
      </c>
      <c r="AJ29" s="38" t="s">
        <v>178</v>
      </c>
      <c r="AK29" s="38">
        <v>1000</v>
      </c>
      <c r="AL29" s="36">
        <v>75600</v>
      </c>
      <c r="AM29" s="36">
        <v>1000</v>
      </c>
      <c r="AN29" s="36">
        <v>0</v>
      </c>
      <c r="AO29" s="36">
        <v>600</v>
      </c>
      <c r="AP29" s="36">
        <v>2500</v>
      </c>
      <c r="AQ29" s="38" t="s">
        <v>155</v>
      </c>
      <c r="AR29" s="38">
        <v>100</v>
      </c>
      <c r="AS29" s="38" t="s">
        <v>156</v>
      </c>
      <c r="AT29" s="38">
        <v>1000</v>
      </c>
      <c r="AU29" s="38">
        <v>10800</v>
      </c>
      <c r="AV29" s="38">
        <v>14400000</v>
      </c>
      <c r="AW29" s="36">
        <v>200000</v>
      </c>
      <c r="BB29" s="36" t="s">
        <v>157</v>
      </c>
      <c r="BC29" s="36" t="s">
        <v>774</v>
      </c>
      <c r="BD29" s="46"/>
      <c r="BE29" s="39" t="s">
        <v>159</v>
      </c>
      <c r="BF29" s="36">
        <v>1</v>
      </c>
      <c r="BG29" s="36" t="s">
        <v>160</v>
      </c>
      <c r="BH29" s="36" t="s">
        <v>161</v>
      </c>
      <c r="BI29" s="36" t="s">
        <v>162</v>
      </c>
      <c r="BK29" s="38">
        <v>7200</v>
      </c>
      <c r="BL29" s="38">
        <v>1800</v>
      </c>
      <c r="BM29" s="56">
        <v>525</v>
      </c>
      <c r="BN29" s="36">
        <v>6</v>
      </c>
      <c r="BO29" s="35" t="s">
        <v>163</v>
      </c>
      <c r="BP29" s="36" t="s">
        <v>775</v>
      </c>
      <c r="BQ29" s="54" t="s">
        <v>157</v>
      </c>
      <c r="BR29" s="36" t="s">
        <v>776</v>
      </c>
      <c r="BS29" s="35" t="s">
        <v>163</v>
      </c>
      <c r="BT29" s="36" t="s">
        <v>777</v>
      </c>
    </row>
    <row r="30" spans="1:72" x14ac:dyDescent="0.45">
      <c r="A30" s="36">
        <v>40607</v>
      </c>
      <c r="B30" s="36" t="s">
        <v>783</v>
      </c>
      <c r="C30" s="36" t="s">
        <v>141</v>
      </c>
      <c r="D30" s="36" t="s">
        <v>142</v>
      </c>
      <c r="E30" s="36" t="s">
        <v>286</v>
      </c>
      <c r="F30" s="36" t="s">
        <v>176</v>
      </c>
      <c r="G30" s="36" t="s">
        <v>145</v>
      </c>
      <c r="H30" s="36" t="s">
        <v>146</v>
      </c>
      <c r="J30" s="36" t="s">
        <v>147</v>
      </c>
      <c r="K30" s="36">
        <v>3600</v>
      </c>
      <c r="L30" s="36" t="s">
        <v>772</v>
      </c>
      <c r="M30" s="36" t="s">
        <v>149</v>
      </c>
      <c r="N30" s="38">
        <v>5850000</v>
      </c>
      <c r="O30" s="36">
        <v>1</v>
      </c>
      <c r="P30" s="36" t="s">
        <v>150</v>
      </c>
      <c r="Q30" s="56">
        <v>350</v>
      </c>
      <c r="R30" s="42" t="s">
        <v>177</v>
      </c>
      <c r="S30" s="36" t="s">
        <v>773</v>
      </c>
      <c r="U30" s="36">
        <v>7</v>
      </c>
      <c r="AA30" s="38" t="s">
        <v>153</v>
      </c>
      <c r="AB30" s="38">
        <v>1000</v>
      </c>
      <c r="AC30" s="36">
        <v>5</v>
      </c>
      <c r="AE30" s="38">
        <v>14400000</v>
      </c>
      <c r="AF30" s="38">
        <v>500000</v>
      </c>
      <c r="AG30" s="36">
        <v>500</v>
      </c>
      <c r="AH30" s="36">
        <v>0</v>
      </c>
      <c r="AI30" s="36">
        <v>40608</v>
      </c>
      <c r="AJ30" s="38" t="s">
        <v>180</v>
      </c>
      <c r="AK30" s="38">
        <v>1000</v>
      </c>
      <c r="AL30" s="36">
        <v>86400</v>
      </c>
      <c r="AM30" s="36">
        <v>1000</v>
      </c>
      <c r="AN30" s="36">
        <v>0</v>
      </c>
      <c r="AO30" s="36">
        <v>600</v>
      </c>
      <c r="AP30" s="36">
        <v>2500</v>
      </c>
      <c r="AQ30" s="38" t="s">
        <v>155</v>
      </c>
      <c r="AR30" s="38">
        <v>100</v>
      </c>
      <c r="AS30" s="38" t="s">
        <v>156</v>
      </c>
      <c r="AT30" s="38">
        <v>1000</v>
      </c>
      <c r="AU30" s="38">
        <v>10800</v>
      </c>
      <c r="AV30" s="38">
        <v>14400000</v>
      </c>
      <c r="AW30" s="36">
        <v>200000</v>
      </c>
      <c r="BB30" s="36" t="s">
        <v>157</v>
      </c>
      <c r="BC30" s="36" t="s">
        <v>774</v>
      </c>
      <c r="BD30" s="46"/>
      <c r="BE30" s="39" t="s">
        <v>159</v>
      </c>
      <c r="BF30" s="36">
        <v>1</v>
      </c>
      <c r="BG30" s="36" t="s">
        <v>160</v>
      </c>
      <c r="BH30" s="36" t="s">
        <v>161</v>
      </c>
      <c r="BI30" s="36" t="s">
        <v>162</v>
      </c>
      <c r="BK30" s="38">
        <v>7200</v>
      </c>
      <c r="BL30" s="38">
        <v>1800</v>
      </c>
      <c r="BM30" s="56">
        <v>565</v>
      </c>
      <c r="BN30" s="36">
        <v>6</v>
      </c>
      <c r="BO30" s="35" t="s">
        <v>163</v>
      </c>
      <c r="BP30" s="36" t="s">
        <v>775</v>
      </c>
      <c r="BQ30" s="54" t="s">
        <v>157</v>
      </c>
      <c r="BR30" s="36" t="s">
        <v>776</v>
      </c>
      <c r="BS30" s="35" t="s">
        <v>163</v>
      </c>
      <c r="BT30" s="36" t="s">
        <v>777</v>
      </c>
    </row>
    <row r="31" spans="1:72" x14ac:dyDescent="0.45">
      <c r="A31" s="36">
        <v>40608</v>
      </c>
      <c r="B31" s="36" t="s">
        <v>784</v>
      </c>
      <c r="C31" s="36" t="s">
        <v>141</v>
      </c>
      <c r="D31" s="36" t="s">
        <v>142</v>
      </c>
      <c r="E31" s="36" t="s">
        <v>286</v>
      </c>
      <c r="F31" s="36" t="s">
        <v>176</v>
      </c>
      <c r="G31" s="36" t="s">
        <v>145</v>
      </c>
      <c r="H31" s="36" t="s">
        <v>146</v>
      </c>
      <c r="J31" s="36" t="s">
        <v>147</v>
      </c>
      <c r="K31" s="36">
        <v>3600</v>
      </c>
      <c r="L31" s="36" t="s">
        <v>772</v>
      </c>
      <c r="M31" s="36" t="s">
        <v>149</v>
      </c>
      <c r="N31" s="38">
        <v>6150000</v>
      </c>
      <c r="O31" s="36">
        <v>1</v>
      </c>
      <c r="P31" s="36" t="s">
        <v>150</v>
      </c>
      <c r="Q31" s="56">
        <v>400</v>
      </c>
      <c r="R31" s="42" t="s">
        <v>177</v>
      </c>
      <c r="S31" s="36" t="s">
        <v>773</v>
      </c>
      <c r="U31" s="36">
        <v>8</v>
      </c>
      <c r="AA31" s="38" t="s">
        <v>153</v>
      </c>
      <c r="AB31" s="38">
        <v>1000</v>
      </c>
      <c r="AC31" s="36">
        <v>5</v>
      </c>
      <c r="AE31" s="38">
        <v>14400000</v>
      </c>
      <c r="AF31" s="38">
        <v>500000</v>
      </c>
      <c r="AG31" s="36">
        <v>500</v>
      </c>
      <c r="AH31" s="36">
        <v>0</v>
      </c>
      <c r="AI31" s="36">
        <v>40609</v>
      </c>
      <c r="AJ31" s="38" t="s">
        <v>182</v>
      </c>
      <c r="AK31" s="38">
        <v>1000</v>
      </c>
      <c r="AL31" s="36">
        <v>97200</v>
      </c>
      <c r="AM31" s="36">
        <v>1000</v>
      </c>
      <c r="AN31" s="36">
        <v>0</v>
      </c>
      <c r="AO31" s="36">
        <v>600</v>
      </c>
      <c r="AP31" s="36">
        <v>2500</v>
      </c>
      <c r="AQ31" s="38" t="s">
        <v>155</v>
      </c>
      <c r="AR31" s="38">
        <v>100</v>
      </c>
      <c r="AS31" s="38" t="s">
        <v>156</v>
      </c>
      <c r="AT31" s="38">
        <v>1000</v>
      </c>
      <c r="AU31" s="38">
        <v>10800</v>
      </c>
      <c r="AV31" s="38">
        <v>14400000</v>
      </c>
      <c r="AW31" s="36">
        <v>200000</v>
      </c>
      <c r="BB31" s="36" t="s">
        <v>157</v>
      </c>
      <c r="BC31" s="36" t="s">
        <v>774</v>
      </c>
      <c r="BD31" s="46"/>
      <c r="BE31" s="39" t="s">
        <v>159</v>
      </c>
      <c r="BF31" s="36">
        <v>1</v>
      </c>
      <c r="BG31" s="36" t="s">
        <v>160</v>
      </c>
      <c r="BH31" s="36" t="s">
        <v>161</v>
      </c>
      <c r="BI31" s="36" t="s">
        <v>162</v>
      </c>
      <c r="BK31" s="38">
        <v>7200</v>
      </c>
      <c r="BL31" s="38">
        <v>1800</v>
      </c>
      <c r="BM31" s="56">
        <v>610</v>
      </c>
      <c r="BN31" s="36">
        <v>6</v>
      </c>
      <c r="BO31" s="35" t="s">
        <v>163</v>
      </c>
      <c r="BP31" s="36" t="s">
        <v>775</v>
      </c>
      <c r="BQ31" s="54" t="s">
        <v>157</v>
      </c>
      <c r="BR31" s="36" t="s">
        <v>776</v>
      </c>
      <c r="BS31" s="35" t="s">
        <v>163</v>
      </c>
      <c r="BT31" s="36" t="s">
        <v>777</v>
      </c>
    </row>
    <row r="32" spans="1:72" x14ac:dyDescent="0.45">
      <c r="A32" s="36">
        <v>40609</v>
      </c>
      <c r="B32" s="36" t="s">
        <v>785</v>
      </c>
      <c r="C32" s="36" t="s">
        <v>141</v>
      </c>
      <c r="D32" s="36" t="s">
        <v>142</v>
      </c>
      <c r="E32" s="36" t="s">
        <v>286</v>
      </c>
      <c r="F32" s="36" t="s">
        <v>184</v>
      </c>
      <c r="G32" s="36" t="s">
        <v>145</v>
      </c>
      <c r="H32" s="36" t="s">
        <v>146</v>
      </c>
      <c r="J32" s="36" t="s">
        <v>147</v>
      </c>
      <c r="K32" s="36">
        <v>3600</v>
      </c>
      <c r="L32" s="36" t="s">
        <v>772</v>
      </c>
      <c r="M32" s="36" t="s">
        <v>149</v>
      </c>
      <c r="N32" s="38">
        <v>6450000</v>
      </c>
      <c r="O32" s="36">
        <v>1</v>
      </c>
      <c r="P32" s="36" t="s">
        <v>150</v>
      </c>
      <c r="Q32" s="56">
        <v>450</v>
      </c>
      <c r="R32" s="42" t="s">
        <v>177</v>
      </c>
      <c r="S32" s="36" t="s">
        <v>773</v>
      </c>
      <c r="U32" s="36">
        <v>9</v>
      </c>
      <c r="AA32" s="38" t="s">
        <v>153</v>
      </c>
      <c r="AB32" s="38">
        <v>1000</v>
      </c>
      <c r="AC32" s="36">
        <v>5</v>
      </c>
      <c r="AE32" s="38">
        <v>14400000</v>
      </c>
      <c r="AF32" s="38">
        <v>500000</v>
      </c>
      <c r="AG32" s="36">
        <v>500</v>
      </c>
      <c r="AH32" s="36">
        <v>0</v>
      </c>
      <c r="AI32" s="36">
        <v>40610</v>
      </c>
      <c r="AJ32" s="38" t="s">
        <v>185</v>
      </c>
      <c r="AK32" s="38">
        <v>1000</v>
      </c>
      <c r="AL32" s="36">
        <v>108000</v>
      </c>
      <c r="AM32" s="36">
        <v>1000</v>
      </c>
      <c r="AN32" s="36">
        <v>0</v>
      </c>
      <c r="AO32" s="36">
        <v>600</v>
      </c>
      <c r="AP32" s="36">
        <v>2500</v>
      </c>
      <c r="AQ32" s="38" t="s">
        <v>155</v>
      </c>
      <c r="AR32" s="38">
        <v>100</v>
      </c>
      <c r="AS32" s="38" t="s">
        <v>156</v>
      </c>
      <c r="AT32" s="38">
        <v>1000</v>
      </c>
      <c r="AU32" s="38">
        <v>10800</v>
      </c>
      <c r="AV32" s="38">
        <v>14400000</v>
      </c>
      <c r="AW32" s="36">
        <v>200000</v>
      </c>
      <c r="BB32" s="36" t="s">
        <v>157</v>
      </c>
      <c r="BC32" s="36" t="s">
        <v>774</v>
      </c>
      <c r="BD32" s="46"/>
      <c r="BE32" s="39" t="s">
        <v>159</v>
      </c>
      <c r="BF32" s="36">
        <v>1</v>
      </c>
      <c r="BG32" s="36" t="s">
        <v>160</v>
      </c>
      <c r="BH32" s="36" t="s">
        <v>161</v>
      </c>
      <c r="BI32" s="36" t="s">
        <v>162</v>
      </c>
      <c r="BK32" s="38">
        <v>7200</v>
      </c>
      <c r="BL32" s="38">
        <v>1800</v>
      </c>
      <c r="BM32" s="56">
        <v>660</v>
      </c>
      <c r="BN32" s="36">
        <v>6</v>
      </c>
      <c r="BO32" s="35" t="s">
        <v>163</v>
      </c>
      <c r="BP32" s="36" t="s">
        <v>775</v>
      </c>
      <c r="BQ32" s="54" t="s">
        <v>157</v>
      </c>
      <c r="BR32" s="36" t="s">
        <v>776</v>
      </c>
      <c r="BS32" s="35" t="s">
        <v>163</v>
      </c>
      <c r="BT32" s="36" t="s">
        <v>777</v>
      </c>
    </row>
    <row r="33" spans="1:72" x14ac:dyDescent="0.45">
      <c r="A33" s="36">
        <v>40610</v>
      </c>
      <c r="B33" s="36" t="s">
        <v>786</v>
      </c>
      <c r="C33" s="36" t="s">
        <v>141</v>
      </c>
      <c r="D33" s="36" t="s">
        <v>142</v>
      </c>
      <c r="E33" s="36" t="s">
        <v>286</v>
      </c>
      <c r="F33" s="36" t="s">
        <v>184</v>
      </c>
      <c r="G33" s="36" t="s">
        <v>145</v>
      </c>
      <c r="H33" s="36" t="s">
        <v>146</v>
      </c>
      <c r="J33" s="36" t="s">
        <v>147</v>
      </c>
      <c r="K33" s="36">
        <v>3600</v>
      </c>
      <c r="L33" s="36" t="s">
        <v>772</v>
      </c>
      <c r="M33" s="36" t="s">
        <v>149</v>
      </c>
      <c r="N33" s="38">
        <v>6750000</v>
      </c>
      <c r="O33" s="36">
        <v>1</v>
      </c>
      <c r="P33" s="36" t="s">
        <v>150</v>
      </c>
      <c r="Q33" s="56">
        <v>500</v>
      </c>
      <c r="R33" s="42" t="s">
        <v>177</v>
      </c>
      <c r="S33" s="36" t="s">
        <v>773</v>
      </c>
      <c r="U33" s="36">
        <v>10</v>
      </c>
      <c r="AA33" s="38" t="s">
        <v>153</v>
      </c>
      <c r="AB33" s="38">
        <v>1000</v>
      </c>
      <c r="AC33" s="36">
        <v>5</v>
      </c>
      <c r="AE33" s="38">
        <v>14400000</v>
      </c>
      <c r="AF33" s="38">
        <v>500000</v>
      </c>
      <c r="AG33" s="36">
        <v>500</v>
      </c>
      <c r="AH33" s="36">
        <v>0</v>
      </c>
      <c r="AI33" s="36">
        <v>-1</v>
      </c>
      <c r="AK33" s="38">
        <v>1000</v>
      </c>
      <c r="AM33" s="36">
        <v>1000</v>
      </c>
      <c r="AN33" s="36">
        <v>0</v>
      </c>
      <c r="AO33" s="36">
        <v>600</v>
      </c>
      <c r="AP33" s="36">
        <v>2500</v>
      </c>
      <c r="AQ33" s="38" t="s">
        <v>155</v>
      </c>
      <c r="AR33" s="38">
        <v>100</v>
      </c>
      <c r="AS33" s="38" t="s">
        <v>156</v>
      </c>
      <c r="AT33" s="38">
        <v>1000</v>
      </c>
      <c r="AU33" s="38">
        <v>10800</v>
      </c>
      <c r="AV33" s="38">
        <v>14400000</v>
      </c>
      <c r="AW33" s="36">
        <v>200000</v>
      </c>
      <c r="BB33" s="36" t="s">
        <v>157</v>
      </c>
      <c r="BC33" s="36" t="s">
        <v>774</v>
      </c>
      <c r="BD33" s="46"/>
      <c r="BE33" s="39" t="s">
        <v>159</v>
      </c>
      <c r="BF33" s="36">
        <v>1</v>
      </c>
      <c r="BG33" s="36" t="s">
        <v>160</v>
      </c>
      <c r="BH33" s="36" t="s">
        <v>161</v>
      </c>
      <c r="BI33" s="36" t="s">
        <v>162</v>
      </c>
      <c r="BK33" s="38">
        <v>7200</v>
      </c>
      <c r="BL33" s="38">
        <v>1800</v>
      </c>
      <c r="BM33" s="56">
        <v>715</v>
      </c>
      <c r="BN33" s="36">
        <v>6</v>
      </c>
      <c r="BO33" s="35" t="s">
        <v>163</v>
      </c>
      <c r="BP33" s="36" t="s">
        <v>775</v>
      </c>
      <c r="BQ33" s="54" t="s">
        <v>157</v>
      </c>
      <c r="BR33" s="36" t="s">
        <v>776</v>
      </c>
      <c r="BS33" s="35" t="s">
        <v>163</v>
      </c>
      <c r="BT33" s="36" t="s">
        <v>777</v>
      </c>
    </row>
    <row r="34" spans="1:72" x14ac:dyDescent="0.45">
      <c r="A34" s="36">
        <v>40801</v>
      </c>
      <c r="B34" s="36" t="s">
        <v>787</v>
      </c>
      <c r="C34" s="36" t="s">
        <v>141</v>
      </c>
      <c r="D34" s="36" t="s">
        <v>142</v>
      </c>
      <c r="E34" s="36" t="s">
        <v>558</v>
      </c>
      <c r="F34" s="36" t="s">
        <v>144</v>
      </c>
      <c r="G34" s="36" t="s">
        <v>145</v>
      </c>
      <c r="H34" s="36" t="s">
        <v>146</v>
      </c>
      <c r="J34" s="36" t="s">
        <v>147</v>
      </c>
      <c r="K34" s="36">
        <v>3600</v>
      </c>
      <c r="L34" s="36" t="s">
        <v>788</v>
      </c>
      <c r="M34" s="36" t="s">
        <v>149</v>
      </c>
      <c r="N34" s="38">
        <v>4050000</v>
      </c>
      <c r="O34" s="36">
        <v>1</v>
      </c>
      <c r="P34" s="36" t="s">
        <v>150</v>
      </c>
      <c r="Q34" s="56">
        <v>50</v>
      </c>
      <c r="R34" s="36" t="s">
        <v>151</v>
      </c>
      <c r="S34" s="36" t="s">
        <v>789</v>
      </c>
      <c r="U34" s="36">
        <v>1</v>
      </c>
      <c r="AA34" s="38" t="s">
        <v>153</v>
      </c>
      <c r="AB34" s="38">
        <v>1000</v>
      </c>
      <c r="AC34" s="36">
        <v>5</v>
      </c>
      <c r="AE34" s="38">
        <v>14400000</v>
      </c>
      <c r="AF34" s="38">
        <v>500000</v>
      </c>
      <c r="AG34" s="36">
        <v>500</v>
      </c>
      <c r="AH34" s="36">
        <v>0</v>
      </c>
      <c r="AI34" s="36">
        <v>40802</v>
      </c>
      <c r="AJ34" s="38" t="s">
        <v>154</v>
      </c>
      <c r="AK34" s="38">
        <v>1000</v>
      </c>
      <c r="AL34" s="36">
        <v>21600</v>
      </c>
      <c r="AM34" s="36">
        <v>1000</v>
      </c>
      <c r="AN34" s="36">
        <v>0</v>
      </c>
      <c r="AO34" s="36">
        <v>600</v>
      </c>
      <c r="AP34" s="36">
        <v>2500</v>
      </c>
      <c r="AQ34" s="38" t="s">
        <v>155</v>
      </c>
      <c r="AR34" s="38">
        <v>100</v>
      </c>
      <c r="AS34" s="38" t="s">
        <v>156</v>
      </c>
      <c r="AT34" s="38">
        <v>1000</v>
      </c>
      <c r="AU34" s="38">
        <v>10800</v>
      </c>
      <c r="AV34" s="38">
        <v>14400000</v>
      </c>
      <c r="AW34" s="36">
        <v>200000</v>
      </c>
      <c r="BB34" s="36" t="s">
        <v>157</v>
      </c>
      <c r="BC34" s="36" t="s">
        <v>790</v>
      </c>
      <c r="BD34" s="46"/>
      <c r="BE34" s="39" t="s">
        <v>159</v>
      </c>
      <c r="BF34" s="36">
        <v>1</v>
      </c>
      <c r="BG34" s="36" t="s">
        <v>160</v>
      </c>
      <c r="BH34" s="36" t="s">
        <v>161</v>
      </c>
      <c r="BI34" s="36" t="s">
        <v>162</v>
      </c>
      <c r="BK34" s="38">
        <v>7200</v>
      </c>
      <c r="BL34" s="38">
        <v>1800</v>
      </c>
      <c r="BM34" s="56">
        <f t="shared" ref="BM34:BM43" si="0">BM24</f>
        <v>400</v>
      </c>
      <c r="BN34" s="36">
        <v>8</v>
      </c>
      <c r="BO34" s="35" t="s">
        <v>163</v>
      </c>
      <c r="BP34" s="36" t="s">
        <v>791</v>
      </c>
      <c r="BQ34" s="54" t="s">
        <v>157</v>
      </c>
      <c r="BR34" s="36" t="s">
        <v>792</v>
      </c>
      <c r="BS34" s="35" t="s">
        <v>163</v>
      </c>
      <c r="BT34" s="36" t="s">
        <v>793</v>
      </c>
    </row>
    <row r="35" spans="1:72" x14ac:dyDescent="0.45">
      <c r="A35" s="36">
        <v>40802</v>
      </c>
      <c r="B35" s="36" t="s">
        <v>794</v>
      </c>
      <c r="C35" s="36" t="s">
        <v>141</v>
      </c>
      <c r="D35" s="36" t="s">
        <v>142</v>
      </c>
      <c r="E35" s="36" t="s">
        <v>558</v>
      </c>
      <c r="F35" s="36" t="s">
        <v>144</v>
      </c>
      <c r="G35" s="36" t="s">
        <v>145</v>
      </c>
      <c r="H35" s="36" t="s">
        <v>146</v>
      </c>
      <c r="J35" s="36" t="s">
        <v>147</v>
      </c>
      <c r="K35" s="36">
        <v>3600</v>
      </c>
      <c r="L35" s="36" t="s">
        <v>788</v>
      </c>
      <c r="M35" s="36" t="s">
        <v>149</v>
      </c>
      <c r="N35" s="38">
        <v>4350000</v>
      </c>
      <c r="O35" s="36">
        <v>1</v>
      </c>
      <c r="P35" s="36" t="s">
        <v>150</v>
      </c>
      <c r="Q35" s="56">
        <v>100</v>
      </c>
      <c r="R35" s="36" t="s">
        <v>151</v>
      </c>
      <c r="S35" s="36" t="s">
        <v>789</v>
      </c>
      <c r="U35" s="36">
        <v>2</v>
      </c>
      <c r="AA35" s="38" t="s">
        <v>153</v>
      </c>
      <c r="AB35" s="38">
        <v>1000</v>
      </c>
      <c r="AC35" s="36">
        <v>5</v>
      </c>
      <c r="AE35" s="38">
        <v>14400000</v>
      </c>
      <c r="AF35" s="38">
        <v>500000</v>
      </c>
      <c r="AG35" s="36">
        <v>500</v>
      </c>
      <c r="AH35" s="36">
        <v>0</v>
      </c>
      <c r="AI35" s="36">
        <v>40803</v>
      </c>
      <c r="AJ35" s="38" t="s">
        <v>168</v>
      </c>
      <c r="AK35" s="38">
        <v>1000</v>
      </c>
      <c r="AL35" s="36">
        <v>32400</v>
      </c>
      <c r="AM35" s="36">
        <v>1000</v>
      </c>
      <c r="AN35" s="36">
        <v>0</v>
      </c>
      <c r="AO35" s="36">
        <v>600</v>
      </c>
      <c r="AP35" s="36">
        <v>2500</v>
      </c>
      <c r="AQ35" s="38" t="s">
        <v>155</v>
      </c>
      <c r="AR35" s="38">
        <v>100</v>
      </c>
      <c r="AS35" s="38" t="s">
        <v>156</v>
      </c>
      <c r="AT35" s="38">
        <v>1000</v>
      </c>
      <c r="AU35" s="38">
        <v>10800</v>
      </c>
      <c r="AV35" s="38">
        <v>14400000</v>
      </c>
      <c r="AW35" s="36">
        <v>200000</v>
      </c>
      <c r="BB35" s="36" t="s">
        <v>157</v>
      </c>
      <c r="BC35" s="36" t="s">
        <v>790</v>
      </c>
      <c r="BD35" s="46"/>
      <c r="BE35" s="39" t="s">
        <v>159</v>
      </c>
      <c r="BF35" s="36">
        <v>1</v>
      </c>
      <c r="BG35" s="36" t="s">
        <v>160</v>
      </c>
      <c r="BH35" s="36" t="s">
        <v>161</v>
      </c>
      <c r="BI35" s="36" t="s">
        <v>162</v>
      </c>
      <c r="BK35" s="38">
        <v>7200</v>
      </c>
      <c r="BL35" s="38">
        <v>1800</v>
      </c>
      <c r="BM35" s="56">
        <f t="shared" si="0"/>
        <v>415</v>
      </c>
      <c r="BN35" s="36">
        <v>8</v>
      </c>
      <c r="BO35" s="35" t="s">
        <v>163</v>
      </c>
      <c r="BP35" s="36" t="s">
        <v>791</v>
      </c>
      <c r="BQ35" s="54" t="s">
        <v>157</v>
      </c>
      <c r="BR35" s="36" t="s">
        <v>792</v>
      </c>
      <c r="BS35" s="35" t="s">
        <v>163</v>
      </c>
      <c r="BT35" s="36" t="s">
        <v>793</v>
      </c>
    </row>
    <row r="36" spans="1:72" x14ac:dyDescent="0.45">
      <c r="A36" s="36">
        <v>40803</v>
      </c>
      <c r="B36" s="36" t="s">
        <v>795</v>
      </c>
      <c r="C36" s="36" t="s">
        <v>141</v>
      </c>
      <c r="D36" s="36" t="s">
        <v>142</v>
      </c>
      <c r="E36" s="36" t="s">
        <v>558</v>
      </c>
      <c r="F36" s="36" t="s">
        <v>144</v>
      </c>
      <c r="G36" s="36" t="s">
        <v>145</v>
      </c>
      <c r="H36" s="36" t="s">
        <v>146</v>
      </c>
      <c r="J36" s="36" t="s">
        <v>147</v>
      </c>
      <c r="K36" s="36">
        <v>3600</v>
      </c>
      <c r="L36" s="36" t="s">
        <v>788</v>
      </c>
      <c r="M36" s="36" t="s">
        <v>149</v>
      </c>
      <c r="N36" s="38">
        <v>4650000</v>
      </c>
      <c r="O36" s="36">
        <v>1</v>
      </c>
      <c r="P36" s="36" t="s">
        <v>150</v>
      </c>
      <c r="Q36" s="56">
        <v>150</v>
      </c>
      <c r="R36" s="36" t="s">
        <v>151</v>
      </c>
      <c r="S36" s="36" t="s">
        <v>789</v>
      </c>
      <c r="U36" s="36">
        <v>3</v>
      </c>
      <c r="AA36" s="38" t="s">
        <v>153</v>
      </c>
      <c r="AB36" s="38">
        <v>1000</v>
      </c>
      <c r="AC36" s="36">
        <v>5</v>
      </c>
      <c r="AE36" s="38">
        <v>14400000</v>
      </c>
      <c r="AF36" s="38">
        <v>500000</v>
      </c>
      <c r="AG36" s="36">
        <v>500</v>
      </c>
      <c r="AH36" s="36">
        <v>0</v>
      </c>
      <c r="AI36" s="36">
        <v>40804</v>
      </c>
      <c r="AJ36" s="38" t="s">
        <v>170</v>
      </c>
      <c r="AK36" s="38">
        <v>1000</v>
      </c>
      <c r="AL36" s="36">
        <v>43200</v>
      </c>
      <c r="AM36" s="36">
        <v>1000</v>
      </c>
      <c r="AN36" s="36">
        <v>0</v>
      </c>
      <c r="AO36" s="36">
        <v>600</v>
      </c>
      <c r="AP36" s="36">
        <v>2500</v>
      </c>
      <c r="AQ36" s="38" t="s">
        <v>155</v>
      </c>
      <c r="AR36" s="38">
        <v>100</v>
      </c>
      <c r="AS36" s="38" t="s">
        <v>156</v>
      </c>
      <c r="AT36" s="38">
        <v>1000</v>
      </c>
      <c r="AU36" s="38">
        <v>10800</v>
      </c>
      <c r="AV36" s="38">
        <v>14400000</v>
      </c>
      <c r="AW36" s="36">
        <v>200000</v>
      </c>
      <c r="BB36" s="36" t="s">
        <v>157</v>
      </c>
      <c r="BC36" s="36" t="s">
        <v>790</v>
      </c>
      <c r="BD36" s="46"/>
      <c r="BE36" s="39" t="s">
        <v>159</v>
      </c>
      <c r="BF36" s="36">
        <v>1</v>
      </c>
      <c r="BG36" s="36" t="s">
        <v>160</v>
      </c>
      <c r="BH36" s="36" t="s">
        <v>161</v>
      </c>
      <c r="BI36" s="36" t="s">
        <v>162</v>
      </c>
      <c r="BK36" s="38">
        <v>7200</v>
      </c>
      <c r="BL36" s="38">
        <v>1800</v>
      </c>
      <c r="BM36" s="56">
        <f t="shared" si="0"/>
        <v>435</v>
      </c>
      <c r="BN36" s="36">
        <v>8</v>
      </c>
      <c r="BO36" s="35" t="s">
        <v>163</v>
      </c>
      <c r="BP36" s="36" t="s">
        <v>791</v>
      </c>
      <c r="BQ36" s="54" t="s">
        <v>157</v>
      </c>
      <c r="BR36" s="36" t="s">
        <v>792</v>
      </c>
      <c r="BS36" s="35" t="s">
        <v>163</v>
      </c>
      <c r="BT36" s="36" t="s">
        <v>793</v>
      </c>
    </row>
    <row r="37" spans="1:72" s="35" customFormat="1" x14ac:dyDescent="0.45">
      <c r="A37" s="36">
        <v>40804</v>
      </c>
      <c r="B37" s="36" t="s">
        <v>796</v>
      </c>
      <c r="C37" s="36" t="s">
        <v>141</v>
      </c>
      <c r="D37" s="36" t="s">
        <v>142</v>
      </c>
      <c r="E37" s="36" t="s">
        <v>558</v>
      </c>
      <c r="F37" s="36" t="s">
        <v>144</v>
      </c>
      <c r="G37" s="36" t="s">
        <v>145</v>
      </c>
      <c r="H37" s="36" t="s">
        <v>146</v>
      </c>
      <c r="I37" s="36"/>
      <c r="J37" s="36" t="s">
        <v>147</v>
      </c>
      <c r="K37" s="36">
        <v>3600</v>
      </c>
      <c r="L37" s="36" t="s">
        <v>788</v>
      </c>
      <c r="M37" s="36" t="s">
        <v>149</v>
      </c>
      <c r="N37" s="38">
        <v>4950000</v>
      </c>
      <c r="O37" s="36">
        <v>1</v>
      </c>
      <c r="P37" s="36" t="s">
        <v>150</v>
      </c>
      <c r="Q37" s="56">
        <v>200</v>
      </c>
      <c r="R37" s="36" t="s">
        <v>151</v>
      </c>
      <c r="S37" s="36" t="s">
        <v>789</v>
      </c>
      <c r="T37" s="36"/>
      <c r="U37" s="36">
        <v>4</v>
      </c>
      <c r="V37" s="36"/>
      <c r="W37" s="36"/>
      <c r="X37" s="36"/>
      <c r="Y37" s="36"/>
      <c r="Z37" s="36"/>
      <c r="AA37" s="38" t="s">
        <v>153</v>
      </c>
      <c r="AB37" s="38">
        <v>1000</v>
      </c>
      <c r="AC37" s="36">
        <v>5</v>
      </c>
      <c r="AD37" s="36"/>
      <c r="AE37" s="38">
        <v>14400000</v>
      </c>
      <c r="AF37" s="38">
        <v>500000</v>
      </c>
      <c r="AG37" s="36">
        <v>500</v>
      </c>
      <c r="AH37" s="36">
        <v>0</v>
      </c>
      <c r="AI37" s="36">
        <v>40805</v>
      </c>
      <c r="AJ37" s="38" t="s">
        <v>172</v>
      </c>
      <c r="AK37" s="38">
        <v>1000</v>
      </c>
      <c r="AL37" s="36">
        <v>54000</v>
      </c>
      <c r="AM37" s="36">
        <v>1000</v>
      </c>
      <c r="AN37" s="36">
        <v>0</v>
      </c>
      <c r="AO37" s="36">
        <v>600</v>
      </c>
      <c r="AP37" s="36">
        <v>2500</v>
      </c>
      <c r="AQ37" s="38" t="s">
        <v>155</v>
      </c>
      <c r="AR37" s="38">
        <v>100</v>
      </c>
      <c r="AS37" s="38" t="s">
        <v>156</v>
      </c>
      <c r="AT37" s="38">
        <v>1000</v>
      </c>
      <c r="AU37" s="38">
        <v>10800</v>
      </c>
      <c r="AV37" s="38">
        <v>14400000</v>
      </c>
      <c r="AW37" s="36">
        <v>200000</v>
      </c>
      <c r="AX37" s="36"/>
      <c r="AY37" s="36"/>
      <c r="AZ37" s="36"/>
      <c r="BA37" s="36"/>
      <c r="BB37" s="36" t="s">
        <v>157</v>
      </c>
      <c r="BC37" s="36" t="s">
        <v>790</v>
      </c>
      <c r="BD37" s="46"/>
      <c r="BE37" s="39" t="s">
        <v>159</v>
      </c>
      <c r="BF37" s="36">
        <v>1</v>
      </c>
      <c r="BG37" s="36" t="s">
        <v>160</v>
      </c>
      <c r="BH37" s="36" t="s">
        <v>161</v>
      </c>
      <c r="BI37" s="36" t="s">
        <v>162</v>
      </c>
      <c r="BJ37"/>
      <c r="BK37" s="38">
        <v>7200</v>
      </c>
      <c r="BL37" s="38">
        <v>1800</v>
      </c>
      <c r="BM37" s="56">
        <f t="shared" si="0"/>
        <v>460</v>
      </c>
      <c r="BN37" s="36">
        <v>8</v>
      </c>
      <c r="BO37" s="35" t="s">
        <v>163</v>
      </c>
      <c r="BP37" s="36" t="s">
        <v>791</v>
      </c>
      <c r="BQ37" s="54" t="s">
        <v>157</v>
      </c>
      <c r="BR37" s="36" t="s">
        <v>792</v>
      </c>
      <c r="BS37" s="35" t="s">
        <v>163</v>
      </c>
      <c r="BT37" s="36" t="s">
        <v>793</v>
      </c>
    </row>
    <row r="38" spans="1:72" x14ac:dyDescent="0.45">
      <c r="A38" s="36">
        <v>40805</v>
      </c>
      <c r="B38" s="36" t="s">
        <v>797</v>
      </c>
      <c r="C38" s="36" t="s">
        <v>141</v>
      </c>
      <c r="D38" s="36" t="s">
        <v>142</v>
      </c>
      <c r="E38" s="36" t="s">
        <v>558</v>
      </c>
      <c r="F38" s="36" t="s">
        <v>144</v>
      </c>
      <c r="G38" s="36" t="s">
        <v>145</v>
      </c>
      <c r="H38" s="36" t="s">
        <v>146</v>
      </c>
      <c r="J38" s="36" t="s">
        <v>147</v>
      </c>
      <c r="K38" s="36">
        <v>3600</v>
      </c>
      <c r="L38" s="36" t="s">
        <v>788</v>
      </c>
      <c r="M38" s="36" t="s">
        <v>149</v>
      </c>
      <c r="N38" s="38">
        <v>5250000</v>
      </c>
      <c r="O38" s="36">
        <v>1</v>
      </c>
      <c r="P38" s="36" t="s">
        <v>150</v>
      </c>
      <c r="Q38" s="56">
        <v>250</v>
      </c>
      <c r="R38" s="36" t="s">
        <v>151</v>
      </c>
      <c r="S38" s="36" t="s">
        <v>789</v>
      </c>
      <c r="U38" s="36">
        <v>5</v>
      </c>
      <c r="AA38" s="38" t="s">
        <v>153</v>
      </c>
      <c r="AB38" s="38">
        <v>1000</v>
      </c>
      <c r="AC38" s="36">
        <v>5</v>
      </c>
      <c r="AE38" s="38">
        <v>14400000</v>
      </c>
      <c r="AF38" s="38">
        <v>500000</v>
      </c>
      <c r="AG38" s="36">
        <v>500</v>
      </c>
      <c r="AH38" s="36">
        <v>0</v>
      </c>
      <c r="AI38" s="36">
        <v>40806</v>
      </c>
      <c r="AJ38" s="38" t="s">
        <v>174</v>
      </c>
      <c r="AK38" s="38">
        <v>1000</v>
      </c>
      <c r="AL38" s="36">
        <v>64800</v>
      </c>
      <c r="AM38" s="36">
        <v>1000</v>
      </c>
      <c r="AN38" s="36">
        <v>0</v>
      </c>
      <c r="AO38" s="36">
        <v>600</v>
      </c>
      <c r="AP38" s="36">
        <v>2500</v>
      </c>
      <c r="AQ38" s="38" t="s">
        <v>155</v>
      </c>
      <c r="AR38" s="38">
        <v>100</v>
      </c>
      <c r="AS38" s="38" t="s">
        <v>156</v>
      </c>
      <c r="AT38" s="38">
        <v>1000</v>
      </c>
      <c r="AU38" s="38">
        <v>10800</v>
      </c>
      <c r="AV38" s="38">
        <v>14400000</v>
      </c>
      <c r="AW38" s="36">
        <v>200000</v>
      </c>
      <c r="BB38" s="36" t="s">
        <v>157</v>
      </c>
      <c r="BC38" s="36" t="s">
        <v>790</v>
      </c>
      <c r="BD38" s="46"/>
      <c r="BE38" s="39" t="s">
        <v>159</v>
      </c>
      <c r="BF38" s="36">
        <v>1</v>
      </c>
      <c r="BG38" s="36" t="s">
        <v>160</v>
      </c>
      <c r="BH38" s="36" t="s">
        <v>161</v>
      </c>
      <c r="BI38" s="36" t="s">
        <v>162</v>
      </c>
      <c r="BK38" s="38">
        <v>7200</v>
      </c>
      <c r="BL38" s="38">
        <v>1800</v>
      </c>
      <c r="BM38" s="56">
        <f t="shared" si="0"/>
        <v>490</v>
      </c>
      <c r="BN38" s="36">
        <v>8</v>
      </c>
      <c r="BO38" s="35" t="s">
        <v>163</v>
      </c>
      <c r="BP38" s="36" t="s">
        <v>791</v>
      </c>
      <c r="BQ38" s="54" t="s">
        <v>157</v>
      </c>
      <c r="BR38" s="36" t="s">
        <v>792</v>
      </c>
      <c r="BS38" s="35" t="s">
        <v>163</v>
      </c>
      <c r="BT38" s="36" t="s">
        <v>793</v>
      </c>
    </row>
    <row r="39" spans="1:72" x14ac:dyDescent="0.45">
      <c r="A39" s="36">
        <v>40806</v>
      </c>
      <c r="B39" s="36" t="s">
        <v>798</v>
      </c>
      <c r="C39" s="36" t="s">
        <v>141</v>
      </c>
      <c r="D39" s="36" t="s">
        <v>142</v>
      </c>
      <c r="E39" s="36" t="s">
        <v>558</v>
      </c>
      <c r="F39" s="36" t="s">
        <v>176</v>
      </c>
      <c r="G39" s="36" t="s">
        <v>145</v>
      </c>
      <c r="H39" s="36" t="s">
        <v>146</v>
      </c>
      <c r="J39" s="36" t="s">
        <v>147</v>
      </c>
      <c r="K39" s="36">
        <v>3600</v>
      </c>
      <c r="L39" s="36" t="s">
        <v>788</v>
      </c>
      <c r="M39" s="36" t="s">
        <v>149</v>
      </c>
      <c r="N39" s="38">
        <v>5550000</v>
      </c>
      <c r="O39" s="36">
        <v>1</v>
      </c>
      <c r="P39" s="36" t="s">
        <v>150</v>
      </c>
      <c r="Q39" s="56">
        <v>300</v>
      </c>
      <c r="R39" s="42" t="s">
        <v>177</v>
      </c>
      <c r="S39" s="36" t="s">
        <v>789</v>
      </c>
      <c r="U39" s="36">
        <v>6</v>
      </c>
      <c r="AA39" s="38" t="s">
        <v>153</v>
      </c>
      <c r="AB39" s="38">
        <v>1000</v>
      </c>
      <c r="AC39" s="36">
        <v>5</v>
      </c>
      <c r="AE39" s="38">
        <v>14400000</v>
      </c>
      <c r="AF39" s="38">
        <v>500000</v>
      </c>
      <c r="AG39" s="36">
        <v>500</v>
      </c>
      <c r="AH39" s="36">
        <v>0</v>
      </c>
      <c r="AI39" s="36">
        <v>40807</v>
      </c>
      <c r="AJ39" s="38" t="s">
        <v>178</v>
      </c>
      <c r="AK39" s="38">
        <v>1000</v>
      </c>
      <c r="AL39" s="36">
        <v>75600</v>
      </c>
      <c r="AM39" s="36">
        <v>1000</v>
      </c>
      <c r="AN39" s="36">
        <v>0</v>
      </c>
      <c r="AO39" s="36">
        <v>600</v>
      </c>
      <c r="AP39" s="36">
        <v>2500</v>
      </c>
      <c r="AQ39" s="38" t="s">
        <v>155</v>
      </c>
      <c r="AR39" s="38">
        <v>100</v>
      </c>
      <c r="AS39" s="38" t="s">
        <v>156</v>
      </c>
      <c r="AT39" s="38">
        <v>1000</v>
      </c>
      <c r="AU39" s="38">
        <v>10800</v>
      </c>
      <c r="AV39" s="38">
        <v>14400000</v>
      </c>
      <c r="AW39" s="36">
        <v>200000</v>
      </c>
      <c r="BB39" s="36" t="s">
        <v>157</v>
      </c>
      <c r="BC39" s="36" t="s">
        <v>790</v>
      </c>
      <c r="BD39" s="46"/>
      <c r="BE39" s="39" t="s">
        <v>159</v>
      </c>
      <c r="BF39" s="36">
        <v>1</v>
      </c>
      <c r="BG39" s="36" t="s">
        <v>160</v>
      </c>
      <c r="BH39" s="36" t="s">
        <v>161</v>
      </c>
      <c r="BI39" s="36" t="s">
        <v>162</v>
      </c>
      <c r="BK39" s="38">
        <v>7200</v>
      </c>
      <c r="BL39" s="38">
        <v>1800</v>
      </c>
      <c r="BM39" s="56">
        <f t="shared" si="0"/>
        <v>525</v>
      </c>
      <c r="BN39" s="36">
        <v>8</v>
      </c>
      <c r="BO39" s="35" t="s">
        <v>163</v>
      </c>
      <c r="BP39" s="36" t="s">
        <v>791</v>
      </c>
      <c r="BQ39" s="54" t="s">
        <v>157</v>
      </c>
      <c r="BR39" s="36" t="s">
        <v>792</v>
      </c>
      <c r="BS39" s="35" t="s">
        <v>163</v>
      </c>
      <c r="BT39" s="36" t="s">
        <v>793</v>
      </c>
    </row>
    <row r="40" spans="1:72" x14ac:dyDescent="0.45">
      <c r="A40" s="36">
        <v>40807</v>
      </c>
      <c r="B40" s="36" t="s">
        <v>799</v>
      </c>
      <c r="C40" s="36" t="s">
        <v>141</v>
      </c>
      <c r="D40" s="36" t="s">
        <v>142</v>
      </c>
      <c r="E40" s="36" t="s">
        <v>558</v>
      </c>
      <c r="F40" s="36" t="s">
        <v>176</v>
      </c>
      <c r="G40" s="36" t="s">
        <v>145</v>
      </c>
      <c r="H40" s="36" t="s">
        <v>146</v>
      </c>
      <c r="J40" s="36" t="s">
        <v>147</v>
      </c>
      <c r="K40" s="36">
        <v>3600</v>
      </c>
      <c r="L40" s="36" t="s">
        <v>788</v>
      </c>
      <c r="M40" s="36" t="s">
        <v>149</v>
      </c>
      <c r="N40" s="38">
        <v>5850000</v>
      </c>
      <c r="O40" s="36">
        <v>1</v>
      </c>
      <c r="P40" s="36" t="s">
        <v>150</v>
      </c>
      <c r="Q40" s="56">
        <v>350</v>
      </c>
      <c r="R40" s="42" t="s">
        <v>177</v>
      </c>
      <c r="S40" s="36" t="s">
        <v>789</v>
      </c>
      <c r="U40" s="36">
        <v>7</v>
      </c>
      <c r="AA40" s="38" t="s">
        <v>153</v>
      </c>
      <c r="AB40" s="38">
        <v>1000</v>
      </c>
      <c r="AC40" s="36">
        <v>5</v>
      </c>
      <c r="AE40" s="38">
        <v>14400000</v>
      </c>
      <c r="AF40" s="38">
        <v>500000</v>
      </c>
      <c r="AG40" s="36">
        <v>500</v>
      </c>
      <c r="AH40" s="36">
        <v>0</v>
      </c>
      <c r="AI40" s="36">
        <v>40808</v>
      </c>
      <c r="AJ40" s="38" t="s">
        <v>180</v>
      </c>
      <c r="AK40" s="38">
        <v>1000</v>
      </c>
      <c r="AL40" s="36">
        <v>86400</v>
      </c>
      <c r="AM40" s="36">
        <v>1000</v>
      </c>
      <c r="AN40" s="36">
        <v>0</v>
      </c>
      <c r="AO40" s="36">
        <v>600</v>
      </c>
      <c r="AP40" s="36">
        <v>2500</v>
      </c>
      <c r="AQ40" s="38" t="s">
        <v>155</v>
      </c>
      <c r="AR40" s="38">
        <v>100</v>
      </c>
      <c r="AS40" s="38" t="s">
        <v>156</v>
      </c>
      <c r="AT40" s="38">
        <v>1000</v>
      </c>
      <c r="AU40" s="38">
        <v>10800</v>
      </c>
      <c r="AV40" s="38">
        <v>14400000</v>
      </c>
      <c r="AW40" s="36">
        <v>200000</v>
      </c>
      <c r="BB40" s="36" t="s">
        <v>157</v>
      </c>
      <c r="BC40" s="36" t="s">
        <v>790</v>
      </c>
      <c r="BD40" s="46"/>
      <c r="BE40" s="39" t="s">
        <v>159</v>
      </c>
      <c r="BF40" s="36">
        <v>1</v>
      </c>
      <c r="BG40" s="36" t="s">
        <v>160</v>
      </c>
      <c r="BH40" s="36" t="s">
        <v>161</v>
      </c>
      <c r="BI40" s="36" t="s">
        <v>162</v>
      </c>
      <c r="BK40" s="38">
        <v>7200</v>
      </c>
      <c r="BL40" s="38">
        <v>1800</v>
      </c>
      <c r="BM40" s="56">
        <f t="shared" si="0"/>
        <v>565</v>
      </c>
      <c r="BN40" s="36">
        <v>8</v>
      </c>
      <c r="BO40" s="35" t="s">
        <v>163</v>
      </c>
      <c r="BP40" s="36" t="s">
        <v>791</v>
      </c>
      <c r="BQ40" s="54" t="s">
        <v>157</v>
      </c>
      <c r="BR40" s="36" t="s">
        <v>792</v>
      </c>
      <c r="BS40" s="35" t="s">
        <v>163</v>
      </c>
      <c r="BT40" s="36" t="s">
        <v>793</v>
      </c>
    </row>
    <row r="41" spans="1:72" x14ac:dyDescent="0.45">
      <c r="A41" s="36">
        <v>40808</v>
      </c>
      <c r="B41" s="36" t="s">
        <v>800</v>
      </c>
      <c r="C41" s="36" t="s">
        <v>141</v>
      </c>
      <c r="D41" s="36" t="s">
        <v>142</v>
      </c>
      <c r="E41" s="36" t="s">
        <v>558</v>
      </c>
      <c r="F41" s="36" t="s">
        <v>176</v>
      </c>
      <c r="G41" s="36" t="s">
        <v>145</v>
      </c>
      <c r="H41" s="36" t="s">
        <v>146</v>
      </c>
      <c r="J41" s="36" t="s">
        <v>147</v>
      </c>
      <c r="K41" s="36">
        <v>3600</v>
      </c>
      <c r="L41" s="36" t="s">
        <v>788</v>
      </c>
      <c r="M41" s="36" t="s">
        <v>149</v>
      </c>
      <c r="N41" s="38">
        <v>6150000</v>
      </c>
      <c r="O41" s="36">
        <v>1</v>
      </c>
      <c r="P41" s="36" t="s">
        <v>150</v>
      </c>
      <c r="Q41" s="56">
        <v>400</v>
      </c>
      <c r="R41" s="42" t="s">
        <v>177</v>
      </c>
      <c r="S41" s="36" t="s">
        <v>789</v>
      </c>
      <c r="U41" s="36">
        <v>8</v>
      </c>
      <c r="AA41" s="38" t="s">
        <v>153</v>
      </c>
      <c r="AB41" s="38">
        <v>1000</v>
      </c>
      <c r="AC41" s="36">
        <v>5</v>
      </c>
      <c r="AE41" s="38">
        <v>14400000</v>
      </c>
      <c r="AF41" s="38">
        <v>500000</v>
      </c>
      <c r="AG41" s="36">
        <v>500</v>
      </c>
      <c r="AH41" s="36">
        <v>0</v>
      </c>
      <c r="AI41" s="36">
        <v>40809</v>
      </c>
      <c r="AJ41" s="38" t="s">
        <v>182</v>
      </c>
      <c r="AK41" s="38">
        <v>1000</v>
      </c>
      <c r="AL41" s="36">
        <v>97200</v>
      </c>
      <c r="AM41" s="36">
        <v>1000</v>
      </c>
      <c r="AN41" s="36">
        <v>0</v>
      </c>
      <c r="AO41" s="36">
        <v>600</v>
      </c>
      <c r="AP41" s="36">
        <v>2500</v>
      </c>
      <c r="AQ41" s="38" t="s">
        <v>155</v>
      </c>
      <c r="AR41" s="38">
        <v>100</v>
      </c>
      <c r="AS41" s="38" t="s">
        <v>156</v>
      </c>
      <c r="AT41" s="38">
        <v>1000</v>
      </c>
      <c r="AU41" s="38">
        <v>10800</v>
      </c>
      <c r="AV41" s="38">
        <v>14400000</v>
      </c>
      <c r="AW41" s="36">
        <v>200000</v>
      </c>
      <c r="BB41" s="36" t="s">
        <v>157</v>
      </c>
      <c r="BC41" s="36" t="s">
        <v>790</v>
      </c>
      <c r="BD41" s="46"/>
      <c r="BE41" s="39" t="s">
        <v>159</v>
      </c>
      <c r="BF41" s="36">
        <v>1</v>
      </c>
      <c r="BG41" s="36" t="s">
        <v>160</v>
      </c>
      <c r="BH41" s="36" t="s">
        <v>161</v>
      </c>
      <c r="BI41" s="36" t="s">
        <v>162</v>
      </c>
      <c r="BK41" s="38">
        <v>7200</v>
      </c>
      <c r="BL41" s="38">
        <v>1800</v>
      </c>
      <c r="BM41" s="56">
        <f t="shared" si="0"/>
        <v>610</v>
      </c>
      <c r="BN41" s="36">
        <v>8</v>
      </c>
      <c r="BO41" s="35" t="s">
        <v>163</v>
      </c>
      <c r="BP41" s="36" t="s">
        <v>791</v>
      </c>
      <c r="BQ41" s="54" t="s">
        <v>157</v>
      </c>
      <c r="BR41" s="36" t="s">
        <v>792</v>
      </c>
      <c r="BS41" s="35" t="s">
        <v>163</v>
      </c>
      <c r="BT41" s="36" t="s">
        <v>793</v>
      </c>
    </row>
    <row r="42" spans="1:72" x14ac:dyDescent="0.45">
      <c r="A42" s="36">
        <v>40809</v>
      </c>
      <c r="B42" s="36" t="s">
        <v>801</v>
      </c>
      <c r="C42" s="36" t="s">
        <v>141</v>
      </c>
      <c r="D42" s="36" t="s">
        <v>142</v>
      </c>
      <c r="E42" s="36" t="s">
        <v>558</v>
      </c>
      <c r="F42" s="36" t="s">
        <v>184</v>
      </c>
      <c r="G42" s="36" t="s">
        <v>145</v>
      </c>
      <c r="H42" s="36" t="s">
        <v>146</v>
      </c>
      <c r="J42" s="36" t="s">
        <v>147</v>
      </c>
      <c r="K42" s="36">
        <v>3600</v>
      </c>
      <c r="L42" s="36" t="s">
        <v>788</v>
      </c>
      <c r="M42" s="36" t="s">
        <v>149</v>
      </c>
      <c r="N42" s="38">
        <v>6450000</v>
      </c>
      <c r="O42" s="36">
        <v>1</v>
      </c>
      <c r="P42" s="36" t="s">
        <v>150</v>
      </c>
      <c r="Q42" s="56">
        <v>450</v>
      </c>
      <c r="R42" s="42" t="s">
        <v>177</v>
      </c>
      <c r="S42" s="36" t="s">
        <v>789</v>
      </c>
      <c r="U42" s="36">
        <v>9</v>
      </c>
      <c r="AA42" s="38" t="s">
        <v>153</v>
      </c>
      <c r="AB42" s="38">
        <v>1000</v>
      </c>
      <c r="AC42" s="36">
        <v>5</v>
      </c>
      <c r="AE42" s="38">
        <v>14400000</v>
      </c>
      <c r="AF42" s="38">
        <v>500000</v>
      </c>
      <c r="AG42" s="36">
        <v>500</v>
      </c>
      <c r="AH42" s="36">
        <v>0</v>
      </c>
      <c r="AI42" s="36">
        <v>40810</v>
      </c>
      <c r="AJ42" s="38" t="s">
        <v>185</v>
      </c>
      <c r="AK42" s="38">
        <v>1000</v>
      </c>
      <c r="AL42" s="36">
        <v>108000</v>
      </c>
      <c r="AM42" s="36">
        <v>1000</v>
      </c>
      <c r="AN42" s="36">
        <v>0</v>
      </c>
      <c r="AO42" s="36">
        <v>600</v>
      </c>
      <c r="AP42" s="36">
        <v>2500</v>
      </c>
      <c r="AQ42" s="38" t="s">
        <v>155</v>
      </c>
      <c r="AR42" s="38">
        <v>100</v>
      </c>
      <c r="AS42" s="38" t="s">
        <v>156</v>
      </c>
      <c r="AT42" s="38">
        <v>1000</v>
      </c>
      <c r="AU42" s="38">
        <v>10800</v>
      </c>
      <c r="AV42" s="38">
        <v>14400000</v>
      </c>
      <c r="AW42" s="36">
        <v>200000</v>
      </c>
      <c r="BB42" s="36" t="s">
        <v>157</v>
      </c>
      <c r="BC42" s="36" t="s">
        <v>790</v>
      </c>
      <c r="BD42" s="46"/>
      <c r="BE42" s="39" t="s">
        <v>159</v>
      </c>
      <c r="BF42" s="36">
        <v>1</v>
      </c>
      <c r="BG42" s="36" t="s">
        <v>160</v>
      </c>
      <c r="BH42" s="36" t="s">
        <v>161</v>
      </c>
      <c r="BI42" s="36" t="s">
        <v>162</v>
      </c>
      <c r="BK42" s="38">
        <v>7200</v>
      </c>
      <c r="BL42" s="38">
        <v>1800</v>
      </c>
      <c r="BM42" s="56">
        <f t="shared" si="0"/>
        <v>660</v>
      </c>
      <c r="BN42" s="36">
        <v>8</v>
      </c>
      <c r="BO42" s="35" t="s">
        <v>163</v>
      </c>
      <c r="BP42" s="36" t="s">
        <v>791</v>
      </c>
      <c r="BQ42" s="54" t="s">
        <v>157</v>
      </c>
      <c r="BR42" s="36" t="s">
        <v>792</v>
      </c>
      <c r="BS42" s="35" t="s">
        <v>163</v>
      </c>
      <c r="BT42" s="36" t="s">
        <v>793</v>
      </c>
    </row>
    <row r="43" spans="1:72" x14ac:dyDescent="0.45">
      <c r="A43" s="36">
        <v>40810</v>
      </c>
      <c r="B43" s="36" t="s">
        <v>802</v>
      </c>
      <c r="C43" s="36" t="s">
        <v>141</v>
      </c>
      <c r="D43" s="36" t="s">
        <v>142</v>
      </c>
      <c r="E43" s="36" t="s">
        <v>558</v>
      </c>
      <c r="F43" s="36" t="s">
        <v>184</v>
      </c>
      <c r="G43" s="36" t="s">
        <v>145</v>
      </c>
      <c r="H43" s="36" t="s">
        <v>146</v>
      </c>
      <c r="J43" s="36" t="s">
        <v>147</v>
      </c>
      <c r="K43" s="36">
        <v>3600</v>
      </c>
      <c r="L43" s="36" t="s">
        <v>788</v>
      </c>
      <c r="M43" s="36" t="s">
        <v>149</v>
      </c>
      <c r="N43" s="38">
        <v>6750000</v>
      </c>
      <c r="O43" s="36">
        <v>1</v>
      </c>
      <c r="P43" s="36" t="s">
        <v>150</v>
      </c>
      <c r="Q43" s="56">
        <v>500</v>
      </c>
      <c r="R43" s="42" t="s">
        <v>177</v>
      </c>
      <c r="S43" s="36" t="s">
        <v>789</v>
      </c>
      <c r="U43" s="36">
        <v>10</v>
      </c>
      <c r="AA43" s="38" t="s">
        <v>153</v>
      </c>
      <c r="AB43" s="38">
        <v>1000</v>
      </c>
      <c r="AC43" s="36">
        <v>5</v>
      </c>
      <c r="AE43" s="38">
        <v>14400000</v>
      </c>
      <c r="AF43" s="38">
        <v>500000</v>
      </c>
      <c r="AG43" s="36">
        <v>500</v>
      </c>
      <c r="AH43" s="36">
        <v>0</v>
      </c>
      <c r="AI43" s="36">
        <v>-1</v>
      </c>
      <c r="AK43" s="38">
        <v>1000</v>
      </c>
      <c r="AM43" s="36">
        <v>1000</v>
      </c>
      <c r="AN43" s="36">
        <v>0</v>
      </c>
      <c r="AO43" s="36">
        <v>600</v>
      </c>
      <c r="AP43" s="36">
        <v>2500</v>
      </c>
      <c r="AQ43" s="38" t="s">
        <v>155</v>
      </c>
      <c r="AR43" s="38">
        <v>100</v>
      </c>
      <c r="AS43" s="38" t="s">
        <v>156</v>
      </c>
      <c r="AT43" s="38">
        <v>1000</v>
      </c>
      <c r="AU43" s="38">
        <v>10800</v>
      </c>
      <c r="AV43" s="38">
        <v>14400000</v>
      </c>
      <c r="AW43" s="36">
        <v>200000</v>
      </c>
      <c r="BB43" s="36" t="s">
        <v>157</v>
      </c>
      <c r="BC43" s="36" t="s">
        <v>790</v>
      </c>
      <c r="BD43" s="46"/>
      <c r="BE43" s="39" t="s">
        <v>159</v>
      </c>
      <c r="BF43" s="36">
        <v>1</v>
      </c>
      <c r="BG43" s="36" t="s">
        <v>160</v>
      </c>
      <c r="BH43" s="36" t="s">
        <v>161</v>
      </c>
      <c r="BI43" s="36" t="s">
        <v>162</v>
      </c>
      <c r="BK43" s="38">
        <v>7200</v>
      </c>
      <c r="BL43" s="38">
        <v>1800</v>
      </c>
      <c r="BM43" s="56">
        <f t="shared" si="0"/>
        <v>715</v>
      </c>
      <c r="BN43" s="36">
        <v>8</v>
      </c>
      <c r="BO43" s="35" t="s">
        <v>163</v>
      </c>
      <c r="BP43" s="36" t="s">
        <v>791</v>
      </c>
      <c r="BQ43" s="54" t="s">
        <v>157</v>
      </c>
      <c r="BR43" s="36" t="s">
        <v>792</v>
      </c>
      <c r="BS43" s="35" t="s">
        <v>163</v>
      </c>
      <c r="BT43" s="36" t="s">
        <v>793</v>
      </c>
    </row>
  </sheetData>
  <autoFilter ref="A2:BP33" xr:uid="{00000000-0009-0000-0000-000000000000}"/>
  <phoneticPr fontId="1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zoomScale="145" zoomScaleNormal="145" workbookViewId="0">
      <selection activeCell="I30" sqref="I30"/>
    </sheetView>
  </sheetViews>
  <sheetFormatPr defaultColWidth="9" defaultRowHeight="14" x14ac:dyDescent="0.25"/>
  <cols>
    <col min="3" max="3" width="12.453125" customWidth="1"/>
    <col min="6" max="6" width="12.453125" customWidth="1"/>
  </cols>
  <sheetData>
    <row r="1" spans="1:7" ht="16.5" x14ac:dyDescent="0.45">
      <c r="A1" s="40" t="s">
        <v>204</v>
      </c>
    </row>
    <row r="2" spans="1:7" x14ac:dyDescent="0.25">
      <c r="A2" t="s">
        <v>2</v>
      </c>
      <c r="B2" t="s">
        <v>205</v>
      </c>
      <c r="D2" t="s">
        <v>206</v>
      </c>
      <c r="E2" t="s">
        <v>207</v>
      </c>
    </row>
    <row r="3" spans="1:7" x14ac:dyDescent="0.25">
      <c r="A3" t="s">
        <v>2</v>
      </c>
      <c r="B3" t="s">
        <v>208</v>
      </c>
      <c r="C3" t="s">
        <v>209</v>
      </c>
      <c r="D3" t="s">
        <v>210</v>
      </c>
      <c r="E3" t="s">
        <v>211</v>
      </c>
    </row>
    <row r="4" spans="1:7" x14ac:dyDescent="0.25">
      <c r="A4">
        <v>101</v>
      </c>
      <c r="B4" s="97">
        <v>130401</v>
      </c>
      <c r="C4" s="98" t="s">
        <v>212</v>
      </c>
      <c r="E4" s="97">
        <v>0.05</v>
      </c>
      <c r="G4" t="s">
        <v>213</v>
      </c>
    </row>
    <row r="5" spans="1:7" x14ac:dyDescent="0.25">
      <c r="A5">
        <v>102</v>
      </c>
      <c r="B5" s="97">
        <v>130401</v>
      </c>
      <c r="C5" s="98" t="s">
        <v>214</v>
      </c>
      <c r="E5" s="97">
        <v>0.05</v>
      </c>
      <c r="G5" t="s">
        <v>215</v>
      </c>
    </row>
    <row r="6" spans="1:7" x14ac:dyDescent="0.25">
      <c r="A6">
        <v>103</v>
      </c>
      <c r="B6" s="97">
        <v>130401</v>
      </c>
      <c r="C6" s="98" t="s">
        <v>216</v>
      </c>
      <c r="E6" s="97">
        <v>0.05</v>
      </c>
      <c r="G6" t="s">
        <v>217</v>
      </c>
    </row>
    <row r="7" spans="1:7" x14ac:dyDescent="0.25">
      <c r="A7">
        <v>104</v>
      </c>
      <c r="B7" s="97">
        <v>130403</v>
      </c>
      <c r="C7" s="97" t="s">
        <v>218</v>
      </c>
      <c r="E7" s="97">
        <v>0.05</v>
      </c>
      <c r="G7" t="s">
        <v>219</v>
      </c>
    </row>
    <row r="8" spans="1:7" x14ac:dyDescent="0.25">
      <c r="A8">
        <v>105</v>
      </c>
      <c r="B8" s="97">
        <v>130403</v>
      </c>
      <c r="C8" s="98" t="s">
        <v>212</v>
      </c>
      <c r="E8" s="97">
        <v>0.05</v>
      </c>
      <c r="G8" t="s">
        <v>220</v>
      </c>
    </row>
    <row r="9" spans="1:7" x14ac:dyDescent="0.25">
      <c r="A9">
        <v>106</v>
      </c>
      <c r="B9" s="97">
        <v>130403</v>
      </c>
      <c r="C9" s="98" t="s">
        <v>214</v>
      </c>
      <c r="E9" s="97">
        <v>0.05</v>
      </c>
      <c r="G9" t="s">
        <v>221</v>
      </c>
    </row>
    <row r="10" spans="1:7" x14ac:dyDescent="0.25">
      <c r="A10">
        <v>107</v>
      </c>
      <c r="B10" s="97">
        <v>130404</v>
      </c>
      <c r="C10" s="98" t="s">
        <v>222</v>
      </c>
      <c r="G10" t="s">
        <v>223</v>
      </c>
    </row>
    <row r="11" spans="1:7" x14ac:dyDescent="0.25">
      <c r="A11">
        <v>108</v>
      </c>
      <c r="B11" s="97">
        <v>130404</v>
      </c>
      <c r="C11" s="98" t="s">
        <v>224</v>
      </c>
      <c r="G11" t="s">
        <v>225</v>
      </c>
    </row>
    <row r="12" spans="1:7" x14ac:dyDescent="0.25">
      <c r="A12">
        <v>109</v>
      </c>
      <c r="B12" s="97">
        <v>130404</v>
      </c>
      <c r="C12" s="98" t="s">
        <v>226</v>
      </c>
      <c r="G12" t="s">
        <v>227</v>
      </c>
    </row>
    <row r="13" spans="1:7" x14ac:dyDescent="0.25">
      <c r="A13">
        <v>110</v>
      </c>
      <c r="B13" s="97">
        <v>130405</v>
      </c>
      <c r="C13" s="98" t="s">
        <v>212</v>
      </c>
      <c r="E13" s="97">
        <v>0.05</v>
      </c>
      <c r="F13" s="99"/>
      <c r="G13" t="s">
        <v>228</v>
      </c>
    </row>
    <row r="14" spans="1:7" x14ac:dyDescent="0.25">
      <c r="A14">
        <v>111</v>
      </c>
      <c r="B14" s="97">
        <v>130405</v>
      </c>
      <c r="C14" s="98" t="s">
        <v>214</v>
      </c>
      <c r="E14" s="97">
        <v>0.05</v>
      </c>
      <c r="F14" s="99"/>
      <c r="G14" t="s">
        <v>229</v>
      </c>
    </row>
    <row r="15" spans="1:7" x14ac:dyDescent="0.25">
      <c r="A15">
        <v>112</v>
      </c>
      <c r="B15" s="97">
        <v>130405</v>
      </c>
      <c r="C15" s="98" t="s">
        <v>224</v>
      </c>
      <c r="E15" s="97">
        <v>0.05</v>
      </c>
      <c r="F15" s="99"/>
      <c r="G15" t="s">
        <v>230</v>
      </c>
    </row>
    <row r="16" spans="1:7" x14ac:dyDescent="0.25">
      <c r="A16" s="53">
        <v>201</v>
      </c>
      <c r="B16" s="53">
        <v>130402</v>
      </c>
      <c r="C16" s="100" t="s">
        <v>231</v>
      </c>
      <c r="D16" s="53">
        <v>-1</v>
      </c>
      <c r="E16" s="53"/>
      <c r="F16" s="53"/>
      <c r="G16" s="53" t="s">
        <v>232</v>
      </c>
    </row>
    <row r="17" spans="1:7" x14ac:dyDescent="0.25">
      <c r="A17" s="53">
        <v>202</v>
      </c>
      <c r="B17" s="53">
        <v>130402</v>
      </c>
      <c r="C17" s="100" t="s">
        <v>233</v>
      </c>
      <c r="D17" s="53">
        <v>-0.4</v>
      </c>
      <c r="E17" s="53"/>
      <c r="F17" s="53"/>
      <c r="G17" s="53" t="s">
        <v>234</v>
      </c>
    </row>
    <row r="18" spans="1:7" x14ac:dyDescent="0.25">
      <c r="A18" s="53">
        <v>203</v>
      </c>
      <c r="B18" s="53">
        <v>130402</v>
      </c>
      <c r="C18" s="100" t="s">
        <v>222</v>
      </c>
      <c r="D18" s="53"/>
      <c r="E18" s="53"/>
      <c r="F18" s="53"/>
      <c r="G18" s="53" t="s">
        <v>235</v>
      </c>
    </row>
    <row r="19" spans="1:7" x14ac:dyDescent="0.25">
      <c r="A19">
        <v>204</v>
      </c>
      <c r="B19" s="97">
        <v>130403</v>
      </c>
      <c r="C19" s="97" t="s">
        <v>218</v>
      </c>
      <c r="D19">
        <v>-1.4</v>
      </c>
      <c r="E19" s="97">
        <v>0.05</v>
      </c>
      <c r="G19" t="s">
        <v>236</v>
      </c>
    </row>
    <row r="20" spans="1:7" x14ac:dyDescent="0.25">
      <c r="A20">
        <v>205</v>
      </c>
      <c r="B20" s="97">
        <v>130403</v>
      </c>
      <c r="C20" s="98" t="s">
        <v>212</v>
      </c>
      <c r="D20">
        <v>-0.4</v>
      </c>
      <c r="E20" s="97">
        <v>0.05</v>
      </c>
      <c r="G20" t="s">
        <v>237</v>
      </c>
    </row>
    <row r="21" spans="1:7" x14ac:dyDescent="0.25">
      <c r="A21">
        <v>206</v>
      </c>
      <c r="B21" s="97">
        <v>130403</v>
      </c>
      <c r="C21" s="98" t="s">
        <v>214</v>
      </c>
      <c r="E21" s="97">
        <v>0.05</v>
      </c>
      <c r="G21" t="s">
        <v>238</v>
      </c>
    </row>
    <row r="22" spans="1:7" x14ac:dyDescent="0.25">
      <c r="A22">
        <v>207</v>
      </c>
      <c r="B22" s="97">
        <v>130404</v>
      </c>
      <c r="C22" s="98" t="s">
        <v>222</v>
      </c>
      <c r="G22" t="s">
        <v>239</v>
      </c>
    </row>
    <row r="23" spans="1:7" x14ac:dyDescent="0.25">
      <c r="A23">
        <v>208</v>
      </c>
      <c r="B23" s="97">
        <v>130404</v>
      </c>
      <c r="C23" s="98" t="s">
        <v>224</v>
      </c>
      <c r="G23" t="s">
        <v>240</v>
      </c>
    </row>
    <row r="24" spans="1:7" x14ac:dyDescent="0.25">
      <c r="A24">
        <v>209</v>
      </c>
      <c r="B24" s="97">
        <v>130404</v>
      </c>
      <c r="C24" s="98" t="s">
        <v>226</v>
      </c>
      <c r="G24" t="s">
        <v>241</v>
      </c>
    </row>
    <row r="25" spans="1:7" x14ac:dyDescent="0.25">
      <c r="A25">
        <v>210</v>
      </c>
      <c r="B25" s="97">
        <v>130405</v>
      </c>
      <c r="C25" s="98" t="s">
        <v>212</v>
      </c>
      <c r="E25" s="97">
        <v>0.05</v>
      </c>
      <c r="F25" s="99"/>
      <c r="G25" t="s">
        <v>242</v>
      </c>
    </row>
    <row r="26" spans="1:7" x14ac:dyDescent="0.25">
      <c r="A26">
        <v>211</v>
      </c>
      <c r="B26" s="97">
        <v>130405</v>
      </c>
      <c r="C26" s="98" t="s">
        <v>214</v>
      </c>
      <c r="E26" s="97">
        <v>0.05</v>
      </c>
      <c r="F26" s="99"/>
      <c r="G26" t="s">
        <v>243</v>
      </c>
    </row>
    <row r="27" spans="1:7" x14ac:dyDescent="0.25">
      <c r="A27">
        <v>212</v>
      </c>
      <c r="B27" s="97">
        <v>130405</v>
      </c>
      <c r="C27" s="98" t="s">
        <v>224</v>
      </c>
      <c r="E27" s="97">
        <v>0.05</v>
      </c>
      <c r="F27" s="99"/>
      <c r="G27" t="s">
        <v>244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0"/>
  <sheetViews>
    <sheetView workbookViewId="0">
      <pane xSplit="2" ySplit="3" topLeftCell="C4" activePane="bottomRight" state="frozen"/>
      <selection pane="topRight"/>
      <selection pane="bottomLeft"/>
      <selection pane="bottomRight" activeCell="A64" sqref="A64:XFD64"/>
    </sheetView>
  </sheetViews>
  <sheetFormatPr defaultColWidth="8.90625" defaultRowHeight="14.5" x14ac:dyDescent="0.4"/>
  <cols>
    <col min="1" max="1" width="12.08984375" style="89" customWidth="1"/>
    <col min="2" max="2" width="20.90625" style="89" customWidth="1"/>
    <col min="3" max="3" width="14.90625" style="89" customWidth="1"/>
    <col min="4" max="4" width="10.36328125" style="89" customWidth="1"/>
    <col min="5" max="5" width="20.08984375" style="89" customWidth="1"/>
    <col min="6" max="6" width="15.08984375" style="89" customWidth="1"/>
    <col min="7" max="7" width="19.90625" style="89" customWidth="1"/>
    <col min="8" max="8" width="14.90625" style="89" customWidth="1"/>
    <col min="9" max="9" width="24.08984375" style="89" customWidth="1"/>
    <col min="10" max="10" width="21.08984375" style="89" customWidth="1"/>
    <col min="11" max="11" width="22" style="89" customWidth="1"/>
    <col min="12" max="12" width="29" style="89" customWidth="1"/>
    <col min="13" max="16384" width="8.90625" style="89"/>
  </cols>
  <sheetData>
    <row r="1" spans="1:12" x14ac:dyDescent="0.4">
      <c r="A1" s="90" t="s">
        <v>245</v>
      </c>
      <c r="B1" s="90"/>
      <c r="C1" s="90"/>
      <c r="D1" s="91"/>
      <c r="E1" s="91"/>
      <c r="F1" s="91"/>
      <c r="G1" s="91"/>
      <c r="H1" s="91"/>
      <c r="I1" s="91"/>
      <c r="J1" s="91"/>
      <c r="K1" s="91"/>
      <c r="L1" s="91"/>
    </row>
    <row r="2" spans="1:12" ht="29" x14ac:dyDescent="0.4">
      <c r="A2" s="92" t="s">
        <v>2</v>
      </c>
      <c r="B2" s="92" t="s">
        <v>246</v>
      </c>
      <c r="C2" s="92" t="s">
        <v>247</v>
      </c>
      <c r="D2" s="92" t="s">
        <v>248</v>
      </c>
      <c r="E2" s="92" t="s">
        <v>249</v>
      </c>
      <c r="F2" s="92" t="s">
        <v>250</v>
      </c>
      <c r="G2" s="92" t="s">
        <v>251</v>
      </c>
      <c r="H2" s="92" t="s">
        <v>252</v>
      </c>
      <c r="I2" s="92" t="s">
        <v>253</v>
      </c>
      <c r="J2" s="96" t="s">
        <v>254</v>
      </c>
      <c r="K2" s="96" t="s">
        <v>255</v>
      </c>
      <c r="L2" s="96" t="s">
        <v>256</v>
      </c>
    </row>
    <row r="3" spans="1:12" ht="29" x14ac:dyDescent="0.4">
      <c r="A3" s="92" t="s">
        <v>2</v>
      </c>
      <c r="B3" s="92"/>
      <c r="C3" s="92" t="s">
        <v>257</v>
      </c>
      <c r="D3" s="92" t="s">
        <v>258</v>
      </c>
      <c r="E3" s="92" t="s">
        <v>259</v>
      </c>
      <c r="F3" s="92" t="s">
        <v>260</v>
      </c>
      <c r="G3" s="92" t="s">
        <v>261</v>
      </c>
      <c r="H3" s="92" t="s">
        <v>262</v>
      </c>
      <c r="I3" s="92" t="s">
        <v>263</v>
      </c>
      <c r="J3" s="96" t="s">
        <v>264</v>
      </c>
      <c r="K3" s="96" t="s">
        <v>265</v>
      </c>
      <c r="L3" s="91" t="s">
        <v>266</v>
      </c>
    </row>
    <row r="4" spans="1:12" s="88" customFormat="1" x14ac:dyDescent="0.4">
      <c r="A4" s="93">
        <v>20001</v>
      </c>
      <c r="B4" s="94" t="s">
        <v>267</v>
      </c>
      <c r="C4" s="93" t="s">
        <v>268</v>
      </c>
      <c r="D4" s="93">
        <v>90</v>
      </c>
      <c r="E4" s="93" t="s">
        <v>269</v>
      </c>
      <c r="F4" s="93" t="s">
        <v>270</v>
      </c>
      <c r="G4" s="93">
        <v>7111</v>
      </c>
      <c r="H4" s="93" t="s">
        <v>271</v>
      </c>
      <c r="I4" s="93"/>
      <c r="J4" s="93"/>
      <c r="K4" s="93" t="s">
        <v>272</v>
      </c>
      <c r="L4" s="93" t="s">
        <v>273</v>
      </c>
    </row>
    <row r="5" spans="1:12" s="88" customFormat="1" x14ac:dyDescent="0.4">
      <c r="A5" s="93">
        <v>20002</v>
      </c>
      <c r="B5" s="95" t="s">
        <v>274</v>
      </c>
      <c r="C5" s="93" t="s">
        <v>268</v>
      </c>
      <c r="D5" s="93">
        <v>90</v>
      </c>
      <c r="E5" s="93" t="s">
        <v>269</v>
      </c>
      <c r="F5" s="93" t="s">
        <v>270</v>
      </c>
      <c r="G5" s="93">
        <v>7112</v>
      </c>
      <c r="H5" s="93" t="s">
        <v>271</v>
      </c>
      <c r="I5" s="93"/>
      <c r="J5" s="93"/>
      <c r="K5" s="93" t="s">
        <v>272</v>
      </c>
      <c r="L5" s="93" t="s">
        <v>275</v>
      </c>
    </row>
    <row r="6" spans="1:12" s="88" customFormat="1" x14ac:dyDescent="0.4">
      <c r="A6" s="93">
        <v>20003</v>
      </c>
      <c r="B6" s="95" t="s">
        <v>276</v>
      </c>
      <c r="C6" s="93" t="s">
        <v>268</v>
      </c>
      <c r="D6" s="93">
        <v>90</v>
      </c>
      <c r="E6" s="93" t="s">
        <v>277</v>
      </c>
      <c r="F6" s="93" t="s">
        <v>278</v>
      </c>
      <c r="G6" s="93">
        <v>7113</v>
      </c>
      <c r="H6" s="93" t="s">
        <v>271</v>
      </c>
      <c r="I6" s="93"/>
      <c r="J6" s="93"/>
      <c r="K6" s="93" t="s">
        <v>272</v>
      </c>
      <c r="L6" s="93" t="s">
        <v>279</v>
      </c>
    </row>
    <row r="7" spans="1:12" s="88" customFormat="1" x14ac:dyDescent="0.4">
      <c r="A7" s="93">
        <v>20004</v>
      </c>
      <c r="B7" s="93" t="s">
        <v>280</v>
      </c>
      <c r="C7" s="93" t="s">
        <v>268</v>
      </c>
      <c r="D7" s="93">
        <v>90</v>
      </c>
      <c r="E7" s="93" t="s">
        <v>269</v>
      </c>
      <c r="F7" s="93" t="s">
        <v>270</v>
      </c>
      <c r="G7" s="93">
        <v>7114</v>
      </c>
      <c r="H7" s="93" t="s">
        <v>271</v>
      </c>
      <c r="I7" s="93"/>
      <c r="J7" s="93"/>
      <c r="K7" s="93" t="s">
        <v>272</v>
      </c>
      <c r="L7" s="93" t="s">
        <v>281</v>
      </c>
    </row>
    <row r="8" spans="1:12" s="88" customFormat="1" x14ac:dyDescent="0.4">
      <c r="A8" s="93">
        <v>20005</v>
      </c>
      <c r="B8" s="93" t="s">
        <v>282</v>
      </c>
      <c r="C8" s="93" t="s">
        <v>268</v>
      </c>
      <c r="D8" s="93">
        <v>90</v>
      </c>
      <c r="E8" s="93" t="s">
        <v>269</v>
      </c>
      <c r="F8" s="93" t="s">
        <v>270</v>
      </c>
      <c r="G8" s="93">
        <v>7115</v>
      </c>
      <c r="H8" s="93" t="s">
        <v>271</v>
      </c>
      <c r="I8" s="93"/>
      <c r="J8" s="93"/>
      <c r="K8" s="93" t="s">
        <v>272</v>
      </c>
      <c r="L8" s="93" t="s">
        <v>283</v>
      </c>
    </row>
    <row r="9" spans="1:12" s="88" customFormat="1" x14ac:dyDescent="0.4">
      <c r="A9" s="93">
        <v>20006</v>
      </c>
      <c r="B9" s="94" t="s">
        <v>284</v>
      </c>
      <c r="C9" s="93" t="s">
        <v>268</v>
      </c>
      <c r="D9" s="93">
        <v>90</v>
      </c>
      <c r="E9" s="93" t="s">
        <v>269</v>
      </c>
      <c r="F9" s="93" t="s">
        <v>270</v>
      </c>
      <c r="G9" s="93">
        <v>7116</v>
      </c>
      <c r="H9" s="93" t="s">
        <v>271</v>
      </c>
      <c r="I9" s="93"/>
      <c r="J9" s="93"/>
      <c r="K9" s="93" t="s">
        <v>272</v>
      </c>
      <c r="L9" s="93" t="s">
        <v>285</v>
      </c>
    </row>
    <row r="10" spans="1:12" s="88" customFormat="1" x14ac:dyDescent="0.4">
      <c r="A10" s="93">
        <v>20007</v>
      </c>
      <c r="B10" s="94" t="s">
        <v>286</v>
      </c>
      <c r="C10" s="93" t="s">
        <v>268</v>
      </c>
      <c r="D10" s="93">
        <v>90</v>
      </c>
      <c r="E10" s="93" t="s">
        <v>269</v>
      </c>
      <c r="F10" s="93" t="s">
        <v>270</v>
      </c>
      <c r="G10" s="93">
        <v>7117</v>
      </c>
      <c r="H10" s="93" t="s">
        <v>271</v>
      </c>
      <c r="I10" s="93"/>
      <c r="J10" s="93"/>
      <c r="K10" s="93" t="s">
        <v>272</v>
      </c>
      <c r="L10" s="93" t="s">
        <v>287</v>
      </c>
    </row>
    <row r="11" spans="1:12" s="88" customFormat="1" x14ac:dyDescent="0.4">
      <c r="A11" s="93">
        <v>20008</v>
      </c>
      <c r="B11" s="95" t="s">
        <v>288</v>
      </c>
      <c r="C11" s="93" t="s">
        <v>268</v>
      </c>
      <c r="D11" s="93">
        <v>90</v>
      </c>
      <c r="E11" s="93" t="s">
        <v>269</v>
      </c>
      <c r="F11" s="93" t="s">
        <v>270</v>
      </c>
      <c r="G11" s="93">
        <v>7118</v>
      </c>
      <c r="H11" s="93" t="s">
        <v>271</v>
      </c>
      <c r="I11" s="93"/>
      <c r="J11" s="93"/>
      <c r="K11" s="93" t="s">
        <v>272</v>
      </c>
      <c r="L11" s="93" t="s">
        <v>289</v>
      </c>
    </row>
    <row r="12" spans="1:12" s="88" customFormat="1" x14ac:dyDescent="0.4">
      <c r="A12" s="93">
        <v>20009</v>
      </c>
      <c r="B12" s="93" t="s">
        <v>290</v>
      </c>
      <c r="C12" s="93" t="s">
        <v>268</v>
      </c>
      <c r="D12" s="93">
        <v>90</v>
      </c>
      <c r="E12" s="93" t="s">
        <v>269</v>
      </c>
      <c r="F12" s="93" t="s">
        <v>270</v>
      </c>
      <c r="G12" s="93">
        <v>7119</v>
      </c>
      <c r="H12" s="93" t="s">
        <v>271</v>
      </c>
      <c r="I12" s="93"/>
      <c r="J12" s="93"/>
      <c r="K12" s="93" t="s">
        <v>272</v>
      </c>
      <c r="L12" s="93" t="s">
        <v>291</v>
      </c>
    </row>
    <row r="13" spans="1:12" x14ac:dyDescent="0.4">
      <c r="A13" s="91">
        <v>20101</v>
      </c>
      <c r="B13" s="94" t="s">
        <v>292</v>
      </c>
      <c r="C13" s="91" t="s">
        <v>293</v>
      </c>
      <c r="D13" s="91">
        <v>50</v>
      </c>
      <c r="E13" s="91" t="s">
        <v>269</v>
      </c>
      <c r="F13" s="91" t="s">
        <v>294</v>
      </c>
      <c r="G13" s="91"/>
      <c r="H13" s="91" t="s">
        <v>295</v>
      </c>
      <c r="I13" s="91"/>
      <c r="J13" s="93"/>
      <c r="K13" s="93" t="s">
        <v>272</v>
      </c>
      <c r="L13" s="91" t="s">
        <v>296</v>
      </c>
    </row>
    <row r="14" spans="1:12" x14ac:dyDescent="0.4">
      <c r="A14" s="91">
        <v>20102</v>
      </c>
      <c r="B14" s="94" t="s">
        <v>292</v>
      </c>
      <c r="C14" s="91" t="s">
        <v>293</v>
      </c>
      <c r="D14" s="91">
        <v>50</v>
      </c>
      <c r="E14" s="91" t="s">
        <v>269</v>
      </c>
      <c r="F14" s="91" t="s">
        <v>294</v>
      </c>
      <c r="G14" s="91"/>
      <c r="H14" s="91" t="s">
        <v>295</v>
      </c>
      <c r="I14" s="91"/>
      <c r="J14" s="93"/>
      <c r="K14" s="93" t="s">
        <v>272</v>
      </c>
      <c r="L14" s="91" t="s">
        <v>296</v>
      </c>
    </row>
    <row r="15" spans="1:12" x14ac:dyDescent="0.4">
      <c r="A15" s="91">
        <v>20103</v>
      </c>
      <c r="B15" s="94" t="s">
        <v>292</v>
      </c>
      <c r="C15" s="91" t="s">
        <v>293</v>
      </c>
      <c r="D15" s="91">
        <v>50</v>
      </c>
      <c r="E15" s="91" t="s">
        <v>269</v>
      </c>
      <c r="F15" s="91" t="s">
        <v>294</v>
      </c>
      <c r="G15" s="91"/>
      <c r="H15" s="91" t="s">
        <v>295</v>
      </c>
      <c r="I15" s="91"/>
      <c r="J15" s="93"/>
      <c r="K15" s="93" t="s">
        <v>272</v>
      </c>
      <c r="L15" s="91" t="s">
        <v>296</v>
      </c>
    </row>
    <row r="16" spans="1:12" x14ac:dyDescent="0.4">
      <c r="A16" s="91">
        <v>20104</v>
      </c>
      <c r="B16" s="94" t="s">
        <v>292</v>
      </c>
      <c r="C16" s="91" t="s">
        <v>293</v>
      </c>
      <c r="D16" s="91">
        <v>50</v>
      </c>
      <c r="E16" s="91" t="s">
        <v>269</v>
      </c>
      <c r="F16" s="91" t="s">
        <v>294</v>
      </c>
      <c r="G16" s="91"/>
      <c r="H16" s="91" t="s">
        <v>295</v>
      </c>
      <c r="I16" s="91"/>
      <c r="J16" s="93"/>
      <c r="K16" s="93" t="s">
        <v>272</v>
      </c>
      <c r="L16" s="91" t="s">
        <v>296</v>
      </c>
    </row>
    <row r="17" spans="1:12" x14ac:dyDescent="0.4">
      <c r="A17" s="91">
        <v>20201</v>
      </c>
      <c r="B17" s="95" t="s">
        <v>297</v>
      </c>
      <c r="C17" s="91" t="s">
        <v>293</v>
      </c>
      <c r="D17" s="91">
        <v>50</v>
      </c>
      <c r="E17" s="91" t="s">
        <v>269</v>
      </c>
      <c r="F17" s="91" t="s">
        <v>294</v>
      </c>
      <c r="G17" s="91"/>
      <c r="H17" s="91" t="s">
        <v>295</v>
      </c>
      <c r="I17" s="91"/>
      <c r="J17" s="93"/>
      <c r="K17" s="93" t="s">
        <v>272</v>
      </c>
      <c r="L17" s="91" t="s">
        <v>298</v>
      </c>
    </row>
    <row r="18" spans="1:12" x14ac:dyDescent="0.4">
      <c r="A18" s="91">
        <v>20202</v>
      </c>
      <c r="B18" s="95" t="s">
        <v>297</v>
      </c>
      <c r="C18" s="91" t="s">
        <v>293</v>
      </c>
      <c r="D18" s="91">
        <v>50</v>
      </c>
      <c r="E18" s="91" t="s">
        <v>269</v>
      </c>
      <c r="F18" s="91" t="s">
        <v>294</v>
      </c>
      <c r="G18" s="91"/>
      <c r="H18" s="91" t="s">
        <v>295</v>
      </c>
      <c r="I18" s="91"/>
      <c r="J18" s="93"/>
      <c r="K18" s="93" t="s">
        <v>272</v>
      </c>
      <c r="L18" s="91" t="s">
        <v>298</v>
      </c>
    </row>
    <row r="19" spans="1:12" x14ac:dyDescent="0.4">
      <c r="A19" s="91">
        <v>20203</v>
      </c>
      <c r="B19" s="95" t="s">
        <v>297</v>
      </c>
      <c r="C19" s="91" t="s">
        <v>293</v>
      </c>
      <c r="D19" s="91">
        <v>50</v>
      </c>
      <c r="E19" s="91" t="s">
        <v>269</v>
      </c>
      <c r="F19" s="91" t="s">
        <v>294</v>
      </c>
      <c r="G19" s="91"/>
      <c r="H19" s="91" t="s">
        <v>295</v>
      </c>
      <c r="I19" s="91"/>
      <c r="J19" s="93"/>
      <c r="K19" s="93" t="s">
        <v>272</v>
      </c>
      <c r="L19" s="91" t="s">
        <v>298</v>
      </c>
    </row>
    <row r="20" spans="1:12" x14ac:dyDescent="0.4">
      <c r="A20" s="91">
        <v>20204</v>
      </c>
      <c r="B20" s="95" t="s">
        <v>297</v>
      </c>
      <c r="C20" s="91" t="s">
        <v>293</v>
      </c>
      <c r="D20" s="91">
        <v>50</v>
      </c>
      <c r="E20" s="91" t="s">
        <v>269</v>
      </c>
      <c r="F20" s="91" t="s">
        <v>294</v>
      </c>
      <c r="G20" s="91"/>
      <c r="H20" s="91" t="s">
        <v>295</v>
      </c>
      <c r="I20" s="91"/>
      <c r="J20" s="93"/>
      <c r="K20" s="93" t="s">
        <v>272</v>
      </c>
      <c r="L20" s="91" t="s">
        <v>298</v>
      </c>
    </row>
    <row r="21" spans="1:12" x14ac:dyDescent="0.4">
      <c r="A21" s="91">
        <v>20301</v>
      </c>
      <c r="B21" s="95" t="s">
        <v>299</v>
      </c>
      <c r="C21" s="91" t="s">
        <v>293</v>
      </c>
      <c r="D21" s="91">
        <v>50</v>
      </c>
      <c r="E21" s="91" t="s">
        <v>269</v>
      </c>
      <c r="F21" s="91" t="s">
        <v>294</v>
      </c>
      <c r="G21" s="91"/>
      <c r="H21" s="91" t="s">
        <v>295</v>
      </c>
      <c r="I21" s="91"/>
      <c r="J21" s="93"/>
      <c r="K21" s="93" t="s">
        <v>272</v>
      </c>
      <c r="L21" s="91" t="s">
        <v>298</v>
      </c>
    </row>
    <row r="22" spans="1:12" x14ac:dyDescent="0.4">
      <c r="A22" s="91">
        <v>20302</v>
      </c>
      <c r="B22" s="95" t="s">
        <v>299</v>
      </c>
      <c r="C22" s="91" t="s">
        <v>293</v>
      </c>
      <c r="D22" s="91">
        <v>50</v>
      </c>
      <c r="E22" s="91" t="s">
        <v>269</v>
      </c>
      <c r="F22" s="91" t="s">
        <v>294</v>
      </c>
      <c r="G22" s="91"/>
      <c r="H22" s="91" t="s">
        <v>295</v>
      </c>
      <c r="I22" s="91"/>
      <c r="J22" s="93"/>
      <c r="K22" s="93" t="s">
        <v>272</v>
      </c>
      <c r="L22" s="91" t="s">
        <v>298</v>
      </c>
    </row>
    <row r="23" spans="1:12" x14ac:dyDescent="0.4">
      <c r="A23" s="91">
        <v>20303</v>
      </c>
      <c r="B23" s="95" t="s">
        <v>299</v>
      </c>
      <c r="C23" s="91" t="s">
        <v>293</v>
      </c>
      <c r="D23" s="91">
        <v>50</v>
      </c>
      <c r="E23" s="91" t="s">
        <v>269</v>
      </c>
      <c r="F23" s="91" t="s">
        <v>294</v>
      </c>
      <c r="G23" s="91"/>
      <c r="H23" s="91" t="s">
        <v>295</v>
      </c>
      <c r="I23" s="91"/>
      <c r="J23" s="93"/>
      <c r="K23" s="93" t="s">
        <v>272</v>
      </c>
      <c r="L23" s="91" t="s">
        <v>298</v>
      </c>
    </row>
    <row r="24" spans="1:12" x14ac:dyDescent="0.4">
      <c r="A24" s="91">
        <v>20304</v>
      </c>
      <c r="B24" s="95" t="s">
        <v>299</v>
      </c>
      <c r="C24" s="91" t="s">
        <v>293</v>
      </c>
      <c r="D24" s="91">
        <v>50</v>
      </c>
      <c r="E24" s="91" t="s">
        <v>269</v>
      </c>
      <c r="F24" s="91" t="s">
        <v>294</v>
      </c>
      <c r="G24" s="91"/>
      <c r="H24" s="91" t="s">
        <v>295</v>
      </c>
      <c r="I24" s="91"/>
      <c r="J24" s="93"/>
      <c r="K24" s="93" t="s">
        <v>272</v>
      </c>
      <c r="L24" s="91" t="s">
        <v>298</v>
      </c>
    </row>
    <row r="25" spans="1:12" x14ac:dyDescent="0.4">
      <c r="A25" s="91">
        <v>20401</v>
      </c>
      <c r="B25" s="93" t="s">
        <v>300</v>
      </c>
      <c r="C25" s="91" t="s">
        <v>293</v>
      </c>
      <c r="D25" s="91">
        <v>70</v>
      </c>
      <c r="E25" s="91" t="s">
        <v>269</v>
      </c>
      <c r="F25" s="91" t="s">
        <v>294</v>
      </c>
      <c r="G25" s="91"/>
      <c r="H25" s="91" t="s">
        <v>295</v>
      </c>
      <c r="I25" s="91"/>
      <c r="J25" s="93"/>
      <c r="K25" s="93" t="s">
        <v>272</v>
      </c>
      <c r="L25" s="91" t="s">
        <v>301</v>
      </c>
    </row>
    <row r="26" spans="1:12" x14ac:dyDescent="0.4">
      <c r="A26" s="91">
        <v>20402</v>
      </c>
      <c r="B26" s="93" t="s">
        <v>300</v>
      </c>
      <c r="C26" s="91" t="s">
        <v>293</v>
      </c>
      <c r="D26" s="91">
        <v>70</v>
      </c>
      <c r="E26" s="91" t="s">
        <v>269</v>
      </c>
      <c r="F26" s="91" t="s">
        <v>294</v>
      </c>
      <c r="G26" s="91"/>
      <c r="H26" s="91" t="s">
        <v>295</v>
      </c>
      <c r="I26" s="91"/>
      <c r="J26" s="93"/>
      <c r="K26" s="93" t="s">
        <v>272</v>
      </c>
      <c r="L26" s="91" t="s">
        <v>301</v>
      </c>
    </row>
    <row r="27" spans="1:12" x14ac:dyDescent="0.4">
      <c r="A27" s="91">
        <v>20501</v>
      </c>
      <c r="B27" s="93" t="s">
        <v>302</v>
      </c>
      <c r="C27" s="91" t="s">
        <v>293</v>
      </c>
      <c r="D27" s="91">
        <v>70</v>
      </c>
      <c r="E27" s="91" t="s">
        <v>269</v>
      </c>
      <c r="F27" s="91" t="s">
        <v>294</v>
      </c>
      <c r="G27" s="91"/>
      <c r="H27" s="91" t="s">
        <v>295</v>
      </c>
      <c r="I27" s="91"/>
      <c r="J27" s="93"/>
      <c r="K27" s="93" t="s">
        <v>272</v>
      </c>
      <c r="L27" s="91" t="s">
        <v>301</v>
      </c>
    </row>
    <row r="28" spans="1:12" x14ac:dyDescent="0.4">
      <c r="A28" s="91">
        <v>20502</v>
      </c>
      <c r="B28" s="93" t="s">
        <v>302</v>
      </c>
      <c r="C28" s="91" t="s">
        <v>293</v>
      </c>
      <c r="D28" s="91">
        <v>70</v>
      </c>
      <c r="E28" s="91" t="s">
        <v>269</v>
      </c>
      <c r="F28" s="91" t="s">
        <v>294</v>
      </c>
      <c r="G28" s="91"/>
      <c r="H28" s="91" t="s">
        <v>295</v>
      </c>
      <c r="I28" s="91"/>
      <c r="J28" s="93"/>
      <c r="K28" s="93" t="s">
        <v>272</v>
      </c>
      <c r="L28" s="91" t="s">
        <v>301</v>
      </c>
    </row>
    <row r="29" spans="1:12" x14ac:dyDescent="0.4">
      <c r="A29" s="91">
        <v>20601</v>
      </c>
      <c r="B29" s="94" t="s">
        <v>303</v>
      </c>
      <c r="C29" s="91" t="s">
        <v>293</v>
      </c>
      <c r="D29" s="91">
        <v>50</v>
      </c>
      <c r="E29" s="91" t="s">
        <v>269</v>
      </c>
      <c r="F29" s="91" t="s">
        <v>294</v>
      </c>
      <c r="G29" s="91"/>
      <c r="H29" s="91" t="s">
        <v>295</v>
      </c>
      <c r="I29" s="91"/>
      <c r="J29" s="93"/>
      <c r="K29" s="93" t="s">
        <v>272</v>
      </c>
      <c r="L29" s="91" t="s">
        <v>296</v>
      </c>
    </row>
    <row r="30" spans="1:12" x14ac:dyDescent="0.4">
      <c r="A30" s="91">
        <v>20602</v>
      </c>
      <c r="B30" s="94" t="s">
        <v>303</v>
      </c>
      <c r="C30" s="91" t="s">
        <v>293</v>
      </c>
      <c r="D30" s="91">
        <v>50</v>
      </c>
      <c r="E30" s="91" t="s">
        <v>269</v>
      </c>
      <c r="F30" s="91" t="s">
        <v>294</v>
      </c>
      <c r="G30" s="91"/>
      <c r="H30" s="91" t="s">
        <v>295</v>
      </c>
      <c r="I30" s="91"/>
      <c r="J30" s="93"/>
      <c r="K30" s="93" t="s">
        <v>272</v>
      </c>
      <c r="L30" s="91" t="s">
        <v>296</v>
      </c>
    </row>
    <row r="31" spans="1:12" x14ac:dyDescent="0.4">
      <c r="A31" s="91">
        <v>20603</v>
      </c>
      <c r="B31" s="94" t="s">
        <v>303</v>
      </c>
      <c r="C31" s="91" t="s">
        <v>293</v>
      </c>
      <c r="D31" s="91">
        <v>50</v>
      </c>
      <c r="E31" s="91" t="s">
        <v>269</v>
      </c>
      <c r="F31" s="91" t="s">
        <v>294</v>
      </c>
      <c r="G31" s="91"/>
      <c r="H31" s="91" t="s">
        <v>295</v>
      </c>
      <c r="I31" s="91"/>
      <c r="J31" s="93"/>
      <c r="K31" s="93" t="s">
        <v>272</v>
      </c>
      <c r="L31" s="91" t="s">
        <v>296</v>
      </c>
    </row>
    <row r="32" spans="1:12" x14ac:dyDescent="0.4">
      <c r="A32" s="91">
        <v>20604</v>
      </c>
      <c r="B32" s="94" t="s">
        <v>303</v>
      </c>
      <c r="C32" s="91" t="s">
        <v>293</v>
      </c>
      <c r="D32" s="91">
        <v>50</v>
      </c>
      <c r="E32" s="91" t="s">
        <v>269</v>
      </c>
      <c r="F32" s="91" t="s">
        <v>294</v>
      </c>
      <c r="G32" s="91"/>
      <c r="H32" s="91" t="s">
        <v>295</v>
      </c>
      <c r="I32" s="91"/>
      <c r="J32" s="93"/>
      <c r="K32" s="93" t="s">
        <v>272</v>
      </c>
      <c r="L32" s="91" t="s">
        <v>296</v>
      </c>
    </row>
    <row r="33" spans="1:12" x14ac:dyDescent="0.4">
      <c r="A33" s="91">
        <v>20701</v>
      </c>
      <c r="B33" s="94" t="s">
        <v>304</v>
      </c>
      <c r="C33" s="91" t="s">
        <v>293</v>
      </c>
      <c r="D33" s="91">
        <v>50</v>
      </c>
      <c r="E33" s="91" t="s">
        <v>269</v>
      </c>
      <c r="F33" s="91" t="s">
        <v>294</v>
      </c>
      <c r="G33" s="91"/>
      <c r="H33" s="91" t="s">
        <v>295</v>
      </c>
      <c r="I33" s="91"/>
      <c r="J33" s="93"/>
      <c r="K33" s="93" t="s">
        <v>272</v>
      </c>
      <c r="L33" s="91" t="s">
        <v>305</v>
      </c>
    </row>
    <row r="34" spans="1:12" x14ac:dyDescent="0.4">
      <c r="A34" s="91">
        <v>20702</v>
      </c>
      <c r="B34" s="94" t="s">
        <v>304</v>
      </c>
      <c r="C34" s="91" t="s">
        <v>293</v>
      </c>
      <c r="D34" s="91">
        <v>50</v>
      </c>
      <c r="E34" s="91" t="s">
        <v>269</v>
      </c>
      <c r="F34" s="91" t="s">
        <v>294</v>
      </c>
      <c r="G34" s="91"/>
      <c r="H34" s="91" t="s">
        <v>295</v>
      </c>
      <c r="I34" s="91"/>
      <c r="J34" s="93"/>
      <c r="K34" s="93" t="s">
        <v>272</v>
      </c>
      <c r="L34" s="91" t="s">
        <v>305</v>
      </c>
    </row>
    <row r="35" spans="1:12" x14ac:dyDescent="0.4">
      <c r="A35" s="91">
        <v>20703</v>
      </c>
      <c r="B35" s="94" t="s">
        <v>304</v>
      </c>
      <c r="C35" s="91" t="s">
        <v>293</v>
      </c>
      <c r="D35" s="91">
        <v>50</v>
      </c>
      <c r="E35" s="91" t="s">
        <v>269</v>
      </c>
      <c r="F35" s="91" t="s">
        <v>294</v>
      </c>
      <c r="G35" s="91"/>
      <c r="H35" s="91" t="s">
        <v>295</v>
      </c>
      <c r="I35" s="91"/>
      <c r="J35" s="93"/>
      <c r="K35" s="93" t="s">
        <v>272</v>
      </c>
      <c r="L35" s="91" t="s">
        <v>305</v>
      </c>
    </row>
    <row r="36" spans="1:12" x14ac:dyDescent="0.4">
      <c r="A36" s="91">
        <v>20704</v>
      </c>
      <c r="B36" s="94" t="s">
        <v>304</v>
      </c>
      <c r="C36" s="91" t="s">
        <v>293</v>
      </c>
      <c r="D36" s="91">
        <v>50</v>
      </c>
      <c r="E36" s="91" t="s">
        <v>269</v>
      </c>
      <c r="F36" s="91" t="s">
        <v>294</v>
      </c>
      <c r="G36" s="91"/>
      <c r="H36" s="91" t="s">
        <v>295</v>
      </c>
      <c r="I36" s="91"/>
      <c r="J36" s="93"/>
      <c r="K36" s="93" t="s">
        <v>272</v>
      </c>
      <c r="L36" s="91" t="s">
        <v>305</v>
      </c>
    </row>
    <row r="37" spans="1:12" x14ac:dyDescent="0.4">
      <c r="A37" s="91">
        <v>20801</v>
      </c>
      <c r="B37" s="95" t="s">
        <v>306</v>
      </c>
      <c r="C37" s="91" t="s">
        <v>293</v>
      </c>
      <c r="D37" s="91">
        <v>50</v>
      </c>
      <c r="E37" s="91" t="s">
        <v>269</v>
      </c>
      <c r="F37" s="91" t="s">
        <v>294</v>
      </c>
      <c r="G37" s="91"/>
      <c r="H37" s="91" t="s">
        <v>295</v>
      </c>
      <c r="I37" s="91"/>
      <c r="J37" s="93"/>
      <c r="K37" s="93" t="s">
        <v>272</v>
      </c>
      <c r="L37" s="91" t="s">
        <v>305</v>
      </c>
    </row>
    <row r="38" spans="1:12" x14ac:dyDescent="0.4">
      <c r="A38" s="91">
        <v>20802</v>
      </c>
      <c r="B38" s="95" t="s">
        <v>306</v>
      </c>
      <c r="C38" s="91" t="s">
        <v>293</v>
      </c>
      <c r="D38" s="91">
        <v>50</v>
      </c>
      <c r="E38" s="91" t="s">
        <v>269</v>
      </c>
      <c r="F38" s="91" t="s">
        <v>294</v>
      </c>
      <c r="G38" s="91"/>
      <c r="H38" s="91" t="s">
        <v>295</v>
      </c>
      <c r="I38" s="91"/>
      <c r="J38" s="93"/>
      <c r="K38" s="93" t="s">
        <v>272</v>
      </c>
      <c r="L38" s="91" t="s">
        <v>305</v>
      </c>
    </row>
    <row r="39" spans="1:12" x14ac:dyDescent="0.4">
      <c r="A39" s="91">
        <v>20803</v>
      </c>
      <c r="B39" s="95" t="s">
        <v>306</v>
      </c>
      <c r="C39" s="91" t="s">
        <v>293</v>
      </c>
      <c r="D39" s="91">
        <v>50</v>
      </c>
      <c r="E39" s="91" t="s">
        <v>269</v>
      </c>
      <c r="F39" s="91" t="s">
        <v>294</v>
      </c>
      <c r="G39" s="91"/>
      <c r="H39" s="91" t="s">
        <v>295</v>
      </c>
      <c r="I39" s="91"/>
      <c r="J39" s="93"/>
      <c r="K39" s="93" t="s">
        <v>272</v>
      </c>
      <c r="L39" s="91" t="s">
        <v>305</v>
      </c>
    </row>
    <row r="40" spans="1:12" x14ac:dyDescent="0.4">
      <c r="A40" s="91">
        <v>20804</v>
      </c>
      <c r="B40" s="95" t="s">
        <v>306</v>
      </c>
      <c r="C40" s="91" t="s">
        <v>293</v>
      </c>
      <c r="D40" s="91">
        <v>50</v>
      </c>
      <c r="E40" s="91" t="s">
        <v>269</v>
      </c>
      <c r="F40" s="91" t="s">
        <v>294</v>
      </c>
      <c r="G40" s="91"/>
      <c r="H40" s="91" t="s">
        <v>295</v>
      </c>
      <c r="I40" s="91"/>
      <c r="J40" s="93"/>
      <c r="K40" s="93" t="s">
        <v>272</v>
      </c>
      <c r="L40" s="91" t="s">
        <v>305</v>
      </c>
    </row>
    <row r="41" spans="1:12" x14ac:dyDescent="0.4">
      <c r="A41" s="91">
        <v>20901</v>
      </c>
      <c r="B41" s="93" t="s">
        <v>307</v>
      </c>
      <c r="C41" s="91" t="s">
        <v>293</v>
      </c>
      <c r="D41" s="91">
        <v>70</v>
      </c>
      <c r="E41" s="91" t="s">
        <v>269</v>
      </c>
      <c r="F41" s="91" t="s">
        <v>294</v>
      </c>
      <c r="G41" s="91"/>
      <c r="H41" s="91" t="s">
        <v>295</v>
      </c>
      <c r="I41" s="91"/>
      <c r="J41" s="93"/>
      <c r="K41" s="93" t="s">
        <v>272</v>
      </c>
      <c r="L41" s="91" t="s">
        <v>308</v>
      </c>
    </row>
    <row r="42" spans="1:12" x14ac:dyDescent="0.4">
      <c r="A42" s="91">
        <v>20902</v>
      </c>
      <c r="B42" s="93" t="s">
        <v>307</v>
      </c>
      <c r="C42" s="91" t="s">
        <v>293</v>
      </c>
      <c r="D42" s="91">
        <v>70</v>
      </c>
      <c r="E42" s="91" t="s">
        <v>269</v>
      </c>
      <c r="F42" s="91" t="s">
        <v>294</v>
      </c>
      <c r="G42" s="91"/>
      <c r="H42" s="91" t="s">
        <v>295</v>
      </c>
      <c r="I42" s="91"/>
      <c r="J42" s="93"/>
      <c r="K42" s="93" t="s">
        <v>272</v>
      </c>
      <c r="L42" s="91" t="s">
        <v>308</v>
      </c>
    </row>
    <row r="43" spans="1:12" s="88" customFormat="1" x14ac:dyDescent="0.4">
      <c r="A43" s="93">
        <v>20111</v>
      </c>
      <c r="B43" s="93" t="s">
        <v>309</v>
      </c>
      <c r="C43" s="93" t="s">
        <v>310</v>
      </c>
      <c r="D43" s="93">
        <v>20</v>
      </c>
      <c r="E43" s="93" t="s">
        <v>269</v>
      </c>
      <c r="F43" s="93" t="s">
        <v>278</v>
      </c>
      <c r="G43" s="93"/>
      <c r="H43" s="93" t="s">
        <v>295</v>
      </c>
      <c r="I43" s="93"/>
      <c r="J43" s="93"/>
      <c r="K43" s="93" t="s">
        <v>272</v>
      </c>
      <c r="L43" s="93"/>
    </row>
    <row r="44" spans="1:12" s="88" customFormat="1" x14ac:dyDescent="0.4">
      <c r="A44" s="93">
        <v>20112</v>
      </c>
      <c r="B44" s="93" t="s">
        <v>309</v>
      </c>
      <c r="C44" s="93" t="s">
        <v>310</v>
      </c>
      <c r="D44" s="93">
        <v>20</v>
      </c>
      <c r="E44" s="93" t="s">
        <v>269</v>
      </c>
      <c r="F44" s="93" t="s">
        <v>278</v>
      </c>
      <c r="G44" s="93"/>
      <c r="H44" s="93" t="s">
        <v>295</v>
      </c>
      <c r="I44" s="93"/>
      <c r="J44" s="93"/>
      <c r="K44" s="93" t="s">
        <v>272</v>
      </c>
      <c r="L44" s="93"/>
    </row>
    <row r="45" spans="1:12" s="88" customFormat="1" x14ac:dyDescent="0.4">
      <c r="A45" s="93">
        <v>20113</v>
      </c>
      <c r="B45" s="93" t="s">
        <v>309</v>
      </c>
      <c r="C45" s="93" t="s">
        <v>310</v>
      </c>
      <c r="D45" s="93">
        <v>20</v>
      </c>
      <c r="E45" s="93" t="s">
        <v>269</v>
      </c>
      <c r="F45" s="93" t="s">
        <v>278</v>
      </c>
      <c r="G45" s="93"/>
      <c r="H45" s="93" t="s">
        <v>295</v>
      </c>
      <c r="I45" s="93"/>
      <c r="J45" s="93"/>
      <c r="K45" s="93" t="s">
        <v>272</v>
      </c>
      <c r="L45" s="93"/>
    </row>
    <row r="46" spans="1:12" s="88" customFormat="1" x14ac:dyDescent="0.4">
      <c r="A46" s="93">
        <v>20114</v>
      </c>
      <c r="B46" s="93" t="s">
        <v>309</v>
      </c>
      <c r="C46" s="93" t="s">
        <v>310</v>
      </c>
      <c r="D46" s="93">
        <v>20</v>
      </c>
      <c r="E46" s="93" t="s">
        <v>269</v>
      </c>
      <c r="F46" s="93" t="s">
        <v>278</v>
      </c>
      <c r="G46" s="93"/>
      <c r="H46" s="93" t="s">
        <v>295</v>
      </c>
      <c r="I46" s="93"/>
      <c r="J46" s="93"/>
      <c r="K46" s="93" t="s">
        <v>272</v>
      </c>
      <c r="L46" s="93"/>
    </row>
    <row r="47" spans="1:12" s="88" customFormat="1" x14ac:dyDescent="0.4">
      <c r="A47" s="93">
        <v>20115</v>
      </c>
      <c r="B47" s="93" t="s">
        <v>309</v>
      </c>
      <c r="C47" s="93" t="s">
        <v>310</v>
      </c>
      <c r="D47" s="93">
        <v>20</v>
      </c>
      <c r="E47" s="93" t="s">
        <v>269</v>
      </c>
      <c r="F47" s="93" t="s">
        <v>278</v>
      </c>
      <c r="G47" s="93"/>
      <c r="H47" s="93" t="s">
        <v>295</v>
      </c>
      <c r="I47" s="93"/>
      <c r="J47" s="93"/>
      <c r="K47" s="93" t="s">
        <v>272</v>
      </c>
      <c r="L47" s="93"/>
    </row>
    <row r="48" spans="1:12" s="88" customFormat="1" x14ac:dyDescent="0.4">
      <c r="A48" s="93">
        <v>20116</v>
      </c>
      <c r="B48" s="93" t="s">
        <v>309</v>
      </c>
      <c r="C48" s="93" t="s">
        <v>310</v>
      </c>
      <c r="D48" s="93">
        <v>20</v>
      </c>
      <c r="E48" s="93" t="s">
        <v>269</v>
      </c>
      <c r="F48" s="93" t="s">
        <v>278</v>
      </c>
      <c r="G48" s="93"/>
      <c r="H48" s="93" t="s">
        <v>295</v>
      </c>
      <c r="I48" s="93"/>
      <c r="J48" s="93"/>
      <c r="K48" s="93" t="s">
        <v>272</v>
      </c>
      <c r="L48" s="93"/>
    </row>
    <row r="49" spans="1:12" s="88" customFormat="1" x14ac:dyDescent="0.4">
      <c r="A49" s="93">
        <v>20117</v>
      </c>
      <c r="B49" s="93" t="s">
        <v>309</v>
      </c>
      <c r="C49" s="93" t="s">
        <v>310</v>
      </c>
      <c r="D49" s="93">
        <v>20</v>
      </c>
      <c r="E49" s="93" t="s">
        <v>269</v>
      </c>
      <c r="F49" s="93" t="s">
        <v>278</v>
      </c>
      <c r="G49" s="93"/>
      <c r="H49" s="93" t="s">
        <v>295</v>
      </c>
      <c r="I49" s="93"/>
      <c r="J49" s="93"/>
      <c r="K49" s="93" t="s">
        <v>272</v>
      </c>
      <c r="L49" s="93"/>
    </row>
    <row r="50" spans="1:12" s="88" customFormat="1" x14ac:dyDescent="0.4">
      <c r="A50" s="93">
        <v>20118</v>
      </c>
      <c r="B50" s="93" t="s">
        <v>309</v>
      </c>
      <c r="C50" s="93" t="s">
        <v>310</v>
      </c>
      <c r="D50" s="93">
        <v>20</v>
      </c>
      <c r="E50" s="93" t="s">
        <v>269</v>
      </c>
      <c r="F50" s="93" t="s">
        <v>278</v>
      </c>
      <c r="G50" s="93"/>
      <c r="H50" s="93" t="s">
        <v>295</v>
      </c>
      <c r="I50" s="93"/>
      <c r="J50" s="93"/>
      <c r="K50" s="93" t="s">
        <v>272</v>
      </c>
      <c r="L50" s="93"/>
    </row>
    <row r="51" spans="1:12" x14ac:dyDescent="0.4">
      <c r="A51" s="91">
        <v>20211</v>
      </c>
      <c r="B51" s="91" t="s">
        <v>311</v>
      </c>
      <c r="C51" s="91" t="s">
        <v>310</v>
      </c>
      <c r="D51" s="91">
        <v>15</v>
      </c>
      <c r="E51" s="91" t="s">
        <v>269</v>
      </c>
      <c r="F51" s="91" t="s">
        <v>278</v>
      </c>
      <c r="G51" s="91"/>
      <c r="H51" s="91" t="s">
        <v>295</v>
      </c>
      <c r="I51" s="91"/>
      <c r="J51" s="91"/>
      <c r="K51" s="91" t="s">
        <v>272</v>
      </c>
      <c r="L51" s="91"/>
    </row>
    <row r="52" spans="1:12" x14ac:dyDescent="0.4">
      <c r="A52" s="91">
        <v>20212</v>
      </c>
      <c r="B52" s="91" t="s">
        <v>311</v>
      </c>
      <c r="C52" s="91" t="s">
        <v>310</v>
      </c>
      <c r="D52" s="91">
        <v>15</v>
      </c>
      <c r="E52" s="91" t="s">
        <v>269</v>
      </c>
      <c r="F52" s="91" t="s">
        <v>278</v>
      </c>
      <c r="G52" s="91"/>
      <c r="H52" s="91" t="s">
        <v>295</v>
      </c>
      <c r="I52" s="91"/>
      <c r="J52" s="91"/>
      <c r="K52" s="91" t="s">
        <v>272</v>
      </c>
      <c r="L52" s="91"/>
    </row>
    <row r="53" spans="1:12" x14ac:dyDescent="0.4">
      <c r="A53" s="91">
        <v>20213</v>
      </c>
      <c r="B53" s="91" t="s">
        <v>311</v>
      </c>
      <c r="C53" s="91" t="s">
        <v>310</v>
      </c>
      <c r="D53" s="91">
        <v>15</v>
      </c>
      <c r="E53" s="91" t="s">
        <v>269</v>
      </c>
      <c r="F53" s="91" t="s">
        <v>278</v>
      </c>
      <c r="G53" s="91"/>
      <c r="H53" s="91" t="s">
        <v>295</v>
      </c>
      <c r="I53" s="91"/>
      <c r="J53" s="91"/>
      <c r="K53" s="91" t="s">
        <v>272</v>
      </c>
      <c r="L53" s="91"/>
    </row>
    <row r="54" spans="1:12" x14ac:dyDescent="0.4">
      <c r="A54" s="91">
        <v>20214</v>
      </c>
      <c r="B54" s="91" t="s">
        <v>311</v>
      </c>
      <c r="C54" s="91" t="s">
        <v>310</v>
      </c>
      <c r="D54" s="91">
        <v>15</v>
      </c>
      <c r="E54" s="91" t="s">
        <v>269</v>
      </c>
      <c r="F54" s="91" t="s">
        <v>278</v>
      </c>
      <c r="G54" s="91"/>
      <c r="H54" s="91" t="s">
        <v>295</v>
      </c>
      <c r="I54" s="91"/>
      <c r="J54" s="91"/>
      <c r="K54" s="91" t="s">
        <v>272</v>
      </c>
      <c r="L54" s="91"/>
    </row>
    <row r="55" spans="1:12" x14ac:dyDescent="0.4">
      <c r="A55" s="91">
        <v>20215</v>
      </c>
      <c r="B55" s="91" t="s">
        <v>311</v>
      </c>
      <c r="C55" s="91" t="s">
        <v>310</v>
      </c>
      <c r="D55" s="91">
        <v>15</v>
      </c>
      <c r="E55" s="91" t="s">
        <v>269</v>
      </c>
      <c r="F55" s="91" t="s">
        <v>278</v>
      </c>
      <c r="G55" s="91"/>
      <c r="H55" s="91" t="s">
        <v>295</v>
      </c>
      <c r="I55" s="91"/>
      <c r="J55" s="91"/>
      <c r="K55" s="91" t="s">
        <v>272</v>
      </c>
      <c r="L55" s="91"/>
    </row>
    <row r="56" spans="1:12" x14ac:dyDescent="0.4">
      <c r="A56" s="91">
        <v>20216</v>
      </c>
      <c r="B56" s="91" t="s">
        <v>311</v>
      </c>
      <c r="C56" s="91" t="s">
        <v>310</v>
      </c>
      <c r="D56" s="91">
        <v>15</v>
      </c>
      <c r="E56" s="91" t="s">
        <v>269</v>
      </c>
      <c r="F56" s="91" t="s">
        <v>278</v>
      </c>
      <c r="G56" s="91"/>
      <c r="H56" s="91" t="s">
        <v>295</v>
      </c>
      <c r="I56" s="91"/>
      <c r="J56" s="91"/>
      <c r="K56" s="91" t="s">
        <v>272</v>
      </c>
      <c r="L56" s="91"/>
    </row>
    <row r="57" spans="1:12" x14ac:dyDescent="0.4">
      <c r="A57" s="91">
        <v>20217</v>
      </c>
      <c r="B57" s="91" t="s">
        <v>311</v>
      </c>
      <c r="C57" s="91" t="s">
        <v>310</v>
      </c>
      <c r="D57" s="91">
        <v>15</v>
      </c>
      <c r="E57" s="91" t="s">
        <v>269</v>
      </c>
      <c r="F57" s="91" t="s">
        <v>278</v>
      </c>
      <c r="G57" s="91"/>
      <c r="H57" s="91" t="s">
        <v>295</v>
      </c>
      <c r="I57" s="91"/>
      <c r="J57" s="91"/>
      <c r="K57" s="91" t="s">
        <v>272</v>
      </c>
      <c r="L57" s="91"/>
    </row>
    <row r="58" spans="1:12" x14ac:dyDescent="0.4">
      <c r="A58" s="91">
        <v>20218</v>
      </c>
      <c r="B58" s="91" t="s">
        <v>311</v>
      </c>
      <c r="C58" s="91" t="s">
        <v>310</v>
      </c>
      <c r="D58" s="91">
        <v>15</v>
      </c>
      <c r="E58" s="91" t="s">
        <v>269</v>
      </c>
      <c r="F58" s="91" t="s">
        <v>278</v>
      </c>
      <c r="G58" s="91"/>
      <c r="H58" s="91" t="s">
        <v>295</v>
      </c>
      <c r="I58" s="91"/>
      <c r="J58" s="91"/>
      <c r="K58" s="91" t="s">
        <v>272</v>
      </c>
      <c r="L58" s="91"/>
    </row>
    <row r="59" spans="1:12" x14ac:dyDescent="0.4">
      <c r="A59" s="91">
        <v>20219</v>
      </c>
      <c r="B59" s="91" t="s">
        <v>311</v>
      </c>
      <c r="C59" s="91" t="s">
        <v>310</v>
      </c>
      <c r="D59" s="91">
        <v>15</v>
      </c>
      <c r="E59" s="91" t="s">
        <v>269</v>
      </c>
      <c r="F59" s="91" t="s">
        <v>278</v>
      </c>
      <c r="G59" s="91"/>
      <c r="H59" s="91" t="s">
        <v>295</v>
      </c>
      <c r="I59" s="91"/>
      <c r="J59" s="91"/>
      <c r="K59" s="91" t="s">
        <v>272</v>
      </c>
      <c r="L59" s="91"/>
    </row>
    <row r="60" spans="1:12" x14ac:dyDescent="0.4">
      <c r="A60" s="91">
        <v>20220</v>
      </c>
      <c r="B60" s="91" t="s">
        <v>311</v>
      </c>
      <c r="C60" s="91" t="s">
        <v>310</v>
      </c>
      <c r="D60" s="91">
        <v>15</v>
      </c>
      <c r="E60" s="91" t="s">
        <v>269</v>
      </c>
      <c r="F60" s="91" t="s">
        <v>278</v>
      </c>
      <c r="G60" s="91"/>
      <c r="H60" s="91" t="s">
        <v>295</v>
      </c>
      <c r="I60" s="91"/>
      <c r="J60" s="91"/>
      <c r="K60" s="91" t="s">
        <v>272</v>
      </c>
      <c r="L60" s="91"/>
    </row>
    <row r="61" spans="1:12" x14ac:dyDescent="0.4">
      <c r="A61" s="91">
        <v>20221</v>
      </c>
      <c r="B61" s="91" t="s">
        <v>311</v>
      </c>
      <c r="C61" s="91" t="s">
        <v>310</v>
      </c>
      <c r="D61" s="91">
        <v>15</v>
      </c>
      <c r="E61" s="91" t="s">
        <v>269</v>
      </c>
      <c r="F61" s="91" t="s">
        <v>278</v>
      </c>
      <c r="G61" s="91"/>
      <c r="H61" s="91" t="s">
        <v>295</v>
      </c>
      <c r="I61" s="91"/>
      <c r="J61" s="91"/>
      <c r="K61" s="91" t="s">
        <v>272</v>
      </c>
      <c r="L61" s="91"/>
    </row>
    <row r="62" spans="1:12" x14ac:dyDescent="0.4">
      <c r="A62" s="91">
        <v>20222</v>
      </c>
      <c r="B62" s="91" t="s">
        <v>311</v>
      </c>
      <c r="C62" s="91" t="s">
        <v>310</v>
      </c>
      <c r="D62" s="91">
        <v>15</v>
      </c>
      <c r="E62" s="91" t="s">
        <v>269</v>
      </c>
      <c r="F62" s="91" t="s">
        <v>278</v>
      </c>
      <c r="G62" s="91"/>
      <c r="H62" s="91" t="s">
        <v>295</v>
      </c>
      <c r="I62" s="91"/>
      <c r="J62" s="91"/>
      <c r="K62" s="91" t="s">
        <v>272</v>
      </c>
      <c r="L62" s="91"/>
    </row>
    <row r="63" spans="1:12" s="88" customFormat="1" x14ac:dyDescent="0.4">
      <c r="A63" s="93">
        <v>20311</v>
      </c>
      <c r="B63" s="93" t="s">
        <v>312</v>
      </c>
      <c r="C63" s="93" t="s">
        <v>310</v>
      </c>
      <c r="D63" s="93">
        <v>15</v>
      </c>
      <c r="E63" s="93" t="s">
        <v>269</v>
      </c>
      <c r="F63" s="93" t="s">
        <v>278</v>
      </c>
      <c r="G63" s="93"/>
      <c r="H63" s="93" t="s">
        <v>295</v>
      </c>
      <c r="I63" s="93"/>
      <c r="J63" s="93"/>
      <c r="K63" s="93" t="s">
        <v>272</v>
      </c>
      <c r="L63" s="93"/>
    </row>
    <row r="64" spans="1:12" s="88" customFormat="1" x14ac:dyDescent="0.4">
      <c r="A64" s="93">
        <v>20312</v>
      </c>
      <c r="B64" s="93" t="s">
        <v>312</v>
      </c>
      <c r="C64" s="93" t="s">
        <v>310</v>
      </c>
      <c r="D64" s="93">
        <v>15</v>
      </c>
      <c r="E64" s="93" t="s">
        <v>269</v>
      </c>
      <c r="F64" s="93" t="s">
        <v>278</v>
      </c>
      <c r="G64" s="93"/>
      <c r="H64" s="93" t="s">
        <v>295</v>
      </c>
      <c r="I64" s="93"/>
      <c r="J64" s="93"/>
      <c r="K64" s="93" t="s">
        <v>272</v>
      </c>
      <c r="L64" s="93"/>
    </row>
    <row r="65" spans="1:12" s="88" customFormat="1" x14ac:dyDescent="0.4">
      <c r="A65" s="93">
        <v>20313</v>
      </c>
      <c r="B65" s="93" t="s">
        <v>312</v>
      </c>
      <c r="C65" s="93" t="s">
        <v>310</v>
      </c>
      <c r="D65" s="93">
        <v>15</v>
      </c>
      <c r="E65" s="93" t="s">
        <v>269</v>
      </c>
      <c r="F65" s="93" t="s">
        <v>278</v>
      </c>
      <c r="G65" s="93"/>
      <c r="H65" s="93" t="s">
        <v>295</v>
      </c>
      <c r="I65" s="93"/>
      <c r="J65" s="93"/>
      <c r="K65" s="93" t="s">
        <v>272</v>
      </c>
      <c r="L65" s="93"/>
    </row>
    <row r="66" spans="1:12" s="88" customFormat="1" x14ac:dyDescent="0.4">
      <c r="A66" s="93">
        <v>20314</v>
      </c>
      <c r="B66" s="93" t="s">
        <v>312</v>
      </c>
      <c r="C66" s="93" t="s">
        <v>310</v>
      </c>
      <c r="D66" s="93">
        <v>15</v>
      </c>
      <c r="E66" s="93" t="s">
        <v>269</v>
      </c>
      <c r="F66" s="93" t="s">
        <v>278</v>
      </c>
      <c r="G66" s="93"/>
      <c r="H66" s="93" t="s">
        <v>295</v>
      </c>
      <c r="I66" s="93"/>
      <c r="J66" s="93"/>
      <c r="K66" s="93" t="s">
        <v>272</v>
      </c>
      <c r="L66" s="93"/>
    </row>
    <row r="67" spans="1:12" s="88" customFormat="1" x14ac:dyDescent="0.4">
      <c r="A67" s="93">
        <v>20315</v>
      </c>
      <c r="B67" s="93" t="s">
        <v>312</v>
      </c>
      <c r="C67" s="93" t="s">
        <v>310</v>
      </c>
      <c r="D67" s="93">
        <v>15</v>
      </c>
      <c r="E67" s="93" t="s">
        <v>269</v>
      </c>
      <c r="F67" s="93" t="s">
        <v>278</v>
      </c>
      <c r="G67" s="93"/>
      <c r="H67" s="93" t="s">
        <v>295</v>
      </c>
      <c r="I67" s="93"/>
      <c r="J67" s="93"/>
      <c r="K67" s="93" t="s">
        <v>272</v>
      </c>
      <c r="L67" s="93"/>
    </row>
    <row r="68" spans="1:12" s="88" customFormat="1" x14ac:dyDescent="0.4">
      <c r="A68" s="93">
        <v>20316</v>
      </c>
      <c r="B68" s="93" t="s">
        <v>312</v>
      </c>
      <c r="C68" s="93" t="s">
        <v>310</v>
      </c>
      <c r="D68" s="93">
        <v>15</v>
      </c>
      <c r="E68" s="93" t="s">
        <v>269</v>
      </c>
      <c r="F68" s="93" t="s">
        <v>278</v>
      </c>
      <c r="G68" s="93"/>
      <c r="H68" s="93" t="s">
        <v>295</v>
      </c>
      <c r="I68" s="93"/>
      <c r="J68" s="93"/>
      <c r="K68" s="93" t="s">
        <v>272</v>
      </c>
      <c r="L68" s="93"/>
    </row>
    <row r="69" spans="1:12" s="88" customFormat="1" x14ac:dyDescent="0.4">
      <c r="A69" s="93">
        <v>20317</v>
      </c>
      <c r="B69" s="93" t="s">
        <v>312</v>
      </c>
      <c r="C69" s="93" t="s">
        <v>310</v>
      </c>
      <c r="D69" s="93">
        <v>15</v>
      </c>
      <c r="E69" s="93" t="s">
        <v>269</v>
      </c>
      <c r="F69" s="93" t="s">
        <v>278</v>
      </c>
      <c r="G69" s="93"/>
      <c r="H69" s="93" t="s">
        <v>295</v>
      </c>
      <c r="I69" s="93"/>
      <c r="J69" s="93"/>
      <c r="K69" s="93" t="s">
        <v>272</v>
      </c>
      <c r="L69" s="93"/>
    </row>
    <row r="70" spans="1:12" s="88" customFormat="1" x14ac:dyDescent="0.4">
      <c r="A70" s="93">
        <v>20318</v>
      </c>
      <c r="B70" s="93" t="s">
        <v>312</v>
      </c>
      <c r="C70" s="93" t="s">
        <v>310</v>
      </c>
      <c r="D70" s="93">
        <v>15</v>
      </c>
      <c r="E70" s="93" t="s">
        <v>269</v>
      </c>
      <c r="F70" s="93" t="s">
        <v>278</v>
      </c>
      <c r="G70" s="93"/>
      <c r="H70" s="93" t="s">
        <v>295</v>
      </c>
      <c r="I70" s="93"/>
      <c r="J70" s="93"/>
      <c r="K70" s="93" t="s">
        <v>272</v>
      </c>
      <c r="L70" s="93"/>
    </row>
    <row r="71" spans="1:12" s="88" customFormat="1" x14ac:dyDescent="0.4">
      <c r="A71" s="93">
        <v>20319</v>
      </c>
      <c r="B71" s="93" t="s">
        <v>312</v>
      </c>
      <c r="C71" s="93" t="s">
        <v>310</v>
      </c>
      <c r="D71" s="93">
        <v>15</v>
      </c>
      <c r="E71" s="93" t="s">
        <v>269</v>
      </c>
      <c r="F71" s="93" t="s">
        <v>278</v>
      </c>
      <c r="G71" s="93"/>
      <c r="H71" s="93" t="s">
        <v>295</v>
      </c>
      <c r="I71" s="93"/>
      <c r="J71" s="93"/>
      <c r="K71" s="93" t="s">
        <v>272</v>
      </c>
      <c r="L71" s="93"/>
    </row>
    <row r="72" spans="1:12" s="88" customFormat="1" x14ac:dyDescent="0.4">
      <c r="A72" s="93">
        <v>20320</v>
      </c>
      <c r="B72" s="93" t="s">
        <v>312</v>
      </c>
      <c r="C72" s="93" t="s">
        <v>310</v>
      </c>
      <c r="D72" s="93">
        <v>15</v>
      </c>
      <c r="E72" s="93" t="s">
        <v>269</v>
      </c>
      <c r="F72" s="93" t="s">
        <v>278</v>
      </c>
      <c r="G72" s="93"/>
      <c r="H72" s="93" t="s">
        <v>295</v>
      </c>
      <c r="I72" s="93"/>
      <c r="J72" s="93"/>
      <c r="K72" s="93" t="s">
        <v>272</v>
      </c>
      <c r="L72" s="93"/>
    </row>
    <row r="73" spans="1:12" s="88" customFormat="1" x14ac:dyDescent="0.4">
      <c r="A73" s="93">
        <v>20321</v>
      </c>
      <c r="B73" s="93" t="s">
        <v>312</v>
      </c>
      <c r="C73" s="93" t="s">
        <v>310</v>
      </c>
      <c r="D73" s="93">
        <v>15</v>
      </c>
      <c r="E73" s="93" t="s">
        <v>269</v>
      </c>
      <c r="F73" s="93" t="s">
        <v>278</v>
      </c>
      <c r="G73" s="93"/>
      <c r="H73" s="93" t="s">
        <v>295</v>
      </c>
      <c r="I73" s="93"/>
      <c r="J73" s="93"/>
      <c r="K73" s="93" t="s">
        <v>272</v>
      </c>
      <c r="L73" s="93"/>
    </row>
    <row r="74" spans="1:12" s="88" customFormat="1" x14ac:dyDescent="0.4">
      <c r="A74" s="93">
        <v>20322</v>
      </c>
      <c r="B74" s="93" t="s">
        <v>312</v>
      </c>
      <c r="C74" s="93" t="s">
        <v>310</v>
      </c>
      <c r="D74" s="93">
        <v>15</v>
      </c>
      <c r="E74" s="93" t="s">
        <v>269</v>
      </c>
      <c r="F74" s="93" t="s">
        <v>278</v>
      </c>
      <c r="G74" s="93"/>
      <c r="H74" s="93" t="s">
        <v>295</v>
      </c>
      <c r="I74" s="93"/>
      <c r="J74" s="93"/>
      <c r="K74" s="93" t="s">
        <v>272</v>
      </c>
      <c r="L74" s="93"/>
    </row>
    <row r="75" spans="1:12" x14ac:dyDescent="0.4">
      <c r="A75" s="91">
        <v>20411</v>
      </c>
      <c r="B75" s="91" t="s">
        <v>313</v>
      </c>
      <c r="C75" s="91" t="s">
        <v>310</v>
      </c>
      <c r="D75" s="91">
        <v>40</v>
      </c>
      <c r="E75" s="91" t="s">
        <v>269</v>
      </c>
      <c r="F75" s="91" t="s">
        <v>278</v>
      </c>
      <c r="G75" s="91"/>
      <c r="H75" s="91" t="s">
        <v>295</v>
      </c>
      <c r="I75" s="91"/>
      <c r="J75" s="91"/>
      <c r="K75" s="91" t="s">
        <v>272</v>
      </c>
      <c r="L75" s="91"/>
    </row>
    <row r="76" spans="1:12" x14ac:dyDescent="0.4">
      <c r="A76" s="91">
        <v>20412</v>
      </c>
      <c r="B76" s="91" t="s">
        <v>313</v>
      </c>
      <c r="C76" s="91" t="s">
        <v>310</v>
      </c>
      <c r="D76" s="91">
        <v>40</v>
      </c>
      <c r="E76" s="91" t="s">
        <v>269</v>
      </c>
      <c r="F76" s="91" t="s">
        <v>278</v>
      </c>
      <c r="G76" s="91"/>
      <c r="H76" s="91" t="s">
        <v>295</v>
      </c>
      <c r="I76" s="91"/>
      <c r="J76" s="91"/>
      <c r="K76" s="91" t="s">
        <v>272</v>
      </c>
      <c r="L76" s="91"/>
    </row>
    <row r="77" spans="1:12" x14ac:dyDescent="0.4">
      <c r="A77" s="91">
        <v>20413</v>
      </c>
      <c r="B77" s="91" t="s">
        <v>313</v>
      </c>
      <c r="C77" s="91" t="s">
        <v>310</v>
      </c>
      <c r="D77" s="91">
        <v>40</v>
      </c>
      <c r="E77" s="91" t="s">
        <v>269</v>
      </c>
      <c r="F77" s="91" t="s">
        <v>278</v>
      </c>
      <c r="G77" s="91"/>
      <c r="H77" s="91" t="s">
        <v>295</v>
      </c>
      <c r="I77" s="91"/>
      <c r="J77" s="91"/>
      <c r="K77" s="91" t="s">
        <v>272</v>
      </c>
      <c r="L77" s="91"/>
    </row>
    <row r="78" spans="1:12" x14ac:dyDescent="0.4">
      <c r="A78" s="91">
        <v>20414</v>
      </c>
      <c r="B78" s="91" t="s">
        <v>313</v>
      </c>
      <c r="C78" s="91" t="s">
        <v>310</v>
      </c>
      <c r="D78" s="91">
        <v>40</v>
      </c>
      <c r="E78" s="91" t="s">
        <v>269</v>
      </c>
      <c r="F78" s="91" t="s">
        <v>278</v>
      </c>
      <c r="G78" s="91"/>
      <c r="H78" s="91" t="s">
        <v>295</v>
      </c>
      <c r="I78" s="91"/>
      <c r="J78" s="91"/>
      <c r="K78" s="91" t="s">
        <v>272</v>
      </c>
      <c r="L78" s="91"/>
    </row>
    <row r="79" spans="1:12" x14ac:dyDescent="0.4">
      <c r="A79" s="91">
        <v>20415</v>
      </c>
      <c r="B79" s="91" t="s">
        <v>313</v>
      </c>
      <c r="C79" s="91" t="s">
        <v>310</v>
      </c>
      <c r="D79" s="91">
        <v>40</v>
      </c>
      <c r="E79" s="91" t="s">
        <v>269</v>
      </c>
      <c r="F79" s="91" t="s">
        <v>278</v>
      </c>
      <c r="G79" s="91"/>
      <c r="H79" s="91" t="s">
        <v>295</v>
      </c>
      <c r="I79" s="91"/>
      <c r="J79" s="91"/>
      <c r="K79" s="91" t="s">
        <v>272</v>
      </c>
      <c r="L79" s="91"/>
    </row>
    <row r="80" spans="1:12" x14ac:dyDescent="0.4">
      <c r="A80" s="91">
        <v>20416</v>
      </c>
      <c r="B80" s="91" t="s">
        <v>313</v>
      </c>
      <c r="C80" s="91" t="s">
        <v>310</v>
      </c>
      <c r="D80" s="91">
        <v>40</v>
      </c>
      <c r="E80" s="91" t="s">
        <v>269</v>
      </c>
      <c r="F80" s="91" t="s">
        <v>278</v>
      </c>
      <c r="G80" s="91"/>
      <c r="H80" s="91" t="s">
        <v>295</v>
      </c>
      <c r="I80" s="91"/>
      <c r="J80" s="91"/>
      <c r="K80" s="91" t="s">
        <v>272</v>
      </c>
      <c r="L80" s="91"/>
    </row>
    <row r="81" spans="1:12" x14ac:dyDescent="0.4">
      <c r="A81" s="91">
        <v>20417</v>
      </c>
      <c r="B81" s="91" t="s">
        <v>313</v>
      </c>
      <c r="C81" s="91" t="s">
        <v>310</v>
      </c>
      <c r="D81" s="91">
        <v>40</v>
      </c>
      <c r="E81" s="91" t="s">
        <v>269</v>
      </c>
      <c r="F81" s="91" t="s">
        <v>278</v>
      </c>
      <c r="G81" s="91"/>
      <c r="H81" s="91" t="s">
        <v>295</v>
      </c>
      <c r="I81" s="91"/>
      <c r="J81" s="91"/>
      <c r="K81" s="91" t="s">
        <v>272</v>
      </c>
      <c r="L81" s="91"/>
    </row>
    <row r="82" spans="1:12" x14ac:dyDescent="0.4">
      <c r="A82" s="91">
        <v>20418</v>
      </c>
      <c r="B82" s="91" t="s">
        <v>313</v>
      </c>
      <c r="C82" s="91" t="s">
        <v>310</v>
      </c>
      <c r="D82" s="91">
        <v>40</v>
      </c>
      <c r="E82" s="91" t="s">
        <v>269</v>
      </c>
      <c r="F82" s="91" t="s">
        <v>278</v>
      </c>
      <c r="G82" s="91"/>
      <c r="H82" s="91" t="s">
        <v>295</v>
      </c>
      <c r="I82" s="91"/>
      <c r="J82" s="91"/>
      <c r="K82" s="91" t="s">
        <v>272</v>
      </c>
      <c r="L82" s="91"/>
    </row>
    <row r="83" spans="1:12" s="88" customFormat="1" x14ac:dyDescent="0.4">
      <c r="A83" s="93">
        <v>20511</v>
      </c>
      <c r="B83" s="93" t="s">
        <v>314</v>
      </c>
      <c r="C83" s="93" t="s">
        <v>310</v>
      </c>
      <c r="D83" s="93">
        <v>40</v>
      </c>
      <c r="E83" s="93" t="s">
        <v>269</v>
      </c>
      <c r="F83" s="93" t="s">
        <v>278</v>
      </c>
      <c r="G83" s="93"/>
      <c r="H83" s="93" t="s">
        <v>295</v>
      </c>
      <c r="I83" s="93"/>
      <c r="J83" s="93"/>
      <c r="K83" s="93" t="s">
        <v>272</v>
      </c>
      <c r="L83" s="93"/>
    </row>
    <row r="84" spans="1:12" s="88" customFormat="1" x14ac:dyDescent="0.4">
      <c r="A84" s="93">
        <v>20512</v>
      </c>
      <c r="B84" s="93" t="s">
        <v>314</v>
      </c>
      <c r="C84" s="93" t="s">
        <v>310</v>
      </c>
      <c r="D84" s="93">
        <v>40</v>
      </c>
      <c r="E84" s="93" t="s">
        <v>269</v>
      </c>
      <c r="F84" s="93" t="s">
        <v>278</v>
      </c>
      <c r="G84" s="93"/>
      <c r="H84" s="93" t="s">
        <v>295</v>
      </c>
      <c r="I84" s="93"/>
      <c r="J84" s="93"/>
      <c r="K84" s="93" t="s">
        <v>272</v>
      </c>
      <c r="L84" s="93"/>
    </row>
    <row r="85" spans="1:12" s="88" customFormat="1" x14ac:dyDescent="0.4">
      <c r="A85" s="93">
        <v>20513</v>
      </c>
      <c r="B85" s="93" t="s">
        <v>314</v>
      </c>
      <c r="C85" s="93" t="s">
        <v>310</v>
      </c>
      <c r="D85" s="93">
        <v>40</v>
      </c>
      <c r="E85" s="93" t="s">
        <v>269</v>
      </c>
      <c r="F85" s="93" t="s">
        <v>278</v>
      </c>
      <c r="G85" s="93"/>
      <c r="H85" s="93" t="s">
        <v>295</v>
      </c>
      <c r="I85" s="93"/>
      <c r="J85" s="93"/>
      <c r="K85" s="93" t="s">
        <v>272</v>
      </c>
      <c r="L85" s="93"/>
    </row>
    <row r="86" spans="1:12" s="88" customFormat="1" x14ac:dyDescent="0.4">
      <c r="A86" s="93">
        <v>20514</v>
      </c>
      <c r="B86" s="93" t="s">
        <v>314</v>
      </c>
      <c r="C86" s="93" t="s">
        <v>310</v>
      </c>
      <c r="D86" s="93">
        <v>40</v>
      </c>
      <c r="E86" s="93" t="s">
        <v>269</v>
      </c>
      <c r="F86" s="93" t="s">
        <v>278</v>
      </c>
      <c r="G86" s="93"/>
      <c r="H86" s="93" t="s">
        <v>295</v>
      </c>
      <c r="I86" s="93"/>
      <c r="J86" s="93"/>
      <c r="K86" s="93" t="s">
        <v>272</v>
      </c>
      <c r="L86" s="93"/>
    </row>
    <row r="87" spans="1:12" s="88" customFormat="1" x14ac:dyDescent="0.4">
      <c r="A87" s="93">
        <v>20515</v>
      </c>
      <c r="B87" s="93" t="s">
        <v>314</v>
      </c>
      <c r="C87" s="93" t="s">
        <v>310</v>
      </c>
      <c r="D87" s="93">
        <v>40</v>
      </c>
      <c r="E87" s="93" t="s">
        <v>269</v>
      </c>
      <c r="F87" s="93" t="s">
        <v>278</v>
      </c>
      <c r="G87" s="93"/>
      <c r="H87" s="93" t="s">
        <v>295</v>
      </c>
      <c r="I87" s="93"/>
      <c r="J87" s="93"/>
      <c r="K87" s="93" t="s">
        <v>272</v>
      </c>
      <c r="L87" s="93"/>
    </row>
    <row r="88" spans="1:12" s="88" customFormat="1" x14ac:dyDescent="0.4">
      <c r="A88" s="93">
        <v>20516</v>
      </c>
      <c r="B88" s="93" t="s">
        <v>314</v>
      </c>
      <c r="C88" s="93" t="s">
        <v>310</v>
      </c>
      <c r="D88" s="93">
        <v>40</v>
      </c>
      <c r="E88" s="93" t="s">
        <v>269</v>
      </c>
      <c r="F88" s="93" t="s">
        <v>278</v>
      </c>
      <c r="G88" s="93"/>
      <c r="H88" s="93" t="s">
        <v>295</v>
      </c>
      <c r="I88" s="93"/>
      <c r="J88" s="93"/>
      <c r="K88" s="93" t="s">
        <v>272</v>
      </c>
      <c r="L88" s="93"/>
    </row>
    <row r="89" spans="1:12" s="88" customFormat="1" x14ac:dyDescent="0.4">
      <c r="A89" s="93">
        <v>20517</v>
      </c>
      <c r="B89" s="93" t="s">
        <v>314</v>
      </c>
      <c r="C89" s="93" t="s">
        <v>310</v>
      </c>
      <c r="D89" s="93">
        <v>40</v>
      </c>
      <c r="E89" s="93" t="s">
        <v>269</v>
      </c>
      <c r="F89" s="93" t="s">
        <v>278</v>
      </c>
      <c r="G89" s="93"/>
      <c r="H89" s="93" t="s">
        <v>295</v>
      </c>
      <c r="I89" s="93"/>
      <c r="J89" s="93"/>
      <c r="K89" s="93" t="s">
        <v>272</v>
      </c>
      <c r="L89" s="93"/>
    </row>
    <row r="90" spans="1:12" s="88" customFormat="1" x14ac:dyDescent="0.4">
      <c r="A90" s="93">
        <v>20518</v>
      </c>
      <c r="B90" s="93" t="s">
        <v>314</v>
      </c>
      <c r="C90" s="93" t="s">
        <v>310</v>
      </c>
      <c r="D90" s="93">
        <v>40</v>
      </c>
      <c r="E90" s="93" t="s">
        <v>269</v>
      </c>
      <c r="F90" s="93" t="s">
        <v>278</v>
      </c>
      <c r="G90" s="93"/>
      <c r="H90" s="93" t="s">
        <v>295</v>
      </c>
      <c r="I90" s="93"/>
      <c r="J90" s="93"/>
      <c r="K90" s="93" t="s">
        <v>272</v>
      </c>
      <c r="L90" s="93"/>
    </row>
    <row r="91" spans="1:12" x14ac:dyDescent="0.4">
      <c r="A91" s="91">
        <v>20611</v>
      </c>
      <c r="B91" s="91" t="s">
        <v>315</v>
      </c>
      <c r="C91" s="91" t="s">
        <v>310</v>
      </c>
      <c r="D91" s="91">
        <v>20</v>
      </c>
      <c r="E91" s="91" t="s">
        <v>269</v>
      </c>
      <c r="F91" s="91" t="s">
        <v>278</v>
      </c>
      <c r="G91" s="91"/>
      <c r="H91" s="91" t="s">
        <v>295</v>
      </c>
      <c r="I91" s="91"/>
      <c r="J91" s="91"/>
      <c r="K91" s="91" t="s">
        <v>272</v>
      </c>
      <c r="L91" s="91"/>
    </row>
    <row r="92" spans="1:12" x14ac:dyDescent="0.4">
      <c r="A92" s="91">
        <v>20612</v>
      </c>
      <c r="B92" s="91" t="s">
        <v>315</v>
      </c>
      <c r="C92" s="91" t="s">
        <v>310</v>
      </c>
      <c r="D92" s="91">
        <v>20</v>
      </c>
      <c r="E92" s="91" t="s">
        <v>269</v>
      </c>
      <c r="F92" s="91" t="s">
        <v>278</v>
      </c>
      <c r="G92" s="91"/>
      <c r="H92" s="91" t="s">
        <v>295</v>
      </c>
      <c r="I92" s="91"/>
      <c r="J92" s="91"/>
      <c r="K92" s="91" t="s">
        <v>272</v>
      </c>
      <c r="L92" s="91"/>
    </row>
    <row r="93" spans="1:12" x14ac:dyDescent="0.4">
      <c r="A93" s="91">
        <v>20613</v>
      </c>
      <c r="B93" s="91" t="s">
        <v>315</v>
      </c>
      <c r="C93" s="91" t="s">
        <v>310</v>
      </c>
      <c r="D93" s="91">
        <v>20</v>
      </c>
      <c r="E93" s="91" t="s">
        <v>269</v>
      </c>
      <c r="F93" s="91" t="s">
        <v>278</v>
      </c>
      <c r="G93" s="91"/>
      <c r="H93" s="91" t="s">
        <v>295</v>
      </c>
      <c r="I93" s="91"/>
      <c r="J93" s="91"/>
      <c r="K93" s="91" t="s">
        <v>272</v>
      </c>
      <c r="L93" s="91"/>
    </row>
    <row r="94" spans="1:12" x14ac:dyDescent="0.4">
      <c r="A94" s="91">
        <v>20614</v>
      </c>
      <c r="B94" s="91" t="s">
        <v>315</v>
      </c>
      <c r="C94" s="91" t="s">
        <v>310</v>
      </c>
      <c r="D94" s="91">
        <v>20</v>
      </c>
      <c r="E94" s="91" t="s">
        <v>269</v>
      </c>
      <c r="F94" s="91" t="s">
        <v>278</v>
      </c>
      <c r="G94" s="91"/>
      <c r="H94" s="91" t="s">
        <v>295</v>
      </c>
      <c r="I94" s="91"/>
      <c r="J94" s="91"/>
      <c r="K94" s="91" t="s">
        <v>272</v>
      </c>
      <c r="L94" s="91"/>
    </row>
    <row r="95" spans="1:12" x14ac:dyDescent="0.4">
      <c r="A95" s="91">
        <v>20615</v>
      </c>
      <c r="B95" s="91" t="s">
        <v>315</v>
      </c>
      <c r="C95" s="91" t="s">
        <v>310</v>
      </c>
      <c r="D95" s="91">
        <v>20</v>
      </c>
      <c r="E95" s="91" t="s">
        <v>269</v>
      </c>
      <c r="F95" s="91" t="s">
        <v>278</v>
      </c>
      <c r="G95" s="91"/>
      <c r="H95" s="91" t="s">
        <v>295</v>
      </c>
      <c r="I95" s="91"/>
      <c r="J95" s="91"/>
      <c r="K95" s="91" t="s">
        <v>272</v>
      </c>
      <c r="L95" s="91"/>
    </row>
    <row r="96" spans="1:12" x14ac:dyDescent="0.4">
      <c r="A96" s="91">
        <v>20616</v>
      </c>
      <c r="B96" s="91" t="s">
        <v>315</v>
      </c>
      <c r="C96" s="91" t="s">
        <v>310</v>
      </c>
      <c r="D96" s="91">
        <v>20</v>
      </c>
      <c r="E96" s="91" t="s">
        <v>269</v>
      </c>
      <c r="F96" s="91" t="s">
        <v>278</v>
      </c>
      <c r="G96" s="91"/>
      <c r="H96" s="91" t="s">
        <v>295</v>
      </c>
      <c r="I96" s="91"/>
      <c r="J96" s="91"/>
      <c r="K96" s="91" t="s">
        <v>272</v>
      </c>
      <c r="L96" s="91"/>
    </row>
    <row r="97" spans="1:12" x14ac:dyDescent="0.4">
      <c r="A97" s="91">
        <v>20617</v>
      </c>
      <c r="B97" s="91" t="s">
        <v>315</v>
      </c>
      <c r="C97" s="91" t="s">
        <v>310</v>
      </c>
      <c r="D97" s="91">
        <v>20</v>
      </c>
      <c r="E97" s="91" t="s">
        <v>269</v>
      </c>
      <c r="F97" s="91" t="s">
        <v>278</v>
      </c>
      <c r="G97" s="91"/>
      <c r="H97" s="91" t="s">
        <v>295</v>
      </c>
      <c r="I97" s="91"/>
      <c r="J97" s="91"/>
      <c r="K97" s="91" t="s">
        <v>272</v>
      </c>
      <c r="L97" s="91"/>
    </row>
    <row r="98" spans="1:12" x14ac:dyDescent="0.4">
      <c r="A98" s="91">
        <v>20618</v>
      </c>
      <c r="B98" s="91" t="s">
        <v>315</v>
      </c>
      <c r="C98" s="91" t="s">
        <v>310</v>
      </c>
      <c r="D98" s="91">
        <v>20</v>
      </c>
      <c r="E98" s="91" t="s">
        <v>269</v>
      </c>
      <c r="F98" s="91" t="s">
        <v>278</v>
      </c>
      <c r="G98" s="91"/>
      <c r="H98" s="91" t="s">
        <v>295</v>
      </c>
      <c r="I98" s="91"/>
      <c r="J98" s="91"/>
      <c r="K98" s="91" t="s">
        <v>272</v>
      </c>
      <c r="L98" s="91"/>
    </row>
    <row r="99" spans="1:12" s="88" customFormat="1" x14ac:dyDescent="0.4">
      <c r="A99" s="93">
        <v>20711</v>
      </c>
      <c r="B99" s="93" t="s">
        <v>316</v>
      </c>
      <c r="C99" s="93" t="s">
        <v>310</v>
      </c>
      <c r="D99" s="93">
        <v>20</v>
      </c>
      <c r="E99" s="93" t="s">
        <v>269</v>
      </c>
      <c r="F99" s="93" t="s">
        <v>278</v>
      </c>
      <c r="G99" s="93"/>
      <c r="H99" s="93" t="s">
        <v>295</v>
      </c>
      <c r="I99" s="93"/>
      <c r="J99" s="93"/>
      <c r="K99" s="93" t="s">
        <v>272</v>
      </c>
      <c r="L99" s="93"/>
    </row>
    <row r="100" spans="1:12" s="88" customFormat="1" x14ac:dyDescent="0.4">
      <c r="A100" s="93">
        <v>20712</v>
      </c>
      <c r="B100" s="93" t="s">
        <v>316</v>
      </c>
      <c r="C100" s="93" t="s">
        <v>310</v>
      </c>
      <c r="D100" s="93">
        <v>20</v>
      </c>
      <c r="E100" s="93" t="s">
        <v>269</v>
      </c>
      <c r="F100" s="93" t="s">
        <v>278</v>
      </c>
      <c r="G100" s="93"/>
      <c r="H100" s="93" t="s">
        <v>295</v>
      </c>
      <c r="I100" s="93"/>
      <c r="J100" s="93"/>
      <c r="K100" s="93" t="s">
        <v>272</v>
      </c>
      <c r="L100" s="93"/>
    </row>
    <row r="101" spans="1:12" s="88" customFormat="1" x14ac:dyDescent="0.4">
      <c r="A101" s="93">
        <v>20713</v>
      </c>
      <c r="B101" s="93" t="s">
        <v>316</v>
      </c>
      <c r="C101" s="93" t="s">
        <v>310</v>
      </c>
      <c r="D101" s="93">
        <v>20</v>
      </c>
      <c r="E101" s="93" t="s">
        <v>269</v>
      </c>
      <c r="F101" s="93" t="s">
        <v>278</v>
      </c>
      <c r="G101" s="93"/>
      <c r="H101" s="93" t="s">
        <v>295</v>
      </c>
      <c r="I101" s="93"/>
      <c r="J101" s="93"/>
      <c r="K101" s="93" t="s">
        <v>272</v>
      </c>
      <c r="L101" s="93"/>
    </row>
    <row r="102" spans="1:12" s="88" customFormat="1" x14ac:dyDescent="0.4">
      <c r="A102" s="93">
        <v>20714</v>
      </c>
      <c r="B102" s="93" t="s">
        <v>316</v>
      </c>
      <c r="C102" s="93" t="s">
        <v>310</v>
      </c>
      <c r="D102" s="93">
        <v>20</v>
      </c>
      <c r="E102" s="93" t="s">
        <v>269</v>
      </c>
      <c r="F102" s="93" t="s">
        <v>278</v>
      </c>
      <c r="G102" s="93"/>
      <c r="H102" s="93" t="s">
        <v>295</v>
      </c>
      <c r="I102" s="93"/>
      <c r="J102" s="93"/>
      <c r="K102" s="93" t="s">
        <v>272</v>
      </c>
      <c r="L102" s="93"/>
    </row>
    <row r="103" spans="1:12" s="88" customFormat="1" x14ac:dyDescent="0.4">
      <c r="A103" s="93">
        <v>20715</v>
      </c>
      <c r="B103" s="93" t="s">
        <v>316</v>
      </c>
      <c r="C103" s="93" t="s">
        <v>310</v>
      </c>
      <c r="D103" s="93">
        <v>20</v>
      </c>
      <c r="E103" s="93" t="s">
        <v>269</v>
      </c>
      <c r="F103" s="93" t="s">
        <v>278</v>
      </c>
      <c r="G103" s="93"/>
      <c r="H103" s="93" t="s">
        <v>295</v>
      </c>
      <c r="I103" s="93"/>
      <c r="J103" s="93"/>
      <c r="K103" s="93" t="s">
        <v>272</v>
      </c>
      <c r="L103" s="93"/>
    </row>
    <row r="104" spans="1:12" s="88" customFormat="1" x14ac:dyDescent="0.4">
      <c r="A104" s="93">
        <v>20716</v>
      </c>
      <c r="B104" s="93" t="s">
        <v>316</v>
      </c>
      <c r="C104" s="93" t="s">
        <v>310</v>
      </c>
      <c r="D104" s="93">
        <v>20</v>
      </c>
      <c r="E104" s="93" t="s">
        <v>269</v>
      </c>
      <c r="F104" s="93" t="s">
        <v>278</v>
      </c>
      <c r="G104" s="93"/>
      <c r="H104" s="93" t="s">
        <v>295</v>
      </c>
      <c r="I104" s="93"/>
      <c r="J104" s="93"/>
      <c r="K104" s="93" t="s">
        <v>272</v>
      </c>
      <c r="L104" s="93"/>
    </row>
    <row r="105" spans="1:12" s="88" customFormat="1" x14ac:dyDescent="0.4">
      <c r="A105" s="93">
        <v>20717</v>
      </c>
      <c r="B105" s="93" t="s">
        <v>316</v>
      </c>
      <c r="C105" s="93" t="s">
        <v>310</v>
      </c>
      <c r="D105" s="93">
        <v>20</v>
      </c>
      <c r="E105" s="93" t="s">
        <v>269</v>
      </c>
      <c r="F105" s="93" t="s">
        <v>278</v>
      </c>
      <c r="G105" s="93"/>
      <c r="H105" s="93" t="s">
        <v>295</v>
      </c>
      <c r="I105" s="93"/>
      <c r="J105" s="93"/>
      <c r="K105" s="93" t="s">
        <v>272</v>
      </c>
      <c r="L105" s="93"/>
    </row>
    <row r="106" spans="1:12" s="88" customFormat="1" x14ac:dyDescent="0.4">
      <c r="A106" s="93">
        <v>20718</v>
      </c>
      <c r="B106" s="93" t="s">
        <v>316</v>
      </c>
      <c r="C106" s="93" t="s">
        <v>310</v>
      </c>
      <c r="D106" s="93">
        <v>20</v>
      </c>
      <c r="E106" s="93" t="s">
        <v>269</v>
      </c>
      <c r="F106" s="93" t="s">
        <v>278</v>
      </c>
      <c r="G106" s="93"/>
      <c r="H106" s="93" t="s">
        <v>295</v>
      </c>
      <c r="I106" s="93"/>
      <c r="J106" s="93"/>
      <c r="K106" s="93" t="s">
        <v>272</v>
      </c>
      <c r="L106" s="93"/>
    </row>
    <row r="107" spans="1:12" x14ac:dyDescent="0.4">
      <c r="A107" s="91">
        <v>20811</v>
      </c>
      <c r="B107" s="91" t="s">
        <v>317</v>
      </c>
      <c r="C107" s="91" t="s">
        <v>310</v>
      </c>
      <c r="D107" s="91">
        <v>15</v>
      </c>
      <c r="E107" s="91" t="s">
        <v>269</v>
      </c>
      <c r="F107" s="91" t="s">
        <v>278</v>
      </c>
      <c r="G107" s="91"/>
      <c r="H107" s="91" t="s">
        <v>295</v>
      </c>
      <c r="I107" s="91"/>
      <c r="J107" s="91"/>
      <c r="K107" s="91" t="s">
        <v>272</v>
      </c>
      <c r="L107" s="91"/>
    </row>
    <row r="108" spans="1:12" x14ac:dyDescent="0.4">
      <c r="A108" s="91">
        <v>20812</v>
      </c>
      <c r="B108" s="91" t="s">
        <v>317</v>
      </c>
      <c r="C108" s="91" t="s">
        <v>310</v>
      </c>
      <c r="D108" s="91">
        <v>15</v>
      </c>
      <c r="E108" s="91" t="s">
        <v>269</v>
      </c>
      <c r="F108" s="91" t="s">
        <v>278</v>
      </c>
      <c r="G108" s="91"/>
      <c r="H108" s="91" t="s">
        <v>295</v>
      </c>
      <c r="I108" s="91"/>
      <c r="J108" s="91"/>
      <c r="K108" s="91" t="s">
        <v>272</v>
      </c>
      <c r="L108" s="91"/>
    </row>
    <row r="109" spans="1:12" x14ac:dyDescent="0.4">
      <c r="A109" s="91">
        <v>20813</v>
      </c>
      <c r="B109" s="91" t="s">
        <v>317</v>
      </c>
      <c r="C109" s="91" t="s">
        <v>310</v>
      </c>
      <c r="D109" s="91">
        <v>15</v>
      </c>
      <c r="E109" s="91" t="s">
        <v>269</v>
      </c>
      <c r="F109" s="91" t="s">
        <v>278</v>
      </c>
      <c r="G109" s="91"/>
      <c r="H109" s="91" t="s">
        <v>295</v>
      </c>
      <c r="I109" s="91"/>
      <c r="J109" s="91"/>
      <c r="K109" s="91" t="s">
        <v>272</v>
      </c>
      <c r="L109" s="91"/>
    </row>
    <row r="110" spans="1:12" x14ac:dyDescent="0.4">
      <c r="A110" s="91">
        <v>20814</v>
      </c>
      <c r="B110" s="91" t="s">
        <v>317</v>
      </c>
      <c r="C110" s="91" t="s">
        <v>310</v>
      </c>
      <c r="D110" s="91">
        <v>15</v>
      </c>
      <c r="E110" s="91" t="s">
        <v>269</v>
      </c>
      <c r="F110" s="91" t="s">
        <v>278</v>
      </c>
      <c r="G110" s="91"/>
      <c r="H110" s="91" t="s">
        <v>295</v>
      </c>
      <c r="I110" s="91"/>
      <c r="J110" s="91"/>
      <c r="K110" s="91" t="s">
        <v>272</v>
      </c>
      <c r="L110" s="91"/>
    </row>
    <row r="111" spans="1:12" x14ac:dyDescent="0.4">
      <c r="A111" s="91">
        <v>20815</v>
      </c>
      <c r="B111" s="91" t="s">
        <v>317</v>
      </c>
      <c r="C111" s="91" t="s">
        <v>310</v>
      </c>
      <c r="D111" s="91">
        <v>15</v>
      </c>
      <c r="E111" s="91" t="s">
        <v>269</v>
      </c>
      <c r="F111" s="91" t="s">
        <v>278</v>
      </c>
      <c r="G111" s="91"/>
      <c r="H111" s="91" t="s">
        <v>295</v>
      </c>
      <c r="I111" s="91"/>
      <c r="J111" s="91"/>
      <c r="K111" s="91" t="s">
        <v>272</v>
      </c>
      <c r="L111" s="91"/>
    </row>
    <row r="112" spans="1:12" x14ac:dyDescent="0.4">
      <c r="A112" s="91">
        <v>20816</v>
      </c>
      <c r="B112" s="91" t="s">
        <v>317</v>
      </c>
      <c r="C112" s="91" t="s">
        <v>310</v>
      </c>
      <c r="D112" s="91">
        <v>15</v>
      </c>
      <c r="E112" s="91" t="s">
        <v>269</v>
      </c>
      <c r="F112" s="91" t="s">
        <v>278</v>
      </c>
      <c r="G112" s="91"/>
      <c r="H112" s="91" t="s">
        <v>295</v>
      </c>
      <c r="I112" s="91"/>
      <c r="J112" s="91"/>
      <c r="K112" s="91" t="s">
        <v>272</v>
      </c>
      <c r="L112" s="91"/>
    </row>
    <row r="113" spans="1:12" x14ac:dyDescent="0.4">
      <c r="A113" s="91">
        <v>20817</v>
      </c>
      <c r="B113" s="91" t="s">
        <v>317</v>
      </c>
      <c r="C113" s="91" t="s">
        <v>310</v>
      </c>
      <c r="D113" s="91">
        <v>15</v>
      </c>
      <c r="E113" s="91" t="s">
        <v>269</v>
      </c>
      <c r="F113" s="91" t="s">
        <v>278</v>
      </c>
      <c r="G113" s="91"/>
      <c r="H113" s="91" t="s">
        <v>295</v>
      </c>
      <c r="I113" s="91"/>
      <c r="J113" s="91"/>
      <c r="K113" s="91" t="s">
        <v>272</v>
      </c>
      <c r="L113" s="91"/>
    </row>
    <row r="114" spans="1:12" x14ac:dyDescent="0.4">
      <c r="A114" s="91">
        <v>20818</v>
      </c>
      <c r="B114" s="91" t="s">
        <v>317</v>
      </c>
      <c r="C114" s="91" t="s">
        <v>310</v>
      </c>
      <c r="D114" s="91">
        <v>15</v>
      </c>
      <c r="E114" s="91" t="s">
        <v>269</v>
      </c>
      <c r="F114" s="91" t="s">
        <v>278</v>
      </c>
      <c r="G114" s="91"/>
      <c r="H114" s="91" t="s">
        <v>295</v>
      </c>
      <c r="I114" s="91"/>
      <c r="J114" s="91"/>
      <c r="K114" s="91" t="s">
        <v>272</v>
      </c>
      <c r="L114" s="91"/>
    </row>
    <row r="115" spans="1:12" x14ac:dyDescent="0.4">
      <c r="A115" s="91">
        <v>20819</v>
      </c>
      <c r="B115" s="91" t="s">
        <v>317</v>
      </c>
      <c r="C115" s="91" t="s">
        <v>310</v>
      </c>
      <c r="D115" s="91">
        <v>15</v>
      </c>
      <c r="E115" s="91" t="s">
        <v>269</v>
      </c>
      <c r="F115" s="91" t="s">
        <v>278</v>
      </c>
      <c r="G115" s="91"/>
      <c r="H115" s="91" t="s">
        <v>295</v>
      </c>
      <c r="I115" s="91"/>
      <c r="J115" s="91"/>
      <c r="K115" s="91" t="s">
        <v>272</v>
      </c>
      <c r="L115" s="91"/>
    </row>
    <row r="116" spans="1:12" x14ac:dyDescent="0.4">
      <c r="A116" s="91">
        <v>20820</v>
      </c>
      <c r="B116" s="91" t="s">
        <v>317</v>
      </c>
      <c r="C116" s="91" t="s">
        <v>310</v>
      </c>
      <c r="D116" s="91">
        <v>15</v>
      </c>
      <c r="E116" s="91" t="s">
        <v>269</v>
      </c>
      <c r="F116" s="91" t="s">
        <v>278</v>
      </c>
      <c r="G116" s="91"/>
      <c r="H116" s="91" t="s">
        <v>295</v>
      </c>
      <c r="I116" s="91"/>
      <c r="J116" s="91"/>
      <c r="K116" s="91" t="s">
        <v>272</v>
      </c>
      <c r="L116" s="91"/>
    </row>
    <row r="117" spans="1:12" x14ac:dyDescent="0.4">
      <c r="A117" s="91">
        <v>20821</v>
      </c>
      <c r="B117" s="91" t="s">
        <v>317</v>
      </c>
      <c r="C117" s="91" t="s">
        <v>310</v>
      </c>
      <c r="D117" s="91">
        <v>15</v>
      </c>
      <c r="E117" s="91" t="s">
        <v>269</v>
      </c>
      <c r="F117" s="91" t="s">
        <v>278</v>
      </c>
      <c r="G117" s="91"/>
      <c r="H117" s="91" t="s">
        <v>295</v>
      </c>
      <c r="I117" s="91"/>
      <c r="J117" s="91"/>
      <c r="K117" s="91" t="s">
        <v>272</v>
      </c>
      <c r="L117" s="91"/>
    </row>
    <row r="118" spans="1:12" x14ac:dyDescent="0.4">
      <c r="A118" s="91">
        <v>20822</v>
      </c>
      <c r="B118" s="91" t="s">
        <v>317</v>
      </c>
      <c r="C118" s="91" t="s">
        <v>310</v>
      </c>
      <c r="D118" s="91">
        <v>15</v>
      </c>
      <c r="E118" s="91" t="s">
        <v>269</v>
      </c>
      <c r="F118" s="91" t="s">
        <v>278</v>
      </c>
      <c r="G118" s="91"/>
      <c r="H118" s="91" t="s">
        <v>295</v>
      </c>
      <c r="I118" s="91"/>
      <c r="J118" s="91"/>
      <c r="K118" s="91" t="s">
        <v>272</v>
      </c>
      <c r="L118" s="91"/>
    </row>
    <row r="119" spans="1:12" s="88" customFormat="1" x14ac:dyDescent="0.4">
      <c r="A119" s="93">
        <v>20911</v>
      </c>
      <c r="B119" s="93" t="s">
        <v>318</v>
      </c>
      <c r="C119" s="93" t="s">
        <v>310</v>
      </c>
      <c r="D119" s="93">
        <v>40</v>
      </c>
      <c r="E119" s="93" t="s">
        <v>269</v>
      </c>
      <c r="F119" s="93" t="s">
        <v>278</v>
      </c>
      <c r="G119" s="93"/>
      <c r="H119" s="93" t="s">
        <v>295</v>
      </c>
      <c r="I119" s="93"/>
      <c r="J119" s="93"/>
      <c r="K119" s="93" t="s">
        <v>272</v>
      </c>
      <c r="L119" s="93"/>
    </row>
    <row r="120" spans="1:12" s="88" customFormat="1" x14ac:dyDescent="0.4">
      <c r="A120" s="93">
        <v>20912</v>
      </c>
      <c r="B120" s="93" t="s">
        <v>318</v>
      </c>
      <c r="C120" s="93" t="s">
        <v>310</v>
      </c>
      <c r="D120" s="93">
        <v>40</v>
      </c>
      <c r="E120" s="93" t="s">
        <v>269</v>
      </c>
      <c r="F120" s="93" t="s">
        <v>278</v>
      </c>
      <c r="G120" s="93"/>
      <c r="H120" s="93" t="s">
        <v>295</v>
      </c>
      <c r="I120" s="93"/>
      <c r="J120" s="93"/>
      <c r="K120" s="93" t="s">
        <v>272</v>
      </c>
      <c r="L120" s="93"/>
    </row>
    <row r="121" spans="1:12" s="88" customFormat="1" x14ac:dyDescent="0.4">
      <c r="A121" s="93">
        <v>20913</v>
      </c>
      <c r="B121" s="93" t="s">
        <v>318</v>
      </c>
      <c r="C121" s="93" t="s">
        <v>310</v>
      </c>
      <c r="D121" s="93">
        <v>40</v>
      </c>
      <c r="E121" s="93" t="s">
        <v>269</v>
      </c>
      <c r="F121" s="93" t="s">
        <v>278</v>
      </c>
      <c r="G121" s="93"/>
      <c r="H121" s="93" t="s">
        <v>295</v>
      </c>
      <c r="I121" s="93"/>
      <c r="J121" s="93"/>
      <c r="K121" s="93" t="s">
        <v>272</v>
      </c>
      <c r="L121" s="93"/>
    </row>
    <row r="122" spans="1:12" s="88" customFormat="1" x14ac:dyDescent="0.4">
      <c r="A122" s="93">
        <v>20914</v>
      </c>
      <c r="B122" s="93" t="s">
        <v>318</v>
      </c>
      <c r="C122" s="93" t="s">
        <v>310</v>
      </c>
      <c r="D122" s="93">
        <v>40</v>
      </c>
      <c r="E122" s="93" t="s">
        <v>269</v>
      </c>
      <c r="F122" s="93" t="s">
        <v>278</v>
      </c>
      <c r="G122" s="93"/>
      <c r="H122" s="93" t="s">
        <v>295</v>
      </c>
      <c r="I122" s="93"/>
      <c r="J122" s="93"/>
      <c r="K122" s="93" t="s">
        <v>272</v>
      </c>
      <c r="L122" s="93"/>
    </row>
    <row r="123" spans="1:12" s="88" customFormat="1" x14ac:dyDescent="0.4">
      <c r="A123" s="93">
        <v>20915</v>
      </c>
      <c r="B123" s="93" t="s">
        <v>318</v>
      </c>
      <c r="C123" s="93" t="s">
        <v>310</v>
      </c>
      <c r="D123" s="93">
        <v>40</v>
      </c>
      <c r="E123" s="93" t="s">
        <v>269</v>
      </c>
      <c r="F123" s="93" t="s">
        <v>278</v>
      </c>
      <c r="G123" s="93"/>
      <c r="H123" s="93" t="s">
        <v>295</v>
      </c>
      <c r="I123" s="93"/>
      <c r="J123" s="93"/>
      <c r="K123" s="93" t="s">
        <v>272</v>
      </c>
      <c r="L123" s="93"/>
    </row>
    <row r="124" spans="1:12" s="88" customFormat="1" x14ac:dyDescent="0.4">
      <c r="A124" s="93">
        <v>20916</v>
      </c>
      <c r="B124" s="93" t="s">
        <v>318</v>
      </c>
      <c r="C124" s="93" t="s">
        <v>310</v>
      </c>
      <c r="D124" s="93">
        <v>40</v>
      </c>
      <c r="E124" s="93" t="s">
        <v>269</v>
      </c>
      <c r="F124" s="93" t="s">
        <v>278</v>
      </c>
      <c r="G124" s="93"/>
      <c r="H124" s="93" t="s">
        <v>295</v>
      </c>
      <c r="I124" s="93"/>
      <c r="J124" s="93"/>
      <c r="K124" s="93" t="s">
        <v>272</v>
      </c>
      <c r="L124" s="93"/>
    </row>
    <row r="125" spans="1:12" s="88" customFormat="1" x14ac:dyDescent="0.4">
      <c r="A125" s="93">
        <v>20917</v>
      </c>
      <c r="B125" s="93" t="s">
        <v>318</v>
      </c>
      <c r="C125" s="93" t="s">
        <v>310</v>
      </c>
      <c r="D125" s="93">
        <v>40</v>
      </c>
      <c r="E125" s="93" t="s">
        <v>269</v>
      </c>
      <c r="F125" s="93" t="s">
        <v>278</v>
      </c>
      <c r="G125" s="93"/>
      <c r="H125" s="93" t="s">
        <v>295</v>
      </c>
      <c r="I125" s="93"/>
      <c r="J125" s="93"/>
      <c r="K125" s="93" t="s">
        <v>272</v>
      </c>
      <c r="L125" s="93"/>
    </row>
    <row r="126" spans="1:12" s="88" customFormat="1" x14ac:dyDescent="0.4">
      <c r="A126" s="93">
        <v>20918</v>
      </c>
      <c r="B126" s="93" t="s">
        <v>318</v>
      </c>
      <c r="C126" s="93" t="s">
        <v>310</v>
      </c>
      <c r="D126" s="93">
        <v>40</v>
      </c>
      <c r="E126" s="93" t="s">
        <v>269</v>
      </c>
      <c r="F126" s="93" t="s">
        <v>278</v>
      </c>
      <c r="G126" s="93"/>
      <c r="H126" s="93" t="s">
        <v>295</v>
      </c>
      <c r="I126" s="93"/>
      <c r="J126" s="93"/>
      <c r="K126" s="93" t="s">
        <v>272</v>
      </c>
      <c r="L126" s="93"/>
    </row>
    <row r="127" spans="1:12" x14ac:dyDescent="0.4">
      <c r="A127" s="91">
        <v>20131</v>
      </c>
      <c r="B127" s="91" t="s">
        <v>319</v>
      </c>
      <c r="C127" s="91" t="s">
        <v>320</v>
      </c>
      <c r="D127" s="91">
        <v>5</v>
      </c>
      <c r="E127" s="91" t="s">
        <v>269</v>
      </c>
      <c r="F127" s="91" t="s">
        <v>294</v>
      </c>
      <c r="G127" s="91"/>
      <c r="H127" s="91" t="s">
        <v>295</v>
      </c>
      <c r="I127" s="91" t="s">
        <v>321</v>
      </c>
      <c r="J127" s="91"/>
      <c r="K127" s="91" t="s">
        <v>272</v>
      </c>
      <c r="L127" s="91"/>
    </row>
    <row r="128" spans="1:12" x14ac:dyDescent="0.4">
      <c r="A128" s="91">
        <v>20132</v>
      </c>
      <c r="B128" s="91" t="s">
        <v>319</v>
      </c>
      <c r="C128" s="91" t="s">
        <v>320</v>
      </c>
      <c r="D128" s="91">
        <v>5</v>
      </c>
      <c r="E128" s="91" t="s">
        <v>269</v>
      </c>
      <c r="F128" s="91" t="s">
        <v>294</v>
      </c>
      <c r="G128" s="91"/>
      <c r="H128" s="91" t="s">
        <v>295</v>
      </c>
      <c r="I128" s="91" t="s">
        <v>321</v>
      </c>
      <c r="J128" s="91"/>
      <c r="K128" s="91" t="s">
        <v>272</v>
      </c>
      <c r="L128" s="91"/>
    </row>
    <row r="129" spans="1:12" s="88" customFormat="1" x14ac:dyDescent="0.4">
      <c r="A129" s="93">
        <v>20231</v>
      </c>
      <c r="B129" s="93" t="s">
        <v>322</v>
      </c>
      <c r="C129" s="93" t="s">
        <v>320</v>
      </c>
      <c r="D129" s="93">
        <v>5</v>
      </c>
      <c r="E129" s="93" t="s">
        <v>269</v>
      </c>
      <c r="F129" s="93" t="s">
        <v>294</v>
      </c>
      <c r="G129" s="93"/>
      <c r="H129" s="93" t="s">
        <v>295</v>
      </c>
      <c r="I129" s="93" t="s">
        <v>321</v>
      </c>
      <c r="J129" s="93"/>
      <c r="K129" s="93" t="s">
        <v>272</v>
      </c>
      <c r="L129" s="93"/>
    </row>
    <row r="130" spans="1:12" s="88" customFormat="1" x14ac:dyDescent="0.4">
      <c r="A130" s="93">
        <v>20232</v>
      </c>
      <c r="B130" s="93" t="s">
        <v>322</v>
      </c>
      <c r="C130" s="93" t="s">
        <v>320</v>
      </c>
      <c r="D130" s="93">
        <v>5</v>
      </c>
      <c r="E130" s="93" t="s">
        <v>269</v>
      </c>
      <c r="F130" s="93" t="s">
        <v>294</v>
      </c>
      <c r="G130" s="93"/>
      <c r="H130" s="93" t="s">
        <v>295</v>
      </c>
      <c r="I130" s="93" t="s">
        <v>321</v>
      </c>
      <c r="J130" s="93"/>
      <c r="K130" s="93" t="s">
        <v>272</v>
      </c>
      <c r="L130" s="93"/>
    </row>
    <row r="131" spans="1:12" x14ac:dyDescent="0.4">
      <c r="A131" s="91">
        <v>20331</v>
      </c>
      <c r="B131" s="91" t="s">
        <v>323</v>
      </c>
      <c r="C131" s="91" t="s">
        <v>320</v>
      </c>
      <c r="D131" s="91">
        <v>5</v>
      </c>
      <c r="E131" s="91" t="s">
        <v>269</v>
      </c>
      <c r="F131" s="91" t="s">
        <v>294</v>
      </c>
      <c r="G131" s="91"/>
      <c r="H131" s="91" t="s">
        <v>295</v>
      </c>
      <c r="I131" s="91" t="s">
        <v>321</v>
      </c>
      <c r="J131" s="91"/>
      <c r="K131" s="91" t="s">
        <v>272</v>
      </c>
      <c r="L131" s="91"/>
    </row>
    <row r="132" spans="1:12" x14ac:dyDescent="0.4">
      <c r="A132" s="91">
        <v>20332</v>
      </c>
      <c r="B132" s="91" t="s">
        <v>323</v>
      </c>
      <c r="C132" s="91" t="s">
        <v>320</v>
      </c>
      <c r="D132" s="91">
        <v>5</v>
      </c>
      <c r="E132" s="91" t="s">
        <v>269</v>
      </c>
      <c r="F132" s="91" t="s">
        <v>294</v>
      </c>
      <c r="G132" s="91"/>
      <c r="H132" s="91" t="s">
        <v>295</v>
      </c>
      <c r="I132" s="91" t="s">
        <v>321</v>
      </c>
      <c r="J132" s="91"/>
      <c r="K132" s="91" t="s">
        <v>272</v>
      </c>
      <c r="L132" s="91"/>
    </row>
    <row r="133" spans="1:12" s="88" customFormat="1" x14ac:dyDescent="0.4">
      <c r="A133" s="93">
        <v>20431</v>
      </c>
      <c r="B133" s="93" t="s">
        <v>324</v>
      </c>
      <c r="C133" s="93" t="s">
        <v>320</v>
      </c>
      <c r="D133" s="93">
        <v>5</v>
      </c>
      <c r="E133" s="93" t="s">
        <v>269</v>
      </c>
      <c r="F133" s="93" t="s">
        <v>294</v>
      </c>
      <c r="G133" s="93"/>
      <c r="H133" s="93" t="s">
        <v>295</v>
      </c>
      <c r="I133" s="93" t="s">
        <v>325</v>
      </c>
      <c r="J133" s="93"/>
      <c r="K133" s="93" t="s">
        <v>272</v>
      </c>
      <c r="L133" s="93"/>
    </row>
    <row r="134" spans="1:12" s="88" customFormat="1" x14ac:dyDescent="0.4">
      <c r="A134" s="93">
        <v>20432</v>
      </c>
      <c r="B134" s="93" t="s">
        <v>324</v>
      </c>
      <c r="C134" s="93" t="s">
        <v>320</v>
      </c>
      <c r="D134" s="93">
        <v>5</v>
      </c>
      <c r="E134" s="93" t="s">
        <v>269</v>
      </c>
      <c r="F134" s="93" t="s">
        <v>294</v>
      </c>
      <c r="G134" s="93"/>
      <c r="H134" s="93" t="s">
        <v>295</v>
      </c>
      <c r="I134" s="93" t="s">
        <v>325</v>
      </c>
      <c r="J134" s="93"/>
      <c r="K134" s="93" t="s">
        <v>272</v>
      </c>
      <c r="L134" s="93"/>
    </row>
    <row r="135" spans="1:12" s="88" customFormat="1" x14ac:dyDescent="0.4">
      <c r="A135" s="93">
        <v>20433</v>
      </c>
      <c r="B135" s="93" t="s">
        <v>326</v>
      </c>
      <c r="C135" s="93" t="s">
        <v>320</v>
      </c>
      <c r="D135" s="93">
        <v>5</v>
      </c>
      <c r="E135" s="93" t="s">
        <v>269</v>
      </c>
      <c r="F135" s="93" t="s">
        <v>294</v>
      </c>
      <c r="G135" s="93"/>
      <c r="H135" s="93" t="s">
        <v>295</v>
      </c>
      <c r="I135" s="93" t="s">
        <v>327</v>
      </c>
      <c r="J135" s="93"/>
      <c r="K135" s="93" t="s">
        <v>272</v>
      </c>
      <c r="L135" s="93"/>
    </row>
    <row r="136" spans="1:12" s="88" customFormat="1" x14ac:dyDescent="0.4">
      <c r="A136" s="93">
        <v>20434</v>
      </c>
      <c r="B136" s="93" t="s">
        <v>326</v>
      </c>
      <c r="C136" s="93" t="s">
        <v>320</v>
      </c>
      <c r="D136" s="93">
        <v>5</v>
      </c>
      <c r="E136" s="93" t="s">
        <v>269</v>
      </c>
      <c r="F136" s="93" t="s">
        <v>294</v>
      </c>
      <c r="G136" s="93"/>
      <c r="H136" s="93" t="s">
        <v>295</v>
      </c>
      <c r="I136" s="93" t="s">
        <v>327</v>
      </c>
      <c r="J136" s="93"/>
      <c r="K136" s="93" t="s">
        <v>272</v>
      </c>
      <c r="L136" s="93"/>
    </row>
    <row r="137" spans="1:12" x14ac:dyDescent="0.4">
      <c r="A137" s="91">
        <v>20531</v>
      </c>
      <c r="B137" s="91" t="s">
        <v>328</v>
      </c>
      <c r="C137" s="91" t="s">
        <v>320</v>
      </c>
      <c r="D137" s="91">
        <v>5</v>
      </c>
      <c r="E137" s="91" t="s">
        <v>269</v>
      </c>
      <c r="F137" s="91" t="s">
        <v>294</v>
      </c>
      <c r="G137" s="91"/>
      <c r="H137" s="91" t="s">
        <v>295</v>
      </c>
      <c r="I137" s="91" t="s">
        <v>325</v>
      </c>
      <c r="J137" s="91"/>
      <c r="K137" s="91" t="s">
        <v>272</v>
      </c>
      <c r="L137" s="91"/>
    </row>
    <row r="138" spans="1:12" x14ac:dyDescent="0.4">
      <c r="A138" s="91">
        <v>20532</v>
      </c>
      <c r="B138" s="91" t="s">
        <v>328</v>
      </c>
      <c r="C138" s="91" t="s">
        <v>320</v>
      </c>
      <c r="D138" s="91">
        <v>5</v>
      </c>
      <c r="E138" s="91" t="s">
        <v>269</v>
      </c>
      <c r="F138" s="91" t="s">
        <v>294</v>
      </c>
      <c r="G138" s="91"/>
      <c r="H138" s="91" t="s">
        <v>295</v>
      </c>
      <c r="I138" s="91" t="s">
        <v>325</v>
      </c>
      <c r="J138" s="91"/>
      <c r="K138" s="91" t="s">
        <v>272</v>
      </c>
      <c r="L138" s="91"/>
    </row>
    <row r="139" spans="1:12" x14ac:dyDescent="0.4">
      <c r="A139" s="91">
        <v>20533</v>
      </c>
      <c r="B139" s="91" t="s">
        <v>329</v>
      </c>
      <c r="C139" s="91" t="s">
        <v>320</v>
      </c>
      <c r="D139" s="91">
        <v>5</v>
      </c>
      <c r="E139" s="91" t="s">
        <v>269</v>
      </c>
      <c r="F139" s="91" t="s">
        <v>294</v>
      </c>
      <c r="G139" s="91"/>
      <c r="H139" s="91" t="s">
        <v>295</v>
      </c>
      <c r="I139" s="91" t="s">
        <v>327</v>
      </c>
      <c r="J139" s="91"/>
      <c r="K139" s="91" t="s">
        <v>272</v>
      </c>
      <c r="L139" s="91"/>
    </row>
    <row r="140" spans="1:12" x14ac:dyDescent="0.4">
      <c r="A140" s="91">
        <v>20534</v>
      </c>
      <c r="B140" s="91" t="s">
        <v>329</v>
      </c>
      <c r="C140" s="91" t="s">
        <v>320</v>
      </c>
      <c r="D140" s="91">
        <v>5</v>
      </c>
      <c r="E140" s="91" t="s">
        <v>269</v>
      </c>
      <c r="F140" s="91" t="s">
        <v>294</v>
      </c>
      <c r="G140" s="91"/>
      <c r="H140" s="91" t="s">
        <v>295</v>
      </c>
      <c r="I140" s="91" t="s">
        <v>327</v>
      </c>
      <c r="J140" s="91"/>
      <c r="K140" s="91" t="s">
        <v>272</v>
      </c>
      <c r="L140" s="91"/>
    </row>
    <row r="141" spans="1:12" s="88" customFormat="1" x14ac:dyDescent="0.4">
      <c r="A141" s="93">
        <v>20631</v>
      </c>
      <c r="B141" s="93" t="s">
        <v>330</v>
      </c>
      <c r="C141" s="93" t="s">
        <v>320</v>
      </c>
      <c r="D141" s="93">
        <v>5</v>
      </c>
      <c r="E141" s="93" t="s">
        <v>269</v>
      </c>
      <c r="F141" s="93" t="s">
        <v>294</v>
      </c>
      <c r="G141" s="93"/>
      <c r="H141" s="93" t="s">
        <v>295</v>
      </c>
      <c r="I141" s="93" t="s">
        <v>321</v>
      </c>
      <c r="J141" s="93"/>
      <c r="K141" s="93" t="s">
        <v>272</v>
      </c>
      <c r="L141" s="93"/>
    </row>
    <row r="142" spans="1:12" s="88" customFormat="1" x14ac:dyDescent="0.4">
      <c r="A142" s="93">
        <v>20632</v>
      </c>
      <c r="B142" s="93" t="s">
        <v>330</v>
      </c>
      <c r="C142" s="93" t="s">
        <v>320</v>
      </c>
      <c r="D142" s="93">
        <v>5</v>
      </c>
      <c r="E142" s="93" t="s">
        <v>269</v>
      </c>
      <c r="F142" s="93" t="s">
        <v>294</v>
      </c>
      <c r="G142" s="93"/>
      <c r="H142" s="93" t="s">
        <v>295</v>
      </c>
      <c r="I142" s="93" t="s">
        <v>321</v>
      </c>
      <c r="J142" s="93"/>
      <c r="K142" s="93" t="s">
        <v>272</v>
      </c>
      <c r="L142" s="93"/>
    </row>
    <row r="143" spans="1:12" x14ac:dyDescent="0.4">
      <c r="A143" s="91">
        <v>20731</v>
      </c>
      <c r="B143" s="91" t="s">
        <v>331</v>
      </c>
      <c r="C143" s="91" t="s">
        <v>320</v>
      </c>
      <c r="D143" s="91">
        <v>5</v>
      </c>
      <c r="E143" s="91" t="s">
        <v>269</v>
      </c>
      <c r="F143" s="91" t="s">
        <v>294</v>
      </c>
      <c r="G143" s="91"/>
      <c r="H143" s="91" t="s">
        <v>295</v>
      </c>
      <c r="I143" s="91" t="s">
        <v>321</v>
      </c>
      <c r="J143" s="91"/>
      <c r="K143" s="91" t="s">
        <v>272</v>
      </c>
      <c r="L143" s="91"/>
    </row>
    <row r="144" spans="1:12" x14ac:dyDescent="0.4">
      <c r="A144" s="91">
        <v>20732</v>
      </c>
      <c r="B144" s="91" t="s">
        <v>331</v>
      </c>
      <c r="C144" s="91" t="s">
        <v>320</v>
      </c>
      <c r="D144" s="91">
        <v>5</v>
      </c>
      <c r="E144" s="91" t="s">
        <v>269</v>
      </c>
      <c r="F144" s="91" t="s">
        <v>294</v>
      </c>
      <c r="G144" s="91"/>
      <c r="H144" s="91" t="s">
        <v>295</v>
      </c>
      <c r="I144" s="91" t="s">
        <v>321</v>
      </c>
      <c r="J144" s="91"/>
      <c r="K144" s="91" t="s">
        <v>272</v>
      </c>
      <c r="L144" s="91"/>
    </row>
    <row r="145" spans="1:12" s="88" customFormat="1" x14ac:dyDescent="0.4">
      <c r="A145" s="93">
        <v>20831</v>
      </c>
      <c r="B145" s="93" t="s">
        <v>332</v>
      </c>
      <c r="C145" s="93" t="s">
        <v>320</v>
      </c>
      <c r="D145" s="93">
        <v>5</v>
      </c>
      <c r="E145" s="93" t="s">
        <v>269</v>
      </c>
      <c r="F145" s="93" t="s">
        <v>294</v>
      </c>
      <c r="G145" s="93"/>
      <c r="H145" s="93" t="s">
        <v>295</v>
      </c>
      <c r="I145" s="93" t="s">
        <v>321</v>
      </c>
      <c r="J145" s="93"/>
      <c r="K145" s="93" t="s">
        <v>272</v>
      </c>
      <c r="L145" s="93"/>
    </row>
    <row r="146" spans="1:12" s="88" customFormat="1" x14ac:dyDescent="0.4">
      <c r="A146" s="93">
        <v>20832</v>
      </c>
      <c r="B146" s="93" t="s">
        <v>332</v>
      </c>
      <c r="C146" s="93" t="s">
        <v>320</v>
      </c>
      <c r="D146" s="93">
        <v>5</v>
      </c>
      <c r="E146" s="93" t="s">
        <v>269</v>
      </c>
      <c r="F146" s="93" t="s">
        <v>294</v>
      </c>
      <c r="G146" s="93"/>
      <c r="H146" s="93" t="s">
        <v>295</v>
      </c>
      <c r="I146" s="93" t="s">
        <v>321</v>
      </c>
      <c r="J146" s="93"/>
      <c r="K146" s="93" t="s">
        <v>272</v>
      </c>
      <c r="L146" s="93"/>
    </row>
    <row r="147" spans="1:12" x14ac:dyDescent="0.4">
      <c r="A147" s="91">
        <v>20931</v>
      </c>
      <c r="B147" s="91" t="s">
        <v>333</v>
      </c>
      <c r="C147" s="91" t="s">
        <v>320</v>
      </c>
      <c r="D147" s="91">
        <v>5</v>
      </c>
      <c r="E147" s="91" t="s">
        <v>269</v>
      </c>
      <c r="F147" s="91" t="s">
        <v>294</v>
      </c>
      <c r="G147" s="91"/>
      <c r="H147" s="91" t="s">
        <v>295</v>
      </c>
      <c r="I147" s="91" t="s">
        <v>325</v>
      </c>
      <c r="J147" s="91"/>
      <c r="K147" s="91" t="s">
        <v>272</v>
      </c>
      <c r="L147" s="91"/>
    </row>
    <row r="148" spans="1:12" x14ac:dyDescent="0.4">
      <c r="A148" s="91">
        <v>20932</v>
      </c>
      <c r="B148" s="91" t="s">
        <v>333</v>
      </c>
      <c r="C148" s="91" t="s">
        <v>320</v>
      </c>
      <c r="D148" s="91">
        <v>5</v>
      </c>
      <c r="E148" s="91" t="s">
        <v>269</v>
      </c>
      <c r="F148" s="91" t="s">
        <v>294</v>
      </c>
      <c r="G148" s="91"/>
      <c r="H148" s="91" t="s">
        <v>295</v>
      </c>
      <c r="I148" s="91" t="s">
        <v>325</v>
      </c>
      <c r="J148" s="91"/>
      <c r="K148" s="91" t="s">
        <v>272</v>
      </c>
      <c r="L148" s="91"/>
    </row>
    <row r="149" spans="1:12" x14ac:dyDescent="0.4">
      <c r="A149" s="91">
        <v>20933</v>
      </c>
      <c r="B149" s="91" t="s">
        <v>334</v>
      </c>
      <c r="C149" s="91" t="s">
        <v>320</v>
      </c>
      <c r="D149" s="91">
        <v>5</v>
      </c>
      <c r="E149" s="91" t="s">
        <v>269</v>
      </c>
      <c r="F149" s="91" t="s">
        <v>294</v>
      </c>
      <c r="G149" s="91"/>
      <c r="H149" s="91" t="s">
        <v>295</v>
      </c>
      <c r="I149" s="91" t="s">
        <v>327</v>
      </c>
      <c r="J149" s="91"/>
      <c r="K149" s="91" t="s">
        <v>272</v>
      </c>
      <c r="L149" s="91"/>
    </row>
    <row r="150" spans="1:12" x14ac:dyDescent="0.4">
      <c r="A150" s="91">
        <v>20934</v>
      </c>
      <c r="B150" s="91" t="s">
        <v>334</v>
      </c>
      <c r="C150" s="91" t="s">
        <v>320</v>
      </c>
      <c r="D150" s="91">
        <v>5</v>
      </c>
      <c r="E150" s="91" t="s">
        <v>269</v>
      </c>
      <c r="F150" s="91" t="s">
        <v>294</v>
      </c>
      <c r="G150" s="91"/>
      <c r="H150" s="91" t="s">
        <v>295</v>
      </c>
      <c r="I150" s="91" t="s">
        <v>327</v>
      </c>
      <c r="J150" s="91"/>
      <c r="K150" s="91" t="s">
        <v>272</v>
      </c>
      <c r="L150" s="91"/>
    </row>
    <row r="151" spans="1:12" s="88" customFormat="1" x14ac:dyDescent="0.4">
      <c r="A151" s="93">
        <v>21000</v>
      </c>
      <c r="B151" s="93" t="s">
        <v>335</v>
      </c>
      <c r="C151" s="93" t="s">
        <v>336</v>
      </c>
      <c r="D151" s="93"/>
      <c r="E151" s="93"/>
      <c r="F151" s="93"/>
      <c r="G151" s="93"/>
      <c r="H151" s="93"/>
      <c r="I151" s="93"/>
      <c r="J151" s="93"/>
      <c r="K151" s="93" t="s">
        <v>272</v>
      </c>
      <c r="L151" s="93"/>
    </row>
    <row r="152" spans="1:12" x14ac:dyDescent="0.4">
      <c r="A152" s="91">
        <v>20166</v>
      </c>
      <c r="B152" s="91" t="s">
        <v>337</v>
      </c>
      <c r="C152" s="91" t="s">
        <v>338</v>
      </c>
      <c r="D152" s="91"/>
      <c r="E152" s="91"/>
      <c r="F152" s="91"/>
      <c r="G152" s="91"/>
      <c r="H152" s="91"/>
      <c r="I152" s="91"/>
      <c r="J152" s="91"/>
      <c r="K152" s="91" t="s">
        <v>272</v>
      </c>
      <c r="L152" s="91"/>
    </row>
    <row r="153" spans="1:12" x14ac:dyDescent="0.4">
      <c r="A153" s="91">
        <v>20266</v>
      </c>
      <c r="B153" s="91" t="s">
        <v>339</v>
      </c>
      <c r="C153" s="91" t="s">
        <v>338</v>
      </c>
      <c r="D153" s="91"/>
      <c r="E153" s="91"/>
      <c r="F153" s="91"/>
      <c r="G153" s="91"/>
      <c r="H153" s="91"/>
      <c r="I153" s="91"/>
      <c r="J153" s="91"/>
      <c r="K153" s="91" t="s">
        <v>272</v>
      </c>
      <c r="L153" s="91"/>
    </row>
    <row r="154" spans="1:12" x14ac:dyDescent="0.4">
      <c r="A154" s="91">
        <v>20366</v>
      </c>
      <c r="B154" s="91" t="s">
        <v>340</v>
      </c>
      <c r="C154" s="91" t="s">
        <v>338</v>
      </c>
      <c r="D154" s="91"/>
      <c r="E154" s="91"/>
      <c r="F154" s="91"/>
      <c r="G154" s="91"/>
      <c r="H154" s="91"/>
      <c r="I154" s="91"/>
      <c r="J154" s="91"/>
      <c r="K154" s="91" t="s">
        <v>272</v>
      </c>
      <c r="L154" s="91"/>
    </row>
    <row r="155" spans="1:12" x14ac:dyDescent="0.4">
      <c r="A155" s="91">
        <v>20466</v>
      </c>
      <c r="B155" s="91" t="s">
        <v>341</v>
      </c>
      <c r="C155" s="91" t="s">
        <v>338</v>
      </c>
      <c r="D155" s="91"/>
      <c r="E155" s="91"/>
      <c r="F155" s="91"/>
      <c r="G155" s="91"/>
      <c r="H155" s="91"/>
      <c r="I155" s="91"/>
      <c r="J155" s="91"/>
      <c r="K155" s="91" t="s">
        <v>272</v>
      </c>
      <c r="L155" s="91"/>
    </row>
    <row r="156" spans="1:12" x14ac:dyDescent="0.4">
      <c r="A156" s="91">
        <v>20566</v>
      </c>
      <c r="B156" s="91" t="s">
        <v>342</v>
      </c>
      <c r="C156" s="91" t="s">
        <v>338</v>
      </c>
      <c r="D156" s="91"/>
      <c r="E156" s="91"/>
      <c r="F156" s="91"/>
      <c r="G156" s="91"/>
      <c r="H156" s="91"/>
      <c r="I156" s="91"/>
      <c r="J156" s="91"/>
      <c r="K156" s="91" t="s">
        <v>272</v>
      </c>
      <c r="L156" s="91"/>
    </row>
    <row r="157" spans="1:12" x14ac:dyDescent="0.4">
      <c r="A157" s="91">
        <v>20666</v>
      </c>
      <c r="B157" s="91" t="s">
        <v>343</v>
      </c>
      <c r="C157" s="91" t="s">
        <v>338</v>
      </c>
      <c r="D157" s="91"/>
      <c r="E157" s="91"/>
      <c r="F157" s="91"/>
      <c r="G157" s="91"/>
      <c r="H157" s="91"/>
      <c r="I157" s="91"/>
      <c r="J157" s="91"/>
      <c r="K157" s="91" t="s">
        <v>272</v>
      </c>
      <c r="L157" s="91"/>
    </row>
    <row r="158" spans="1:12" x14ac:dyDescent="0.4">
      <c r="A158" s="91">
        <v>20766</v>
      </c>
      <c r="B158" s="91" t="s">
        <v>344</v>
      </c>
      <c r="C158" s="91" t="s">
        <v>338</v>
      </c>
      <c r="D158" s="91"/>
      <c r="E158" s="91"/>
      <c r="F158" s="91"/>
      <c r="G158" s="91"/>
      <c r="H158" s="91"/>
      <c r="I158" s="91"/>
      <c r="J158" s="91"/>
      <c r="K158" s="91" t="s">
        <v>272</v>
      </c>
      <c r="L158" s="91"/>
    </row>
    <row r="159" spans="1:12" x14ac:dyDescent="0.4">
      <c r="A159" s="91">
        <v>20866</v>
      </c>
      <c r="B159" s="91" t="s">
        <v>345</v>
      </c>
      <c r="C159" s="91" t="s">
        <v>338</v>
      </c>
      <c r="D159" s="91"/>
      <c r="E159" s="91"/>
      <c r="F159" s="91"/>
      <c r="G159" s="91"/>
      <c r="H159" s="91"/>
      <c r="I159" s="91"/>
      <c r="J159" s="91"/>
      <c r="K159" s="91" t="s">
        <v>272</v>
      </c>
      <c r="L159" s="91"/>
    </row>
    <row r="160" spans="1:12" x14ac:dyDescent="0.4">
      <c r="A160" s="91">
        <v>20966</v>
      </c>
      <c r="B160" s="91" t="s">
        <v>346</v>
      </c>
      <c r="C160" s="91" t="s">
        <v>338</v>
      </c>
      <c r="D160" s="91"/>
      <c r="E160" s="91"/>
      <c r="F160" s="91"/>
      <c r="G160" s="91"/>
      <c r="H160" s="91"/>
      <c r="I160" s="91"/>
      <c r="J160" s="91"/>
      <c r="K160" s="91" t="s">
        <v>272</v>
      </c>
      <c r="L160" s="91"/>
    </row>
  </sheetData>
  <phoneticPr fontId="1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27"/>
  <sheetViews>
    <sheetView tabSelected="1" zoomScale="85" zoomScaleNormal="85" workbookViewId="0">
      <pane xSplit="4" ySplit="3" topLeftCell="N190" activePane="bottomRight" state="frozen"/>
      <selection pane="topRight"/>
      <selection pane="bottomLeft"/>
      <selection pane="bottomRight" activeCell="R191" sqref="R191"/>
    </sheetView>
  </sheetViews>
  <sheetFormatPr defaultColWidth="8.90625" defaultRowHeight="16.5" x14ac:dyDescent="0.25"/>
  <cols>
    <col min="1" max="1" width="11.90625" style="4" customWidth="1"/>
    <col min="2" max="2" width="10.453125" style="5" customWidth="1"/>
    <col min="3" max="3" width="20.90625" style="5" customWidth="1"/>
    <col min="4" max="4" width="20.90625" style="6" customWidth="1"/>
    <col min="5" max="5" width="8.90625" style="7"/>
    <col min="6" max="6" width="8.90625" style="5"/>
    <col min="7" max="7" width="14.36328125" style="7" customWidth="1"/>
    <col min="8" max="8" width="18.453125" style="5" customWidth="1"/>
    <col min="9" max="9" width="20.36328125" style="5" customWidth="1"/>
    <col min="10" max="11" width="18.453125" style="5" customWidth="1"/>
    <col min="12" max="12" width="16" style="5" customWidth="1"/>
    <col min="13" max="13" width="15.90625" style="5" customWidth="1"/>
    <col min="14" max="14" width="19.453125" style="5" customWidth="1"/>
    <col min="15" max="15" width="28.453125" style="5" customWidth="1"/>
    <col min="16" max="16" width="22.08984375" style="5" customWidth="1"/>
    <col min="17" max="17" width="28.36328125" style="5" customWidth="1"/>
    <col min="18" max="18" width="26.453125" style="5" customWidth="1"/>
    <col min="19" max="19" width="13.90625" style="5" customWidth="1"/>
    <col min="20" max="20" width="15" style="8" customWidth="1"/>
    <col min="21" max="21" width="12.6328125" style="5" customWidth="1"/>
    <col min="22" max="22" width="31.7265625" style="83" customWidth="1"/>
    <col min="23" max="23" width="11.6328125" style="83" customWidth="1"/>
    <col min="24" max="25" width="32.90625" style="83" customWidth="1"/>
    <col min="26" max="26" width="16" style="83" customWidth="1"/>
    <col min="27" max="27" width="38" style="83" customWidth="1"/>
    <col min="28" max="28" width="26.90625" style="83" customWidth="1"/>
    <col min="29" max="29" width="21.453125" style="83" customWidth="1"/>
    <col min="30" max="30" width="22.6328125" style="83" customWidth="1"/>
    <col min="31" max="31" width="15" style="83" customWidth="1"/>
    <col min="32" max="16384" width="8.90625" style="5"/>
  </cols>
  <sheetData>
    <row r="1" spans="1:33" x14ac:dyDescent="0.25">
      <c r="A1" s="9" t="s">
        <v>347</v>
      </c>
      <c r="B1" s="10"/>
      <c r="U1" s="5" t="s">
        <v>348</v>
      </c>
    </row>
    <row r="2" spans="1:33" s="1" customFormat="1" ht="23.25" customHeight="1" x14ac:dyDescent="0.25">
      <c r="A2" s="11" t="s">
        <v>349</v>
      </c>
      <c r="B2" s="1" t="s">
        <v>350</v>
      </c>
      <c r="C2" s="1" t="s">
        <v>351</v>
      </c>
      <c r="D2" s="12" t="s">
        <v>352</v>
      </c>
      <c r="E2" s="3" t="s">
        <v>353</v>
      </c>
      <c r="F2" s="1" t="s">
        <v>13</v>
      </c>
      <c r="G2" s="3" t="s">
        <v>354</v>
      </c>
      <c r="H2" s="1" t="s">
        <v>355</v>
      </c>
      <c r="I2" s="1" t="s">
        <v>356</v>
      </c>
      <c r="J2" s="1" t="s">
        <v>357</v>
      </c>
      <c r="L2" s="1" t="s">
        <v>358</v>
      </c>
      <c r="M2" s="1" t="s">
        <v>359</v>
      </c>
      <c r="N2" s="1" t="s">
        <v>360</v>
      </c>
      <c r="O2" s="1" t="s">
        <v>361</v>
      </c>
      <c r="P2" s="1" t="s">
        <v>362</v>
      </c>
      <c r="Q2" s="1" t="s">
        <v>363</v>
      </c>
      <c r="R2" s="1" t="s">
        <v>364</v>
      </c>
      <c r="S2" s="1" t="s">
        <v>365</v>
      </c>
      <c r="T2" s="16" t="s">
        <v>366</v>
      </c>
      <c r="U2" s="5" t="s">
        <v>367</v>
      </c>
      <c r="V2" s="18" t="s">
        <v>368</v>
      </c>
      <c r="W2" s="18"/>
      <c r="X2" s="18" t="s">
        <v>369</v>
      </c>
      <c r="Y2" s="18"/>
      <c r="Z2" s="83" t="s">
        <v>370</v>
      </c>
      <c r="AA2" s="18" t="s">
        <v>371</v>
      </c>
      <c r="AB2" s="18"/>
      <c r="AC2" s="18" t="s">
        <v>372</v>
      </c>
      <c r="AD2" s="18" t="s">
        <v>373</v>
      </c>
      <c r="AE2" s="18" t="s">
        <v>374</v>
      </c>
    </row>
    <row r="3" spans="1:33" s="1" customFormat="1" ht="22.5" customHeight="1" x14ac:dyDescent="0.25">
      <c r="A3" s="11" t="s">
        <v>2</v>
      </c>
      <c r="B3" s="1" t="s">
        <v>375</v>
      </c>
      <c r="C3" s="1" t="s">
        <v>376</v>
      </c>
      <c r="D3" s="12"/>
      <c r="E3" s="3" t="s">
        <v>88</v>
      </c>
      <c r="F3" s="1" t="s">
        <v>377</v>
      </c>
      <c r="G3" s="3" t="s">
        <v>378</v>
      </c>
      <c r="H3" s="1" t="s">
        <v>379</v>
      </c>
      <c r="I3" s="1" t="s">
        <v>380</v>
      </c>
      <c r="J3" s="1" t="s">
        <v>381</v>
      </c>
      <c r="L3" s="1" t="s">
        <v>382</v>
      </c>
      <c r="M3" s="1" t="s">
        <v>383</v>
      </c>
      <c r="N3" s="1" t="s">
        <v>384</v>
      </c>
      <c r="O3" s="1" t="s">
        <v>385</v>
      </c>
      <c r="P3" s="1" t="s">
        <v>386</v>
      </c>
      <c r="Q3" s="1" t="s">
        <v>387</v>
      </c>
      <c r="R3" s="1" t="s">
        <v>388</v>
      </c>
      <c r="S3" s="1" t="s">
        <v>90</v>
      </c>
      <c r="T3" s="16" t="s">
        <v>91</v>
      </c>
      <c r="U3" s="1" t="s">
        <v>389</v>
      </c>
      <c r="V3" s="18" t="s">
        <v>79</v>
      </c>
      <c r="W3" s="18"/>
      <c r="X3" s="18" t="s">
        <v>86</v>
      </c>
      <c r="Y3" s="18"/>
      <c r="Z3" s="18" t="s">
        <v>390</v>
      </c>
      <c r="AA3" s="18" t="s">
        <v>391</v>
      </c>
      <c r="AB3" s="18"/>
      <c r="AC3" s="18" t="s">
        <v>392</v>
      </c>
      <c r="AD3" s="18" t="s">
        <v>393</v>
      </c>
      <c r="AE3" s="18" t="s">
        <v>394</v>
      </c>
    </row>
    <row r="4" spans="1:33" s="1" customFormat="1" ht="49.5" x14ac:dyDescent="0.25">
      <c r="A4" s="13">
        <f t="shared" ref="A4:A49" si="0">B4*100+E4</f>
        <v>311101</v>
      </c>
      <c r="B4" s="14">
        <v>3111</v>
      </c>
      <c r="C4" s="1" t="s">
        <v>143</v>
      </c>
      <c r="D4" s="12" t="s">
        <v>395</v>
      </c>
      <c r="E4" s="3">
        <v>1</v>
      </c>
      <c r="F4" s="5" t="s">
        <v>396</v>
      </c>
      <c r="G4" s="3">
        <v>1</v>
      </c>
      <c r="H4" s="1">
        <v>3</v>
      </c>
      <c r="I4" s="1">
        <v>1</v>
      </c>
      <c r="M4" s="1">
        <v>3600</v>
      </c>
      <c r="N4" s="1">
        <v>40000</v>
      </c>
      <c r="O4" s="1" t="s">
        <v>397</v>
      </c>
      <c r="P4" s="1">
        <v>1000</v>
      </c>
      <c r="Q4" s="1" t="s">
        <v>398</v>
      </c>
      <c r="R4" s="1">
        <v>10</v>
      </c>
      <c r="S4" s="18">
        <v>1060</v>
      </c>
      <c r="T4" s="16">
        <v>0.01</v>
      </c>
      <c r="V4" s="18" t="s">
        <v>399</v>
      </c>
      <c r="W4" s="18" t="s">
        <v>400</v>
      </c>
      <c r="X4" s="18" t="s">
        <v>401</v>
      </c>
      <c r="Y4" s="84" t="s">
        <v>402</v>
      </c>
      <c r="Z4" s="84"/>
      <c r="AA4" s="18" t="s">
        <v>403</v>
      </c>
      <c r="AB4" s="18" t="s">
        <v>404</v>
      </c>
      <c r="AC4" s="83" t="s">
        <v>405</v>
      </c>
      <c r="AD4" s="85" t="s">
        <v>406</v>
      </c>
      <c r="AE4" s="86" t="s">
        <v>407</v>
      </c>
      <c r="AG4" s="22"/>
    </row>
    <row r="5" spans="1:33" s="1" customFormat="1" ht="49.5" x14ac:dyDescent="0.25">
      <c r="A5" s="13">
        <f t="shared" si="0"/>
        <v>311102</v>
      </c>
      <c r="B5" s="14">
        <v>3111</v>
      </c>
      <c r="C5" s="1" t="s">
        <v>143</v>
      </c>
      <c r="D5" s="12" t="s">
        <v>395</v>
      </c>
      <c r="E5" s="3">
        <v>2</v>
      </c>
      <c r="F5" s="5" t="s">
        <v>396</v>
      </c>
      <c r="G5" s="3">
        <v>1</v>
      </c>
      <c r="H5" s="1">
        <v>3</v>
      </c>
      <c r="I5" s="1">
        <v>1</v>
      </c>
      <c r="M5" s="1">
        <v>4320</v>
      </c>
      <c r="N5" s="1">
        <v>48000</v>
      </c>
      <c r="O5" s="1" t="s">
        <v>408</v>
      </c>
      <c r="P5" s="1">
        <v>1200</v>
      </c>
      <c r="Q5" s="1" t="s">
        <v>398</v>
      </c>
      <c r="R5" s="1">
        <v>10</v>
      </c>
      <c r="S5" s="18">
        <v>1060</v>
      </c>
      <c r="T5" s="16">
        <v>0.01</v>
      </c>
      <c r="V5" s="18" t="s">
        <v>399</v>
      </c>
      <c r="W5" s="18" t="s">
        <v>400</v>
      </c>
      <c r="X5" s="18" t="s">
        <v>401</v>
      </c>
      <c r="Y5" s="84" t="s">
        <v>402</v>
      </c>
      <c r="Z5" s="84"/>
      <c r="AA5" s="18" t="s">
        <v>403</v>
      </c>
      <c r="AB5" s="18" t="s">
        <v>404</v>
      </c>
      <c r="AC5" s="83" t="s">
        <v>405</v>
      </c>
      <c r="AD5" s="85" t="s">
        <v>406</v>
      </c>
      <c r="AE5" s="86" t="s">
        <v>407</v>
      </c>
      <c r="AG5" s="22"/>
    </row>
    <row r="6" spans="1:33" s="1" customFormat="1" ht="49.5" x14ac:dyDescent="0.25">
      <c r="A6" s="13">
        <f t="shared" si="0"/>
        <v>311103</v>
      </c>
      <c r="B6" s="14">
        <v>3111</v>
      </c>
      <c r="C6" s="1" t="s">
        <v>143</v>
      </c>
      <c r="D6" s="12" t="s">
        <v>395</v>
      </c>
      <c r="E6" s="3">
        <v>3</v>
      </c>
      <c r="F6" s="5" t="s">
        <v>396</v>
      </c>
      <c r="G6" s="3">
        <v>1</v>
      </c>
      <c r="H6" s="1">
        <v>3</v>
      </c>
      <c r="I6" s="1">
        <v>1</v>
      </c>
      <c r="M6" s="1">
        <v>5400</v>
      </c>
      <c r="N6" s="1">
        <v>60000</v>
      </c>
      <c r="O6" s="1" t="s">
        <v>409</v>
      </c>
      <c r="P6" s="1">
        <v>1500</v>
      </c>
      <c r="Q6" s="1" t="s">
        <v>398</v>
      </c>
      <c r="R6" s="1">
        <v>10</v>
      </c>
      <c r="S6" s="18">
        <v>1060</v>
      </c>
      <c r="T6" s="16">
        <v>0.01</v>
      </c>
      <c r="V6" s="18" t="s">
        <v>399</v>
      </c>
      <c r="W6" s="18" t="s">
        <v>400</v>
      </c>
      <c r="X6" s="18" t="s">
        <v>401</v>
      </c>
      <c r="Y6" s="84" t="s">
        <v>402</v>
      </c>
      <c r="Z6" s="84"/>
      <c r="AA6" s="18" t="s">
        <v>403</v>
      </c>
      <c r="AB6" s="18" t="s">
        <v>404</v>
      </c>
      <c r="AC6" s="83" t="s">
        <v>405</v>
      </c>
      <c r="AD6" s="85" t="s">
        <v>406</v>
      </c>
      <c r="AE6" s="86" t="s">
        <v>407</v>
      </c>
      <c r="AG6" s="22"/>
    </row>
    <row r="7" spans="1:33" s="1" customFormat="1" ht="49.5" x14ac:dyDescent="0.25">
      <c r="A7" s="13">
        <f t="shared" si="0"/>
        <v>311104</v>
      </c>
      <c r="B7" s="14">
        <v>3111</v>
      </c>
      <c r="C7" s="1" t="s">
        <v>143</v>
      </c>
      <c r="D7" s="12" t="s">
        <v>395</v>
      </c>
      <c r="E7" s="3">
        <v>4</v>
      </c>
      <c r="F7" s="5" t="s">
        <v>396</v>
      </c>
      <c r="G7" s="3">
        <v>2</v>
      </c>
      <c r="H7" s="1">
        <v>3</v>
      </c>
      <c r="I7" s="1">
        <v>1</v>
      </c>
      <c r="M7" s="1">
        <v>7200</v>
      </c>
      <c r="N7" s="1">
        <v>70000</v>
      </c>
      <c r="O7" s="1" t="s">
        <v>410</v>
      </c>
      <c r="P7" s="1">
        <v>2000</v>
      </c>
      <c r="Q7" s="1" t="s">
        <v>398</v>
      </c>
      <c r="R7" s="1">
        <v>10</v>
      </c>
      <c r="S7" s="18">
        <v>1060</v>
      </c>
      <c r="T7" s="16">
        <v>0.01</v>
      </c>
      <c r="V7" s="18" t="s">
        <v>399</v>
      </c>
      <c r="W7" s="18" t="s">
        <v>400</v>
      </c>
      <c r="X7" s="18" t="s">
        <v>401</v>
      </c>
      <c r="Y7" s="84" t="s">
        <v>402</v>
      </c>
      <c r="Z7" s="84"/>
      <c r="AA7" s="18" t="s">
        <v>403</v>
      </c>
      <c r="AB7" s="18" t="s">
        <v>404</v>
      </c>
      <c r="AC7" s="83" t="s">
        <v>405</v>
      </c>
      <c r="AD7" s="85" t="s">
        <v>406</v>
      </c>
      <c r="AE7" s="86" t="s">
        <v>407</v>
      </c>
      <c r="AG7" s="22"/>
    </row>
    <row r="8" spans="1:33" s="1" customFormat="1" ht="49.5" x14ac:dyDescent="0.25">
      <c r="A8" s="13">
        <f t="shared" si="0"/>
        <v>311105</v>
      </c>
      <c r="B8" s="14">
        <v>3111</v>
      </c>
      <c r="C8" s="1" t="s">
        <v>143</v>
      </c>
      <c r="D8" s="12" t="s">
        <v>395</v>
      </c>
      <c r="E8" s="3">
        <v>5</v>
      </c>
      <c r="F8" s="5" t="s">
        <v>396</v>
      </c>
      <c r="G8" s="3">
        <v>2</v>
      </c>
      <c r="H8" s="1">
        <v>3</v>
      </c>
      <c r="I8" s="1">
        <v>1</v>
      </c>
      <c r="M8" s="1">
        <v>10800</v>
      </c>
      <c r="N8" s="1">
        <v>80000</v>
      </c>
      <c r="O8" s="1" t="s">
        <v>411</v>
      </c>
      <c r="P8" s="1">
        <v>3000</v>
      </c>
      <c r="Q8" s="1" t="s">
        <v>398</v>
      </c>
      <c r="R8" s="1">
        <v>10</v>
      </c>
      <c r="S8" s="18">
        <v>1060</v>
      </c>
      <c r="T8" s="16">
        <v>0.01</v>
      </c>
      <c r="V8" s="18" t="s">
        <v>399</v>
      </c>
      <c r="W8" s="18" t="s">
        <v>400</v>
      </c>
      <c r="X8" s="18" t="s">
        <v>401</v>
      </c>
      <c r="Y8" s="84" t="s">
        <v>402</v>
      </c>
      <c r="Z8" s="84"/>
      <c r="AA8" s="18" t="s">
        <v>403</v>
      </c>
      <c r="AB8" s="18" t="s">
        <v>404</v>
      </c>
      <c r="AC8" s="83" t="s">
        <v>405</v>
      </c>
      <c r="AD8" s="85" t="s">
        <v>406</v>
      </c>
      <c r="AE8" s="86" t="s">
        <v>407</v>
      </c>
      <c r="AG8" s="22"/>
    </row>
    <row r="9" spans="1:33" s="1" customFormat="1" ht="49.5" x14ac:dyDescent="0.25">
      <c r="A9" s="13">
        <f t="shared" si="0"/>
        <v>311201</v>
      </c>
      <c r="B9" s="14">
        <v>3112</v>
      </c>
      <c r="C9" s="1" t="s">
        <v>143</v>
      </c>
      <c r="D9" s="15" t="s">
        <v>412</v>
      </c>
      <c r="E9" s="3">
        <v>1</v>
      </c>
      <c r="F9" s="5" t="s">
        <v>396</v>
      </c>
      <c r="G9" s="3">
        <v>1</v>
      </c>
      <c r="H9" s="1">
        <v>3</v>
      </c>
      <c r="I9" s="1">
        <v>1</v>
      </c>
      <c r="M9" s="1">
        <v>3600</v>
      </c>
      <c r="N9" s="1">
        <v>40000</v>
      </c>
      <c r="O9" s="1" t="s">
        <v>397</v>
      </c>
      <c r="P9" s="1">
        <v>1000</v>
      </c>
      <c r="Q9" s="1" t="s">
        <v>398</v>
      </c>
      <c r="R9" s="1">
        <v>10</v>
      </c>
      <c r="S9" s="18">
        <v>1065</v>
      </c>
      <c r="T9" s="16">
        <v>0.01</v>
      </c>
      <c r="V9" s="18" t="s">
        <v>413</v>
      </c>
      <c r="W9" s="18" t="s">
        <v>414</v>
      </c>
      <c r="X9" s="18" t="s">
        <v>415</v>
      </c>
      <c r="Y9" s="84" t="s">
        <v>416</v>
      </c>
      <c r="Z9" s="84"/>
      <c r="AA9" s="18" t="s">
        <v>417</v>
      </c>
      <c r="AB9" s="87" t="s">
        <v>418</v>
      </c>
      <c r="AC9" s="83" t="s">
        <v>405</v>
      </c>
      <c r="AD9" s="85" t="s">
        <v>419</v>
      </c>
      <c r="AE9" s="86" t="s">
        <v>420</v>
      </c>
      <c r="AG9" s="22"/>
    </row>
    <row r="10" spans="1:33" s="1" customFormat="1" ht="49.5" x14ac:dyDescent="0.25">
      <c r="A10" s="13">
        <f t="shared" si="0"/>
        <v>311202</v>
      </c>
      <c r="B10" s="14">
        <v>3112</v>
      </c>
      <c r="C10" s="1" t="s">
        <v>143</v>
      </c>
      <c r="D10" s="15" t="s">
        <v>412</v>
      </c>
      <c r="E10" s="3">
        <v>2</v>
      </c>
      <c r="F10" s="5" t="s">
        <v>396</v>
      </c>
      <c r="G10" s="3">
        <v>1</v>
      </c>
      <c r="H10" s="1">
        <v>3</v>
      </c>
      <c r="I10" s="1">
        <v>1</v>
      </c>
      <c r="M10" s="1">
        <v>4320</v>
      </c>
      <c r="N10" s="1">
        <v>48000</v>
      </c>
      <c r="O10" s="1" t="s">
        <v>408</v>
      </c>
      <c r="P10" s="1">
        <v>1200</v>
      </c>
      <c r="Q10" s="1" t="s">
        <v>398</v>
      </c>
      <c r="R10" s="1">
        <v>10</v>
      </c>
      <c r="S10" s="18">
        <v>1065</v>
      </c>
      <c r="T10" s="16">
        <v>0.01</v>
      </c>
      <c r="V10" s="18" t="s">
        <v>413</v>
      </c>
      <c r="W10" s="18" t="s">
        <v>414</v>
      </c>
      <c r="X10" s="18" t="s">
        <v>415</v>
      </c>
      <c r="Y10" s="84" t="s">
        <v>416</v>
      </c>
      <c r="Z10" s="84"/>
      <c r="AA10" s="18" t="s">
        <v>417</v>
      </c>
      <c r="AB10" s="87" t="s">
        <v>418</v>
      </c>
      <c r="AC10" s="83" t="s">
        <v>405</v>
      </c>
      <c r="AD10" s="85" t="s">
        <v>419</v>
      </c>
      <c r="AE10" s="86" t="s">
        <v>420</v>
      </c>
      <c r="AG10" s="22"/>
    </row>
    <row r="11" spans="1:33" s="1" customFormat="1" ht="49.5" x14ac:dyDescent="0.25">
      <c r="A11" s="13">
        <f t="shared" si="0"/>
        <v>311203</v>
      </c>
      <c r="B11" s="14">
        <v>3112</v>
      </c>
      <c r="C11" s="1" t="s">
        <v>143</v>
      </c>
      <c r="D11" s="15" t="s">
        <v>412</v>
      </c>
      <c r="E11" s="3">
        <v>3</v>
      </c>
      <c r="F11" s="5" t="s">
        <v>396</v>
      </c>
      <c r="G11" s="3">
        <v>1</v>
      </c>
      <c r="H11" s="1">
        <v>3</v>
      </c>
      <c r="I11" s="1">
        <v>1</v>
      </c>
      <c r="M11" s="1">
        <v>5400</v>
      </c>
      <c r="N11" s="1">
        <v>60000</v>
      </c>
      <c r="O11" s="1" t="s">
        <v>409</v>
      </c>
      <c r="P11" s="1">
        <v>1500</v>
      </c>
      <c r="Q11" s="1" t="s">
        <v>398</v>
      </c>
      <c r="R11" s="1">
        <v>10</v>
      </c>
      <c r="S11" s="18">
        <v>1065</v>
      </c>
      <c r="T11" s="16">
        <v>0.01</v>
      </c>
      <c r="V11" s="18" t="s">
        <v>413</v>
      </c>
      <c r="W11" s="18" t="s">
        <v>414</v>
      </c>
      <c r="X11" s="18" t="s">
        <v>415</v>
      </c>
      <c r="Y11" s="84" t="s">
        <v>416</v>
      </c>
      <c r="Z11" s="84"/>
      <c r="AA11" s="18" t="s">
        <v>417</v>
      </c>
      <c r="AB11" s="87" t="s">
        <v>418</v>
      </c>
      <c r="AC11" s="83" t="s">
        <v>405</v>
      </c>
      <c r="AD11" s="85" t="s">
        <v>419</v>
      </c>
      <c r="AE11" s="86" t="s">
        <v>420</v>
      </c>
      <c r="AG11" s="22"/>
    </row>
    <row r="12" spans="1:33" s="1" customFormat="1" ht="49.5" x14ac:dyDescent="0.25">
      <c r="A12" s="13">
        <f t="shared" si="0"/>
        <v>311204</v>
      </c>
      <c r="B12" s="14">
        <v>3112</v>
      </c>
      <c r="C12" s="1" t="s">
        <v>143</v>
      </c>
      <c r="D12" s="15" t="s">
        <v>412</v>
      </c>
      <c r="E12" s="3">
        <v>4</v>
      </c>
      <c r="F12" s="5" t="s">
        <v>396</v>
      </c>
      <c r="G12" s="3">
        <v>2</v>
      </c>
      <c r="H12" s="1">
        <v>3</v>
      </c>
      <c r="I12" s="1">
        <v>1</v>
      </c>
      <c r="M12" s="1">
        <v>7200</v>
      </c>
      <c r="N12" s="1">
        <v>70000</v>
      </c>
      <c r="O12" s="1" t="s">
        <v>410</v>
      </c>
      <c r="P12" s="1">
        <v>2000</v>
      </c>
      <c r="Q12" s="1" t="s">
        <v>398</v>
      </c>
      <c r="R12" s="1">
        <v>10</v>
      </c>
      <c r="S12" s="18">
        <v>1065</v>
      </c>
      <c r="T12" s="16">
        <v>0.01</v>
      </c>
      <c r="V12" s="18" t="s">
        <v>413</v>
      </c>
      <c r="W12" s="18" t="s">
        <v>414</v>
      </c>
      <c r="X12" s="18" t="s">
        <v>415</v>
      </c>
      <c r="Y12" s="84" t="s">
        <v>416</v>
      </c>
      <c r="Z12" s="84"/>
      <c r="AA12" s="18" t="s">
        <v>417</v>
      </c>
      <c r="AB12" s="87" t="s">
        <v>418</v>
      </c>
      <c r="AC12" s="83" t="s">
        <v>405</v>
      </c>
      <c r="AD12" s="85" t="s">
        <v>419</v>
      </c>
      <c r="AE12" s="86" t="s">
        <v>420</v>
      </c>
      <c r="AG12" s="22"/>
    </row>
    <row r="13" spans="1:33" s="1" customFormat="1" ht="49.5" x14ac:dyDescent="0.25">
      <c r="A13" s="13">
        <f t="shared" si="0"/>
        <v>311205</v>
      </c>
      <c r="B13" s="14">
        <v>3112</v>
      </c>
      <c r="C13" s="1" t="s">
        <v>143</v>
      </c>
      <c r="D13" s="15" t="s">
        <v>412</v>
      </c>
      <c r="E13" s="3">
        <v>5</v>
      </c>
      <c r="F13" s="5" t="s">
        <v>396</v>
      </c>
      <c r="G13" s="3">
        <v>2</v>
      </c>
      <c r="H13" s="1">
        <v>3</v>
      </c>
      <c r="I13" s="1">
        <v>1</v>
      </c>
      <c r="M13" s="1">
        <v>10800</v>
      </c>
      <c r="N13" s="1">
        <v>80000</v>
      </c>
      <c r="O13" s="1" t="s">
        <v>411</v>
      </c>
      <c r="P13" s="1">
        <v>3000</v>
      </c>
      <c r="Q13" s="1" t="s">
        <v>398</v>
      </c>
      <c r="R13" s="1">
        <v>10</v>
      </c>
      <c r="S13" s="18">
        <v>1065</v>
      </c>
      <c r="T13" s="16">
        <v>0.01</v>
      </c>
      <c r="V13" s="18" t="s">
        <v>413</v>
      </c>
      <c r="W13" s="18" t="s">
        <v>414</v>
      </c>
      <c r="X13" s="18" t="s">
        <v>415</v>
      </c>
      <c r="Y13" s="84" t="s">
        <v>416</v>
      </c>
      <c r="Z13" s="84"/>
      <c r="AA13" s="18" t="s">
        <v>417</v>
      </c>
      <c r="AB13" s="87" t="s">
        <v>418</v>
      </c>
      <c r="AC13" s="83" t="s">
        <v>405</v>
      </c>
      <c r="AD13" s="85" t="s">
        <v>419</v>
      </c>
      <c r="AE13" s="86" t="s">
        <v>420</v>
      </c>
      <c r="AG13" s="22"/>
    </row>
    <row r="14" spans="1:33" s="1" customFormat="1" ht="49.5" x14ac:dyDescent="0.25">
      <c r="A14" s="13">
        <f t="shared" si="0"/>
        <v>312101</v>
      </c>
      <c r="B14" s="14">
        <v>3121</v>
      </c>
      <c r="C14" s="1" t="s">
        <v>143</v>
      </c>
      <c r="D14" s="12" t="s">
        <v>421</v>
      </c>
      <c r="E14" s="3">
        <v>1</v>
      </c>
      <c r="F14" s="5" t="s">
        <v>396</v>
      </c>
      <c r="G14" s="3">
        <v>3</v>
      </c>
      <c r="H14" s="1">
        <v>3</v>
      </c>
      <c r="I14" s="1">
        <v>2</v>
      </c>
      <c r="J14" s="1" t="s">
        <v>422</v>
      </c>
      <c r="K14" s="1" t="s">
        <v>423</v>
      </c>
      <c r="L14" s="1" t="s">
        <v>424</v>
      </c>
      <c r="M14" s="1">
        <v>3780</v>
      </c>
      <c r="N14" s="1">
        <v>42000</v>
      </c>
      <c r="O14" s="1" t="s">
        <v>425</v>
      </c>
      <c r="P14" s="1">
        <v>1050</v>
      </c>
      <c r="Q14" s="1" t="s">
        <v>398</v>
      </c>
      <c r="R14" s="1">
        <v>10</v>
      </c>
      <c r="S14" s="18">
        <v>19080</v>
      </c>
      <c r="T14" s="16">
        <v>0.01</v>
      </c>
      <c r="V14" s="18" t="s">
        <v>426</v>
      </c>
      <c r="W14" s="18" t="s">
        <v>427</v>
      </c>
      <c r="X14" s="18" t="s">
        <v>428</v>
      </c>
      <c r="Y14" s="84" t="s">
        <v>429</v>
      </c>
      <c r="Z14" s="84"/>
      <c r="AA14" s="18" t="s">
        <v>430</v>
      </c>
      <c r="AB14" s="18" t="s">
        <v>431</v>
      </c>
      <c r="AC14" s="83" t="s">
        <v>405</v>
      </c>
      <c r="AD14" s="85" t="s">
        <v>432</v>
      </c>
      <c r="AE14" s="86" t="s">
        <v>433</v>
      </c>
      <c r="AG14" s="22"/>
    </row>
    <row r="15" spans="1:33" s="1" customFormat="1" ht="49.5" x14ac:dyDescent="0.25">
      <c r="A15" s="13">
        <f t="shared" si="0"/>
        <v>312102</v>
      </c>
      <c r="B15" s="14">
        <v>3121</v>
      </c>
      <c r="C15" s="1" t="s">
        <v>143</v>
      </c>
      <c r="D15" s="12" t="s">
        <v>421</v>
      </c>
      <c r="E15" s="3">
        <v>2</v>
      </c>
      <c r="F15" s="5" t="s">
        <v>396</v>
      </c>
      <c r="G15" s="3">
        <v>3</v>
      </c>
      <c r="H15" s="1">
        <v>3</v>
      </c>
      <c r="I15" s="1">
        <v>2</v>
      </c>
      <c r="J15" s="1" t="s">
        <v>422</v>
      </c>
      <c r="K15" s="1" t="s">
        <v>423</v>
      </c>
      <c r="L15" s="1" t="s">
        <v>424</v>
      </c>
      <c r="M15" s="1">
        <v>4536</v>
      </c>
      <c r="N15" s="1">
        <v>50400</v>
      </c>
      <c r="O15" s="1" t="s">
        <v>434</v>
      </c>
      <c r="P15" s="1">
        <v>1260</v>
      </c>
      <c r="Q15" s="1" t="s">
        <v>398</v>
      </c>
      <c r="R15" s="1">
        <v>10</v>
      </c>
      <c r="S15" s="18">
        <v>19080</v>
      </c>
      <c r="T15" s="16">
        <v>0.01</v>
      </c>
      <c r="V15" s="18" t="s">
        <v>426</v>
      </c>
      <c r="W15" s="18" t="s">
        <v>427</v>
      </c>
      <c r="X15" s="18" t="s">
        <v>428</v>
      </c>
      <c r="Y15" s="84" t="s">
        <v>429</v>
      </c>
      <c r="Z15" s="84"/>
      <c r="AA15" s="18" t="s">
        <v>430</v>
      </c>
      <c r="AB15" s="18" t="s">
        <v>431</v>
      </c>
      <c r="AC15" s="83" t="s">
        <v>405</v>
      </c>
      <c r="AD15" s="85" t="s">
        <v>432</v>
      </c>
      <c r="AE15" s="86" t="s">
        <v>433</v>
      </c>
      <c r="AG15" s="22"/>
    </row>
    <row r="16" spans="1:33" s="1" customFormat="1" ht="49.5" x14ac:dyDescent="0.25">
      <c r="A16" s="13">
        <f t="shared" si="0"/>
        <v>312103</v>
      </c>
      <c r="B16" s="14">
        <v>3121</v>
      </c>
      <c r="C16" s="1" t="s">
        <v>143</v>
      </c>
      <c r="D16" s="12" t="s">
        <v>421</v>
      </c>
      <c r="E16" s="3">
        <v>3</v>
      </c>
      <c r="F16" s="5" t="s">
        <v>396</v>
      </c>
      <c r="G16" s="3">
        <v>3</v>
      </c>
      <c r="H16" s="1">
        <v>3</v>
      </c>
      <c r="I16" s="1">
        <v>2</v>
      </c>
      <c r="J16" s="1" t="s">
        <v>422</v>
      </c>
      <c r="K16" s="1" t="s">
        <v>423</v>
      </c>
      <c r="L16" s="1" t="s">
        <v>424</v>
      </c>
      <c r="M16" s="1">
        <v>5670</v>
      </c>
      <c r="N16" s="1">
        <v>63000</v>
      </c>
      <c r="O16" s="1" t="s">
        <v>435</v>
      </c>
      <c r="P16" s="1">
        <v>1575</v>
      </c>
      <c r="Q16" s="1" t="s">
        <v>398</v>
      </c>
      <c r="R16" s="1">
        <v>10</v>
      </c>
      <c r="S16" s="18">
        <v>19080</v>
      </c>
      <c r="T16" s="16">
        <v>0.01</v>
      </c>
      <c r="V16" s="18" t="s">
        <v>426</v>
      </c>
      <c r="W16" s="18" t="s">
        <v>427</v>
      </c>
      <c r="X16" s="18" t="s">
        <v>428</v>
      </c>
      <c r="Y16" s="84" t="s">
        <v>429</v>
      </c>
      <c r="Z16" s="84"/>
      <c r="AA16" s="18" t="s">
        <v>430</v>
      </c>
      <c r="AB16" s="18" t="s">
        <v>431</v>
      </c>
      <c r="AC16" s="83" t="s">
        <v>405</v>
      </c>
      <c r="AD16" s="85" t="s">
        <v>432</v>
      </c>
      <c r="AE16" s="86" t="s">
        <v>433</v>
      </c>
      <c r="AG16" s="22"/>
    </row>
    <row r="17" spans="1:33" s="1" customFormat="1" ht="49.5" x14ac:dyDescent="0.25">
      <c r="A17" s="13">
        <f t="shared" si="0"/>
        <v>312104</v>
      </c>
      <c r="B17" s="14">
        <v>3121</v>
      </c>
      <c r="C17" s="1" t="s">
        <v>143</v>
      </c>
      <c r="D17" s="12" t="s">
        <v>421</v>
      </c>
      <c r="E17" s="3">
        <v>4</v>
      </c>
      <c r="F17" s="5" t="s">
        <v>396</v>
      </c>
      <c r="G17" s="3">
        <v>4</v>
      </c>
      <c r="H17" s="1">
        <v>3</v>
      </c>
      <c r="I17" s="1">
        <v>2</v>
      </c>
      <c r="J17" s="1" t="s">
        <v>422</v>
      </c>
      <c r="K17" s="1" t="s">
        <v>423</v>
      </c>
      <c r="L17" s="1" t="s">
        <v>424</v>
      </c>
      <c r="M17" s="1">
        <v>7560</v>
      </c>
      <c r="N17" s="1">
        <v>73500</v>
      </c>
      <c r="O17" s="1" t="s">
        <v>436</v>
      </c>
      <c r="P17" s="1">
        <v>2100</v>
      </c>
      <c r="Q17" s="1" t="s">
        <v>398</v>
      </c>
      <c r="R17" s="1">
        <v>10</v>
      </c>
      <c r="S17" s="18">
        <v>19080</v>
      </c>
      <c r="T17" s="16">
        <v>0.01</v>
      </c>
      <c r="V17" s="18" t="s">
        <v>426</v>
      </c>
      <c r="W17" s="18" t="s">
        <v>427</v>
      </c>
      <c r="X17" s="18" t="s">
        <v>428</v>
      </c>
      <c r="Y17" s="84" t="s">
        <v>429</v>
      </c>
      <c r="Z17" s="84"/>
      <c r="AA17" s="18" t="s">
        <v>430</v>
      </c>
      <c r="AB17" s="18" t="s">
        <v>431</v>
      </c>
      <c r="AC17" s="83" t="s">
        <v>405</v>
      </c>
      <c r="AD17" s="85" t="s">
        <v>432</v>
      </c>
      <c r="AE17" s="86" t="s">
        <v>433</v>
      </c>
      <c r="AG17" s="22"/>
    </row>
    <row r="18" spans="1:33" s="1" customFormat="1" ht="49.5" x14ac:dyDescent="0.25">
      <c r="A18" s="13">
        <f t="shared" si="0"/>
        <v>312105</v>
      </c>
      <c r="B18" s="14">
        <v>3121</v>
      </c>
      <c r="C18" s="1" t="s">
        <v>143</v>
      </c>
      <c r="D18" s="12" t="s">
        <v>421</v>
      </c>
      <c r="E18" s="3">
        <v>5</v>
      </c>
      <c r="F18" s="5" t="s">
        <v>396</v>
      </c>
      <c r="G18" s="3">
        <v>4</v>
      </c>
      <c r="H18" s="1">
        <v>3</v>
      </c>
      <c r="I18" s="1">
        <v>2</v>
      </c>
      <c r="J18" s="1" t="s">
        <v>422</v>
      </c>
      <c r="K18" s="1" t="s">
        <v>423</v>
      </c>
      <c r="L18" s="1" t="s">
        <v>424</v>
      </c>
      <c r="M18" s="1">
        <v>11340</v>
      </c>
      <c r="N18" s="1">
        <v>84000</v>
      </c>
      <c r="O18" s="1" t="s">
        <v>437</v>
      </c>
      <c r="P18" s="1">
        <v>3150</v>
      </c>
      <c r="Q18" s="1" t="s">
        <v>398</v>
      </c>
      <c r="R18" s="1">
        <v>10</v>
      </c>
      <c r="S18" s="18">
        <v>19080</v>
      </c>
      <c r="T18" s="16">
        <v>0.01</v>
      </c>
      <c r="V18" s="18" t="s">
        <v>426</v>
      </c>
      <c r="W18" s="18" t="s">
        <v>427</v>
      </c>
      <c r="X18" s="18" t="s">
        <v>428</v>
      </c>
      <c r="Y18" s="84" t="s">
        <v>429</v>
      </c>
      <c r="Z18" s="84"/>
      <c r="AA18" s="18" t="s">
        <v>430</v>
      </c>
      <c r="AB18" s="18" t="s">
        <v>431</v>
      </c>
      <c r="AC18" s="83" t="s">
        <v>405</v>
      </c>
      <c r="AD18" s="85" t="s">
        <v>432</v>
      </c>
      <c r="AE18" s="86" t="s">
        <v>433</v>
      </c>
      <c r="AG18" s="22"/>
    </row>
    <row r="19" spans="1:33" s="1" customFormat="1" ht="49.5" x14ac:dyDescent="0.25">
      <c r="A19" s="13">
        <f t="shared" si="0"/>
        <v>312201</v>
      </c>
      <c r="B19" s="14">
        <v>3122</v>
      </c>
      <c r="C19" s="1" t="s">
        <v>143</v>
      </c>
      <c r="D19" s="15" t="s">
        <v>438</v>
      </c>
      <c r="E19" s="3">
        <v>1</v>
      </c>
      <c r="F19" s="5" t="s">
        <v>396</v>
      </c>
      <c r="G19" s="3">
        <v>3</v>
      </c>
      <c r="H19" s="1">
        <v>3</v>
      </c>
      <c r="I19" s="1">
        <v>2</v>
      </c>
      <c r="J19" s="1" t="s">
        <v>422</v>
      </c>
      <c r="K19" s="1" t="s">
        <v>423</v>
      </c>
      <c r="L19" s="1" t="s">
        <v>424</v>
      </c>
      <c r="M19" s="1">
        <v>3780</v>
      </c>
      <c r="N19" s="1">
        <v>42000</v>
      </c>
      <c r="O19" s="1" t="s">
        <v>425</v>
      </c>
      <c r="P19" s="1">
        <v>1050</v>
      </c>
      <c r="Q19" s="1" t="s">
        <v>398</v>
      </c>
      <c r="R19" s="1">
        <v>10</v>
      </c>
      <c r="S19" s="18">
        <v>20000</v>
      </c>
      <c r="T19" s="16">
        <v>5.0000000000000001E-3</v>
      </c>
      <c r="V19" s="18" t="s">
        <v>439</v>
      </c>
      <c r="W19" s="18" t="s">
        <v>438</v>
      </c>
      <c r="X19" s="18" t="s">
        <v>440</v>
      </c>
      <c r="Y19" s="84" t="s">
        <v>441</v>
      </c>
      <c r="Z19" s="84"/>
      <c r="AA19" s="18" t="s">
        <v>442</v>
      </c>
      <c r="AB19" s="87" t="s">
        <v>443</v>
      </c>
      <c r="AC19" s="83" t="s">
        <v>405</v>
      </c>
      <c r="AD19" s="85" t="s">
        <v>444</v>
      </c>
      <c r="AE19" s="86" t="s">
        <v>445</v>
      </c>
      <c r="AG19" s="22"/>
    </row>
    <row r="20" spans="1:33" s="1" customFormat="1" ht="49.5" x14ac:dyDescent="0.25">
      <c r="A20" s="13">
        <f t="shared" si="0"/>
        <v>312202</v>
      </c>
      <c r="B20" s="14">
        <v>3122</v>
      </c>
      <c r="C20" s="1" t="s">
        <v>143</v>
      </c>
      <c r="D20" s="15" t="s">
        <v>438</v>
      </c>
      <c r="E20" s="3">
        <v>2</v>
      </c>
      <c r="F20" s="5" t="s">
        <v>396</v>
      </c>
      <c r="G20" s="3">
        <v>3</v>
      </c>
      <c r="H20" s="1">
        <v>3</v>
      </c>
      <c r="I20" s="1">
        <v>2</v>
      </c>
      <c r="J20" s="1" t="s">
        <v>422</v>
      </c>
      <c r="K20" s="1" t="s">
        <v>423</v>
      </c>
      <c r="L20" s="1" t="s">
        <v>424</v>
      </c>
      <c r="M20" s="1">
        <v>4536</v>
      </c>
      <c r="N20" s="1">
        <v>50400</v>
      </c>
      <c r="O20" s="1" t="s">
        <v>434</v>
      </c>
      <c r="P20" s="1">
        <v>1260</v>
      </c>
      <c r="Q20" s="1" t="s">
        <v>398</v>
      </c>
      <c r="R20" s="1">
        <v>10</v>
      </c>
      <c r="S20" s="18">
        <v>20000</v>
      </c>
      <c r="T20" s="16">
        <v>5.0000000000000001E-3</v>
      </c>
      <c r="V20" s="18" t="s">
        <v>439</v>
      </c>
      <c r="W20" s="18" t="s">
        <v>438</v>
      </c>
      <c r="X20" s="18" t="s">
        <v>440</v>
      </c>
      <c r="Y20" s="84" t="s">
        <v>441</v>
      </c>
      <c r="Z20" s="84"/>
      <c r="AA20" s="18" t="s">
        <v>442</v>
      </c>
      <c r="AB20" s="87" t="s">
        <v>443</v>
      </c>
      <c r="AC20" s="83" t="s">
        <v>405</v>
      </c>
      <c r="AD20" s="85" t="s">
        <v>444</v>
      </c>
      <c r="AE20" s="86" t="s">
        <v>445</v>
      </c>
      <c r="AG20" s="22"/>
    </row>
    <row r="21" spans="1:33" s="1" customFormat="1" ht="49.5" x14ac:dyDescent="0.25">
      <c r="A21" s="13">
        <f t="shared" si="0"/>
        <v>312203</v>
      </c>
      <c r="B21" s="14">
        <v>3122</v>
      </c>
      <c r="C21" s="1" t="s">
        <v>143</v>
      </c>
      <c r="D21" s="15" t="s">
        <v>438</v>
      </c>
      <c r="E21" s="3">
        <v>3</v>
      </c>
      <c r="F21" s="5" t="s">
        <v>396</v>
      </c>
      <c r="G21" s="3">
        <v>3</v>
      </c>
      <c r="H21" s="1">
        <v>3</v>
      </c>
      <c r="I21" s="1">
        <v>2</v>
      </c>
      <c r="J21" s="1" t="s">
        <v>422</v>
      </c>
      <c r="K21" s="1" t="s">
        <v>423</v>
      </c>
      <c r="L21" s="1" t="s">
        <v>424</v>
      </c>
      <c r="M21" s="1">
        <v>5670</v>
      </c>
      <c r="N21" s="1">
        <v>63000</v>
      </c>
      <c r="O21" s="1" t="s">
        <v>435</v>
      </c>
      <c r="P21" s="1">
        <v>1575</v>
      </c>
      <c r="Q21" s="1" t="s">
        <v>398</v>
      </c>
      <c r="R21" s="1">
        <v>10</v>
      </c>
      <c r="S21" s="18">
        <v>20000</v>
      </c>
      <c r="T21" s="16">
        <v>5.0000000000000001E-3</v>
      </c>
      <c r="V21" s="18" t="s">
        <v>439</v>
      </c>
      <c r="W21" s="18" t="s">
        <v>438</v>
      </c>
      <c r="X21" s="18" t="s">
        <v>440</v>
      </c>
      <c r="Y21" s="84" t="s">
        <v>441</v>
      </c>
      <c r="Z21" s="84"/>
      <c r="AA21" s="18" t="s">
        <v>442</v>
      </c>
      <c r="AB21" s="87" t="s">
        <v>443</v>
      </c>
      <c r="AC21" s="83" t="s">
        <v>405</v>
      </c>
      <c r="AD21" s="85" t="s">
        <v>444</v>
      </c>
      <c r="AE21" s="86" t="s">
        <v>445</v>
      </c>
      <c r="AG21" s="22"/>
    </row>
    <row r="22" spans="1:33" s="1" customFormat="1" ht="49.5" x14ac:dyDescent="0.25">
      <c r="A22" s="13">
        <f t="shared" si="0"/>
        <v>312204</v>
      </c>
      <c r="B22" s="14">
        <v>3122</v>
      </c>
      <c r="C22" s="1" t="s">
        <v>143</v>
      </c>
      <c r="D22" s="15" t="s">
        <v>438</v>
      </c>
      <c r="E22" s="3">
        <v>4</v>
      </c>
      <c r="F22" s="5" t="s">
        <v>396</v>
      </c>
      <c r="G22" s="3">
        <v>4</v>
      </c>
      <c r="H22" s="1">
        <v>3</v>
      </c>
      <c r="I22" s="1">
        <v>2</v>
      </c>
      <c r="J22" s="1" t="s">
        <v>422</v>
      </c>
      <c r="K22" s="1" t="s">
        <v>423</v>
      </c>
      <c r="L22" s="1" t="s">
        <v>424</v>
      </c>
      <c r="M22" s="1">
        <v>7560</v>
      </c>
      <c r="N22" s="1">
        <v>73500</v>
      </c>
      <c r="O22" s="1" t="s">
        <v>436</v>
      </c>
      <c r="P22" s="1">
        <v>2100</v>
      </c>
      <c r="Q22" s="1" t="s">
        <v>398</v>
      </c>
      <c r="R22" s="1">
        <v>10</v>
      </c>
      <c r="S22" s="18">
        <v>20000</v>
      </c>
      <c r="T22" s="16">
        <v>5.0000000000000001E-3</v>
      </c>
      <c r="V22" s="18" t="s">
        <v>439</v>
      </c>
      <c r="W22" s="18" t="s">
        <v>438</v>
      </c>
      <c r="X22" s="18" t="s">
        <v>440</v>
      </c>
      <c r="Y22" s="84" t="s">
        <v>441</v>
      </c>
      <c r="Z22" s="84"/>
      <c r="AA22" s="18" t="s">
        <v>442</v>
      </c>
      <c r="AB22" s="87" t="s">
        <v>443</v>
      </c>
      <c r="AC22" s="83" t="s">
        <v>405</v>
      </c>
      <c r="AD22" s="85" t="s">
        <v>444</v>
      </c>
      <c r="AE22" s="86" t="s">
        <v>445</v>
      </c>
      <c r="AG22" s="22"/>
    </row>
    <row r="23" spans="1:33" s="1" customFormat="1" ht="49.5" x14ac:dyDescent="0.25">
      <c r="A23" s="13">
        <f t="shared" si="0"/>
        <v>312205</v>
      </c>
      <c r="B23" s="14">
        <v>3122</v>
      </c>
      <c r="C23" s="1" t="s">
        <v>143</v>
      </c>
      <c r="D23" s="15" t="s">
        <v>438</v>
      </c>
      <c r="E23" s="3">
        <v>5</v>
      </c>
      <c r="F23" s="5" t="s">
        <v>396</v>
      </c>
      <c r="G23" s="3">
        <v>4</v>
      </c>
      <c r="H23" s="1">
        <v>3</v>
      </c>
      <c r="I23" s="1">
        <v>2</v>
      </c>
      <c r="J23" s="1" t="s">
        <v>422</v>
      </c>
      <c r="K23" s="1" t="s">
        <v>423</v>
      </c>
      <c r="L23" s="1" t="s">
        <v>424</v>
      </c>
      <c r="M23" s="1">
        <v>11340</v>
      </c>
      <c r="N23" s="1">
        <v>84000</v>
      </c>
      <c r="O23" s="1" t="s">
        <v>437</v>
      </c>
      <c r="P23" s="1">
        <v>3150</v>
      </c>
      <c r="Q23" s="1" t="s">
        <v>398</v>
      </c>
      <c r="R23" s="1">
        <v>10</v>
      </c>
      <c r="S23" s="18">
        <v>20000</v>
      </c>
      <c r="T23" s="16">
        <v>5.0000000000000001E-3</v>
      </c>
      <c r="V23" s="18" t="s">
        <v>439</v>
      </c>
      <c r="W23" s="18" t="s">
        <v>438</v>
      </c>
      <c r="X23" s="18" t="s">
        <v>440</v>
      </c>
      <c r="Y23" s="84" t="s">
        <v>441</v>
      </c>
      <c r="Z23" s="84"/>
      <c r="AA23" s="18" t="s">
        <v>442</v>
      </c>
      <c r="AB23" s="87" t="s">
        <v>443</v>
      </c>
      <c r="AC23" s="83" t="s">
        <v>405</v>
      </c>
      <c r="AD23" s="85" t="s">
        <v>444</v>
      </c>
      <c r="AE23" s="86" t="s">
        <v>445</v>
      </c>
      <c r="AG23" s="22"/>
    </row>
    <row r="24" spans="1:33" s="1" customFormat="1" ht="49.5" x14ac:dyDescent="0.25">
      <c r="A24" s="13">
        <f t="shared" si="0"/>
        <v>312301</v>
      </c>
      <c r="B24" s="14">
        <v>3123</v>
      </c>
      <c r="C24" s="1" t="s">
        <v>143</v>
      </c>
      <c r="D24" s="15" t="s">
        <v>446</v>
      </c>
      <c r="E24" s="3">
        <v>1</v>
      </c>
      <c r="F24" s="5" t="s">
        <v>396</v>
      </c>
      <c r="G24" s="3">
        <v>3</v>
      </c>
      <c r="H24" s="1">
        <v>3</v>
      </c>
      <c r="I24" s="1">
        <v>2</v>
      </c>
      <c r="J24" s="1" t="s">
        <v>422</v>
      </c>
      <c r="K24" s="1" t="s">
        <v>423</v>
      </c>
      <c r="L24" s="1" t="s">
        <v>424</v>
      </c>
      <c r="M24" s="1">
        <v>3780</v>
      </c>
      <c r="N24" s="1">
        <v>42000</v>
      </c>
      <c r="O24" s="1" t="s">
        <v>425</v>
      </c>
      <c r="P24" s="1">
        <v>1050</v>
      </c>
      <c r="Q24" s="1" t="s">
        <v>398</v>
      </c>
      <c r="R24" s="1">
        <v>10</v>
      </c>
      <c r="S24" s="18">
        <v>19081</v>
      </c>
      <c r="T24" s="16">
        <v>0.01</v>
      </c>
      <c r="V24" s="18" t="s">
        <v>447</v>
      </c>
      <c r="W24" s="18" t="s">
        <v>446</v>
      </c>
      <c r="X24" s="18" t="s">
        <v>448</v>
      </c>
      <c r="Y24" s="84" t="s">
        <v>449</v>
      </c>
      <c r="Z24" s="84"/>
      <c r="AA24" s="18" t="s">
        <v>450</v>
      </c>
      <c r="AB24" s="87" t="s">
        <v>451</v>
      </c>
      <c r="AC24" s="83" t="s">
        <v>405</v>
      </c>
      <c r="AD24" s="85" t="s">
        <v>452</v>
      </c>
      <c r="AE24" s="86" t="s">
        <v>453</v>
      </c>
      <c r="AG24" s="22"/>
    </row>
    <row r="25" spans="1:33" s="1" customFormat="1" ht="49.5" x14ac:dyDescent="0.25">
      <c r="A25" s="13">
        <f t="shared" si="0"/>
        <v>312302</v>
      </c>
      <c r="B25" s="14">
        <v>3123</v>
      </c>
      <c r="C25" s="1" t="s">
        <v>143</v>
      </c>
      <c r="D25" s="15" t="s">
        <v>446</v>
      </c>
      <c r="E25" s="3">
        <v>2</v>
      </c>
      <c r="F25" s="5" t="s">
        <v>396</v>
      </c>
      <c r="G25" s="3">
        <v>3</v>
      </c>
      <c r="H25" s="1">
        <v>3</v>
      </c>
      <c r="I25" s="1">
        <v>2</v>
      </c>
      <c r="J25" s="1" t="s">
        <v>422</v>
      </c>
      <c r="K25" s="1" t="s">
        <v>423</v>
      </c>
      <c r="L25" s="1" t="s">
        <v>424</v>
      </c>
      <c r="M25" s="1">
        <v>4536</v>
      </c>
      <c r="N25" s="1">
        <v>50400</v>
      </c>
      <c r="O25" s="1" t="s">
        <v>434</v>
      </c>
      <c r="P25" s="1">
        <v>1260</v>
      </c>
      <c r="Q25" s="1" t="s">
        <v>398</v>
      </c>
      <c r="R25" s="1">
        <v>10</v>
      </c>
      <c r="S25" s="18">
        <v>19081</v>
      </c>
      <c r="T25" s="16">
        <v>0.01</v>
      </c>
      <c r="V25" s="18" t="s">
        <v>447</v>
      </c>
      <c r="W25" s="18" t="s">
        <v>446</v>
      </c>
      <c r="X25" s="18" t="s">
        <v>448</v>
      </c>
      <c r="Y25" s="84" t="s">
        <v>449</v>
      </c>
      <c r="Z25" s="84"/>
      <c r="AA25" s="18" t="s">
        <v>450</v>
      </c>
      <c r="AB25" s="87" t="s">
        <v>451</v>
      </c>
      <c r="AC25" s="83" t="s">
        <v>405</v>
      </c>
      <c r="AD25" s="85" t="s">
        <v>452</v>
      </c>
      <c r="AE25" s="86" t="s">
        <v>453</v>
      </c>
      <c r="AG25" s="22"/>
    </row>
    <row r="26" spans="1:33" s="1" customFormat="1" ht="49.5" x14ac:dyDescent="0.25">
      <c r="A26" s="13">
        <f t="shared" si="0"/>
        <v>312303</v>
      </c>
      <c r="B26" s="14">
        <v>3123</v>
      </c>
      <c r="C26" s="1" t="s">
        <v>143</v>
      </c>
      <c r="D26" s="15" t="s">
        <v>446</v>
      </c>
      <c r="E26" s="3">
        <v>3</v>
      </c>
      <c r="F26" s="5" t="s">
        <v>396</v>
      </c>
      <c r="G26" s="3">
        <v>3</v>
      </c>
      <c r="H26" s="1">
        <v>3</v>
      </c>
      <c r="I26" s="1">
        <v>2</v>
      </c>
      <c r="J26" s="1" t="s">
        <v>422</v>
      </c>
      <c r="K26" s="1" t="s">
        <v>423</v>
      </c>
      <c r="L26" s="1" t="s">
        <v>424</v>
      </c>
      <c r="M26" s="1">
        <v>5670</v>
      </c>
      <c r="N26" s="1">
        <v>63000</v>
      </c>
      <c r="O26" s="1" t="s">
        <v>435</v>
      </c>
      <c r="P26" s="1">
        <v>1575</v>
      </c>
      <c r="Q26" s="1" t="s">
        <v>398</v>
      </c>
      <c r="R26" s="1">
        <v>10</v>
      </c>
      <c r="S26" s="18">
        <v>19081</v>
      </c>
      <c r="T26" s="16">
        <v>0.01</v>
      </c>
      <c r="V26" s="18" t="s">
        <v>447</v>
      </c>
      <c r="W26" s="18" t="s">
        <v>446</v>
      </c>
      <c r="X26" s="18" t="s">
        <v>448</v>
      </c>
      <c r="Y26" s="84" t="s">
        <v>449</v>
      </c>
      <c r="Z26" s="84"/>
      <c r="AA26" s="18" t="s">
        <v>450</v>
      </c>
      <c r="AB26" s="87" t="s">
        <v>451</v>
      </c>
      <c r="AC26" s="83" t="s">
        <v>405</v>
      </c>
      <c r="AD26" s="85" t="s">
        <v>452</v>
      </c>
      <c r="AE26" s="86" t="s">
        <v>453</v>
      </c>
      <c r="AG26" s="22"/>
    </row>
    <row r="27" spans="1:33" s="1" customFormat="1" ht="49.5" x14ac:dyDescent="0.25">
      <c r="A27" s="13">
        <f t="shared" si="0"/>
        <v>312304</v>
      </c>
      <c r="B27" s="14">
        <v>3123</v>
      </c>
      <c r="C27" s="1" t="s">
        <v>143</v>
      </c>
      <c r="D27" s="15" t="s">
        <v>446</v>
      </c>
      <c r="E27" s="3">
        <v>4</v>
      </c>
      <c r="F27" s="5" t="s">
        <v>396</v>
      </c>
      <c r="G27" s="3">
        <v>4</v>
      </c>
      <c r="H27" s="1">
        <v>3</v>
      </c>
      <c r="I27" s="1">
        <v>2</v>
      </c>
      <c r="J27" s="1" t="s">
        <v>422</v>
      </c>
      <c r="K27" s="1" t="s">
        <v>423</v>
      </c>
      <c r="L27" s="1" t="s">
        <v>424</v>
      </c>
      <c r="M27" s="1">
        <v>7560</v>
      </c>
      <c r="N27" s="1">
        <v>73500</v>
      </c>
      <c r="O27" s="1" t="s">
        <v>436</v>
      </c>
      <c r="P27" s="1">
        <v>2100</v>
      </c>
      <c r="Q27" s="1" t="s">
        <v>398</v>
      </c>
      <c r="R27" s="1">
        <v>10</v>
      </c>
      <c r="S27" s="18">
        <v>19081</v>
      </c>
      <c r="T27" s="16">
        <v>0.01</v>
      </c>
      <c r="V27" s="18" t="s">
        <v>447</v>
      </c>
      <c r="W27" s="18" t="s">
        <v>446</v>
      </c>
      <c r="X27" s="18" t="s">
        <v>448</v>
      </c>
      <c r="Y27" s="84" t="s">
        <v>449</v>
      </c>
      <c r="Z27" s="84"/>
      <c r="AA27" s="18" t="s">
        <v>450</v>
      </c>
      <c r="AB27" s="87" t="s">
        <v>451</v>
      </c>
      <c r="AC27" s="83" t="s">
        <v>405</v>
      </c>
      <c r="AD27" s="85" t="s">
        <v>452</v>
      </c>
      <c r="AE27" s="86" t="s">
        <v>453</v>
      </c>
      <c r="AG27" s="22"/>
    </row>
    <row r="28" spans="1:33" s="1" customFormat="1" ht="49.5" x14ac:dyDescent="0.25">
      <c r="A28" s="13">
        <f t="shared" si="0"/>
        <v>312305</v>
      </c>
      <c r="B28" s="14">
        <v>3123</v>
      </c>
      <c r="C28" s="1" t="s">
        <v>143</v>
      </c>
      <c r="D28" s="15" t="s">
        <v>446</v>
      </c>
      <c r="E28" s="3">
        <v>5</v>
      </c>
      <c r="F28" s="5" t="s">
        <v>396</v>
      </c>
      <c r="G28" s="3">
        <v>4</v>
      </c>
      <c r="H28" s="1">
        <v>3</v>
      </c>
      <c r="I28" s="1">
        <v>2</v>
      </c>
      <c r="J28" s="1" t="s">
        <v>422</v>
      </c>
      <c r="K28" s="1" t="s">
        <v>423</v>
      </c>
      <c r="L28" s="1" t="s">
        <v>424</v>
      </c>
      <c r="M28" s="1">
        <v>11340</v>
      </c>
      <c r="N28" s="1">
        <v>84000</v>
      </c>
      <c r="O28" s="1" t="s">
        <v>437</v>
      </c>
      <c r="P28" s="1">
        <v>3150</v>
      </c>
      <c r="Q28" s="1" t="s">
        <v>398</v>
      </c>
      <c r="R28" s="1">
        <v>10</v>
      </c>
      <c r="S28" s="18">
        <v>19081</v>
      </c>
      <c r="T28" s="16">
        <v>0.01</v>
      </c>
      <c r="V28" s="18" t="s">
        <v>447</v>
      </c>
      <c r="W28" s="18" t="s">
        <v>446</v>
      </c>
      <c r="X28" s="18" t="s">
        <v>448</v>
      </c>
      <c r="Y28" s="84" t="s">
        <v>449</v>
      </c>
      <c r="Z28" s="84"/>
      <c r="AA28" s="18" t="s">
        <v>450</v>
      </c>
      <c r="AB28" s="87" t="s">
        <v>451</v>
      </c>
      <c r="AC28" s="83" t="s">
        <v>405</v>
      </c>
      <c r="AD28" s="85" t="s">
        <v>452</v>
      </c>
      <c r="AE28" s="86" t="s">
        <v>453</v>
      </c>
      <c r="AG28" s="22"/>
    </row>
    <row r="29" spans="1:33" s="1" customFormat="1" ht="49.5" x14ac:dyDescent="0.25">
      <c r="A29" s="13">
        <f t="shared" si="0"/>
        <v>313101</v>
      </c>
      <c r="B29" s="14">
        <v>3131</v>
      </c>
      <c r="C29" s="1" t="s">
        <v>143</v>
      </c>
      <c r="D29" s="12" t="s">
        <v>395</v>
      </c>
      <c r="E29" s="3">
        <v>1</v>
      </c>
      <c r="F29" s="5" t="s">
        <v>396</v>
      </c>
      <c r="G29" s="3">
        <v>6</v>
      </c>
      <c r="H29" s="1">
        <v>3</v>
      </c>
      <c r="I29" s="1">
        <v>3</v>
      </c>
      <c r="J29" s="1" t="s">
        <v>454</v>
      </c>
      <c r="K29" s="1" t="s">
        <v>455</v>
      </c>
      <c r="L29" s="1" t="s">
        <v>456</v>
      </c>
      <c r="M29" s="1">
        <v>4320</v>
      </c>
      <c r="N29" s="1">
        <v>48000</v>
      </c>
      <c r="O29" s="1" t="s">
        <v>408</v>
      </c>
      <c r="P29" s="1">
        <v>1200</v>
      </c>
      <c r="Q29" s="1" t="s">
        <v>398</v>
      </c>
      <c r="R29" s="1">
        <v>10</v>
      </c>
      <c r="S29" s="18">
        <v>1060</v>
      </c>
      <c r="T29" s="16">
        <v>0.01</v>
      </c>
      <c r="V29" s="18" t="s">
        <v>399</v>
      </c>
      <c r="W29" s="18" t="s">
        <v>400</v>
      </c>
      <c r="X29" s="18" t="s">
        <v>401</v>
      </c>
      <c r="Y29" s="84" t="s">
        <v>402</v>
      </c>
      <c r="Z29" s="84"/>
      <c r="AA29" s="18" t="s">
        <v>403</v>
      </c>
      <c r="AB29" s="18" t="s">
        <v>404</v>
      </c>
      <c r="AC29" s="83" t="s">
        <v>405</v>
      </c>
      <c r="AD29" s="85" t="s">
        <v>406</v>
      </c>
      <c r="AE29" s="86" t="s">
        <v>457</v>
      </c>
      <c r="AG29" s="22"/>
    </row>
    <row r="30" spans="1:33" s="1" customFormat="1" ht="49.5" x14ac:dyDescent="0.25">
      <c r="A30" s="13">
        <f t="shared" si="0"/>
        <v>313102</v>
      </c>
      <c r="B30" s="14">
        <v>3131</v>
      </c>
      <c r="C30" s="1" t="s">
        <v>143</v>
      </c>
      <c r="D30" s="12" t="s">
        <v>395</v>
      </c>
      <c r="E30" s="3">
        <v>2</v>
      </c>
      <c r="F30" s="5" t="s">
        <v>396</v>
      </c>
      <c r="G30" s="3">
        <v>6</v>
      </c>
      <c r="H30" s="1">
        <v>3</v>
      </c>
      <c r="I30" s="1">
        <v>3</v>
      </c>
      <c r="J30" s="1" t="s">
        <v>454</v>
      </c>
      <c r="K30" s="1" t="s">
        <v>455</v>
      </c>
      <c r="L30" s="1" t="s">
        <v>456</v>
      </c>
      <c r="M30" s="1">
        <v>5184</v>
      </c>
      <c r="N30" s="1">
        <v>57600</v>
      </c>
      <c r="O30" s="1" t="s">
        <v>458</v>
      </c>
      <c r="P30" s="1">
        <v>1440</v>
      </c>
      <c r="Q30" s="1" t="s">
        <v>398</v>
      </c>
      <c r="R30" s="1">
        <v>10</v>
      </c>
      <c r="S30" s="18">
        <v>1060</v>
      </c>
      <c r="T30" s="16">
        <v>0.01</v>
      </c>
      <c r="V30" s="18" t="s">
        <v>399</v>
      </c>
      <c r="W30" s="18" t="s">
        <v>400</v>
      </c>
      <c r="X30" s="18" t="s">
        <v>401</v>
      </c>
      <c r="Y30" s="84" t="s">
        <v>402</v>
      </c>
      <c r="Z30" s="84"/>
      <c r="AA30" s="18" t="s">
        <v>403</v>
      </c>
      <c r="AB30" s="18" t="s">
        <v>404</v>
      </c>
      <c r="AC30" s="83" t="s">
        <v>405</v>
      </c>
      <c r="AD30" s="85" t="s">
        <v>406</v>
      </c>
      <c r="AE30" s="86" t="s">
        <v>457</v>
      </c>
      <c r="AG30" s="22"/>
    </row>
    <row r="31" spans="1:33" s="1" customFormat="1" ht="49.5" x14ac:dyDescent="0.25">
      <c r="A31" s="13">
        <f t="shared" si="0"/>
        <v>313103</v>
      </c>
      <c r="B31" s="14">
        <v>3131</v>
      </c>
      <c r="C31" s="1" t="s">
        <v>143</v>
      </c>
      <c r="D31" s="12" t="s">
        <v>395</v>
      </c>
      <c r="E31" s="3">
        <v>3</v>
      </c>
      <c r="F31" s="5" t="s">
        <v>396</v>
      </c>
      <c r="G31" s="3">
        <v>6</v>
      </c>
      <c r="H31" s="1">
        <v>3</v>
      </c>
      <c r="I31" s="1">
        <v>3</v>
      </c>
      <c r="J31" s="1" t="s">
        <v>454</v>
      </c>
      <c r="K31" s="1" t="s">
        <v>455</v>
      </c>
      <c r="L31" s="1" t="s">
        <v>456</v>
      </c>
      <c r="M31" s="1">
        <v>6480</v>
      </c>
      <c r="N31" s="1">
        <v>72000</v>
      </c>
      <c r="O31" s="1" t="s">
        <v>459</v>
      </c>
      <c r="P31" s="1">
        <v>1800</v>
      </c>
      <c r="Q31" s="1" t="s">
        <v>398</v>
      </c>
      <c r="R31" s="1">
        <v>10</v>
      </c>
      <c r="S31" s="18">
        <v>1060</v>
      </c>
      <c r="T31" s="16">
        <v>0.01</v>
      </c>
      <c r="V31" s="18" t="s">
        <v>399</v>
      </c>
      <c r="W31" s="18" t="s">
        <v>400</v>
      </c>
      <c r="X31" s="18" t="s">
        <v>401</v>
      </c>
      <c r="Y31" s="84" t="s">
        <v>402</v>
      </c>
      <c r="Z31" s="84"/>
      <c r="AA31" s="18" t="s">
        <v>403</v>
      </c>
      <c r="AB31" s="18" t="s">
        <v>404</v>
      </c>
      <c r="AC31" s="83" t="s">
        <v>405</v>
      </c>
      <c r="AD31" s="85" t="s">
        <v>406</v>
      </c>
      <c r="AE31" s="86" t="s">
        <v>457</v>
      </c>
      <c r="AG31" s="22"/>
    </row>
    <row r="32" spans="1:33" s="1" customFormat="1" ht="49.5" x14ac:dyDescent="0.25">
      <c r="A32" s="13">
        <f t="shared" ref="A32:A33" si="1">B32*100+E32</f>
        <v>313104</v>
      </c>
      <c r="B32" s="14">
        <v>3131</v>
      </c>
      <c r="C32" s="1" t="s">
        <v>143</v>
      </c>
      <c r="D32" s="12" t="s">
        <v>395</v>
      </c>
      <c r="E32" s="3">
        <v>4</v>
      </c>
      <c r="F32" s="5" t="s">
        <v>396</v>
      </c>
      <c r="G32" s="3">
        <v>7</v>
      </c>
      <c r="H32" s="1">
        <v>3</v>
      </c>
      <c r="I32" s="1">
        <v>3</v>
      </c>
      <c r="J32" s="1" t="s">
        <v>454</v>
      </c>
      <c r="K32" s="1" t="s">
        <v>455</v>
      </c>
      <c r="L32" s="1" t="s">
        <v>456</v>
      </c>
      <c r="M32" s="1">
        <v>8640</v>
      </c>
      <c r="N32" s="1">
        <v>84000</v>
      </c>
      <c r="O32" s="1" t="s">
        <v>460</v>
      </c>
      <c r="P32" s="1">
        <v>2400</v>
      </c>
      <c r="Q32" s="1" t="s">
        <v>398</v>
      </c>
      <c r="R32" s="1">
        <v>10</v>
      </c>
      <c r="S32" s="18">
        <v>1060</v>
      </c>
      <c r="T32" s="16">
        <v>0.01</v>
      </c>
      <c r="V32" s="18" t="s">
        <v>399</v>
      </c>
      <c r="W32" s="18" t="s">
        <v>400</v>
      </c>
      <c r="X32" s="18" t="s">
        <v>401</v>
      </c>
      <c r="Y32" s="84" t="s">
        <v>402</v>
      </c>
      <c r="Z32" s="84"/>
      <c r="AA32" s="18" t="s">
        <v>403</v>
      </c>
      <c r="AB32" s="18" t="s">
        <v>404</v>
      </c>
      <c r="AC32" s="83" t="s">
        <v>405</v>
      </c>
      <c r="AD32" s="85" t="s">
        <v>406</v>
      </c>
      <c r="AE32" s="86" t="s">
        <v>457</v>
      </c>
      <c r="AG32" s="22"/>
    </row>
    <row r="33" spans="1:33" s="1" customFormat="1" ht="49.5" x14ac:dyDescent="0.25">
      <c r="A33" s="13">
        <f t="shared" si="1"/>
        <v>313105</v>
      </c>
      <c r="B33" s="14">
        <v>3131</v>
      </c>
      <c r="C33" s="1" t="s">
        <v>143</v>
      </c>
      <c r="D33" s="12" t="s">
        <v>395</v>
      </c>
      <c r="E33" s="3">
        <v>5</v>
      </c>
      <c r="F33" s="5" t="s">
        <v>396</v>
      </c>
      <c r="G33" s="3">
        <v>7</v>
      </c>
      <c r="H33" s="1">
        <v>3</v>
      </c>
      <c r="I33" s="1">
        <v>3</v>
      </c>
      <c r="J33" s="1" t="s">
        <v>454</v>
      </c>
      <c r="K33" s="1" t="s">
        <v>455</v>
      </c>
      <c r="L33" s="1" t="s">
        <v>456</v>
      </c>
      <c r="M33" s="1">
        <v>12960</v>
      </c>
      <c r="N33" s="1">
        <v>96000</v>
      </c>
      <c r="O33" s="1" t="s">
        <v>461</v>
      </c>
      <c r="P33" s="1">
        <v>3600</v>
      </c>
      <c r="Q33" s="1" t="s">
        <v>398</v>
      </c>
      <c r="R33" s="1">
        <v>10</v>
      </c>
      <c r="S33" s="18">
        <v>1060</v>
      </c>
      <c r="T33" s="16">
        <v>0.01</v>
      </c>
      <c r="V33" s="18" t="s">
        <v>399</v>
      </c>
      <c r="W33" s="18" t="s">
        <v>400</v>
      </c>
      <c r="X33" s="18" t="s">
        <v>401</v>
      </c>
      <c r="Y33" s="84" t="s">
        <v>402</v>
      </c>
      <c r="Z33" s="84"/>
      <c r="AA33" s="18" t="s">
        <v>403</v>
      </c>
      <c r="AB33" s="18" t="s">
        <v>404</v>
      </c>
      <c r="AC33" s="83" t="s">
        <v>405</v>
      </c>
      <c r="AD33" s="85" t="s">
        <v>406</v>
      </c>
      <c r="AE33" s="86" t="s">
        <v>457</v>
      </c>
      <c r="AG33" s="22"/>
    </row>
    <row r="34" spans="1:33" s="1" customFormat="1" ht="49.5" x14ac:dyDescent="0.25">
      <c r="A34" s="13">
        <f t="shared" si="0"/>
        <v>313201</v>
      </c>
      <c r="B34" s="14">
        <v>3132</v>
      </c>
      <c r="C34" s="1" t="s">
        <v>143</v>
      </c>
      <c r="D34" s="15" t="s">
        <v>412</v>
      </c>
      <c r="E34" s="3">
        <v>1</v>
      </c>
      <c r="F34" s="5" t="s">
        <v>396</v>
      </c>
      <c r="G34" s="3">
        <v>6</v>
      </c>
      <c r="H34" s="1">
        <v>3</v>
      </c>
      <c r="I34" s="1">
        <v>3</v>
      </c>
      <c r="J34" s="1" t="s">
        <v>454</v>
      </c>
      <c r="K34" s="1" t="s">
        <v>455</v>
      </c>
      <c r="L34" s="1" t="s">
        <v>456</v>
      </c>
      <c r="M34" s="1">
        <v>4320</v>
      </c>
      <c r="N34" s="1">
        <v>48000</v>
      </c>
      <c r="O34" s="1" t="s">
        <v>408</v>
      </c>
      <c r="P34" s="1">
        <v>1200</v>
      </c>
      <c r="Q34" s="1" t="s">
        <v>398</v>
      </c>
      <c r="R34" s="1">
        <v>10</v>
      </c>
      <c r="S34" s="18">
        <v>1065</v>
      </c>
      <c r="T34" s="16">
        <v>0.01</v>
      </c>
      <c r="V34" s="18" t="s">
        <v>413</v>
      </c>
      <c r="W34" s="18" t="s">
        <v>414</v>
      </c>
      <c r="X34" s="18" t="s">
        <v>415</v>
      </c>
      <c r="Y34" s="84" t="s">
        <v>416</v>
      </c>
      <c r="Z34" s="84"/>
      <c r="AA34" s="18" t="s">
        <v>417</v>
      </c>
      <c r="AB34" s="87" t="s">
        <v>418</v>
      </c>
      <c r="AC34" s="83" t="s">
        <v>405</v>
      </c>
      <c r="AD34" s="85" t="s">
        <v>419</v>
      </c>
      <c r="AE34" s="86" t="s">
        <v>462</v>
      </c>
      <c r="AG34" s="22"/>
    </row>
    <row r="35" spans="1:33" s="1" customFormat="1" ht="49.5" x14ac:dyDescent="0.25">
      <c r="A35" s="13">
        <f t="shared" si="0"/>
        <v>313202</v>
      </c>
      <c r="B35" s="14">
        <v>3132</v>
      </c>
      <c r="C35" s="1" t="s">
        <v>143</v>
      </c>
      <c r="D35" s="15" t="s">
        <v>412</v>
      </c>
      <c r="E35" s="3">
        <v>2</v>
      </c>
      <c r="F35" s="5" t="s">
        <v>396</v>
      </c>
      <c r="G35" s="3">
        <v>6</v>
      </c>
      <c r="H35" s="1">
        <v>3</v>
      </c>
      <c r="I35" s="1">
        <v>3</v>
      </c>
      <c r="J35" s="1" t="s">
        <v>454</v>
      </c>
      <c r="K35" s="1" t="s">
        <v>455</v>
      </c>
      <c r="L35" s="1" t="s">
        <v>456</v>
      </c>
      <c r="M35" s="1">
        <v>5184</v>
      </c>
      <c r="N35" s="1">
        <v>57600</v>
      </c>
      <c r="O35" s="1" t="s">
        <v>458</v>
      </c>
      <c r="P35" s="1">
        <v>1440</v>
      </c>
      <c r="Q35" s="1" t="s">
        <v>398</v>
      </c>
      <c r="R35" s="1">
        <v>10</v>
      </c>
      <c r="S35" s="18">
        <v>1065</v>
      </c>
      <c r="T35" s="16">
        <v>0.01</v>
      </c>
      <c r="V35" s="18" t="s">
        <v>413</v>
      </c>
      <c r="W35" s="18" t="s">
        <v>414</v>
      </c>
      <c r="X35" s="18" t="s">
        <v>415</v>
      </c>
      <c r="Y35" s="84" t="s">
        <v>416</v>
      </c>
      <c r="Z35" s="84"/>
      <c r="AA35" s="18" t="s">
        <v>417</v>
      </c>
      <c r="AB35" s="87" t="s">
        <v>418</v>
      </c>
      <c r="AC35" s="83" t="s">
        <v>405</v>
      </c>
      <c r="AD35" s="85" t="s">
        <v>419</v>
      </c>
      <c r="AE35" s="86" t="s">
        <v>462</v>
      </c>
      <c r="AG35" s="22"/>
    </row>
    <row r="36" spans="1:33" s="1" customFormat="1" ht="49.5" x14ac:dyDescent="0.25">
      <c r="A36" s="13">
        <f t="shared" si="0"/>
        <v>313203</v>
      </c>
      <c r="B36" s="14">
        <v>3132</v>
      </c>
      <c r="C36" s="1" t="s">
        <v>143</v>
      </c>
      <c r="D36" s="15" t="s">
        <v>412</v>
      </c>
      <c r="E36" s="3">
        <v>3</v>
      </c>
      <c r="F36" s="5" t="s">
        <v>396</v>
      </c>
      <c r="G36" s="3">
        <v>6</v>
      </c>
      <c r="H36" s="1">
        <v>3</v>
      </c>
      <c r="I36" s="1">
        <v>3</v>
      </c>
      <c r="J36" s="1" t="s">
        <v>454</v>
      </c>
      <c r="K36" s="1" t="s">
        <v>455</v>
      </c>
      <c r="L36" s="1" t="s">
        <v>456</v>
      </c>
      <c r="M36" s="1">
        <v>6480</v>
      </c>
      <c r="N36" s="1">
        <v>72000</v>
      </c>
      <c r="O36" s="1" t="s">
        <v>459</v>
      </c>
      <c r="P36" s="1">
        <v>1800</v>
      </c>
      <c r="Q36" s="1" t="s">
        <v>398</v>
      </c>
      <c r="R36" s="1">
        <v>10</v>
      </c>
      <c r="S36" s="18">
        <v>1065</v>
      </c>
      <c r="T36" s="16">
        <v>0.01</v>
      </c>
      <c r="V36" s="18" t="s">
        <v>413</v>
      </c>
      <c r="W36" s="18" t="s">
        <v>414</v>
      </c>
      <c r="X36" s="18" t="s">
        <v>415</v>
      </c>
      <c r="Y36" s="84" t="s">
        <v>416</v>
      </c>
      <c r="Z36" s="84"/>
      <c r="AA36" s="18" t="s">
        <v>417</v>
      </c>
      <c r="AB36" s="87" t="s">
        <v>418</v>
      </c>
      <c r="AC36" s="83" t="s">
        <v>405</v>
      </c>
      <c r="AD36" s="85" t="s">
        <v>419</v>
      </c>
      <c r="AE36" s="86" t="s">
        <v>462</v>
      </c>
      <c r="AG36" s="22"/>
    </row>
    <row r="37" spans="1:33" s="1" customFormat="1" ht="49.5" x14ac:dyDescent="0.25">
      <c r="A37" s="13">
        <f t="shared" ref="A37:A38" si="2">B37*100+E37</f>
        <v>313204</v>
      </c>
      <c r="B37" s="14">
        <v>3132</v>
      </c>
      <c r="C37" s="1" t="s">
        <v>143</v>
      </c>
      <c r="D37" s="15" t="s">
        <v>412</v>
      </c>
      <c r="E37" s="3">
        <v>4</v>
      </c>
      <c r="F37" s="5" t="s">
        <v>396</v>
      </c>
      <c r="G37" s="3">
        <v>7</v>
      </c>
      <c r="H37" s="1">
        <v>3</v>
      </c>
      <c r="I37" s="1">
        <v>3</v>
      </c>
      <c r="J37" s="1" t="s">
        <v>454</v>
      </c>
      <c r="K37" s="1" t="s">
        <v>455</v>
      </c>
      <c r="L37" s="1" t="s">
        <v>456</v>
      </c>
      <c r="M37" s="1">
        <v>8640</v>
      </c>
      <c r="N37" s="1">
        <v>84000</v>
      </c>
      <c r="O37" s="1" t="s">
        <v>460</v>
      </c>
      <c r="P37" s="1">
        <v>2400</v>
      </c>
      <c r="Q37" s="1" t="s">
        <v>398</v>
      </c>
      <c r="R37" s="1">
        <v>10</v>
      </c>
      <c r="S37" s="18">
        <v>1065</v>
      </c>
      <c r="T37" s="16">
        <v>0.01</v>
      </c>
      <c r="V37" s="18" t="s">
        <v>413</v>
      </c>
      <c r="W37" s="18" t="s">
        <v>414</v>
      </c>
      <c r="X37" s="18" t="s">
        <v>415</v>
      </c>
      <c r="Y37" s="84" t="s">
        <v>416</v>
      </c>
      <c r="Z37" s="84"/>
      <c r="AA37" s="18" t="s">
        <v>417</v>
      </c>
      <c r="AB37" s="87" t="s">
        <v>418</v>
      </c>
      <c r="AC37" s="83" t="s">
        <v>405</v>
      </c>
      <c r="AD37" s="85" t="s">
        <v>419</v>
      </c>
      <c r="AE37" s="86" t="s">
        <v>462</v>
      </c>
      <c r="AG37" s="22"/>
    </row>
    <row r="38" spans="1:33" s="1" customFormat="1" ht="49.5" x14ac:dyDescent="0.25">
      <c r="A38" s="13">
        <f t="shared" si="2"/>
        <v>313205</v>
      </c>
      <c r="B38" s="14">
        <v>3132</v>
      </c>
      <c r="C38" s="1" t="s">
        <v>143</v>
      </c>
      <c r="D38" s="15" t="s">
        <v>412</v>
      </c>
      <c r="E38" s="3">
        <v>5</v>
      </c>
      <c r="F38" s="5" t="s">
        <v>396</v>
      </c>
      <c r="G38" s="3">
        <v>7</v>
      </c>
      <c r="H38" s="1">
        <v>3</v>
      </c>
      <c r="I38" s="1">
        <v>3</v>
      </c>
      <c r="J38" s="1" t="s">
        <v>454</v>
      </c>
      <c r="K38" s="1" t="s">
        <v>455</v>
      </c>
      <c r="L38" s="1" t="s">
        <v>456</v>
      </c>
      <c r="M38" s="1">
        <v>12960</v>
      </c>
      <c r="N38" s="1">
        <v>96000</v>
      </c>
      <c r="O38" s="1" t="s">
        <v>461</v>
      </c>
      <c r="P38" s="1">
        <v>3600</v>
      </c>
      <c r="Q38" s="1" t="s">
        <v>398</v>
      </c>
      <c r="R38" s="1">
        <v>10</v>
      </c>
      <c r="S38" s="18">
        <v>1065</v>
      </c>
      <c r="T38" s="16">
        <v>0.01</v>
      </c>
      <c r="V38" s="18" t="s">
        <v>413</v>
      </c>
      <c r="W38" s="18" t="s">
        <v>414</v>
      </c>
      <c r="X38" s="18" t="s">
        <v>415</v>
      </c>
      <c r="Y38" s="84" t="s">
        <v>416</v>
      </c>
      <c r="Z38" s="84"/>
      <c r="AA38" s="18" t="s">
        <v>417</v>
      </c>
      <c r="AB38" s="87" t="s">
        <v>418</v>
      </c>
      <c r="AC38" s="83" t="s">
        <v>405</v>
      </c>
      <c r="AD38" s="85" t="s">
        <v>419</v>
      </c>
      <c r="AE38" s="86" t="s">
        <v>462</v>
      </c>
      <c r="AG38" s="22"/>
    </row>
    <row r="39" spans="1:33" s="1" customFormat="1" ht="49.5" x14ac:dyDescent="0.25">
      <c r="A39" s="13">
        <f t="shared" si="0"/>
        <v>314101</v>
      </c>
      <c r="B39" s="14">
        <v>3141</v>
      </c>
      <c r="C39" s="1" t="s">
        <v>143</v>
      </c>
      <c r="D39" s="12" t="s">
        <v>421</v>
      </c>
      <c r="E39" s="3">
        <v>1</v>
      </c>
      <c r="F39" s="5" t="s">
        <v>396</v>
      </c>
      <c r="G39" s="3">
        <v>9</v>
      </c>
      <c r="H39" s="1">
        <v>3</v>
      </c>
      <c r="I39" s="1">
        <v>4</v>
      </c>
      <c r="J39" s="1" t="s">
        <v>463</v>
      </c>
      <c r="K39" s="1" t="s">
        <v>464</v>
      </c>
      <c r="L39" s="1" t="s">
        <v>465</v>
      </c>
      <c r="M39" s="1">
        <v>5040</v>
      </c>
      <c r="N39" s="1">
        <v>56000</v>
      </c>
      <c r="O39" s="1" t="s">
        <v>466</v>
      </c>
      <c r="P39" s="1">
        <v>1400</v>
      </c>
      <c r="Q39" s="1" t="s">
        <v>398</v>
      </c>
      <c r="R39" s="1">
        <v>10</v>
      </c>
      <c r="S39" s="18">
        <v>19080</v>
      </c>
      <c r="T39" s="16">
        <v>0.01</v>
      </c>
      <c r="V39" s="18" t="s">
        <v>426</v>
      </c>
      <c r="W39" s="18" t="s">
        <v>427</v>
      </c>
      <c r="X39" s="18" t="s">
        <v>428</v>
      </c>
      <c r="Y39" s="84" t="s">
        <v>429</v>
      </c>
      <c r="Z39" s="84"/>
      <c r="AA39" s="18" t="s">
        <v>430</v>
      </c>
      <c r="AB39" s="18" t="s">
        <v>431</v>
      </c>
      <c r="AC39" s="83" t="s">
        <v>405</v>
      </c>
      <c r="AD39" s="85" t="s">
        <v>432</v>
      </c>
      <c r="AE39" s="86" t="s">
        <v>467</v>
      </c>
      <c r="AG39" s="22"/>
    </row>
    <row r="40" spans="1:33" s="1" customFormat="1" ht="49.5" x14ac:dyDescent="0.25">
      <c r="A40" s="13">
        <f t="shared" si="0"/>
        <v>314102</v>
      </c>
      <c r="B40" s="14">
        <v>3141</v>
      </c>
      <c r="C40" s="1" t="s">
        <v>143</v>
      </c>
      <c r="D40" s="12" t="s">
        <v>421</v>
      </c>
      <c r="E40" s="3">
        <v>2</v>
      </c>
      <c r="F40" s="5" t="s">
        <v>396</v>
      </c>
      <c r="G40" s="3">
        <v>9</v>
      </c>
      <c r="H40" s="1">
        <v>3</v>
      </c>
      <c r="I40" s="1">
        <v>4</v>
      </c>
      <c r="J40" s="1" t="s">
        <v>463</v>
      </c>
      <c r="K40" s="1" t="s">
        <v>464</v>
      </c>
      <c r="L40" s="1" t="s">
        <v>465</v>
      </c>
      <c r="M40" s="1">
        <v>6048</v>
      </c>
      <c r="N40" s="1">
        <v>67200</v>
      </c>
      <c r="O40" s="1" t="s">
        <v>468</v>
      </c>
      <c r="P40" s="1">
        <v>1680</v>
      </c>
      <c r="Q40" s="1" t="s">
        <v>398</v>
      </c>
      <c r="R40" s="1">
        <v>10</v>
      </c>
      <c r="S40" s="18">
        <v>19080</v>
      </c>
      <c r="T40" s="16">
        <v>0.01</v>
      </c>
      <c r="V40" s="18" t="s">
        <v>426</v>
      </c>
      <c r="W40" s="18" t="s">
        <v>427</v>
      </c>
      <c r="X40" s="18" t="s">
        <v>428</v>
      </c>
      <c r="Y40" s="84" t="s">
        <v>429</v>
      </c>
      <c r="Z40" s="84"/>
      <c r="AA40" s="18" t="s">
        <v>430</v>
      </c>
      <c r="AB40" s="18" t="s">
        <v>431</v>
      </c>
      <c r="AC40" s="83" t="s">
        <v>405</v>
      </c>
      <c r="AD40" s="85" t="s">
        <v>432</v>
      </c>
      <c r="AE40" s="86" t="s">
        <v>467</v>
      </c>
      <c r="AG40" s="22"/>
    </row>
    <row r="41" spans="1:33" s="1" customFormat="1" ht="49.5" x14ac:dyDescent="0.25">
      <c r="A41" s="13">
        <f t="shared" si="0"/>
        <v>314103</v>
      </c>
      <c r="B41" s="14">
        <v>3141</v>
      </c>
      <c r="C41" s="1" t="s">
        <v>143</v>
      </c>
      <c r="D41" s="12" t="s">
        <v>421</v>
      </c>
      <c r="E41" s="3">
        <v>3</v>
      </c>
      <c r="F41" s="5" t="s">
        <v>396</v>
      </c>
      <c r="G41" s="3">
        <v>9</v>
      </c>
      <c r="H41" s="1">
        <v>3</v>
      </c>
      <c r="I41" s="1">
        <v>4</v>
      </c>
      <c r="J41" s="1" t="s">
        <v>463</v>
      </c>
      <c r="K41" s="1" t="s">
        <v>464</v>
      </c>
      <c r="L41" s="1" t="s">
        <v>465</v>
      </c>
      <c r="M41" s="1">
        <v>7560</v>
      </c>
      <c r="N41" s="1">
        <v>84000</v>
      </c>
      <c r="O41" s="1" t="s">
        <v>436</v>
      </c>
      <c r="P41" s="1">
        <v>2100</v>
      </c>
      <c r="Q41" s="1" t="s">
        <v>398</v>
      </c>
      <c r="R41" s="1">
        <v>10</v>
      </c>
      <c r="S41" s="18">
        <v>19080</v>
      </c>
      <c r="T41" s="16">
        <v>0.01</v>
      </c>
      <c r="V41" s="18" t="s">
        <v>426</v>
      </c>
      <c r="W41" s="18" t="s">
        <v>427</v>
      </c>
      <c r="X41" s="18" t="s">
        <v>428</v>
      </c>
      <c r="Y41" s="84" t="s">
        <v>429</v>
      </c>
      <c r="Z41" s="84"/>
      <c r="AA41" s="18" t="s">
        <v>430</v>
      </c>
      <c r="AB41" s="18" t="s">
        <v>431</v>
      </c>
      <c r="AC41" s="83" t="s">
        <v>405</v>
      </c>
      <c r="AD41" s="85" t="s">
        <v>432</v>
      </c>
      <c r="AE41" s="86" t="s">
        <v>467</v>
      </c>
      <c r="AG41" s="22"/>
    </row>
    <row r="42" spans="1:33" s="1" customFormat="1" ht="49.5" x14ac:dyDescent="0.25">
      <c r="A42" s="13">
        <f t="shared" ref="A42:A43" si="3">B42*100+E42</f>
        <v>314104</v>
      </c>
      <c r="B42" s="14">
        <v>3141</v>
      </c>
      <c r="C42" s="1" t="s">
        <v>143</v>
      </c>
      <c r="D42" s="12" t="s">
        <v>421</v>
      </c>
      <c r="E42" s="3">
        <v>4</v>
      </c>
      <c r="F42" s="5" t="s">
        <v>396</v>
      </c>
      <c r="G42" s="3">
        <v>10</v>
      </c>
      <c r="H42" s="1">
        <v>3</v>
      </c>
      <c r="I42" s="1">
        <v>4</v>
      </c>
      <c r="J42" s="1" t="s">
        <v>463</v>
      </c>
      <c r="K42" s="1" t="s">
        <v>464</v>
      </c>
      <c r="L42" s="1" t="s">
        <v>465</v>
      </c>
      <c r="M42" s="1">
        <v>10080</v>
      </c>
      <c r="N42" s="1">
        <v>98000</v>
      </c>
      <c r="O42" s="1" t="s">
        <v>469</v>
      </c>
      <c r="P42" s="1">
        <v>2800</v>
      </c>
      <c r="Q42" s="1" t="s">
        <v>398</v>
      </c>
      <c r="R42" s="1">
        <v>10</v>
      </c>
      <c r="S42" s="18">
        <v>19080</v>
      </c>
      <c r="T42" s="16">
        <v>0.01</v>
      </c>
      <c r="V42" s="18" t="s">
        <v>426</v>
      </c>
      <c r="W42" s="18" t="s">
        <v>427</v>
      </c>
      <c r="X42" s="18" t="s">
        <v>428</v>
      </c>
      <c r="Y42" s="84" t="s">
        <v>429</v>
      </c>
      <c r="Z42" s="84"/>
      <c r="AA42" s="18" t="s">
        <v>430</v>
      </c>
      <c r="AB42" s="18" t="s">
        <v>431</v>
      </c>
      <c r="AC42" s="83" t="s">
        <v>405</v>
      </c>
      <c r="AD42" s="85" t="s">
        <v>432</v>
      </c>
      <c r="AE42" s="86" t="s">
        <v>467</v>
      </c>
      <c r="AG42" s="22"/>
    </row>
    <row r="43" spans="1:33" s="1" customFormat="1" ht="49.5" x14ac:dyDescent="0.25">
      <c r="A43" s="13">
        <f t="shared" si="3"/>
        <v>314105</v>
      </c>
      <c r="B43" s="14">
        <v>3141</v>
      </c>
      <c r="C43" s="1" t="s">
        <v>143</v>
      </c>
      <c r="D43" s="12" t="s">
        <v>421</v>
      </c>
      <c r="E43" s="3">
        <v>5</v>
      </c>
      <c r="F43" s="5" t="s">
        <v>396</v>
      </c>
      <c r="G43" s="3">
        <v>10</v>
      </c>
      <c r="H43" s="1">
        <v>3</v>
      </c>
      <c r="I43" s="1">
        <v>4</v>
      </c>
      <c r="J43" s="1" t="s">
        <v>463</v>
      </c>
      <c r="K43" s="1" t="s">
        <v>464</v>
      </c>
      <c r="L43" s="1" t="s">
        <v>465</v>
      </c>
      <c r="M43" s="1">
        <v>15120</v>
      </c>
      <c r="N43" s="1">
        <v>112000</v>
      </c>
      <c r="O43" s="1" t="s">
        <v>470</v>
      </c>
      <c r="P43" s="1">
        <v>4200</v>
      </c>
      <c r="Q43" s="1" t="s">
        <v>398</v>
      </c>
      <c r="R43" s="1">
        <v>10</v>
      </c>
      <c r="S43" s="18">
        <v>19080</v>
      </c>
      <c r="T43" s="16">
        <v>0.01</v>
      </c>
      <c r="V43" s="18" t="s">
        <v>426</v>
      </c>
      <c r="W43" s="18" t="s">
        <v>427</v>
      </c>
      <c r="X43" s="18" t="s">
        <v>428</v>
      </c>
      <c r="Y43" s="84" t="s">
        <v>429</v>
      </c>
      <c r="Z43" s="84"/>
      <c r="AA43" s="18" t="s">
        <v>430</v>
      </c>
      <c r="AB43" s="18" t="s">
        <v>431</v>
      </c>
      <c r="AC43" s="83" t="s">
        <v>405</v>
      </c>
      <c r="AD43" s="85" t="s">
        <v>432</v>
      </c>
      <c r="AE43" s="86" t="s">
        <v>467</v>
      </c>
      <c r="AG43" s="22"/>
    </row>
    <row r="44" spans="1:33" s="1" customFormat="1" ht="49.5" x14ac:dyDescent="0.25">
      <c r="A44" s="13">
        <f t="shared" si="0"/>
        <v>314201</v>
      </c>
      <c r="B44" s="14">
        <v>3142</v>
      </c>
      <c r="C44" s="1" t="s">
        <v>143</v>
      </c>
      <c r="D44" s="15" t="s">
        <v>438</v>
      </c>
      <c r="E44" s="3">
        <v>1</v>
      </c>
      <c r="F44" s="5" t="s">
        <v>396</v>
      </c>
      <c r="G44" s="3">
        <v>9</v>
      </c>
      <c r="H44" s="1">
        <v>3</v>
      </c>
      <c r="I44" s="1">
        <v>4</v>
      </c>
      <c r="J44" s="1" t="s">
        <v>463</v>
      </c>
      <c r="K44" s="1" t="s">
        <v>464</v>
      </c>
      <c r="L44" s="1" t="s">
        <v>465</v>
      </c>
      <c r="M44" s="1">
        <v>5040</v>
      </c>
      <c r="N44" s="1">
        <v>56000</v>
      </c>
      <c r="O44" s="1" t="s">
        <v>466</v>
      </c>
      <c r="P44" s="1">
        <v>1400</v>
      </c>
      <c r="Q44" s="1" t="s">
        <v>398</v>
      </c>
      <c r="R44" s="1">
        <v>10</v>
      </c>
      <c r="S44" s="18">
        <v>20000</v>
      </c>
      <c r="T44" s="16">
        <v>5.0000000000000001E-3</v>
      </c>
      <c r="V44" s="18" t="s">
        <v>439</v>
      </c>
      <c r="W44" s="18" t="s">
        <v>438</v>
      </c>
      <c r="X44" s="18" t="s">
        <v>440</v>
      </c>
      <c r="Y44" s="84" t="s">
        <v>441</v>
      </c>
      <c r="Z44" s="84"/>
      <c r="AA44" s="18" t="s">
        <v>442</v>
      </c>
      <c r="AB44" s="87" t="s">
        <v>443</v>
      </c>
      <c r="AC44" s="83" t="s">
        <v>405</v>
      </c>
      <c r="AD44" s="85" t="s">
        <v>444</v>
      </c>
      <c r="AE44" s="86" t="s">
        <v>471</v>
      </c>
      <c r="AG44" s="22"/>
    </row>
    <row r="45" spans="1:33" s="1" customFormat="1" ht="49.5" x14ac:dyDescent="0.25">
      <c r="A45" s="13">
        <f t="shared" ref="A45" si="4">B45*100+E45</f>
        <v>314202</v>
      </c>
      <c r="B45" s="14">
        <v>3142</v>
      </c>
      <c r="C45" s="1" t="s">
        <v>143</v>
      </c>
      <c r="D45" s="15" t="s">
        <v>438</v>
      </c>
      <c r="E45" s="3">
        <v>2</v>
      </c>
      <c r="F45" s="5" t="s">
        <v>396</v>
      </c>
      <c r="G45" s="3">
        <v>9</v>
      </c>
      <c r="H45" s="1">
        <v>3</v>
      </c>
      <c r="I45" s="1">
        <v>4</v>
      </c>
      <c r="J45" s="1" t="s">
        <v>463</v>
      </c>
      <c r="K45" s="1" t="s">
        <v>464</v>
      </c>
      <c r="L45" s="1" t="s">
        <v>465</v>
      </c>
      <c r="M45" s="1">
        <v>6048</v>
      </c>
      <c r="N45" s="1">
        <v>67200</v>
      </c>
      <c r="O45" s="1" t="s">
        <v>468</v>
      </c>
      <c r="P45" s="1">
        <v>1680</v>
      </c>
      <c r="Q45" s="1" t="s">
        <v>398</v>
      </c>
      <c r="R45" s="1">
        <v>10</v>
      </c>
      <c r="S45" s="18">
        <v>20000</v>
      </c>
      <c r="T45" s="16">
        <v>5.0000000000000001E-3</v>
      </c>
      <c r="V45" s="18" t="s">
        <v>439</v>
      </c>
      <c r="W45" s="18" t="s">
        <v>438</v>
      </c>
      <c r="X45" s="18" t="s">
        <v>440</v>
      </c>
      <c r="Y45" s="84" t="s">
        <v>441</v>
      </c>
      <c r="Z45" s="84"/>
      <c r="AA45" s="18" t="s">
        <v>442</v>
      </c>
      <c r="AB45" s="87" t="s">
        <v>443</v>
      </c>
      <c r="AC45" s="83" t="s">
        <v>405</v>
      </c>
      <c r="AD45" s="85" t="s">
        <v>444</v>
      </c>
      <c r="AE45" s="86" t="s">
        <v>471</v>
      </c>
      <c r="AG45" s="22"/>
    </row>
    <row r="46" spans="1:33" s="1" customFormat="1" ht="49.5" x14ac:dyDescent="0.25">
      <c r="A46" s="13">
        <f t="shared" ref="A46:A47" si="5">B46*100+E46</f>
        <v>314203</v>
      </c>
      <c r="B46" s="14">
        <v>3142</v>
      </c>
      <c r="C46" s="1" t="s">
        <v>143</v>
      </c>
      <c r="D46" s="15" t="s">
        <v>438</v>
      </c>
      <c r="E46" s="3">
        <v>3</v>
      </c>
      <c r="F46" s="5" t="s">
        <v>396</v>
      </c>
      <c r="G46" s="3">
        <v>9</v>
      </c>
      <c r="H46" s="1">
        <v>3</v>
      </c>
      <c r="I46" s="1">
        <v>4</v>
      </c>
      <c r="J46" s="1" t="s">
        <v>463</v>
      </c>
      <c r="K46" s="1" t="s">
        <v>464</v>
      </c>
      <c r="L46" s="1" t="s">
        <v>465</v>
      </c>
      <c r="M46" s="1">
        <v>7560</v>
      </c>
      <c r="N46" s="1">
        <v>84000</v>
      </c>
      <c r="O46" s="1" t="s">
        <v>436</v>
      </c>
      <c r="P46" s="1">
        <v>2100</v>
      </c>
      <c r="Q46" s="1" t="s">
        <v>398</v>
      </c>
      <c r="R46" s="1">
        <v>10</v>
      </c>
      <c r="S46" s="18">
        <v>20000</v>
      </c>
      <c r="T46" s="16">
        <v>5.0000000000000001E-3</v>
      </c>
      <c r="V46" s="18" t="s">
        <v>439</v>
      </c>
      <c r="W46" s="18" t="s">
        <v>438</v>
      </c>
      <c r="X46" s="18" t="s">
        <v>440</v>
      </c>
      <c r="Y46" s="84" t="s">
        <v>441</v>
      </c>
      <c r="Z46" s="84"/>
      <c r="AA46" s="18" t="s">
        <v>442</v>
      </c>
      <c r="AB46" s="87" t="s">
        <v>443</v>
      </c>
      <c r="AC46" s="83" t="s">
        <v>405</v>
      </c>
      <c r="AD46" s="85" t="s">
        <v>444</v>
      </c>
      <c r="AE46" s="86" t="s">
        <v>471</v>
      </c>
      <c r="AG46" s="22"/>
    </row>
    <row r="47" spans="1:33" s="1" customFormat="1" ht="49.5" x14ac:dyDescent="0.25">
      <c r="A47" s="13">
        <f t="shared" si="5"/>
        <v>314204</v>
      </c>
      <c r="B47" s="14">
        <v>3142</v>
      </c>
      <c r="C47" s="1" t="s">
        <v>143</v>
      </c>
      <c r="D47" s="15" t="s">
        <v>438</v>
      </c>
      <c r="E47" s="3">
        <v>4</v>
      </c>
      <c r="F47" s="5" t="s">
        <v>396</v>
      </c>
      <c r="G47" s="3">
        <v>10</v>
      </c>
      <c r="H47" s="1">
        <v>3</v>
      </c>
      <c r="I47" s="1">
        <v>4</v>
      </c>
      <c r="J47" s="1" t="s">
        <v>463</v>
      </c>
      <c r="K47" s="1" t="s">
        <v>464</v>
      </c>
      <c r="L47" s="1" t="s">
        <v>465</v>
      </c>
      <c r="M47" s="1">
        <v>10080</v>
      </c>
      <c r="N47" s="1">
        <v>98000</v>
      </c>
      <c r="O47" s="1" t="s">
        <v>469</v>
      </c>
      <c r="P47" s="1">
        <v>2800</v>
      </c>
      <c r="Q47" s="1" t="s">
        <v>398</v>
      </c>
      <c r="R47" s="1">
        <v>10</v>
      </c>
      <c r="S47" s="18">
        <v>20000</v>
      </c>
      <c r="T47" s="16">
        <v>5.0000000000000001E-3</v>
      </c>
      <c r="V47" s="18" t="s">
        <v>439</v>
      </c>
      <c r="W47" s="18" t="s">
        <v>438</v>
      </c>
      <c r="X47" s="18" t="s">
        <v>440</v>
      </c>
      <c r="Y47" s="84" t="s">
        <v>441</v>
      </c>
      <c r="Z47" s="84"/>
      <c r="AA47" s="18" t="s">
        <v>442</v>
      </c>
      <c r="AB47" s="87" t="s">
        <v>443</v>
      </c>
      <c r="AC47" s="83" t="s">
        <v>405</v>
      </c>
      <c r="AD47" s="85" t="s">
        <v>444</v>
      </c>
      <c r="AE47" s="86" t="s">
        <v>471</v>
      </c>
      <c r="AG47" s="22"/>
    </row>
    <row r="48" spans="1:33" s="1" customFormat="1" ht="49.5" x14ac:dyDescent="0.25">
      <c r="A48" s="13">
        <f t="shared" ref="A48" si="6">B48*100+E48</f>
        <v>314205</v>
      </c>
      <c r="B48" s="14">
        <v>3142</v>
      </c>
      <c r="C48" s="1" t="s">
        <v>143</v>
      </c>
      <c r="D48" s="15" t="s">
        <v>438</v>
      </c>
      <c r="E48" s="3">
        <v>5</v>
      </c>
      <c r="F48" s="5" t="s">
        <v>396</v>
      </c>
      <c r="G48" s="3">
        <v>10</v>
      </c>
      <c r="H48" s="1">
        <v>3</v>
      </c>
      <c r="I48" s="1">
        <v>4</v>
      </c>
      <c r="J48" s="1" t="s">
        <v>463</v>
      </c>
      <c r="K48" s="1" t="s">
        <v>464</v>
      </c>
      <c r="L48" s="1" t="s">
        <v>465</v>
      </c>
      <c r="M48" s="1">
        <v>15120</v>
      </c>
      <c r="N48" s="1">
        <v>112000</v>
      </c>
      <c r="O48" s="1" t="s">
        <v>470</v>
      </c>
      <c r="P48" s="1">
        <v>4200</v>
      </c>
      <c r="Q48" s="1" t="s">
        <v>398</v>
      </c>
      <c r="R48" s="1">
        <v>10</v>
      </c>
      <c r="S48" s="18">
        <v>20000</v>
      </c>
      <c r="T48" s="16">
        <v>5.0000000000000001E-3</v>
      </c>
      <c r="V48" s="18" t="s">
        <v>439</v>
      </c>
      <c r="W48" s="18" t="s">
        <v>438</v>
      </c>
      <c r="X48" s="18" t="s">
        <v>440</v>
      </c>
      <c r="Y48" s="84" t="s">
        <v>441</v>
      </c>
      <c r="Z48" s="84"/>
      <c r="AA48" s="18" t="s">
        <v>442</v>
      </c>
      <c r="AB48" s="87" t="s">
        <v>443</v>
      </c>
      <c r="AC48" s="83" t="s">
        <v>405</v>
      </c>
      <c r="AD48" s="85" t="s">
        <v>444</v>
      </c>
      <c r="AE48" s="86" t="s">
        <v>471</v>
      </c>
      <c r="AG48" s="22"/>
    </row>
    <row r="49" spans="1:33" s="1" customFormat="1" ht="49.5" x14ac:dyDescent="0.25">
      <c r="A49" s="13">
        <f t="shared" si="0"/>
        <v>314301</v>
      </c>
      <c r="B49" s="14">
        <v>3143</v>
      </c>
      <c r="C49" s="1" t="s">
        <v>143</v>
      </c>
      <c r="D49" s="15" t="s">
        <v>446</v>
      </c>
      <c r="E49" s="3">
        <v>1</v>
      </c>
      <c r="F49" s="5" t="s">
        <v>396</v>
      </c>
      <c r="G49" s="3">
        <v>9</v>
      </c>
      <c r="H49" s="1">
        <v>3</v>
      </c>
      <c r="I49" s="1">
        <v>4</v>
      </c>
      <c r="J49" s="1" t="s">
        <v>463</v>
      </c>
      <c r="K49" s="1" t="s">
        <v>464</v>
      </c>
      <c r="L49" s="1" t="s">
        <v>465</v>
      </c>
      <c r="M49" s="1">
        <v>5040</v>
      </c>
      <c r="N49" s="1">
        <v>56000</v>
      </c>
      <c r="O49" s="1" t="s">
        <v>466</v>
      </c>
      <c r="P49" s="1">
        <v>1400</v>
      </c>
      <c r="Q49" s="1" t="s">
        <v>398</v>
      </c>
      <c r="R49" s="1">
        <v>10</v>
      </c>
      <c r="S49" s="18">
        <v>19081</v>
      </c>
      <c r="T49" s="16">
        <v>0.01</v>
      </c>
      <c r="V49" s="18" t="s">
        <v>447</v>
      </c>
      <c r="W49" s="18" t="s">
        <v>446</v>
      </c>
      <c r="X49" s="18" t="s">
        <v>448</v>
      </c>
      <c r="Y49" s="84" t="s">
        <v>449</v>
      </c>
      <c r="Z49" s="84"/>
      <c r="AA49" s="18" t="s">
        <v>450</v>
      </c>
      <c r="AB49" s="87" t="s">
        <v>451</v>
      </c>
      <c r="AC49" s="83" t="s">
        <v>405</v>
      </c>
      <c r="AD49" s="85" t="s">
        <v>452</v>
      </c>
      <c r="AE49" s="86" t="s">
        <v>472</v>
      </c>
      <c r="AG49" s="22"/>
    </row>
    <row r="50" spans="1:33" s="1" customFormat="1" ht="49.5" x14ac:dyDescent="0.25">
      <c r="A50" s="13">
        <f t="shared" ref="A50:A51" si="7">B50*100+E50</f>
        <v>314302</v>
      </c>
      <c r="B50" s="14">
        <v>3143</v>
      </c>
      <c r="C50" s="1" t="s">
        <v>143</v>
      </c>
      <c r="D50" s="15" t="s">
        <v>446</v>
      </c>
      <c r="E50" s="3">
        <v>2</v>
      </c>
      <c r="F50" s="5" t="s">
        <v>396</v>
      </c>
      <c r="G50" s="3">
        <v>9</v>
      </c>
      <c r="H50" s="1">
        <v>3</v>
      </c>
      <c r="I50" s="1">
        <v>4</v>
      </c>
      <c r="J50" s="1" t="s">
        <v>463</v>
      </c>
      <c r="K50" s="1" t="s">
        <v>464</v>
      </c>
      <c r="L50" s="1" t="s">
        <v>465</v>
      </c>
      <c r="M50" s="1">
        <v>6048</v>
      </c>
      <c r="N50" s="1">
        <v>67200</v>
      </c>
      <c r="O50" s="1" t="s">
        <v>468</v>
      </c>
      <c r="P50" s="1">
        <v>1680</v>
      </c>
      <c r="Q50" s="1" t="s">
        <v>398</v>
      </c>
      <c r="R50" s="1">
        <v>10</v>
      </c>
      <c r="S50" s="18">
        <v>19081</v>
      </c>
      <c r="T50" s="16">
        <v>0.01</v>
      </c>
      <c r="V50" s="18" t="s">
        <v>447</v>
      </c>
      <c r="W50" s="18" t="s">
        <v>446</v>
      </c>
      <c r="X50" s="18" t="s">
        <v>448</v>
      </c>
      <c r="Y50" s="84" t="s">
        <v>449</v>
      </c>
      <c r="Z50" s="84"/>
      <c r="AA50" s="18" t="s">
        <v>450</v>
      </c>
      <c r="AB50" s="87" t="s">
        <v>451</v>
      </c>
      <c r="AC50" s="83" t="s">
        <v>405</v>
      </c>
      <c r="AD50" s="85" t="s">
        <v>452</v>
      </c>
      <c r="AE50" s="86" t="s">
        <v>472</v>
      </c>
      <c r="AG50" s="22"/>
    </row>
    <row r="51" spans="1:33" s="1" customFormat="1" ht="49.5" x14ac:dyDescent="0.25">
      <c r="A51" s="13">
        <f t="shared" si="7"/>
        <v>314303</v>
      </c>
      <c r="B51" s="14">
        <v>3143</v>
      </c>
      <c r="C51" s="1" t="s">
        <v>143</v>
      </c>
      <c r="D51" s="15" t="s">
        <v>446</v>
      </c>
      <c r="E51" s="3">
        <v>3</v>
      </c>
      <c r="F51" s="5" t="s">
        <v>396</v>
      </c>
      <c r="G51" s="3">
        <v>9</v>
      </c>
      <c r="H51" s="1">
        <v>3</v>
      </c>
      <c r="I51" s="1">
        <v>4</v>
      </c>
      <c r="J51" s="1" t="s">
        <v>463</v>
      </c>
      <c r="K51" s="1" t="s">
        <v>464</v>
      </c>
      <c r="L51" s="1" t="s">
        <v>465</v>
      </c>
      <c r="M51" s="1">
        <v>7560</v>
      </c>
      <c r="N51" s="1">
        <v>84000</v>
      </c>
      <c r="O51" s="1" t="s">
        <v>436</v>
      </c>
      <c r="P51" s="1">
        <v>2100</v>
      </c>
      <c r="Q51" s="1" t="s">
        <v>398</v>
      </c>
      <c r="R51" s="1">
        <v>10</v>
      </c>
      <c r="S51" s="18">
        <v>19081</v>
      </c>
      <c r="T51" s="16">
        <v>0.01</v>
      </c>
      <c r="V51" s="18" t="s">
        <v>447</v>
      </c>
      <c r="W51" s="18" t="s">
        <v>446</v>
      </c>
      <c r="X51" s="18" t="s">
        <v>448</v>
      </c>
      <c r="Y51" s="84" t="s">
        <v>449</v>
      </c>
      <c r="Z51" s="84"/>
      <c r="AA51" s="18" t="s">
        <v>450</v>
      </c>
      <c r="AB51" s="87" t="s">
        <v>451</v>
      </c>
      <c r="AC51" s="83" t="s">
        <v>405</v>
      </c>
      <c r="AD51" s="85" t="s">
        <v>452</v>
      </c>
      <c r="AE51" s="86" t="s">
        <v>472</v>
      </c>
      <c r="AG51" s="22"/>
    </row>
    <row r="52" spans="1:33" s="1" customFormat="1" ht="49.5" x14ac:dyDescent="0.25">
      <c r="A52" s="13">
        <f t="shared" ref="A52:A53" si="8">B52*100+E52</f>
        <v>314304</v>
      </c>
      <c r="B52" s="14">
        <v>3143</v>
      </c>
      <c r="C52" s="1" t="s">
        <v>143</v>
      </c>
      <c r="D52" s="15" t="s">
        <v>446</v>
      </c>
      <c r="E52" s="3">
        <v>4</v>
      </c>
      <c r="F52" s="5" t="s">
        <v>396</v>
      </c>
      <c r="G52" s="3">
        <v>10</v>
      </c>
      <c r="H52" s="1">
        <v>3</v>
      </c>
      <c r="I52" s="1">
        <v>4</v>
      </c>
      <c r="J52" s="1" t="s">
        <v>463</v>
      </c>
      <c r="K52" s="1" t="s">
        <v>464</v>
      </c>
      <c r="L52" s="1" t="s">
        <v>465</v>
      </c>
      <c r="M52" s="1">
        <v>10080</v>
      </c>
      <c r="N52" s="1">
        <v>98000</v>
      </c>
      <c r="O52" s="1" t="s">
        <v>469</v>
      </c>
      <c r="P52" s="1">
        <v>2800</v>
      </c>
      <c r="Q52" s="1" t="s">
        <v>398</v>
      </c>
      <c r="R52" s="1">
        <v>10</v>
      </c>
      <c r="S52" s="18">
        <v>19081</v>
      </c>
      <c r="T52" s="16">
        <v>0.01</v>
      </c>
      <c r="V52" s="18" t="s">
        <v>447</v>
      </c>
      <c r="W52" s="18" t="s">
        <v>446</v>
      </c>
      <c r="X52" s="18" t="s">
        <v>448</v>
      </c>
      <c r="Y52" s="84" t="s">
        <v>449</v>
      </c>
      <c r="Z52" s="84"/>
      <c r="AA52" s="18" t="s">
        <v>450</v>
      </c>
      <c r="AB52" s="87" t="s">
        <v>451</v>
      </c>
      <c r="AC52" s="83" t="s">
        <v>405</v>
      </c>
      <c r="AD52" s="85" t="s">
        <v>452</v>
      </c>
      <c r="AE52" s="86" t="s">
        <v>472</v>
      </c>
      <c r="AG52" s="22"/>
    </row>
    <row r="53" spans="1:33" s="1" customFormat="1" ht="49.5" x14ac:dyDescent="0.25">
      <c r="A53" s="13">
        <f t="shared" si="8"/>
        <v>314305</v>
      </c>
      <c r="B53" s="14">
        <v>3143</v>
      </c>
      <c r="C53" s="1" t="s">
        <v>143</v>
      </c>
      <c r="D53" s="15" t="s">
        <v>446</v>
      </c>
      <c r="E53" s="3">
        <v>5</v>
      </c>
      <c r="F53" s="5" t="s">
        <v>396</v>
      </c>
      <c r="G53" s="3">
        <v>10</v>
      </c>
      <c r="H53" s="1">
        <v>3</v>
      </c>
      <c r="I53" s="1">
        <v>4</v>
      </c>
      <c r="J53" s="1" t="s">
        <v>463</v>
      </c>
      <c r="K53" s="1" t="s">
        <v>464</v>
      </c>
      <c r="L53" s="1" t="s">
        <v>465</v>
      </c>
      <c r="M53" s="1">
        <v>15120</v>
      </c>
      <c r="N53" s="1">
        <v>112000</v>
      </c>
      <c r="O53" s="1" t="s">
        <v>470</v>
      </c>
      <c r="P53" s="1">
        <v>4200</v>
      </c>
      <c r="Q53" s="1" t="s">
        <v>398</v>
      </c>
      <c r="R53" s="1">
        <v>10</v>
      </c>
      <c r="S53" s="18">
        <v>19081</v>
      </c>
      <c r="T53" s="16">
        <v>0.01</v>
      </c>
      <c r="V53" s="18" t="s">
        <v>447</v>
      </c>
      <c r="W53" s="18" t="s">
        <v>446</v>
      </c>
      <c r="X53" s="18" t="s">
        <v>448</v>
      </c>
      <c r="Y53" s="84" t="s">
        <v>449</v>
      </c>
      <c r="Z53" s="84"/>
      <c r="AA53" s="18" t="s">
        <v>450</v>
      </c>
      <c r="AB53" s="87" t="s">
        <v>451</v>
      </c>
      <c r="AC53" s="83" t="s">
        <v>405</v>
      </c>
      <c r="AD53" s="85" t="s">
        <v>452</v>
      </c>
      <c r="AE53" s="86" t="s">
        <v>472</v>
      </c>
      <c r="AG53" s="22"/>
    </row>
    <row r="54" spans="1:33" s="1" customFormat="1" ht="49.5" x14ac:dyDescent="0.25">
      <c r="A54" s="13">
        <f t="shared" ref="A54" si="9">B54*100+E54</f>
        <v>611101</v>
      </c>
      <c r="B54" s="14">
        <v>6111</v>
      </c>
      <c r="C54" s="1" t="s">
        <v>286</v>
      </c>
      <c r="D54" s="12" t="s">
        <v>473</v>
      </c>
      <c r="E54" s="3">
        <v>1</v>
      </c>
      <c r="F54" s="5" t="s">
        <v>396</v>
      </c>
      <c r="G54" s="3">
        <v>1</v>
      </c>
      <c r="H54" s="1">
        <v>6</v>
      </c>
      <c r="I54" s="1">
        <v>1</v>
      </c>
      <c r="M54" s="1">
        <v>3600</v>
      </c>
      <c r="N54" s="1">
        <v>40000</v>
      </c>
      <c r="O54" s="1" t="s">
        <v>397</v>
      </c>
      <c r="P54" s="1">
        <v>1000</v>
      </c>
      <c r="Q54" s="1" t="s">
        <v>398</v>
      </c>
      <c r="R54" s="1">
        <v>10</v>
      </c>
      <c r="S54" s="18">
        <v>1057</v>
      </c>
      <c r="T54" s="16">
        <v>0.01</v>
      </c>
      <c r="V54" s="18" t="s">
        <v>474</v>
      </c>
      <c r="W54" s="18" t="s">
        <v>475</v>
      </c>
      <c r="X54" s="18" t="s">
        <v>476</v>
      </c>
      <c r="Y54" s="84" t="s">
        <v>477</v>
      </c>
      <c r="Z54" s="84"/>
      <c r="AA54" s="18" t="s">
        <v>478</v>
      </c>
      <c r="AB54" s="18" t="s">
        <v>479</v>
      </c>
      <c r="AC54" s="83" t="s">
        <v>405</v>
      </c>
      <c r="AD54" s="85" t="s">
        <v>480</v>
      </c>
      <c r="AE54" s="86" t="s">
        <v>407</v>
      </c>
      <c r="AG54" s="22"/>
    </row>
    <row r="55" spans="1:33" s="1" customFormat="1" ht="49.5" x14ac:dyDescent="0.25">
      <c r="A55" s="13">
        <f t="shared" ref="A55:A93" si="10">B55*100+E55</f>
        <v>611102</v>
      </c>
      <c r="B55" s="14">
        <v>6111</v>
      </c>
      <c r="C55" s="1" t="s">
        <v>286</v>
      </c>
      <c r="D55" s="12" t="s">
        <v>473</v>
      </c>
      <c r="E55" s="3">
        <v>2</v>
      </c>
      <c r="F55" s="5" t="s">
        <v>396</v>
      </c>
      <c r="G55" s="3">
        <v>1</v>
      </c>
      <c r="H55" s="1">
        <v>6</v>
      </c>
      <c r="I55" s="1">
        <v>1</v>
      </c>
      <c r="M55" s="1">
        <v>4320</v>
      </c>
      <c r="N55" s="1">
        <v>48000</v>
      </c>
      <c r="O55" s="1" t="s">
        <v>408</v>
      </c>
      <c r="P55" s="1">
        <v>1200</v>
      </c>
      <c r="Q55" s="1" t="s">
        <v>398</v>
      </c>
      <c r="R55" s="1">
        <v>10</v>
      </c>
      <c r="S55" s="18">
        <v>1057</v>
      </c>
      <c r="T55" s="16">
        <v>0.01</v>
      </c>
      <c r="V55" s="18" t="s">
        <v>474</v>
      </c>
      <c r="W55" s="18" t="s">
        <v>475</v>
      </c>
      <c r="X55" s="18" t="s">
        <v>476</v>
      </c>
      <c r="Y55" s="84" t="s">
        <v>477</v>
      </c>
      <c r="Z55" s="84"/>
      <c r="AA55" s="18" t="s">
        <v>478</v>
      </c>
      <c r="AB55" s="18" t="s">
        <v>479</v>
      </c>
      <c r="AC55" s="83" t="s">
        <v>405</v>
      </c>
      <c r="AD55" s="85" t="s">
        <v>480</v>
      </c>
      <c r="AE55" s="86" t="s">
        <v>407</v>
      </c>
      <c r="AG55" s="22"/>
    </row>
    <row r="56" spans="1:33" s="1" customFormat="1" ht="49.5" x14ac:dyDescent="0.25">
      <c r="A56" s="13">
        <f t="shared" ref="A56" si="11">B56*100+E56</f>
        <v>611103</v>
      </c>
      <c r="B56" s="14">
        <v>6111</v>
      </c>
      <c r="C56" s="1" t="s">
        <v>286</v>
      </c>
      <c r="D56" s="12" t="s">
        <v>473</v>
      </c>
      <c r="E56" s="3">
        <v>3</v>
      </c>
      <c r="F56" s="5" t="s">
        <v>396</v>
      </c>
      <c r="G56" s="3">
        <v>1</v>
      </c>
      <c r="H56" s="1">
        <v>6</v>
      </c>
      <c r="I56" s="1">
        <v>1</v>
      </c>
      <c r="M56" s="1">
        <v>5400</v>
      </c>
      <c r="N56" s="1">
        <v>60000</v>
      </c>
      <c r="O56" s="1" t="s">
        <v>409</v>
      </c>
      <c r="P56" s="1">
        <v>1500</v>
      </c>
      <c r="Q56" s="1" t="s">
        <v>398</v>
      </c>
      <c r="R56" s="1">
        <v>10</v>
      </c>
      <c r="S56" s="18">
        <v>1057</v>
      </c>
      <c r="T56" s="16">
        <v>0.01</v>
      </c>
      <c r="V56" s="18" t="s">
        <v>474</v>
      </c>
      <c r="W56" s="18" t="s">
        <v>475</v>
      </c>
      <c r="X56" s="18" t="s">
        <v>476</v>
      </c>
      <c r="Y56" s="84" t="s">
        <v>477</v>
      </c>
      <c r="Z56" s="84"/>
      <c r="AA56" s="18" t="s">
        <v>478</v>
      </c>
      <c r="AB56" s="18" t="s">
        <v>479</v>
      </c>
      <c r="AC56" s="83" t="s">
        <v>405</v>
      </c>
      <c r="AD56" s="85" t="s">
        <v>480</v>
      </c>
      <c r="AE56" s="86" t="s">
        <v>407</v>
      </c>
      <c r="AG56" s="22"/>
    </row>
    <row r="57" spans="1:33" s="1" customFormat="1" ht="49.5" x14ac:dyDescent="0.25">
      <c r="A57" s="13">
        <f t="shared" ref="A57" si="12">B57*100+E57</f>
        <v>611104</v>
      </c>
      <c r="B57" s="14">
        <v>6111</v>
      </c>
      <c r="C57" s="1" t="s">
        <v>286</v>
      </c>
      <c r="D57" s="12" t="s">
        <v>473</v>
      </c>
      <c r="E57" s="3">
        <v>4</v>
      </c>
      <c r="F57" s="5" t="s">
        <v>396</v>
      </c>
      <c r="G57" s="3">
        <v>2</v>
      </c>
      <c r="H57" s="1">
        <v>6</v>
      </c>
      <c r="I57" s="1">
        <v>1</v>
      </c>
      <c r="M57" s="1">
        <v>7200</v>
      </c>
      <c r="N57" s="1">
        <v>70000</v>
      </c>
      <c r="O57" s="1" t="s">
        <v>410</v>
      </c>
      <c r="P57" s="1">
        <v>2000</v>
      </c>
      <c r="Q57" s="1" t="s">
        <v>398</v>
      </c>
      <c r="R57" s="1">
        <v>10</v>
      </c>
      <c r="S57" s="18">
        <v>1057</v>
      </c>
      <c r="T57" s="16">
        <v>0.01</v>
      </c>
      <c r="V57" s="18" t="s">
        <v>474</v>
      </c>
      <c r="W57" s="18" t="s">
        <v>475</v>
      </c>
      <c r="X57" s="18" t="s">
        <v>476</v>
      </c>
      <c r="Y57" s="84" t="s">
        <v>477</v>
      </c>
      <c r="Z57" s="84"/>
      <c r="AA57" s="18" t="s">
        <v>478</v>
      </c>
      <c r="AB57" s="18" t="s">
        <v>479</v>
      </c>
      <c r="AC57" s="83" t="s">
        <v>405</v>
      </c>
      <c r="AD57" s="85" t="s">
        <v>480</v>
      </c>
      <c r="AE57" s="86" t="s">
        <v>407</v>
      </c>
      <c r="AG57" s="22"/>
    </row>
    <row r="58" spans="1:33" s="1" customFormat="1" ht="49.5" x14ac:dyDescent="0.25">
      <c r="A58" s="13">
        <f t="shared" si="10"/>
        <v>611105</v>
      </c>
      <c r="B58" s="14">
        <v>6111</v>
      </c>
      <c r="C58" s="1" t="s">
        <v>286</v>
      </c>
      <c r="D58" s="12" t="s">
        <v>473</v>
      </c>
      <c r="E58" s="3">
        <v>5</v>
      </c>
      <c r="F58" s="5" t="s">
        <v>396</v>
      </c>
      <c r="G58" s="3">
        <v>2</v>
      </c>
      <c r="H58" s="1">
        <v>6</v>
      </c>
      <c r="I58" s="1">
        <v>1</v>
      </c>
      <c r="M58" s="1">
        <v>10800</v>
      </c>
      <c r="N58" s="1">
        <v>80000</v>
      </c>
      <c r="O58" s="1" t="s">
        <v>411</v>
      </c>
      <c r="P58" s="1">
        <v>3000</v>
      </c>
      <c r="Q58" s="1" t="s">
        <v>398</v>
      </c>
      <c r="R58" s="1">
        <v>10</v>
      </c>
      <c r="S58" s="18">
        <v>1057</v>
      </c>
      <c r="T58" s="16">
        <v>0.01</v>
      </c>
      <c r="V58" s="18" t="s">
        <v>474</v>
      </c>
      <c r="W58" s="18" t="s">
        <v>475</v>
      </c>
      <c r="X58" s="18" t="s">
        <v>476</v>
      </c>
      <c r="Y58" s="84" t="s">
        <v>477</v>
      </c>
      <c r="Z58" s="84"/>
      <c r="AA58" s="18" t="s">
        <v>478</v>
      </c>
      <c r="AB58" s="18" t="s">
        <v>479</v>
      </c>
      <c r="AC58" s="83" t="s">
        <v>405</v>
      </c>
      <c r="AD58" s="85" t="s">
        <v>480</v>
      </c>
      <c r="AE58" s="86" t="s">
        <v>407</v>
      </c>
      <c r="AG58" s="22"/>
    </row>
    <row r="59" spans="1:33" s="1" customFormat="1" ht="49.5" x14ac:dyDescent="0.25">
      <c r="A59" s="13">
        <f t="shared" ref="A59" si="13">B59*100+E59</f>
        <v>611201</v>
      </c>
      <c r="B59" s="14">
        <v>6112</v>
      </c>
      <c r="C59" s="1" t="s">
        <v>286</v>
      </c>
      <c r="D59" s="15" t="s">
        <v>481</v>
      </c>
      <c r="E59" s="3">
        <v>1</v>
      </c>
      <c r="F59" s="5" t="s">
        <v>396</v>
      </c>
      <c r="G59" s="3">
        <v>1</v>
      </c>
      <c r="H59" s="1">
        <v>6</v>
      </c>
      <c r="I59" s="1">
        <v>1</v>
      </c>
      <c r="M59" s="1">
        <v>3600</v>
      </c>
      <c r="N59" s="1">
        <v>40000</v>
      </c>
      <c r="O59" s="1" t="s">
        <v>397</v>
      </c>
      <c r="P59" s="1">
        <v>1000</v>
      </c>
      <c r="Q59" s="1" t="s">
        <v>398</v>
      </c>
      <c r="R59" s="1">
        <v>10</v>
      </c>
      <c r="S59" s="18">
        <v>1062</v>
      </c>
      <c r="T59" s="16">
        <v>0.01</v>
      </c>
      <c r="V59" s="18" t="s">
        <v>482</v>
      </c>
      <c r="W59" s="18" t="s">
        <v>483</v>
      </c>
      <c r="X59" s="18" t="s">
        <v>484</v>
      </c>
      <c r="Y59" s="84" t="s">
        <v>485</v>
      </c>
      <c r="Z59" s="84"/>
      <c r="AA59" s="18" t="s">
        <v>486</v>
      </c>
      <c r="AB59" s="87" t="s">
        <v>487</v>
      </c>
      <c r="AC59" s="83" t="s">
        <v>405</v>
      </c>
      <c r="AD59" s="85" t="s">
        <v>488</v>
      </c>
      <c r="AE59" s="86" t="s">
        <v>420</v>
      </c>
      <c r="AG59" s="22"/>
    </row>
    <row r="60" spans="1:33" s="1" customFormat="1" ht="49.5" x14ac:dyDescent="0.25">
      <c r="A60" s="13">
        <f t="shared" si="10"/>
        <v>611202</v>
      </c>
      <c r="B60" s="14">
        <v>6112</v>
      </c>
      <c r="C60" s="1" t="s">
        <v>286</v>
      </c>
      <c r="D60" s="15" t="s">
        <v>481</v>
      </c>
      <c r="E60" s="3">
        <v>2</v>
      </c>
      <c r="F60" s="5" t="s">
        <v>396</v>
      </c>
      <c r="G60" s="3">
        <v>1</v>
      </c>
      <c r="H60" s="1">
        <v>6</v>
      </c>
      <c r="I60" s="1">
        <v>1</v>
      </c>
      <c r="M60" s="1">
        <v>4320</v>
      </c>
      <c r="N60" s="1">
        <v>48000</v>
      </c>
      <c r="O60" s="1" t="s">
        <v>408</v>
      </c>
      <c r="P60" s="1">
        <v>1200</v>
      </c>
      <c r="Q60" s="1" t="s">
        <v>398</v>
      </c>
      <c r="R60" s="1">
        <v>10</v>
      </c>
      <c r="S60" s="18">
        <v>1062</v>
      </c>
      <c r="T60" s="16">
        <v>0.01</v>
      </c>
      <c r="V60" s="18" t="s">
        <v>482</v>
      </c>
      <c r="W60" s="18" t="s">
        <v>483</v>
      </c>
      <c r="X60" s="18" t="s">
        <v>484</v>
      </c>
      <c r="Y60" s="84" t="s">
        <v>485</v>
      </c>
      <c r="Z60" s="84"/>
      <c r="AA60" s="18" t="s">
        <v>486</v>
      </c>
      <c r="AB60" s="87" t="s">
        <v>487</v>
      </c>
      <c r="AC60" s="83" t="s">
        <v>405</v>
      </c>
      <c r="AD60" s="85" t="s">
        <v>488</v>
      </c>
      <c r="AE60" s="86" t="s">
        <v>420</v>
      </c>
      <c r="AG60" s="22"/>
    </row>
    <row r="61" spans="1:33" s="1" customFormat="1" ht="49.5" x14ac:dyDescent="0.25">
      <c r="A61" s="13">
        <f t="shared" ref="A61" si="14">B61*100+E61</f>
        <v>611203</v>
      </c>
      <c r="B61" s="14">
        <v>6112</v>
      </c>
      <c r="C61" s="1" t="s">
        <v>286</v>
      </c>
      <c r="D61" s="15" t="s">
        <v>481</v>
      </c>
      <c r="E61" s="3">
        <v>3</v>
      </c>
      <c r="F61" s="5" t="s">
        <v>396</v>
      </c>
      <c r="G61" s="3">
        <v>1</v>
      </c>
      <c r="H61" s="1">
        <v>6</v>
      </c>
      <c r="I61" s="1">
        <v>1</v>
      </c>
      <c r="M61" s="1">
        <v>5400</v>
      </c>
      <c r="N61" s="1">
        <v>60000</v>
      </c>
      <c r="O61" s="1" t="s">
        <v>409</v>
      </c>
      <c r="P61" s="1">
        <v>1500</v>
      </c>
      <c r="Q61" s="1" t="s">
        <v>398</v>
      </c>
      <c r="R61" s="1">
        <v>10</v>
      </c>
      <c r="S61" s="18">
        <v>1062</v>
      </c>
      <c r="T61" s="16">
        <v>0.01</v>
      </c>
      <c r="V61" s="18" t="s">
        <v>482</v>
      </c>
      <c r="W61" s="18" t="s">
        <v>483</v>
      </c>
      <c r="X61" s="18" t="s">
        <v>484</v>
      </c>
      <c r="Y61" s="84" t="s">
        <v>485</v>
      </c>
      <c r="Z61" s="84"/>
      <c r="AA61" s="18" t="s">
        <v>486</v>
      </c>
      <c r="AB61" s="87" t="s">
        <v>487</v>
      </c>
      <c r="AC61" s="83" t="s">
        <v>405</v>
      </c>
      <c r="AD61" s="85" t="s">
        <v>488</v>
      </c>
      <c r="AE61" s="86" t="s">
        <v>420</v>
      </c>
      <c r="AG61" s="22"/>
    </row>
    <row r="62" spans="1:33" s="1" customFormat="1" ht="49.5" x14ac:dyDescent="0.25">
      <c r="A62" s="13">
        <f t="shared" ref="A62" si="15">B62*100+E62</f>
        <v>611204</v>
      </c>
      <c r="B62" s="14">
        <v>6112</v>
      </c>
      <c r="C62" s="1" t="s">
        <v>286</v>
      </c>
      <c r="D62" s="15" t="s">
        <v>481</v>
      </c>
      <c r="E62" s="3">
        <v>4</v>
      </c>
      <c r="F62" s="5" t="s">
        <v>396</v>
      </c>
      <c r="G62" s="3">
        <v>2</v>
      </c>
      <c r="H62" s="1">
        <v>6</v>
      </c>
      <c r="I62" s="1">
        <v>1</v>
      </c>
      <c r="M62" s="1">
        <v>7200</v>
      </c>
      <c r="N62" s="1">
        <v>70000</v>
      </c>
      <c r="O62" s="1" t="s">
        <v>410</v>
      </c>
      <c r="P62" s="1">
        <v>2000</v>
      </c>
      <c r="Q62" s="1" t="s">
        <v>398</v>
      </c>
      <c r="R62" s="1">
        <v>10</v>
      </c>
      <c r="S62" s="18">
        <v>1062</v>
      </c>
      <c r="T62" s="16">
        <v>0.01</v>
      </c>
      <c r="V62" s="18" t="s">
        <v>482</v>
      </c>
      <c r="W62" s="18" t="s">
        <v>483</v>
      </c>
      <c r="X62" s="18" t="s">
        <v>484</v>
      </c>
      <c r="Y62" s="84" t="s">
        <v>485</v>
      </c>
      <c r="Z62" s="84"/>
      <c r="AA62" s="18" t="s">
        <v>486</v>
      </c>
      <c r="AB62" s="87" t="s">
        <v>487</v>
      </c>
      <c r="AC62" s="83" t="s">
        <v>405</v>
      </c>
      <c r="AD62" s="85" t="s">
        <v>488</v>
      </c>
      <c r="AE62" s="86" t="s">
        <v>420</v>
      </c>
      <c r="AG62" s="22"/>
    </row>
    <row r="63" spans="1:33" s="1" customFormat="1" ht="49.5" x14ac:dyDescent="0.25">
      <c r="A63" s="13">
        <f t="shared" si="10"/>
        <v>611205</v>
      </c>
      <c r="B63" s="14">
        <v>6112</v>
      </c>
      <c r="C63" s="1" t="s">
        <v>286</v>
      </c>
      <c r="D63" s="15" t="s">
        <v>481</v>
      </c>
      <c r="E63" s="3">
        <v>5</v>
      </c>
      <c r="F63" s="5" t="s">
        <v>396</v>
      </c>
      <c r="G63" s="3">
        <v>2</v>
      </c>
      <c r="H63" s="1">
        <v>6</v>
      </c>
      <c r="I63" s="1">
        <v>1</v>
      </c>
      <c r="M63" s="1">
        <v>10800</v>
      </c>
      <c r="N63" s="1">
        <v>80000</v>
      </c>
      <c r="O63" s="1" t="s">
        <v>411</v>
      </c>
      <c r="P63" s="1">
        <v>3000</v>
      </c>
      <c r="Q63" s="1" t="s">
        <v>398</v>
      </c>
      <c r="R63" s="1">
        <v>10</v>
      </c>
      <c r="S63" s="18">
        <v>1062</v>
      </c>
      <c r="T63" s="16">
        <v>0.01</v>
      </c>
      <c r="V63" s="18" t="s">
        <v>482</v>
      </c>
      <c r="W63" s="18" t="s">
        <v>483</v>
      </c>
      <c r="X63" s="18" t="s">
        <v>484</v>
      </c>
      <c r="Y63" s="84" t="s">
        <v>485</v>
      </c>
      <c r="Z63" s="84"/>
      <c r="AA63" s="18" t="s">
        <v>486</v>
      </c>
      <c r="AB63" s="87" t="s">
        <v>487</v>
      </c>
      <c r="AC63" s="83" t="s">
        <v>405</v>
      </c>
      <c r="AD63" s="85" t="s">
        <v>488</v>
      </c>
      <c r="AE63" s="86" t="s">
        <v>420</v>
      </c>
      <c r="AG63" s="22"/>
    </row>
    <row r="64" spans="1:33" s="1" customFormat="1" ht="49.5" x14ac:dyDescent="0.25">
      <c r="A64" s="13">
        <f t="shared" ref="A64" si="16">B64*100+E64</f>
        <v>612101</v>
      </c>
      <c r="B64" s="14">
        <v>6121</v>
      </c>
      <c r="C64" s="1" t="s">
        <v>286</v>
      </c>
      <c r="D64" s="12" t="s">
        <v>489</v>
      </c>
      <c r="E64" s="3">
        <v>1</v>
      </c>
      <c r="F64" s="5" t="s">
        <v>396</v>
      </c>
      <c r="G64" s="3">
        <v>3</v>
      </c>
      <c r="H64" s="1">
        <v>6</v>
      </c>
      <c r="I64" s="1">
        <v>2</v>
      </c>
      <c r="J64" s="1" t="s">
        <v>422</v>
      </c>
      <c r="K64" s="1" t="s">
        <v>423</v>
      </c>
      <c r="L64" s="1" t="s">
        <v>490</v>
      </c>
      <c r="M64" s="1">
        <v>3780</v>
      </c>
      <c r="N64" s="1">
        <v>42000</v>
      </c>
      <c r="O64" s="1" t="s">
        <v>425</v>
      </c>
      <c r="P64" s="1">
        <v>1050</v>
      </c>
      <c r="Q64" s="1" t="s">
        <v>398</v>
      </c>
      <c r="R64" s="1">
        <v>10</v>
      </c>
      <c r="S64" s="18">
        <v>3100</v>
      </c>
      <c r="T64" s="16">
        <v>0.01</v>
      </c>
      <c r="V64" s="18" t="s">
        <v>491</v>
      </c>
      <c r="W64" s="18" t="s">
        <v>492</v>
      </c>
      <c r="X64" s="18" t="s">
        <v>493</v>
      </c>
      <c r="Y64" s="84" t="s">
        <v>494</v>
      </c>
      <c r="Z64" s="84"/>
      <c r="AA64" s="18" t="s">
        <v>495</v>
      </c>
      <c r="AB64" s="87" t="s">
        <v>496</v>
      </c>
      <c r="AC64" s="83" t="s">
        <v>405</v>
      </c>
      <c r="AD64" s="85" t="s">
        <v>497</v>
      </c>
      <c r="AE64" s="86" t="s">
        <v>433</v>
      </c>
      <c r="AG64" s="22"/>
    </row>
    <row r="65" spans="1:33" s="1" customFormat="1" ht="49.5" x14ac:dyDescent="0.25">
      <c r="A65" s="13">
        <f t="shared" si="10"/>
        <v>612102</v>
      </c>
      <c r="B65" s="14">
        <v>6121</v>
      </c>
      <c r="C65" s="1" t="s">
        <v>286</v>
      </c>
      <c r="D65" s="12" t="s">
        <v>489</v>
      </c>
      <c r="E65" s="3">
        <v>2</v>
      </c>
      <c r="F65" s="5" t="s">
        <v>396</v>
      </c>
      <c r="G65" s="3">
        <v>3</v>
      </c>
      <c r="H65" s="1">
        <v>6</v>
      </c>
      <c r="I65" s="1">
        <v>2</v>
      </c>
      <c r="J65" s="1" t="s">
        <v>422</v>
      </c>
      <c r="K65" s="1" t="s">
        <v>423</v>
      </c>
      <c r="L65" s="1" t="s">
        <v>490</v>
      </c>
      <c r="M65" s="1">
        <v>4536</v>
      </c>
      <c r="N65" s="1">
        <v>50400</v>
      </c>
      <c r="O65" s="1" t="s">
        <v>434</v>
      </c>
      <c r="P65" s="1">
        <v>1260</v>
      </c>
      <c r="Q65" s="1" t="s">
        <v>398</v>
      </c>
      <c r="R65" s="1">
        <v>10</v>
      </c>
      <c r="S65" s="18">
        <v>3100</v>
      </c>
      <c r="T65" s="16">
        <v>0.01</v>
      </c>
      <c r="V65" s="18" t="s">
        <v>491</v>
      </c>
      <c r="W65" s="18" t="s">
        <v>492</v>
      </c>
      <c r="X65" s="18" t="s">
        <v>493</v>
      </c>
      <c r="Y65" s="84" t="s">
        <v>494</v>
      </c>
      <c r="Z65" s="84"/>
      <c r="AA65" s="18" t="s">
        <v>495</v>
      </c>
      <c r="AB65" s="87" t="s">
        <v>496</v>
      </c>
      <c r="AC65" s="83" t="s">
        <v>405</v>
      </c>
      <c r="AD65" s="85" t="s">
        <v>497</v>
      </c>
      <c r="AE65" s="86" t="s">
        <v>433</v>
      </c>
      <c r="AG65" s="22"/>
    </row>
    <row r="66" spans="1:33" s="1" customFormat="1" ht="49.5" x14ac:dyDescent="0.25">
      <c r="A66" s="13">
        <f t="shared" ref="A66" si="17">B66*100+E66</f>
        <v>612103</v>
      </c>
      <c r="B66" s="14">
        <v>6121</v>
      </c>
      <c r="C66" s="1" t="s">
        <v>286</v>
      </c>
      <c r="D66" s="12" t="s">
        <v>489</v>
      </c>
      <c r="E66" s="3">
        <v>3</v>
      </c>
      <c r="F66" s="5" t="s">
        <v>396</v>
      </c>
      <c r="G66" s="3">
        <v>3</v>
      </c>
      <c r="H66" s="1">
        <v>6</v>
      </c>
      <c r="I66" s="1">
        <v>2</v>
      </c>
      <c r="J66" s="1" t="s">
        <v>422</v>
      </c>
      <c r="K66" s="1" t="s">
        <v>423</v>
      </c>
      <c r="L66" s="1" t="s">
        <v>490</v>
      </c>
      <c r="M66" s="1">
        <v>5670</v>
      </c>
      <c r="N66" s="1">
        <v>63000</v>
      </c>
      <c r="O66" s="1" t="s">
        <v>435</v>
      </c>
      <c r="P66" s="1">
        <v>1575</v>
      </c>
      <c r="Q66" s="1" t="s">
        <v>398</v>
      </c>
      <c r="R66" s="1">
        <v>10</v>
      </c>
      <c r="S66" s="18">
        <v>3100</v>
      </c>
      <c r="T66" s="16">
        <v>0.01</v>
      </c>
      <c r="V66" s="18" t="s">
        <v>491</v>
      </c>
      <c r="W66" s="18" t="s">
        <v>492</v>
      </c>
      <c r="X66" s="18" t="s">
        <v>493</v>
      </c>
      <c r="Y66" s="84" t="s">
        <v>494</v>
      </c>
      <c r="Z66" s="84"/>
      <c r="AA66" s="18" t="s">
        <v>495</v>
      </c>
      <c r="AB66" s="87" t="s">
        <v>496</v>
      </c>
      <c r="AC66" s="83" t="s">
        <v>405</v>
      </c>
      <c r="AD66" s="85" t="s">
        <v>497</v>
      </c>
      <c r="AE66" s="86" t="s">
        <v>433</v>
      </c>
      <c r="AG66" s="22"/>
    </row>
    <row r="67" spans="1:33" s="1" customFormat="1" ht="49.5" x14ac:dyDescent="0.25">
      <c r="A67" s="13">
        <f t="shared" ref="A67" si="18">B67*100+E67</f>
        <v>612104</v>
      </c>
      <c r="B67" s="14">
        <v>6121</v>
      </c>
      <c r="C67" s="1" t="s">
        <v>286</v>
      </c>
      <c r="D67" s="12" t="s">
        <v>489</v>
      </c>
      <c r="E67" s="3">
        <v>4</v>
      </c>
      <c r="F67" s="5" t="s">
        <v>396</v>
      </c>
      <c r="G67" s="3">
        <v>4</v>
      </c>
      <c r="H67" s="1">
        <v>6</v>
      </c>
      <c r="I67" s="1">
        <v>2</v>
      </c>
      <c r="J67" s="1" t="s">
        <v>422</v>
      </c>
      <c r="K67" s="1" t="s">
        <v>423</v>
      </c>
      <c r="L67" s="1" t="s">
        <v>490</v>
      </c>
      <c r="M67" s="1">
        <v>7560</v>
      </c>
      <c r="N67" s="1">
        <v>73500</v>
      </c>
      <c r="O67" s="1" t="s">
        <v>436</v>
      </c>
      <c r="P67" s="1">
        <v>2100</v>
      </c>
      <c r="Q67" s="1" t="s">
        <v>398</v>
      </c>
      <c r="R67" s="1">
        <v>10</v>
      </c>
      <c r="S67" s="18">
        <v>3100</v>
      </c>
      <c r="T67" s="16">
        <v>0.01</v>
      </c>
      <c r="V67" s="18" t="s">
        <v>491</v>
      </c>
      <c r="W67" s="18" t="s">
        <v>492</v>
      </c>
      <c r="X67" s="18" t="s">
        <v>493</v>
      </c>
      <c r="Y67" s="84" t="s">
        <v>494</v>
      </c>
      <c r="Z67" s="84"/>
      <c r="AA67" s="18" t="s">
        <v>495</v>
      </c>
      <c r="AB67" s="87" t="s">
        <v>496</v>
      </c>
      <c r="AC67" s="83" t="s">
        <v>405</v>
      </c>
      <c r="AD67" s="85" t="s">
        <v>497</v>
      </c>
      <c r="AE67" s="86" t="s">
        <v>433</v>
      </c>
      <c r="AG67" s="22"/>
    </row>
    <row r="68" spans="1:33" s="1" customFormat="1" ht="49.5" x14ac:dyDescent="0.25">
      <c r="A68" s="13">
        <f t="shared" si="10"/>
        <v>612105</v>
      </c>
      <c r="B68" s="14">
        <v>6121</v>
      </c>
      <c r="C68" s="1" t="s">
        <v>286</v>
      </c>
      <c r="D68" s="12" t="s">
        <v>489</v>
      </c>
      <c r="E68" s="3">
        <v>5</v>
      </c>
      <c r="F68" s="5" t="s">
        <v>396</v>
      </c>
      <c r="G68" s="3">
        <v>4</v>
      </c>
      <c r="H68" s="1">
        <v>6</v>
      </c>
      <c r="I68" s="1">
        <v>2</v>
      </c>
      <c r="J68" s="1" t="s">
        <v>422</v>
      </c>
      <c r="K68" s="1" t="s">
        <v>423</v>
      </c>
      <c r="L68" s="1" t="s">
        <v>490</v>
      </c>
      <c r="M68" s="1">
        <v>11340</v>
      </c>
      <c r="N68" s="1">
        <v>84000</v>
      </c>
      <c r="O68" s="1" t="s">
        <v>437</v>
      </c>
      <c r="P68" s="1">
        <v>3150</v>
      </c>
      <c r="Q68" s="1" t="s">
        <v>398</v>
      </c>
      <c r="R68" s="1">
        <v>10</v>
      </c>
      <c r="S68" s="18">
        <v>3100</v>
      </c>
      <c r="T68" s="16">
        <v>0.01</v>
      </c>
      <c r="V68" s="18" t="s">
        <v>491</v>
      </c>
      <c r="W68" s="18" t="s">
        <v>492</v>
      </c>
      <c r="X68" s="18" t="s">
        <v>493</v>
      </c>
      <c r="Y68" s="84" t="s">
        <v>494</v>
      </c>
      <c r="Z68" s="84"/>
      <c r="AA68" s="18" t="s">
        <v>495</v>
      </c>
      <c r="AB68" s="87" t="s">
        <v>496</v>
      </c>
      <c r="AC68" s="83" t="s">
        <v>405</v>
      </c>
      <c r="AD68" s="85" t="s">
        <v>497</v>
      </c>
      <c r="AE68" s="86" t="s">
        <v>433</v>
      </c>
      <c r="AG68" s="22"/>
    </row>
    <row r="69" spans="1:33" s="1" customFormat="1" ht="49.5" x14ac:dyDescent="0.25">
      <c r="A69" s="13">
        <f t="shared" ref="A69" si="19">B69*100+E69</f>
        <v>612201</v>
      </c>
      <c r="B69" s="14">
        <v>6122</v>
      </c>
      <c r="C69" s="1" t="s">
        <v>286</v>
      </c>
      <c r="D69" s="15" t="s">
        <v>498</v>
      </c>
      <c r="E69" s="3">
        <v>1</v>
      </c>
      <c r="F69" s="5" t="s">
        <v>396</v>
      </c>
      <c r="G69" s="3">
        <v>3</v>
      </c>
      <c r="H69" s="1">
        <v>6</v>
      </c>
      <c r="I69" s="1">
        <v>2</v>
      </c>
      <c r="J69" s="1" t="s">
        <v>422</v>
      </c>
      <c r="K69" s="1" t="s">
        <v>423</v>
      </c>
      <c r="L69" s="1" t="s">
        <v>490</v>
      </c>
      <c r="M69" s="1">
        <v>3780</v>
      </c>
      <c r="N69" s="1">
        <v>42000</v>
      </c>
      <c r="O69" s="1" t="s">
        <v>425</v>
      </c>
      <c r="P69" s="1">
        <v>1050</v>
      </c>
      <c r="Q69" s="1" t="s">
        <v>398</v>
      </c>
      <c r="R69" s="1">
        <v>10</v>
      </c>
      <c r="S69" s="18">
        <v>3102</v>
      </c>
      <c r="T69" s="16">
        <v>1000</v>
      </c>
      <c r="V69" s="18" t="s">
        <v>499</v>
      </c>
      <c r="W69" s="18" t="s">
        <v>500</v>
      </c>
      <c r="X69" s="18" t="s">
        <v>501</v>
      </c>
      <c r="Y69" s="84" t="s">
        <v>502</v>
      </c>
      <c r="Z69" s="84"/>
      <c r="AA69" s="18" t="s">
        <v>503</v>
      </c>
      <c r="AB69" s="87" t="s">
        <v>504</v>
      </c>
      <c r="AC69" s="83" t="s">
        <v>405</v>
      </c>
      <c r="AD69" s="85" t="s">
        <v>505</v>
      </c>
      <c r="AE69" s="86" t="s">
        <v>445</v>
      </c>
      <c r="AG69" s="22"/>
    </row>
    <row r="70" spans="1:33" s="1" customFormat="1" ht="49.5" x14ac:dyDescent="0.25">
      <c r="A70" s="13">
        <f t="shared" si="10"/>
        <v>612202</v>
      </c>
      <c r="B70" s="14">
        <v>6122</v>
      </c>
      <c r="C70" s="1" t="s">
        <v>286</v>
      </c>
      <c r="D70" s="15" t="s">
        <v>498</v>
      </c>
      <c r="E70" s="3">
        <v>2</v>
      </c>
      <c r="F70" s="5" t="s">
        <v>396</v>
      </c>
      <c r="G70" s="3">
        <v>3</v>
      </c>
      <c r="H70" s="1">
        <v>6</v>
      </c>
      <c r="I70" s="1">
        <v>2</v>
      </c>
      <c r="J70" s="1" t="s">
        <v>422</v>
      </c>
      <c r="K70" s="1" t="s">
        <v>423</v>
      </c>
      <c r="L70" s="1" t="s">
        <v>490</v>
      </c>
      <c r="M70" s="1">
        <v>4536</v>
      </c>
      <c r="N70" s="1">
        <v>50400</v>
      </c>
      <c r="O70" s="1" t="s">
        <v>434</v>
      </c>
      <c r="P70" s="1">
        <v>1260</v>
      </c>
      <c r="Q70" s="1" t="s">
        <v>398</v>
      </c>
      <c r="R70" s="1">
        <v>10</v>
      </c>
      <c r="S70" s="18">
        <v>3102</v>
      </c>
      <c r="T70" s="16">
        <v>1000</v>
      </c>
      <c r="V70" s="18" t="s">
        <v>499</v>
      </c>
      <c r="W70" s="18" t="s">
        <v>500</v>
      </c>
      <c r="X70" s="18" t="s">
        <v>501</v>
      </c>
      <c r="Y70" s="84" t="s">
        <v>502</v>
      </c>
      <c r="Z70" s="84"/>
      <c r="AA70" s="18" t="s">
        <v>503</v>
      </c>
      <c r="AB70" s="87" t="s">
        <v>504</v>
      </c>
      <c r="AC70" s="83" t="s">
        <v>405</v>
      </c>
      <c r="AD70" s="85" t="s">
        <v>505</v>
      </c>
      <c r="AE70" s="86" t="s">
        <v>445</v>
      </c>
      <c r="AG70" s="22"/>
    </row>
    <row r="71" spans="1:33" s="1" customFormat="1" ht="49.5" x14ac:dyDescent="0.25">
      <c r="A71" s="13">
        <f t="shared" ref="A71" si="20">B71*100+E71</f>
        <v>612203</v>
      </c>
      <c r="B71" s="14">
        <v>6122</v>
      </c>
      <c r="C71" s="1" t="s">
        <v>286</v>
      </c>
      <c r="D71" s="15" t="s">
        <v>498</v>
      </c>
      <c r="E71" s="3">
        <v>3</v>
      </c>
      <c r="F71" s="5" t="s">
        <v>396</v>
      </c>
      <c r="G71" s="3">
        <v>3</v>
      </c>
      <c r="H71" s="1">
        <v>6</v>
      </c>
      <c r="I71" s="1">
        <v>2</v>
      </c>
      <c r="J71" s="1" t="s">
        <v>422</v>
      </c>
      <c r="K71" s="1" t="s">
        <v>423</v>
      </c>
      <c r="L71" s="1" t="s">
        <v>490</v>
      </c>
      <c r="M71" s="1">
        <v>5670</v>
      </c>
      <c r="N71" s="1">
        <v>63000</v>
      </c>
      <c r="O71" s="1" t="s">
        <v>435</v>
      </c>
      <c r="P71" s="1">
        <v>1575</v>
      </c>
      <c r="Q71" s="1" t="s">
        <v>398</v>
      </c>
      <c r="R71" s="1">
        <v>10</v>
      </c>
      <c r="S71" s="18">
        <v>3102</v>
      </c>
      <c r="T71" s="16">
        <v>1000</v>
      </c>
      <c r="V71" s="18" t="s">
        <v>499</v>
      </c>
      <c r="W71" s="18" t="s">
        <v>500</v>
      </c>
      <c r="X71" s="18" t="s">
        <v>501</v>
      </c>
      <c r="Y71" s="84" t="s">
        <v>502</v>
      </c>
      <c r="Z71" s="84"/>
      <c r="AA71" s="18" t="s">
        <v>503</v>
      </c>
      <c r="AB71" s="87" t="s">
        <v>504</v>
      </c>
      <c r="AC71" s="83" t="s">
        <v>405</v>
      </c>
      <c r="AD71" s="85" t="s">
        <v>505</v>
      </c>
      <c r="AE71" s="86" t="s">
        <v>445</v>
      </c>
      <c r="AG71" s="22"/>
    </row>
    <row r="72" spans="1:33" s="1" customFormat="1" ht="49.5" x14ac:dyDescent="0.25">
      <c r="A72" s="13">
        <f t="shared" ref="A72" si="21">B72*100+E72</f>
        <v>612204</v>
      </c>
      <c r="B72" s="14">
        <v>6122</v>
      </c>
      <c r="C72" s="1" t="s">
        <v>286</v>
      </c>
      <c r="D72" s="15" t="s">
        <v>498</v>
      </c>
      <c r="E72" s="3">
        <v>4</v>
      </c>
      <c r="F72" s="5" t="s">
        <v>396</v>
      </c>
      <c r="G72" s="3">
        <v>4</v>
      </c>
      <c r="H72" s="1">
        <v>6</v>
      </c>
      <c r="I72" s="1">
        <v>2</v>
      </c>
      <c r="J72" s="1" t="s">
        <v>422</v>
      </c>
      <c r="K72" s="1" t="s">
        <v>423</v>
      </c>
      <c r="L72" s="1" t="s">
        <v>490</v>
      </c>
      <c r="M72" s="1">
        <v>7560</v>
      </c>
      <c r="N72" s="1">
        <v>73500</v>
      </c>
      <c r="O72" s="1" t="s">
        <v>436</v>
      </c>
      <c r="P72" s="1">
        <v>2100</v>
      </c>
      <c r="Q72" s="1" t="s">
        <v>398</v>
      </c>
      <c r="R72" s="1">
        <v>10</v>
      </c>
      <c r="S72" s="18">
        <v>3102</v>
      </c>
      <c r="T72" s="16">
        <v>1000</v>
      </c>
      <c r="V72" s="18" t="s">
        <v>499</v>
      </c>
      <c r="W72" s="18" t="s">
        <v>500</v>
      </c>
      <c r="X72" s="18" t="s">
        <v>501</v>
      </c>
      <c r="Y72" s="84" t="s">
        <v>502</v>
      </c>
      <c r="Z72" s="84"/>
      <c r="AA72" s="18" t="s">
        <v>503</v>
      </c>
      <c r="AB72" s="87" t="s">
        <v>504</v>
      </c>
      <c r="AC72" s="83" t="s">
        <v>405</v>
      </c>
      <c r="AD72" s="85" t="s">
        <v>505</v>
      </c>
      <c r="AE72" s="86" t="s">
        <v>445</v>
      </c>
      <c r="AG72" s="22"/>
    </row>
    <row r="73" spans="1:33" s="1" customFormat="1" ht="49.5" x14ac:dyDescent="0.25">
      <c r="A73" s="13">
        <f t="shared" si="10"/>
        <v>612205</v>
      </c>
      <c r="B73" s="14">
        <v>6122</v>
      </c>
      <c r="C73" s="1" t="s">
        <v>286</v>
      </c>
      <c r="D73" s="15" t="s">
        <v>498</v>
      </c>
      <c r="E73" s="3">
        <v>5</v>
      </c>
      <c r="F73" s="5" t="s">
        <v>396</v>
      </c>
      <c r="G73" s="3">
        <v>4</v>
      </c>
      <c r="H73" s="1">
        <v>6</v>
      </c>
      <c r="I73" s="1">
        <v>2</v>
      </c>
      <c r="J73" s="1" t="s">
        <v>422</v>
      </c>
      <c r="K73" s="1" t="s">
        <v>423</v>
      </c>
      <c r="L73" s="1" t="s">
        <v>490</v>
      </c>
      <c r="M73" s="1">
        <v>11340</v>
      </c>
      <c r="N73" s="1">
        <v>84000</v>
      </c>
      <c r="O73" s="1" t="s">
        <v>437</v>
      </c>
      <c r="P73" s="1">
        <v>3150</v>
      </c>
      <c r="Q73" s="1" t="s">
        <v>398</v>
      </c>
      <c r="R73" s="1">
        <v>10</v>
      </c>
      <c r="S73" s="18">
        <v>3102</v>
      </c>
      <c r="T73" s="16">
        <v>1000</v>
      </c>
      <c r="V73" s="18" t="s">
        <v>499</v>
      </c>
      <c r="W73" s="18" t="s">
        <v>500</v>
      </c>
      <c r="X73" s="18" t="s">
        <v>501</v>
      </c>
      <c r="Y73" s="84" t="s">
        <v>502</v>
      </c>
      <c r="Z73" s="84"/>
      <c r="AA73" s="18" t="s">
        <v>503</v>
      </c>
      <c r="AB73" s="87" t="s">
        <v>504</v>
      </c>
      <c r="AC73" s="83" t="s">
        <v>405</v>
      </c>
      <c r="AD73" s="85" t="s">
        <v>505</v>
      </c>
      <c r="AE73" s="86" t="s">
        <v>445</v>
      </c>
      <c r="AG73" s="22"/>
    </row>
    <row r="74" spans="1:33" s="1" customFormat="1" ht="49.5" x14ac:dyDescent="0.25">
      <c r="A74" s="13">
        <f t="shared" si="10"/>
        <v>612301</v>
      </c>
      <c r="B74" s="14">
        <v>6123</v>
      </c>
      <c r="C74" s="1" t="s">
        <v>286</v>
      </c>
      <c r="D74" s="15" t="s">
        <v>506</v>
      </c>
      <c r="E74" s="3">
        <v>1</v>
      </c>
      <c r="F74" s="5" t="s">
        <v>396</v>
      </c>
      <c r="G74" s="3">
        <v>3</v>
      </c>
      <c r="H74" s="1">
        <v>6</v>
      </c>
      <c r="I74" s="1">
        <v>2</v>
      </c>
      <c r="J74" s="1" t="s">
        <v>422</v>
      </c>
      <c r="K74" s="1" t="s">
        <v>423</v>
      </c>
      <c r="L74" s="1" t="s">
        <v>490</v>
      </c>
      <c r="M74" s="1">
        <v>3780</v>
      </c>
      <c r="N74" s="1">
        <v>42000</v>
      </c>
      <c r="O74" s="1" t="s">
        <v>425</v>
      </c>
      <c r="P74" s="1">
        <v>1050</v>
      </c>
      <c r="Q74" s="1" t="s">
        <v>398</v>
      </c>
      <c r="R74" s="1">
        <v>10</v>
      </c>
      <c r="S74" s="18">
        <v>6092</v>
      </c>
      <c r="T74" s="16">
        <v>0.01</v>
      </c>
      <c r="V74" s="18" t="s">
        <v>507</v>
      </c>
      <c r="W74" s="18" t="s">
        <v>508</v>
      </c>
      <c r="X74" s="18" t="s">
        <v>509</v>
      </c>
      <c r="Y74" s="84" t="s">
        <v>510</v>
      </c>
      <c r="Z74" s="84"/>
      <c r="AA74" s="18" t="s">
        <v>511</v>
      </c>
      <c r="AB74" s="87" t="s">
        <v>512</v>
      </c>
      <c r="AC74" s="83" t="s">
        <v>405</v>
      </c>
      <c r="AD74" s="85" t="s">
        <v>513</v>
      </c>
      <c r="AE74" s="86" t="s">
        <v>453</v>
      </c>
      <c r="AG74" s="22"/>
    </row>
    <row r="75" spans="1:33" s="1" customFormat="1" ht="49.5" x14ac:dyDescent="0.25">
      <c r="A75" s="13">
        <f t="shared" ref="A75" si="22">B75*100+E75</f>
        <v>612302</v>
      </c>
      <c r="B75" s="14">
        <v>6123</v>
      </c>
      <c r="C75" s="1" t="s">
        <v>286</v>
      </c>
      <c r="D75" s="15" t="s">
        <v>506</v>
      </c>
      <c r="E75" s="3">
        <v>2</v>
      </c>
      <c r="F75" s="5" t="s">
        <v>396</v>
      </c>
      <c r="G75" s="3">
        <v>3</v>
      </c>
      <c r="H75" s="1">
        <v>6</v>
      </c>
      <c r="I75" s="1">
        <v>2</v>
      </c>
      <c r="J75" s="1" t="s">
        <v>422</v>
      </c>
      <c r="K75" s="1" t="s">
        <v>423</v>
      </c>
      <c r="L75" s="1" t="s">
        <v>490</v>
      </c>
      <c r="M75" s="1">
        <v>4536</v>
      </c>
      <c r="N75" s="1">
        <v>50400</v>
      </c>
      <c r="O75" s="1" t="s">
        <v>434</v>
      </c>
      <c r="P75" s="1">
        <v>1260</v>
      </c>
      <c r="Q75" s="1" t="s">
        <v>398</v>
      </c>
      <c r="R75" s="1">
        <v>10</v>
      </c>
      <c r="S75" s="18">
        <v>6092</v>
      </c>
      <c r="T75" s="16">
        <v>0.01</v>
      </c>
      <c r="V75" s="18" t="s">
        <v>507</v>
      </c>
      <c r="W75" s="18" t="s">
        <v>508</v>
      </c>
      <c r="X75" s="18" t="s">
        <v>509</v>
      </c>
      <c r="Y75" s="84" t="s">
        <v>510</v>
      </c>
      <c r="Z75" s="84"/>
      <c r="AA75" s="18" t="s">
        <v>511</v>
      </c>
      <c r="AB75" s="87" t="s">
        <v>512</v>
      </c>
      <c r="AC75" s="83" t="s">
        <v>405</v>
      </c>
      <c r="AD75" s="85" t="s">
        <v>513</v>
      </c>
      <c r="AE75" s="86" t="s">
        <v>453</v>
      </c>
      <c r="AG75" s="22"/>
    </row>
    <row r="76" spans="1:33" s="1" customFormat="1" ht="49.5" x14ac:dyDescent="0.25">
      <c r="A76" s="13">
        <f t="shared" si="10"/>
        <v>612303</v>
      </c>
      <c r="B76" s="14">
        <v>6123</v>
      </c>
      <c r="C76" s="1" t="s">
        <v>286</v>
      </c>
      <c r="D76" s="15" t="s">
        <v>506</v>
      </c>
      <c r="E76" s="3">
        <v>3</v>
      </c>
      <c r="F76" s="5" t="s">
        <v>396</v>
      </c>
      <c r="G76" s="3">
        <v>3</v>
      </c>
      <c r="H76" s="1">
        <v>6</v>
      </c>
      <c r="I76" s="1">
        <v>2</v>
      </c>
      <c r="J76" s="1" t="s">
        <v>422</v>
      </c>
      <c r="K76" s="1" t="s">
        <v>423</v>
      </c>
      <c r="L76" s="1" t="s">
        <v>490</v>
      </c>
      <c r="M76" s="1">
        <v>5670</v>
      </c>
      <c r="N76" s="1">
        <v>63000</v>
      </c>
      <c r="O76" s="1" t="s">
        <v>435</v>
      </c>
      <c r="P76" s="1">
        <v>1575</v>
      </c>
      <c r="Q76" s="1" t="s">
        <v>398</v>
      </c>
      <c r="R76" s="1">
        <v>10</v>
      </c>
      <c r="S76" s="18">
        <v>6092</v>
      </c>
      <c r="T76" s="16">
        <v>0.01</v>
      </c>
      <c r="V76" s="18" t="s">
        <v>507</v>
      </c>
      <c r="W76" s="18" t="s">
        <v>508</v>
      </c>
      <c r="X76" s="18" t="s">
        <v>509</v>
      </c>
      <c r="Y76" s="84" t="s">
        <v>510</v>
      </c>
      <c r="Z76" s="84"/>
      <c r="AA76" s="18" t="s">
        <v>511</v>
      </c>
      <c r="AB76" s="87" t="s">
        <v>512</v>
      </c>
      <c r="AC76" s="83" t="s">
        <v>405</v>
      </c>
      <c r="AD76" s="85" t="s">
        <v>513</v>
      </c>
      <c r="AE76" s="86" t="s">
        <v>453</v>
      </c>
      <c r="AG76" s="22"/>
    </row>
    <row r="77" spans="1:33" s="1" customFormat="1" ht="49.5" x14ac:dyDescent="0.25">
      <c r="A77" s="13">
        <f t="shared" si="10"/>
        <v>612304</v>
      </c>
      <c r="B77" s="14">
        <v>6123</v>
      </c>
      <c r="C77" s="1" t="s">
        <v>286</v>
      </c>
      <c r="D77" s="15" t="s">
        <v>506</v>
      </c>
      <c r="E77" s="3">
        <v>4</v>
      </c>
      <c r="F77" s="5" t="s">
        <v>396</v>
      </c>
      <c r="G77" s="3">
        <v>4</v>
      </c>
      <c r="H77" s="1">
        <v>6</v>
      </c>
      <c r="I77" s="1">
        <v>2</v>
      </c>
      <c r="J77" s="1" t="s">
        <v>422</v>
      </c>
      <c r="K77" s="1" t="s">
        <v>423</v>
      </c>
      <c r="L77" s="1" t="s">
        <v>490</v>
      </c>
      <c r="M77" s="1">
        <v>7560</v>
      </c>
      <c r="N77" s="1">
        <v>73500</v>
      </c>
      <c r="O77" s="1" t="s">
        <v>436</v>
      </c>
      <c r="P77" s="1">
        <v>2100</v>
      </c>
      <c r="Q77" s="1" t="s">
        <v>398</v>
      </c>
      <c r="R77" s="1">
        <v>10</v>
      </c>
      <c r="S77" s="18">
        <v>6092</v>
      </c>
      <c r="T77" s="16">
        <v>0.01</v>
      </c>
      <c r="V77" s="18" t="s">
        <v>507</v>
      </c>
      <c r="W77" s="18" t="s">
        <v>508</v>
      </c>
      <c r="X77" s="18" t="s">
        <v>509</v>
      </c>
      <c r="Y77" s="84" t="s">
        <v>510</v>
      </c>
      <c r="Z77" s="84"/>
      <c r="AA77" s="18" t="s">
        <v>511</v>
      </c>
      <c r="AB77" s="87" t="s">
        <v>512</v>
      </c>
      <c r="AC77" s="83" t="s">
        <v>405</v>
      </c>
      <c r="AD77" s="85" t="s">
        <v>513</v>
      </c>
      <c r="AE77" s="86" t="s">
        <v>453</v>
      </c>
      <c r="AG77" s="22"/>
    </row>
    <row r="78" spans="1:33" s="1" customFormat="1" ht="49.5" x14ac:dyDescent="0.25">
      <c r="A78" s="13">
        <f t="shared" ref="A78" si="23">B78*100+E78</f>
        <v>612305</v>
      </c>
      <c r="B78" s="14">
        <v>6123</v>
      </c>
      <c r="C78" s="1" t="s">
        <v>286</v>
      </c>
      <c r="D78" s="15" t="s">
        <v>506</v>
      </c>
      <c r="E78" s="3">
        <v>5</v>
      </c>
      <c r="F78" s="5" t="s">
        <v>396</v>
      </c>
      <c r="G78" s="3">
        <v>4</v>
      </c>
      <c r="H78" s="1">
        <v>6</v>
      </c>
      <c r="I78" s="1">
        <v>2</v>
      </c>
      <c r="J78" s="1" t="s">
        <v>422</v>
      </c>
      <c r="K78" s="1" t="s">
        <v>423</v>
      </c>
      <c r="L78" s="1" t="s">
        <v>490</v>
      </c>
      <c r="M78" s="1">
        <v>11340</v>
      </c>
      <c r="N78" s="1">
        <v>84000</v>
      </c>
      <c r="O78" s="1" t="s">
        <v>437</v>
      </c>
      <c r="P78" s="1">
        <v>3150</v>
      </c>
      <c r="Q78" s="1" t="s">
        <v>398</v>
      </c>
      <c r="R78" s="1">
        <v>10</v>
      </c>
      <c r="S78" s="18">
        <v>6092</v>
      </c>
      <c r="T78" s="16">
        <v>0.01</v>
      </c>
      <c r="V78" s="18" t="s">
        <v>507</v>
      </c>
      <c r="W78" s="18" t="s">
        <v>508</v>
      </c>
      <c r="X78" s="18" t="s">
        <v>509</v>
      </c>
      <c r="Y78" s="84" t="s">
        <v>510</v>
      </c>
      <c r="Z78" s="84"/>
      <c r="AA78" s="18" t="s">
        <v>511</v>
      </c>
      <c r="AB78" s="87" t="s">
        <v>512</v>
      </c>
      <c r="AC78" s="83" t="s">
        <v>405</v>
      </c>
      <c r="AD78" s="85" t="s">
        <v>513</v>
      </c>
      <c r="AE78" s="86" t="s">
        <v>453</v>
      </c>
      <c r="AG78" s="22"/>
    </row>
    <row r="79" spans="1:33" s="1" customFormat="1" ht="49.5" x14ac:dyDescent="0.25">
      <c r="A79" s="13">
        <f t="shared" si="10"/>
        <v>613101</v>
      </c>
      <c r="B79" s="14">
        <v>6131</v>
      </c>
      <c r="C79" s="1" t="s">
        <v>286</v>
      </c>
      <c r="D79" s="15" t="s">
        <v>473</v>
      </c>
      <c r="E79" s="3">
        <v>1</v>
      </c>
      <c r="F79" s="5" t="s">
        <v>396</v>
      </c>
      <c r="G79" s="3">
        <v>6</v>
      </c>
      <c r="H79" s="1">
        <v>6</v>
      </c>
      <c r="I79" s="1">
        <v>3</v>
      </c>
      <c r="J79" s="1" t="s">
        <v>454</v>
      </c>
      <c r="K79" s="1" t="s">
        <v>455</v>
      </c>
      <c r="L79" s="1" t="s">
        <v>514</v>
      </c>
      <c r="M79" s="1">
        <v>4320</v>
      </c>
      <c r="N79" s="1">
        <v>48000</v>
      </c>
      <c r="O79" s="1" t="s">
        <v>408</v>
      </c>
      <c r="P79" s="1">
        <v>1200</v>
      </c>
      <c r="Q79" s="1" t="s">
        <v>398</v>
      </c>
      <c r="R79" s="1">
        <v>10</v>
      </c>
      <c r="S79" s="18">
        <v>1057</v>
      </c>
      <c r="T79" s="16">
        <v>0.01</v>
      </c>
      <c r="V79" s="18" t="s">
        <v>474</v>
      </c>
      <c r="W79" s="18" t="s">
        <v>475</v>
      </c>
      <c r="X79" s="18" t="s">
        <v>476</v>
      </c>
      <c r="Y79" s="84" t="s">
        <v>477</v>
      </c>
      <c r="Z79" s="84"/>
      <c r="AA79" s="18" t="s">
        <v>478</v>
      </c>
      <c r="AB79" s="18" t="s">
        <v>479</v>
      </c>
      <c r="AC79" s="83" t="s">
        <v>405</v>
      </c>
      <c r="AD79" s="85" t="s">
        <v>480</v>
      </c>
      <c r="AE79" s="86" t="s">
        <v>407</v>
      </c>
      <c r="AG79" s="22"/>
    </row>
    <row r="80" spans="1:33" s="1" customFormat="1" ht="49.5" x14ac:dyDescent="0.25">
      <c r="A80" s="13">
        <f t="shared" si="10"/>
        <v>613102</v>
      </c>
      <c r="B80" s="14">
        <v>6131</v>
      </c>
      <c r="C80" s="1" t="s">
        <v>286</v>
      </c>
      <c r="D80" s="15" t="s">
        <v>473</v>
      </c>
      <c r="E80" s="3">
        <v>2</v>
      </c>
      <c r="F80" s="5" t="s">
        <v>396</v>
      </c>
      <c r="G80" s="3">
        <v>6</v>
      </c>
      <c r="H80" s="1">
        <v>6</v>
      </c>
      <c r="I80" s="1">
        <v>3</v>
      </c>
      <c r="J80" s="1" t="s">
        <v>454</v>
      </c>
      <c r="K80" s="1" t="s">
        <v>455</v>
      </c>
      <c r="L80" s="1" t="s">
        <v>514</v>
      </c>
      <c r="M80" s="1">
        <v>5184</v>
      </c>
      <c r="N80" s="1">
        <v>57600</v>
      </c>
      <c r="O80" s="1" t="s">
        <v>458</v>
      </c>
      <c r="P80" s="1">
        <v>1440</v>
      </c>
      <c r="Q80" s="1" t="s">
        <v>398</v>
      </c>
      <c r="R80" s="1">
        <v>10</v>
      </c>
      <c r="S80" s="18">
        <v>1057</v>
      </c>
      <c r="T80" s="16">
        <v>0.01</v>
      </c>
      <c r="V80" s="18" t="s">
        <v>474</v>
      </c>
      <c r="W80" s="18" t="s">
        <v>475</v>
      </c>
      <c r="X80" s="18" t="s">
        <v>476</v>
      </c>
      <c r="Y80" s="84" t="s">
        <v>477</v>
      </c>
      <c r="Z80" s="84"/>
      <c r="AA80" s="18" t="s">
        <v>478</v>
      </c>
      <c r="AB80" s="18" t="s">
        <v>479</v>
      </c>
      <c r="AC80" s="83" t="s">
        <v>405</v>
      </c>
      <c r="AD80" s="85" t="s">
        <v>480</v>
      </c>
      <c r="AE80" s="86" t="s">
        <v>407</v>
      </c>
      <c r="AG80" s="22"/>
    </row>
    <row r="81" spans="1:33" s="1" customFormat="1" ht="49.5" x14ac:dyDescent="0.25">
      <c r="A81" s="13">
        <f t="shared" ref="A81" si="24">B81*100+E81</f>
        <v>613103</v>
      </c>
      <c r="B81" s="14">
        <v>6131</v>
      </c>
      <c r="C81" s="1" t="s">
        <v>286</v>
      </c>
      <c r="D81" s="15" t="s">
        <v>473</v>
      </c>
      <c r="E81" s="3">
        <v>3</v>
      </c>
      <c r="F81" s="5" t="s">
        <v>396</v>
      </c>
      <c r="G81" s="3">
        <v>6</v>
      </c>
      <c r="H81" s="1">
        <v>6</v>
      </c>
      <c r="I81" s="1">
        <v>3</v>
      </c>
      <c r="J81" s="1" t="s">
        <v>454</v>
      </c>
      <c r="K81" s="1" t="s">
        <v>455</v>
      </c>
      <c r="L81" s="1" t="s">
        <v>514</v>
      </c>
      <c r="M81" s="1">
        <v>6480</v>
      </c>
      <c r="N81" s="1">
        <v>72000</v>
      </c>
      <c r="O81" s="1" t="s">
        <v>459</v>
      </c>
      <c r="P81" s="1">
        <v>1800</v>
      </c>
      <c r="Q81" s="1" t="s">
        <v>398</v>
      </c>
      <c r="R81" s="1">
        <v>10</v>
      </c>
      <c r="S81" s="18">
        <v>1057</v>
      </c>
      <c r="T81" s="16">
        <v>0.01</v>
      </c>
      <c r="V81" s="18" t="s">
        <v>474</v>
      </c>
      <c r="W81" s="18" t="s">
        <v>475</v>
      </c>
      <c r="X81" s="18" t="s">
        <v>476</v>
      </c>
      <c r="Y81" s="84" t="s">
        <v>477</v>
      </c>
      <c r="Z81" s="84"/>
      <c r="AA81" s="18" t="s">
        <v>478</v>
      </c>
      <c r="AB81" s="18" t="s">
        <v>479</v>
      </c>
      <c r="AC81" s="83" t="s">
        <v>405</v>
      </c>
      <c r="AD81" s="85" t="s">
        <v>480</v>
      </c>
      <c r="AE81" s="86" t="s">
        <v>407</v>
      </c>
      <c r="AG81" s="22"/>
    </row>
    <row r="82" spans="1:33" s="1" customFormat="1" ht="49.5" x14ac:dyDescent="0.25">
      <c r="A82" s="13">
        <f t="shared" si="10"/>
        <v>613104</v>
      </c>
      <c r="B82" s="14">
        <v>6131</v>
      </c>
      <c r="C82" s="1" t="s">
        <v>286</v>
      </c>
      <c r="D82" s="15" t="s">
        <v>473</v>
      </c>
      <c r="E82" s="3">
        <v>4</v>
      </c>
      <c r="F82" s="5" t="s">
        <v>396</v>
      </c>
      <c r="G82" s="3">
        <v>7</v>
      </c>
      <c r="H82" s="1">
        <v>6</v>
      </c>
      <c r="I82" s="1">
        <v>3</v>
      </c>
      <c r="J82" s="1" t="s">
        <v>454</v>
      </c>
      <c r="K82" s="1" t="s">
        <v>455</v>
      </c>
      <c r="L82" s="1" t="s">
        <v>514</v>
      </c>
      <c r="M82" s="1">
        <v>8640</v>
      </c>
      <c r="N82" s="1">
        <v>84000</v>
      </c>
      <c r="O82" s="1" t="s">
        <v>460</v>
      </c>
      <c r="P82" s="1">
        <v>2400</v>
      </c>
      <c r="Q82" s="1" t="s">
        <v>398</v>
      </c>
      <c r="R82" s="1">
        <v>10</v>
      </c>
      <c r="S82" s="18">
        <v>1057</v>
      </c>
      <c r="T82" s="16">
        <v>0.01</v>
      </c>
      <c r="V82" s="18" t="s">
        <v>474</v>
      </c>
      <c r="W82" s="18" t="s">
        <v>475</v>
      </c>
      <c r="X82" s="18" t="s">
        <v>476</v>
      </c>
      <c r="Y82" s="84" t="s">
        <v>477</v>
      </c>
      <c r="Z82" s="84"/>
      <c r="AA82" s="18" t="s">
        <v>478</v>
      </c>
      <c r="AB82" s="18" t="s">
        <v>479</v>
      </c>
      <c r="AC82" s="83" t="s">
        <v>405</v>
      </c>
      <c r="AD82" s="85" t="s">
        <v>480</v>
      </c>
      <c r="AE82" s="86" t="s">
        <v>407</v>
      </c>
      <c r="AG82" s="22"/>
    </row>
    <row r="83" spans="1:33" s="1" customFormat="1" ht="49.5" x14ac:dyDescent="0.25">
      <c r="A83" s="13">
        <f t="shared" si="10"/>
        <v>613105</v>
      </c>
      <c r="B83" s="14">
        <v>6131</v>
      </c>
      <c r="C83" s="1" t="s">
        <v>286</v>
      </c>
      <c r="D83" s="15" t="s">
        <v>473</v>
      </c>
      <c r="E83" s="3">
        <v>5</v>
      </c>
      <c r="F83" s="5" t="s">
        <v>396</v>
      </c>
      <c r="G83" s="3">
        <v>7</v>
      </c>
      <c r="H83" s="1">
        <v>6</v>
      </c>
      <c r="I83" s="1">
        <v>3</v>
      </c>
      <c r="J83" s="1" t="s">
        <v>454</v>
      </c>
      <c r="K83" s="1" t="s">
        <v>455</v>
      </c>
      <c r="L83" s="1" t="s">
        <v>514</v>
      </c>
      <c r="M83" s="1">
        <v>12960</v>
      </c>
      <c r="N83" s="1">
        <v>96000</v>
      </c>
      <c r="O83" s="1" t="s">
        <v>461</v>
      </c>
      <c r="P83" s="1">
        <v>3600</v>
      </c>
      <c r="Q83" s="1" t="s">
        <v>398</v>
      </c>
      <c r="R83" s="1">
        <v>10</v>
      </c>
      <c r="S83" s="18">
        <v>1057</v>
      </c>
      <c r="T83" s="16">
        <v>0.01</v>
      </c>
      <c r="V83" s="18" t="s">
        <v>474</v>
      </c>
      <c r="W83" s="18" t="s">
        <v>475</v>
      </c>
      <c r="X83" s="18" t="s">
        <v>476</v>
      </c>
      <c r="Y83" s="84" t="s">
        <v>477</v>
      </c>
      <c r="Z83" s="84"/>
      <c r="AA83" s="18" t="s">
        <v>478</v>
      </c>
      <c r="AB83" s="18" t="s">
        <v>479</v>
      </c>
      <c r="AC83" s="83" t="s">
        <v>405</v>
      </c>
      <c r="AD83" s="85" t="s">
        <v>480</v>
      </c>
      <c r="AE83" s="86" t="s">
        <v>407</v>
      </c>
      <c r="AG83" s="22"/>
    </row>
    <row r="84" spans="1:33" s="1" customFormat="1" ht="49.5" x14ac:dyDescent="0.25">
      <c r="A84" s="13">
        <f t="shared" ref="A84" si="25">B84*100+E84</f>
        <v>613201</v>
      </c>
      <c r="B84" s="14">
        <v>6132</v>
      </c>
      <c r="C84" s="1" t="s">
        <v>286</v>
      </c>
      <c r="D84" s="15" t="s">
        <v>481</v>
      </c>
      <c r="E84" s="3">
        <v>1</v>
      </c>
      <c r="F84" s="5" t="s">
        <v>396</v>
      </c>
      <c r="G84" s="3">
        <v>6</v>
      </c>
      <c r="H84" s="1">
        <v>6</v>
      </c>
      <c r="I84" s="1">
        <v>3</v>
      </c>
      <c r="J84" s="1" t="s">
        <v>454</v>
      </c>
      <c r="K84" s="1" t="s">
        <v>455</v>
      </c>
      <c r="L84" s="1" t="s">
        <v>514</v>
      </c>
      <c r="M84" s="1">
        <v>4320</v>
      </c>
      <c r="N84" s="1">
        <v>48000</v>
      </c>
      <c r="O84" s="1" t="s">
        <v>408</v>
      </c>
      <c r="P84" s="1">
        <v>1200</v>
      </c>
      <c r="Q84" s="1" t="s">
        <v>398</v>
      </c>
      <c r="R84" s="1">
        <v>10</v>
      </c>
      <c r="S84" s="18">
        <v>1062</v>
      </c>
      <c r="T84" s="16">
        <v>0.01</v>
      </c>
      <c r="V84" s="18" t="s">
        <v>482</v>
      </c>
      <c r="W84" s="18" t="s">
        <v>483</v>
      </c>
      <c r="X84" s="18" t="s">
        <v>484</v>
      </c>
      <c r="Y84" s="84" t="s">
        <v>485</v>
      </c>
      <c r="Z84" s="84"/>
      <c r="AA84" s="18" t="s">
        <v>486</v>
      </c>
      <c r="AB84" s="87" t="s">
        <v>487</v>
      </c>
      <c r="AC84" s="83" t="s">
        <v>405</v>
      </c>
      <c r="AD84" s="85" t="s">
        <v>488</v>
      </c>
      <c r="AE84" s="86" t="s">
        <v>420</v>
      </c>
      <c r="AG84" s="22"/>
    </row>
    <row r="85" spans="1:33" s="1" customFormat="1" ht="49.5" x14ac:dyDescent="0.25">
      <c r="A85" s="13">
        <f t="shared" si="10"/>
        <v>613202</v>
      </c>
      <c r="B85" s="14">
        <v>6132</v>
      </c>
      <c r="C85" s="1" t="s">
        <v>286</v>
      </c>
      <c r="D85" s="15" t="s">
        <v>481</v>
      </c>
      <c r="E85" s="3">
        <v>2</v>
      </c>
      <c r="F85" s="5" t="s">
        <v>396</v>
      </c>
      <c r="G85" s="3">
        <v>6</v>
      </c>
      <c r="H85" s="1">
        <v>6</v>
      </c>
      <c r="I85" s="1">
        <v>3</v>
      </c>
      <c r="J85" s="1" t="s">
        <v>454</v>
      </c>
      <c r="K85" s="1" t="s">
        <v>455</v>
      </c>
      <c r="L85" s="1" t="s">
        <v>514</v>
      </c>
      <c r="M85" s="1">
        <v>5184</v>
      </c>
      <c r="N85" s="1">
        <v>57600</v>
      </c>
      <c r="O85" s="1" t="s">
        <v>458</v>
      </c>
      <c r="P85" s="1">
        <v>1440</v>
      </c>
      <c r="Q85" s="1" t="s">
        <v>398</v>
      </c>
      <c r="R85" s="1">
        <v>10</v>
      </c>
      <c r="S85" s="18">
        <v>1062</v>
      </c>
      <c r="T85" s="16">
        <v>0.01</v>
      </c>
      <c r="V85" s="18" t="s">
        <v>482</v>
      </c>
      <c r="W85" s="18" t="s">
        <v>483</v>
      </c>
      <c r="X85" s="18" t="s">
        <v>484</v>
      </c>
      <c r="Y85" s="84" t="s">
        <v>485</v>
      </c>
      <c r="Z85" s="84"/>
      <c r="AA85" s="18" t="s">
        <v>486</v>
      </c>
      <c r="AB85" s="87" t="s">
        <v>487</v>
      </c>
      <c r="AC85" s="83" t="s">
        <v>405</v>
      </c>
      <c r="AD85" s="85" t="s">
        <v>488</v>
      </c>
      <c r="AE85" s="86" t="s">
        <v>420</v>
      </c>
      <c r="AG85" s="22"/>
    </row>
    <row r="86" spans="1:33" s="1" customFormat="1" ht="49.5" x14ac:dyDescent="0.25">
      <c r="A86" s="13">
        <f t="shared" si="10"/>
        <v>613203</v>
      </c>
      <c r="B86" s="14">
        <v>6132</v>
      </c>
      <c r="C86" s="1" t="s">
        <v>286</v>
      </c>
      <c r="D86" s="15" t="s">
        <v>481</v>
      </c>
      <c r="E86" s="3">
        <v>3</v>
      </c>
      <c r="F86" s="5" t="s">
        <v>396</v>
      </c>
      <c r="G86" s="3">
        <v>6</v>
      </c>
      <c r="H86" s="1">
        <v>6</v>
      </c>
      <c r="I86" s="1">
        <v>3</v>
      </c>
      <c r="J86" s="1" t="s">
        <v>454</v>
      </c>
      <c r="K86" s="1" t="s">
        <v>455</v>
      </c>
      <c r="L86" s="1" t="s">
        <v>514</v>
      </c>
      <c r="M86" s="1">
        <v>6480</v>
      </c>
      <c r="N86" s="1">
        <v>72000</v>
      </c>
      <c r="O86" s="1" t="s">
        <v>459</v>
      </c>
      <c r="P86" s="1">
        <v>1800</v>
      </c>
      <c r="Q86" s="1" t="s">
        <v>398</v>
      </c>
      <c r="R86" s="1">
        <v>10</v>
      </c>
      <c r="S86" s="18">
        <v>1062</v>
      </c>
      <c r="T86" s="16">
        <v>0.01</v>
      </c>
      <c r="V86" s="18" t="s">
        <v>482</v>
      </c>
      <c r="W86" s="18" t="s">
        <v>483</v>
      </c>
      <c r="X86" s="18" t="s">
        <v>484</v>
      </c>
      <c r="Y86" s="84" t="s">
        <v>485</v>
      </c>
      <c r="Z86" s="84"/>
      <c r="AA86" s="18" t="s">
        <v>486</v>
      </c>
      <c r="AB86" s="87" t="s">
        <v>487</v>
      </c>
      <c r="AC86" s="83" t="s">
        <v>405</v>
      </c>
      <c r="AD86" s="85" t="s">
        <v>488</v>
      </c>
      <c r="AE86" s="86" t="s">
        <v>420</v>
      </c>
      <c r="AG86" s="22"/>
    </row>
    <row r="87" spans="1:33" s="1" customFormat="1" ht="49.5" x14ac:dyDescent="0.25">
      <c r="A87" s="13">
        <f t="shared" si="10"/>
        <v>613204</v>
      </c>
      <c r="B87" s="14">
        <v>6132</v>
      </c>
      <c r="C87" s="1" t="s">
        <v>286</v>
      </c>
      <c r="D87" s="15" t="s">
        <v>481</v>
      </c>
      <c r="E87" s="3">
        <v>4</v>
      </c>
      <c r="F87" s="5" t="s">
        <v>396</v>
      </c>
      <c r="G87" s="3">
        <v>7</v>
      </c>
      <c r="H87" s="1">
        <v>6</v>
      </c>
      <c r="I87" s="1">
        <v>3</v>
      </c>
      <c r="J87" s="1" t="s">
        <v>454</v>
      </c>
      <c r="K87" s="1" t="s">
        <v>455</v>
      </c>
      <c r="L87" s="1" t="s">
        <v>514</v>
      </c>
      <c r="M87" s="1">
        <v>8640</v>
      </c>
      <c r="N87" s="1">
        <v>84000</v>
      </c>
      <c r="O87" s="1" t="s">
        <v>460</v>
      </c>
      <c r="P87" s="1">
        <v>2400</v>
      </c>
      <c r="Q87" s="1" t="s">
        <v>398</v>
      </c>
      <c r="R87" s="1">
        <v>10</v>
      </c>
      <c r="S87" s="18">
        <v>1062</v>
      </c>
      <c r="T87" s="16">
        <v>0.01</v>
      </c>
      <c r="V87" s="18" t="s">
        <v>482</v>
      </c>
      <c r="W87" s="18" t="s">
        <v>483</v>
      </c>
      <c r="X87" s="18" t="s">
        <v>484</v>
      </c>
      <c r="Y87" s="84" t="s">
        <v>485</v>
      </c>
      <c r="Z87" s="84"/>
      <c r="AA87" s="18" t="s">
        <v>486</v>
      </c>
      <c r="AB87" s="87" t="s">
        <v>487</v>
      </c>
      <c r="AC87" s="83" t="s">
        <v>405</v>
      </c>
      <c r="AD87" s="85" t="s">
        <v>488</v>
      </c>
      <c r="AE87" s="86" t="s">
        <v>420</v>
      </c>
      <c r="AG87" s="22"/>
    </row>
    <row r="88" spans="1:33" s="1" customFormat="1" ht="49.5" x14ac:dyDescent="0.25">
      <c r="A88" s="13">
        <f t="shared" si="10"/>
        <v>613205</v>
      </c>
      <c r="B88" s="14">
        <v>6132</v>
      </c>
      <c r="C88" s="1" t="s">
        <v>286</v>
      </c>
      <c r="D88" s="15" t="s">
        <v>481</v>
      </c>
      <c r="E88" s="3">
        <v>5</v>
      </c>
      <c r="F88" s="5" t="s">
        <v>396</v>
      </c>
      <c r="G88" s="3">
        <v>7</v>
      </c>
      <c r="H88" s="1">
        <v>6</v>
      </c>
      <c r="I88" s="1">
        <v>3</v>
      </c>
      <c r="J88" s="1" t="s">
        <v>454</v>
      </c>
      <c r="K88" s="1" t="s">
        <v>455</v>
      </c>
      <c r="L88" s="1" t="s">
        <v>514</v>
      </c>
      <c r="M88" s="1">
        <v>12960</v>
      </c>
      <c r="N88" s="1">
        <v>96000</v>
      </c>
      <c r="O88" s="1" t="s">
        <v>461</v>
      </c>
      <c r="P88" s="1">
        <v>3600</v>
      </c>
      <c r="Q88" s="1" t="s">
        <v>398</v>
      </c>
      <c r="R88" s="1">
        <v>10</v>
      </c>
      <c r="S88" s="18">
        <v>1062</v>
      </c>
      <c r="T88" s="16">
        <v>0.01</v>
      </c>
      <c r="V88" s="18" t="s">
        <v>482</v>
      </c>
      <c r="W88" s="18" t="s">
        <v>483</v>
      </c>
      <c r="X88" s="18" t="s">
        <v>484</v>
      </c>
      <c r="Y88" s="84" t="s">
        <v>485</v>
      </c>
      <c r="Z88" s="84"/>
      <c r="AA88" s="18" t="s">
        <v>486</v>
      </c>
      <c r="AB88" s="87" t="s">
        <v>487</v>
      </c>
      <c r="AC88" s="83" t="s">
        <v>405</v>
      </c>
      <c r="AD88" s="85" t="s">
        <v>488</v>
      </c>
      <c r="AE88" s="86" t="s">
        <v>420</v>
      </c>
      <c r="AG88" s="22"/>
    </row>
    <row r="89" spans="1:33" s="1" customFormat="1" ht="49.5" x14ac:dyDescent="0.25">
      <c r="A89" s="13">
        <f t="shared" si="10"/>
        <v>614101</v>
      </c>
      <c r="B89" s="14">
        <v>6141</v>
      </c>
      <c r="C89" s="1" t="s">
        <v>286</v>
      </c>
      <c r="D89" s="12" t="s">
        <v>489</v>
      </c>
      <c r="E89" s="3">
        <v>1</v>
      </c>
      <c r="F89" s="5" t="s">
        <v>396</v>
      </c>
      <c r="G89" s="3">
        <v>9</v>
      </c>
      <c r="H89" s="1">
        <v>6</v>
      </c>
      <c r="I89" s="1">
        <v>4</v>
      </c>
      <c r="J89" s="1" t="s">
        <v>463</v>
      </c>
      <c r="K89" s="1" t="s">
        <v>464</v>
      </c>
      <c r="L89" s="1" t="s">
        <v>515</v>
      </c>
      <c r="M89" s="1">
        <v>5040</v>
      </c>
      <c r="N89" s="1">
        <v>56000</v>
      </c>
      <c r="O89" s="1" t="s">
        <v>466</v>
      </c>
      <c r="P89" s="1">
        <v>1400</v>
      </c>
      <c r="Q89" s="1" t="s">
        <v>398</v>
      </c>
      <c r="R89" s="1">
        <v>10</v>
      </c>
      <c r="S89" s="18">
        <v>3100</v>
      </c>
      <c r="T89" s="16">
        <v>0.01</v>
      </c>
      <c r="V89" s="18" t="s">
        <v>491</v>
      </c>
      <c r="W89" s="18" t="s">
        <v>492</v>
      </c>
      <c r="X89" s="18" t="s">
        <v>493</v>
      </c>
      <c r="Y89" s="84" t="s">
        <v>494</v>
      </c>
      <c r="Z89" s="84"/>
      <c r="AA89" s="18" t="s">
        <v>495</v>
      </c>
      <c r="AB89" s="87" t="s">
        <v>496</v>
      </c>
      <c r="AC89" s="83" t="s">
        <v>405</v>
      </c>
      <c r="AD89" s="85" t="s">
        <v>497</v>
      </c>
      <c r="AE89" s="86" t="s">
        <v>433</v>
      </c>
      <c r="AG89" s="22"/>
    </row>
    <row r="90" spans="1:33" s="1" customFormat="1" ht="49.5" x14ac:dyDescent="0.25">
      <c r="A90" s="13">
        <f t="shared" si="10"/>
        <v>614102</v>
      </c>
      <c r="B90" s="14">
        <v>6141</v>
      </c>
      <c r="C90" s="1" t="s">
        <v>286</v>
      </c>
      <c r="D90" s="12" t="s">
        <v>489</v>
      </c>
      <c r="E90" s="3">
        <v>2</v>
      </c>
      <c r="F90" s="5" t="s">
        <v>396</v>
      </c>
      <c r="G90" s="3">
        <v>9</v>
      </c>
      <c r="H90" s="1">
        <v>6</v>
      </c>
      <c r="I90" s="1">
        <v>4</v>
      </c>
      <c r="J90" s="1" t="s">
        <v>463</v>
      </c>
      <c r="K90" s="1" t="s">
        <v>464</v>
      </c>
      <c r="L90" s="1" t="s">
        <v>515</v>
      </c>
      <c r="M90" s="1">
        <v>6048</v>
      </c>
      <c r="N90" s="1">
        <v>67200</v>
      </c>
      <c r="O90" s="1" t="s">
        <v>468</v>
      </c>
      <c r="P90" s="1">
        <v>1680</v>
      </c>
      <c r="Q90" s="1" t="s">
        <v>398</v>
      </c>
      <c r="R90" s="1">
        <v>10</v>
      </c>
      <c r="S90" s="18">
        <v>3100</v>
      </c>
      <c r="T90" s="16">
        <v>0.01</v>
      </c>
      <c r="V90" s="18" t="s">
        <v>491</v>
      </c>
      <c r="W90" s="18" t="s">
        <v>492</v>
      </c>
      <c r="X90" s="18" t="s">
        <v>493</v>
      </c>
      <c r="Y90" s="84" t="s">
        <v>494</v>
      </c>
      <c r="Z90" s="84"/>
      <c r="AA90" s="18" t="s">
        <v>495</v>
      </c>
      <c r="AB90" s="87" t="s">
        <v>496</v>
      </c>
      <c r="AC90" s="83" t="s">
        <v>405</v>
      </c>
      <c r="AD90" s="85" t="s">
        <v>497</v>
      </c>
      <c r="AE90" s="86" t="s">
        <v>433</v>
      </c>
      <c r="AG90" s="22"/>
    </row>
    <row r="91" spans="1:33" s="1" customFormat="1" ht="49.5" x14ac:dyDescent="0.25">
      <c r="A91" s="13">
        <f t="shared" si="10"/>
        <v>614103</v>
      </c>
      <c r="B91" s="14">
        <v>6141</v>
      </c>
      <c r="C91" s="1" t="s">
        <v>286</v>
      </c>
      <c r="D91" s="12" t="s">
        <v>489</v>
      </c>
      <c r="E91" s="3">
        <v>3</v>
      </c>
      <c r="F91" s="5" t="s">
        <v>396</v>
      </c>
      <c r="G91" s="3">
        <v>9</v>
      </c>
      <c r="H91" s="1">
        <v>6</v>
      </c>
      <c r="I91" s="1">
        <v>4</v>
      </c>
      <c r="J91" s="1" t="s">
        <v>463</v>
      </c>
      <c r="K91" s="1" t="s">
        <v>464</v>
      </c>
      <c r="L91" s="1" t="s">
        <v>515</v>
      </c>
      <c r="M91" s="1">
        <v>7560</v>
      </c>
      <c r="N91" s="1">
        <v>84000</v>
      </c>
      <c r="O91" s="1" t="s">
        <v>436</v>
      </c>
      <c r="P91" s="1">
        <v>2100</v>
      </c>
      <c r="Q91" s="1" t="s">
        <v>398</v>
      </c>
      <c r="R91" s="1">
        <v>10</v>
      </c>
      <c r="S91" s="18">
        <v>3100</v>
      </c>
      <c r="T91" s="16">
        <v>0.01</v>
      </c>
      <c r="V91" s="18" t="s">
        <v>491</v>
      </c>
      <c r="W91" s="18" t="s">
        <v>492</v>
      </c>
      <c r="X91" s="18" t="s">
        <v>493</v>
      </c>
      <c r="Y91" s="84" t="s">
        <v>494</v>
      </c>
      <c r="Z91" s="84"/>
      <c r="AA91" s="18" t="s">
        <v>495</v>
      </c>
      <c r="AB91" s="87" t="s">
        <v>496</v>
      </c>
      <c r="AC91" s="83" t="s">
        <v>405</v>
      </c>
      <c r="AD91" s="85" t="s">
        <v>497</v>
      </c>
      <c r="AE91" s="86" t="s">
        <v>433</v>
      </c>
      <c r="AG91" s="22"/>
    </row>
    <row r="92" spans="1:33" s="1" customFormat="1" ht="49.5" x14ac:dyDescent="0.25">
      <c r="A92" s="13">
        <f t="shared" si="10"/>
        <v>614104</v>
      </c>
      <c r="B92" s="14">
        <v>6141</v>
      </c>
      <c r="C92" s="1" t="s">
        <v>286</v>
      </c>
      <c r="D92" s="12" t="s">
        <v>489</v>
      </c>
      <c r="E92" s="3">
        <v>4</v>
      </c>
      <c r="F92" s="5" t="s">
        <v>396</v>
      </c>
      <c r="G92" s="3">
        <v>10</v>
      </c>
      <c r="H92" s="1">
        <v>6</v>
      </c>
      <c r="I92" s="1">
        <v>4</v>
      </c>
      <c r="J92" s="1" t="s">
        <v>463</v>
      </c>
      <c r="K92" s="1" t="s">
        <v>464</v>
      </c>
      <c r="L92" s="1" t="s">
        <v>515</v>
      </c>
      <c r="M92" s="1">
        <v>10080</v>
      </c>
      <c r="N92" s="1">
        <v>98000</v>
      </c>
      <c r="O92" s="1" t="s">
        <v>469</v>
      </c>
      <c r="P92" s="1">
        <v>2800</v>
      </c>
      <c r="Q92" s="1" t="s">
        <v>398</v>
      </c>
      <c r="R92" s="1">
        <v>10</v>
      </c>
      <c r="S92" s="18">
        <v>3100</v>
      </c>
      <c r="T92" s="16">
        <v>0.01</v>
      </c>
      <c r="V92" s="18" t="s">
        <v>491</v>
      </c>
      <c r="W92" s="18" t="s">
        <v>492</v>
      </c>
      <c r="X92" s="18" t="s">
        <v>493</v>
      </c>
      <c r="Y92" s="84" t="s">
        <v>494</v>
      </c>
      <c r="Z92" s="84"/>
      <c r="AA92" s="18" t="s">
        <v>495</v>
      </c>
      <c r="AB92" s="87" t="s">
        <v>496</v>
      </c>
      <c r="AC92" s="83" t="s">
        <v>405</v>
      </c>
      <c r="AD92" s="85" t="s">
        <v>497</v>
      </c>
      <c r="AE92" s="86" t="s">
        <v>433</v>
      </c>
      <c r="AG92" s="22"/>
    </row>
    <row r="93" spans="1:33" s="1" customFormat="1" ht="49.5" x14ac:dyDescent="0.25">
      <c r="A93" s="13">
        <f t="shared" si="10"/>
        <v>614105</v>
      </c>
      <c r="B93" s="14">
        <v>6141</v>
      </c>
      <c r="C93" s="1" t="s">
        <v>286</v>
      </c>
      <c r="D93" s="12" t="s">
        <v>489</v>
      </c>
      <c r="E93" s="3">
        <v>5</v>
      </c>
      <c r="F93" s="5" t="s">
        <v>396</v>
      </c>
      <c r="G93" s="3">
        <v>10</v>
      </c>
      <c r="H93" s="1">
        <v>6</v>
      </c>
      <c r="I93" s="1">
        <v>4</v>
      </c>
      <c r="J93" s="1" t="s">
        <v>463</v>
      </c>
      <c r="K93" s="1" t="s">
        <v>464</v>
      </c>
      <c r="L93" s="1" t="s">
        <v>515</v>
      </c>
      <c r="M93" s="1">
        <v>15120</v>
      </c>
      <c r="N93" s="1">
        <v>112000</v>
      </c>
      <c r="O93" s="1" t="s">
        <v>470</v>
      </c>
      <c r="P93" s="1">
        <v>4200</v>
      </c>
      <c r="Q93" s="1" t="s">
        <v>398</v>
      </c>
      <c r="R93" s="1">
        <v>10</v>
      </c>
      <c r="S93" s="18">
        <v>3100</v>
      </c>
      <c r="T93" s="16">
        <v>0.01</v>
      </c>
      <c r="V93" s="18" t="s">
        <v>491</v>
      </c>
      <c r="W93" s="18" t="s">
        <v>492</v>
      </c>
      <c r="X93" s="18" t="s">
        <v>493</v>
      </c>
      <c r="Y93" s="84" t="s">
        <v>494</v>
      </c>
      <c r="Z93" s="84"/>
      <c r="AA93" s="18" t="s">
        <v>495</v>
      </c>
      <c r="AB93" s="87" t="s">
        <v>496</v>
      </c>
      <c r="AC93" s="83" t="s">
        <v>405</v>
      </c>
      <c r="AD93" s="85" t="s">
        <v>497</v>
      </c>
      <c r="AE93" s="86" t="s">
        <v>433</v>
      </c>
      <c r="AG93" s="22"/>
    </row>
    <row r="94" spans="1:33" s="1" customFormat="1" ht="49.5" x14ac:dyDescent="0.25">
      <c r="A94" s="13">
        <f t="shared" ref="A94:A103" si="26">B94*100+E94</f>
        <v>614201</v>
      </c>
      <c r="B94" s="14">
        <v>6142</v>
      </c>
      <c r="C94" s="1" t="s">
        <v>286</v>
      </c>
      <c r="D94" s="15" t="s">
        <v>498</v>
      </c>
      <c r="E94" s="3">
        <v>1</v>
      </c>
      <c r="F94" s="5" t="s">
        <v>396</v>
      </c>
      <c r="G94" s="3">
        <v>9</v>
      </c>
      <c r="H94" s="1">
        <v>6</v>
      </c>
      <c r="I94" s="1">
        <v>4</v>
      </c>
      <c r="J94" s="1" t="s">
        <v>463</v>
      </c>
      <c r="K94" s="1" t="s">
        <v>464</v>
      </c>
      <c r="L94" s="1" t="s">
        <v>515</v>
      </c>
      <c r="M94" s="1">
        <v>5040</v>
      </c>
      <c r="N94" s="1">
        <v>56000</v>
      </c>
      <c r="O94" s="1" t="s">
        <v>466</v>
      </c>
      <c r="P94" s="1">
        <v>1400</v>
      </c>
      <c r="Q94" s="1" t="s">
        <v>398</v>
      </c>
      <c r="R94" s="1">
        <v>10</v>
      </c>
      <c r="S94" s="18">
        <v>3102</v>
      </c>
      <c r="T94" s="16">
        <v>1000</v>
      </c>
      <c r="V94" s="18" t="s">
        <v>499</v>
      </c>
      <c r="W94" s="18" t="s">
        <v>500</v>
      </c>
      <c r="X94" s="18" t="s">
        <v>501</v>
      </c>
      <c r="Y94" s="84" t="s">
        <v>502</v>
      </c>
      <c r="Z94" s="84"/>
      <c r="AA94" s="18" t="s">
        <v>503</v>
      </c>
      <c r="AB94" s="87" t="s">
        <v>504</v>
      </c>
      <c r="AC94" s="83" t="s">
        <v>405</v>
      </c>
      <c r="AD94" s="85" t="s">
        <v>505</v>
      </c>
      <c r="AE94" s="86" t="s">
        <v>445</v>
      </c>
      <c r="AG94" s="22"/>
    </row>
    <row r="95" spans="1:33" s="1" customFormat="1" ht="49.5" x14ac:dyDescent="0.25">
      <c r="A95" s="13">
        <f t="shared" si="26"/>
        <v>614202</v>
      </c>
      <c r="B95" s="14">
        <v>6142</v>
      </c>
      <c r="C95" s="1" t="s">
        <v>286</v>
      </c>
      <c r="D95" s="15" t="s">
        <v>498</v>
      </c>
      <c r="E95" s="3">
        <v>2</v>
      </c>
      <c r="F95" s="5" t="s">
        <v>396</v>
      </c>
      <c r="G95" s="3">
        <v>9</v>
      </c>
      <c r="H95" s="1">
        <v>6</v>
      </c>
      <c r="I95" s="1">
        <v>4</v>
      </c>
      <c r="J95" s="1" t="s">
        <v>463</v>
      </c>
      <c r="K95" s="1" t="s">
        <v>464</v>
      </c>
      <c r="L95" s="1" t="s">
        <v>515</v>
      </c>
      <c r="M95" s="1">
        <v>6048</v>
      </c>
      <c r="N95" s="1">
        <v>67200</v>
      </c>
      <c r="O95" s="1" t="s">
        <v>468</v>
      </c>
      <c r="P95" s="1">
        <v>1680</v>
      </c>
      <c r="Q95" s="1" t="s">
        <v>398</v>
      </c>
      <c r="R95" s="1">
        <v>10</v>
      </c>
      <c r="S95" s="18">
        <v>3102</v>
      </c>
      <c r="T95" s="16">
        <v>1000</v>
      </c>
      <c r="V95" s="18" t="s">
        <v>499</v>
      </c>
      <c r="W95" s="18" t="s">
        <v>500</v>
      </c>
      <c r="X95" s="18" t="s">
        <v>501</v>
      </c>
      <c r="Y95" s="84" t="s">
        <v>502</v>
      </c>
      <c r="Z95" s="84"/>
      <c r="AA95" s="18" t="s">
        <v>503</v>
      </c>
      <c r="AB95" s="87" t="s">
        <v>504</v>
      </c>
      <c r="AC95" s="83" t="s">
        <v>405</v>
      </c>
      <c r="AD95" s="85" t="s">
        <v>505</v>
      </c>
      <c r="AE95" s="86" t="s">
        <v>445</v>
      </c>
      <c r="AG95" s="22"/>
    </row>
    <row r="96" spans="1:33" s="1" customFormat="1" ht="49.5" x14ac:dyDescent="0.25">
      <c r="A96" s="13">
        <f t="shared" si="26"/>
        <v>614203</v>
      </c>
      <c r="B96" s="14">
        <v>6142</v>
      </c>
      <c r="C96" s="1" t="s">
        <v>286</v>
      </c>
      <c r="D96" s="15" t="s">
        <v>498</v>
      </c>
      <c r="E96" s="3">
        <v>3</v>
      </c>
      <c r="F96" s="5" t="s">
        <v>396</v>
      </c>
      <c r="G96" s="3">
        <v>9</v>
      </c>
      <c r="H96" s="1">
        <v>6</v>
      </c>
      <c r="I96" s="1">
        <v>4</v>
      </c>
      <c r="J96" s="1" t="s">
        <v>463</v>
      </c>
      <c r="K96" s="1" t="s">
        <v>464</v>
      </c>
      <c r="L96" s="1" t="s">
        <v>515</v>
      </c>
      <c r="M96" s="1">
        <v>7560</v>
      </c>
      <c r="N96" s="1">
        <v>84000</v>
      </c>
      <c r="O96" s="1" t="s">
        <v>436</v>
      </c>
      <c r="P96" s="1">
        <v>2100</v>
      </c>
      <c r="Q96" s="1" t="s">
        <v>398</v>
      </c>
      <c r="R96" s="1">
        <v>10</v>
      </c>
      <c r="S96" s="18">
        <v>3102</v>
      </c>
      <c r="T96" s="16">
        <v>1000</v>
      </c>
      <c r="V96" s="18" t="s">
        <v>499</v>
      </c>
      <c r="W96" s="18" t="s">
        <v>500</v>
      </c>
      <c r="X96" s="18" t="s">
        <v>501</v>
      </c>
      <c r="Y96" s="84" t="s">
        <v>502</v>
      </c>
      <c r="Z96" s="84"/>
      <c r="AA96" s="18" t="s">
        <v>503</v>
      </c>
      <c r="AB96" s="87" t="s">
        <v>504</v>
      </c>
      <c r="AC96" s="83" t="s">
        <v>405</v>
      </c>
      <c r="AD96" s="85" t="s">
        <v>505</v>
      </c>
      <c r="AE96" s="86" t="s">
        <v>445</v>
      </c>
      <c r="AG96" s="22"/>
    </row>
    <row r="97" spans="1:33" s="1" customFormat="1" ht="49.5" x14ac:dyDescent="0.25">
      <c r="A97" s="13">
        <f t="shared" si="26"/>
        <v>614204</v>
      </c>
      <c r="B97" s="14">
        <v>6142</v>
      </c>
      <c r="C97" s="1" t="s">
        <v>286</v>
      </c>
      <c r="D97" s="15" t="s">
        <v>498</v>
      </c>
      <c r="E97" s="3">
        <v>4</v>
      </c>
      <c r="F97" s="5" t="s">
        <v>396</v>
      </c>
      <c r="G97" s="3">
        <v>10</v>
      </c>
      <c r="H97" s="1">
        <v>6</v>
      </c>
      <c r="I97" s="1">
        <v>4</v>
      </c>
      <c r="J97" s="1" t="s">
        <v>463</v>
      </c>
      <c r="K97" s="1" t="s">
        <v>464</v>
      </c>
      <c r="L97" s="1" t="s">
        <v>515</v>
      </c>
      <c r="M97" s="1">
        <v>10080</v>
      </c>
      <c r="N97" s="1">
        <v>98000</v>
      </c>
      <c r="O97" s="1" t="s">
        <v>469</v>
      </c>
      <c r="P97" s="1">
        <v>2800</v>
      </c>
      <c r="Q97" s="1" t="s">
        <v>398</v>
      </c>
      <c r="R97" s="1">
        <v>10</v>
      </c>
      <c r="S97" s="18">
        <v>3102</v>
      </c>
      <c r="T97" s="16">
        <v>1000</v>
      </c>
      <c r="V97" s="18" t="s">
        <v>499</v>
      </c>
      <c r="W97" s="18" t="s">
        <v>500</v>
      </c>
      <c r="X97" s="18" t="s">
        <v>501</v>
      </c>
      <c r="Y97" s="84" t="s">
        <v>502</v>
      </c>
      <c r="Z97" s="84"/>
      <c r="AA97" s="18" t="s">
        <v>503</v>
      </c>
      <c r="AB97" s="87" t="s">
        <v>504</v>
      </c>
      <c r="AC97" s="83" t="s">
        <v>405</v>
      </c>
      <c r="AD97" s="85" t="s">
        <v>505</v>
      </c>
      <c r="AE97" s="86" t="s">
        <v>445</v>
      </c>
      <c r="AG97" s="22"/>
    </row>
    <row r="98" spans="1:33" s="1" customFormat="1" ht="49.5" x14ac:dyDescent="0.25">
      <c r="A98" s="13">
        <f t="shared" si="26"/>
        <v>614205</v>
      </c>
      <c r="B98" s="14">
        <v>6142</v>
      </c>
      <c r="C98" s="1" t="s">
        <v>286</v>
      </c>
      <c r="D98" s="15" t="s">
        <v>498</v>
      </c>
      <c r="E98" s="3">
        <v>5</v>
      </c>
      <c r="F98" s="5" t="s">
        <v>396</v>
      </c>
      <c r="G98" s="3">
        <v>10</v>
      </c>
      <c r="H98" s="1">
        <v>6</v>
      </c>
      <c r="I98" s="1">
        <v>4</v>
      </c>
      <c r="J98" s="1" t="s">
        <v>463</v>
      </c>
      <c r="K98" s="1" t="s">
        <v>464</v>
      </c>
      <c r="L98" s="1" t="s">
        <v>515</v>
      </c>
      <c r="M98" s="1">
        <v>15120</v>
      </c>
      <c r="N98" s="1">
        <v>112000</v>
      </c>
      <c r="O98" s="1" t="s">
        <v>470</v>
      </c>
      <c r="P98" s="1">
        <v>4200</v>
      </c>
      <c r="Q98" s="1" t="s">
        <v>398</v>
      </c>
      <c r="R98" s="1">
        <v>10</v>
      </c>
      <c r="S98" s="18">
        <v>3102</v>
      </c>
      <c r="T98" s="16">
        <v>1000</v>
      </c>
      <c r="V98" s="18" t="s">
        <v>499</v>
      </c>
      <c r="W98" s="18" t="s">
        <v>500</v>
      </c>
      <c r="X98" s="18" t="s">
        <v>501</v>
      </c>
      <c r="Y98" s="84" t="s">
        <v>502</v>
      </c>
      <c r="Z98" s="84"/>
      <c r="AA98" s="18" t="s">
        <v>503</v>
      </c>
      <c r="AB98" s="87" t="s">
        <v>504</v>
      </c>
      <c r="AC98" s="83" t="s">
        <v>405</v>
      </c>
      <c r="AD98" s="85" t="s">
        <v>505</v>
      </c>
      <c r="AE98" s="86" t="s">
        <v>445</v>
      </c>
      <c r="AG98" s="22"/>
    </row>
    <row r="99" spans="1:33" s="1" customFormat="1" ht="49.5" x14ac:dyDescent="0.25">
      <c r="A99" s="13">
        <f t="shared" si="26"/>
        <v>614301</v>
      </c>
      <c r="B99" s="14">
        <v>6143</v>
      </c>
      <c r="C99" s="1" t="s">
        <v>286</v>
      </c>
      <c r="D99" s="15" t="s">
        <v>506</v>
      </c>
      <c r="E99" s="3">
        <v>1</v>
      </c>
      <c r="F99" s="5" t="s">
        <v>396</v>
      </c>
      <c r="G99" s="3">
        <v>9</v>
      </c>
      <c r="H99" s="1">
        <v>6</v>
      </c>
      <c r="I99" s="1">
        <v>4</v>
      </c>
      <c r="J99" s="1" t="s">
        <v>463</v>
      </c>
      <c r="K99" s="1" t="s">
        <v>464</v>
      </c>
      <c r="L99" s="1" t="s">
        <v>515</v>
      </c>
      <c r="M99" s="1">
        <v>5040</v>
      </c>
      <c r="N99" s="1">
        <v>56000</v>
      </c>
      <c r="O99" s="1" t="s">
        <v>466</v>
      </c>
      <c r="P99" s="1">
        <v>1400</v>
      </c>
      <c r="Q99" s="1" t="s">
        <v>398</v>
      </c>
      <c r="R99" s="1">
        <v>10</v>
      </c>
      <c r="S99" s="18">
        <v>6092</v>
      </c>
      <c r="T99" s="16">
        <v>0.01</v>
      </c>
      <c r="V99" s="18" t="s">
        <v>507</v>
      </c>
      <c r="W99" s="18" t="s">
        <v>508</v>
      </c>
      <c r="X99" s="18" t="s">
        <v>509</v>
      </c>
      <c r="Y99" s="84" t="s">
        <v>510</v>
      </c>
      <c r="Z99" s="84"/>
      <c r="AA99" s="18" t="s">
        <v>511</v>
      </c>
      <c r="AB99" s="87" t="s">
        <v>512</v>
      </c>
      <c r="AC99" s="83" t="s">
        <v>405</v>
      </c>
      <c r="AD99" s="85" t="s">
        <v>513</v>
      </c>
      <c r="AE99" s="86" t="s">
        <v>453</v>
      </c>
      <c r="AG99" s="22"/>
    </row>
    <row r="100" spans="1:33" s="1" customFormat="1" ht="49.5" x14ac:dyDescent="0.25">
      <c r="A100" s="13">
        <f t="shared" si="26"/>
        <v>614302</v>
      </c>
      <c r="B100" s="14">
        <v>6143</v>
      </c>
      <c r="C100" s="1" t="s">
        <v>286</v>
      </c>
      <c r="D100" s="15" t="s">
        <v>506</v>
      </c>
      <c r="E100" s="3">
        <v>2</v>
      </c>
      <c r="F100" s="5" t="s">
        <v>396</v>
      </c>
      <c r="G100" s="3">
        <v>9</v>
      </c>
      <c r="H100" s="1">
        <v>6</v>
      </c>
      <c r="I100" s="1">
        <v>4</v>
      </c>
      <c r="J100" s="1" t="s">
        <v>463</v>
      </c>
      <c r="K100" s="1" t="s">
        <v>464</v>
      </c>
      <c r="L100" s="1" t="s">
        <v>515</v>
      </c>
      <c r="M100" s="1">
        <v>6048</v>
      </c>
      <c r="N100" s="1">
        <v>67200</v>
      </c>
      <c r="O100" s="1" t="s">
        <v>468</v>
      </c>
      <c r="P100" s="1">
        <v>1680</v>
      </c>
      <c r="Q100" s="1" t="s">
        <v>398</v>
      </c>
      <c r="R100" s="1">
        <v>10</v>
      </c>
      <c r="S100" s="18">
        <v>6092</v>
      </c>
      <c r="T100" s="16">
        <v>0.01</v>
      </c>
      <c r="V100" s="18" t="s">
        <v>507</v>
      </c>
      <c r="W100" s="18" t="s">
        <v>508</v>
      </c>
      <c r="X100" s="18" t="s">
        <v>509</v>
      </c>
      <c r="Y100" s="84" t="s">
        <v>510</v>
      </c>
      <c r="Z100" s="84"/>
      <c r="AA100" s="18" t="s">
        <v>511</v>
      </c>
      <c r="AB100" s="87" t="s">
        <v>512</v>
      </c>
      <c r="AC100" s="83" t="s">
        <v>405</v>
      </c>
      <c r="AD100" s="85" t="s">
        <v>513</v>
      </c>
      <c r="AE100" s="86" t="s">
        <v>453</v>
      </c>
      <c r="AG100" s="22"/>
    </row>
    <row r="101" spans="1:33" s="1" customFormat="1" ht="49.5" x14ac:dyDescent="0.25">
      <c r="A101" s="13">
        <f t="shared" si="26"/>
        <v>614303</v>
      </c>
      <c r="B101" s="14">
        <v>6143</v>
      </c>
      <c r="C101" s="1" t="s">
        <v>286</v>
      </c>
      <c r="D101" s="15" t="s">
        <v>506</v>
      </c>
      <c r="E101" s="3">
        <v>3</v>
      </c>
      <c r="F101" s="5" t="s">
        <v>396</v>
      </c>
      <c r="G101" s="3">
        <v>9</v>
      </c>
      <c r="H101" s="1">
        <v>6</v>
      </c>
      <c r="I101" s="1">
        <v>4</v>
      </c>
      <c r="J101" s="1" t="s">
        <v>463</v>
      </c>
      <c r="K101" s="1" t="s">
        <v>464</v>
      </c>
      <c r="L101" s="1" t="s">
        <v>515</v>
      </c>
      <c r="M101" s="1">
        <v>7560</v>
      </c>
      <c r="N101" s="1">
        <v>84000</v>
      </c>
      <c r="O101" s="1" t="s">
        <v>436</v>
      </c>
      <c r="P101" s="1">
        <v>2100</v>
      </c>
      <c r="Q101" s="1" t="s">
        <v>398</v>
      </c>
      <c r="R101" s="1">
        <v>10</v>
      </c>
      <c r="S101" s="18">
        <v>6092</v>
      </c>
      <c r="T101" s="16">
        <v>0.01</v>
      </c>
      <c r="V101" s="18" t="s">
        <v>507</v>
      </c>
      <c r="W101" s="18" t="s">
        <v>508</v>
      </c>
      <c r="X101" s="18" t="s">
        <v>509</v>
      </c>
      <c r="Y101" s="84" t="s">
        <v>510</v>
      </c>
      <c r="Z101" s="84"/>
      <c r="AA101" s="18" t="s">
        <v>511</v>
      </c>
      <c r="AB101" s="87" t="s">
        <v>512</v>
      </c>
      <c r="AC101" s="83" t="s">
        <v>405</v>
      </c>
      <c r="AD101" s="85" t="s">
        <v>513</v>
      </c>
      <c r="AE101" s="86" t="s">
        <v>453</v>
      </c>
      <c r="AG101" s="22"/>
    </row>
    <row r="102" spans="1:33" s="1" customFormat="1" ht="49.5" x14ac:dyDescent="0.25">
      <c r="A102" s="13">
        <f t="shared" si="26"/>
        <v>614304</v>
      </c>
      <c r="B102" s="14">
        <v>6143</v>
      </c>
      <c r="C102" s="1" t="s">
        <v>286</v>
      </c>
      <c r="D102" s="15" t="s">
        <v>506</v>
      </c>
      <c r="E102" s="3">
        <v>4</v>
      </c>
      <c r="F102" s="5" t="s">
        <v>396</v>
      </c>
      <c r="G102" s="3">
        <v>10</v>
      </c>
      <c r="H102" s="1">
        <v>6</v>
      </c>
      <c r="I102" s="1">
        <v>4</v>
      </c>
      <c r="J102" s="1" t="s">
        <v>463</v>
      </c>
      <c r="K102" s="1" t="s">
        <v>464</v>
      </c>
      <c r="L102" s="1" t="s">
        <v>515</v>
      </c>
      <c r="M102" s="1">
        <v>10080</v>
      </c>
      <c r="N102" s="1">
        <v>98000</v>
      </c>
      <c r="O102" s="1" t="s">
        <v>469</v>
      </c>
      <c r="P102" s="1">
        <v>2800</v>
      </c>
      <c r="Q102" s="1" t="s">
        <v>398</v>
      </c>
      <c r="R102" s="1">
        <v>10</v>
      </c>
      <c r="S102" s="18">
        <v>6092</v>
      </c>
      <c r="T102" s="16">
        <v>0.01</v>
      </c>
      <c r="V102" s="18" t="s">
        <v>507</v>
      </c>
      <c r="W102" s="18" t="s">
        <v>508</v>
      </c>
      <c r="X102" s="18" t="s">
        <v>509</v>
      </c>
      <c r="Y102" s="84" t="s">
        <v>510</v>
      </c>
      <c r="Z102" s="84"/>
      <c r="AA102" s="18" t="s">
        <v>511</v>
      </c>
      <c r="AB102" s="87" t="s">
        <v>512</v>
      </c>
      <c r="AC102" s="83" t="s">
        <v>405</v>
      </c>
      <c r="AD102" s="85" t="s">
        <v>513</v>
      </c>
      <c r="AE102" s="86" t="s">
        <v>453</v>
      </c>
      <c r="AG102" s="22"/>
    </row>
    <row r="103" spans="1:33" s="1" customFormat="1" ht="49.5" x14ac:dyDescent="0.25">
      <c r="A103" s="13">
        <f t="shared" si="26"/>
        <v>614305</v>
      </c>
      <c r="B103" s="14">
        <v>6143</v>
      </c>
      <c r="C103" s="1" t="s">
        <v>286</v>
      </c>
      <c r="D103" s="15" t="s">
        <v>506</v>
      </c>
      <c r="E103" s="3">
        <v>5</v>
      </c>
      <c r="F103" s="5" t="s">
        <v>396</v>
      </c>
      <c r="G103" s="3">
        <v>10</v>
      </c>
      <c r="H103" s="1">
        <v>6</v>
      </c>
      <c r="I103" s="1">
        <v>4</v>
      </c>
      <c r="J103" s="1" t="s">
        <v>463</v>
      </c>
      <c r="K103" s="1" t="s">
        <v>464</v>
      </c>
      <c r="L103" s="1" t="s">
        <v>515</v>
      </c>
      <c r="M103" s="1">
        <v>15120</v>
      </c>
      <c r="N103" s="1">
        <v>112000</v>
      </c>
      <c r="O103" s="1" t="s">
        <v>470</v>
      </c>
      <c r="P103" s="1">
        <v>4200</v>
      </c>
      <c r="Q103" s="1" t="s">
        <v>398</v>
      </c>
      <c r="R103" s="1">
        <v>10</v>
      </c>
      <c r="S103" s="18">
        <v>6092</v>
      </c>
      <c r="T103" s="16">
        <v>0.01</v>
      </c>
      <c r="V103" s="18" t="s">
        <v>507</v>
      </c>
      <c r="W103" s="18" t="s">
        <v>508</v>
      </c>
      <c r="X103" s="18" t="s">
        <v>509</v>
      </c>
      <c r="Y103" s="84" t="s">
        <v>510</v>
      </c>
      <c r="Z103" s="84"/>
      <c r="AA103" s="18" t="s">
        <v>511</v>
      </c>
      <c r="AB103" s="87" t="s">
        <v>512</v>
      </c>
      <c r="AC103" s="83" t="s">
        <v>405</v>
      </c>
      <c r="AD103" s="85" t="s">
        <v>513</v>
      </c>
      <c r="AE103" s="86" t="s">
        <v>453</v>
      </c>
      <c r="AG103" s="22"/>
    </row>
    <row r="104" spans="1:33" s="1" customFormat="1" ht="49.5" x14ac:dyDescent="0.25">
      <c r="A104" s="13">
        <f t="shared" ref="A104" si="27">B104*100+E104</f>
        <v>711101</v>
      </c>
      <c r="B104" s="14">
        <v>7111</v>
      </c>
      <c r="C104" s="1" t="s">
        <v>188</v>
      </c>
      <c r="D104" s="1" t="s">
        <v>516</v>
      </c>
      <c r="E104" s="3">
        <v>1</v>
      </c>
      <c r="F104" s="5" t="s">
        <v>396</v>
      </c>
      <c r="G104" s="3">
        <v>1</v>
      </c>
      <c r="H104" s="1">
        <v>7</v>
      </c>
      <c r="I104" s="1">
        <v>1</v>
      </c>
      <c r="M104" s="1">
        <v>3600</v>
      </c>
      <c r="N104" s="1">
        <v>40000</v>
      </c>
      <c r="O104" s="1" t="s">
        <v>397</v>
      </c>
      <c r="P104" s="1">
        <v>1000</v>
      </c>
      <c r="Q104" s="1" t="s">
        <v>398</v>
      </c>
      <c r="R104" s="1">
        <v>10</v>
      </c>
      <c r="S104" s="18">
        <v>1058</v>
      </c>
      <c r="T104" s="16">
        <v>0.01</v>
      </c>
      <c r="V104" s="18" t="s">
        <v>517</v>
      </c>
      <c r="W104" s="18" t="s">
        <v>518</v>
      </c>
      <c r="X104" s="18" t="s">
        <v>519</v>
      </c>
      <c r="Y104" s="84" t="s">
        <v>520</v>
      </c>
      <c r="Z104" s="84"/>
      <c r="AA104" s="18" t="s">
        <v>521</v>
      </c>
      <c r="AB104" s="18" t="s">
        <v>522</v>
      </c>
      <c r="AC104" s="83" t="s">
        <v>405</v>
      </c>
      <c r="AD104" s="85" t="s">
        <v>523</v>
      </c>
      <c r="AE104" s="86" t="s">
        <v>407</v>
      </c>
      <c r="AG104" s="22"/>
    </row>
    <row r="105" spans="1:33" s="1" customFormat="1" ht="49.5" x14ac:dyDescent="0.25">
      <c r="A105" s="13">
        <f t="shared" ref="A105:A141" si="28">B105*100+E105</f>
        <v>711102</v>
      </c>
      <c r="B105" s="14">
        <v>7111</v>
      </c>
      <c r="C105" s="1" t="s">
        <v>188</v>
      </c>
      <c r="D105" s="1" t="s">
        <v>516</v>
      </c>
      <c r="E105" s="3">
        <v>2</v>
      </c>
      <c r="F105" s="5" t="s">
        <v>396</v>
      </c>
      <c r="G105" s="3">
        <v>1</v>
      </c>
      <c r="H105" s="1">
        <v>7</v>
      </c>
      <c r="I105" s="1">
        <v>1</v>
      </c>
      <c r="M105" s="1">
        <v>4320</v>
      </c>
      <c r="N105" s="1">
        <v>48000</v>
      </c>
      <c r="O105" s="1" t="s">
        <v>408</v>
      </c>
      <c r="P105" s="1">
        <v>1200</v>
      </c>
      <c r="Q105" s="1" t="s">
        <v>398</v>
      </c>
      <c r="R105" s="1">
        <v>10</v>
      </c>
      <c r="S105" s="18">
        <v>1058</v>
      </c>
      <c r="T105" s="16">
        <v>0.01</v>
      </c>
      <c r="V105" s="18" t="s">
        <v>517</v>
      </c>
      <c r="W105" s="18" t="s">
        <v>518</v>
      </c>
      <c r="X105" s="18" t="s">
        <v>519</v>
      </c>
      <c r="Y105" s="84" t="s">
        <v>520</v>
      </c>
      <c r="Z105" s="84"/>
      <c r="AA105" s="18" t="s">
        <v>521</v>
      </c>
      <c r="AB105" s="18" t="s">
        <v>522</v>
      </c>
      <c r="AC105" s="83" t="s">
        <v>405</v>
      </c>
      <c r="AD105" s="85" t="s">
        <v>523</v>
      </c>
      <c r="AE105" s="86" t="s">
        <v>407</v>
      </c>
      <c r="AG105" s="22"/>
    </row>
    <row r="106" spans="1:33" s="1" customFormat="1" ht="49.5" x14ac:dyDescent="0.25">
      <c r="A106" s="13">
        <f t="shared" ref="A106" si="29">B106*100+E106</f>
        <v>711103</v>
      </c>
      <c r="B106" s="14">
        <v>7111</v>
      </c>
      <c r="C106" s="1" t="s">
        <v>188</v>
      </c>
      <c r="D106" s="1" t="s">
        <v>516</v>
      </c>
      <c r="E106" s="3">
        <v>3</v>
      </c>
      <c r="F106" s="5" t="s">
        <v>396</v>
      </c>
      <c r="G106" s="3">
        <v>1</v>
      </c>
      <c r="H106" s="1">
        <v>7</v>
      </c>
      <c r="I106" s="1">
        <v>1</v>
      </c>
      <c r="M106" s="1">
        <v>5400</v>
      </c>
      <c r="N106" s="1">
        <v>60000</v>
      </c>
      <c r="O106" s="1" t="s">
        <v>409</v>
      </c>
      <c r="P106" s="1">
        <v>1500</v>
      </c>
      <c r="Q106" s="1" t="s">
        <v>398</v>
      </c>
      <c r="R106" s="1">
        <v>10</v>
      </c>
      <c r="S106" s="18">
        <v>1058</v>
      </c>
      <c r="T106" s="16">
        <v>0.01</v>
      </c>
      <c r="V106" s="18" t="s">
        <v>517</v>
      </c>
      <c r="W106" s="18" t="s">
        <v>518</v>
      </c>
      <c r="X106" s="18" t="s">
        <v>519</v>
      </c>
      <c r="Y106" s="84" t="s">
        <v>520</v>
      </c>
      <c r="Z106" s="84"/>
      <c r="AA106" s="18" t="s">
        <v>521</v>
      </c>
      <c r="AB106" s="18" t="s">
        <v>522</v>
      </c>
      <c r="AC106" s="83" t="s">
        <v>405</v>
      </c>
      <c r="AD106" s="85" t="s">
        <v>523</v>
      </c>
      <c r="AE106" s="86" t="s">
        <v>407</v>
      </c>
      <c r="AG106" s="22"/>
    </row>
    <row r="107" spans="1:33" s="1" customFormat="1" ht="49.5" x14ac:dyDescent="0.25">
      <c r="A107" s="13">
        <f t="shared" ref="A107" si="30">B107*100+E107</f>
        <v>711104</v>
      </c>
      <c r="B107" s="14">
        <v>7111</v>
      </c>
      <c r="C107" s="1" t="s">
        <v>188</v>
      </c>
      <c r="D107" s="1" t="s">
        <v>516</v>
      </c>
      <c r="E107" s="3">
        <v>4</v>
      </c>
      <c r="F107" s="5" t="s">
        <v>396</v>
      </c>
      <c r="G107" s="3">
        <v>2</v>
      </c>
      <c r="H107" s="1">
        <v>7</v>
      </c>
      <c r="I107" s="1">
        <v>1</v>
      </c>
      <c r="M107" s="1">
        <v>7200</v>
      </c>
      <c r="N107" s="1">
        <v>70000</v>
      </c>
      <c r="O107" s="1" t="s">
        <v>410</v>
      </c>
      <c r="P107" s="1">
        <v>2000</v>
      </c>
      <c r="Q107" s="1" t="s">
        <v>398</v>
      </c>
      <c r="R107" s="1">
        <v>10</v>
      </c>
      <c r="S107" s="18">
        <v>1058</v>
      </c>
      <c r="T107" s="16">
        <v>0.01</v>
      </c>
      <c r="V107" s="18" t="s">
        <v>517</v>
      </c>
      <c r="W107" s="18" t="s">
        <v>518</v>
      </c>
      <c r="X107" s="18" t="s">
        <v>519</v>
      </c>
      <c r="Y107" s="84" t="s">
        <v>520</v>
      </c>
      <c r="Z107" s="84"/>
      <c r="AA107" s="18" t="s">
        <v>521</v>
      </c>
      <c r="AB107" s="18" t="s">
        <v>522</v>
      </c>
      <c r="AC107" s="83" t="s">
        <v>405</v>
      </c>
      <c r="AD107" s="85" t="s">
        <v>523</v>
      </c>
      <c r="AE107" s="86" t="s">
        <v>407</v>
      </c>
      <c r="AG107" s="22"/>
    </row>
    <row r="108" spans="1:33" s="1" customFormat="1" ht="49.5" x14ac:dyDescent="0.25">
      <c r="A108" s="13">
        <f t="shared" si="28"/>
        <v>711105</v>
      </c>
      <c r="B108" s="14">
        <v>7111</v>
      </c>
      <c r="C108" s="1" t="s">
        <v>188</v>
      </c>
      <c r="D108" s="1" t="s">
        <v>516</v>
      </c>
      <c r="E108" s="3">
        <v>5</v>
      </c>
      <c r="F108" s="5" t="s">
        <v>396</v>
      </c>
      <c r="G108" s="3">
        <v>2</v>
      </c>
      <c r="H108" s="1">
        <v>7</v>
      </c>
      <c r="I108" s="1">
        <v>1</v>
      </c>
      <c r="M108" s="1">
        <v>10800</v>
      </c>
      <c r="N108" s="1">
        <v>80000</v>
      </c>
      <c r="O108" s="1" t="s">
        <v>411</v>
      </c>
      <c r="P108" s="1">
        <v>3000</v>
      </c>
      <c r="Q108" s="1" t="s">
        <v>398</v>
      </c>
      <c r="R108" s="1">
        <v>10</v>
      </c>
      <c r="S108" s="18">
        <v>1058</v>
      </c>
      <c r="T108" s="16">
        <v>0.01</v>
      </c>
      <c r="V108" s="18" t="s">
        <v>517</v>
      </c>
      <c r="W108" s="18" t="s">
        <v>518</v>
      </c>
      <c r="X108" s="18" t="s">
        <v>519</v>
      </c>
      <c r="Y108" s="84" t="s">
        <v>520</v>
      </c>
      <c r="Z108" s="84"/>
      <c r="AA108" s="18" t="s">
        <v>521</v>
      </c>
      <c r="AB108" s="18" t="s">
        <v>522</v>
      </c>
      <c r="AC108" s="83" t="s">
        <v>405</v>
      </c>
      <c r="AD108" s="85" t="s">
        <v>523</v>
      </c>
      <c r="AE108" s="86" t="s">
        <v>407</v>
      </c>
      <c r="AG108" s="22"/>
    </row>
    <row r="109" spans="1:33" s="1" customFormat="1" ht="49.5" x14ac:dyDescent="0.25">
      <c r="A109" s="13">
        <f t="shared" ref="A109" si="31">B109*100+E109</f>
        <v>711201</v>
      </c>
      <c r="B109" s="14">
        <v>7112</v>
      </c>
      <c r="C109" s="1" t="s">
        <v>188</v>
      </c>
      <c r="D109" s="1" t="s">
        <v>524</v>
      </c>
      <c r="E109" s="3">
        <v>1</v>
      </c>
      <c r="F109" s="5" t="s">
        <v>396</v>
      </c>
      <c r="G109" s="3">
        <v>1</v>
      </c>
      <c r="H109" s="1">
        <v>7</v>
      </c>
      <c r="I109" s="1">
        <v>1</v>
      </c>
      <c r="M109" s="1">
        <v>3600</v>
      </c>
      <c r="N109" s="1">
        <v>40000</v>
      </c>
      <c r="O109" s="1" t="s">
        <v>397</v>
      </c>
      <c r="P109" s="1">
        <v>1000</v>
      </c>
      <c r="Q109" s="1" t="s">
        <v>398</v>
      </c>
      <c r="R109" s="1">
        <v>10</v>
      </c>
      <c r="S109" s="18">
        <v>1063</v>
      </c>
      <c r="T109" s="16">
        <v>0.01</v>
      </c>
      <c r="V109" s="18" t="s">
        <v>525</v>
      </c>
      <c r="W109" s="18" t="s">
        <v>526</v>
      </c>
      <c r="X109" s="18" t="s">
        <v>527</v>
      </c>
      <c r="Y109" s="84" t="s">
        <v>528</v>
      </c>
      <c r="Z109" s="84"/>
      <c r="AA109" s="18" t="s">
        <v>529</v>
      </c>
      <c r="AB109" s="87" t="s">
        <v>530</v>
      </c>
      <c r="AC109" s="83" t="s">
        <v>405</v>
      </c>
      <c r="AD109" s="85" t="s">
        <v>531</v>
      </c>
      <c r="AE109" s="86" t="s">
        <v>420</v>
      </c>
      <c r="AG109" s="22"/>
    </row>
    <row r="110" spans="1:33" s="1" customFormat="1" ht="49.5" x14ac:dyDescent="0.25">
      <c r="A110" s="13">
        <f t="shared" si="28"/>
        <v>711202</v>
      </c>
      <c r="B110" s="14">
        <v>7112</v>
      </c>
      <c r="C110" s="1" t="s">
        <v>188</v>
      </c>
      <c r="D110" s="1" t="s">
        <v>524</v>
      </c>
      <c r="E110" s="3">
        <v>2</v>
      </c>
      <c r="F110" s="5" t="s">
        <v>396</v>
      </c>
      <c r="G110" s="3">
        <v>1</v>
      </c>
      <c r="H110" s="1">
        <v>7</v>
      </c>
      <c r="I110" s="1">
        <v>1</v>
      </c>
      <c r="M110" s="1">
        <v>4320</v>
      </c>
      <c r="N110" s="1">
        <v>48000</v>
      </c>
      <c r="O110" s="1" t="s">
        <v>408</v>
      </c>
      <c r="P110" s="1">
        <v>1200</v>
      </c>
      <c r="Q110" s="1" t="s">
        <v>398</v>
      </c>
      <c r="R110" s="1">
        <v>10</v>
      </c>
      <c r="S110" s="18">
        <v>1063</v>
      </c>
      <c r="T110" s="16">
        <v>0.01</v>
      </c>
      <c r="V110" s="18" t="s">
        <v>525</v>
      </c>
      <c r="W110" s="18" t="s">
        <v>526</v>
      </c>
      <c r="X110" s="18" t="s">
        <v>527</v>
      </c>
      <c r="Y110" s="84" t="s">
        <v>528</v>
      </c>
      <c r="Z110" s="84"/>
      <c r="AA110" s="18" t="s">
        <v>529</v>
      </c>
      <c r="AB110" s="87" t="s">
        <v>530</v>
      </c>
      <c r="AC110" s="83" t="s">
        <v>405</v>
      </c>
      <c r="AD110" s="85" t="s">
        <v>531</v>
      </c>
      <c r="AE110" s="86" t="s">
        <v>420</v>
      </c>
      <c r="AG110" s="22"/>
    </row>
    <row r="111" spans="1:33" s="1" customFormat="1" ht="49.5" x14ac:dyDescent="0.25">
      <c r="A111" s="13">
        <f t="shared" ref="A111" si="32">B111*100+E111</f>
        <v>711203</v>
      </c>
      <c r="B111" s="14">
        <v>7112</v>
      </c>
      <c r="C111" s="1" t="s">
        <v>188</v>
      </c>
      <c r="D111" s="1" t="s">
        <v>524</v>
      </c>
      <c r="E111" s="3">
        <v>3</v>
      </c>
      <c r="F111" s="5" t="s">
        <v>396</v>
      </c>
      <c r="G111" s="3">
        <v>1</v>
      </c>
      <c r="H111" s="1">
        <v>7</v>
      </c>
      <c r="I111" s="1">
        <v>1</v>
      </c>
      <c r="M111" s="1">
        <v>5400</v>
      </c>
      <c r="N111" s="1">
        <v>60000</v>
      </c>
      <c r="O111" s="1" t="s">
        <v>409</v>
      </c>
      <c r="P111" s="1">
        <v>1500</v>
      </c>
      <c r="Q111" s="1" t="s">
        <v>398</v>
      </c>
      <c r="R111" s="1">
        <v>10</v>
      </c>
      <c r="S111" s="18">
        <v>1063</v>
      </c>
      <c r="T111" s="16">
        <v>0.01</v>
      </c>
      <c r="V111" s="18" t="s">
        <v>525</v>
      </c>
      <c r="W111" s="18" t="s">
        <v>526</v>
      </c>
      <c r="X111" s="18" t="s">
        <v>527</v>
      </c>
      <c r="Y111" s="84" t="s">
        <v>528</v>
      </c>
      <c r="Z111" s="84"/>
      <c r="AA111" s="18" t="s">
        <v>529</v>
      </c>
      <c r="AB111" s="87" t="s">
        <v>530</v>
      </c>
      <c r="AC111" s="83" t="s">
        <v>405</v>
      </c>
      <c r="AD111" s="85" t="s">
        <v>531</v>
      </c>
      <c r="AE111" s="86" t="s">
        <v>420</v>
      </c>
      <c r="AG111" s="22"/>
    </row>
    <row r="112" spans="1:33" s="1" customFormat="1" ht="49.5" x14ac:dyDescent="0.25">
      <c r="A112" s="13">
        <f t="shared" ref="A112" si="33">B112*100+E112</f>
        <v>711204</v>
      </c>
      <c r="B112" s="14">
        <v>7112</v>
      </c>
      <c r="C112" s="1" t="s">
        <v>188</v>
      </c>
      <c r="D112" s="1" t="s">
        <v>524</v>
      </c>
      <c r="E112" s="3">
        <v>4</v>
      </c>
      <c r="F112" s="5" t="s">
        <v>396</v>
      </c>
      <c r="G112" s="3">
        <v>2</v>
      </c>
      <c r="H112" s="1">
        <v>7</v>
      </c>
      <c r="I112" s="1">
        <v>1</v>
      </c>
      <c r="M112" s="1">
        <v>7200</v>
      </c>
      <c r="N112" s="1">
        <v>70000</v>
      </c>
      <c r="O112" s="1" t="s">
        <v>410</v>
      </c>
      <c r="P112" s="1">
        <v>2000</v>
      </c>
      <c r="Q112" s="1" t="s">
        <v>398</v>
      </c>
      <c r="R112" s="1">
        <v>10</v>
      </c>
      <c r="S112" s="18">
        <v>1063</v>
      </c>
      <c r="T112" s="16">
        <v>0.01</v>
      </c>
      <c r="V112" s="18" t="s">
        <v>525</v>
      </c>
      <c r="W112" s="18" t="s">
        <v>526</v>
      </c>
      <c r="X112" s="18" t="s">
        <v>527</v>
      </c>
      <c r="Y112" s="84" t="s">
        <v>528</v>
      </c>
      <c r="Z112" s="84"/>
      <c r="AA112" s="18" t="s">
        <v>529</v>
      </c>
      <c r="AB112" s="87" t="s">
        <v>530</v>
      </c>
      <c r="AC112" s="83" t="s">
        <v>405</v>
      </c>
      <c r="AD112" s="85" t="s">
        <v>531</v>
      </c>
      <c r="AE112" s="86" t="s">
        <v>420</v>
      </c>
      <c r="AG112" s="22"/>
    </row>
    <row r="113" spans="1:33" s="1" customFormat="1" ht="49.5" x14ac:dyDescent="0.25">
      <c r="A113" s="13">
        <f t="shared" si="28"/>
        <v>711205</v>
      </c>
      <c r="B113" s="14">
        <v>7112</v>
      </c>
      <c r="C113" s="1" t="s">
        <v>188</v>
      </c>
      <c r="D113" s="1" t="s">
        <v>524</v>
      </c>
      <c r="E113" s="3">
        <v>5</v>
      </c>
      <c r="F113" s="5" t="s">
        <v>396</v>
      </c>
      <c r="G113" s="3">
        <v>2</v>
      </c>
      <c r="H113" s="1">
        <v>7</v>
      </c>
      <c r="I113" s="1">
        <v>1</v>
      </c>
      <c r="M113" s="1">
        <v>10800</v>
      </c>
      <c r="N113" s="1">
        <v>80000</v>
      </c>
      <c r="O113" s="1" t="s">
        <v>411</v>
      </c>
      <c r="P113" s="1">
        <v>3000</v>
      </c>
      <c r="Q113" s="1" t="s">
        <v>398</v>
      </c>
      <c r="R113" s="1">
        <v>10</v>
      </c>
      <c r="S113" s="18">
        <v>1063</v>
      </c>
      <c r="T113" s="16">
        <v>0.01</v>
      </c>
      <c r="V113" s="18" t="s">
        <v>525</v>
      </c>
      <c r="W113" s="18" t="s">
        <v>526</v>
      </c>
      <c r="X113" s="18" t="s">
        <v>527</v>
      </c>
      <c r="Y113" s="84" t="s">
        <v>528</v>
      </c>
      <c r="Z113" s="84"/>
      <c r="AA113" s="18" t="s">
        <v>529</v>
      </c>
      <c r="AB113" s="87" t="s">
        <v>530</v>
      </c>
      <c r="AC113" s="83" t="s">
        <v>405</v>
      </c>
      <c r="AD113" s="85" t="s">
        <v>531</v>
      </c>
      <c r="AE113" s="86" t="s">
        <v>420</v>
      </c>
      <c r="AG113" s="22"/>
    </row>
    <row r="114" spans="1:33" s="1" customFormat="1" ht="49.5" x14ac:dyDescent="0.25">
      <c r="A114" s="13">
        <f t="shared" ref="A114" si="34">B114*100+E114</f>
        <v>712101</v>
      </c>
      <c r="B114" s="14">
        <v>7121</v>
      </c>
      <c r="C114" s="1" t="s">
        <v>188</v>
      </c>
      <c r="D114" s="1" t="s">
        <v>532</v>
      </c>
      <c r="E114" s="3">
        <v>1</v>
      </c>
      <c r="F114" s="5" t="s">
        <v>396</v>
      </c>
      <c r="G114" s="3">
        <v>3</v>
      </c>
      <c r="H114" s="1">
        <v>7</v>
      </c>
      <c r="I114" s="1">
        <v>2</v>
      </c>
      <c r="J114" s="1" t="s">
        <v>422</v>
      </c>
      <c r="K114" s="1" t="s">
        <v>423</v>
      </c>
      <c r="L114" s="1" t="s">
        <v>533</v>
      </c>
      <c r="M114" s="1">
        <v>3780</v>
      </c>
      <c r="N114" s="1">
        <v>42000</v>
      </c>
      <c r="O114" s="1" t="s">
        <v>425</v>
      </c>
      <c r="P114" s="1">
        <v>1050</v>
      </c>
      <c r="Q114" s="1" t="s">
        <v>398</v>
      </c>
      <c r="R114" s="1">
        <v>10</v>
      </c>
      <c r="S114" s="18">
        <v>19082</v>
      </c>
      <c r="T114" s="16">
        <v>0.01</v>
      </c>
      <c r="V114" s="18" t="s">
        <v>534</v>
      </c>
      <c r="W114" s="18" t="s">
        <v>535</v>
      </c>
      <c r="X114" s="18" t="s">
        <v>536</v>
      </c>
      <c r="Y114" s="84" t="s">
        <v>537</v>
      </c>
      <c r="Z114" s="84"/>
      <c r="AA114" s="18" t="s">
        <v>538</v>
      </c>
      <c r="AB114" s="18" t="s">
        <v>539</v>
      </c>
      <c r="AC114" s="83" t="s">
        <v>405</v>
      </c>
      <c r="AD114" s="85" t="s">
        <v>540</v>
      </c>
      <c r="AE114" s="86" t="s">
        <v>433</v>
      </c>
      <c r="AG114" s="22"/>
    </row>
    <row r="115" spans="1:33" s="1" customFormat="1" ht="49.5" x14ac:dyDescent="0.25">
      <c r="A115" s="13">
        <f t="shared" si="28"/>
        <v>712102</v>
      </c>
      <c r="B115" s="14">
        <v>7121</v>
      </c>
      <c r="C115" s="1" t="s">
        <v>188</v>
      </c>
      <c r="D115" s="1" t="s">
        <v>532</v>
      </c>
      <c r="E115" s="3">
        <v>2</v>
      </c>
      <c r="F115" s="5" t="s">
        <v>396</v>
      </c>
      <c r="G115" s="3">
        <v>3</v>
      </c>
      <c r="H115" s="1">
        <v>7</v>
      </c>
      <c r="I115" s="1">
        <v>2</v>
      </c>
      <c r="J115" s="1" t="s">
        <v>422</v>
      </c>
      <c r="K115" s="1" t="s">
        <v>423</v>
      </c>
      <c r="L115" s="1" t="s">
        <v>533</v>
      </c>
      <c r="M115" s="1">
        <v>4536</v>
      </c>
      <c r="N115" s="1">
        <v>50400</v>
      </c>
      <c r="O115" s="1" t="s">
        <v>434</v>
      </c>
      <c r="P115" s="1">
        <v>1260</v>
      </c>
      <c r="Q115" s="1" t="s">
        <v>398</v>
      </c>
      <c r="R115" s="1">
        <v>10</v>
      </c>
      <c r="S115" s="18">
        <v>19082</v>
      </c>
      <c r="T115" s="16">
        <v>0.01</v>
      </c>
      <c r="V115" s="18" t="s">
        <v>534</v>
      </c>
      <c r="W115" s="18" t="s">
        <v>535</v>
      </c>
      <c r="X115" s="18" t="s">
        <v>536</v>
      </c>
      <c r="Y115" s="84" t="s">
        <v>537</v>
      </c>
      <c r="Z115" s="84"/>
      <c r="AA115" s="18" t="s">
        <v>538</v>
      </c>
      <c r="AB115" s="18" t="s">
        <v>539</v>
      </c>
      <c r="AC115" s="83" t="s">
        <v>405</v>
      </c>
      <c r="AD115" s="85" t="s">
        <v>540</v>
      </c>
      <c r="AE115" s="86" t="s">
        <v>433</v>
      </c>
      <c r="AG115" s="22"/>
    </row>
    <row r="116" spans="1:33" s="1" customFormat="1" ht="49.5" x14ac:dyDescent="0.25">
      <c r="A116" s="13">
        <f t="shared" ref="A116" si="35">B116*100+E116</f>
        <v>712103</v>
      </c>
      <c r="B116" s="14">
        <v>7121</v>
      </c>
      <c r="C116" s="1" t="s">
        <v>188</v>
      </c>
      <c r="D116" s="1" t="s">
        <v>532</v>
      </c>
      <c r="E116" s="3">
        <v>3</v>
      </c>
      <c r="F116" s="5" t="s">
        <v>396</v>
      </c>
      <c r="G116" s="3">
        <v>3</v>
      </c>
      <c r="H116" s="1">
        <v>7</v>
      </c>
      <c r="I116" s="1">
        <v>2</v>
      </c>
      <c r="J116" s="1" t="s">
        <v>422</v>
      </c>
      <c r="K116" s="1" t="s">
        <v>423</v>
      </c>
      <c r="L116" s="1" t="s">
        <v>533</v>
      </c>
      <c r="M116" s="1">
        <v>5670</v>
      </c>
      <c r="N116" s="1">
        <v>63000</v>
      </c>
      <c r="O116" s="1" t="s">
        <v>435</v>
      </c>
      <c r="P116" s="1">
        <v>1575</v>
      </c>
      <c r="Q116" s="1" t="s">
        <v>398</v>
      </c>
      <c r="R116" s="1">
        <v>10</v>
      </c>
      <c r="S116" s="18">
        <v>19082</v>
      </c>
      <c r="T116" s="16">
        <v>0.01</v>
      </c>
      <c r="V116" s="18" t="s">
        <v>534</v>
      </c>
      <c r="W116" s="18" t="s">
        <v>535</v>
      </c>
      <c r="X116" s="18" t="s">
        <v>536</v>
      </c>
      <c r="Y116" s="84" t="s">
        <v>537</v>
      </c>
      <c r="Z116" s="84"/>
      <c r="AA116" s="18" t="s">
        <v>538</v>
      </c>
      <c r="AB116" s="18" t="s">
        <v>539</v>
      </c>
      <c r="AC116" s="83" t="s">
        <v>405</v>
      </c>
      <c r="AD116" s="85" t="s">
        <v>540</v>
      </c>
      <c r="AE116" s="86" t="s">
        <v>433</v>
      </c>
      <c r="AG116" s="22"/>
    </row>
    <row r="117" spans="1:33" s="1" customFormat="1" ht="49.5" x14ac:dyDescent="0.25">
      <c r="A117" s="13">
        <f t="shared" ref="A117" si="36">B117*100+E117</f>
        <v>712104</v>
      </c>
      <c r="B117" s="14">
        <v>7121</v>
      </c>
      <c r="C117" s="1" t="s">
        <v>188</v>
      </c>
      <c r="D117" s="1" t="s">
        <v>532</v>
      </c>
      <c r="E117" s="3">
        <v>4</v>
      </c>
      <c r="F117" s="5" t="s">
        <v>396</v>
      </c>
      <c r="G117" s="3">
        <v>4</v>
      </c>
      <c r="H117" s="1">
        <v>7</v>
      </c>
      <c r="I117" s="1">
        <v>2</v>
      </c>
      <c r="J117" s="1" t="s">
        <v>422</v>
      </c>
      <c r="K117" s="1" t="s">
        <v>423</v>
      </c>
      <c r="L117" s="1" t="s">
        <v>533</v>
      </c>
      <c r="M117" s="1">
        <v>7560</v>
      </c>
      <c r="N117" s="1">
        <v>73500</v>
      </c>
      <c r="O117" s="1" t="s">
        <v>436</v>
      </c>
      <c r="P117" s="1">
        <v>2100</v>
      </c>
      <c r="Q117" s="1" t="s">
        <v>398</v>
      </c>
      <c r="R117" s="1">
        <v>10</v>
      </c>
      <c r="S117" s="18">
        <v>19082</v>
      </c>
      <c r="T117" s="16">
        <v>0.01</v>
      </c>
      <c r="V117" s="18" t="s">
        <v>534</v>
      </c>
      <c r="W117" s="18" t="s">
        <v>535</v>
      </c>
      <c r="X117" s="18" t="s">
        <v>536</v>
      </c>
      <c r="Y117" s="84" t="s">
        <v>537</v>
      </c>
      <c r="Z117" s="84"/>
      <c r="AA117" s="18" t="s">
        <v>538</v>
      </c>
      <c r="AB117" s="18" t="s">
        <v>539</v>
      </c>
      <c r="AC117" s="83" t="s">
        <v>405</v>
      </c>
      <c r="AD117" s="85" t="s">
        <v>540</v>
      </c>
      <c r="AE117" s="86" t="s">
        <v>433</v>
      </c>
      <c r="AG117" s="22"/>
    </row>
    <row r="118" spans="1:33" s="1" customFormat="1" ht="49.5" x14ac:dyDescent="0.25">
      <c r="A118" s="13">
        <f t="shared" si="28"/>
        <v>712105</v>
      </c>
      <c r="B118" s="14">
        <v>7121</v>
      </c>
      <c r="C118" s="1" t="s">
        <v>188</v>
      </c>
      <c r="D118" s="1" t="s">
        <v>532</v>
      </c>
      <c r="E118" s="3">
        <v>5</v>
      </c>
      <c r="F118" s="5" t="s">
        <v>396</v>
      </c>
      <c r="G118" s="3">
        <v>4</v>
      </c>
      <c r="H118" s="1">
        <v>7</v>
      </c>
      <c r="I118" s="1">
        <v>2</v>
      </c>
      <c r="J118" s="1" t="s">
        <v>422</v>
      </c>
      <c r="K118" s="1" t="s">
        <v>423</v>
      </c>
      <c r="L118" s="1" t="s">
        <v>533</v>
      </c>
      <c r="M118" s="1">
        <v>11340</v>
      </c>
      <c r="N118" s="1">
        <v>84000</v>
      </c>
      <c r="O118" s="1" t="s">
        <v>437</v>
      </c>
      <c r="P118" s="1">
        <v>3150</v>
      </c>
      <c r="Q118" s="1" t="s">
        <v>398</v>
      </c>
      <c r="R118" s="1">
        <v>10</v>
      </c>
      <c r="S118" s="18">
        <v>19082</v>
      </c>
      <c r="T118" s="16">
        <v>0.01</v>
      </c>
      <c r="V118" s="18" t="s">
        <v>534</v>
      </c>
      <c r="W118" s="18" t="s">
        <v>535</v>
      </c>
      <c r="X118" s="18" t="s">
        <v>536</v>
      </c>
      <c r="Y118" s="84" t="s">
        <v>537</v>
      </c>
      <c r="Z118" s="84"/>
      <c r="AA118" s="18" t="s">
        <v>538</v>
      </c>
      <c r="AB118" s="18" t="s">
        <v>539</v>
      </c>
      <c r="AC118" s="83" t="s">
        <v>405</v>
      </c>
      <c r="AD118" s="85" t="s">
        <v>540</v>
      </c>
      <c r="AE118" s="86" t="s">
        <v>433</v>
      </c>
      <c r="AG118" s="22"/>
    </row>
    <row r="119" spans="1:33" s="1" customFormat="1" ht="49.5" x14ac:dyDescent="0.25">
      <c r="A119" s="13">
        <f t="shared" si="28"/>
        <v>712201</v>
      </c>
      <c r="B119" s="14">
        <v>7122</v>
      </c>
      <c r="C119" s="1" t="s">
        <v>188</v>
      </c>
      <c r="D119" s="1" t="s">
        <v>541</v>
      </c>
      <c r="E119" s="3">
        <v>1</v>
      </c>
      <c r="F119" s="5" t="s">
        <v>396</v>
      </c>
      <c r="G119" s="3">
        <v>3</v>
      </c>
      <c r="H119" s="1">
        <v>7</v>
      </c>
      <c r="I119" s="1">
        <v>2</v>
      </c>
      <c r="J119" s="1" t="s">
        <v>422</v>
      </c>
      <c r="K119" s="1" t="s">
        <v>423</v>
      </c>
      <c r="L119" s="1" t="s">
        <v>533</v>
      </c>
      <c r="M119" s="1">
        <v>3780</v>
      </c>
      <c r="N119" s="1">
        <v>42000</v>
      </c>
      <c r="O119" s="1" t="s">
        <v>425</v>
      </c>
      <c r="P119" s="1">
        <v>1050</v>
      </c>
      <c r="Q119" s="1" t="s">
        <v>398</v>
      </c>
      <c r="R119" s="1">
        <v>10</v>
      </c>
      <c r="S119" s="18">
        <v>20030</v>
      </c>
      <c r="T119" s="16">
        <v>5.0000000000000001E-3</v>
      </c>
      <c r="V119" s="18" t="s">
        <v>542</v>
      </c>
      <c r="W119" s="18" t="s">
        <v>541</v>
      </c>
      <c r="X119" s="18" t="s">
        <v>543</v>
      </c>
      <c r="Y119" s="84" t="s">
        <v>544</v>
      </c>
      <c r="Z119" s="84"/>
      <c r="AA119" s="18" t="s">
        <v>545</v>
      </c>
      <c r="AB119" s="87" t="s">
        <v>546</v>
      </c>
      <c r="AC119" s="83" t="s">
        <v>405</v>
      </c>
      <c r="AD119" s="85" t="s">
        <v>547</v>
      </c>
      <c r="AE119" s="86" t="s">
        <v>445</v>
      </c>
      <c r="AG119" s="22"/>
    </row>
    <row r="120" spans="1:33" s="1" customFormat="1" ht="49.5" x14ac:dyDescent="0.25">
      <c r="A120" s="13">
        <f t="shared" ref="A120" si="37">B120*100+E120</f>
        <v>712202</v>
      </c>
      <c r="B120" s="14">
        <v>7122</v>
      </c>
      <c r="C120" s="1" t="s">
        <v>188</v>
      </c>
      <c r="D120" s="1" t="s">
        <v>541</v>
      </c>
      <c r="E120" s="3">
        <v>2</v>
      </c>
      <c r="F120" s="5" t="s">
        <v>396</v>
      </c>
      <c r="G120" s="3">
        <v>3</v>
      </c>
      <c r="H120" s="1">
        <v>7</v>
      </c>
      <c r="I120" s="1">
        <v>2</v>
      </c>
      <c r="J120" s="1" t="s">
        <v>422</v>
      </c>
      <c r="K120" s="1" t="s">
        <v>423</v>
      </c>
      <c r="L120" s="1" t="s">
        <v>533</v>
      </c>
      <c r="M120" s="1">
        <v>4536</v>
      </c>
      <c r="N120" s="1">
        <v>50400</v>
      </c>
      <c r="O120" s="1" t="s">
        <v>434</v>
      </c>
      <c r="P120" s="1">
        <v>1260</v>
      </c>
      <c r="Q120" s="1" t="s">
        <v>398</v>
      </c>
      <c r="R120" s="1">
        <v>10</v>
      </c>
      <c r="S120" s="18">
        <v>20030</v>
      </c>
      <c r="T120" s="16">
        <v>5.0000000000000001E-3</v>
      </c>
      <c r="V120" s="18" t="s">
        <v>542</v>
      </c>
      <c r="W120" s="18" t="s">
        <v>541</v>
      </c>
      <c r="X120" s="18" t="s">
        <v>543</v>
      </c>
      <c r="Y120" s="84" t="s">
        <v>544</v>
      </c>
      <c r="Z120" s="84"/>
      <c r="AA120" s="18" t="s">
        <v>545</v>
      </c>
      <c r="AB120" s="87" t="s">
        <v>546</v>
      </c>
      <c r="AC120" s="83" t="s">
        <v>405</v>
      </c>
      <c r="AD120" s="85" t="s">
        <v>547</v>
      </c>
      <c r="AE120" s="86" t="s">
        <v>445</v>
      </c>
      <c r="AG120" s="22"/>
    </row>
    <row r="121" spans="1:33" s="1" customFormat="1" ht="49.5" x14ac:dyDescent="0.25">
      <c r="A121" s="13">
        <f t="shared" ref="A121:A122" si="38">B121*100+E121</f>
        <v>712203</v>
      </c>
      <c r="B121" s="14">
        <v>7122</v>
      </c>
      <c r="C121" s="1" t="s">
        <v>188</v>
      </c>
      <c r="D121" s="1" t="s">
        <v>541</v>
      </c>
      <c r="E121" s="3">
        <v>3</v>
      </c>
      <c r="F121" s="5" t="s">
        <v>396</v>
      </c>
      <c r="G121" s="3">
        <v>3</v>
      </c>
      <c r="H121" s="1">
        <v>7</v>
      </c>
      <c r="I121" s="1">
        <v>2</v>
      </c>
      <c r="J121" s="1" t="s">
        <v>422</v>
      </c>
      <c r="K121" s="1" t="s">
        <v>423</v>
      </c>
      <c r="L121" s="1" t="s">
        <v>533</v>
      </c>
      <c r="M121" s="1">
        <v>5670</v>
      </c>
      <c r="N121" s="1">
        <v>63000</v>
      </c>
      <c r="O121" s="1" t="s">
        <v>435</v>
      </c>
      <c r="P121" s="1">
        <v>1575</v>
      </c>
      <c r="Q121" s="1" t="s">
        <v>398</v>
      </c>
      <c r="R121" s="1">
        <v>10</v>
      </c>
      <c r="S121" s="18">
        <v>20030</v>
      </c>
      <c r="T121" s="16">
        <v>5.0000000000000001E-3</v>
      </c>
      <c r="V121" s="18" t="s">
        <v>542</v>
      </c>
      <c r="W121" s="18" t="s">
        <v>541</v>
      </c>
      <c r="X121" s="18" t="s">
        <v>543</v>
      </c>
      <c r="Y121" s="84" t="s">
        <v>544</v>
      </c>
      <c r="Z121" s="84"/>
      <c r="AA121" s="18" t="s">
        <v>545</v>
      </c>
      <c r="AB121" s="87" t="s">
        <v>546</v>
      </c>
      <c r="AC121" s="83" t="s">
        <v>405</v>
      </c>
      <c r="AD121" s="85" t="s">
        <v>547</v>
      </c>
      <c r="AE121" s="86" t="s">
        <v>445</v>
      </c>
      <c r="AG121" s="22"/>
    </row>
    <row r="122" spans="1:33" s="1" customFormat="1" ht="49.5" x14ac:dyDescent="0.25">
      <c r="A122" s="13">
        <f t="shared" si="38"/>
        <v>712204</v>
      </c>
      <c r="B122" s="14">
        <v>7122</v>
      </c>
      <c r="C122" s="1" t="s">
        <v>188</v>
      </c>
      <c r="D122" s="1" t="s">
        <v>541</v>
      </c>
      <c r="E122" s="3">
        <v>4</v>
      </c>
      <c r="F122" s="5" t="s">
        <v>396</v>
      </c>
      <c r="G122" s="3">
        <v>4</v>
      </c>
      <c r="H122" s="1">
        <v>7</v>
      </c>
      <c r="I122" s="1">
        <v>2</v>
      </c>
      <c r="J122" s="1" t="s">
        <v>422</v>
      </c>
      <c r="K122" s="1" t="s">
        <v>423</v>
      </c>
      <c r="L122" s="1" t="s">
        <v>533</v>
      </c>
      <c r="M122" s="1">
        <v>7560</v>
      </c>
      <c r="N122" s="1">
        <v>73500</v>
      </c>
      <c r="O122" s="1" t="s">
        <v>436</v>
      </c>
      <c r="P122" s="1">
        <v>2100</v>
      </c>
      <c r="Q122" s="1" t="s">
        <v>398</v>
      </c>
      <c r="R122" s="1">
        <v>10</v>
      </c>
      <c r="S122" s="18">
        <v>20030</v>
      </c>
      <c r="T122" s="16">
        <v>5.0000000000000001E-3</v>
      </c>
      <c r="V122" s="18" t="s">
        <v>542</v>
      </c>
      <c r="W122" s="18" t="s">
        <v>541</v>
      </c>
      <c r="X122" s="18" t="s">
        <v>543</v>
      </c>
      <c r="Y122" s="84" t="s">
        <v>544</v>
      </c>
      <c r="Z122" s="84"/>
      <c r="AA122" s="18" t="s">
        <v>545</v>
      </c>
      <c r="AB122" s="87" t="s">
        <v>546</v>
      </c>
      <c r="AC122" s="83" t="s">
        <v>405</v>
      </c>
      <c r="AD122" s="85" t="s">
        <v>547</v>
      </c>
      <c r="AE122" s="86" t="s">
        <v>445</v>
      </c>
      <c r="AG122" s="22"/>
    </row>
    <row r="123" spans="1:33" s="1" customFormat="1" ht="49.5" x14ac:dyDescent="0.25">
      <c r="A123" s="13">
        <f t="shared" si="28"/>
        <v>712205</v>
      </c>
      <c r="B123" s="14">
        <v>7122</v>
      </c>
      <c r="C123" s="1" t="s">
        <v>188</v>
      </c>
      <c r="D123" s="1" t="s">
        <v>541</v>
      </c>
      <c r="E123" s="3">
        <v>5</v>
      </c>
      <c r="F123" s="5" t="s">
        <v>396</v>
      </c>
      <c r="G123" s="3">
        <v>4</v>
      </c>
      <c r="H123" s="1">
        <v>7</v>
      </c>
      <c r="I123" s="1">
        <v>2</v>
      </c>
      <c r="J123" s="1" t="s">
        <v>422</v>
      </c>
      <c r="K123" s="1" t="s">
        <v>423</v>
      </c>
      <c r="L123" s="1" t="s">
        <v>533</v>
      </c>
      <c r="M123" s="1">
        <v>11340</v>
      </c>
      <c r="N123" s="1">
        <v>84000</v>
      </c>
      <c r="O123" s="1" t="s">
        <v>437</v>
      </c>
      <c r="P123" s="1">
        <v>3150</v>
      </c>
      <c r="Q123" s="1" t="s">
        <v>398</v>
      </c>
      <c r="R123" s="1">
        <v>10</v>
      </c>
      <c r="S123" s="18">
        <v>20030</v>
      </c>
      <c r="T123" s="16">
        <v>5.0000000000000001E-3</v>
      </c>
      <c r="V123" s="18" t="s">
        <v>542</v>
      </c>
      <c r="W123" s="18" t="s">
        <v>541</v>
      </c>
      <c r="X123" s="18" t="s">
        <v>543</v>
      </c>
      <c r="Y123" s="84" t="s">
        <v>544</v>
      </c>
      <c r="Z123" s="84"/>
      <c r="AA123" s="18" t="s">
        <v>545</v>
      </c>
      <c r="AB123" s="87" t="s">
        <v>546</v>
      </c>
      <c r="AC123" s="83" t="s">
        <v>405</v>
      </c>
      <c r="AD123" s="85" t="s">
        <v>547</v>
      </c>
      <c r="AE123" s="86" t="s">
        <v>445</v>
      </c>
      <c r="AG123" s="22"/>
    </row>
    <row r="124" spans="1:33" s="1" customFormat="1" ht="49.5" x14ac:dyDescent="0.25">
      <c r="A124" s="13">
        <f t="shared" si="28"/>
        <v>712301</v>
      </c>
      <c r="B124" s="14">
        <v>7123</v>
      </c>
      <c r="C124" s="1" t="s">
        <v>188</v>
      </c>
      <c r="D124" s="1" t="s">
        <v>548</v>
      </c>
      <c r="E124" s="3">
        <v>1</v>
      </c>
      <c r="F124" s="5" t="s">
        <v>396</v>
      </c>
      <c r="G124" s="3">
        <v>3</v>
      </c>
      <c r="H124" s="1">
        <v>7</v>
      </c>
      <c r="I124" s="1">
        <v>2</v>
      </c>
      <c r="J124" s="1" t="s">
        <v>422</v>
      </c>
      <c r="K124" s="1" t="s">
        <v>423</v>
      </c>
      <c r="L124" s="1" t="s">
        <v>533</v>
      </c>
      <c r="M124" s="1">
        <v>3780</v>
      </c>
      <c r="N124" s="1">
        <v>42000</v>
      </c>
      <c r="O124" s="1" t="s">
        <v>425</v>
      </c>
      <c r="P124" s="1">
        <v>1050</v>
      </c>
      <c r="Q124" s="1" t="s">
        <v>398</v>
      </c>
      <c r="R124" s="1">
        <v>10</v>
      </c>
      <c r="S124" s="18">
        <v>19083</v>
      </c>
      <c r="T124" s="16">
        <v>0.01</v>
      </c>
      <c r="V124" s="18" t="s">
        <v>549</v>
      </c>
      <c r="W124" s="18" t="s">
        <v>550</v>
      </c>
      <c r="X124" s="18" t="s">
        <v>551</v>
      </c>
      <c r="Y124" s="84" t="s">
        <v>552</v>
      </c>
      <c r="Z124" s="84"/>
      <c r="AA124" s="18" t="s">
        <v>553</v>
      </c>
      <c r="AB124" s="87" t="s">
        <v>554</v>
      </c>
      <c r="AC124" s="83" t="s">
        <v>405</v>
      </c>
      <c r="AD124" s="85" t="s">
        <v>555</v>
      </c>
      <c r="AE124" s="86" t="s">
        <v>453</v>
      </c>
      <c r="AG124" s="22"/>
    </row>
    <row r="125" spans="1:33" s="1" customFormat="1" ht="49.5" x14ac:dyDescent="0.25">
      <c r="A125" s="13">
        <f t="shared" ref="A125" si="39">B125*100+E125</f>
        <v>712302</v>
      </c>
      <c r="B125" s="14">
        <v>7123</v>
      </c>
      <c r="C125" s="1" t="s">
        <v>188</v>
      </c>
      <c r="D125" s="1" t="s">
        <v>548</v>
      </c>
      <c r="E125" s="3">
        <v>2</v>
      </c>
      <c r="F125" s="5" t="s">
        <v>396</v>
      </c>
      <c r="G125" s="3">
        <v>3</v>
      </c>
      <c r="H125" s="1">
        <v>7</v>
      </c>
      <c r="I125" s="1">
        <v>2</v>
      </c>
      <c r="J125" s="1" t="s">
        <v>422</v>
      </c>
      <c r="K125" s="1" t="s">
        <v>423</v>
      </c>
      <c r="L125" s="1" t="s">
        <v>533</v>
      </c>
      <c r="M125" s="1">
        <v>4536</v>
      </c>
      <c r="N125" s="1">
        <v>50400</v>
      </c>
      <c r="O125" s="1" t="s">
        <v>434</v>
      </c>
      <c r="P125" s="1">
        <v>1260</v>
      </c>
      <c r="Q125" s="1" t="s">
        <v>398</v>
      </c>
      <c r="R125" s="1">
        <v>10</v>
      </c>
      <c r="S125" s="18">
        <v>19083</v>
      </c>
      <c r="T125" s="16">
        <v>0.01</v>
      </c>
      <c r="V125" s="18" t="s">
        <v>549</v>
      </c>
      <c r="W125" s="18" t="s">
        <v>550</v>
      </c>
      <c r="X125" s="18" t="s">
        <v>551</v>
      </c>
      <c r="Y125" s="84" t="s">
        <v>552</v>
      </c>
      <c r="Z125" s="84"/>
      <c r="AA125" s="18" t="s">
        <v>553</v>
      </c>
      <c r="AB125" s="87" t="s">
        <v>554</v>
      </c>
      <c r="AC125" s="83" t="s">
        <v>405</v>
      </c>
      <c r="AD125" s="85" t="s">
        <v>555</v>
      </c>
      <c r="AE125" s="86" t="s">
        <v>453</v>
      </c>
      <c r="AG125" s="22"/>
    </row>
    <row r="126" spans="1:33" s="1" customFormat="1" ht="49.5" x14ac:dyDescent="0.25">
      <c r="A126" s="13">
        <f t="shared" si="28"/>
        <v>712303</v>
      </c>
      <c r="B126" s="14">
        <v>7123</v>
      </c>
      <c r="C126" s="1" t="s">
        <v>188</v>
      </c>
      <c r="D126" s="1" t="s">
        <v>548</v>
      </c>
      <c r="E126" s="3">
        <v>3</v>
      </c>
      <c r="F126" s="5" t="s">
        <v>396</v>
      </c>
      <c r="G126" s="3">
        <v>3</v>
      </c>
      <c r="H126" s="1">
        <v>7</v>
      </c>
      <c r="I126" s="1">
        <v>2</v>
      </c>
      <c r="J126" s="1" t="s">
        <v>422</v>
      </c>
      <c r="K126" s="1" t="s">
        <v>423</v>
      </c>
      <c r="L126" s="1" t="s">
        <v>533</v>
      </c>
      <c r="M126" s="1">
        <v>5670</v>
      </c>
      <c r="N126" s="1">
        <v>63000</v>
      </c>
      <c r="O126" s="1" t="s">
        <v>435</v>
      </c>
      <c r="P126" s="1">
        <v>1575</v>
      </c>
      <c r="Q126" s="1" t="s">
        <v>398</v>
      </c>
      <c r="R126" s="1">
        <v>10</v>
      </c>
      <c r="S126" s="18">
        <v>19083</v>
      </c>
      <c r="T126" s="16">
        <v>0.01</v>
      </c>
      <c r="V126" s="18" t="s">
        <v>549</v>
      </c>
      <c r="W126" s="18" t="s">
        <v>550</v>
      </c>
      <c r="X126" s="18" t="s">
        <v>551</v>
      </c>
      <c r="Y126" s="84" t="s">
        <v>552</v>
      </c>
      <c r="Z126" s="84"/>
      <c r="AA126" s="18" t="s">
        <v>553</v>
      </c>
      <c r="AB126" s="87" t="s">
        <v>554</v>
      </c>
      <c r="AC126" s="83" t="s">
        <v>405</v>
      </c>
      <c r="AD126" s="85" t="s">
        <v>555</v>
      </c>
      <c r="AE126" s="86" t="s">
        <v>453</v>
      </c>
      <c r="AG126" s="22"/>
    </row>
    <row r="127" spans="1:33" s="1" customFormat="1" ht="49.5" x14ac:dyDescent="0.25">
      <c r="A127" s="13">
        <f t="shared" si="28"/>
        <v>712304</v>
      </c>
      <c r="B127" s="14">
        <v>7123</v>
      </c>
      <c r="C127" s="1" t="s">
        <v>188</v>
      </c>
      <c r="D127" s="1" t="s">
        <v>548</v>
      </c>
      <c r="E127" s="3">
        <v>4</v>
      </c>
      <c r="F127" s="5" t="s">
        <v>396</v>
      </c>
      <c r="G127" s="3">
        <v>4</v>
      </c>
      <c r="H127" s="1">
        <v>7</v>
      </c>
      <c r="I127" s="1">
        <v>2</v>
      </c>
      <c r="J127" s="1" t="s">
        <v>422</v>
      </c>
      <c r="K127" s="1" t="s">
        <v>423</v>
      </c>
      <c r="L127" s="1" t="s">
        <v>533</v>
      </c>
      <c r="M127" s="1">
        <v>7560</v>
      </c>
      <c r="N127" s="1">
        <v>73500</v>
      </c>
      <c r="O127" s="1" t="s">
        <v>436</v>
      </c>
      <c r="P127" s="1">
        <v>2100</v>
      </c>
      <c r="Q127" s="1" t="s">
        <v>398</v>
      </c>
      <c r="R127" s="1">
        <v>10</v>
      </c>
      <c r="S127" s="18">
        <v>19083</v>
      </c>
      <c r="T127" s="16">
        <v>0.01</v>
      </c>
      <c r="V127" s="18" t="s">
        <v>549</v>
      </c>
      <c r="W127" s="18" t="s">
        <v>550</v>
      </c>
      <c r="X127" s="18" t="s">
        <v>551</v>
      </c>
      <c r="Y127" s="84" t="s">
        <v>552</v>
      </c>
      <c r="Z127" s="84"/>
      <c r="AA127" s="18" t="s">
        <v>553</v>
      </c>
      <c r="AB127" s="87" t="s">
        <v>554</v>
      </c>
      <c r="AC127" s="83" t="s">
        <v>405</v>
      </c>
      <c r="AD127" s="85" t="s">
        <v>555</v>
      </c>
      <c r="AE127" s="86" t="s">
        <v>453</v>
      </c>
      <c r="AG127" s="22"/>
    </row>
    <row r="128" spans="1:33" s="1" customFormat="1" ht="49.5" x14ac:dyDescent="0.25">
      <c r="A128" s="13">
        <f t="shared" ref="A128" si="40">B128*100+E128</f>
        <v>712305</v>
      </c>
      <c r="B128" s="14">
        <v>7123</v>
      </c>
      <c r="C128" s="1" t="s">
        <v>188</v>
      </c>
      <c r="D128" s="1" t="s">
        <v>548</v>
      </c>
      <c r="E128" s="3">
        <v>5</v>
      </c>
      <c r="F128" s="5" t="s">
        <v>396</v>
      </c>
      <c r="G128" s="3">
        <v>4</v>
      </c>
      <c r="H128" s="1">
        <v>7</v>
      </c>
      <c r="I128" s="1">
        <v>2</v>
      </c>
      <c r="J128" s="1" t="s">
        <v>422</v>
      </c>
      <c r="K128" s="1" t="s">
        <v>423</v>
      </c>
      <c r="L128" s="1" t="s">
        <v>533</v>
      </c>
      <c r="M128" s="1">
        <v>11340</v>
      </c>
      <c r="N128" s="1">
        <v>84000</v>
      </c>
      <c r="O128" s="1" t="s">
        <v>437</v>
      </c>
      <c r="P128" s="1">
        <v>3150</v>
      </c>
      <c r="Q128" s="1" t="s">
        <v>398</v>
      </c>
      <c r="R128" s="1">
        <v>10</v>
      </c>
      <c r="S128" s="18">
        <v>19083</v>
      </c>
      <c r="T128" s="16">
        <v>0.01</v>
      </c>
      <c r="V128" s="18" t="s">
        <v>549</v>
      </c>
      <c r="W128" s="18" t="s">
        <v>550</v>
      </c>
      <c r="X128" s="18" t="s">
        <v>551</v>
      </c>
      <c r="Y128" s="84" t="s">
        <v>552</v>
      </c>
      <c r="Z128" s="84"/>
      <c r="AA128" s="18" t="s">
        <v>553</v>
      </c>
      <c r="AB128" s="87" t="s">
        <v>554</v>
      </c>
      <c r="AC128" s="83" t="s">
        <v>405</v>
      </c>
      <c r="AD128" s="85" t="s">
        <v>555</v>
      </c>
      <c r="AE128" s="86" t="s">
        <v>453</v>
      </c>
      <c r="AG128" s="22"/>
    </row>
    <row r="129" spans="1:33" s="1" customFormat="1" ht="49.5" x14ac:dyDescent="0.25">
      <c r="A129" s="13">
        <f t="shared" si="28"/>
        <v>713101</v>
      </c>
      <c r="B129" s="14">
        <v>7131</v>
      </c>
      <c r="C129" s="1" t="s">
        <v>188</v>
      </c>
      <c r="D129" s="1" t="s">
        <v>516</v>
      </c>
      <c r="E129" s="3">
        <v>1</v>
      </c>
      <c r="F129" s="5" t="s">
        <v>396</v>
      </c>
      <c r="G129" s="3">
        <v>6</v>
      </c>
      <c r="H129" s="1">
        <v>7</v>
      </c>
      <c r="I129" s="1">
        <v>3</v>
      </c>
      <c r="J129" s="1" t="s">
        <v>454</v>
      </c>
      <c r="K129" s="1" t="s">
        <v>455</v>
      </c>
      <c r="L129" s="1" t="s">
        <v>556</v>
      </c>
      <c r="M129" s="1">
        <v>4320</v>
      </c>
      <c r="N129" s="1">
        <v>48000</v>
      </c>
      <c r="O129" s="1" t="s">
        <v>408</v>
      </c>
      <c r="P129" s="1">
        <v>1200</v>
      </c>
      <c r="Q129" s="1" t="s">
        <v>398</v>
      </c>
      <c r="R129" s="1">
        <v>10</v>
      </c>
      <c r="S129" s="18">
        <v>1058</v>
      </c>
      <c r="T129" s="16">
        <v>0.01</v>
      </c>
      <c r="V129" s="18" t="s">
        <v>517</v>
      </c>
      <c r="W129" s="18" t="s">
        <v>518</v>
      </c>
      <c r="X129" s="18" t="s">
        <v>519</v>
      </c>
      <c r="Y129" s="84" t="s">
        <v>520</v>
      </c>
      <c r="Z129" s="84"/>
      <c r="AA129" s="18" t="s">
        <v>521</v>
      </c>
      <c r="AB129" s="18" t="s">
        <v>522</v>
      </c>
      <c r="AC129" s="83" t="s">
        <v>405</v>
      </c>
      <c r="AD129" s="85" t="s">
        <v>523</v>
      </c>
      <c r="AE129" s="86" t="s">
        <v>457</v>
      </c>
      <c r="AG129" s="22"/>
    </row>
    <row r="130" spans="1:33" s="1" customFormat="1" ht="49.5" x14ac:dyDescent="0.25">
      <c r="A130" s="13">
        <f t="shared" si="28"/>
        <v>713102</v>
      </c>
      <c r="B130" s="14">
        <v>7131</v>
      </c>
      <c r="C130" s="1" t="s">
        <v>188</v>
      </c>
      <c r="D130" s="1" t="s">
        <v>516</v>
      </c>
      <c r="E130" s="3">
        <v>2</v>
      </c>
      <c r="F130" s="5" t="s">
        <v>396</v>
      </c>
      <c r="G130" s="3">
        <v>6</v>
      </c>
      <c r="H130" s="1">
        <v>7</v>
      </c>
      <c r="I130" s="1">
        <v>3</v>
      </c>
      <c r="J130" s="1" t="s">
        <v>454</v>
      </c>
      <c r="K130" s="1" t="s">
        <v>455</v>
      </c>
      <c r="L130" s="1" t="s">
        <v>556</v>
      </c>
      <c r="M130" s="1">
        <v>5184</v>
      </c>
      <c r="N130" s="1">
        <v>57600</v>
      </c>
      <c r="O130" s="1" t="s">
        <v>458</v>
      </c>
      <c r="P130" s="1">
        <v>1440</v>
      </c>
      <c r="Q130" s="1" t="s">
        <v>398</v>
      </c>
      <c r="R130" s="1">
        <v>10</v>
      </c>
      <c r="S130" s="18">
        <v>1058</v>
      </c>
      <c r="T130" s="16">
        <v>0.01</v>
      </c>
      <c r="V130" s="18" t="s">
        <v>517</v>
      </c>
      <c r="W130" s="18" t="s">
        <v>518</v>
      </c>
      <c r="X130" s="18" t="s">
        <v>519</v>
      </c>
      <c r="Y130" s="84" t="s">
        <v>520</v>
      </c>
      <c r="Z130" s="84"/>
      <c r="AA130" s="18" t="s">
        <v>521</v>
      </c>
      <c r="AB130" s="18" t="s">
        <v>522</v>
      </c>
      <c r="AC130" s="83" t="s">
        <v>405</v>
      </c>
      <c r="AD130" s="85" t="s">
        <v>523</v>
      </c>
      <c r="AE130" s="86" t="s">
        <v>457</v>
      </c>
      <c r="AG130" s="22"/>
    </row>
    <row r="131" spans="1:33" s="1" customFormat="1" ht="49.5" x14ac:dyDescent="0.25">
      <c r="A131" s="13">
        <f t="shared" si="28"/>
        <v>713103</v>
      </c>
      <c r="B131" s="14">
        <v>7131</v>
      </c>
      <c r="C131" s="1" t="s">
        <v>188</v>
      </c>
      <c r="D131" s="1" t="s">
        <v>516</v>
      </c>
      <c r="E131" s="3">
        <v>3</v>
      </c>
      <c r="F131" s="5" t="s">
        <v>396</v>
      </c>
      <c r="G131" s="3">
        <v>6</v>
      </c>
      <c r="H131" s="1">
        <v>7</v>
      </c>
      <c r="I131" s="1">
        <v>3</v>
      </c>
      <c r="J131" s="1" t="s">
        <v>454</v>
      </c>
      <c r="K131" s="1" t="s">
        <v>455</v>
      </c>
      <c r="L131" s="1" t="s">
        <v>556</v>
      </c>
      <c r="M131" s="1">
        <v>6480</v>
      </c>
      <c r="N131" s="1">
        <v>72000</v>
      </c>
      <c r="O131" s="1" t="s">
        <v>459</v>
      </c>
      <c r="P131" s="1">
        <v>1800</v>
      </c>
      <c r="Q131" s="1" t="s">
        <v>398</v>
      </c>
      <c r="R131" s="1">
        <v>10</v>
      </c>
      <c r="S131" s="18">
        <v>1058</v>
      </c>
      <c r="T131" s="16">
        <v>0.01</v>
      </c>
      <c r="V131" s="18" t="s">
        <v>517</v>
      </c>
      <c r="W131" s="18" t="s">
        <v>518</v>
      </c>
      <c r="X131" s="18" t="s">
        <v>519</v>
      </c>
      <c r="Y131" s="84" t="s">
        <v>520</v>
      </c>
      <c r="Z131" s="84"/>
      <c r="AA131" s="18" t="s">
        <v>521</v>
      </c>
      <c r="AB131" s="18" t="s">
        <v>522</v>
      </c>
      <c r="AC131" s="83" t="s">
        <v>405</v>
      </c>
      <c r="AD131" s="85" t="s">
        <v>523</v>
      </c>
      <c r="AE131" s="86" t="s">
        <v>457</v>
      </c>
      <c r="AG131" s="22"/>
    </row>
    <row r="132" spans="1:33" s="1" customFormat="1" ht="49.5" x14ac:dyDescent="0.25">
      <c r="A132" s="13">
        <f t="shared" ref="A132" si="41">B132*100+E132</f>
        <v>713104</v>
      </c>
      <c r="B132" s="14">
        <v>7131</v>
      </c>
      <c r="C132" s="1" t="s">
        <v>188</v>
      </c>
      <c r="D132" s="1" t="s">
        <v>516</v>
      </c>
      <c r="E132" s="3">
        <v>4</v>
      </c>
      <c r="F132" s="5" t="s">
        <v>396</v>
      </c>
      <c r="G132" s="3">
        <v>7</v>
      </c>
      <c r="H132" s="1">
        <v>7</v>
      </c>
      <c r="I132" s="1">
        <v>3</v>
      </c>
      <c r="J132" s="1" t="s">
        <v>454</v>
      </c>
      <c r="K132" s="1" t="s">
        <v>455</v>
      </c>
      <c r="L132" s="1" t="s">
        <v>556</v>
      </c>
      <c r="M132" s="1">
        <v>8640</v>
      </c>
      <c r="N132" s="1">
        <v>84000</v>
      </c>
      <c r="O132" s="1" t="s">
        <v>460</v>
      </c>
      <c r="P132" s="1">
        <v>2400</v>
      </c>
      <c r="Q132" s="1" t="s">
        <v>398</v>
      </c>
      <c r="R132" s="1">
        <v>10</v>
      </c>
      <c r="S132" s="18">
        <v>1058</v>
      </c>
      <c r="T132" s="16">
        <v>0.01</v>
      </c>
      <c r="V132" s="18" t="s">
        <v>517</v>
      </c>
      <c r="W132" s="18" t="s">
        <v>518</v>
      </c>
      <c r="X132" s="18" t="s">
        <v>519</v>
      </c>
      <c r="Y132" s="84" t="s">
        <v>520</v>
      </c>
      <c r="Z132" s="84"/>
      <c r="AA132" s="18" t="s">
        <v>521</v>
      </c>
      <c r="AB132" s="18" t="s">
        <v>522</v>
      </c>
      <c r="AC132" s="83" t="s">
        <v>405</v>
      </c>
      <c r="AD132" s="85" t="s">
        <v>523</v>
      </c>
      <c r="AE132" s="86" t="s">
        <v>457</v>
      </c>
      <c r="AG132" s="22"/>
    </row>
    <row r="133" spans="1:33" s="1" customFormat="1" ht="49.5" x14ac:dyDescent="0.25">
      <c r="A133" s="13">
        <f t="shared" si="28"/>
        <v>713105</v>
      </c>
      <c r="B133" s="14">
        <v>7131</v>
      </c>
      <c r="C133" s="1" t="s">
        <v>188</v>
      </c>
      <c r="D133" s="1" t="s">
        <v>516</v>
      </c>
      <c r="E133" s="3">
        <v>5</v>
      </c>
      <c r="F133" s="5" t="s">
        <v>396</v>
      </c>
      <c r="G133" s="3">
        <v>7</v>
      </c>
      <c r="H133" s="1">
        <v>7</v>
      </c>
      <c r="I133" s="1">
        <v>3</v>
      </c>
      <c r="J133" s="1" t="s">
        <v>454</v>
      </c>
      <c r="K133" s="1" t="s">
        <v>455</v>
      </c>
      <c r="L133" s="1" t="s">
        <v>556</v>
      </c>
      <c r="M133" s="1">
        <v>12960</v>
      </c>
      <c r="N133" s="1">
        <v>96000</v>
      </c>
      <c r="O133" s="1" t="s">
        <v>461</v>
      </c>
      <c r="P133" s="1">
        <v>3600</v>
      </c>
      <c r="Q133" s="1" t="s">
        <v>398</v>
      </c>
      <c r="R133" s="1">
        <v>10</v>
      </c>
      <c r="S133" s="18">
        <v>1058</v>
      </c>
      <c r="T133" s="16">
        <v>0.01</v>
      </c>
      <c r="V133" s="18" t="s">
        <v>517</v>
      </c>
      <c r="W133" s="18" t="s">
        <v>518</v>
      </c>
      <c r="X133" s="18" t="s">
        <v>519</v>
      </c>
      <c r="Y133" s="84" t="s">
        <v>520</v>
      </c>
      <c r="Z133" s="84"/>
      <c r="AA133" s="18" t="s">
        <v>521</v>
      </c>
      <c r="AB133" s="18" t="s">
        <v>522</v>
      </c>
      <c r="AC133" s="83" t="s">
        <v>405</v>
      </c>
      <c r="AD133" s="85" t="s">
        <v>523</v>
      </c>
      <c r="AE133" s="86" t="s">
        <v>457</v>
      </c>
      <c r="AG133" s="22"/>
    </row>
    <row r="134" spans="1:33" s="1" customFormat="1" ht="49.5" x14ac:dyDescent="0.25">
      <c r="A134" s="13">
        <f t="shared" si="28"/>
        <v>713201</v>
      </c>
      <c r="B134" s="14">
        <v>7132</v>
      </c>
      <c r="C134" s="1" t="s">
        <v>188</v>
      </c>
      <c r="D134" s="1" t="s">
        <v>524</v>
      </c>
      <c r="E134" s="3">
        <v>1</v>
      </c>
      <c r="F134" s="5" t="s">
        <v>396</v>
      </c>
      <c r="G134" s="3">
        <v>6</v>
      </c>
      <c r="H134" s="1">
        <v>7</v>
      </c>
      <c r="I134" s="1">
        <v>3</v>
      </c>
      <c r="J134" s="1" t="s">
        <v>454</v>
      </c>
      <c r="K134" s="1" t="s">
        <v>455</v>
      </c>
      <c r="L134" s="1" t="s">
        <v>556</v>
      </c>
      <c r="M134" s="1">
        <v>4320</v>
      </c>
      <c r="N134" s="1">
        <v>48000</v>
      </c>
      <c r="O134" s="1" t="s">
        <v>408</v>
      </c>
      <c r="P134" s="1">
        <v>1200</v>
      </c>
      <c r="Q134" s="1" t="s">
        <v>398</v>
      </c>
      <c r="R134" s="1">
        <v>10</v>
      </c>
      <c r="S134" s="18">
        <v>1063</v>
      </c>
      <c r="T134" s="16">
        <v>0.01</v>
      </c>
      <c r="V134" s="18" t="s">
        <v>525</v>
      </c>
      <c r="W134" s="18" t="s">
        <v>526</v>
      </c>
      <c r="X134" s="18" t="s">
        <v>527</v>
      </c>
      <c r="Y134" s="84" t="s">
        <v>528</v>
      </c>
      <c r="Z134" s="84"/>
      <c r="AA134" s="18" t="s">
        <v>529</v>
      </c>
      <c r="AB134" s="87" t="s">
        <v>530</v>
      </c>
      <c r="AC134" s="83" t="s">
        <v>405</v>
      </c>
      <c r="AD134" s="85" t="s">
        <v>531</v>
      </c>
      <c r="AE134" s="86" t="s">
        <v>462</v>
      </c>
      <c r="AG134" s="22"/>
    </row>
    <row r="135" spans="1:33" s="1" customFormat="1" ht="49.5" x14ac:dyDescent="0.25">
      <c r="A135" s="13">
        <f t="shared" ref="A135" si="42">B135*100+E135</f>
        <v>713202</v>
      </c>
      <c r="B135" s="14">
        <v>7132</v>
      </c>
      <c r="C135" s="1" t="s">
        <v>188</v>
      </c>
      <c r="D135" s="1" t="s">
        <v>524</v>
      </c>
      <c r="E135" s="3">
        <v>2</v>
      </c>
      <c r="F135" s="5" t="s">
        <v>396</v>
      </c>
      <c r="G135" s="3">
        <v>6</v>
      </c>
      <c r="H135" s="1">
        <v>7</v>
      </c>
      <c r="I135" s="1">
        <v>3</v>
      </c>
      <c r="J135" s="1" t="s">
        <v>454</v>
      </c>
      <c r="K135" s="1" t="s">
        <v>455</v>
      </c>
      <c r="L135" s="1" t="s">
        <v>556</v>
      </c>
      <c r="M135" s="1">
        <v>5184</v>
      </c>
      <c r="N135" s="1">
        <v>57600</v>
      </c>
      <c r="O135" s="1" t="s">
        <v>458</v>
      </c>
      <c r="P135" s="1">
        <v>1440</v>
      </c>
      <c r="Q135" s="1" t="s">
        <v>398</v>
      </c>
      <c r="R135" s="1">
        <v>10</v>
      </c>
      <c r="S135" s="18">
        <v>1063</v>
      </c>
      <c r="T135" s="16">
        <v>0.01</v>
      </c>
      <c r="V135" s="18" t="s">
        <v>525</v>
      </c>
      <c r="W135" s="18" t="s">
        <v>526</v>
      </c>
      <c r="X135" s="18" t="s">
        <v>527</v>
      </c>
      <c r="Y135" s="84" t="s">
        <v>528</v>
      </c>
      <c r="Z135" s="84"/>
      <c r="AA135" s="18" t="s">
        <v>529</v>
      </c>
      <c r="AB135" s="87" t="s">
        <v>530</v>
      </c>
      <c r="AC135" s="83" t="s">
        <v>405</v>
      </c>
      <c r="AD135" s="85" t="s">
        <v>531</v>
      </c>
      <c r="AE135" s="86" t="s">
        <v>462</v>
      </c>
      <c r="AG135" s="22"/>
    </row>
    <row r="136" spans="1:33" s="1" customFormat="1" ht="49.5" x14ac:dyDescent="0.25">
      <c r="A136" s="13">
        <f t="shared" si="28"/>
        <v>713203</v>
      </c>
      <c r="B136" s="14">
        <v>7132</v>
      </c>
      <c r="C136" s="1" t="s">
        <v>188</v>
      </c>
      <c r="D136" s="1" t="s">
        <v>524</v>
      </c>
      <c r="E136" s="3">
        <v>3</v>
      </c>
      <c r="F136" s="5" t="s">
        <v>396</v>
      </c>
      <c r="G136" s="3">
        <v>6</v>
      </c>
      <c r="H136" s="1">
        <v>7</v>
      </c>
      <c r="I136" s="1">
        <v>3</v>
      </c>
      <c r="J136" s="1" t="s">
        <v>454</v>
      </c>
      <c r="K136" s="1" t="s">
        <v>455</v>
      </c>
      <c r="L136" s="1" t="s">
        <v>556</v>
      </c>
      <c r="M136" s="1">
        <v>6480</v>
      </c>
      <c r="N136" s="1">
        <v>72000</v>
      </c>
      <c r="O136" s="1" t="s">
        <v>459</v>
      </c>
      <c r="P136" s="1">
        <v>1800</v>
      </c>
      <c r="Q136" s="1" t="s">
        <v>398</v>
      </c>
      <c r="R136" s="1">
        <v>10</v>
      </c>
      <c r="S136" s="18">
        <v>1063</v>
      </c>
      <c r="T136" s="16">
        <v>0.01</v>
      </c>
      <c r="V136" s="18" t="s">
        <v>525</v>
      </c>
      <c r="W136" s="18" t="s">
        <v>526</v>
      </c>
      <c r="X136" s="18" t="s">
        <v>527</v>
      </c>
      <c r="Y136" s="84" t="s">
        <v>528</v>
      </c>
      <c r="Z136" s="84"/>
      <c r="AA136" s="18" t="s">
        <v>529</v>
      </c>
      <c r="AB136" s="87" t="s">
        <v>530</v>
      </c>
      <c r="AC136" s="83" t="s">
        <v>405</v>
      </c>
      <c r="AD136" s="85" t="s">
        <v>531</v>
      </c>
      <c r="AE136" s="86" t="s">
        <v>462</v>
      </c>
      <c r="AG136" s="22"/>
    </row>
    <row r="137" spans="1:33" s="1" customFormat="1" ht="49.5" x14ac:dyDescent="0.25">
      <c r="A137" s="13">
        <f t="shared" si="28"/>
        <v>713204</v>
      </c>
      <c r="B137" s="14">
        <v>7132</v>
      </c>
      <c r="C137" s="1" t="s">
        <v>188</v>
      </c>
      <c r="D137" s="1" t="s">
        <v>524</v>
      </c>
      <c r="E137" s="3">
        <v>4</v>
      </c>
      <c r="F137" s="5" t="s">
        <v>396</v>
      </c>
      <c r="G137" s="3">
        <v>7</v>
      </c>
      <c r="H137" s="1">
        <v>7</v>
      </c>
      <c r="I137" s="1">
        <v>3</v>
      </c>
      <c r="J137" s="1" t="s">
        <v>454</v>
      </c>
      <c r="K137" s="1" t="s">
        <v>455</v>
      </c>
      <c r="L137" s="1" t="s">
        <v>556</v>
      </c>
      <c r="M137" s="1">
        <v>8640</v>
      </c>
      <c r="N137" s="1">
        <v>84000</v>
      </c>
      <c r="O137" s="1" t="s">
        <v>460</v>
      </c>
      <c r="P137" s="1">
        <v>2400</v>
      </c>
      <c r="Q137" s="1" t="s">
        <v>398</v>
      </c>
      <c r="R137" s="1">
        <v>10</v>
      </c>
      <c r="S137" s="18">
        <v>1063</v>
      </c>
      <c r="T137" s="16">
        <v>0.01</v>
      </c>
      <c r="V137" s="18" t="s">
        <v>525</v>
      </c>
      <c r="W137" s="18" t="s">
        <v>526</v>
      </c>
      <c r="X137" s="18" t="s">
        <v>527</v>
      </c>
      <c r="Y137" s="84" t="s">
        <v>528</v>
      </c>
      <c r="Z137" s="84"/>
      <c r="AA137" s="18" t="s">
        <v>529</v>
      </c>
      <c r="AB137" s="87" t="s">
        <v>530</v>
      </c>
      <c r="AC137" s="83" t="s">
        <v>405</v>
      </c>
      <c r="AD137" s="85" t="s">
        <v>531</v>
      </c>
      <c r="AE137" s="86" t="s">
        <v>462</v>
      </c>
      <c r="AG137" s="22"/>
    </row>
    <row r="138" spans="1:33" s="1" customFormat="1" ht="49.5" x14ac:dyDescent="0.25">
      <c r="A138" s="13">
        <f t="shared" si="28"/>
        <v>713205</v>
      </c>
      <c r="B138" s="14">
        <v>7132</v>
      </c>
      <c r="C138" s="1" t="s">
        <v>188</v>
      </c>
      <c r="D138" s="1" t="s">
        <v>524</v>
      </c>
      <c r="E138" s="3">
        <v>5</v>
      </c>
      <c r="F138" s="5" t="s">
        <v>396</v>
      </c>
      <c r="G138" s="3">
        <v>7</v>
      </c>
      <c r="H138" s="1">
        <v>7</v>
      </c>
      <c r="I138" s="1">
        <v>3</v>
      </c>
      <c r="J138" s="1" t="s">
        <v>454</v>
      </c>
      <c r="K138" s="1" t="s">
        <v>455</v>
      </c>
      <c r="L138" s="1" t="s">
        <v>556</v>
      </c>
      <c r="M138" s="1">
        <v>12960</v>
      </c>
      <c r="N138" s="1">
        <v>96000</v>
      </c>
      <c r="O138" s="1" t="s">
        <v>461</v>
      </c>
      <c r="P138" s="1">
        <v>3600</v>
      </c>
      <c r="Q138" s="1" t="s">
        <v>398</v>
      </c>
      <c r="R138" s="1">
        <v>10</v>
      </c>
      <c r="S138" s="18">
        <v>1063</v>
      </c>
      <c r="T138" s="16">
        <v>0.01</v>
      </c>
      <c r="V138" s="18" t="s">
        <v>525</v>
      </c>
      <c r="W138" s="18" t="s">
        <v>526</v>
      </c>
      <c r="X138" s="18" t="s">
        <v>527</v>
      </c>
      <c r="Y138" s="84" t="s">
        <v>528</v>
      </c>
      <c r="Z138" s="84"/>
      <c r="AA138" s="18" t="s">
        <v>529</v>
      </c>
      <c r="AB138" s="87" t="s">
        <v>530</v>
      </c>
      <c r="AC138" s="83" t="s">
        <v>405</v>
      </c>
      <c r="AD138" s="85" t="s">
        <v>531</v>
      </c>
      <c r="AE138" s="86" t="s">
        <v>462</v>
      </c>
      <c r="AG138" s="22"/>
    </row>
    <row r="139" spans="1:33" s="1" customFormat="1" ht="49.5" x14ac:dyDescent="0.25">
      <c r="A139" s="13">
        <f t="shared" si="28"/>
        <v>714101</v>
      </c>
      <c r="B139" s="14">
        <v>7141</v>
      </c>
      <c r="C139" s="1" t="s">
        <v>188</v>
      </c>
      <c r="D139" s="1" t="s">
        <v>532</v>
      </c>
      <c r="E139" s="3">
        <v>1</v>
      </c>
      <c r="F139" s="5" t="s">
        <v>396</v>
      </c>
      <c r="G139" s="3">
        <v>9</v>
      </c>
      <c r="H139" s="1">
        <v>7</v>
      </c>
      <c r="I139" s="1">
        <v>4</v>
      </c>
      <c r="J139" s="1" t="s">
        <v>463</v>
      </c>
      <c r="K139" s="1" t="s">
        <v>464</v>
      </c>
      <c r="L139" s="1" t="s">
        <v>557</v>
      </c>
      <c r="M139" s="1">
        <v>5040</v>
      </c>
      <c r="N139" s="1">
        <v>56000</v>
      </c>
      <c r="O139" s="1" t="s">
        <v>466</v>
      </c>
      <c r="P139" s="1">
        <v>1400</v>
      </c>
      <c r="Q139" s="1" t="s">
        <v>398</v>
      </c>
      <c r="R139" s="1">
        <v>10</v>
      </c>
      <c r="S139" s="18">
        <v>19082</v>
      </c>
      <c r="T139" s="16">
        <v>0.01</v>
      </c>
      <c r="V139" s="18" t="s">
        <v>534</v>
      </c>
      <c r="W139" s="18" t="s">
        <v>535</v>
      </c>
      <c r="X139" s="18" t="s">
        <v>536</v>
      </c>
      <c r="Y139" s="84" t="s">
        <v>537</v>
      </c>
      <c r="Z139" s="84"/>
      <c r="AA139" s="18" t="s">
        <v>538</v>
      </c>
      <c r="AB139" s="18" t="s">
        <v>539</v>
      </c>
      <c r="AC139" s="83" t="s">
        <v>405</v>
      </c>
      <c r="AD139" s="85" t="s">
        <v>540</v>
      </c>
      <c r="AE139" s="86" t="s">
        <v>467</v>
      </c>
      <c r="AG139" s="22"/>
    </row>
    <row r="140" spans="1:33" s="1" customFormat="1" ht="49.5" x14ac:dyDescent="0.25">
      <c r="A140" s="13">
        <f t="shared" si="28"/>
        <v>714102</v>
      </c>
      <c r="B140" s="14">
        <v>7141</v>
      </c>
      <c r="C140" s="1" t="s">
        <v>188</v>
      </c>
      <c r="D140" s="1" t="s">
        <v>532</v>
      </c>
      <c r="E140" s="3">
        <v>2</v>
      </c>
      <c r="F140" s="5" t="s">
        <v>396</v>
      </c>
      <c r="G140" s="3">
        <v>9</v>
      </c>
      <c r="H140" s="1">
        <v>7</v>
      </c>
      <c r="I140" s="1">
        <v>4</v>
      </c>
      <c r="J140" s="1" t="s">
        <v>463</v>
      </c>
      <c r="K140" s="1" t="s">
        <v>464</v>
      </c>
      <c r="L140" s="1" t="s">
        <v>557</v>
      </c>
      <c r="M140" s="1">
        <v>6048</v>
      </c>
      <c r="N140" s="1">
        <v>67200</v>
      </c>
      <c r="O140" s="1" t="s">
        <v>468</v>
      </c>
      <c r="P140" s="1">
        <v>1680</v>
      </c>
      <c r="Q140" s="1" t="s">
        <v>398</v>
      </c>
      <c r="R140" s="1">
        <v>10</v>
      </c>
      <c r="S140" s="18">
        <v>19082</v>
      </c>
      <c r="T140" s="16">
        <v>0.01</v>
      </c>
      <c r="V140" s="18" t="s">
        <v>534</v>
      </c>
      <c r="W140" s="18" t="s">
        <v>535</v>
      </c>
      <c r="X140" s="18" t="s">
        <v>536</v>
      </c>
      <c r="Y140" s="84" t="s">
        <v>537</v>
      </c>
      <c r="Z140" s="84"/>
      <c r="AA140" s="18" t="s">
        <v>538</v>
      </c>
      <c r="AB140" s="18" t="s">
        <v>539</v>
      </c>
      <c r="AC140" s="83" t="s">
        <v>405</v>
      </c>
      <c r="AD140" s="85" t="s">
        <v>540</v>
      </c>
      <c r="AE140" s="86" t="s">
        <v>467</v>
      </c>
      <c r="AG140" s="22"/>
    </row>
    <row r="141" spans="1:33" s="1" customFormat="1" ht="49.5" x14ac:dyDescent="0.25">
      <c r="A141" s="13">
        <f t="shared" si="28"/>
        <v>714103</v>
      </c>
      <c r="B141" s="14">
        <v>7141</v>
      </c>
      <c r="C141" s="1" t="s">
        <v>188</v>
      </c>
      <c r="D141" s="1" t="s">
        <v>532</v>
      </c>
      <c r="E141" s="3">
        <v>3</v>
      </c>
      <c r="F141" s="5" t="s">
        <v>396</v>
      </c>
      <c r="G141" s="3">
        <v>9</v>
      </c>
      <c r="H141" s="1">
        <v>7</v>
      </c>
      <c r="I141" s="1">
        <v>4</v>
      </c>
      <c r="J141" s="1" t="s">
        <v>463</v>
      </c>
      <c r="K141" s="1" t="s">
        <v>464</v>
      </c>
      <c r="L141" s="1" t="s">
        <v>557</v>
      </c>
      <c r="M141" s="1">
        <v>7560</v>
      </c>
      <c r="N141" s="1">
        <v>84000</v>
      </c>
      <c r="O141" s="1" t="s">
        <v>436</v>
      </c>
      <c r="P141" s="1">
        <v>2100</v>
      </c>
      <c r="Q141" s="1" t="s">
        <v>398</v>
      </c>
      <c r="R141" s="1">
        <v>10</v>
      </c>
      <c r="S141" s="18">
        <v>19082</v>
      </c>
      <c r="T141" s="16">
        <v>0.01</v>
      </c>
      <c r="V141" s="18" t="s">
        <v>534</v>
      </c>
      <c r="W141" s="18" t="s">
        <v>535</v>
      </c>
      <c r="X141" s="18" t="s">
        <v>536</v>
      </c>
      <c r="Y141" s="84" t="s">
        <v>537</v>
      </c>
      <c r="Z141" s="84"/>
      <c r="AA141" s="18" t="s">
        <v>538</v>
      </c>
      <c r="AB141" s="18" t="s">
        <v>539</v>
      </c>
      <c r="AC141" s="83" t="s">
        <v>405</v>
      </c>
      <c r="AD141" s="85" t="s">
        <v>540</v>
      </c>
      <c r="AE141" s="86" t="s">
        <v>467</v>
      </c>
      <c r="AG141" s="22"/>
    </row>
    <row r="142" spans="1:33" s="1" customFormat="1" ht="49.5" x14ac:dyDescent="0.25">
      <c r="A142" s="13">
        <f t="shared" ref="A142:A153" si="43">B142*100+E142</f>
        <v>714104</v>
      </c>
      <c r="B142" s="14">
        <v>7141</v>
      </c>
      <c r="C142" s="1" t="s">
        <v>188</v>
      </c>
      <c r="D142" s="1" t="s">
        <v>532</v>
      </c>
      <c r="E142" s="3">
        <v>4</v>
      </c>
      <c r="F142" s="5" t="s">
        <v>396</v>
      </c>
      <c r="G142" s="3">
        <v>10</v>
      </c>
      <c r="H142" s="1">
        <v>7</v>
      </c>
      <c r="I142" s="1">
        <v>4</v>
      </c>
      <c r="J142" s="1" t="s">
        <v>463</v>
      </c>
      <c r="K142" s="1" t="s">
        <v>464</v>
      </c>
      <c r="L142" s="1" t="s">
        <v>557</v>
      </c>
      <c r="M142" s="1">
        <v>10080</v>
      </c>
      <c r="N142" s="1">
        <v>98000</v>
      </c>
      <c r="O142" s="1" t="s">
        <v>469</v>
      </c>
      <c r="P142" s="1">
        <v>2800</v>
      </c>
      <c r="Q142" s="1" t="s">
        <v>398</v>
      </c>
      <c r="R142" s="1">
        <v>10</v>
      </c>
      <c r="S142" s="18">
        <v>19082</v>
      </c>
      <c r="T142" s="16">
        <v>0.01</v>
      </c>
      <c r="V142" s="18" t="s">
        <v>534</v>
      </c>
      <c r="W142" s="18" t="s">
        <v>535</v>
      </c>
      <c r="X142" s="18" t="s">
        <v>536</v>
      </c>
      <c r="Y142" s="84" t="s">
        <v>537</v>
      </c>
      <c r="Z142" s="84"/>
      <c r="AA142" s="18" t="s">
        <v>538</v>
      </c>
      <c r="AB142" s="18" t="s">
        <v>539</v>
      </c>
      <c r="AC142" s="83" t="s">
        <v>405</v>
      </c>
      <c r="AD142" s="85" t="s">
        <v>540</v>
      </c>
      <c r="AE142" s="86" t="s">
        <v>467</v>
      </c>
      <c r="AG142" s="22"/>
    </row>
    <row r="143" spans="1:33" s="1" customFormat="1" ht="49.5" x14ac:dyDescent="0.25">
      <c r="A143" s="13">
        <f t="shared" si="43"/>
        <v>714105</v>
      </c>
      <c r="B143" s="14">
        <v>7141</v>
      </c>
      <c r="C143" s="1" t="s">
        <v>188</v>
      </c>
      <c r="D143" s="1" t="s">
        <v>532</v>
      </c>
      <c r="E143" s="3">
        <v>5</v>
      </c>
      <c r="F143" s="5" t="s">
        <v>396</v>
      </c>
      <c r="G143" s="3">
        <v>10</v>
      </c>
      <c r="H143" s="1">
        <v>7</v>
      </c>
      <c r="I143" s="1">
        <v>4</v>
      </c>
      <c r="J143" s="1" t="s">
        <v>463</v>
      </c>
      <c r="K143" s="1" t="s">
        <v>464</v>
      </c>
      <c r="L143" s="1" t="s">
        <v>557</v>
      </c>
      <c r="M143" s="1">
        <v>15120</v>
      </c>
      <c r="N143" s="1">
        <v>112000</v>
      </c>
      <c r="O143" s="1" t="s">
        <v>470</v>
      </c>
      <c r="P143" s="1">
        <v>4200</v>
      </c>
      <c r="Q143" s="1" t="s">
        <v>398</v>
      </c>
      <c r="R143" s="1">
        <v>10</v>
      </c>
      <c r="S143" s="18">
        <v>19082</v>
      </c>
      <c r="T143" s="16">
        <v>0.01</v>
      </c>
      <c r="V143" s="18" t="s">
        <v>534</v>
      </c>
      <c r="W143" s="18" t="s">
        <v>535</v>
      </c>
      <c r="X143" s="18" t="s">
        <v>536</v>
      </c>
      <c r="Y143" s="84" t="s">
        <v>537</v>
      </c>
      <c r="Z143" s="84"/>
      <c r="AA143" s="18" t="s">
        <v>538</v>
      </c>
      <c r="AB143" s="18" t="s">
        <v>539</v>
      </c>
      <c r="AC143" s="83" t="s">
        <v>405</v>
      </c>
      <c r="AD143" s="85" t="s">
        <v>540</v>
      </c>
      <c r="AE143" s="86" t="s">
        <v>467</v>
      </c>
      <c r="AG143" s="22"/>
    </row>
    <row r="144" spans="1:33" s="1" customFormat="1" ht="49.5" x14ac:dyDescent="0.25">
      <c r="A144" s="13">
        <f t="shared" si="43"/>
        <v>714201</v>
      </c>
      <c r="B144" s="14">
        <v>7142</v>
      </c>
      <c r="C144" s="1" t="s">
        <v>188</v>
      </c>
      <c r="D144" s="1" t="s">
        <v>541</v>
      </c>
      <c r="E144" s="3">
        <v>1</v>
      </c>
      <c r="F144" s="5" t="s">
        <v>396</v>
      </c>
      <c r="G144" s="3">
        <v>9</v>
      </c>
      <c r="H144" s="1">
        <v>7</v>
      </c>
      <c r="I144" s="1">
        <v>4</v>
      </c>
      <c r="J144" s="1" t="s">
        <v>463</v>
      </c>
      <c r="K144" s="1" t="s">
        <v>464</v>
      </c>
      <c r="L144" s="1" t="s">
        <v>557</v>
      </c>
      <c r="M144" s="1">
        <v>5040</v>
      </c>
      <c r="N144" s="1">
        <v>56000</v>
      </c>
      <c r="O144" s="1" t="s">
        <v>466</v>
      </c>
      <c r="P144" s="1">
        <v>1400</v>
      </c>
      <c r="Q144" s="1" t="s">
        <v>398</v>
      </c>
      <c r="R144" s="1">
        <v>10</v>
      </c>
      <c r="S144" s="18">
        <v>20030</v>
      </c>
      <c r="T144" s="16">
        <v>5.0000000000000001E-3</v>
      </c>
      <c r="V144" s="18" t="s">
        <v>542</v>
      </c>
      <c r="W144" s="18" t="s">
        <v>541</v>
      </c>
      <c r="X144" s="18" t="s">
        <v>543</v>
      </c>
      <c r="Y144" s="84" t="s">
        <v>544</v>
      </c>
      <c r="Z144" s="84"/>
      <c r="AA144" s="18" t="s">
        <v>545</v>
      </c>
      <c r="AB144" s="87" t="s">
        <v>546</v>
      </c>
      <c r="AC144" s="83" t="s">
        <v>405</v>
      </c>
      <c r="AD144" s="85" t="s">
        <v>547</v>
      </c>
      <c r="AE144" s="86" t="s">
        <v>471</v>
      </c>
      <c r="AG144" s="22"/>
    </row>
    <row r="145" spans="1:33" s="1" customFormat="1" ht="49.5" x14ac:dyDescent="0.25">
      <c r="A145" s="13">
        <f t="shared" si="43"/>
        <v>714202</v>
      </c>
      <c r="B145" s="14">
        <v>7142</v>
      </c>
      <c r="C145" s="1" t="s">
        <v>188</v>
      </c>
      <c r="D145" s="1" t="s">
        <v>541</v>
      </c>
      <c r="E145" s="3">
        <v>2</v>
      </c>
      <c r="F145" s="5" t="s">
        <v>396</v>
      </c>
      <c r="G145" s="3">
        <v>9</v>
      </c>
      <c r="H145" s="1">
        <v>7</v>
      </c>
      <c r="I145" s="1">
        <v>4</v>
      </c>
      <c r="J145" s="1" t="s">
        <v>463</v>
      </c>
      <c r="K145" s="1" t="s">
        <v>464</v>
      </c>
      <c r="L145" s="1" t="s">
        <v>557</v>
      </c>
      <c r="M145" s="1">
        <v>6048</v>
      </c>
      <c r="N145" s="1">
        <v>67200</v>
      </c>
      <c r="O145" s="1" t="s">
        <v>468</v>
      </c>
      <c r="P145" s="1">
        <v>1680</v>
      </c>
      <c r="Q145" s="1" t="s">
        <v>398</v>
      </c>
      <c r="R145" s="1">
        <v>10</v>
      </c>
      <c r="S145" s="18">
        <v>20030</v>
      </c>
      <c r="T145" s="16">
        <v>5.0000000000000001E-3</v>
      </c>
      <c r="V145" s="18" t="s">
        <v>542</v>
      </c>
      <c r="W145" s="18" t="s">
        <v>541</v>
      </c>
      <c r="X145" s="18" t="s">
        <v>543</v>
      </c>
      <c r="Y145" s="84" t="s">
        <v>544</v>
      </c>
      <c r="Z145" s="84"/>
      <c r="AA145" s="18" t="s">
        <v>545</v>
      </c>
      <c r="AB145" s="87" t="s">
        <v>546</v>
      </c>
      <c r="AC145" s="83" t="s">
        <v>405</v>
      </c>
      <c r="AD145" s="85" t="s">
        <v>547</v>
      </c>
      <c r="AE145" s="86" t="s">
        <v>471</v>
      </c>
      <c r="AG145" s="22"/>
    </row>
    <row r="146" spans="1:33" s="1" customFormat="1" ht="49.5" x14ac:dyDescent="0.25">
      <c r="A146" s="13">
        <f t="shared" si="43"/>
        <v>714203</v>
      </c>
      <c r="B146" s="14">
        <v>7142</v>
      </c>
      <c r="C146" s="1" t="s">
        <v>188</v>
      </c>
      <c r="D146" s="1" t="s">
        <v>541</v>
      </c>
      <c r="E146" s="3">
        <v>3</v>
      </c>
      <c r="F146" s="5" t="s">
        <v>396</v>
      </c>
      <c r="G146" s="3">
        <v>9</v>
      </c>
      <c r="H146" s="1">
        <v>7</v>
      </c>
      <c r="I146" s="1">
        <v>4</v>
      </c>
      <c r="J146" s="1" t="s">
        <v>463</v>
      </c>
      <c r="K146" s="1" t="s">
        <v>464</v>
      </c>
      <c r="L146" s="1" t="s">
        <v>557</v>
      </c>
      <c r="M146" s="1">
        <v>7560</v>
      </c>
      <c r="N146" s="1">
        <v>84000</v>
      </c>
      <c r="O146" s="1" t="s">
        <v>436</v>
      </c>
      <c r="P146" s="1">
        <v>2100</v>
      </c>
      <c r="Q146" s="1" t="s">
        <v>398</v>
      </c>
      <c r="R146" s="1">
        <v>10</v>
      </c>
      <c r="S146" s="18">
        <v>20030</v>
      </c>
      <c r="T146" s="16">
        <v>5.0000000000000001E-3</v>
      </c>
      <c r="V146" s="18" t="s">
        <v>542</v>
      </c>
      <c r="W146" s="18" t="s">
        <v>541</v>
      </c>
      <c r="X146" s="18" t="s">
        <v>543</v>
      </c>
      <c r="Y146" s="84" t="s">
        <v>544</v>
      </c>
      <c r="Z146" s="84"/>
      <c r="AA146" s="18" t="s">
        <v>545</v>
      </c>
      <c r="AB146" s="87" t="s">
        <v>546</v>
      </c>
      <c r="AC146" s="83" t="s">
        <v>405</v>
      </c>
      <c r="AD146" s="85" t="s">
        <v>547</v>
      </c>
      <c r="AE146" s="86" t="s">
        <v>471</v>
      </c>
      <c r="AG146" s="22"/>
    </row>
    <row r="147" spans="1:33" s="1" customFormat="1" ht="49.5" x14ac:dyDescent="0.25">
      <c r="A147" s="13">
        <f t="shared" si="43"/>
        <v>714204</v>
      </c>
      <c r="B147" s="14">
        <v>7142</v>
      </c>
      <c r="C147" s="1" t="s">
        <v>188</v>
      </c>
      <c r="D147" s="1" t="s">
        <v>541</v>
      </c>
      <c r="E147" s="3">
        <v>4</v>
      </c>
      <c r="F147" s="5" t="s">
        <v>396</v>
      </c>
      <c r="G147" s="3">
        <v>10</v>
      </c>
      <c r="H147" s="1">
        <v>7</v>
      </c>
      <c r="I147" s="1">
        <v>4</v>
      </c>
      <c r="J147" s="1" t="s">
        <v>463</v>
      </c>
      <c r="K147" s="1" t="s">
        <v>464</v>
      </c>
      <c r="L147" s="1" t="s">
        <v>557</v>
      </c>
      <c r="M147" s="1">
        <v>10080</v>
      </c>
      <c r="N147" s="1">
        <v>98000</v>
      </c>
      <c r="O147" s="1" t="s">
        <v>469</v>
      </c>
      <c r="P147" s="1">
        <v>2800</v>
      </c>
      <c r="Q147" s="1" t="s">
        <v>398</v>
      </c>
      <c r="R147" s="1">
        <v>10</v>
      </c>
      <c r="S147" s="18">
        <v>20030</v>
      </c>
      <c r="T147" s="16">
        <v>5.0000000000000001E-3</v>
      </c>
      <c r="V147" s="18" t="s">
        <v>542</v>
      </c>
      <c r="W147" s="18" t="s">
        <v>541</v>
      </c>
      <c r="X147" s="18" t="s">
        <v>543</v>
      </c>
      <c r="Y147" s="84" t="s">
        <v>544</v>
      </c>
      <c r="Z147" s="84"/>
      <c r="AA147" s="18" t="s">
        <v>545</v>
      </c>
      <c r="AB147" s="87" t="s">
        <v>546</v>
      </c>
      <c r="AC147" s="83" t="s">
        <v>405</v>
      </c>
      <c r="AD147" s="85" t="s">
        <v>547</v>
      </c>
      <c r="AE147" s="86" t="s">
        <v>471</v>
      </c>
      <c r="AG147" s="22"/>
    </row>
    <row r="148" spans="1:33" s="1" customFormat="1" ht="49.5" x14ac:dyDescent="0.25">
      <c r="A148" s="13">
        <f t="shared" si="43"/>
        <v>714205</v>
      </c>
      <c r="B148" s="14">
        <v>7142</v>
      </c>
      <c r="C148" s="1" t="s">
        <v>188</v>
      </c>
      <c r="D148" s="1" t="s">
        <v>541</v>
      </c>
      <c r="E148" s="3">
        <v>5</v>
      </c>
      <c r="F148" s="5" t="s">
        <v>396</v>
      </c>
      <c r="G148" s="3">
        <v>10</v>
      </c>
      <c r="H148" s="1">
        <v>7</v>
      </c>
      <c r="I148" s="1">
        <v>4</v>
      </c>
      <c r="J148" s="1" t="s">
        <v>463</v>
      </c>
      <c r="K148" s="1" t="s">
        <v>464</v>
      </c>
      <c r="L148" s="1" t="s">
        <v>557</v>
      </c>
      <c r="M148" s="1">
        <v>15120</v>
      </c>
      <c r="N148" s="1">
        <v>112000</v>
      </c>
      <c r="O148" s="1" t="s">
        <v>470</v>
      </c>
      <c r="P148" s="1">
        <v>4200</v>
      </c>
      <c r="Q148" s="1" t="s">
        <v>398</v>
      </c>
      <c r="R148" s="1">
        <v>10</v>
      </c>
      <c r="S148" s="18">
        <v>20030</v>
      </c>
      <c r="T148" s="16">
        <v>5.0000000000000001E-3</v>
      </c>
      <c r="V148" s="18" t="s">
        <v>542</v>
      </c>
      <c r="W148" s="18" t="s">
        <v>541</v>
      </c>
      <c r="X148" s="18" t="s">
        <v>543</v>
      </c>
      <c r="Y148" s="84" t="s">
        <v>544</v>
      </c>
      <c r="Z148" s="84"/>
      <c r="AA148" s="18" t="s">
        <v>545</v>
      </c>
      <c r="AB148" s="87" t="s">
        <v>546</v>
      </c>
      <c r="AC148" s="83" t="s">
        <v>405</v>
      </c>
      <c r="AD148" s="85" t="s">
        <v>547</v>
      </c>
      <c r="AE148" s="86" t="s">
        <v>471</v>
      </c>
      <c r="AG148" s="22"/>
    </row>
    <row r="149" spans="1:33" s="1" customFormat="1" ht="49.5" x14ac:dyDescent="0.25">
      <c r="A149" s="13">
        <f t="shared" si="43"/>
        <v>714301</v>
      </c>
      <c r="B149" s="14">
        <v>7143</v>
      </c>
      <c r="C149" s="1" t="s">
        <v>188</v>
      </c>
      <c r="D149" s="1" t="s">
        <v>548</v>
      </c>
      <c r="E149" s="3">
        <v>1</v>
      </c>
      <c r="F149" s="5" t="s">
        <v>396</v>
      </c>
      <c r="G149" s="3">
        <v>9</v>
      </c>
      <c r="H149" s="1">
        <v>7</v>
      </c>
      <c r="I149" s="1">
        <v>4</v>
      </c>
      <c r="J149" s="1" t="s">
        <v>463</v>
      </c>
      <c r="K149" s="1" t="s">
        <v>464</v>
      </c>
      <c r="L149" s="1" t="s">
        <v>557</v>
      </c>
      <c r="M149" s="1">
        <v>5040</v>
      </c>
      <c r="N149" s="1">
        <v>56000</v>
      </c>
      <c r="O149" s="1" t="s">
        <v>466</v>
      </c>
      <c r="P149" s="1">
        <v>1400</v>
      </c>
      <c r="Q149" s="1" t="s">
        <v>398</v>
      </c>
      <c r="R149" s="1">
        <v>10</v>
      </c>
      <c r="S149" s="18">
        <v>19083</v>
      </c>
      <c r="T149" s="16">
        <v>0.01</v>
      </c>
      <c r="V149" s="18" t="s">
        <v>549</v>
      </c>
      <c r="W149" s="18" t="s">
        <v>550</v>
      </c>
      <c r="X149" s="18" t="s">
        <v>551</v>
      </c>
      <c r="Y149" s="84" t="s">
        <v>552</v>
      </c>
      <c r="Z149" s="84"/>
      <c r="AA149" s="18" t="s">
        <v>553</v>
      </c>
      <c r="AB149" s="87" t="s">
        <v>554</v>
      </c>
      <c r="AC149" s="83" t="s">
        <v>405</v>
      </c>
      <c r="AD149" s="85" t="s">
        <v>555</v>
      </c>
      <c r="AE149" s="86" t="s">
        <v>472</v>
      </c>
      <c r="AG149" s="22"/>
    </row>
    <row r="150" spans="1:33" s="1" customFormat="1" ht="49.5" x14ac:dyDescent="0.25">
      <c r="A150" s="13">
        <f t="shared" si="43"/>
        <v>714302</v>
      </c>
      <c r="B150" s="14">
        <v>7143</v>
      </c>
      <c r="C150" s="1" t="s">
        <v>188</v>
      </c>
      <c r="D150" s="1" t="s">
        <v>548</v>
      </c>
      <c r="E150" s="3">
        <v>2</v>
      </c>
      <c r="F150" s="5" t="s">
        <v>396</v>
      </c>
      <c r="G150" s="3">
        <v>9</v>
      </c>
      <c r="H150" s="1">
        <v>7</v>
      </c>
      <c r="I150" s="1">
        <v>4</v>
      </c>
      <c r="J150" s="1" t="s">
        <v>463</v>
      </c>
      <c r="K150" s="1" t="s">
        <v>464</v>
      </c>
      <c r="L150" s="1" t="s">
        <v>557</v>
      </c>
      <c r="M150" s="1">
        <v>6048</v>
      </c>
      <c r="N150" s="1">
        <v>67200</v>
      </c>
      <c r="O150" s="1" t="s">
        <v>468</v>
      </c>
      <c r="P150" s="1">
        <v>1680</v>
      </c>
      <c r="Q150" s="1" t="s">
        <v>398</v>
      </c>
      <c r="R150" s="1">
        <v>10</v>
      </c>
      <c r="S150" s="18">
        <v>19083</v>
      </c>
      <c r="T150" s="16">
        <v>0.01</v>
      </c>
      <c r="V150" s="18" t="s">
        <v>549</v>
      </c>
      <c r="W150" s="18" t="s">
        <v>550</v>
      </c>
      <c r="X150" s="18" t="s">
        <v>551</v>
      </c>
      <c r="Y150" s="84" t="s">
        <v>552</v>
      </c>
      <c r="Z150" s="84"/>
      <c r="AA150" s="18" t="s">
        <v>553</v>
      </c>
      <c r="AB150" s="87" t="s">
        <v>554</v>
      </c>
      <c r="AC150" s="83" t="s">
        <v>405</v>
      </c>
      <c r="AD150" s="85" t="s">
        <v>555</v>
      </c>
      <c r="AE150" s="86" t="s">
        <v>472</v>
      </c>
      <c r="AG150" s="22"/>
    </row>
    <row r="151" spans="1:33" s="1" customFormat="1" ht="49.5" x14ac:dyDescent="0.25">
      <c r="A151" s="13">
        <f t="shared" si="43"/>
        <v>714303</v>
      </c>
      <c r="B151" s="14">
        <v>7143</v>
      </c>
      <c r="C151" s="1" t="s">
        <v>188</v>
      </c>
      <c r="D151" s="1" t="s">
        <v>548</v>
      </c>
      <c r="E151" s="3">
        <v>3</v>
      </c>
      <c r="F151" s="5" t="s">
        <v>396</v>
      </c>
      <c r="G151" s="3">
        <v>9</v>
      </c>
      <c r="H151" s="1">
        <v>7</v>
      </c>
      <c r="I151" s="1">
        <v>4</v>
      </c>
      <c r="J151" s="1" t="s">
        <v>463</v>
      </c>
      <c r="K151" s="1" t="s">
        <v>464</v>
      </c>
      <c r="L151" s="1" t="s">
        <v>557</v>
      </c>
      <c r="M151" s="1">
        <v>7560</v>
      </c>
      <c r="N151" s="1">
        <v>84000</v>
      </c>
      <c r="O151" s="1" t="s">
        <v>436</v>
      </c>
      <c r="P151" s="1">
        <v>2100</v>
      </c>
      <c r="Q151" s="1" t="s">
        <v>398</v>
      </c>
      <c r="R151" s="1">
        <v>10</v>
      </c>
      <c r="S151" s="18">
        <v>19083</v>
      </c>
      <c r="T151" s="16">
        <v>0.01</v>
      </c>
      <c r="V151" s="18" t="s">
        <v>549</v>
      </c>
      <c r="W151" s="18" t="s">
        <v>550</v>
      </c>
      <c r="X151" s="18" t="s">
        <v>551</v>
      </c>
      <c r="Y151" s="84" t="s">
        <v>552</v>
      </c>
      <c r="Z151" s="84"/>
      <c r="AA151" s="18" t="s">
        <v>553</v>
      </c>
      <c r="AB151" s="87" t="s">
        <v>554</v>
      </c>
      <c r="AC151" s="83" t="s">
        <v>405</v>
      </c>
      <c r="AD151" s="85" t="s">
        <v>555</v>
      </c>
      <c r="AE151" s="86" t="s">
        <v>472</v>
      </c>
      <c r="AG151" s="22"/>
    </row>
    <row r="152" spans="1:33" s="1" customFormat="1" ht="49.5" x14ac:dyDescent="0.25">
      <c r="A152" s="13">
        <f t="shared" si="43"/>
        <v>714304</v>
      </c>
      <c r="B152" s="14">
        <v>7143</v>
      </c>
      <c r="C152" s="1" t="s">
        <v>188</v>
      </c>
      <c r="D152" s="1" t="s">
        <v>548</v>
      </c>
      <c r="E152" s="3">
        <v>4</v>
      </c>
      <c r="F152" s="5" t="s">
        <v>396</v>
      </c>
      <c r="G152" s="3">
        <v>10</v>
      </c>
      <c r="H152" s="1">
        <v>7</v>
      </c>
      <c r="I152" s="1">
        <v>4</v>
      </c>
      <c r="J152" s="1" t="s">
        <v>463</v>
      </c>
      <c r="K152" s="1" t="s">
        <v>464</v>
      </c>
      <c r="L152" s="1" t="s">
        <v>557</v>
      </c>
      <c r="M152" s="1">
        <v>10080</v>
      </c>
      <c r="N152" s="1">
        <v>98000</v>
      </c>
      <c r="O152" s="1" t="s">
        <v>469</v>
      </c>
      <c r="P152" s="1">
        <v>2800</v>
      </c>
      <c r="Q152" s="1" t="s">
        <v>398</v>
      </c>
      <c r="R152" s="1">
        <v>10</v>
      </c>
      <c r="S152" s="18">
        <v>19083</v>
      </c>
      <c r="T152" s="16">
        <v>0.01</v>
      </c>
      <c r="V152" s="18" t="s">
        <v>549</v>
      </c>
      <c r="W152" s="18" t="s">
        <v>550</v>
      </c>
      <c r="X152" s="18" t="s">
        <v>551</v>
      </c>
      <c r="Y152" s="84" t="s">
        <v>552</v>
      </c>
      <c r="Z152" s="84"/>
      <c r="AA152" s="18" t="s">
        <v>553</v>
      </c>
      <c r="AB152" s="87" t="s">
        <v>554</v>
      </c>
      <c r="AC152" s="83" t="s">
        <v>405</v>
      </c>
      <c r="AD152" s="85" t="s">
        <v>555</v>
      </c>
      <c r="AE152" s="86" t="s">
        <v>472</v>
      </c>
      <c r="AG152" s="22"/>
    </row>
    <row r="153" spans="1:33" s="1" customFormat="1" ht="49.5" x14ac:dyDescent="0.25">
      <c r="A153" s="13">
        <f t="shared" si="43"/>
        <v>714305</v>
      </c>
      <c r="B153" s="14">
        <v>7143</v>
      </c>
      <c r="C153" s="1" t="s">
        <v>188</v>
      </c>
      <c r="D153" s="1" t="s">
        <v>548</v>
      </c>
      <c r="E153" s="3">
        <v>5</v>
      </c>
      <c r="F153" s="5" t="s">
        <v>396</v>
      </c>
      <c r="G153" s="3">
        <v>10</v>
      </c>
      <c r="H153" s="1">
        <v>7</v>
      </c>
      <c r="I153" s="1">
        <v>4</v>
      </c>
      <c r="J153" s="1" t="s">
        <v>463</v>
      </c>
      <c r="K153" s="1" t="s">
        <v>464</v>
      </c>
      <c r="L153" s="1" t="s">
        <v>557</v>
      </c>
      <c r="M153" s="1">
        <v>15120</v>
      </c>
      <c r="N153" s="1">
        <v>112000</v>
      </c>
      <c r="O153" s="1" t="s">
        <v>470</v>
      </c>
      <c r="P153" s="1">
        <v>4200</v>
      </c>
      <c r="Q153" s="1" t="s">
        <v>398</v>
      </c>
      <c r="R153" s="1">
        <v>10</v>
      </c>
      <c r="S153" s="18">
        <v>19083</v>
      </c>
      <c r="T153" s="16">
        <v>0.01</v>
      </c>
      <c r="V153" s="18" t="s">
        <v>549</v>
      </c>
      <c r="W153" s="18" t="s">
        <v>550</v>
      </c>
      <c r="X153" s="18" t="s">
        <v>551</v>
      </c>
      <c r="Y153" s="84" t="s">
        <v>552</v>
      </c>
      <c r="Z153" s="84"/>
      <c r="AA153" s="18" t="s">
        <v>553</v>
      </c>
      <c r="AB153" s="87" t="s">
        <v>554</v>
      </c>
      <c r="AC153" s="83" t="s">
        <v>405</v>
      </c>
      <c r="AD153" s="85" t="s">
        <v>555</v>
      </c>
      <c r="AE153" s="86" t="s">
        <v>472</v>
      </c>
      <c r="AG153" s="22"/>
    </row>
    <row r="154" spans="1:33" s="1" customFormat="1" ht="49.5" x14ac:dyDescent="0.25">
      <c r="A154" s="13">
        <f t="shared" ref="A154" si="44">B154*100+E154</f>
        <v>811101</v>
      </c>
      <c r="B154" s="14">
        <v>8111</v>
      </c>
      <c r="C154" s="1" t="s">
        <v>558</v>
      </c>
      <c r="D154" s="12" t="s">
        <v>559</v>
      </c>
      <c r="E154" s="3">
        <v>1</v>
      </c>
      <c r="F154" s="5" t="s">
        <v>396</v>
      </c>
      <c r="G154" s="3">
        <v>1</v>
      </c>
      <c r="H154" s="1">
        <v>8</v>
      </c>
      <c r="I154" s="1">
        <v>1</v>
      </c>
      <c r="M154" s="1">
        <v>3600</v>
      </c>
      <c r="N154" s="1">
        <v>40000</v>
      </c>
      <c r="O154" s="1" t="s">
        <v>397</v>
      </c>
      <c r="P154" s="1">
        <v>1000</v>
      </c>
      <c r="Q154" s="1" t="s">
        <v>398</v>
      </c>
      <c r="R154" s="1">
        <v>10</v>
      </c>
      <c r="S154" s="18">
        <v>1059</v>
      </c>
      <c r="T154" s="16">
        <v>0.01</v>
      </c>
      <c r="V154" s="18" t="s">
        <v>560</v>
      </c>
      <c r="W154" s="18" t="s">
        <v>561</v>
      </c>
      <c r="X154" s="18" t="s">
        <v>562</v>
      </c>
      <c r="Y154" s="84" t="s">
        <v>563</v>
      </c>
      <c r="Z154" s="84"/>
      <c r="AA154" s="18" t="s">
        <v>564</v>
      </c>
      <c r="AB154" s="18" t="s">
        <v>565</v>
      </c>
      <c r="AC154" s="83" t="s">
        <v>405</v>
      </c>
      <c r="AD154" s="85" t="s">
        <v>566</v>
      </c>
      <c r="AE154" s="86" t="s">
        <v>407</v>
      </c>
      <c r="AG154" s="22"/>
    </row>
    <row r="155" spans="1:33" s="1" customFormat="1" ht="49.5" x14ac:dyDescent="0.25">
      <c r="A155" s="13">
        <f t="shared" ref="A155:A192" si="45">B155*100+E155</f>
        <v>811102</v>
      </c>
      <c r="B155" s="14">
        <v>8111</v>
      </c>
      <c r="C155" s="1" t="s">
        <v>558</v>
      </c>
      <c r="D155" s="12" t="s">
        <v>559</v>
      </c>
      <c r="E155" s="3">
        <v>2</v>
      </c>
      <c r="F155" s="5" t="s">
        <v>396</v>
      </c>
      <c r="G155" s="3">
        <v>1</v>
      </c>
      <c r="H155" s="1">
        <v>8</v>
      </c>
      <c r="I155" s="1">
        <v>1</v>
      </c>
      <c r="M155" s="1">
        <v>4320</v>
      </c>
      <c r="N155" s="1">
        <v>48000</v>
      </c>
      <c r="O155" s="1" t="s">
        <v>408</v>
      </c>
      <c r="P155" s="1">
        <v>1200</v>
      </c>
      <c r="Q155" s="1" t="s">
        <v>398</v>
      </c>
      <c r="R155" s="1">
        <v>10</v>
      </c>
      <c r="S155" s="18">
        <v>1059</v>
      </c>
      <c r="T155" s="16">
        <v>0.01</v>
      </c>
      <c r="V155" s="18" t="s">
        <v>560</v>
      </c>
      <c r="W155" s="18" t="s">
        <v>561</v>
      </c>
      <c r="X155" s="18" t="s">
        <v>562</v>
      </c>
      <c r="Y155" s="84" t="s">
        <v>563</v>
      </c>
      <c r="Z155" s="84"/>
      <c r="AA155" s="18" t="s">
        <v>564</v>
      </c>
      <c r="AB155" s="18" t="s">
        <v>565</v>
      </c>
      <c r="AC155" s="83" t="s">
        <v>405</v>
      </c>
      <c r="AD155" s="85" t="s">
        <v>566</v>
      </c>
      <c r="AE155" s="86" t="s">
        <v>407</v>
      </c>
      <c r="AG155" s="22"/>
    </row>
    <row r="156" spans="1:33" s="1" customFormat="1" ht="49.5" x14ac:dyDescent="0.25">
      <c r="A156" s="13">
        <f t="shared" ref="A156" si="46">B156*100+E156</f>
        <v>811103</v>
      </c>
      <c r="B156" s="14">
        <v>8111</v>
      </c>
      <c r="C156" s="1" t="s">
        <v>558</v>
      </c>
      <c r="D156" s="12" t="s">
        <v>559</v>
      </c>
      <c r="E156" s="3">
        <v>3</v>
      </c>
      <c r="F156" s="5" t="s">
        <v>396</v>
      </c>
      <c r="G156" s="3">
        <v>1</v>
      </c>
      <c r="H156" s="1">
        <v>8</v>
      </c>
      <c r="I156" s="1">
        <v>1</v>
      </c>
      <c r="M156" s="1">
        <v>5400</v>
      </c>
      <c r="N156" s="1">
        <v>60000</v>
      </c>
      <c r="O156" s="1" t="s">
        <v>409</v>
      </c>
      <c r="P156" s="1">
        <v>1500</v>
      </c>
      <c r="Q156" s="1" t="s">
        <v>398</v>
      </c>
      <c r="R156" s="1">
        <v>10</v>
      </c>
      <c r="S156" s="18">
        <v>1059</v>
      </c>
      <c r="T156" s="16">
        <v>0.01</v>
      </c>
      <c r="V156" s="18" t="s">
        <v>560</v>
      </c>
      <c r="W156" s="18" t="s">
        <v>561</v>
      </c>
      <c r="X156" s="18" t="s">
        <v>562</v>
      </c>
      <c r="Y156" s="84" t="s">
        <v>563</v>
      </c>
      <c r="Z156" s="84"/>
      <c r="AA156" s="18" t="s">
        <v>564</v>
      </c>
      <c r="AB156" s="18" t="s">
        <v>565</v>
      </c>
      <c r="AC156" s="83" t="s">
        <v>405</v>
      </c>
      <c r="AD156" s="85" t="s">
        <v>566</v>
      </c>
      <c r="AE156" s="86" t="s">
        <v>407</v>
      </c>
      <c r="AG156" s="22"/>
    </row>
    <row r="157" spans="1:33" s="1" customFormat="1" ht="49.5" x14ac:dyDescent="0.25">
      <c r="A157" s="13">
        <f t="shared" ref="A157" si="47">B157*100+E157</f>
        <v>811104</v>
      </c>
      <c r="B157" s="14">
        <v>8111</v>
      </c>
      <c r="C157" s="1" t="s">
        <v>558</v>
      </c>
      <c r="D157" s="12" t="s">
        <v>559</v>
      </c>
      <c r="E157" s="3">
        <v>4</v>
      </c>
      <c r="F157" s="5" t="s">
        <v>396</v>
      </c>
      <c r="G157" s="3">
        <v>2</v>
      </c>
      <c r="H157" s="1">
        <v>8</v>
      </c>
      <c r="I157" s="1">
        <v>1</v>
      </c>
      <c r="M157" s="1">
        <v>7200</v>
      </c>
      <c r="N157" s="1">
        <v>70000</v>
      </c>
      <c r="O157" s="1" t="s">
        <v>410</v>
      </c>
      <c r="P157" s="1">
        <v>2000</v>
      </c>
      <c r="Q157" s="1" t="s">
        <v>398</v>
      </c>
      <c r="R157" s="1">
        <v>10</v>
      </c>
      <c r="S157" s="18">
        <v>1059</v>
      </c>
      <c r="T157" s="16">
        <v>0.01</v>
      </c>
      <c r="V157" s="18" t="s">
        <v>560</v>
      </c>
      <c r="W157" s="18" t="s">
        <v>561</v>
      </c>
      <c r="X157" s="18" t="s">
        <v>562</v>
      </c>
      <c r="Y157" s="84" t="s">
        <v>563</v>
      </c>
      <c r="Z157" s="84"/>
      <c r="AA157" s="18" t="s">
        <v>564</v>
      </c>
      <c r="AB157" s="18" t="s">
        <v>565</v>
      </c>
      <c r="AC157" s="83" t="s">
        <v>405</v>
      </c>
      <c r="AD157" s="85" t="s">
        <v>566</v>
      </c>
      <c r="AE157" s="86" t="s">
        <v>407</v>
      </c>
      <c r="AG157" s="22"/>
    </row>
    <row r="158" spans="1:33" s="1" customFormat="1" ht="49.5" x14ac:dyDescent="0.25">
      <c r="A158" s="13">
        <f t="shared" si="45"/>
        <v>811105</v>
      </c>
      <c r="B158" s="14">
        <v>8111</v>
      </c>
      <c r="C158" s="1" t="s">
        <v>558</v>
      </c>
      <c r="D158" s="12" t="s">
        <v>559</v>
      </c>
      <c r="E158" s="3">
        <v>5</v>
      </c>
      <c r="F158" s="5" t="s">
        <v>396</v>
      </c>
      <c r="G158" s="3">
        <v>2</v>
      </c>
      <c r="H158" s="1">
        <v>8</v>
      </c>
      <c r="I158" s="1">
        <v>1</v>
      </c>
      <c r="M158" s="1">
        <v>10800</v>
      </c>
      <c r="N158" s="1">
        <v>80000</v>
      </c>
      <c r="O158" s="1" t="s">
        <v>411</v>
      </c>
      <c r="P158" s="1">
        <v>3000</v>
      </c>
      <c r="Q158" s="1" t="s">
        <v>398</v>
      </c>
      <c r="R158" s="1">
        <v>10</v>
      </c>
      <c r="S158" s="18">
        <v>1059</v>
      </c>
      <c r="T158" s="16">
        <v>0.01</v>
      </c>
      <c r="V158" s="18" t="s">
        <v>560</v>
      </c>
      <c r="W158" s="18" t="s">
        <v>561</v>
      </c>
      <c r="X158" s="18" t="s">
        <v>562</v>
      </c>
      <c r="Y158" s="84" t="s">
        <v>563</v>
      </c>
      <c r="Z158" s="84"/>
      <c r="AA158" s="18" t="s">
        <v>564</v>
      </c>
      <c r="AB158" s="18" t="s">
        <v>565</v>
      </c>
      <c r="AC158" s="83" t="s">
        <v>405</v>
      </c>
      <c r="AD158" s="85" t="s">
        <v>566</v>
      </c>
      <c r="AE158" s="86" t="s">
        <v>407</v>
      </c>
      <c r="AG158" s="22"/>
    </row>
    <row r="159" spans="1:33" s="1" customFormat="1" ht="49.5" x14ac:dyDescent="0.25">
      <c r="A159" s="13">
        <f t="shared" ref="A159" si="48">B159*100+E159</f>
        <v>811201</v>
      </c>
      <c r="B159" s="14">
        <v>8112</v>
      </c>
      <c r="C159" s="1" t="s">
        <v>558</v>
      </c>
      <c r="D159" s="15" t="s">
        <v>567</v>
      </c>
      <c r="E159" s="3">
        <v>1</v>
      </c>
      <c r="F159" s="5" t="s">
        <v>396</v>
      </c>
      <c r="G159" s="3">
        <v>1</v>
      </c>
      <c r="H159" s="1">
        <v>8</v>
      </c>
      <c r="I159" s="1">
        <v>1</v>
      </c>
      <c r="M159" s="1">
        <v>3600</v>
      </c>
      <c r="N159" s="1">
        <v>40000</v>
      </c>
      <c r="O159" s="1" t="s">
        <v>397</v>
      </c>
      <c r="P159" s="1">
        <v>1000</v>
      </c>
      <c r="Q159" s="1" t="s">
        <v>398</v>
      </c>
      <c r="R159" s="1">
        <v>10</v>
      </c>
      <c r="S159" s="18">
        <v>1064</v>
      </c>
      <c r="T159" s="16">
        <v>0.01</v>
      </c>
      <c r="V159" s="18" t="s">
        <v>568</v>
      </c>
      <c r="W159" s="18" t="s">
        <v>569</v>
      </c>
      <c r="X159" s="18" t="s">
        <v>570</v>
      </c>
      <c r="Y159" s="84" t="s">
        <v>571</v>
      </c>
      <c r="Z159" s="84"/>
      <c r="AA159" s="18" t="s">
        <v>572</v>
      </c>
      <c r="AB159" s="87" t="s">
        <v>573</v>
      </c>
      <c r="AC159" s="83" t="s">
        <v>405</v>
      </c>
      <c r="AD159" s="85" t="s">
        <v>574</v>
      </c>
      <c r="AE159" s="86" t="s">
        <v>420</v>
      </c>
      <c r="AG159" s="22"/>
    </row>
    <row r="160" spans="1:33" s="1" customFormat="1" ht="49.5" x14ac:dyDescent="0.25">
      <c r="A160" s="13">
        <f t="shared" si="45"/>
        <v>811202</v>
      </c>
      <c r="B160" s="14">
        <v>8112</v>
      </c>
      <c r="C160" s="1" t="s">
        <v>558</v>
      </c>
      <c r="D160" s="15" t="s">
        <v>567</v>
      </c>
      <c r="E160" s="3">
        <v>2</v>
      </c>
      <c r="F160" s="5" t="s">
        <v>396</v>
      </c>
      <c r="G160" s="3">
        <v>1</v>
      </c>
      <c r="H160" s="1">
        <v>8</v>
      </c>
      <c r="I160" s="1">
        <v>1</v>
      </c>
      <c r="M160" s="1">
        <v>4320</v>
      </c>
      <c r="N160" s="1">
        <v>48000</v>
      </c>
      <c r="O160" s="1" t="s">
        <v>408</v>
      </c>
      <c r="P160" s="1">
        <v>1200</v>
      </c>
      <c r="Q160" s="1" t="s">
        <v>398</v>
      </c>
      <c r="R160" s="1">
        <v>10</v>
      </c>
      <c r="S160" s="18">
        <v>1064</v>
      </c>
      <c r="T160" s="16">
        <v>0.01</v>
      </c>
      <c r="V160" s="18" t="s">
        <v>568</v>
      </c>
      <c r="W160" s="18" t="s">
        <v>569</v>
      </c>
      <c r="X160" s="18" t="s">
        <v>570</v>
      </c>
      <c r="Y160" s="84" t="s">
        <v>571</v>
      </c>
      <c r="Z160" s="84"/>
      <c r="AA160" s="18" t="s">
        <v>572</v>
      </c>
      <c r="AB160" s="87" t="s">
        <v>573</v>
      </c>
      <c r="AC160" s="83" t="s">
        <v>405</v>
      </c>
      <c r="AD160" s="85" t="s">
        <v>574</v>
      </c>
      <c r="AE160" s="86" t="s">
        <v>420</v>
      </c>
      <c r="AG160" s="22"/>
    </row>
    <row r="161" spans="1:33" s="1" customFormat="1" ht="49.5" x14ac:dyDescent="0.25">
      <c r="A161" s="13">
        <f t="shared" ref="A161" si="49">B161*100+E161</f>
        <v>811203</v>
      </c>
      <c r="B161" s="14">
        <v>8112</v>
      </c>
      <c r="C161" s="1" t="s">
        <v>558</v>
      </c>
      <c r="D161" s="15" t="s">
        <v>567</v>
      </c>
      <c r="E161" s="3">
        <v>3</v>
      </c>
      <c r="F161" s="5" t="s">
        <v>396</v>
      </c>
      <c r="G161" s="3">
        <v>1</v>
      </c>
      <c r="H161" s="1">
        <v>8</v>
      </c>
      <c r="I161" s="1">
        <v>1</v>
      </c>
      <c r="M161" s="1">
        <v>5400</v>
      </c>
      <c r="N161" s="1">
        <v>60000</v>
      </c>
      <c r="O161" s="1" t="s">
        <v>409</v>
      </c>
      <c r="P161" s="1">
        <v>1500</v>
      </c>
      <c r="Q161" s="1" t="s">
        <v>398</v>
      </c>
      <c r="R161" s="1">
        <v>10</v>
      </c>
      <c r="S161" s="18">
        <v>1064</v>
      </c>
      <c r="T161" s="16">
        <v>0.01</v>
      </c>
      <c r="V161" s="18" t="s">
        <v>568</v>
      </c>
      <c r="W161" s="18" t="s">
        <v>569</v>
      </c>
      <c r="X161" s="18" t="s">
        <v>570</v>
      </c>
      <c r="Y161" s="84" t="s">
        <v>571</v>
      </c>
      <c r="Z161" s="84"/>
      <c r="AA161" s="18" t="s">
        <v>572</v>
      </c>
      <c r="AB161" s="87" t="s">
        <v>573</v>
      </c>
      <c r="AC161" s="83" t="s">
        <v>405</v>
      </c>
      <c r="AD161" s="85" t="s">
        <v>574</v>
      </c>
      <c r="AE161" s="86" t="s">
        <v>420</v>
      </c>
      <c r="AG161" s="22"/>
    </row>
    <row r="162" spans="1:33" s="1" customFormat="1" ht="49.5" x14ac:dyDescent="0.25">
      <c r="A162" s="13">
        <f t="shared" ref="A162" si="50">B162*100+E162</f>
        <v>811204</v>
      </c>
      <c r="B162" s="14">
        <v>8112</v>
      </c>
      <c r="C162" s="1" t="s">
        <v>558</v>
      </c>
      <c r="D162" s="15" t="s">
        <v>567</v>
      </c>
      <c r="E162" s="3">
        <v>4</v>
      </c>
      <c r="F162" s="5" t="s">
        <v>396</v>
      </c>
      <c r="G162" s="3">
        <v>2</v>
      </c>
      <c r="H162" s="1">
        <v>8</v>
      </c>
      <c r="I162" s="1">
        <v>1</v>
      </c>
      <c r="M162" s="1">
        <v>7200</v>
      </c>
      <c r="N162" s="1">
        <v>70000</v>
      </c>
      <c r="O162" s="1" t="s">
        <v>410</v>
      </c>
      <c r="P162" s="1">
        <v>2000</v>
      </c>
      <c r="Q162" s="1" t="s">
        <v>398</v>
      </c>
      <c r="R162" s="1">
        <v>10</v>
      </c>
      <c r="S162" s="18">
        <v>1064</v>
      </c>
      <c r="T162" s="16">
        <v>0.01</v>
      </c>
      <c r="V162" s="18" t="s">
        <v>568</v>
      </c>
      <c r="W162" s="18" t="s">
        <v>569</v>
      </c>
      <c r="X162" s="18" t="s">
        <v>570</v>
      </c>
      <c r="Y162" s="84" t="s">
        <v>571</v>
      </c>
      <c r="Z162" s="84"/>
      <c r="AA162" s="18" t="s">
        <v>572</v>
      </c>
      <c r="AB162" s="87" t="s">
        <v>573</v>
      </c>
      <c r="AC162" s="83" t="s">
        <v>405</v>
      </c>
      <c r="AD162" s="85" t="s">
        <v>574</v>
      </c>
      <c r="AE162" s="86" t="s">
        <v>420</v>
      </c>
      <c r="AG162" s="22"/>
    </row>
    <row r="163" spans="1:33" s="1" customFormat="1" ht="49.5" x14ac:dyDescent="0.25">
      <c r="A163" s="13">
        <f t="shared" si="45"/>
        <v>811205</v>
      </c>
      <c r="B163" s="14">
        <v>8112</v>
      </c>
      <c r="C163" s="1" t="s">
        <v>558</v>
      </c>
      <c r="D163" s="15" t="s">
        <v>567</v>
      </c>
      <c r="E163" s="3">
        <v>5</v>
      </c>
      <c r="F163" s="5" t="s">
        <v>396</v>
      </c>
      <c r="G163" s="3">
        <v>2</v>
      </c>
      <c r="H163" s="1">
        <v>8</v>
      </c>
      <c r="I163" s="1">
        <v>1</v>
      </c>
      <c r="M163" s="1">
        <v>10800</v>
      </c>
      <c r="N163" s="1">
        <v>80000</v>
      </c>
      <c r="O163" s="1" t="s">
        <v>411</v>
      </c>
      <c r="P163" s="1">
        <v>3000</v>
      </c>
      <c r="Q163" s="1" t="s">
        <v>398</v>
      </c>
      <c r="R163" s="1">
        <v>10</v>
      </c>
      <c r="S163" s="18">
        <v>1064</v>
      </c>
      <c r="T163" s="16">
        <v>0.01</v>
      </c>
      <c r="V163" s="18" t="s">
        <v>568</v>
      </c>
      <c r="W163" s="18" t="s">
        <v>569</v>
      </c>
      <c r="X163" s="18" t="s">
        <v>570</v>
      </c>
      <c r="Y163" s="84" t="s">
        <v>571</v>
      </c>
      <c r="Z163" s="84"/>
      <c r="AA163" s="18" t="s">
        <v>572</v>
      </c>
      <c r="AB163" s="87" t="s">
        <v>573</v>
      </c>
      <c r="AC163" s="83" t="s">
        <v>405</v>
      </c>
      <c r="AD163" s="85" t="s">
        <v>574</v>
      </c>
      <c r="AE163" s="86" t="s">
        <v>420</v>
      </c>
      <c r="AG163" s="22"/>
    </row>
    <row r="164" spans="1:33" s="1" customFormat="1" ht="49.5" x14ac:dyDescent="0.25">
      <c r="A164" s="13">
        <f t="shared" si="45"/>
        <v>812101</v>
      </c>
      <c r="B164" s="14">
        <v>8121</v>
      </c>
      <c r="C164" s="1" t="s">
        <v>558</v>
      </c>
      <c r="D164" s="12" t="s">
        <v>575</v>
      </c>
      <c r="E164" s="3">
        <v>1</v>
      </c>
      <c r="F164" s="5" t="s">
        <v>396</v>
      </c>
      <c r="G164" s="3">
        <v>3</v>
      </c>
      <c r="H164" s="1">
        <v>8</v>
      </c>
      <c r="I164" s="1">
        <v>2</v>
      </c>
      <c r="J164" s="1" t="s">
        <v>422</v>
      </c>
      <c r="K164" s="1" t="s">
        <v>423</v>
      </c>
      <c r="L164" s="1" t="s">
        <v>576</v>
      </c>
      <c r="M164" s="1">
        <v>3780</v>
      </c>
      <c r="N164" s="1">
        <v>42000</v>
      </c>
      <c r="O164" s="1" t="s">
        <v>425</v>
      </c>
      <c r="P164" s="1">
        <v>1050</v>
      </c>
      <c r="Q164" s="1" t="s">
        <v>398</v>
      </c>
      <c r="R164" s="1">
        <v>10</v>
      </c>
      <c r="S164" s="18">
        <v>6030</v>
      </c>
      <c r="T164" s="16">
        <v>5.0000000000000001E-3</v>
      </c>
      <c r="V164" s="18" t="s">
        <v>577</v>
      </c>
      <c r="W164" s="18" t="s">
        <v>578</v>
      </c>
      <c r="X164" s="18" t="s">
        <v>579</v>
      </c>
      <c r="Y164" s="84" t="s">
        <v>580</v>
      </c>
      <c r="Z164" s="84"/>
      <c r="AA164" s="18" t="s">
        <v>581</v>
      </c>
      <c r="AB164" s="87" t="s">
        <v>582</v>
      </c>
      <c r="AC164" s="83" t="s">
        <v>405</v>
      </c>
      <c r="AD164" s="85" t="s">
        <v>583</v>
      </c>
      <c r="AE164" s="86" t="s">
        <v>433</v>
      </c>
      <c r="AG164" s="22"/>
    </row>
    <row r="165" spans="1:33" s="1" customFormat="1" ht="49.5" x14ac:dyDescent="0.25">
      <c r="A165" s="13">
        <f t="shared" ref="A165" si="51">B165*100+E165</f>
        <v>812102</v>
      </c>
      <c r="B165" s="14">
        <v>8121</v>
      </c>
      <c r="C165" s="1" t="s">
        <v>558</v>
      </c>
      <c r="D165" s="12" t="s">
        <v>575</v>
      </c>
      <c r="E165" s="3">
        <v>2</v>
      </c>
      <c r="F165" s="5" t="s">
        <v>396</v>
      </c>
      <c r="G165" s="3">
        <v>3</v>
      </c>
      <c r="H165" s="1">
        <v>8</v>
      </c>
      <c r="I165" s="1">
        <v>2</v>
      </c>
      <c r="J165" s="1" t="s">
        <v>422</v>
      </c>
      <c r="K165" s="1" t="s">
        <v>423</v>
      </c>
      <c r="L165" s="1" t="s">
        <v>576</v>
      </c>
      <c r="M165" s="1">
        <v>4536</v>
      </c>
      <c r="N165" s="1">
        <v>50400</v>
      </c>
      <c r="O165" s="1" t="s">
        <v>434</v>
      </c>
      <c r="P165" s="1">
        <v>1260</v>
      </c>
      <c r="Q165" s="1" t="s">
        <v>398</v>
      </c>
      <c r="R165" s="1">
        <v>10</v>
      </c>
      <c r="S165" s="18">
        <v>6030</v>
      </c>
      <c r="T165" s="16">
        <v>5.0000000000000001E-3</v>
      </c>
      <c r="V165" s="18" t="s">
        <v>577</v>
      </c>
      <c r="W165" s="18" t="s">
        <v>578</v>
      </c>
      <c r="X165" s="18" t="s">
        <v>579</v>
      </c>
      <c r="Y165" s="84" t="s">
        <v>580</v>
      </c>
      <c r="Z165" s="84"/>
      <c r="AA165" s="18" t="s">
        <v>581</v>
      </c>
      <c r="AB165" s="87" t="s">
        <v>582</v>
      </c>
      <c r="AC165" s="83" t="s">
        <v>405</v>
      </c>
      <c r="AD165" s="85" t="s">
        <v>583</v>
      </c>
      <c r="AE165" s="86" t="s">
        <v>433</v>
      </c>
      <c r="AG165" s="22"/>
    </row>
    <row r="166" spans="1:33" s="1" customFormat="1" ht="49.5" x14ac:dyDescent="0.25">
      <c r="A166" s="13">
        <f t="shared" ref="A166:A167" si="52">B166*100+E166</f>
        <v>812103</v>
      </c>
      <c r="B166" s="14">
        <v>8121</v>
      </c>
      <c r="C166" s="1" t="s">
        <v>558</v>
      </c>
      <c r="D166" s="12" t="s">
        <v>575</v>
      </c>
      <c r="E166" s="3">
        <v>3</v>
      </c>
      <c r="F166" s="5" t="s">
        <v>396</v>
      </c>
      <c r="G166" s="3">
        <v>3</v>
      </c>
      <c r="H166" s="1">
        <v>8</v>
      </c>
      <c r="I166" s="1">
        <v>2</v>
      </c>
      <c r="J166" s="1" t="s">
        <v>422</v>
      </c>
      <c r="K166" s="1" t="s">
        <v>423</v>
      </c>
      <c r="L166" s="1" t="s">
        <v>576</v>
      </c>
      <c r="M166" s="1">
        <v>5670</v>
      </c>
      <c r="N166" s="1">
        <v>63000</v>
      </c>
      <c r="O166" s="1" t="s">
        <v>435</v>
      </c>
      <c r="P166" s="1">
        <v>1575</v>
      </c>
      <c r="Q166" s="1" t="s">
        <v>398</v>
      </c>
      <c r="R166" s="1">
        <v>10</v>
      </c>
      <c r="S166" s="18">
        <v>6030</v>
      </c>
      <c r="T166" s="16">
        <v>5.0000000000000001E-3</v>
      </c>
      <c r="V166" s="18" t="s">
        <v>577</v>
      </c>
      <c r="W166" s="18" t="s">
        <v>578</v>
      </c>
      <c r="X166" s="18" t="s">
        <v>579</v>
      </c>
      <c r="Y166" s="84" t="s">
        <v>580</v>
      </c>
      <c r="Z166" s="84"/>
      <c r="AA166" s="18" t="s">
        <v>581</v>
      </c>
      <c r="AB166" s="87" t="s">
        <v>582</v>
      </c>
      <c r="AC166" s="83" t="s">
        <v>405</v>
      </c>
      <c r="AD166" s="85" t="s">
        <v>583</v>
      </c>
      <c r="AE166" s="86" t="s">
        <v>433</v>
      </c>
      <c r="AG166" s="22"/>
    </row>
    <row r="167" spans="1:33" s="1" customFormat="1" ht="49.5" x14ac:dyDescent="0.25">
      <c r="A167" s="13">
        <f t="shared" si="52"/>
        <v>812104</v>
      </c>
      <c r="B167" s="14">
        <v>8121</v>
      </c>
      <c r="C167" s="1" t="s">
        <v>558</v>
      </c>
      <c r="D167" s="12" t="s">
        <v>575</v>
      </c>
      <c r="E167" s="3">
        <v>4</v>
      </c>
      <c r="F167" s="5" t="s">
        <v>396</v>
      </c>
      <c r="G167" s="3">
        <v>4</v>
      </c>
      <c r="H167" s="1">
        <v>8</v>
      </c>
      <c r="I167" s="1">
        <v>2</v>
      </c>
      <c r="J167" s="1" t="s">
        <v>422</v>
      </c>
      <c r="K167" s="1" t="s">
        <v>423</v>
      </c>
      <c r="L167" s="1" t="s">
        <v>576</v>
      </c>
      <c r="M167" s="1">
        <v>7560</v>
      </c>
      <c r="N167" s="1">
        <v>73500</v>
      </c>
      <c r="O167" s="1" t="s">
        <v>436</v>
      </c>
      <c r="P167" s="1">
        <v>2100</v>
      </c>
      <c r="Q167" s="1" t="s">
        <v>398</v>
      </c>
      <c r="R167" s="1">
        <v>10</v>
      </c>
      <c r="S167" s="18">
        <v>6030</v>
      </c>
      <c r="T167" s="16">
        <v>5.0000000000000001E-3</v>
      </c>
      <c r="V167" s="18" t="s">
        <v>577</v>
      </c>
      <c r="W167" s="18" t="s">
        <v>578</v>
      </c>
      <c r="X167" s="18" t="s">
        <v>579</v>
      </c>
      <c r="Y167" s="84" t="s">
        <v>580</v>
      </c>
      <c r="Z167" s="84"/>
      <c r="AA167" s="18" t="s">
        <v>581</v>
      </c>
      <c r="AB167" s="87" t="s">
        <v>582</v>
      </c>
      <c r="AC167" s="83" t="s">
        <v>405</v>
      </c>
      <c r="AD167" s="85" t="s">
        <v>583</v>
      </c>
      <c r="AE167" s="86" t="s">
        <v>433</v>
      </c>
      <c r="AG167" s="22"/>
    </row>
    <row r="168" spans="1:33" s="1" customFormat="1" ht="49.5" x14ac:dyDescent="0.25">
      <c r="A168" s="13">
        <f t="shared" si="45"/>
        <v>812105</v>
      </c>
      <c r="B168" s="14">
        <v>8121</v>
      </c>
      <c r="C168" s="1" t="s">
        <v>558</v>
      </c>
      <c r="D168" s="12" t="s">
        <v>575</v>
      </c>
      <c r="E168" s="3">
        <v>5</v>
      </c>
      <c r="F168" s="5" t="s">
        <v>396</v>
      </c>
      <c r="G168" s="3">
        <v>4</v>
      </c>
      <c r="H168" s="1">
        <v>8</v>
      </c>
      <c r="I168" s="1">
        <v>2</v>
      </c>
      <c r="J168" s="1" t="s">
        <v>422</v>
      </c>
      <c r="K168" s="1" t="s">
        <v>423</v>
      </c>
      <c r="L168" s="1" t="s">
        <v>576</v>
      </c>
      <c r="M168" s="1">
        <v>11340</v>
      </c>
      <c r="N168" s="1">
        <v>84000</v>
      </c>
      <c r="O168" s="1" t="s">
        <v>437</v>
      </c>
      <c r="P168" s="1">
        <v>3150</v>
      </c>
      <c r="Q168" s="1" t="s">
        <v>398</v>
      </c>
      <c r="R168" s="1">
        <v>10</v>
      </c>
      <c r="S168" s="18">
        <v>6030</v>
      </c>
      <c r="T168" s="16">
        <v>5.0000000000000001E-3</v>
      </c>
      <c r="V168" s="18" t="s">
        <v>577</v>
      </c>
      <c r="W168" s="18" t="s">
        <v>578</v>
      </c>
      <c r="X168" s="18" t="s">
        <v>579</v>
      </c>
      <c r="Y168" s="84" t="s">
        <v>580</v>
      </c>
      <c r="Z168" s="84"/>
      <c r="AA168" s="18" t="s">
        <v>581</v>
      </c>
      <c r="AB168" s="87" t="s">
        <v>582</v>
      </c>
      <c r="AC168" s="83" t="s">
        <v>405</v>
      </c>
      <c r="AD168" s="85" t="s">
        <v>583</v>
      </c>
      <c r="AE168" s="86" t="s">
        <v>433</v>
      </c>
      <c r="AG168" s="22"/>
    </row>
    <row r="169" spans="1:33" s="1" customFormat="1" ht="49.5" x14ac:dyDescent="0.25">
      <c r="A169" s="13">
        <f t="shared" si="45"/>
        <v>812201</v>
      </c>
      <c r="B169" s="14">
        <v>8122</v>
      </c>
      <c r="C169" s="1" t="s">
        <v>558</v>
      </c>
      <c r="D169" s="15" t="s">
        <v>584</v>
      </c>
      <c r="E169" s="3">
        <v>1</v>
      </c>
      <c r="F169" s="5" t="s">
        <v>396</v>
      </c>
      <c r="G169" s="3">
        <v>3</v>
      </c>
      <c r="H169" s="1">
        <v>8</v>
      </c>
      <c r="I169" s="1">
        <v>2</v>
      </c>
      <c r="J169" s="1" t="s">
        <v>422</v>
      </c>
      <c r="K169" s="1" t="s">
        <v>423</v>
      </c>
      <c r="L169" s="1" t="s">
        <v>576</v>
      </c>
      <c r="M169" s="1">
        <v>3780</v>
      </c>
      <c r="N169" s="1">
        <v>42000</v>
      </c>
      <c r="O169" s="1" t="s">
        <v>425</v>
      </c>
      <c r="P169" s="1">
        <v>1050</v>
      </c>
      <c r="Q169" s="1" t="s">
        <v>398</v>
      </c>
      <c r="R169" s="1">
        <v>10</v>
      </c>
      <c r="S169" s="18">
        <v>6046</v>
      </c>
      <c r="T169" s="16">
        <v>5.0000000000000001E-3</v>
      </c>
      <c r="V169" s="18" t="s">
        <v>585</v>
      </c>
      <c r="W169" s="18" t="s">
        <v>586</v>
      </c>
      <c r="X169" s="18" t="s">
        <v>587</v>
      </c>
      <c r="Y169" s="84" t="s">
        <v>588</v>
      </c>
      <c r="Z169" s="84"/>
      <c r="AA169" s="18" t="s">
        <v>589</v>
      </c>
      <c r="AB169" s="87" t="s">
        <v>590</v>
      </c>
      <c r="AC169" s="83" t="s">
        <v>405</v>
      </c>
      <c r="AD169" s="85" t="s">
        <v>591</v>
      </c>
      <c r="AE169" s="86" t="s">
        <v>445</v>
      </c>
      <c r="AG169" s="22"/>
    </row>
    <row r="170" spans="1:33" s="1" customFormat="1" ht="49.5" x14ac:dyDescent="0.25">
      <c r="A170" s="13">
        <f t="shared" ref="A170" si="53">B170*100+E170</f>
        <v>812202</v>
      </c>
      <c r="B170" s="14">
        <v>8122</v>
      </c>
      <c r="C170" s="1" t="s">
        <v>558</v>
      </c>
      <c r="D170" s="15" t="s">
        <v>584</v>
      </c>
      <c r="E170" s="3">
        <v>2</v>
      </c>
      <c r="F170" s="5" t="s">
        <v>396</v>
      </c>
      <c r="G170" s="3">
        <v>3</v>
      </c>
      <c r="H170" s="1">
        <v>8</v>
      </c>
      <c r="I170" s="1">
        <v>2</v>
      </c>
      <c r="J170" s="1" t="s">
        <v>422</v>
      </c>
      <c r="K170" s="1" t="s">
        <v>423</v>
      </c>
      <c r="L170" s="1" t="s">
        <v>576</v>
      </c>
      <c r="M170" s="1">
        <v>4536</v>
      </c>
      <c r="N170" s="1">
        <v>50400</v>
      </c>
      <c r="O170" s="1" t="s">
        <v>434</v>
      </c>
      <c r="P170" s="1">
        <v>1260</v>
      </c>
      <c r="Q170" s="1" t="s">
        <v>398</v>
      </c>
      <c r="R170" s="1">
        <v>10</v>
      </c>
      <c r="S170" s="18">
        <v>6046</v>
      </c>
      <c r="T170" s="16">
        <v>5.0000000000000001E-3</v>
      </c>
      <c r="V170" s="18" t="s">
        <v>585</v>
      </c>
      <c r="W170" s="18" t="s">
        <v>586</v>
      </c>
      <c r="X170" s="18" t="s">
        <v>587</v>
      </c>
      <c r="Y170" s="84" t="s">
        <v>588</v>
      </c>
      <c r="Z170" s="84"/>
      <c r="AA170" s="18" t="s">
        <v>589</v>
      </c>
      <c r="AB170" s="87" t="s">
        <v>590</v>
      </c>
      <c r="AC170" s="83" t="s">
        <v>405</v>
      </c>
      <c r="AD170" s="85" t="s">
        <v>591</v>
      </c>
      <c r="AE170" s="86" t="s">
        <v>445</v>
      </c>
      <c r="AG170" s="22"/>
    </row>
    <row r="171" spans="1:33" s="1" customFormat="1" ht="49.5" x14ac:dyDescent="0.25">
      <c r="A171" s="13">
        <f t="shared" ref="A171:A172" si="54">B171*100+E171</f>
        <v>812203</v>
      </c>
      <c r="B171" s="14">
        <v>8122</v>
      </c>
      <c r="C171" s="1" t="s">
        <v>558</v>
      </c>
      <c r="D171" s="15" t="s">
        <v>584</v>
      </c>
      <c r="E171" s="3">
        <v>3</v>
      </c>
      <c r="F171" s="5" t="s">
        <v>396</v>
      </c>
      <c r="G171" s="3">
        <v>3</v>
      </c>
      <c r="H171" s="1">
        <v>8</v>
      </c>
      <c r="I171" s="1">
        <v>2</v>
      </c>
      <c r="J171" s="1" t="s">
        <v>422</v>
      </c>
      <c r="K171" s="1" t="s">
        <v>423</v>
      </c>
      <c r="L171" s="1" t="s">
        <v>576</v>
      </c>
      <c r="M171" s="1">
        <v>5670</v>
      </c>
      <c r="N171" s="1">
        <v>63000</v>
      </c>
      <c r="O171" s="1" t="s">
        <v>435</v>
      </c>
      <c r="P171" s="1">
        <v>1575</v>
      </c>
      <c r="Q171" s="1" t="s">
        <v>398</v>
      </c>
      <c r="R171" s="1">
        <v>10</v>
      </c>
      <c r="S171" s="18">
        <v>6046</v>
      </c>
      <c r="T171" s="16">
        <v>5.0000000000000001E-3</v>
      </c>
      <c r="V171" s="18" t="s">
        <v>585</v>
      </c>
      <c r="W171" s="18" t="s">
        <v>586</v>
      </c>
      <c r="X171" s="18" t="s">
        <v>587</v>
      </c>
      <c r="Y171" s="84" t="s">
        <v>588</v>
      </c>
      <c r="Z171" s="84"/>
      <c r="AA171" s="18" t="s">
        <v>589</v>
      </c>
      <c r="AB171" s="87" t="s">
        <v>590</v>
      </c>
      <c r="AC171" s="83" t="s">
        <v>405</v>
      </c>
      <c r="AD171" s="85" t="s">
        <v>591</v>
      </c>
      <c r="AE171" s="86" t="s">
        <v>445</v>
      </c>
      <c r="AG171" s="22"/>
    </row>
    <row r="172" spans="1:33" s="1" customFormat="1" ht="49.5" x14ac:dyDescent="0.25">
      <c r="A172" s="13">
        <f t="shared" si="54"/>
        <v>812204</v>
      </c>
      <c r="B172" s="14">
        <v>8122</v>
      </c>
      <c r="C172" s="1" t="s">
        <v>558</v>
      </c>
      <c r="D172" s="15" t="s">
        <v>584</v>
      </c>
      <c r="E172" s="3">
        <v>4</v>
      </c>
      <c r="F172" s="5" t="s">
        <v>396</v>
      </c>
      <c r="G172" s="3">
        <v>4</v>
      </c>
      <c r="H172" s="1">
        <v>8</v>
      </c>
      <c r="I172" s="1">
        <v>2</v>
      </c>
      <c r="J172" s="1" t="s">
        <v>422</v>
      </c>
      <c r="K172" s="1" t="s">
        <v>423</v>
      </c>
      <c r="L172" s="1" t="s">
        <v>576</v>
      </c>
      <c r="M172" s="1">
        <v>7560</v>
      </c>
      <c r="N172" s="1">
        <v>73500</v>
      </c>
      <c r="O172" s="1" t="s">
        <v>436</v>
      </c>
      <c r="P172" s="1">
        <v>2100</v>
      </c>
      <c r="Q172" s="1" t="s">
        <v>398</v>
      </c>
      <c r="R172" s="1">
        <v>10</v>
      </c>
      <c r="S172" s="18">
        <v>6046</v>
      </c>
      <c r="T172" s="16">
        <v>5.0000000000000001E-3</v>
      </c>
      <c r="V172" s="18" t="s">
        <v>585</v>
      </c>
      <c r="W172" s="18" t="s">
        <v>586</v>
      </c>
      <c r="X172" s="18" t="s">
        <v>587</v>
      </c>
      <c r="Y172" s="84" t="s">
        <v>588</v>
      </c>
      <c r="Z172" s="84"/>
      <c r="AA172" s="18" t="s">
        <v>589</v>
      </c>
      <c r="AB172" s="87" t="s">
        <v>590</v>
      </c>
      <c r="AC172" s="83" t="s">
        <v>405</v>
      </c>
      <c r="AD172" s="85" t="s">
        <v>591</v>
      </c>
      <c r="AE172" s="86" t="s">
        <v>445</v>
      </c>
      <c r="AG172" s="22"/>
    </row>
    <row r="173" spans="1:33" s="1" customFormat="1" ht="49.5" x14ac:dyDescent="0.25">
      <c r="A173" s="13">
        <f t="shared" si="45"/>
        <v>812205</v>
      </c>
      <c r="B173" s="14">
        <v>8122</v>
      </c>
      <c r="C173" s="1" t="s">
        <v>558</v>
      </c>
      <c r="D173" s="15" t="s">
        <v>584</v>
      </c>
      <c r="E173" s="3">
        <v>5</v>
      </c>
      <c r="F173" s="5" t="s">
        <v>396</v>
      </c>
      <c r="G173" s="3">
        <v>4</v>
      </c>
      <c r="H173" s="1">
        <v>8</v>
      </c>
      <c r="I173" s="1">
        <v>2</v>
      </c>
      <c r="J173" s="1" t="s">
        <v>422</v>
      </c>
      <c r="K173" s="1" t="s">
        <v>423</v>
      </c>
      <c r="L173" s="1" t="s">
        <v>576</v>
      </c>
      <c r="M173" s="1">
        <v>11340</v>
      </c>
      <c r="N173" s="1">
        <v>84000</v>
      </c>
      <c r="O173" s="1" t="s">
        <v>437</v>
      </c>
      <c r="P173" s="1">
        <v>3150</v>
      </c>
      <c r="Q173" s="1" t="s">
        <v>398</v>
      </c>
      <c r="R173" s="1">
        <v>10</v>
      </c>
      <c r="S173" s="18">
        <v>6046</v>
      </c>
      <c r="T173" s="16">
        <v>5.0000000000000001E-3</v>
      </c>
      <c r="V173" s="18" t="s">
        <v>585</v>
      </c>
      <c r="W173" s="18" t="s">
        <v>586</v>
      </c>
      <c r="X173" s="18" t="s">
        <v>587</v>
      </c>
      <c r="Y173" s="84" t="s">
        <v>588</v>
      </c>
      <c r="Z173" s="84"/>
      <c r="AA173" s="18" t="s">
        <v>589</v>
      </c>
      <c r="AB173" s="87" t="s">
        <v>590</v>
      </c>
      <c r="AC173" s="83" t="s">
        <v>405</v>
      </c>
      <c r="AD173" s="85" t="s">
        <v>591</v>
      </c>
      <c r="AE173" s="86" t="s">
        <v>445</v>
      </c>
      <c r="AG173" s="22"/>
    </row>
    <row r="174" spans="1:33" s="1" customFormat="1" ht="49.5" x14ac:dyDescent="0.25">
      <c r="A174" s="13">
        <f t="shared" si="45"/>
        <v>812301</v>
      </c>
      <c r="B174" s="14">
        <v>8123</v>
      </c>
      <c r="C174" s="1" t="s">
        <v>558</v>
      </c>
      <c r="D174" s="15" t="s">
        <v>592</v>
      </c>
      <c r="E174" s="3">
        <v>1</v>
      </c>
      <c r="F174" s="5" t="s">
        <v>396</v>
      </c>
      <c r="G174" s="3">
        <v>3</v>
      </c>
      <c r="H174" s="1">
        <v>8</v>
      </c>
      <c r="I174" s="1">
        <v>2</v>
      </c>
      <c r="J174" s="1" t="s">
        <v>422</v>
      </c>
      <c r="K174" s="1" t="s">
        <v>423</v>
      </c>
      <c r="L174" s="1" t="s">
        <v>576</v>
      </c>
      <c r="M174" s="1">
        <v>3780</v>
      </c>
      <c r="N174" s="1">
        <v>42000</v>
      </c>
      <c r="O174" s="1" t="s">
        <v>425</v>
      </c>
      <c r="P174" s="1">
        <v>1050</v>
      </c>
      <c r="Q174" s="1" t="s">
        <v>398</v>
      </c>
      <c r="R174" s="1">
        <v>10</v>
      </c>
      <c r="S174" s="18">
        <v>6040</v>
      </c>
      <c r="T174" s="16">
        <v>0.01</v>
      </c>
      <c r="V174" s="18" t="s">
        <v>593</v>
      </c>
      <c r="W174" s="18" t="s">
        <v>594</v>
      </c>
      <c r="X174" s="18" t="s">
        <v>595</v>
      </c>
      <c r="Y174" s="84" t="s">
        <v>596</v>
      </c>
      <c r="Z174" s="84"/>
      <c r="AA174" s="18" t="s">
        <v>597</v>
      </c>
      <c r="AB174" s="87" t="s">
        <v>598</v>
      </c>
      <c r="AC174" s="83" t="s">
        <v>405</v>
      </c>
      <c r="AD174" s="85" t="s">
        <v>599</v>
      </c>
      <c r="AE174" s="86" t="s">
        <v>453</v>
      </c>
      <c r="AG174" s="22"/>
    </row>
    <row r="175" spans="1:33" s="1" customFormat="1" ht="49.5" x14ac:dyDescent="0.25">
      <c r="A175" s="13">
        <f t="shared" ref="A175" si="55">B175*100+E175</f>
        <v>812302</v>
      </c>
      <c r="B175" s="14">
        <v>8123</v>
      </c>
      <c r="C175" s="1" t="s">
        <v>558</v>
      </c>
      <c r="D175" s="15" t="s">
        <v>592</v>
      </c>
      <c r="E175" s="3">
        <v>2</v>
      </c>
      <c r="F175" s="5" t="s">
        <v>396</v>
      </c>
      <c r="G175" s="3">
        <v>3</v>
      </c>
      <c r="H175" s="1">
        <v>8</v>
      </c>
      <c r="I175" s="1">
        <v>2</v>
      </c>
      <c r="J175" s="1" t="s">
        <v>422</v>
      </c>
      <c r="K175" s="1" t="s">
        <v>423</v>
      </c>
      <c r="L175" s="1" t="s">
        <v>576</v>
      </c>
      <c r="M175" s="1">
        <v>4536</v>
      </c>
      <c r="N175" s="1">
        <v>50400</v>
      </c>
      <c r="O175" s="1" t="s">
        <v>434</v>
      </c>
      <c r="P175" s="1">
        <v>1260</v>
      </c>
      <c r="Q175" s="1" t="s">
        <v>398</v>
      </c>
      <c r="R175" s="1">
        <v>10</v>
      </c>
      <c r="S175" s="18">
        <v>6040</v>
      </c>
      <c r="T175" s="16">
        <v>0.01</v>
      </c>
      <c r="V175" s="18" t="s">
        <v>593</v>
      </c>
      <c r="W175" s="18" t="s">
        <v>594</v>
      </c>
      <c r="X175" s="18" t="s">
        <v>595</v>
      </c>
      <c r="Y175" s="84" t="s">
        <v>596</v>
      </c>
      <c r="Z175" s="84"/>
      <c r="AA175" s="18" t="s">
        <v>597</v>
      </c>
      <c r="AB175" s="87" t="s">
        <v>598</v>
      </c>
      <c r="AC175" s="83" t="s">
        <v>405</v>
      </c>
      <c r="AD175" s="85" t="s">
        <v>599</v>
      </c>
      <c r="AE175" s="86" t="s">
        <v>453</v>
      </c>
      <c r="AG175" s="22"/>
    </row>
    <row r="176" spans="1:33" s="1" customFormat="1" ht="49.5" x14ac:dyDescent="0.25">
      <c r="A176" s="13">
        <f t="shared" si="45"/>
        <v>812303</v>
      </c>
      <c r="B176" s="14">
        <v>8123</v>
      </c>
      <c r="C176" s="1" t="s">
        <v>558</v>
      </c>
      <c r="D176" s="15" t="s">
        <v>592</v>
      </c>
      <c r="E176" s="3">
        <v>3</v>
      </c>
      <c r="F176" s="5" t="s">
        <v>396</v>
      </c>
      <c r="G176" s="3">
        <v>3</v>
      </c>
      <c r="H176" s="1">
        <v>8</v>
      </c>
      <c r="I176" s="1">
        <v>2</v>
      </c>
      <c r="J176" s="1" t="s">
        <v>422</v>
      </c>
      <c r="K176" s="1" t="s">
        <v>423</v>
      </c>
      <c r="L176" s="1" t="s">
        <v>576</v>
      </c>
      <c r="M176" s="1">
        <v>5670</v>
      </c>
      <c r="N176" s="1">
        <v>63000</v>
      </c>
      <c r="O176" s="1" t="s">
        <v>435</v>
      </c>
      <c r="P176" s="1">
        <v>1575</v>
      </c>
      <c r="Q176" s="1" t="s">
        <v>398</v>
      </c>
      <c r="R176" s="1">
        <v>10</v>
      </c>
      <c r="S176" s="18">
        <v>6040</v>
      </c>
      <c r="T176" s="16">
        <v>0.01</v>
      </c>
      <c r="V176" s="18" t="s">
        <v>593</v>
      </c>
      <c r="W176" s="18" t="s">
        <v>594</v>
      </c>
      <c r="X176" s="18" t="s">
        <v>595</v>
      </c>
      <c r="Y176" s="84" t="s">
        <v>596</v>
      </c>
      <c r="Z176" s="84"/>
      <c r="AA176" s="18" t="s">
        <v>597</v>
      </c>
      <c r="AB176" s="87" t="s">
        <v>598</v>
      </c>
      <c r="AC176" s="83" t="s">
        <v>405</v>
      </c>
      <c r="AD176" s="85" t="s">
        <v>599</v>
      </c>
      <c r="AE176" s="86" t="s">
        <v>453</v>
      </c>
      <c r="AG176" s="22"/>
    </row>
    <row r="177" spans="1:33" s="1" customFormat="1" ht="49.5" x14ac:dyDescent="0.25">
      <c r="A177" s="13">
        <f t="shared" si="45"/>
        <v>812304</v>
      </c>
      <c r="B177" s="14">
        <v>8123</v>
      </c>
      <c r="C177" s="1" t="s">
        <v>558</v>
      </c>
      <c r="D177" s="15" t="s">
        <v>592</v>
      </c>
      <c r="E177" s="3">
        <v>4</v>
      </c>
      <c r="F177" s="5" t="s">
        <v>396</v>
      </c>
      <c r="G177" s="3">
        <v>4</v>
      </c>
      <c r="H177" s="1">
        <v>8</v>
      </c>
      <c r="I177" s="1">
        <v>2</v>
      </c>
      <c r="J177" s="1" t="s">
        <v>422</v>
      </c>
      <c r="K177" s="1" t="s">
        <v>423</v>
      </c>
      <c r="L177" s="1" t="s">
        <v>576</v>
      </c>
      <c r="M177" s="1">
        <v>7560</v>
      </c>
      <c r="N177" s="1">
        <v>73500</v>
      </c>
      <c r="O177" s="1" t="s">
        <v>436</v>
      </c>
      <c r="P177" s="1">
        <v>2100</v>
      </c>
      <c r="Q177" s="1" t="s">
        <v>398</v>
      </c>
      <c r="R177" s="1">
        <v>10</v>
      </c>
      <c r="S177" s="18">
        <v>6040</v>
      </c>
      <c r="T177" s="16">
        <v>0.01</v>
      </c>
      <c r="V177" s="18" t="s">
        <v>593</v>
      </c>
      <c r="W177" s="18" t="s">
        <v>594</v>
      </c>
      <c r="X177" s="18" t="s">
        <v>595</v>
      </c>
      <c r="Y177" s="84" t="s">
        <v>596</v>
      </c>
      <c r="Z177" s="84"/>
      <c r="AA177" s="18" t="s">
        <v>597</v>
      </c>
      <c r="AB177" s="87" t="s">
        <v>598</v>
      </c>
      <c r="AC177" s="83" t="s">
        <v>405</v>
      </c>
      <c r="AD177" s="85" t="s">
        <v>599</v>
      </c>
      <c r="AE177" s="86" t="s">
        <v>453</v>
      </c>
      <c r="AG177" s="22"/>
    </row>
    <row r="178" spans="1:33" s="1" customFormat="1" ht="49.5" x14ac:dyDescent="0.25">
      <c r="A178" s="13">
        <f t="shared" ref="A178" si="56">B178*100+E178</f>
        <v>812305</v>
      </c>
      <c r="B178" s="14">
        <v>8123</v>
      </c>
      <c r="C178" s="1" t="s">
        <v>558</v>
      </c>
      <c r="D178" s="15" t="s">
        <v>592</v>
      </c>
      <c r="E178" s="3">
        <v>5</v>
      </c>
      <c r="F178" s="5" t="s">
        <v>396</v>
      </c>
      <c r="G178" s="3">
        <v>4</v>
      </c>
      <c r="H178" s="1">
        <v>8</v>
      </c>
      <c r="I178" s="1">
        <v>2</v>
      </c>
      <c r="J178" s="1" t="s">
        <v>422</v>
      </c>
      <c r="K178" s="1" t="s">
        <v>423</v>
      </c>
      <c r="L178" s="1" t="s">
        <v>576</v>
      </c>
      <c r="M178" s="1">
        <v>11340</v>
      </c>
      <c r="N178" s="1">
        <v>84000</v>
      </c>
      <c r="O178" s="1" t="s">
        <v>437</v>
      </c>
      <c r="P178" s="1">
        <v>3150</v>
      </c>
      <c r="Q178" s="1" t="s">
        <v>398</v>
      </c>
      <c r="R178" s="1">
        <v>10</v>
      </c>
      <c r="S178" s="18">
        <v>6040</v>
      </c>
      <c r="T178" s="16">
        <v>0.01</v>
      </c>
      <c r="V178" s="18" t="s">
        <v>593</v>
      </c>
      <c r="W178" s="18" t="s">
        <v>594</v>
      </c>
      <c r="X178" s="18" t="s">
        <v>595</v>
      </c>
      <c r="Y178" s="84" t="s">
        <v>596</v>
      </c>
      <c r="Z178" s="84"/>
      <c r="AA178" s="18" t="s">
        <v>597</v>
      </c>
      <c r="AB178" s="87" t="s">
        <v>598</v>
      </c>
      <c r="AC178" s="83" t="s">
        <v>405</v>
      </c>
      <c r="AD178" s="85" t="s">
        <v>599</v>
      </c>
      <c r="AE178" s="86" t="s">
        <v>453</v>
      </c>
      <c r="AG178" s="22"/>
    </row>
    <row r="179" spans="1:33" s="1" customFormat="1" ht="49.5" x14ac:dyDescent="0.25">
      <c r="A179" s="13">
        <f t="shared" si="45"/>
        <v>813101</v>
      </c>
      <c r="B179" s="14">
        <v>8131</v>
      </c>
      <c r="C179" s="1" t="s">
        <v>558</v>
      </c>
      <c r="D179" s="12" t="s">
        <v>473</v>
      </c>
      <c r="E179" s="3">
        <v>1</v>
      </c>
      <c r="F179" s="5" t="s">
        <v>396</v>
      </c>
      <c r="G179" s="3">
        <v>6</v>
      </c>
      <c r="H179" s="1">
        <v>8</v>
      </c>
      <c r="I179" s="1">
        <v>3</v>
      </c>
      <c r="J179" s="1" t="s">
        <v>454</v>
      </c>
      <c r="K179" s="1" t="s">
        <v>455</v>
      </c>
      <c r="L179" s="1" t="s">
        <v>600</v>
      </c>
      <c r="M179" s="1">
        <v>4320</v>
      </c>
      <c r="N179" s="1">
        <v>48000</v>
      </c>
      <c r="O179" s="1" t="s">
        <v>408</v>
      </c>
      <c r="P179" s="1">
        <v>1200</v>
      </c>
      <c r="Q179" s="1" t="s">
        <v>398</v>
      </c>
      <c r="R179" s="1">
        <v>10</v>
      </c>
      <c r="S179" s="18">
        <v>1059</v>
      </c>
      <c r="T179" s="16">
        <v>0.01</v>
      </c>
      <c r="V179" s="18" t="s">
        <v>560</v>
      </c>
      <c r="W179" s="18" t="s">
        <v>601</v>
      </c>
      <c r="X179" s="18" t="s">
        <v>562</v>
      </c>
      <c r="Y179" s="84" t="s">
        <v>402</v>
      </c>
      <c r="Z179" s="84"/>
      <c r="AA179" s="18" t="s">
        <v>564</v>
      </c>
      <c r="AB179" s="18" t="s">
        <v>404</v>
      </c>
      <c r="AC179" s="83" t="s">
        <v>405</v>
      </c>
      <c r="AD179" s="85" t="s">
        <v>566</v>
      </c>
      <c r="AE179" s="86" t="s">
        <v>457</v>
      </c>
      <c r="AG179" s="22"/>
    </row>
    <row r="180" spans="1:33" s="1" customFormat="1" ht="49.5" x14ac:dyDescent="0.25">
      <c r="A180" s="13">
        <f t="shared" si="45"/>
        <v>813102</v>
      </c>
      <c r="B180" s="14">
        <v>8131</v>
      </c>
      <c r="C180" s="1" t="s">
        <v>558</v>
      </c>
      <c r="D180" s="12" t="s">
        <v>559</v>
      </c>
      <c r="E180" s="3">
        <v>2</v>
      </c>
      <c r="F180" s="5" t="s">
        <v>396</v>
      </c>
      <c r="G180" s="3">
        <v>6</v>
      </c>
      <c r="H180" s="1">
        <v>8</v>
      </c>
      <c r="I180" s="1">
        <v>3</v>
      </c>
      <c r="J180" s="1" t="s">
        <v>454</v>
      </c>
      <c r="K180" s="1" t="s">
        <v>455</v>
      </c>
      <c r="L180" s="1" t="s">
        <v>600</v>
      </c>
      <c r="M180" s="1">
        <v>5184</v>
      </c>
      <c r="N180" s="1">
        <v>57600</v>
      </c>
      <c r="O180" s="1" t="s">
        <v>458</v>
      </c>
      <c r="P180" s="1">
        <v>1440</v>
      </c>
      <c r="Q180" s="1" t="s">
        <v>398</v>
      </c>
      <c r="R180" s="1">
        <v>10</v>
      </c>
      <c r="S180" s="18">
        <v>1059</v>
      </c>
      <c r="T180" s="16">
        <v>0.01</v>
      </c>
      <c r="V180" s="18" t="s">
        <v>560</v>
      </c>
      <c r="W180" s="18" t="s">
        <v>601</v>
      </c>
      <c r="X180" s="18" t="s">
        <v>562</v>
      </c>
      <c r="Y180" s="84" t="s">
        <v>402</v>
      </c>
      <c r="Z180" s="84"/>
      <c r="AA180" s="18" t="s">
        <v>564</v>
      </c>
      <c r="AB180" s="18" t="s">
        <v>404</v>
      </c>
      <c r="AC180" s="83" t="s">
        <v>405</v>
      </c>
      <c r="AD180" s="85" t="s">
        <v>566</v>
      </c>
      <c r="AE180" s="86" t="s">
        <v>457</v>
      </c>
      <c r="AG180" s="22"/>
    </row>
    <row r="181" spans="1:33" s="1" customFormat="1" ht="49.5" x14ac:dyDescent="0.25">
      <c r="A181" s="13">
        <f t="shared" si="45"/>
        <v>813103</v>
      </c>
      <c r="B181" s="14">
        <v>8131</v>
      </c>
      <c r="C181" s="1" t="s">
        <v>558</v>
      </c>
      <c r="D181" s="12" t="s">
        <v>559</v>
      </c>
      <c r="E181" s="3">
        <v>3</v>
      </c>
      <c r="F181" s="5" t="s">
        <v>396</v>
      </c>
      <c r="G181" s="3">
        <v>6</v>
      </c>
      <c r="H181" s="1">
        <v>8</v>
      </c>
      <c r="I181" s="1">
        <v>3</v>
      </c>
      <c r="J181" s="1" t="s">
        <v>454</v>
      </c>
      <c r="K181" s="1" t="s">
        <v>455</v>
      </c>
      <c r="L181" s="1" t="s">
        <v>600</v>
      </c>
      <c r="M181" s="1">
        <v>6480</v>
      </c>
      <c r="N181" s="1">
        <v>72000</v>
      </c>
      <c r="O181" s="1" t="s">
        <v>459</v>
      </c>
      <c r="P181" s="1">
        <v>1800</v>
      </c>
      <c r="Q181" s="1" t="s">
        <v>398</v>
      </c>
      <c r="R181" s="1">
        <v>10</v>
      </c>
      <c r="S181" s="18">
        <v>1059</v>
      </c>
      <c r="T181" s="16">
        <v>0.01</v>
      </c>
      <c r="V181" s="18" t="s">
        <v>560</v>
      </c>
      <c r="W181" s="18" t="s">
        <v>601</v>
      </c>
      <c r="X181" s="18" t="s">
        <v>562</v>
      </c>
      <c r="Y181" s="84" t="s">
        <v>402</v>
      </c>
      <c r="Z181" s="84"/>
      <c r="AA181" s="18" t="s">
        <v>564</v>
      </c>
      <c r="AB181" s="18" t="s">
        <v>404</v>
      </c>
      <c r="AC181" s="83" t="s">
        <v>405</v>
      </c>
      <c r="AD181" s="85" t="s">
        <v>566</v>
      </c>
      <c r="AE181" s="86" t="s">
        <v>457</v>
      </c>
      <c r="AG181" s="22"/>
    </row>
    <row r="182" spans="1:33" s="1" customFormat="1" ht="49.5" x14ac:dyDescent="0.25">
      <c r="A182" s="13">
        <f t="shared" ref="A182" si="57">B182*100+E182</f>
        <v>813104</v>
      </c>
      <c r="B182" s="14">
        <v>8131</v>
      </c>
      <c r="C182" s="1" t="s">
        <v>558</v>
      </c>
      <c r="D182" s="12" t="s">
        <v>559</v>
      </c>
      <c r="E182" s="3">
        <v>4</v>
      </c>
      <c r="F182" s="5" t="s">
        <v>396</v>
      </c>
      <c r="G182" s="3">
        <v>7</v>
      </c>
      <c r="H182" s="1">
        <v>8</v>
      </c>
      <c r="I182" s="1">
        <v>3</v>
      </c>
      <c r="J182" s="1" t="s">
        <v>454</v>
      </c>
      <c r="K182" s="1" t="s">
        <v>455</v>
      </c>
      <c r="L182" s="1" t="s">
        <v>600</v>
      </c>
      <c r="M182" s="1">
        <v>8640</v>
      </c>
      <c r="N182" s="1">
        <v>84000</v>
      </c>
      <c r="O182" s="1" t="s">
        <v>460</v>
      </c>
      <c r="P182" s="1">
        <v>2400</v>
      </c>
      <c r="Q182" s="1" t="s">
        <v>398</v>
      </c>
      <c r="R182" s="1">
        <v>10</v>
      </c>
      <c r="S182" s="18">
        <v>1059</v>
      </c>
      <c r="T182" s="16">
        <v>0.01</v>
      </c>
      <c r="V182" s="18" t="s">
        <v>560</v>
      </c>
      <c r="W182" s="18" t="s">
        <v>601</v>
      </c>
      <c r="X182" s="18" t="s">
        <v>562</v>
      </c>
      <c r="Y182" s="84" t="s">
        <v>402</v>
      </c>
      <c r="Z182" s="84"/>
      <c r="AA182" s="18" t="s">
        <v>564</v>
      </c>
      <c r="AB182" s="18" t="s">
        <v>404</v>
      </c>
      <c r="AC182" s="83" t="s">
        <v>405</v>
      </c>
      <c r="AD182" s="85" t="s">
        <v>566</v>
      </c>
      <c r="AE182" s="86" t="s">
        <v>457</v>
      </c>
      <c r="AG182" s="22"/>
    </row>
    <row r="183" spans="1:33" s="1" customFormat="1" ht="49.5" x14ac:dyDescent="0.25">
      <c r="A183" s="13">
        <f t="shared" si="45"/>
        <v>813105</v>
      </c>
      <c r="B183" s="14">
        <v>8131</v>
      </c>
      <c r="C183" s="1" t="s">
        <v>558</v>
      </c>
      <c r="D183" s="12" t="s">
        <v>559</v>
      </c>
      <c r="E183" s="3">
        <v>5</v>
      </c>
      <c r="F183" s="5" t="s">
        <v>396</v>
      </c>
      <c r="G183" s="3">
        <v>7</v>
      </c>
      <c r="H183" s="1">
        <v>8</v>
      </c>
      <c r="I183" s="1">
        <v>3</v>
      </c>
      <c r="J183" s="1" t="s">
        <v>454</v>
      </c>
      <c r="K183" s="1" t="s">
        <v>455</v>
      </c>
      <c r="L183" s="1" t="s">
        <v>600</v>
      </c>
      <c r="M183" s="1">
        <v>12960</v>
      </c>
      <c r="N183" s="1">
        <v>96000</v>
      </c>
      <c r="O183" s="1" t="s">
        <v>461</v>
      </c>
      <c r="P183" s="1">
        <v>3600</v>
      </c>
      <c r="Q183" s="1" t="s">
        <v>398</v>
      </c>
      <c r="R183" s="1">
        <v>10</v>
      </c>
      <c r="S183" s="18">
        <v>1059</v>
      </c>
      <c r="T183" s="16">
        <v>0.01</v>
      </c>
      <c r="V183" s="18" t="s">
        <v>560</v>
      </c>
      <c r="W183" s="18" t="s">
        <v>601</v>
      </c>
      <c r="X183" s="18" t="s">
        <v>562</v>
      </c>
      <c r="Y183" s="84" t="s">
        <v>402</v>
      </c>
      <c r="Z183" s="84"/>
      <c r="AA183" s="18" t="s">
        <v>564</v>
      </c>
      <c r="AB183" s="18" t="s">
        <v>404</v>
      </c>
      <c r="AC183" s="83" t="s">
        <v>405</v>
      </c>
      <c r="AD183" s="85" t="s">
        <v>566</v>
      </c>
      <c r="AE183" s="86" t="s">
        <v>457</v>
      </c>
      <c r="AG183" s="22"/>
    </row>
    <row r="184" spans="1:33" s="1" customFormat="1" ht="49.5" x14ac:dyDescent="0.25">
      <c r="A184" s="13">
        <f t="shared" si="45"/>
        <v>813201</v>
      </c>
      <c r="B184" s="14">
        <v>8132</v>
      </c>
      <c r="C184" s="1" t="s">
        <v>558</v>
      </c>
      <c r="D184" s="15" t="s">
        <v>567</v>
      </c>
      <c r="E184" s="3">
        <v>1</v>
      </c>
      <c r="F184" s="5" t="s">
        <v>396</v>
      </c>
      <c r="G184" s="3">
        <v>6</v>
      </c>
      <c r="H184" s="1">
        <v>8</v>
      </c>
      <c r="I184" s="1">
        <v>3</v>
      </c>
      <c r="J184" s="1" t="s">
        <v>454</v>
      </c>
      <c r="K184" s="1" t="s">
        <v>455</v>
      </c>
      <c r="L184" s="1" t="s">
        <v>600</v>
      </c>
      <c r="M184" s="1">
        <v>4320</v>
      </c>
      <c r="N184" s="1">
        <v>48000</v>
      </c>
      <c r="O184" s="1" t="s">
        <v>408</v>
      </c>
      <c r="P184" s="1">
        <v>1200</v>
      </c>
      <c r="Q184" s="1" t="s">
        <v>398</v>
      </c>
      <c r="R184" s="1">
        <v>10</v>
      </c>
      <c r="S184" s="18">
        <v>1064</v>
      </c>
      <c r="T184" s="16">
        <v>0.01</v>
      </c>
      <c r="V184" s="18" t="s">
        <v>568</v>
      </c>
      <c r="W184" s="18" t="s">
        <v>602</v>
      </c>
      <c r="X184" s="18" t="s">
        <v>570</v>
      </c>
      <c r="Y184" s="84" t="s">
        <v>603</v>
      </c>
      <c r="Z184" s="84"/>
      <c r="AA184" s="18" t="s">
        <v>572</v>
      </c>
      <c r="AB184" s="87" t="s">
        <v>604</v>
      </c>
      <c r="AC184" s="83" t="s">
        <v>405</v>
      </c>
      <c r="AD184" s="85" t="s">
        <v>574</v>
      </c>
      <c r="AE184" s="86" t="s">
        <v>462</v>
      </c>
      <c r="AG184" s="22"/>
    </row>
    <row r="185" spans="1:33" s="1" customFormat="1" ht="49.5" x14ac:dyDescent="0.25">
      <c r="A185" s="13">
        <f t="shared" ref="A185" si="58">B185*100+E185</f>
        <v>813202</v>
      </c>
      <c r="B185" s="14">
        <v>8132</v>
      </c>
      <c r="C185" s="1" t="s">
        <v>558</v>
      </c>
      <c r="D185" s="15" t="s">
        <v>567</v>
      </c>
      <c r="E185" s="3">
        <v>2</v>
      </c>
      <c r="F185" s="5" t="s">
        <v>396</v>
      </c>
      <c r="G185" s="3">
        <v>6</v>
      </c>
      <c r="H185" s="1">
        <v>8</v>
      </c>
      <c r="I185" s="1">
        <v>3</v>
      </c>
      <c r="J185" s="1" t="s">
        <v>454</v>
      </c>
      <c r="K185" s="1" t="s">
        <v>455</v>
      </c>
      <c r="L185" s="1" t="s">
        <v>600</v>
      </c>
      <c r="M185" s="1">
        <v>5184</v>
      </c>
      <c r="N185" s="1">
        <v>57600</v>
      </c>
      <c r="O185" s="1" t="s">
        <v>458</v>
      </c>
      <c r="P185" s="1">
        <v>1440</v>
      </c>
      <c r="Q185" s="1" t="s">
        <v>398</v>
      </c>
      <c r="R185" s="1">
        <v>10</v>
      </c>
      <c r="S185" s="18">
        <v>1064</v>
      </c>
      <c r="T185" s="16">
        <v>0.01</v>
      </c>
      <c r="V185" s="18" t="s">
        <v>568</v>
      </c>
      <c r="W185" s="18" t="s">
        <v>602</v>
      </c>
      <c r="X185" s="18" t="s">
        <v>570</v>
      </c>
      <c r="Y185" s="84" t="s">
        <v>603</v>
      </c>
      <c r="Z185" s="84"/>
      <c r="AA185" s="18" t="s">
        <v>572</v>
      </c>
      <c r="AB185" s="87" t="s">
        <v>604</v>
      </c>
      <c r="AC185" s="83" t="s">
        <v>405</v>
      </c>
      <c r="AD185" s="85" t="s">
        <v>574</v>
      </c>
      <c r="AE185" s="86" t="s">
        <v>462</v>
      </c>
      <c r="AG185" s="22"/>
    </row>
    <row r="186" spans="1:33" s="1" customFormat="1" ht="49.5" x14ac:dyDescent="0.25">
      <c r="A186" s="13">
        <f t="shared" si="45"/>
        <v>813203</v>
      </c>
      <c r="B186" s="14">
        <v>8132</v>
      </c>
      <c r="C186" s="1" t="s">
        <v>558</v>
      </c>
      <c r="D186" s="15" t="s">
        <v>567</v>
      </c>
      <c r="E186" s="3">
        <v>3</v>
      </c>
      <c r="F186" s="5" t="s">
        <v>396</v>
      </c>
      <c r="G186" s="3">
        <v>6</v>
      </c>
      <c r="H186" s="1">
        <v>8</v>
      </c>
      <c r="I186" s="1">
        <v>3</v>
      </c>
      <c r="J186" s="1" t="s">
        <v>454</v>
      </c>
      <c r="K186" s="1" t="s">
        <v>455</v>
      </c>
      <c r="L186" s="1" t="s">
        <v>600</v>
      </c>
      <c r="M186" s="1">
        <v>6480</v>
      </c>
      <c r="N186" s="1">
        <v>72000</v>
      </c>
      <c r="O186" s="1" t="s">
        <v>459</v>
      </c>
      <c r="P186" s="1">
        <v>1800</v>
      </c>
      <c r="Q186" s="1" t="s">
        <v>398</v>
      </c>
      <c r="R186" s="1">
        <v>10</v>
      </c>
      <c r="S186" s="18">
        <v>1064</v>
      </c>
      <c r="T186" s="16">
        <v>0.01</v>
      </c>
      <c r="V186" s="18" t="s">
        <v>568</v>
      </c>
      <c r="W186" s="18" t="s">
        <v>602</v>
      </c>
      <c r="X186" s="18" t="s">
        <v>570</v>
      </c>
      <c r="Y186" s="84" t="s">
        <v>603</v>
      </c>
      <c r="Z186" s="84"/>
      <c r="AA186" s="18" t="s">
        <v>572</v>
      </c>
      <c r="AB186" s="87" t="s">
        <v>604</v>
      </c>
      <c r="AC186" s="83" t="s">
        <v>405</v>
      </c>
      <c r="AD186" s="85" t="s">
        <v>574</v>
      </c>
      <c r="AE186" s="86" t="s">
        <v>462</v>
      </c>
      <c r="AG186" s="22"/>
    </row>
    <row r="187" spans="1:33" s="1" customFormat="1" ht="49.5" x14ac:dyDescent="0.25">
      <c r="A187" s="13">
        <f t="shared" si="45"/>
        <v>813204</v>
      </c>
      <c r="B187" s="14">
        <v>8132</v>
      </c>
      <c r="C187" s="1" t="s">
        <v>558</v>
      </c>
      <c r="D187" s="15" t="s">
        <v>567</v>
      </c>
      <c r="E187" s="3">
        <v>4</v>
      </c>
      <c r="F187" s="5" t="s">
        <v>396</v>
      </c>
      <c r="G187" s="3">
        <v>7</v>
      </c>
      <c r="H187" s="1">
        <v>8</v>
      </c>
      <c r="I187" s="1">
        <v>3</v>
      </c>
      <c r="J187" s="1" t="s">
        <v>454</v>
      </c>
      <c r="K187" s="1" t="s">
        <v>455</v>
      </c>
      <c r="L187" s="1" t="s">
        <v>600</v>
      </c>
      <c r="M187" s="1">
        <v>8640</v>
      </c>
      <c r="N187" s="1">
        <v>84000</v>
      </c>
      <c r="O187" s="1" t="s">
        <v>460</v>
      </c>
      <c r="P187" s="1">
        <v>2400</v>
      </c>
      <c r="Q187" s="1" t="s">
        <v>398</v>
      </c>
      <c r="R187" s="1">
        <v>10</v>
      </c>
      <c r="S187" s="18">
        <v>1064</v>
      </c>
      <c r="T187" s="16">
        <v>0.01</v>
      </c>
      <c r="V187" s="18" t="s">
        <v>568</v>
      </c>
      <c r="W187" s="18" t="s">
        <v>602</v>
      </c>
      <c r="X187" s="18" t="s">
        <v>570</v>
      </c>
      <c r="Y187" s="84" t="s">
        <v>603</v>
      </c>
      <c r="Z187" s="84"/>
      <c r="AA187" s="18" t="s">
        <v>572</v>
      </c>
      <c r="AB187" s="87" t="s">
        <v>604</v>
      </c>
      <c r="AC187" s="83" t="s">
        <v>405</v>
      </c>
      <c r="AD187" s="85" t="s">
        <v>574</v>
      </c>
      <c r="AE187" s="86" t="s">
        <v>462</v>
      </c>
      <c r="AG187" s="22"/>
    </row>
    <row r="188" spans="1:33" s="1" customFormat="1" ht="49.5" x14ac:dyDescent="0.25">
      <c r="A188" s="13">
        <f t="shared" si="45"/>
        <v>813205</v>
      </c>
      <c r="B188" s="14">
        <v>8132</v>
      </c>
      <c r="C188" s="1" t="s">
        <v>558</v>
      </c>
      <c r="D188" s="15" t="s">
        <v>567</v>
      </c>
      <c r="E188" s="3">
        <v>5</v>
      </c>
      <c r="F188" s="5" t="s">
        <v>396</v>
      </c>
      <c r="G188" s="3">
        <v>7</v>
      </c>
      <c r="H188" s="1">
        <v>8</v>
      </c>
      <c r="I188" s="1">
        <v>3</v>
      </c>
      <c r="J188" s="1" t="s">
        <v>454</v>
      </c>
      <c r="K188" s="1" t="s">
        <v>455</v>
      </c>
      <c r="L188" s="1" t="s">
        <v>600</v>
      </c>
      <c r="M188" s="1">
        <v>12960</v>
      </c>
      <c r="N188" s="1">
        <v>96000</v>
      </c>
      <c r="O188" s="1" t="s">
        <v>461</v>
      </c>
      <c r="P188" s="1">
        <v>3600</v>
      </c>
      <c r="Q188" s="1" t="s">
        <v>398</v>
      </c>
      <c r="R188" s="1">
        <v>10</v>
      </c>
      <c r="S188" s="18">
        <v>1064</v>
      </c>
      <c r="T188" s="16">
        <v>0.01</v>
      </c>
      <c r="V188" s="18" t="s">
        <v>568</v>
      </c>
      <c r="W188" s="18" t="s">
        <v>602</v>
      </c>
      <c r="X188" s="18" t="s">
        <v>570</v>
      </c>
      <c r="Y188" s="84" t="s">
        <v>603</v>
      </c>
      <c r="Z188" s="84"/>
      <c r="AA188" s="18" t="s">
        <v>572</v>
      </c>
      <c r="AB188" s="87" t="s">
        <v>604</v>
      </c>
      <c r="AC188" s="83" t="s">
        <v>405</v>
      </c>
      <c r="AD188" s="85" t="s">
        <v>574</v>
      </c>
      <c r="AE188" s="86" t="s">
        <v>462</v>
      </c>
      <c r="AG188" s="22"/>
    </row>
    <row r="189" spans="1:33" s="1" customFormat="1" ht="49.5" x14ac:dyDescent="0.25">
      <c r="A189" s="13">
        <f t="shared" si="45"/>
        <v>814101</v>
      </c>
      <c r="B189" s="14">
        <v>8141</v>
      </c>
      <c r="C189" s="1" t="s">
        <v>558</v>
      </c>
      <c r="D189" s="12" t="s">
        <v>575</v>
      </c>
      <c r="E189" s="3">
        <v>1</v>
      </c>
      <c r="F189" s="5" t="s">
        <v>396</v>
      </c>
      <c r="G189" s="3">
        <v>9</v>
      </c>
      <c r="H189" s="1">
        <v>8</v>
      </c>
      <c r="I189" s="1">
        <v>4</v>
      </c>
      <c r="J189" s="1" t="s">
        <v>463</v>
      </c>
      <c r="K189" s="1" t="s">
        <v>464</v>
      </c>
      <c r="L189" s="1" t="s">
        <v>605</v>
      </c>
      <c r="M189" s="1">
        <v>5040</v>
      </c>
      <c r="N189" s="1">
        <v>56000</v>
      </c>
      <c r="O189" s="1" t="s">
        <v>466</v>
      </c>
      <c r="P189" s="1">
        <v>1400</v>
      </c>
      <c r="Q189" s="1" t="s">
        <v>398</v>
      </c>
      <c r="R189" s="1">
        <v>10</v>
      </c>
      <c r="S189" s="18">
        <v>6030</v>
      </c>
      <c r="T189" s="16">
        <v>5.0000000000000001E-3</v>
      </c>
      <c r="V189" s="18" t="s">
        <v>577</v>
      </c>
      <c r="W189" s="18" t="s">
        <v>578</v>
      </c>
      <c r="X189" s="18" t="s">
        <v>579</v>
      </c>
      <c r="Y189" s="84" t="s">
        <v>580</v>
      </c>
      <c r="Z189" s="84"/>
      <c r="AA189" s="18" t="s">
        <v>581</v>
      </c>
      <c r="AB189" s="87" t="s">
        <v>582</v>
      </c>
      <c r="AC189" s="83" t="s">
        <v>405</v>
      </c>
      <c r="AD189" s="85" t="s">
        <v>583</v>
      </c>
      <c r="AE189" s="86" t="s">
        <v>467</v>
      </c>
      <c r="AG189" s="22"/>
    </row>
    <row r="190" spans="1:33" s="1" customFormat="1" ht="49.5" x14ac:dyDescent="0.25">
      <c r="A190" s="13">
        <f t="shared" si="45"/>
        <v>814102</v>
      </c>
      <c r="B190" s="14">
        <v>8141</v>
      </c>
      <c r="C190" s="1" t="s">
        <v>558</v>
      </c>
      <c r="D190" s="12" t="s">
        <v>575</v>
      </c>
      <c r="E190" s="3">
        <v>2</v>
      </c>
      <c r="F190" s="5" t="s">
        <v>396</v>
      </c>
      <c r="G190" s="3">
        <v>9</v>
      </c>
      <c r="H190" s="1">
        <v>8</v>
      </c>
      <c r="I190" s="1">
        <v>4</v>
      </c>
      <c r="J190" s="1" t="s">
        <v>463</v>
      </c>
      <c r="K190" s="1" t="s">
        <v>464</v>
      </c>
      <c r="L190" s="1" t="s">
        <v>605</v>
      </c>
      <c r="M190" s="1">
        <v>6048</v>
      </c>
      <c r="N190" s="1">
        <v>67200</v>
      </c>
      <c r="O190" s="1" t="s">
        <v>468</v>
      </c>
      <c r="P190" s="1">
        <v>1680</v>
      </c>
      <c r="Q190" s="1" t="s">
        <v>398</v>
      </c>
      <c r="R190" s="1">
        <v>10</v>
      </c>
      <c r="S190" s="18">
        <v>6030</v>
      </c>
      <c r="T190" s="16">
        <v>5.0000000000000001E-3</v>
      </c>
      <c r="V190" s="18" t="s">
        <v>577</v>
      </c>
      <c r="W190" s="18" t="s">
        <v>578</v>
      </c>
      <c r="X190" s="18" t="s">
        <v>579</v>
      </c>
      <c r="Y190" s="84" t="s">
        <v>580</v>
      </c>
      <c r="Z190" s="84"/>
      <c r="AA190" s="18" t="s">
        <v>581</v>
      </c>
      <c r="AB190" s="87" t="s">
        <v>582</v>
      </c>
      <c r="AC190" s="83" t="s">
        <v>405</v>
      </c>
      <c r="AD190" s="85" t="s">
        <v>583</v>
      </c>
      <c r="AE190" s="86" t="s">
        <v>467</v>
      </c>
      <c r="AG190" s="22"/>
    </row>
    <row r="191" spans="1:33" s="1" customFormat="1" ht="49.5" x14ac:dyDescent="0.25">
      <c r="A191" s="13">
        <f t="shared" si="45"/>
        <v>814103</v>
      </c>
      <c r="B191" s="14">
        <v>8141</v>
      </c>
      <c r="C191" s="1" t="s">
        <v>558</v>
      </c>
      <c r="D191" s="12" t="s">
        <v>575</v>
      </c>
      <c r="E191" s="3">
        <v>3</v>
      </c>
      <c r="F191" s="5" t="s">
        <v>396</v>
      </c>
      <c r="G191" s="3">
        <v>9</v>
      </c>
      <c r="H191" s="1">
        <v>8</v>
      </c>
      <c r="I191" s="1">
        <v>4</v>
      </c>
      <c r="J191" s="1" t="s">
        <v>463</v>
      </c>
      <c r="K191" s="1" t="s">
        <v>464</v>
      </c>
      <c r="L191" s="1" t="s">
        <v>605</v>
      </c>
      <c r="M191" s="1">
        <v>7560</v>
      </c>
      <c r="N191" s="1">
        <v>84000</v>
      </c>
      <c r="O191" s="1" t="s">
        <v>436</v>
      </c>
      <c r="P191" s="1">
        <v>2100</v>
      </c>
      <c r="Q191" s="1" t="s">
        <v>398</v>
      </c>
      <c r="R191" s="1">
        <v>10</v>
      </c>
      <c r="S191" s="18">
        <v>6030</v>
      </c>
      <c r="T191" s="16">
        <v>5.0000000000000001E-3</v>
      </c>
      <c r="V191" s="18" t="s">
        <v>577</v>
      </c>
      <c r="W191" s="18" t="s">
        <v>578</v>
      </c>
      <c r="X191" s="18" t="s">
        <v>579</v>
      </c>
      <c r="Y191" s="84" t="s">
        <v>580</v>
      </c>
      <c r="Z191" s="84"/>
      <c r="AA191" s="18" t="s">
        <v>581</v>
      </c>
      <c r="AB191" s="87" t="s">
        <v>582</v>
      </c>
      <c r="AC191" s="83" t="s">
        <v>405</v>
      </c>
      <c r="AD191" s="85" t="s">
        <v>583</v>
      </c>
      <c r="AE191" s="86" t="s">
        <v>467</v>
      </c>
      <c r="AG191" s="22"/>
    </row>
    <row r="192" spans="1:33" s="1" customFormat="1" ht="49.5" x14ac:dyDescent="0.25">
      <c r="A192" s="13">
        <f t="shared" si="45"/>
        <v>814104</v>
      </c>
      <c r="B192" s="14">
        <v>8141</v>
      </c>
      <c r="C192" s="1" t="s">
        <v>558</v>
      </c>
      <c r="D192" s="12" t="s">
        <v>575</v>
      </c>
      <c r="E192" s="3">
        <v>4</v>
      </c>
      <c r="F192" s="5" t="s">
        <v>396</v>
      </c>
      <c r="G192" s="3">
        <v>10</v>
      </c>
      <c r="H192" s="1">
        <v>8</v>
      </c>
      <c r="I192" s="1">
        <v>4</v>
      </c>
      <c r="J192" s="1" t="s">
        <v>463</v>
      </c>
      <c r="K192" s="1" t="s">
        <v>464</v>
      </c>
      <c r="L192" s="1" t="s">
        <v>605</v>
      </c>
      <c r="M192" s="1">
        <v>10080</v>
      </c>
      <c r="N192" s="1">
        <v>98000</v>
      </c>
      <c r="O192" s="1" t="s">
        <v>469</v>
      </c>
      <c r="P192" s="1">
        <v>2800</v>
      </c>
      <c r="Q192" s="1" t="s">
        <v>398</v>
      </c>
      <c r="R192" s="1">
        <v>10</v>
      </c>
      <c r="S192" s="18">
        <v>6030</v>
      </c>
      <c r="T192" s="16">
        <v>5.0000000000000001E-3</v>
      </c>
      <c r="V192" s="18" t="s">
        <v>577</v>
      </c>
      <c r="W192" s="18" t="s">
        <v>578</v>
      </c>
      <c r="X192" s="18" t="s">
        <v>579</v>
      </c>
      <c r="Y192" s="84" t="s">
        <v>580</v>
      </c>
      <c r="Z192" s="84"/>
      <c r="AA192" s="18" t="s">
        <v>581</v>
      </c>
      <c r="AB192" s="87" t="s">
        <v>582</v>
      </c>
      <c r="AC192" s="83" t="s">
        <v>405</v>
      </c>
      <c r="AD192" s="85" t="s">
        <v>583</v>
      </c>
      <c r="AE192" s="86" t="s">
        <v>467</v>
      </c>
      <c r="AG192" s="22"/>
    </row>
    <row r="193" spans="1:33" s="1" customFormat="1" ht="49.5" x14ac:dyDescent="0.25">
      <c r="A193" s="13">
        <f t="shared" ref="A193:A203" si="59">B193*100+E193</f>
        <v>814105</v>
      </c>
      <c r="B193" s="14">
        <v>8141</v>
      </c>
      <c r="C193" s="1" t="s">
        <v>558</v>
      </c>
      <c r="D193" s="12" t="s">
        <v>575</v>
      </c>
      <c r="E193" s="3">
        <v>5</v>
      </c>
      <c r="F193" s="5" t="s">
        <v>396</v>
      </c>
      <c r="G193" s="3">
        <v>10</v>
      </c>
      <c r="H193" s="1">
        <v>8</v>
      </c>
      <c r="I193" s="1">
        <v>4</v>
      </c>
      <c r="J193" s="1" t="s">
        <v>463</v>
      </c>
      <c r="K193" s="1" t="s">
        <v>464</v>
      </c>
      <c r="L193" s="1" t="s">
        <v>605</v>
      </c>
      <c r="M193" s="1">
        <v>15120</v>
      </c>
      <c r="N193" s="1">
        <v>112000</v>
      </c>
      <c r="O193" s="1" t="s">
        <v>470</v>
      </c>
      <c r="P193" s="1">
        <v>4200</v>
      </c>
      <c r="Q193" s="1" t="s">
        <v>398</v>
      </c>
      <c r="R193" s="1">
        <v>10</v>
      </c>
      <c r="S193" s="18">
        <v>6030</v>
      </c>
      <c r="T193" s="16">
        <v>5.0000000000000001E-3</v>
      </c>
      <c r="V193" s="18" t="s">
        <v>577</v>
      </c>
      <c r="W193" s="18" t="s">
        <v>578</v>
      </c>
      <c r="X193" s="18" t="s">
        <v>579</v>
      </c>
      <c r="Y193" s="84" t="s">
        <v>580</v>
      </c>
      <c r="Z193" s="84"/>
      <c r="AA193" s="18" t="s">
        <v>581</v>
      </c>
      <c r="AB193" s="87" t="s">
        <v>582</v>
      </c>
      <c r="AC193" s="83" t="s">
        <v>405</v>
      </c>
      <c r="AD193" s="85" t="s">
        <v>583</v>
      </c>
      <c r="AE193" s="86" t="s">
        <v>467</v>
      </c>
      <c r="AG193" s="22"/>
    </row>
    <row r="194" spans="1:33" s="1" customFormat="1" ht="49.5" x14ac:dyDescent="0.25">
      <c r="A194" s="13">
        <f t="shared" si="59"/>
        <v>814201</v>
      </c>
      <c r="B194" s="14">
        <v>8142</v>
      </c>
      <c r="C194" s="1" t="s">
        <v>558</v>
      </c>
      <c r="D194" s="15" t="s">
        <v>584</v>
      </c>
      <c r="E194" s="3">
        <v>1</v>
      </c>
      <c r="F194" s="5" t="s">
        <v>396</v>
      </c>
      <c r="G194" s="3">
        <v>9</v>
      </c>
      <c r="H194" s="1">
        <v>8</v>
      </c>
      <c r="I194" s="1">
        <v>4</v>
      </c>
      <c r="J194" s="1" t="s">
        <v>463</v>
      </c>
      <c r="K194" s="1" t="s">
        <v>464</v>
      </c>
      <c r="L194" s="1" t="s">
        <v>605</v>
      </c>
      <c r="M194" s="1">
        <v>5040</v>
      </c>
      <c r="N194" s="1">
        <v>56000</v>
      </c>
      <c r="O194" s="1" t="s">
        <v>466</v>
      </c>
      <c r="P194" s="1">
        <v>1400</v>
      </c>
      <c r="Q194" s="1" t="s">
        <v>398</v>
      </c>
      <c r="R194" s="1">
        <v>10</v>
      </c>
      <c r="S194" s="18">
        <v>6046</v>
      </c>
      <c r="T194" s="16">
        <v>5.0000000000000001E-3</v>
      </c>
      <c r="V194" s="18" t="s">
        <v>585</v>
      </c>
      <c r="W194" s="18" t="s">
        <v>586</v>
      </c>
      <c r="X194" s="18" t="s">
        <v>587</v>
      </c>
      <c r="Y194" s="84" t="s">
        <v>588</v>
      </c>
      <c r="Z194" s="84"/>
      <c r="AA194" s="18" t="s">
        <v>589</v>
      </c>
      <c r="AB194" s="87" t="s">
        <v>590</v>
      </c>
      <c r="AC194" s="83" t="s">
        <v>405</v>
      </c>
      <c r="AD194" s="85" t="s">
        <v>591</v>
      </c>
      <c r="AE194" s="86" t="s">
        <v>471</v>
      </c>
      <c r="AG194" s="22"/>
    </row>
    <row r="195" spans="1:33" s="1" customFormat="1" ht="49.5" x14ac:dyDescent="0.25">
      <c r="A195" s="13">
        <f t="shared" si="59"/>
        <v>814202</v>
      </c>
      <c r="B195" s="14">
        <v>8142</v>
      </c>
      <c r="C195" s="1" t="s">
        <v>558</v>
      </c>
      <c r="D195" s="15" t="s">
        <v>584</v>
      </c>
      <c r="E195" s="3">
        <v>2</v>
      </c>
      <c r="F195" s="5" t="s">
        <v>396</v>
      </c>
      <c r="G195" s="3">
        <v>9</v>
      </c>
      <c r="H195" s="1">
        <v>8</v>
      </c>
      <c r="I195" s="1">
        <v>4</v>
      </c>
      <c r="J195" s="1" t="s">
        <v>463</v>
      </c>
      <c r="K195" s="1" t="s">
        <v>464</v>
      </c>
      <c r="L195" s="1" t="s">
        <v>605</v>
      </c>
      <c r="M195" s="1">
        <v>6048</v>
      </c>
      <c r="N195" s="1">
        <v>67200</v>
      </c>
      <c r="O195" s="1" t="s">
        <v>468</v>
      </c>
      <c r="P195" s="1">
        <v>1680</v>
      </c>
      <c r="Q195" s="1" t="s">
        <v>398</v>
      </c>
      <c r="R195" s="1">
        <v>10</v>
      </c>
      <c r="S195" s="18">
        <v>6046</v>
      </c>
      <c r="T195" s="16">
        <v>5.0000000000000001E-3</v>
      </c>
      <c r="V195" s="18" t="s">
        <v>585</v>
      </c>
      <c r="W195" s="18" t="s">
        <v>586</v>
      </c>
      <c r="X195" s="18" t="s">
        <v>587</v>
      </c>
      <c r="Y195" s="84" t="s">
        <v>588</v>
      </c>
      <c r="Z195" s="84"/>
      <c r="AA195" s="18" t="s">
        <v>589</v>
      </c>
      <c r="AB195" s="87" t="s">
        <v>590</v>
      </c>
      <c r="AC195" s="83" t="s">
        <v>405</v>
      </c>
      <c r="AD195" s="85" t="s">
        <v>591</v>
      </c>
      <c r="AE195" s="86" t="s">
        <v>471</v>
      </c>
      <c r="AG195" s="22"/>
    </row>
    <row r="196" spans="1:33" s="1" customFormat="1" ht="49.5" x14ac:dyDescent="0.25">
      <c r="A196" s="13">
        <f t="shared" si="59"/>
        <v>814203</v>
      </c>
      <c r="B196" s="14">
        <v>8142</v>
      </c>
      <c r="C196" s="1" t="s">
        <v>558</v>
      </c>
      <c r="D196" s="15" t="s">
        <v>584</v>
      </c>
      <c r="E196" s="3">
        <v>3</v>
      </c>
      <c r="F196" s="5" t="s">
        <v>396</v>
      </c>
      <c r="G196" s="3">
        <v>9</v>
      </c>
      <c r="H196" s="1">
        <v>8</v>
      </c>
      <c r="I196" s="1">
        <v>4</v>
      </c>
      <c r="J196" s="1" t="s">
        <v>463</v>
      </c>
      <c r="K196" s="1" t="s">
        <v>464</v>
      </c>
      <c r="L196" s="1" t="s">
        <v>605</v>
      </c>
      <c r="M196" s="1">
        <v>7560</v>
      </c>
      <c r="N196" s="1">
        <v>84000</v>
      </c>
      <c r="O196" s="1" t="s">
        <v>436</v>
      </c>
      <c r="P196" s="1">
        <v>2100</v>
      </c>
      <c r="Q196" s="1" t="s">
        <v>398</v>
      </c>
      <c r="R196" s="1">
        <v>10</v>
      </c>
      <c r="S196" s="18">
        <v>6046</v>
      </c>
      <c r="T196" s="16">
        <v>5.0000000000000001E-3</v>
      </c>
      <c r="V196" s="18" t="s">
        <v>585</v>
      </c>
      <c r="W196" s="18" t="s">
        <v>586</v>
      </c>
      <c r="X196" s="18" t="s">
        <v>587</v>
      </c>
      <c r="Y196" s="84" t="s">
        <v>588</v>
      </c>
      <c r="Z196" s="84"/>
      <c r="AA196" s="18" t="s">
        <v>589</v>
      </c>
      <c r="AB196" s="87" t="s">
        <v>590</v>
      </c>
      <c r="AC196" s="83" t="s">
        <v>405</v>
      </c>
      <c r="AD196" s="85" t="s">
        <v>591</v>
      </c>
      <c r="AE196" s="86" t="s">
        <v>471</v>
      </c>
      <c r="AG196" s="22"/>
    </row>
    <row r="197" spans="1:33" s="1" customFormat="1" ht="49.5" x14ac:dyDescent="0.25">
      <c r="A197" s="13">
        <f t="shared" si="59"/>
        <v>814204</v>
      </c>
      <c r="B197" s="14">
        <v>8142</v>
      </c>
      <c r="C197" s="1" t="s">
        <v>558</v>
      </c>
      <c r="D197" s="15" t="s">
        <v>584</v>
      </c>
      <c r="E197" s="3">
        <v>4</v>
      </c>
      <c r="F197" s="5" t="s">
        <v>396</v>
      </c>
      <c r="G197" s="3">
        <v>10</v>
      </c>
      <c r="H197" s="1">
        <v>8</v>
      </c>
      <c r="I197" s="1">
        <v>4</v>
      </c>
      <c r="J197" s="1" t="s">
        <v>463</v>
      </c>
      <c r="K197" s="1" t="s">
        <v>464</v>
      </c>
      <c r="L197" s="1" t="s">
        <v>605</v>
      </c>
      <c r="M197" s="1">
        <v>10080</v>
      </c>
      <c r="N197" s="1">
        <v>98000</v>
      </c>
      <c r="O197" s="1" t="s">
        <v>469</v>
      </c>
      <c r="P197" s="1">
        <v>2800</v>
      </c>
      <c r="Q197" s="1" t="s">
        <v>398</v>
      </c>
      <c r="R197" s="1">
        <v>10</v>
      </c>
      <c r="S197" s="18">
        <v>6046</v>
      </c>
      <c r="T197" s="16">
        <v>5.0000000000000001E-3</v>
      </c>
      <c r="V197" s="18" t="s">
        <v>585</v>
      </c>
      <c r="W197" s="18" t="s">
        <v>586</v>
      </c>
      <c r="X197" s="18" t="s">
        <v>587</v>
      </c>
      <c r="Y197" s="84" t="s">
        <v>588</v>
      </c>
      <c r="Z197" s="84"/>
      <c r="AA197" s="18" t="s">
        <v>589</v>
      </c>
      <c r="AB197" s="87" t="s">
        <v>590</v>
      </c>
      <c r="AC197" s="83" t="s">
        <v>405</v>
      </c>
      <c r="AD197" s="85" t="s">
        <v>591</v>
      </c>
      <c r="AE197" s="86" t="s">
        <v>471</v>
      </c>
      <c r="AG197" s="22"/>
    </row>
    <row r="198" spans="1:33" s="1" customFormat="1" ht="49.5" x14ac:dyDescent="0.25">
      <c r="A198" s="13">
        <f t="shared" si="59"/>
        <v>814205</v>
      </c>
      <c r="B198" s="14">
        <v>8142</v>
      </c>
      <c r="C198" s="1" t="s">
        <v>558</v>
      </c>
      <c r="D198" s="15" t="s">
        <v>584</v>
      </c>
      <c r="E198" s="3">
        <v>5</v>
      </c>
      <c r="F198" s="5" t="s">
        <v>396</v>
      </c>
      <c r="G198" s="3">
        <v>10</v>
      </c>
      <c r="H198" s="1">
        <v>8</v>
      </c>
      <c r="I198" s="1">
        <v>4</v>
      </c>
      <c r="J198" s="1" t="s">
        <v>463</v>
      </c>
      <c r="K198" s="1" t="s">
        <v>464</v>
      </c>
      <c r="L198" s="1" t="s">
        <v>605</v>
      </c>
      <c r="M198" s="1">
        <v>15120</v>
      </c>
      <c r="N198" s="1">
        <v>112000</v>
      </c>
      <c r="O198" s="1" t="s">
        <v>470</v>
      </c>
      <c r="P198" s="1">
        <v>4200</v>
      </c>
      <c r="Q198" s="1" t="s">
        <v>398</v>
      </c>
      <c r="R198" s="1">
        <v>10</v>
      </c>
      <c r="S198" s="18">
        <v>6046</v>
      </c>
      <c r="T198" s="16">
        <v>5.0000000000000001E-3</v>
      </c>
      <c r="V198" s="18" t="s">
        <v>585</v>
      </c>
      <c r="W198" s="18" t="s">
        <v>586</v>
      </c>
      <c r="X198" s="18" t="s">
        <v>587</v>
      </c>
      <c r="Y198" s="84" t="s">
        <v>588</v>
      </c>
      <c r="Z198" s="84"/>
      <c r="AA198" s="18" t="s">
        <v>589</v>
      </c>
      <c r="AB198" s="87" t="s">
        <v>590</v>
      </c>
      <c r="AC198" s="83" t="s">
        <v>405</v>
      </c>
      <c r="AD198" s="85" t="s">
        <v>591</v>
      </c>
      <c r="AE198" s="86" t="s">
        <v>471</v>
      </c>
      <c r="AG198" s="22"/>
    </row>
    <row r="199" spans="1:33" s="1" customFormat="1" ht="49.5" x14ac:dyDescent="0.25">
      <c r="A199" s="13">
        <f t="shared" si="59"/>
        <v>814301</v>
      </c>
      <c r="B199" s="14">
        <v>8143</v>
      </c>
      <c r="C199" s="1" t="s">
        <v>558</v>
      </c>
      <c r="D199" s="15" t="s">
        <v>592</v>
      </c>
      <c r="E199" s="3">
        <v>1</v>
      </c>
      <c r="F199" s="5" t="s">
        <v>396</v>
      </c>
      <c r="G199" s="3">
        <v>9</v>
      </c>
      <c r="H199" s="1">
        <v>8</v>
      </c>
      <c r="I199" s="1">
        <v>4</v>
      </c>
      <c r="J199" s="1" t="s">
        <v>463</v>
      </c>
      <c r="K199" s="1" t="s">
        <v>464</v>
      </c>
      <c r="L199" s="1" t="s">
        <v>605</v>
      </c>
      <c r="M199" s="1">
        <v>5040</v>
      </c>
      <c r="N199" s="1">
        <v>56000</v>
      </c>
      <c r="O199" s="1" t="s">
        <v>466</v>
      </c>
      <c r="P199" s="1">
        <v>1400</v>
      </c>
      <c r="Q199" s="1" t="s">
        <v>398</v>
      </c>
      <c r="R199" s="1">
        <v>10</v>
      </c>
      <c r="S199" s="18">
        <v>6040</v>
      </c>
      <c r="T199" s="16">
        <v>0.01</v>
      </c>
      <c r="V199" s="18" t="s">
        <v>593</v>
      </c>
      <c r="W199" s="18" t="s">
        <v>594</v>
      </c>
      <c r="X199" s="18" t="s">
        <v>595</v>
      </c>
      <c r="Y199" s="84" t="s">
        <v>596</v>
      </c>
      <c r="Z199" s="84"/>
      <c r="AA199" s="18" t="s">
        <v>597</v>
      </c>
      <c r="AB199" s="87" t="s">
        <v>598</v>
      </c>
      <c r="AC199" s="83" t="s">
        <v>405</v>
      </c>
      <c r="AD199" s="85" t="s">
        <v>599</v>
      </c>
      <c r="AE199" s="86" t="s">
        <v>472</v>
      </c>
      <c r="AG199" s="22"/>
    </row>
    <row r="200" spans="1:33" s="1" customFormat="1" ht="49.5" x14ac:dyDescent="0.25">
      <c r="A200" s="13">
        <f t="shared" si="59"/>
        <v>814302</v>
      </c>
      <c r="B200" s="14">
        <v>8143</v>
      </c>
      <c r="C200" s="1" t="s">
        <v>558</v>
      </c>
      <c r="D200" s="15" t="s">
        <v>592</v>
      </c>
      <c r="E200" s="3">
        <v>2</v>
      </c>
      <c r="F200" s="5" t="s">
        <v>396</v>
      </c>
      <c r="G200" s="3">
        <v>9</v>
      </c>
      <c r="H200" s="1">
        <v>8</v>
      </c>
      <c r="I200" s="1">
        <v>4</v>
      </c>
      <c r="J200" s="1" t="s">
        <v>463</v>
      </c>
      <c r="K200" s="1" t="s">
        <v>464</v>
      </c>
      <c r="L200" s="1" t="s">
        <v>605</v>
      </c>
      <c r="M200" s="1">
        <v>6048</v>
      </c>
      <c r="N200" s="1">
        <v>67200</v>
      </c>
      <c r="O200" s="1" t="s">
        <v>468</v>
      </c>
      <c r="P200" s="1">
        <v>1680</v>
      </c>
      <c r="Q200" s="1" t="s">
        <v>398</v>
      </c>
      <c r="R200" s="1">
        <v>10</v>
      </c>
      <c r="S200" s="18">
        <v>6040</v>
      </c>
      <c r="T200" s="16">
        <v>0.01</v>
      </c>
      <c r="V200" s="18" t="s">
        <v>593</v>
      </c>
      <c r="W200" s="18" t="s">
        <v>594</v>
      </c>
      <c r="X200" s="18" t="s">
        <v>595</v>
      </c>
      <c r="Y200" s="84" t="s">
        <v>596</v>
      </c>
      <c r="Z200" s="84"/>
      <c r="AA200" s="18" t="s">
        <v>597</v>
      </c>
      <c r="AB200" s="87" t="s">
        <v>598</v>
      </c>
      <c r="AC200" s="83" t="s">
        <v>405</v>
      </c>
      <c r="AD200" s="85" t="s">
        <v>599</v>
      </c>
      <c r="AE200" s="86" t="s">
        <v>472</v>
      </c>
      <c r="AG200" s="22"/>
    </row>
    <row r="201" spans="1:33" s="1" customFormat="1" ht="49.5" x14ac:dyDescent="0.25">
      <c r="A201" s="13">
        <f t="shared" si="59"/>
        <v>814303</v>
      </c>
      <c r="B201" s="14">
        <v>8143</v>
      </c>
      <c r="C201" s="1" t="s">
        <v>558</v>
      </c>
      <c r="D201" s="15" t="s">
        <v>592</v>
      </c>
      <c r="E201" s="3">
        <v>3</v>
      </c>
      <c r="F201" s="5" t="s">
        <v>396</v>
      </c>
      <c r="G201" s="3">
        <v>9</v>
      </c>
      <c r="H201" s="1">
        <v>8</v>
      </c>
      <c r="I201" s="1">
        <v>4</v>
      </c>
      <c r="J201" s="1" t="s">
        <v>463</v>
      </c>
      <c r="K201" s="1" t="s">
        <v>464</v>
      </c>
      <c r="L201" s="1" t="s">
        <v>605</v>
      </c>
      <c r="M201" s="1">
        <v>7560</v>
      </c>
      <c r="N201" s="1">
        <v>84000</v>
      </c>
      <c r="O201" s="1" t="s">
        <v>436</v>
      </c>
      <c r="P201" s="1">
        <v>2100</v>
      </c>
      <c r="Q201" s="1" t="s">
        <v>398</v>
      </c>
      <c r="R201" s="1">
        <v>10</v>
      </c>
      <c r="S201" s="18">
        <v>6040</v>
      </c>
      <c r="T201" s="16">
        <v>0.01</v>
      </c>
      <c r="V201" s="18" t="s">
        <v>593</v>
      </c>
      <c r="W201" s="18" t="s">
        <v>594</v>
      </c>
      <c r="X201" s="18" t="s">
        <v>595</v>
      </c>
      <c r="Y201" s="84" t="s">
        <v>596</v>
      </c>
      <c r="Z201" s="84"/>
      <c r="AA201" s="18" t="s">
        <v>597</v>
      </c>
      <c r="AB201" s="87" t="s">
        <v>598</v>
      </c>
      <c r="AC201" s="83" t="s">
        <v>405</v>
      </c>
      <c r="AD201" s="85" t="s">
        <v>599</v>
      </c>
      <c r="AE201" s="86" t="s">
        <v>472</v>
      </c>
      <c r="AG201" s="22"/>
    </row>
    <row r="202" spans="1:33" s="1" customFormat="1" ht="49.5" x14ac:dyDescent="0.25">
      <c r="A202" s="13">
        <f t="shared" si="59"/>
        <v>814304</v>
      </c>
      <c r="B202" s="14">
        <v>8143</v>
      </c>
      <c r="C202" s="1" t="s">
        <v>558</v>
      </c>
      <c r="D202" s="15" t="s">
        <v>592</v>
      </c>
      <c r="E202" s="3">
        <v>4</v>
      </c>
      <c r="F202" s="5" t="s">
        <v>396</v>
      </c>
      <c r="G202" s="3">
        <v>10</v>
      </c>
      <c r="H202" s="1">
        <v>8</v>
      </c>
      <c r="I202" s="1">
        <v>4</v>
      </c>
      <c r="J202" s="1" t="s">
        <v>463</v>
      </c>
      <c r="K202" s="1" t="s">
        <v>464</v>
      </c>
      <c r="L202" s="1" t="s">
        <v>605</v>
      </c>
      <c r="M202" s="1">
        <v>10080</v>
      </c>
      <c r="N202" s="1">
        <v>98000</v>
      </c>
      <c r="O202" s="1" t="s">
        <v>469</v>
      </c>
      <c r="P202" s="1">
        <v>2800</v>
      </c>
      <c r="Q202" s="1" t="s">
        <v>398</v>
      </c>
      <c r="R202" s="1">
        <v>10</v>
      </c>
      <c r="S202" s="18">
        <v>6040</v>
      </c>
      <c r="T202" s="16">
        <v>0.01</v>
      </c>
      <c r="V202" s="18" t="s">
        <v>593</v>
      </c>
      <c r="W202" s="18" t="s">
        <v>594</v>
      </c>
      <c r="X202" s="18" t="s">
        <v>595</v>
      </c>
      <c r="Y202" s="84" t="s">
        <v>596</v>
      </c>
      <c r="Z202" s="84"/>
      <c r="AA202" s="18" t="s">
        <v>597</v>
      </c>
      <c r="AB202" s="87" t="s">
        <v>598</v>
      </c>
      <c r="AC202" s="83" t="s">
        <v>405</v>
      </c>
      <c r="AD202" s="85" t="s">
        <v>599</v>
      </c>
      <c r="AE202" s="86" t="s">
        <v>472</v>
      </c>
      <c r="AG202" s="22"/>
    </row>
    <row r="203" spans="1:33" s="1" customFormat="1" ht="49.5" x14ac:dyDescent="0.25">
      <c r="A203" s="13">
        <f t="shared" si="59"/>
        <v>814305</v>
      </c>
      <c r="B203" s="14">
        <v>8143</v>
      </c>
      <c r="C203" s="1" t="s">
        <v>558</v>
      </c>
      <c r="D203" s="15" t="s">
        <v>592</v>
      </c>
      <c r="E203" s="3">
        <v>5</v>
      </c>
      <c r="F203" s="5" t="s">
        <v>396</v>
      </c>
      <c r="G203" s="3">
        <v>10</v>
      </c>
      <c r="H203" s="1">
        <v>8</v>
      </c>
      <c r="I203" s="1">
        <v>4</v>
      </c>
      <c r="J203" s="1" t="s">
        <v>463</v>
      </c>
      <c r="K203" s="1" t="s">
        <v>464</v>
      </c>
      <c r="L203" s="1" t="s">
        <v>605</v>
      </c>
      <c r="M203" s="1">
        <v>15120</v>
      </c>
      <c r="N203" s="1">
        <v>112000</v>
      </c>
      <c r="O203" s="1" t="s">
        <v>470</v>
      </c>
      <c r="P203" s="1">
        <v>4200</v>
      </c>
      <c r="Q203" s="1" t="s">
        <v>398</v>
      </c>
      <c r="R203" s="1">
        <v>10</v>
      </c>
      <c r="S203" s="18">
        <v>6040</v>
      </c>
      <c r="T203" s="16">
        <v>0.01</v>
      </c>
      <c r="V203" s="18" t="s">
        <v>593</v>
      </c>
      <c r="W203" s="18" t="s">
        <v>594</v>
      </c>
      <c r="X203" s="18" t="s">
        <v>595</v>
      </c>
      <c r="Y203" s="84" t="s">
        <v>596</v>
      </c>
      <c r="Z203" s="84"/>
      <c r="AA203" s="18" t="s">
        <v>597</v>
      </c>
      <c r="AB203" s="87" t="s">
        <v>598</v>
      </c>
      <c r="AC203" s="83" t="s">
        <v>405</v>
      </c>
      <c r="AD203" s="85" t="s">
        <v>599</v>
      </c>
      <c r="AE203" s="86" t="s">
        <v>472</v>
      </c>
      <c r="AG203" s="22"/>
    </row>
    <row r="204" spans="1:33" s="1" customFormat="1" x14ac:dyDescent="0.25">
      <c r="A204" s="11"/>
      <c r="D204" s="12"/>
      <c r="E204" s="3"/>
      <c r="G204" s="3"/>
      <c r="T204" s="16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3" x14ac:dyDescent="0.25">
      <c r="F205" s="1"/>
    </row>
    <row r="206" spans="1:33" x14ac:dyDescent="0.25">
      <c r="F206" s="1"/>
    </row>
    <row r="207" spans="1:33" x14ac:dyDescent="0.25">
      <c r="F207" s="1"/>
    </row>
    <row r="208" spans="1:33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</sheetData>
  <phoneticPr fontId="1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5"/>
  <sheetViews>
    <sheetView zoomScale="70" zoomScaleNormal="70" workbookViewId="0">
      <pane xSplit="3" ySplit="3" topLeftCell="D4" activePane="bottomRight" state="frozen"/>
      <selection pane="topRight"/>
      <selection pane="bottomLeft"/>
      <selection pane="bottomRight" activeCell="N10" sqref="N10"/>
    </sheetView>
  </sheetViews>
  <sheetFormatPr defaultColWidth="9.08984375" defaultRowHeight="14" x14ac:dyDescent="0.25"/>
  <cols>
    <col min="1" max="1" width="13.453125" style="70" customWidth="1"/>
    <col min="2" max="2" width="25.90625" style="70" customWidth="1"/>
    <col min="3" max="3" width="12.90625" style="70" customWidth="1"/>
    <col min="4" max="4" width="21" style="70" customWidth="1"/>
    <col min="5" max="5" width="16.453125" style="70" customWidth="1"/>
    <col min="6" max="6" width="37.08984375" style="70" customWidth="1"/>
    <col min="7" max="7" width="18.7265625" style="70" customWidth="1"/>
    <col min="8" max="9" width="11.7265625" style="70" customWidth="1"/>
    <col min="10" max="10" width="18.08984375" style="70" customWidth="1"/>
    <col min="11" max="11" width="10.90625" style="70" customWidth="1"/>
    <col min="12" max="12" width="31.90625" style="70" customWidth="1"/>
    <col min="13" max="13" width="21.90625" style="70" customWidth="1"/>
    <col min="14" max="15" width="40.453125" style="70" customWidth="1"/>
    <col min="16" max="16" width="21" style="70" customWidth="1"/>
    <col min="17" max="17" width="23.08984375" style="70" customWidth="1"/>
    <col min="18" max="18" width="34.453125" style="70" customWidth="1"/>
    <col min="19" max="19" width="23.08984375" style="70" customWidth="1"/>
    <col min="20" max="20" width="32.26953125" style="70" customWidth="1"/>
    <col min="21" max="21" width="28.6328125" style="70" customWidth="1"/>
    <col min="22" max="22" width="26.90625" style="70" customWidth="1"/>
    <col min="23" max="23" width="28.6328125" style="70" customWidth="1"/>
    <col min="24" max="24" width="18.453125" style="70" customWidth="1"/>
    <col min="25" max="25" width="30.26953125" style="70" customWidth="1"/>
    <col min="26" max="27" width="16.36328125" style="70" customWidth="1"/>
    <col min="28" max="28" width="17.453125" style="70" customWidth="1"/>
    <col min="29" max="29" width="22.6328125" style="70" customWidth="1"/>
    <col min="30" max="31" width="20.36328125" style="70" customWidth="1"/>
    <col min="32" max="32" width="16.453125" style="70" customWidth="1"/>
    <col min="33" max="33" width="17.90625" style="70" customWidth="1"/>
    <col min="34" max="34" width="19.36328125" style="70" customWidth="1"/>
    <col min="35" max="35" width="18.453125" style="70" customWidth="1"/>
    <col min="36" max="16384" width="9.08984375" style="70"/>
  </cols>
  <sheetData>
    <row r="1" spans="1:28" ht="16.5" x14ac:dyDescent="0.45">
      <c r="A1" s="71" t="s">
        <v>606</v>
      </c>
      <c r="B1" s="72"/>
      <c r="C1" s="73"/>
      <c r="E1" s="73"/>
      <c r="F1" s="73"/>
      <c r="G1" s="73"/>
      <c r="H1" s="14"/>
      <c r="I1" s="14"/>
      <c r="J1" s="14"/>
      <c r="K1" s="14"/>
    </row>
    <row r="2" spans="1:28" s="68" customFormat="1" ht="33" x14ac:dyDescent="0.25">
      <c r="A2" s="74"/>
      <c r="B2" s="74"/>
      <c r="C2" s="74" t="s">
        <v>607</v>
      </c>
      <c r="D2" s="74" t="s">
        <v>608</v>
      </c>
      <c r="E2" s="74" t="s">
        <v>353</v>
      </c>
      <c r="F2" s="74" t="s">
        <v>609</v>
      </c>
      <c r="G2" s="74" t="s">
        <v>610</v>
      </c>
      <c r="H2" s="74" t="s">
        <v>611</v>
      </c>
      <c r="I2" s="74" t="s">
        <v>612</v>
      </c>
      <c r="J2" s="74" t="s">
        <v>613</v>
      </c>
      <c r="K2" s="74"/>
      <c r="L2" s="74" t="s">
        <v>614</v>
      </c>
      <c r="M2" s="74"/>
      <c r="N2" s="74" t="s">
        <v>615</v>
      </c>
      <c r="O2" s="74"/>
      <c r="P2" s="74" t="s">
        <v>372</v>
      </c>
      <c r="Q2" s="74" t="s">
        <v>373</v>
      </c>
      <c r="R2" s="74" t="s">
        <v>1529</v>
      </c>
      <c r="S2" s="74"/>
      <c r="T2" s="81" t="s">
        <v>616</v>
      </c>
      <c r="U2" s="81"/>
      <c r="V2" s="81" t="s">
        <v>617</v>
      </c>
      <c r="W2" s="68" t="s">
        <v>618</v>
      </c>
      <c r="X2" s="68" t="s">
        <v>619</v>
      </c>
      <c r="Y2" s="101" t="s">
        <v>1563</v>
      </c>
      <c r="Z2" s="101" t="s">
        <v>1527</v>
      </c>
      <c r="AA2" s="68" t="s">
        <v>620</v>
      </c>
    </row>
    <row r="3" spans="1:28" ht="16.5" x14ac:dyDescent="0.25">
      <c r="A3" s="75" t="s">
        <v>2</v>
      </c>
      <c r="B3" s="75"/>
      <c r="C3" s="75" t="s">
        <v>621</v>
      </c>
      <c r="D3" s="75" t="s">
        <v>88</v>
      </c>
      <c r="E3" s="75" t="s">
        <v>622</v>
      </c>
      <c r="F3" s="75" t="s">
        <v>385</v>
      </c>
      <c r="G3" s="75" t="s">
        <v>623</v>
      </c>
      <c r="H3" s="75" t="s">
        <v>624</v>
      </c>
      <c r="I3" s="75" t="s">
        <v>625</v>
      </c>
      <c r="J3" s="75" t="s">
        <v>626</v>
      </c>
      <c r="K3" s="75" t="s">
        <v>627</v>
      </c>
      <c r="L3" s="75" t="s">
        <v>628</v>
      </c>
      <c r="M3" s="75"/>
      <c r="N3" s="75" t="s">
        <v>629</v>
      </c>
      <c r="O3" s="75"/>
      <c r="P3" s="75" t="s">
        <v>392</v>
      </c>
      <c r="Q3" s="75" t="s">
        <v>393</v>
      </c>
      <c r="R3" s="75" t="s">
        <v>1542</v>
      </c>
      <c r="S3" s="75"/>
      <c r="T3" s="82" t="s">
        <v>630</v>
      </c>
      <c r="U3" s="82"/>
      <c r="V3" s="82" t="s">
        <v>631</v>
      </c>
      <c r="W3" s="70" t="s">
        <v>632</v>
      </c>
      <c r="X3" s="70" t="s">
        <v>633</v>
      </c>
      <c r="Y3" s="70" t="s">
        <v>634</v>
      </c>
      <c r="Z3" s="70" t="s">
        <v>635</v>
      </c>
      <c r="AA3" s="70" t="s">
        <v>636</v>
      </c>
    </row>
    <row r="4" spans="1:28" ht="49.5" x14ac:dyDescent="0.25">
      <c r="A4" s="14">
        <v>3001</v>
      </c>
      <c r="B4" s="14" t="s">
        <v>143</v>
      </c>
      <c r="C4" s="14">
        <v>3</v>
      </c>
      <c r="D4" s="14">
        <v>1</v>
      </c>
      <c r="E4" s="14">
        <v>19</v>
      </c>
      <c r="F4" s="76" t="s">
        <v>637</v>
      </c>
      <c r="G4" s="14">
        <v>3600</v>
      </c>
      <c r="H4" s="14">
        <f>24*3600</f>
        <v>86400</v>
      </c>
      <c r="I4" s="14">
        <v>1800</v>
      </c>
      <c r="J4" s="14">
        <v>20000</v>
      </c>
      <c r="K4" s="14">
        <v>0.1</v>
      </c>
      <c r="L4" s="14" t="s">
        <v>1545</v>
      </c>
      <c r="M4" s="14" t="s">
        <v>639</v>
      </c>
      <c r="N4" s="14" t="s">
        <v>640</v>
      </c>
      <c r="O4" s="79" t="s">
        <v>641</v>
      </c>
      <c r="P4" s="14" t="s">
        <v>405</v>
      </c>
      <c r="Q4" s="79" t="s">
        <v>642</v>
      </c>
      <c r="R4" s="14" t="s">
        <v>1530</v>
      </c>
      <c r="S4" s="79" t="s">
        <v>1536</v>
      </c>
      <c r="T4" s="14" t="s">
        <v>643</v>
      </c>
      <c r="U4" s="70" t="s">
        <v>644</v>
      </c>
      <c r="V4" s="70" t="s">
        <v>645</v>
      </c>
      <c r="W4" s="70" t="s">
        <v>646</v>
      </c>
      <c r="X4" s="70">
        <v>2</v>
      </c>
      <c r="Y4" s="79" t="s">
        <v>647</v>
      </c>
      <c r="Z4" s="102" t="s">
        <v>1546</v>
      </c>
    </row>
    <row r="5" spans="1:28" ht="49.5" x14ac:dyDescent="0.25">
      <c r="A5" s="14">
        <v>3002</v>
      </c>
      <c r="B5" s="14" t="s">
        <v>143</v>
      </c>
      <c r="C5" s="14">
        <v>3</v>
      </c>
      <c r="D5" s="14">
        <v>2</v>
      </c>
      <c r="E5" s="14">
        <v>25</v>
      </c>
      <c r="F5" s="76" t="s">
        <v>637</v>
      </c>
      <c r="G5" s="14">
        <v>3600</v>
      </c>
      <c r="H5" s="14">
        <f t="shared" ref="H5:H15" si="0">24*3600</f>
        <v>86400</v>
      </c>
      <c r="I5" s="14">
        <v>1800</v>
      </c>
      <c r="J5" s="14">
        <v>20000</v>
      </c>
      <c r="K5" s="14">
        <v>0.15</v>
      </c>
      <c r="L5" s="14" t="s">
        <v>638</v>
      </c>
      <c r="M5" s="14" t="s">
        <v>639</v>
      </c>
      <c r="N5" s="14" t="s">
        <v>649</v>
      </c>
      <c r="O5" s="79" t="s">
        <v>650</v>
      </c>
      <c r="P5" s="14" t="s">
        <v>405</v>
      </c>
      <c r="Q5" s="79" t="s">
        <v>642</v>
      </c>
      <c r="R5" s="14" t="s">
        <v>1531</v>
      </c>
      <c r="S5" s="79" t="s">
        <v>1537</v>
      </c>
      <c r="T5" s="14" t="s">
        <v>651</v>
      </c>
      <c r="U5" s="70" t="s">
        <v>652</v>
      </c>
      <c r="V5" s="70" t="s">
        <v>645</v>
      </c>
      <c r="W5" s="70" t="s">
        <v>646</v>
      </c>
      <c r="X5" s="70">
        <v>2</v>
      </c>
      <c r="Y5" s="79" t="s">
        <v>647</v>
      </c>
      <c r="Z5" s="102" t="s">
        <v>1546</v>
      </c>
    </row>
    <row r="6" spans="1:28" ht="49.5" x14ac:dyDescent="0.25">
      <c r="A6" s="14">
        <v>3003</v>
      </c>
      <c r="B6" s="14" t="s">
        <v>143</v>
      </c>
      <c r="C6" s="14">
        <v>3</v>
      </c>
      <c r="D6" s="14">
        <v>3</v>
      </c>
      <c r="E6" s="14">
        <v>35</v>
      </c>
      <c r="F6" s="76" t="s">
        <v>637</v>
      </c>
      <c r="G6" s="14">
        <v>3600</v>
      </c>
      <c r="H6" s="14">
        <f t="shared" si="0"/>
        <v>86400</v>
      </c>
      <c r="I6" s="14">
        <v>1800</v>
      </c>
      <c r="J6" s="14">
        <v>20000</v>
      </c>
      <c r="K6" s="14">
        <v>0.2</v>
      </c>
      <c r="L6" s="14" t="s">
        <v>638</v>
      </c>
      <c r="M6" s="14" t="s">
        <v>639</v>
      </c>
      <c r="N6" s="14" t="s">
        <v>653</v>
      </c>
      <c r="O6" s="79" t="s">
        <v>654</v>
      </c>
      <c r="P6" s="14" t="s">
        <v>405</v>
      </c>
      <c r="Q6" s="79" t="s">
        <v>642</v>
      </c>
      <c r="R6" s="14" t="s">
        <v>1532</v>
      </c>
      <c r="S6" s="79" t="s">
        <v>1538</v>
      </c>
      <c r="T6" s="14" t="s">
        <v>655</v>
      </c>
      <c r="U6" s="70" t="s">
        <v>656</v>
      </c>
      <c r="V6" s="70" t="s">
        <v>645</v>
      </c>
      <c r="W6" s="70" t="s">
        <v>646</v>
      </c>
      <c r="X6" s="70">
        <v>2</v>
      </c>
      <c r="Y6" s="79" t="s">
        <v>647</v>
      </c>
      <c r="Z6" s="102" t="s">
        <v>1546</v>
      </c>
    </row>
    <row r="7" spans="1:28" s="69" customFormat="1" ht="49.5" x14ac:dyDescent="0.25">
      <c r="A7" s="77">
        <v>6001</v>
      </c>
      <c r="B7" s="77" t="s">
        <v>286</v>
      </c>
      <c r="C7" s="69">
        <v>6</v>
      </c>
      <c r="D7" s="77">
        <v>1</v>
      </c>
      <c r="E7" s="77">
        <v>19</v>
      </c>
      <c r="F7" s="78" t="s">
        <v>637</v>
      </c>
      <c r="G7" s="77">
        <v>1800</v>
      </c>
      <c r="H7" s="77">
        <f t="shared" si="0"/>
        <v>86400</v>
      </c>
      <c r="I7" s="77">
        <v>1800</v>
      </c>
      <c r="J7" s="77"/>
      <c r="K7" s="77">
        <v>0</v>
      </c>
      <c r="L7" s="77" t="s">
        <v>1547</v>
      </c>
      <c r="M7" s="77" t="s">
        <v>1552</v>
      </c>
      <c r="N7" s="77" t="s">
        <v>1549</v>
      </c>
      <c r="O7" s="80" t="s">
        <v>641</v>
      </c>
      <c r="P7" s="77" t="s">
        <v>405</v>
      </c>
      <c r="Q7" s="80" t="s">
        <v>657</v>
      </c>
      <c r="R7" s="14" t="s">
        <v>1554</v>
      </c>
      <c r="S7" s="80"/>
      <c r="T7" s="77"/>
      <c r="Y7" s="79" t="s">
        <v>1561</v>
      </c>
      <c r="Z7" s="70" t="s">
        <v>1528</v>
      </c>
      <c r="AA7" s="70">
        <v>4</v>
      </c>
      <c r="AB7" s="70"/>
    </row>
    <row r="8" spans="1:28" s="69" customFormat="1" ht="49.5" x14ac:dyDescent="0.25">
      <c r="A8" s="77">
        <v>6002</v>
      </c>
      <c r="B8" s="77" t="s">
        <v>286</v>
      </c>
      <c r="C8" s="69">
        <v>6</v>
      </c>
      <c r="D8" s="77">
        <v>2</v>
      </c>
      <c r="E8" s="77">
        <v>25</v>
      </c>
      <c r="F8" s="78" t="s">
        <v>637</v>
      </c>
      <c r="G8" s="77">
        <v>2400</v>
      </c>
      <c r="H8" s="77">
        <f t="shared" si="0"/>
        <v>86400</v>
      </c>
      <c r="I8" s="77">
        <v>1800</v>
      </c>
      <c r="J8" s="77"/>
      <c r="K8" s="77">
        <v>0</v>
      </c>
      <c r="L8" s="77" t="s">
        <v>1547</v>
      </c>
      <c r="M8" s="77" t="s">
        <v>1552</v>
      </c>
      <c r="N8" s="77" t="s">
        <v>1550</v>
      </c>
      <c r="O8" s="80" t="s">
        <v>650</v>
      </c>
      <c r="P8" s="77" t="s">
        <v>405</v>
      </c>
      <c r="Q8" s="80" t="s">
        <v>657</v>
      </c>
      <c r="R8" s="14" t="s">
        <v>1555</v>
      </c>
      <c r="S8" s="80"/>
      <c r="T8" s="77"/>
      <c r="Y8" s="79" t="s">
        <v>1561</v>
      </c>
      <c r="Z8" s="70" t="s">
        <v>1528</v>
      </c>
      <c r="AA8" s="70">
        <v>5</v>
      </c>
      <c r="AB8" s="70"/>
    </row>
    <row r="9" spans="1:28" s="69" customFormat="1" ht="49.5" x14ac:dyDescent="0.25">
      <c r="A9" s="77">
        <v>6003</v>
      </c>
      <c r="B9" s="77" t="s">
        <v>286</v>
      </c>
      <c r="C9" s="69">
        <v>6</v>
      </c>
      <c r="D9" s="77">
        <v>3</v>
      </c>
      <c r="E9" s="77">
        <v>35</v>
      </c>
      <c r="F9" s="78" t="s">
        <v>637</v>
      </c>
      <c r="G9" s="77">
        <v>3000</v>
      </c>
      <c r="H9" s="77">
        <f t="shared" si="0"/>
        <v>86400</v>
      </c>
      <c r="I9" s="77">
        <v>1800</v>
      </c>
      <c r="J9" s="77"/>
      <c r="K9" s="77">
        <v>0</v>
      </c>
      <c r="L9" s="77" t="s">
        <v>1547</v>
      </c>
      <c r="M9" s="77" t="s">
        <v>1552</v>
      </c>
      <c r="N9" s="77" t="s">
        <v>1551</v>
      </c>
      <c r="O9" s="80" t="s">
        <v>654</v>
      </c>
      <c r="P9" s="77" t="s">
        <v>405</v>
      </c>
      <c r="Q9" s="80" t="s">
        <v>657</v>
      </c>
      <c r="R9" s="14" t="s">
        <v>1556</v>
      </c>
      <c r="S9" s="80"/>
      <c r="T9" s="77"/>
      <c r="Y9" s="79" t="s">
        <v>1561</v>
      </c>
      <c r="Z9" s="70" t="s">
        <v>1528</v>
      </c>
      <c r="AA9" s="70">
        <v>6</v>
      </c>
      <c r="AB9" s="70"/>
    </row>
    <row r="10" spans="1:28" ht="49.5" x14ac:dyDescent="0.25">
      <c r="A10" s="14">
        <v>7001</v>
      </c>
      <c r="B10" s="14" t="s">
        <v>188</v>
      </c>
      <c r="C10" s="70">
        <v>7</v>
      </c>
      <c r="D10" s="14">
        <v>1</v>
      </c>
      <c r="E10" s="14">
        <v>19</v>
      </c>
      <c r="F10" s="76" t="s">
        <v>637</v>
      </c>
      <c r="G10" s="14">
        <v>3600</v>
      </c>
      <c r="H10" s="14">
        <f t="shared" si="0"/>
        <v>86400</v>
      </c>
      <c r="I10" s="14">
        <v>1800</v>
      </c>
      <c r="J10" s="14">
        <v>20030</v>
      </c>
      <c r="K10" s="14">
        <v>0.1</v>
      </c>
      <c r="L10" s="14" t="s">
        <v>658</v>
      </c>
      <c r="M10" s="14" t="s">
        <v>659</v>
      </c>
      <c r="N10" s="14" t="s">
        <v>660</v>
      </c>
      <c r="O10" s="79" t="s">
        <v>661</v>
      </c>
      <c r="P10" s="14" t="s">
        <v>405</v>
      </c>
      <c r="Q10" s="79" t="s">
        <v>662</v>
      </c>
      <c r="R10" s="14" t="s">
        <v>1535</v>
      </c>
      <c r="S10" s="79" t="s">
        <v>1539</v>
      </c>
      <c r="T10" s="14" t="s">
        <v>663</v>
      </c>
      <c r="U10" s="70" t="s">
        <v>664</v>
      </c>
      <c r="V10" s="70" t="s">
        <v>645</v>
      </c>
      <c r="W10" s="70" t="s">
        <v>665</v>
      </c>
      <c r="X10" s="70">
        <v>2</v>
      </c>
      <c r="Y10" s="79" t="s">
        <v>666</v>
      </c>
      <c r="Z10" s="102" t="s">
        <v>1546</v>
      </c>
    </row>
    <row r="11" spans="1:28" ht="49.5" x14ac:dyDescent="0.25">
      <c r="A11" s="14">
        <v>7002</v>
      </c>
      <c r="B11" s="14" t="s">
        <v>188</v>
      </c>
      <c r="C11" s="70">
        <v>7</v>
      </c>
      <c r="D11" s="14">
        <v>2</v>
      </c>
      <c r="E11" s="14">
        <v>25</v>
      </c>
      <c r="F11" s="76" t="s">
        <v>637</v>
      </c>
      <c r="G11" s="14">
        <v>3600</v>
      </c>
      <c r="H11" s="14">
        <f t="shared" si="0"/>
        <v>86400</v>
      </c>
      <c r="I11" s="14">
        <v>1800</v>
      </c>
      <c r="J11" s="14">
        <v>20030</v>
      </c>
      <c r="K11" s="14">
        <v>0.15</v>
      </c>
      <c r="L11" s="14" t="s">
        <v>658</v>
      </c>
      <c r="M11" s="14" t="s">
        <v>659</v>
      </c>
      <c r="N11" s="14" t="s">
        <v>667</v>
      </c>
      <c r="O11" s="79" t="s">
        <v>668</v>
      </c>
      <c r="P11" s="14" t="s">
        <v>405</v>
      </c>
      <c r="Q11" s="79" t="s">
        <v>662</v>
      </c>
      <c r="R11" s="14" t="s">
        <v>1533</v>
      </c>
      <c r="S11" s="79" t="s">
        <v>1540</v>
      </c>
      <c r="T11" s="14" t="s">
        <v>669</v>
      </c>
      <c r="U11" s="70" t="s">
        <v>670</v>
      </c>
      <c r="V11" s="70" t="s">
        <v>645</v>
      </c>
      <c r="W11" s="70" t="s">
        <v>665</v>
      </c>
      <c r="X11" s="70">
        <v>2</v>
      </c>
      <c r="Y11" s="79" t="s">
        <v>666</v>
      </c>
      <c r="Z11" s="102" t="s">
        <v>1546</v>
      </c>
    </row>
    <row r="12" spans="1:28" ht="49.5" x14ac:dyDescent="0.25">
      <c r="A12" s="14">
        <v>7003</v>
      </c>
      <c r="B12" s="14" t="s">
        <v>188</v>
      </c>
      <c r="C12" s="70">
        <v>7</v>
      </c>
      <c r="D12" s="14">
        <v>3</v>
      </c>
      <c r="E12" s="14">
        <v>35</v>
      </c>
      <c r="F12" s="76" t="s">
        <v>637</v>
      </c>
      <c r="G12" s="14">
        <v>3600</v>
      </c>
      <c r="H12" s="14">
        <f t="shared" si="0"/>
        <v>86400</v>
      </c>
      <c r="I12" s="14">
        <v>1800</v>
      </c>
      <c r="J12" s="14">
        <v>20030</v>
      </c>
      <c r="K12" s="14">
        <v>0.2</v>
      </c>
      <c r="L12" s="14" t="s">
        <v>658</v>
      </c>
      <c r="M12" s="14" t="s">
        <v>659</v>
      </c>
      <c r="N12" s="14" t="s">
        <v>671</v>
      </c>
      <c r="O12" s="79" t="s">
        <v>672</v>
      </c>
      <c r="P12" s="14" t="s">
        <v>405</v>
      </c>
      <c r="Q12" s="79" t="s">
        <v>662</v>
      </c>
      <c r="R12" s="14" t="s">
        <v>1534</v>
      </c>
      <c r="S12" s="79" t="s">
        <v>1541</v>
      </c>
      <c r="T12" s="14" t="s">
        <v>673</v>
      </c>
      <c r="U12" s="70" t="s">
        <v>674</v>
      </c>
      <c r="V12" s="70" t="s">
        <v>645</v>
      </c>
      <c r="W12" s="70" t="s">
        <v>665</v>
      </c>
      <c r="X12" s="70">
        <v>2</v>
      </c>
      <c r="Y12" s="79" t="s">
        <v>666</v>
      </c>
      <c r="Z12" s="102" t="s">
        <v>1546</v>
      </c>
    </row>
    <row r="13" spans="1:28" s="69" customFormat="1" ht="49.5" x14ac:dyDescent="0.25">
      <c r="A13" s="77">
        <v>8001</v>
      </c>
      <c r="B13" s="77" t="s">
        <v>558</v>
      </c>
      <c r="C13" s="69">
        <v>8</v>
      </c>
      <c r="D13" s="77">
        <v>1</v>
      </c>
      <c r="E13" s="77">
        <v>19</v>
      </c>
      <c r="F13" s="78" t="s">
        <v>637</v>
      </c>
      <c r="G13" s="14">
        <v>600</v>
      </c>
      <c r="H13" s="77">
        <f t="shared" si="0"/>
        <v>86400</v>
      </c>
      <c r="I13" s="14">
        <v>600</v>
      </c>
      <c r="J13" s="77"/>
      <c r="K13" s="77">
        <v>0</v>
      </c>
      <c r="L13" s="77" t="s">
        <v>1548</v>
      </c>
      <c r="M13" s="77" t="s">
        <v>1553</v>
      </c>
      <c r="N13" s="77" t="s">
        <v>1560</v>
      </c>
      <c r="O13" s="80" t="s">
        <v>641</v>
      </c>
      <c r="P13" s="77" t="s">
        <v>405</v>
      </c>
      <c r="Q13" s="80" t="s">
        <v>675</v>
      </c>
      <c r="R13" s="14" t="s">
        <v>1557</v>
      </c>
      <c r="S13" s="80"/>
      <c r="T13" s="77"/>
      <c r="Y13" s="79" t="s">
        <v>1562</v>
      </c>
      <c r="Z13" s="70" t="s">
        <v>648</v>
      </c>
      <c r="AA13" s="70">
        <v>1</v>
      </c>
    </row>
    <row r="14" spans="1:28" s="69" customFormat="1" ht="49.5" x14ac:dyDescent="0.25">
      <c r="A14" s="77">
        <v>8002</v>
      </c>
      <c r="B14" s="77" t="s">
        <v>558</v>
      </c>
      <c r="C14" s="69">
        <v>8</v>
      </c>
      <c r="D14" s="77">
        <v>2</v>
      </c>
      <c r="E14" s="77">
        <v>25</v>
      </c>
      <c r="F14" s="78" t="s">
        <v>637</v>
      </c>
      <c r="G14" s="14">
        <v>1200</v>
      </c>
      <c r="H14" s="77">
        <f t="shared" si="0"/>
        <v>86400</v>
      </c>
      <c r="I14" s="14">
        <v>600</v>
      </c>
      <c r="J14" s="77"/>
      <c r="K14" s="77">
        <v>0</v>
      </c>
      <c r="L14" s="77" t="s">
        <v>1548</v>
      </c>
      <c r="M14" s="77" t="s">
        <v>1553</v>
      </c>
      <c r="N14" s="77" t="s">
        <v>1564</v>
      </c>
      <c r="O14" s="80" t="s">
        <v>650</v>
      </c>
      <c r="P14" s="77" t="s">
        <v>405</v>
      </c>
      <c r="Q14" s="80" t="s">
        <v>675</v>
      </c>
      <c r="R14" s="14" t="s">
        <v>1558</v>
      </c>
      <c r="S14" s="80"/>
      <c r="T14" s="77"/>
      <c r="Y14" s="79" t="s">
        <v>1562</v>
      </c>
      <c r="Z14" s="70" t="s">
        <v>648</v>
      </c>
      <c r="AA14" s="70">
        <v>2</v>
      </c>
    </row>
    <row r="15" spans="1:28" s="69" customFormat="1" ht="49.5" x14ac:dyDescent="0.25">
      <c r="A15" s="77">
        <v>8003</v>
      </c>
      <c r="B15" s="77" t="s">
        <v>558</v>
      </c>
      <c r="C15" s="69">
        <v>8</v>
      </c>
      <c r="D15" s="77">
        <v>3</v>
      </c>
      <c r="E15" s="77">
        <v>35</v>
      </c>
      <c r="F15" s="78" t="s">
        <v>637</v>
      </c>
      <c r="G15" s="14">
        <v>1800</v>
      </c>
      <c r="H15" s="77">
        <f t="shared" si="0"/>
        <v>86400</v>
      </c>
      <c r="I15" s="14">
        <v>600</v>
      </c>
      <c r="J15" s="77"/>
      <c r="K15" s="77">
        <v>0</v>
      </c>
      <c r="L15" s="77" t="s">
        <v>1548</v>
      </c>
      <c r="M15" s="77" t="s">
        <v>1553</v>
      </c>
      <c r="N15" s="77" t="s">
        <v>1565</v>
      </c>
      <c r="O15" s="80" t="s">
        <v>654</v>
      </c>
      <c r="P15" s="77" t="s">
        <v>405</v>
      </c>
      <c r="Q15" s="80" t="s">
        <v>675</v>
      </c>
      <c r="R15" s="14" t="s">
        <v>1559</v>
      </c>
      <c r="S15" s="80"/>
      <c r="T15" s="77"/>
      <c r="Y15" s="79" t="s">
        <v>1562</v>
      </c>
      <c r="Z15" s="70" t="s">
        <v>648</v>
      </c>
      <c r="AA15" s="70">
        <v>3</v>
      </c>
    </row>
  </sheetData>
  <phoneticPr fontId="14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zoomScale="160" zoomScaleNormal="160" workbookViewId="0">
      <selection activeCell="A4" sqref="A4:B4"/>
    </sheetView>
  </sheetViews>
  <sheetFormatPr defaultColWidth="8.90625" defaultRowHeight="16.5" x14ac:dyDescent="0.45"/>
  <cols>
    <col min="1" max="1" width="12.453125" style="36" customWidth="1"/>
    <col min="2" max="2" width="37.453125" style="45" customWidth="1"/>
    <col min="3" max="16384" width="8.90625" style="45"/>
  </cols>
  <sheetData>
    <row r="1" spans="1:2" s="59" customFormat="1" x14ac:dyDescent="0.45">
      <c r="A1" s="61" t="s">
        <v>676</v>
      </c>
      <c r="B1" s="62"/>
    </row>
    <row r="2" spans="1:2" s="60" customFormat="1" x14ac:dyDescent="0.45">
      <c r="A2" s="63" t="s">
        <v>677</v>
      </c>
      <c r="B2" s="64" t="s">
        <v>678</v>
      </c>
    </row>
    <row r="3" spans="1:2" x14ac:dyDescent="0.45">
      <c r="A3" s="65" t="s">
        <v>2</v>
      </c>
      <c r="B3" s="65" t="s">
        <v>679</v>
      </c>
    </row>
    <row r="4" spans="1:2" x14ac:dyDescent="0.45">
      <c r="A4" s="66">
        <v>0</v>
      </c>
      <c r="B4" s="67" t="s">
        <v>1543</v>
      </c>
    </row>
    <row r="5" spans="1:2" x14ac:dyDescent="0.45">
      <c r="A5" s="66">
        <v>999</v>
      </c>
      <c r="B5" s="67" t="s">
        <v>1544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30"/>
  <sheetViews>
    <sheetView zoomScale="85" zoomScaleNormal="85" workbookViewId="0">
      <pane xSplit="2" ySplit="3" topLeftCell="I4" activePane="bottomRight" state="frozen"/>
      <selection pane="topRight"/>
      <selection pane="bottomLeft"/>
      <selection pane="bottomRight" activeCell="B24" sqref="B24"/>
    </sheetView>
  </sheetViews>
  <sheetFormatPr defaultColWidth="9" defaultRowHeight="16.5" x14ac:dyDescent="0.45"/>
  <cols>
    <col min="1" max="1" width="17.90625" style="36" customWidth="1"/>
    <col min="2" max="2" width="27" style="36" customWidth="1"/>
    <col min="3" max="3" width="41" style="36" customWidth="1"/>
    <col min="4" max="4" width="27" style="36" customWidth="1"/>
    <col min="5" max="5" width="102.36328125" style="38" customWidth="1"/>
    <col min="6" max="6" width="20.453125" style="38" customWidth="1"/>
    <col min="7" max="7" width="27.08984375" style="36" customWidth="1"/>
    <col min="8" max="8" width="25.453125" style="36" customWidth="1"/>
    <col min="9" max="9" width="29" style="36" customWidth="1"/>
    <col min="10" max="14" width="25.6328125" style="36" customWidth="1"/>
    <col min="15" max="15" width="25.453125" style="36" customWidth="1"/>
    <col min="16" max="16" width="25.6328125" style="36" customWidth="1"/>
    <col min="17" max="17" width="12.90625" style="36" customWidth="1"/>
    <col min="18" max="18" width="36" style="36" customWidth="1"/>
    <col min="19" max="19" width="11.90625" style="36" customWidth="1"/>
    <col min="20" max="20" width="16.90625" style="36" customWidth="1"/>
    <col min="21" max="21" width="6" style="36" customWidth="1"/>
    <col min="22" max="22" width="9.90625" style="36" customWidth="1"/>
    <col min="23" max="23" width="9" style="36" customWidth="1"/>
    <col min="24" max="24" width="11.08984375" style="36" customWidth="1"/>
    <col min="25" max="25" width="13.08984375" style="36" customWidth="1"/>
    <col min="26" max="26" width="19.453125" style="36" customWidth="1"/>
    <col min="27" max="27" width="21.453125" style="36" customWidth="1"/>
    <col min="28" max="28" width="73.08984375" style="36" customWidth="1"/>
    <col min="29" max="29" width="37.08984375" style="36" customWidth="1"/>
    <col min="30" max="31" width="15.90625" style="36" customWidth="1"/>
    <col min="32" max="32" width="17.453125" style="36" customWidth="1"/>
    <col min="33" max="34" width="39" style="36" customWidth="1"/>
    <col min="35" max="35" width="20.90625" style="36" customWidth="1"/>
    <col min="36" max="36" width="22.453125" style="36" customWidth="1"/>
    <col min="37" max="37" width="73" style="36" customWidth="1"/>
    <col min="38" max="38" width="38.90625" style="36" customWidth="1"/>
    <col min="39" max="39" width="29.08984375" style="36" customWidth="1"/>
    <col min="40" max="40" width="43.08984375" style="36" customWidth="1"/>
    <col min="41" max="41" width="37.08984375" style="36" customWidth="1"/>
    <col min="42" max="42" width="30.08984375" style="36" customWidth="1"/>
    <col min="43" max="43" width="37" style="36" customWidth="1"/>
    <col min="44" max="44" width="67.453125" style="36" customWidth="1"/>
    <col min="45" max="45" width="38.08984375" style="36" customWidth="1"/>
    <col min="46" max="46" width="40.453125" style="36" customWidth="1"/>
    <col min="47" max="47" width="21.90625" style="36" customWidth="1"/>
    <col min="48" max="48" width="29.90625" style="36" customWidth="1"/>
    <col min="49" max="49" width="10.90625" style="36" customWidth="1"/>
    <col min="50" max="50" width="38.08984375" style="36" customWidth="1"/>
    <col min="51" max="51" width="27.08984375" style="36" customWidth="1"/>
    <col min="52" max="52" width="33.08984375" style="36" customWidth="1"/>
    <col min="53" max="53" width="27.08984375" style="36" customWidth="1"/>
    <col min="54" max="54" width="32.90625" style="36" customWidth="1"/>
    <col min="55" max="55" width="27.08984375" style="36" customWidth="1"/>
    <col min="56" max="56" width="31.90625" style="36" customWidth="1"/>
    <col min="57" max="57" width="15.08984375" style="40" customWidth="1"/>
    <col min="58" max="58" width="63.08984375" style="36" customWidth="1"/>
    <col min="59" max="59" width="24.453125" style="36" customWidth="1"/>
    <col min="60" max="60" width="49.90625" style="36" customWidth="1"/>
    <col min="61" max="61" width="27.08984375" style="36" customWidth="1"/>
    <col min="62" max="62" width="31.90625" style="36" customWidth="1"/>
    <col min="65" max="16384" width="9" style="36"/>
  </cols>
  <sheetData>
    <row r="1" spans="1:64" x14ac:dyDescent="0.45">
      <c r="A1" s="40" t="s">
        <v>680</v>
      </c>
      <c r="B1" s="40"/>
      <c r="C1" s="40"/>
    </row>
    <row r="2" spans="1:64" ht="33" x14ac:dyDescent="0.45">
      <c r="A2" s="36" t="s">
        <v>2</v>
      </c>
      <c r="D2" s="51" t="s">
        <v>65</v>
      </c>
      <c r="E2" s="38" t="s">
        <v>681</v>
      </c>
      <c r="F2" s="38" t="s">
        <v>682</v>
      </c>
      <c r="G2" s="36" t="s">
        <v>683</v>
      </c>
      <c r="H2" s="36" t="s">
        <v>684</v>
      </c>
      <c r="I2" s="36" t="s">
        <v>685</v>
      </c>
      <c r="J2" s="36" t="s">
        <v>686</v>
      </c>
      <c r="K2" s="36" t="s">
        <v>687</v>
      </c>
      <c r="L2" s="36" t="s">
        <v>688</v>
      </c>
      <c r="M2" s="36" t="s">
        <v>689</v>
      </c>
      <c r="N2" s="36" t="s">
        <v>690</v>
      </c>
      <c r="O2" s="36" t="s">
        <v>691</v>
      </c>
      <c r="P2" s="51" t="s">
        <v>692</v>
      </c>
      <c r="Q2" s="36" t="s">
        <v>60</v>
      </c>
      <c r="R2" s="36" t="s">
        <v>61</v>
      </c>
      <c r="BE2" s="36"/>
      <c r="BK2" s="36"/>
      <c r="BL2" s="36"/>
    </row>
    <row r="3" spans="1:64" x14ac:dyDescent="0.45">
      <c r="A3" s="36" t="s">
        <v>2</v>
      </c>
      <c r="B3" s="36" t="s">
        <v>72</v>
      </c>
      <c r="C3" s="36" t="s">
        <v>73</v>
      </c>
      <c r="D3" s="36" t="s">
        <v>132</v>
      </c>
      <c r="E3" s="38" t="s">
        <v>103</v>
      </c>
      <c r="F3" s="38" t="s">
        <v>104</v>
      </c>
      <c r="G3" s="36" t="s">
        <v>105</v>
      </c>
      <c r="H3" s="36" t="s">
        <v>106</v>
      </c>
      <c r="I3" s="36" t="s">
        <v>693</v>
      </c>
      <c r="J3" s="36" t="s">
        <v>694</v>
      </c>
      <c r="K3" s="36" t="s">
        <v>695</v>
      </c>
      <c r="L3" s="36" t="s">
        <v>696</v>
      </c>
      <c r="M3" s="36" t="s">
        <v>697</v>
      </c>
      <c r="N3" s="36" t="s">
        <v>698</v>
      </c>
      <c r="O3" s="36" t="s">
        <v>699</v>
      </c>
      <c r="P3" s="36" t="s">
        <v>700</v>
      </c>
      <c r="Q3" s="36" t="s">
        <v>127</v>
      </c>
      <c r="R3" s="36" t="s">
        <v>128</v>
      </c>
      <c r="BE3" s="36"/>
      <c r="BK3" s="36"/>
      <c r="BL3" s="36"/>
    </row>
    <row r="4" spans="1:64" x14ac:dyDescent="0.45">
      <c r="A4" s="36">
        <v>1</v>
      </c>
      <c r="B4" s="36" t="s">
        <v>701</v>
      </c>
      <c r="C4" s="36" t="s">
        <v>144</v>
      </c>
      <c r="D4" s="58">
        <v>0</v>
      </c>
      <c r="E4" s="38" t="s">
        <v>702</v>
      </c>
      <c r="F4" s="38">
        <v>1000</v>
      </c>
      <c r="G4" s="36">
        <f>6*3600</f>
        <v>21600</v>
      </c>
      <c r="H4" s="36">
        <v>500</v>
      </c>
      <c r="I4" s="36" t="s">
        <v>396</v>
      </c>
      <c r="J4" s="36">
        <v>7119</v>
      </c>
      <c r="K4" s="36">
        <v>7019</v>
      </c>
      <c r="L4" s="36" t="s">
        <v>703</v>
      </c>
      <c r="M4" s="36" t="s">
        <v>704</v>
      </c>
      <c r="N4" s="36" t="s">
        <v>703</v>
      </c>
      <c r="O4" s="36" t="s">
        <v>704</v>
      </c>
      <c r="P4" s="36" t="s">
        <v>705</v>
      </c>
      <c r="Q4" s="36" t="s">
        <v>161</v>
      </c>
      <c r="R4" s="36" t="s">
        <v>706</v>
      </c>
      <c r="BE4" s="36"/>
      <c r="BK4" s="36"/>
      <c r="BL4" s="36"/>
    </row>
    <row r="5" spans="1:64" x14ac:dyDescent="0.45">
      <c r="A5" s="36">
        <v>2</v>
      </c>
      <c r="B5" s="36" t="s">
        <v>701</v>
      </c>
      <c r="C5" s="36" t="s">
        <v>176</v>
      </c>
      <c r="D5" s="58">
        <v>200</v>
      </c>
      <c r="E5" s="38" t="s">
        <v>707</v>
      </c>
      <c r="F5" s="38">
        <v>1000</v>
      </c>
      <c r="G5" s="36">
        <f>12*3600</f>
        <v>43200</v>
      </c>
      <c r="H5" s="36">
        <v>500</v>
      </c>
      <c r="I5" s="36" t="s">
        <v>708</v>
      </c>
      <c r="J5" s="36">
        <v>7120</v>
      </c>
      <c r="K5" s="36">
        <f t="shared" ref="K5:K30" si="0">J5-100</f>
        <v>7020</v>
      </c>
      <c r="L5" s="36" t="s">
        <v>703</v>
      </c>
      <c r="M5" s="36" t="s">
        <v>709</v>
      </c>
      <c r="N5" s="36" t="s">
        <v>703</v>
      </c>
      <c r="O5" s="36" t="s">
        <v>709</v>
      </c>
      <c r="P5" s="36" t="s">
        <v>710</v>
      </c>
      <c r="Q5" s="36" t="s">
        <v>161</v>
      </c>
      <c r="R5" s="36" t="s">
        <v>711</v>
      </c>
      <c r="BE5" s="36"/>
      <c r="BK5" s="36"/>
      <c r="BL5" s="36"/>
    </row>
    <row r="6" spans="1:64" x14ac:dyDescent="0.45">
      <c r="A6" s="36">
        <v>3</v>
      </c>
      <c r="B6" s="36" t="s">
        <v>701</v>
      </c>
      <c r="C6" s="36" t="s">
        <v>184</v>
      </c>
      <c r="D6" s="58">
        <v>1200</v>
      </c>
      <c r="I6" s="36" t="s">
        <v>712</v>
      </c>
      <c r="J6" s="36">
        <v>7121</v>
      </c>
      <c r="K6" s="36">
        <f t="shared" si="0"/>
        <v>7021</v>
      </c>
      <c r="L6" s="36" t="s">
        <v>703</v>
      </c>
      <c r="M6" s="36" t="s">
        <v>713</v>
      </c>
      <c r="N6" s="36" t="s">
        <v>703</v>
      </c>
      <c r="O6" s="36" t="s">
        <v>713</v>
      </c>
      <c r="P6" s="36" t="s">
        <v>714</v>
      </c>
      <c r="Q6" s="36" t="s">
        <v>161</v>
      </c>
      <c r="R6" s="36" t="s">
        <v>715</v>
      </c>
      <c r="BE6" s="36"/>
      <c r="BK6" s="36"/>
      <c r="BL6" s="36"/>
    </row>
    <row r="7" spans="1:64" x14ac:dyDescent="0.45">
      <c r="A7" s="36">
        <v>4</v>
      </c>
      <c r="B7" s="36" t="s">
        <v>716</v>
      </c>
      <c r="C7" s="36" t="s">
        <v>144</v>
      </c>
      <c r="D7" s="58">
        <v>0</v>
      </c>
      <c r="E7" s="38" t="s">
        <v>702</v>
      </c>
      <c r="F7" s="38">
        <v>1000</v>
      </c>
      <c r="G7" s="36">
        <f>6*3600</f>
        <v>21600</v>
      </c>
      <c r="H7" s="36">
        <v>500</v>
      </c>
      <c r="I7" s="36" t="s">
        <v>396</v>
      </c>
      <c r="J7" s="36">
        <v>7125</v>
      </c>
      <c r="K7" s="36">
        <f t="shared" si="0"/>
        <v>7025</v>
      </c>
      <c r="L7" s="36" t="s">
        <v>703</v>
      </c>
      <c r="M7" s="36" t="s">
        <v>717</v>
      </c>
      <c r="N7" s="36" t="s">
        <v>703</v>
      </c>
      <c r="O7" s="36" t="s">
        <v>717</v>
      </c>
      <c r="P7" s="36" t="s">
        <v>705</v>
      </c>
      <c r="Q7" s="36" t="s">
        <v>161</v>
      </c>
      <c r="R7" s="36" t="s">
        <v>718</v>
      </c>
      <c r="BE7" s="36"/>
      <c r="BK7" s="36"/>
      <c r="BL7" s="36"/>
    </row>
    <row r="8" spans="1:64" x14ac:dyDescent="0.45">
      <c r="A8" s="36">
        <v>5</v>
      </c>
      <c r="B8" s="36" t="s">
        <v>716</v>
      </c>
      <c r="C8" s="36" t="s">
        <v>176</v>
      </c>
      <c r="D8" s="58">
        <v>200</v>
      </c>
      <c r="E8" s="38" t="s">
        <v>707</v>
      </c>
      <c r="F8" s="38">
        <v>1000</v>
      </c>
      <c r="G8" s="36">
        <f>12*3600</f>
        <v>43200</v>
      </c>
      <c r="H8" s="36">
        <v>500</v>
      </c>
      <c r="I8" s="36" t="s">
        <v>708</v>
      </c>
      <c r="J8" s="36">
        <v>7126</v>
      </c>
      <c r="K8" s="36">
        <f t="shared" si="0"/>
        <v>7026</v>
      </c>
      <c r="L8" s="36" t="s">
        <v>703</v>
      </c>
      <c r="M8" s="36" t="s">
        <v>719</v>
      </c>
      <c r="N8" s="36" t="s">
        <v>703</v>
      </c>
      <c r="O8" s="36" t="s">
        <v>719</v>
      </c>
      <c r="P8" s="36" t="s">
        <v>710</v>
      </c>
      <c r="Q8" s="36" t="s">
        <v>161</v>
      </c>
      <c r="R8" s="36" t="s">
        <v>720</v>
      </c>
      <c r="BE8" s="36"/>
      <c r="BK8" s="36"/>
      <c r="BL8" s="36"/>
    </row>
    <row r="9" spans="1:64" x14ac:dyDescent="0.45">
      <c r="A9" s="36">
        <v>6</v>
      </c>
      <c r="B9" s="36" t="s">
        <v>716</v>
      </c>
      <c r="C9" s="36" t="s">
        <v>184</v>
      </c>
      <c r="D9" s="58">
        <v>1200</v>
      </c>
      <c r="I9" s="36" t="s">
        <v>712</v>
      </c>
      <c r="J9" s="36">
        <v>7127</v>
      </c>
      <c r="K9" s="36">
        <f t="shared" si="0"/>
        <v>7027</v>
      </c>
      <c r="L9" s="36" t="s">
        <v>703</v>
      </c>
      <c r="M9" s="36" t="s">
        <v>721</v>
      </c>
      <c r="N9" s="36" t="s">
        <v>703</v>
      </c>
      <c r="O9" s="36" t="s">
        <v>721</v>
      </c>
      <c r="P9" s="36" t="s">
        <v>714</v>
      </c>
      <c r="Q9" s="36" t="s">
        <v>161</v>
      </c>
      <c r="R9" s="36" t="s">
        <v>722</v>
      </c>
      <c r="BE9" s="36"/>
      <c r="BK9" s="36"/>
      <c r="BL9" s="36"/>
    </row>
    <row r="10" spans="1:64" x14ac:dyDescent="0.45">
      <c r="A10" s="36">
        <v>7</v>
      </c>
      <c r="B10" s="36" t="s">
        <v>143</v>
      </c>
      <c r="C10" s="36" t="s">
        <v>144</v>
      </c>
      <c r="D10" s="58">
        <v>0</v>
      </c>
      <c r="E10" s="38" t="s">
        <v>702</v>
      </c>
      <c r="F10" s="38">
        <v>1000</v>
      </c>
      <c r="G10" s="36">
        <f>6*3600</f>
        <v>21600</v>
      </c>
      <c r="H10" s="36">
        <v>500</v>
      </c>
      <c r="I10" s="36" t="s">
        <v>396</v>
      </c>
      <c r="J10" s="36">
        <v>7122</v>
      </c>
      <c r="K10" s="36">
        <f t="shared" si="0"/>
        <v>7022</v>
      </c>
      <c r="L10" s="36" t="s">
        <v>703</v>
      </c>
      <c r="M10" s="36" t="s">
        <v>723</v>
      </c>
      <c r="N10" s="36" t="s">
        <v>703</v>
      </c>
      <c r="O10" s="36" t="s">
        <v>723</v>
      </c>
      <c r="P10" s="36" t="s">
        <v>705</v>
      </c>
      <c r="Q10" s="36" t="s">
        <v>161</v>
      </c>
      <c r="R10" s="36" t="s">
        <v>724</v>
      </c>
      <c r="BE10" s="36"/>
      <c r="BK10" s="36"/>
      <c r="BL10" s="36"/>
    </row>
    <row r="11" spans="1:64" x14ac:dyDescent="0.45">
      <c r="A11" s="36">
        <v>8</v>
      </c>
      <c r="B11" s="36" t="s">
        <v>143</v>
      </c>
      <c r="C11" s="36" t="s">
        <v>176</v>
      </c>
      <c r="D11" s="58">
        <v>200</v>
      </c>
      <c r="E11" s="38" t="s">
        <v>707</v>
      </c>
      <c r="F11" s="38">
        <v>1000</v>
      </c>
      <c r="G11" s="36">
        <f>12*3600</f>
        <v>43200</v>
      </c>
      <c r="H11" s="36">
        <v>500</v>
      </c>
      <c r="I11" s="36" t="s">
        <v>708</v>
      </c>
      <c r="J11" s="36">
        <v>7123</v>
      </c>
      <c r="K11" s="36">
        <f t="shared" si="0"/>
        <v>7023</v>
      </c>
      <c r="L11" s="36" t="s">
        <v>703</v>
      </c>
      <c r="M11" s="36" t="s">
        <v>725</v>
      </c>
      <c r="N11" s="36" t="s">
        <v>703</v>
      </c>
      <c r="O11" s="36" t="s">
        <v>725</v>
      </c>
      <c r="P11" s="36" t="s">
        <v>710</v>
      </c>
      <c r="Q11" s="36" t="s">
        <v>161</v>
      </c>
      <c r="R11" s="36" t="s">
        <v>726</v>
      </c>
      <c r="BE11" s="36"/>
      <c r="BK11" s="36"/>
      <c r="BL11" s="36"/>
    </row>
    <row r="12" spans="1:64" x14ac:dyDescent="0.45">
      <c r="A12" s="36">
        <v>9</v>
      </c>
      <c r="B12" s="36" t="s">
        <v>143</v>
      </c>
      <c r="C12" s="36" t="s">
        <v>184</v>
      </c>
      <c r="D12" s="58">
        <v>1200</v>
      </c>
      <c r="I12" s="36" t="s">
        <v>712</v>
      </c>
      <c r="J12" s="36">
        <v>7124</v>
      </c>
      <c r="K12" s="36">
        <f t="shared" si="0"/>
        <v>7024</v>
      </c>
      <c r="L12" s="36" t="s">
        <v>703</v>
      </c>
      <c r="M12" s="36" t="s">
        <v>727</v>
      </c>
      <c r="N12" s="36" t="s">
        <v>703</v>
      </c>
      <c r="O12" s="36" t="s">
        <v>727</v>
      </c>
      <c r="P12" s="36" t="s">
        <v>714</v>
      </c>
      <c r="Q12" s="36" t="s">
        <v>161</v>
      </c>
      <c r="R12" s="36" t="s">
        <v>728</v>
      </c>
      <c r="BE12" s="36"/>
      <c r="BK12" s="36"/>
      <c r="BL12" s="36"/>
    </row>
    <row r="13" spans="1:64" x14ac:dyDescent="0.45">
      <c r="A13" s="36">
        <v>10</v>
      </c>
      <c r="B13" s="36" t="s">
        <v>729</v>
      </c>
      <c r="C13" s="36" t="s">
        <v>144</v>
      </c>
      <c r="D13" s="58">
        <v>0</v>
      </c>
      <c r="E13" s="38" t="s">
        <v>702</v>
      </c>
      <c r="F13" s="38">
        <v>1000</v>
      </c>
      <c r="G13" s="36">
        <f>6*3600</f>
        <v>21600</v>
      </c>
      <c r="H13" s="36">
        <v>500</v>
      </c>
      <c r="I13" s="36" t="s">
        <v>396</v>
      </c>
      <c r="J13" s="36">
        <v>7110</v>
      </c>
      <c r="K13" s="36">
        <f t="shared" si="0"/>
        <v>7010</v>
      </c>
      <c r="L13" s="36" t="s">
        <v>703</v>
      </c>
      <c r="M13" s="36" t="s">
        <v>730</v>
      </c>
      <c r="N13" s="36" t="s">
        <v>703</v>
      </c>
      <c r="O13" s="36" t="s">
        <v>730</v>
      </c>
      <c r="P13" s="36" t="s">
        <v>705</v>
      </c>
      <c r="Q13" s="36" t="s">
        <v>161</v>
      </c>
      <c r="R13" s="36" t="s">
        <v>731</v>
      </c>
      <c r="BE13" s="36"/>
      <c r="BK13" s="36"/>
      <c r="BL13" s="36"/>
    </row>
    <row r="14" spans="1:64" x14ac:dyDescent="0.45">
      <c r="A14" s="36">
        <v>11</v>
      </c>
      <c r="B14" s="36" t="s">
        <v>729</v>
      </c>
      <c r="C14" s="36" t="s">
        <v>176</v>
      </c>
      <c r="D14" s="58">
        <v>200</v>
      </c>
      <c r="E14" s="38" t="s">
        <v>707</v>
      </c>
      <c r="F14" s="38">
        <v>1000</v>
      </c>
      <c r="G14" s="36">
        <f>12*3600</f>
        <v>43200</v>
      </c>
      <c r="H14" s="36">
        <v>500</v>
      </c>
      <c r="I14" s="36" t="s">
        <v>708</v>
      </c>
      <c r="J14" s="36">
        <v>7111</v>
      </c>
      <c r="K14" s="36">
        <f t="shared" si="0"/>
        <v>7011</v>
      </c>
      <c r="L14" s="36" t="s">
        <v>703</v>
      </c>
      <c r="M14" s="36" t="s">
        <v>732</v>
      </c>
      <c r="N14" s="36" t="s">
        <v>703</v>
      </c>
      <c r="O14" s="36" t="s">
        <v>732</v>
      </c>
      <c r="P14" s="36" t="s">
        <v>710</v>
      </c>
      <c r="Q14" s="36" t="s">
        <v>161</v>
      </c>
      <c r="R14" s="36" t="s">
        <v>733</v>
      </c>
      <c r="BE14" s="36"/>
      <c r="BK14" s="36"/>
      <c r="BL14" s="36"/>
    </row>
    <row r="15" spans="1:64" x14ac:dyDescent="0.45">
      <c r="A15" s="36">
        <v>12</v>
      </c>
      <c r="B15" s="36" t="s">
        <v>729</v>
      </c>
      <c r="C15" s="36" t="s">
        <v>184</v>
      </c>
      <c r="D15" s="58">
        <v>1200</v>
      </c>
      <c r="I15" s="36" t="s">
        <v>712</v>
      </c>
      <c r="J15" s="36">
        <v>7112</v>
      </c>
      <c r="K15" s="36">
        <f t="shared" si="0"/>
        <v>7012</v>
      </c>
      <c r="L15" s="36" t="s">
        <v>703</v>
      </c>
      <c r="M15" s="36" t="s">
        <v>734</v>
      </c>
      <c r="N15" s="36" t="s">
        <v>703</v>
      </c>
      <c r="O15" s="36" t="s">
        <v>734</v>
      </c>
      <c r="P15" s="36" t="s">
        <v>714</v>
      </c>
      <c r="Q15" s="36" t="s">
        <v>161</v>
      </c>
      <c r="R15" s="36" t="s">
        <v>735</v>
      </c>
      <c r="BE15" s="36"/>
      <c r="BK15" s="36"/>
      <c r="BL15" s="36"/>
    </row>
    <row r="16" spans="1:64" s="39" customFormat="1" x14ac:dyDescent="0.45">
      <c r="A16" s="39">
        <v>13</v>
      </c>
      <c r="B16" s="36" t="s">
        <v>736</v>
      </c>
      <c r="C16" s="36" t="s">
        <v>144</v>
      </c>
      <c r="D16" s="58">
        <v>0</v>
      </c>
      <c r="E16" s="38" t="s">
        <v>702</v>
      </c>
      <c r="F16" s="38">
        <v>1000</v>
      </c>
      <c r="G16" s="39">
        <f>6*3600</f>
        <v>21600</v>
      </c>
      <c r="H16" s="39">
        <v>500</v>
      </c>
      <c r="I16" s="39" t="s">
        <v>396</v>
      </c>
      <c r="J16" s="39">
        <v>7107</v>
      </c>
      <c r="K16" s="39">
        <f t="shared" si="0"/>
        <v>7007</v>
      </c>
      <c r="L16" s="39" t="s">
        <v>703</v>
      </c>
      <c r="M16" s="39" t="s">
        <v>737</v>
      </c>
      <c r="N16" s="39" t="s">
        <v>703</v>
      </c>
      <c r="O16" s="39" t="s">
        <v>737</v>
      </c>
      <c r="P16" s="36" t="s">
        <v>738</v>
      </c>
      <c r="Q16" s="36" t="s">
        <v>161</v>
      </c>
      <c r="R16" s="39" t="s">
        <v>739</v>
      </c>
    </row>
    <row r="17" spans="1:64" s="39" customFormat="1" x14ac:dyDescent="0.45">
      <c r="A17" s="39">
        <v>14</v>
      </c>
      <c r="B17" s="36" t="s">
        <v>736</v>
      </c>
      <c r="C17" s="36" t="s">
        <v>176</v>
      </c>
      <c r="D17" s="58">
        <v>200</v>
      </c>
      <c r="E17" s="38" t="s">
        <v>707</v>
      </c>
      <c r="F17" s="38">
        <v>1000</v>
      </c>
      <c r="G17" s="39">
        <f>12*3600</f>
        <v>43200</v>
      </c>
      <c r="H17" s="39">
        <v>500</v>
      </c>
      <c r="I17" s="39" t="s">
        <v>708</v>
      </c>
      <c r="J17" s="39">
        <v>7108</v>
      </c>
      <c r="K17" s="39">
        <f t="shared" si="0"/>
        <v>7008</v>
      </c>
      <c r="L17" s="39" t="s">
        <v>703</v>
      </c>
      <c r="M17" s="39" t="s">
        <v>740</v>
      </c>
      <c r="N17" s="39" t="s">
        <v>703</v>
      </c>
      <c r="O17" s="39" t="s">
        <v>740</v>
      </c>
      <c r="P17" s="36" t="s">
        <v>741</v>
      </c>
      <c r="Q17" s="36" t="s">
        <v>161</v>
      </c>
      <c r="R17" s="39" t="s">
        <v>742</v>
      </c>
    </row>
    <row r="18" spans="1:64" s="39" customFormat="1" x14ac:dyDescent="0.45">
      <c r="A18" s="39">
        <v>15</v>
      </c>
      <c r="B18" s="36" t="s">
        <v>736</v>
      </c>
      <c r="C18" s="36" t="s">
        <v>184</v>
      </c>
      <c r="D18" s="58">
        <v>1200</v>
      </c>
      <c r="E18" s="38"/>
      <c r="F18" s="38"/>
      <c r="I18" s="39" t="s">
        <v>712</v>
      </c>
      <c r="J18" s="39">
        <v>7109</v>
      </c>
      <c r="K18" s="39">
        <f t="shared" si="0"/>
        <v>7009</v>
      </c>
      <c r="L18" s="39" t="s">
        <v>703</v>
      </c>
      <c r="M18" s="39" t="s">
        <v>743</v>
      </c>
      <c r="N18" s="39" t="s">
        <v>703</v>
      </c>
      <c r="O18" s="39" t="s">
        <v>743</v>
      </c>
      <c r="P18" s="36" t="s">
        <v>744</v>
      </c>
      <c r="Q18" s="36" t="s">
        <v>161</v>
      </c>
      <c r="R18" s="39" t="s">
        <v>745</v>
      </c>
    </row>
    <row r="19" spans="1:64" x14ac:dyDescent="0.45">
      <c r="A19" s="36">
        <v>16</v>
      </c>
      <c r="B19" s="36" t="s">
        <v>286</v>
      </c>
      <c r="C19" s="36" t="s">
        <v>144</v>
      </c>
      <c r="D19" s="58">
        <v>0</v>
      </c>
      <c r="E19" s="38" t="s">
        <v>702</v>
      </c>
      <c r="F19" s="38">
        <v>1000</v>
      </c>
      <c r="G19" s="36">
        <f>6*3600</f>
        <v>21600</v>
      </c>
      <c r="H19" s="36">
        <v>500</v>
      </c>
      <c r="I19" s="36" t="s">
        <v>396</v>
      </c>
      <c r="J19" s="36">
        <v>7101</v>
      </c>
      <c r="K19" s="36">
        <f t="shared" si="0"/>
        <v>7001</v>
      </c>
      <c r="L19" s="36" t="s">
        <v>703</v>
      </c>
      <c r="M19" s="36" t="s">
        <v>746</v>
      </c>
      <c r="N19" s="36" t="s">
        <v>703</v>
      </c>
      <c r="O19" s="36" t="s">
        <v>746</v>
      </c>
      <c r="P19" s="36" t="s">
        <v>705</v>
      </c>
      <c r="Q19" s="36" t="s">
        <v>161</v>
      </c>
      <c r="R19" s="36" t="s">
        <v>747</v>
      </c>
      <c r="BE19" s="36"/>
      <c r="BK19" s="36"/>
      <c r="BL19" s="36"/>
    </row>
    <row r="20" spans="1:64" x14ac:dyDescent="0.45">
      <c r="A20" s="36">
        <v>17</v>
      </c>
      <c r="B20" s="36" t="s">
        <v>286</v>
      </c>
      <c r="C20" s="36" t="s">
        <v>176</v>
      </c>
      <c r="D20" s="58">
        <v>200</v>
      </c>
      <c r="E20" s="38" t="s">
        <v>707</v>
      </c>
      <c r="F20" s="38">
        <v>1000</v>
      </c>
      <c r="G20" s="36">
        <f>12*3600</f>
        <v>43200</v>
      </c>
      <c r="H20" s="36">
        <v>500</v>
      </c>
      <c r="I20" s="36" t="s">
        <v>708</v>
      </c>
      <c r="J20" s="36">
        <v>7102</v>
      </c>
      <c r="K20" s="36">
        <f t="shared" si="0"/>
        <v>7002</v>
      </c>
      <c r="L20" s="36" t="s">
        <v>703</v>
      </c>
      <c r="M20" s="36" t="s">
        <v>748</v>
      </c>
      <c r="N20" s="36" t="s">
        <v>703</v>
      </c>
      <c r="O20" s="36" t="s">
        <v>748</v>
      </c>
      <c r="P20" s="36" t="s">
        <v>710</v>
      </c>
      <c r="Q20" s="36" t="s">
        <v>161</v>
      </c>
      <c r="R20" s="36" t="s">
        <v>749</v>
      </c>
      <c r="BE20" s="36"/>
      <c r="BK20" s="36"/>
      <c r="BL20" s="36"/>
    </row>
    <row r="21" spans="1:64" x14ac:dyDescent="0.45">
      <c r="A21" s="36">
        <v>18</v>
      </c>
      <c r="B21" s="36" t="s">
        <v>286</v>
      </c>
      <c r="C21" s="36" t="s">
        <v>184</v>
      </c>
      <c r="D21" s="58">
        <v>1200</v>
      </c>
      <c r="I21" s="36" t="s">
        <v>712</v>
      </c>
      <c r="J21" s="36">
        <v>7103</v>
      </c>
      <c r="K21" s="36">
        <f t="shared" si="0"/>
        <v>7003</v>
      </c>
      <c r="L21" s="36" t="s">
        <v>703</v>
      </c>
      <c r="M21" s="36" t="s">
        <v>750</v>
      </c>
      <c r="N21" s="36" t="s">
        <v>703</v>
      </c>
      <c r="O21" s="36" t="s">
        <v>750</v>
      </c>
      <c r="P21" s="36" t="s">
        <v>714</v>
      </c>
      <c r="Q21" s="36" t="s">
        <v>161</v>
      </c>
      <c r="R21" s="36" t="s">
        <v>751</v>
      </c>
      <c r="BE21" s="36"/>
      <c r="BK21" s="36"/>
      <c r="BL21" s="36"/>
    </row>
    <row r="22" spans="1:64" x14ac:dyDescent="0.45">
      <c r="A22" s="36">
        <v>19</v>
      </c>
      <c r="B22" s="36" t="s">
        <v>188</v>
      </c>
      <c r="C22" s="36" t="s">
        <v>144</v>
      </c>
      <c r="D22" s="58">
        <v>0</v>
      </c>
      <c r="E22" s="38" t="s">
        <v>702</v>
      </c>
      <c r="F22" s="38">
        <v>1000</v>
      </c>
      <c r="G22" s="36">
        <f>6*3600</f>
        <v>21600</v>
      </c>
      <c r="H22" s="36">
        <v>500</v>
      </c>
      <c r="I22" s="36" t="s">
        <v>396</v>
      </c>
      <c r="J22" s="36">
        <v>7104</v>
      </c>
      <c r="K22" s="36">
        <f t="shared" si="0"/>
        <v>7004</v>
      </c>
      <c r="L22" s="36" t="s">
        <v>703</v>
      </c>
      <c r="M22" s="36" t="s">
        <v>752</v>
      </c>
      <c r="N22" s="36" t="s">
        <v>703</v>
      </c>
      <c r="O22" s="36" t="s">
        <v>752</v>
      </c>
      <c r="P22" s="36" t="s">
        <v>705</v>
      </c>
      <c r="Q22" s="36" t="s">
        <v>161</v>
      </c>
      <c r="R22" s="36" t="s">
        <v>753</v>
      </c>
      <c r="T22"/>
      <c r="U22"/>
      <c r="BE22" s="36"/>
      <c r="BK22" s="36"/>
      <c r="BL22" s="36"/>
    </row>
    <row r="23" spans="1:64" x14ac:dyDescent="0.45">
      <c r="A23" s="36">
        <v>20</v>
      </c>
      <c r="B23" s="36" t="s">
        <v>188</v>
      </c>
      <c r="C23" s="36" t="s">
        <v>176</v>
      </c>
      <c r="D23" s="58">
        <v>200</v>
      </c>
      <c r="E23" s="38" t="s">
        <v>707</v>
      </c>
      <c r="F23" s="38">
        <v>1000</v>
      </c>
      <c r="G23" s="36">
        <f>12*3600</f>
        <v>43200</v>
      </c>
      <c r="H23" s="36">
        <v>500</v>
      </c>
      <c r="I23" s="36" t="s">
        <v>708</v>
      </c>
      <c r="J23" s="36">
        <v>7105</v>
      </c>
      <c r="K23" s="36">
        <f t="shared" si="0"/>
        <v>7005</v>
      </c>
      <c r="L23" s="36" t="s">
        <v>703</v>
      </c>
      <c r="M23" s="36" t="s">
        <v>754</v>
      </c>
      <c r="N23" s="36" t="s">
        <v>703</v>
      </c>
      <c r="O23" s="36" t="s">
        <v>754</v>
      </c>
      <c r="P23" s="36" t="s">
        <v>710</v>
      </c>
      <c r="Q23" s="36" t="s">
        <v>161</v>
      </c>
      <c r="R23" s="36" t="s">
        <v>755</v>
      </c>
      <c r="Z23" s="40"/>
      <c r="AF23"/>
      <c r="AG23"/>
      <c r="BE23" s="36"/>
      <c r="BK23" s="36"/>
      <c r="BL23" s="36"/>
    </row>
    <row r="24" spans="1:64" x14ac:dyDescent="0.45">
      <c r="A24" s="36">
        <v>21</v>
      </c>
      <c r="B24" s="36" t="s">
        <v>188</v>
      </c>
      <c r="C24" s="36" t="s">
        <v>184</v>
      </c>
      <c r="D24" s="58">
        <v>1200</v>
      </c>
      <c r="I24" s="36" t="s">
        <v>712</v>
      </c>
      <c r="J24" s="36">
        <v>7106</v>
      </c>
      <c r="K24" s="36">
        <f t="shared" si="0"/>
        <v>7006</v>
      </c>
      <c r="L24" s="36" t="s">
        <v>703</v>
      </c>
      <c r="M24" s="36" t="s">
        <v>756</v>
      </c>
      <c r="N24" s="36" t="s">
        <v>703</v>
      </c>
      <c r="O24" s="36" t="s">
        <v>756</v>
      </c>
      <c r="P24" s="36" t="s">
        <v>714</v>
      </c>
      <c r="Q24" s="36" t="s">
        <v>161</v>
      </c>
      <c r="R24" s="36" t="s">
        <v>757</v>
      </c>
      <c r="AF24" s="40"/>
      <c r="AL24"/>
      <c r="AM24"/>
      <c r="BE24" s="36"/>
      <c r="BK24" s="36"/>
      <c r="BL24" s="36"/>
    </row>
    <row r="25" spans="1:64" x14ac:dyDescent="0.45">
      <c r="A25" s="36">
        <v>22</v>
      </c>
      <c r="B25" s="36" t="s">
        <v>558</v>
      </c>
      <c r="C25" s="36" t="s">
        <v>144</v>
      </c>
      <c r="D25" s="58">
        <v>0</v>
      </c>
      <c r="E25" s="38" t="s">
        <v>702</v>
      </c>
      <c r="F25" s="38">
        <v>1000</v>
      </c>
      <c r="G25" s="36">
        <f>6*3600</f>
        <v>21600</v>
      </c>
      <c r="H25" s="36">
        <v>500</v>
      </c>
      <c r="I25" s="36" t="s">
        <v>396</v>
      </c>
      <c r="J25" s="36">
        <v>7113</v>
      </c>
      <c r="K25" s="36">
        <f t="shared" si="0"/>
        <v>7013</v>
      </c>
      <c r="L25" s="36" t="s">
        <v>703</v>
      </c>
      <c r="M25" s="36" t="s">
        <v>758</v>
      </c>
      <c r="N25" s="36" t="s">
        <v>703</v>
      </c>
      <c r="O25" s="36" t="s">
        <v>758</v>
      </c>
      <c r="P25" s="36" t="s">
        <v>705</v>
      </c>
      <c r="Q25" s="36" t="s">
        <v>161</v>
      </c>
      <c r="R25" s="36" t="s">
        <v>759</v>
      </c>
      <c r="AF25" s="40"/>
      <c r="AL25"/>
      <c r="AM25"/>
      <c r="BE25" s="36"/>
      <c r="BK25" s="36"/>
      <c r="BL25" s="36"/>
    </row>
    <row r="26" spans="1:64" x14ac:dyDescent="0.45">
      <c r="A26" s="36">
        <v>23</v>
      </c>
      <c r="B26" s="36" t="s">
        <v>558</v>
      </c>
      <c r="C26" s="36" t="s">
        <v>176</v>
      </c>
      <c r="D26" s="58">
        <v>200</v>
      </c>
      <c r="E26" s="38" t="s">
        <v>707</v>
      </c>
      <c r="F26" s="38">
        <v>1000</v>
      </c>
      <c r="G26" s="36">
        <f>12*3600</f>
        <v>43200</v>
      </c>
      <c r="H26" s="36">
        <v>500</v>
      </c>
      <c r="I26" s="36" t="s">
        <v>708</v>
      </c>
      <c r="J26" s="36">
        <v>7114</v>
      </c>
      <c r="K26" s="36">
        <f t="shared" si="0"/>
        <v>7014</v>
      </c>
      <c r="L26" s="36" t="s">
        <v>703</v>
      </c>
      <c r="M26" s="36" t="s">
        <v>760</v>
      </c>
      <c r="N26" s="36" t="s">
        <v>703</v>
      </c>
      <c r="O26" s="36" t="s">
        <v>760</v>
      </c>
      <c r="P26" s="36" t="s">
        <v>710</v>
      </c>
      <c r="Q26" s="36" t="s">
        <v>161</v>
      </c>
      <c r="R26" s="36" t="s">
        <v>761</v>
      </c>
      <c r="AF26" s="40"/>
      <c r="AL26"/>
      <c r="AM26"/>
      <c r="BE26" s="36"/>
      <c r="BK26" s="36"/>
      <c r="BL26" s="36"/>
    </row>
    <row r="27" spans="1:64" x14ac:dyDescent="0.45">
      <c r="A27" s="36">
        <v>24</v>
      </c>
      <c r="B27" s="36" t="s">
        <v>558</v>
      </c>
      <c r="C27" s="36" t="s">
        <v>184</v>
      </c>
      <c r="D27" s="58">
        <v>1200</v>
      </c>
      <c r="I27" s="36" t="s">
        <v>712</v>
      </c>
      <c r="J27" s="36">
        <v>7115</v>
      </c>
      <c r="K27" s="36">
        <f t="shared" si="0"/>
        <v>7015</v>
      </c>
      <c r="L27" s="36" t="s">
        <v>703</v>
      </c>
      <c r="M27" s="36" t="s">
        <v>762</v>
      </c>
      <c r="N27" s="36" t="s">
        <v>703</v>
      </c>
      <c r="O27" s="36" t="s">
        <v>762</v>
      </c>
      <c r="P27" s="36" t="s">
        <v>714</v>
      </c>
      <c r="Q27" s="36" t="s">
        <v>161</v>
      </c>
      <c r="R27" s="36" t="s">
        <v>763</v>
      </c>
      <c r="AF27" s="40"/>
      <c r="AL27"/>
      <c r="AM27"/>
      <c r="BE27" s="36"/>
      <c r="BK27" s="36"/>
      <c r="BL27" s="36"/>
    </row>
    <row r="28" spans="1:64" x14ac:dyDescent="0.45">
      <c r="A28" s="36">
        <v>25</v>
      </c>
      <c r="B28" s="36" t="s">
        <v>764</v>
      </c>
      <c r="C28" s="36" t="s">
        <v>144</v>
      </c>
      <c r="D28" s="58">
        <v>0</v>
      </c>
      <c r="E28" s="38" t="s">
        <v>702</v>
      </c>
      <c r="F28" s="38">
        <v>1000</v>
      </c>
      <c r="G28" s="36">
        <f>6*3600</f>
        <v>21600</v>
      </c>
      <c r="H28" s="36">
        <v>500</v>
      </c>
      <c r="I28" s="36" t="s">
        <v>396</v>
      </c>
      <c r="J28" s="36">
        <v>7116</v>
      </c>
      <c r="K28" s="36">
        <f t="shared" si="0"/>
        <v>7016</v>
      </c>
      <c r="L28" s="36" t="s">
        <v>703</v>
      </c>
      <c r="M28" s="36" t="s">
        <v>765</v>
      </c>
      <c r="N28" s="36" t="s">
        <v>703</v>
      </c>
      <c r="O28" s="36" t="s">
        <v>765</v>
      </c>
      <c r="P28" s="36" t="s">
        <v>705</v>
      </c>
      <c r="Q28" s="36" t="s">
        <v>161</v>
      </c>
      <c r="R28" s="36" t="s">
        <v>766</v>
      </c>
    </row>
    <row r="29" spans="1:64" x14ac:dyDescent="0.45">
      <c r="A29" s="36">
        <v>26</v>
      </c>
      <c r="B29" s="36" t="s">
        <v>764</v>
      </c>
      <c r="C29" s="36" t="s">
        <v>176</v>
      </c>
      <c r="D29" s="58">
        <v>200</v>
      </c>
      <c r="E29" s="38" t="s">
        <v>707</v>
      </c>
      <c r="F29" s="38">
        <v>1000</v>
      </c>
      <c r="G29" s="36">
        <f>12*3600</f>
        <v>43200</v>
      </c>
      <c r="H29" s="36">
        <v>500</v>
      </c>
      <c r="I29" s="36" t="s">
        <v>708</v>
      </c>
      <c r="J29" s="36">
        <v>7117</v>
      </c>
      <c r="K29" s="36">
        <f t="shared" si="0"/>
        <v>7017</v>
      </c>
      <c r="L29" s="36" t="s">
        <v>703</v>
      </c>
      <c r="M29" s="36" t="s">
        <v>767</v>
      </c>
      <c r="N29" s="36" t="s">
        <v>703</v>
      </c>
      <c r="O29" s="36" t="s">
        <v>767</v>
      </c>
      <c r="P29" s="36" t="s">
        <v>710</v>
      </c>
      <c r="Q29" s="36" t="s">
        <v>161</v>
      </c>
      <c r="R29" s="36" t="s">
        <v>768</v>
      </c>
    </row>
    <row r="30" spans="1:64" x14ac:dyDescent="0.45">
      <c r="A30" s="36">
        <v>27</v>
      </c>
      <c r="B30" s="36" t="s">
        <v>764</v>
      </c>
      <c r="C30" s="36" t="s">
        <v>184</v>
      </c>
      <c r="D30" s="58">
        <v>1200</v>
      </c>
      <c r="I30" s="36" t="s">
        <v>712</v>
      </c>
      <c r="J30" s="36">
        <v>7118</v>
      </c>
      <c r="K30" s="36">
        <f t="shared" si="0"/>
        <v>7018</v>
      </c>
      <c r="L30" s="36" t="s">
        <v>703</v>
      </c>
      <c r="M30" s="36" t="s">
        <v>769</v>
      </c>
      <c r="N30" s="36" t="s">
        <v>703</v>
      </c>
      <c r="O30" s="36" t="s">
        <v>769</v>
      </c>
      <c r="P30" s="36" t="s">
        <v>714</v>
      </c>
      <c r="Q30" s="36" t="s">
        <v>161</v>
      </c>
      <c r="R30" s="36" t="s">
        <v>770</v>
      </c>
    </row>
  </sheetData>
  <autoFilter ref="A2:BK30" xr:uid="{00000000-0009-0000-0000-000006000000}"/>
  <phoneticPr fontId="14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43"/>
  <sheetViews>
    <sheetView workbookViewId="0">
      <pane xSplit="2" ySplit="3" topLeftCell="BE28" activePane="bottomRight" state="frozen"/>
      <selection pane="topRight"/>
      <selection pane="bottomLeft"/>
      <selection pane="bottomRight" activeCell="B68" sqref="B68"/>
    </sheetView>
  </sheetViews>
  <sheetFormatPr defaultColWidth="9" defaultRowHeight="16.5" x14ac:dyDescent="0.45"/>
  <cols>
    <col min="1" max="1" width="9" style="36"/>
    <col min="2" max="2" width="27" style="36" customWidth="1"/>
    <col min="3" max="3" width="20.08984375" style="36" customWidth="1"/>
    <col min="4" max="6" width="20.453125" style="36" customWidth="1"/>
    <col min="7" max="7" width="27.08984375" style="36" customWidth="1"/>
    <col min="8" max="8" width="25.453125" style="36" customWidth="1"/>
    <col min="9" max="10" width="19.90625" style="36" customWidth="1"/>
    <col min="11" max="11" width="28.26953125" style="36" customWidth="1"/>
    <col min="12" max="12" width="13" style="37" customWidth="1"/>
    <col min="13" max="13" width="20.453125" style="36" customWidth="1"/>
    <col min="14" max="14" width="9.90625" style="38" customWidth="1"/>
    <col min="15" max="15" width="18.90625" style="36" customWidth="1"/>
    <col min="16" max="16" width="18" style="36" customWidth="1"/>
    <col min="17" max="17" width="15.453125" style="56" customWidth="1"/>
    <col min="18" max="18" width="12.90625" style="39" customWidth="1"/>
    <col min="19" max="19" width="36" style="36" customWidth="1"/>
    <col min="20" max="20" width="16.90625" style="36" customWidth="1"/>
    <col min="21" max="21" width="6" style="36" customWidth="1"/>
    <col min="22" max="22" width="9" style="36" customWidth="1"/>
    <col min="23" max="23" width="11.08984375" style="36" customWidth="1"/>
    <col min="24" max="24" width="13.08984375" style="36" customWidth="1"/>
    <col min="25" max="25" width="19.453125" style="36" customWidth="1"/>
    <col min="26" max="26" width="21.453125" style="36" customWidth="1"/>
    <col min="27" max="27" width="95.36328125" style="38" customWidth="1"/>
    <col min="28" max="28" width="37.08984375" style="38" customWidth="1"/>
    <col min="29" max="30" width="15.90625" style="36" customWidth="1"/>
    <col min="31" max="31" width="17.453125" style="38" customWidth="1"/>
    <col min="32" max="32" width="39" style="38" customWidth="1"/>
    <col min="33" max="33" width="39" style="36" customWidth="1"/>
    <col min="34" max="34" width="20.90625" style="36" customWidth="1"/>
    <col min="35" max="35" width="22.453125" style="36" customWidth="1"/>
    <col min="36" max="36" width="100.7265625" style="38" customWidth="1"/>
    <col min="37" max="37" width="38.90625" style="38" customWidth="1"/>
    <col min="38" max="38" width="29.08984375" style="36" customWidth="1"/>
    <col min="39" max="39" width="43.08984375" style="36" customWidth="1"/>
    <col min="40" max="40" width="37.08984375" style="36" customWidth="1"/>
    <col min="41" max="41" width="30.08984375" style="36" customWidth="1"/>
    <col min="42" max="42" width="37" style="36" customWidth="1"/>
    <col min="43" max="43" width="67.453125" style="38" customWidth="1"/>
    <col min="44" max="44" width="13.7265625" style="38" customWidth="1"/>
    <col min="45" max="45" width="94.90625" style="38" customWidth="1"/>
    <col min="46" max="46" width="38.90625" style="38" customWidth="1"/>
    <col min="47" max="48" width="29.08984375" style="38" customWidth="1"/>
    <col min="49" max="49" width="40.453125" style="36" customWidth="1"/>
    <col min="50" max="50" width="21.90625" style="36" customWidth="1"/>
    <col min="51" max="51" width="29.90625" style="36" customWidth="1"/>
    <col min="52" max="52" width="10.90625" style="36" customWidth="1"/>
    <col min="53" max="53" width="38.08984375" style="36" customWidth="1"/>
    <col min="54" max="54" width="27.08984375" style="36" customWidth="1"/>
    <col min="55" max="55" width="33.08984375" style="36" customWidth="1"/>
    <col min="56" max="56" width="15.08984375" style="40" customWidth="1"/>
    <col min="57" max="57" width="63.08984375" style="39" customWidth="1"/>
    <col min="58" max="58" width="24.453125" style="36" customWidth="1"/>
    <col min="59" max="59" width="49.90625" style="36" customWidth="1"/>
    <col min="60" max="60" width="27.08984375" style="36" customWidth="1"/>
    <col min="61" max="61" width="31.90625" style="36" customWidth="1"/>
    <col min="62" max="62" width="20.90625" customWidth="1"/>
    <col min="63" max="64" width="16.6328125" style="41" customWidth="1"/>
    <col min="65" max="65" width="21.6328125" style="56" customWidth="1"/>
    <col min="66" max="66" width="9" style="36"/>
    <col min="67" max="67" width="18.90625" style="36" customWidth="1"/>
    <col min="68" max="68" width="18.36328125" style="36" customWidth="1"/>
    <col min="69" max="69" width="26.7265625" style="36" customWidth="1"/>
    <col min="70" max="70" width="26.26953125" style="36" customWidth="1"/>
    <col min="71" max="71" width="21.26953125" style="36" customWidth="1"/>
    <col min="72" max="72" width="18.36328125" style="36" customWidth="1"/>
    <col min="73" max="16384" width="9" style="36"/>
  </cols>
  <sheetData>
    <row r="1" spans="1:72" x14ac:dyDescent="0.45">
      <c r="A1" s="40"/>
      <c r="B1" s="40"/>
    </row>
    <row r="2" spans="1:72" ht="49.5" x14ac:dyDescent="0.45">
      <c r="A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7" t="s">
        <v>12</v>
      </c>
      <c r="M2" s="36" t="s">
        <v>13</v>
      </c>
      <c r="N2" s="38" t="s">
        <v>14</v>
      </c>
      <c r="O2" s="36" t="s">
        <v>15</v>
      </c>
      <c r="P2" s="36" t="s">
        <v>16</v>
      </c>
      <c r="Q2" s="56" t="s">
        <v>17</v>
      </c>
      <c r="R2" s="39" t="s">
        <v>18</v>
      </c>
      <c r="S2" s="36" t="s">
        <v>19</v>
      </c>
      <c r="T2" s="36" t="s">
        <v>20</v>
      </c>
      <c r="U2" s="36" t="s">
        <v>21</v>
      </c>
      <c r="V2" s="36" t="s">
        <v>22</v>
      </c>
      <c r="W2" s="36" t="s">
        <v>23</v>
      </c>
      <c r="X2" s="36" t="s">
        <v>24</v>
      </c>
      <c r="Y2" s="36" t="s">
        <v>25</v>
      </c>
      <c r="Z2" s="36" t="s">
        <v>26</v>
      </c>
      <c r="AA2" s="38" t="s">
        <v>27</v>
      </c>
      <c r="AB2" s="38" t="s">
        <v>28</v>
      </c>
      <c r="AC2" s="36" t="s">
        <v>29</v>
      </c>
      <c r="AD2" s="36" t="s">
        <v>30</v>
      </c>
      <c r="AE2" s="38" t="s">
        <v>31</v>
      </c>
      <c r="AF2" s="38" t="s">
        <v>32</v>
      </c>
      <c r="AG2" s="36" t="s">
        <v>33</v>
      </c>
      <c r="AH2" s="36" t="s">
        <v>34</v>
      </c>
      <c r="AI2" s="36" t="s">
        <v>35</v>
      </c>
      <c r="AJ2" s="38" t="s">
        <v>36</v>
      </c>
      <c r="AK2" s="38" t="s">
        <v>37</v>
      </c>
      <c r="AL2" s="36" t="s">
        <v>38</v>
      </c>
      <c r="AM2" s="36" t="s">
        <v>39</v>
      </c>
      <c r="AN2" s="36" t="s">
        <v>40</v>
      </c>
      <c r="AO2" s="36" t="s">
        <v>41</v>
      </c>
      <c r="AP2" s="36" t="s">
        <v>42</v>
      </c>
      <c r="AQ2" s="38" t="s">
        <v>43</v>
      </c>
      <c r="AR2" s="38" t="s">
        <v>44</v>
      </c>
      <c r="AS2" s="38" t="s">
        <v>45</v>
      </c>
      <c r="AT2" s="38" t="s">
        <v>46</v>
      </c>
      <c r="AU2" s="44" t="s">
        <v>47</v>
      </c>
      <c r="AV2" s="38" t="s">
        <v>48</v>
      </c>
      <c r="AW2" s="36" t="s">
        <v>49</v>
      </c>
      <c r="AX2" s="45" t="s">
        <v>50</v>
      </c>
      <c r="AY2" s="45" t="s">
        <v>51</v>
      </c>
      <c r="AZ2" s="36" t="s">
        <v>52</v>
      </c>
      <c r="BA2" s="36" t="s">
        <v>53</v>
      </c>
      <c r="BB2" s="36" t="s">
        <v>54</v>
      </c>
      <c r="BC2" s="36" t="s">
        <v>55</v>
      </c>
      <c r="BD2" s="40" t="s">
        <v>56</v>
      </c>
      <c r="BE2" s="39" t="s">
        <v>57</v>
      </c>
      <c r="BF2" s="36" t="s">
        <v>58</v>
      </c>
      <c r="BG2" s="36" t="s">
        <v>59</v>
      </c>
      <c r="BH2" s="36" t="s">
        <v>60</v>
      </c>
      <c r="BI2" s="36" t="s">
        <v>61</v>
      </c>
      <c r="BJ2" s="49" t="s">
        <v>62</v>
      </c>
      <c r="BK2" s="50" t="s">
        <v>63</v>
      </c>
      <c r="BL2" s="50" t="s">
        <v>64</v>
      </c>
      <c r="BM2" s="57" t="s">
        <v>65</v>
      </c>
      <c r="BN2" s="36" t="s">
        <v>66</v>
      </c>
      <c r="BP2" s="36" t="s">
        <v>67</v>
      </c>
      <c r="BS2" s="36" t="s">
        <v>68</v>
      </c>
      <c r="BT2" s="36" t="s">
        <v>69</v>
      </c>
    </row>
    <row r="3" spans="1:72" x14ac:dyDescent="0.45">
      <c r="A3" s="36" t="s">
        <v>2</v>
      </c>
      <c r="C3" s="36" t="s">
        <v>70</v>
      </c>
      <c r="D3" s="36" t="s">
        <v>71</v>
      </c>
      <c r="E3" s="36" t="s">
        <v>72</v>
      </c>
      <c r="F3" s="36" t="s">
        <v>73</v>
      </c>
      <c r="G3" s="36" t="s">
        <v>74</v>
      </c>
      <c r="H3" s="36" t="s">
        <v>75</v>
      </c>
      <c r="I3" s="36" t="s">
        <v>76</v>
      </c>
      <c r="J3" s="36" t="s">
        <v>77</v>
      </c>
      <c r="K3" s="36" t="s">
        <v>78</v>
      </c>
      <c r="L3" s="37" t="s">
        <v>79</v>
      </c>
      <c r="M3" s="36" t="s">
        <v>80</v>
      </c>
      <c r="N3" s="38" t="s">
        <v>81</v>
      </c>
      <c r="O3" s="36" t="s">
        <v>82</v>
      </c>
      <c r="P3" s="36" t="s">
        <v>83</v>
      </c>
      <c r="Q3" s="56" t="s">
        <v>84</v>
      </c>
      <c r="R3" s="39" t="s">
        <v>85</v>
      </c>
      <c r="S3" s="36" t="s">
        <v>86</v>
      </c>
      <c r="T3" s="36" t="s">
        <v>87</v>
      </c>
      <c r="U3" s="36" t="s">
        <v>88</v>
      </c>
      <c r="V3" s="36" t="s">
        <v>89</v>
      </c>
      <c r="W3" s="36" t="s">
        <v>90</v>
      </c>
      <c r="X3" s="36" t="s">
        <v>91</v>
      </c>
      <c r="Y3" s="36" t="s">
        <v>92</v>
      </c>
      <c r="Z3" s="36" t="s">
        <v>93</v>
      </c>
      <c r="AA3" s="43" t="s">
        <v>94</v>
      </c>
      <c r="AB3" s="43" t="s">
        <v>95</v>
      </c>
      <c r="AC3" s="36" t="s">
        <v>96</v>
      </c>
      <c r="AD3" s="36" t="s">
        <v>97</v>
      </c>
      <c r="AE3" s="38" t="s">
        <v>98</v>
      </c>
      <c r="AF3" s="38" t="s">
        <v>99</v>
      </c>
      <c r="AG3" s="36" t="s">
        <v>100</v>
      </c>
      <c r="AH3" s="36" t="s">
        <v>101</v>
      </c>
      <c r="AI3" s="36" t="s">
        <v>102</v>
      </c>
      <c r="AJ3" s="38" t="s">
        <v>103</v>
      </c>
      <c r="AK3" s="38" t="s">
        <v>104</v>
      </c>
      <c r="AL3" s="36" t="s">
        <v>105</v>
      </c>
      <c r="AM3" s="36" t="s">
        <v>106</v>
      </c>
      <c r="AN3" s="36" t="s">
        <v>107</v>
      </c>
      <c r="AO3" s="36" t="s">
        <v>108</v>
      </c>
      <c r="AP3" s="36" t="s">
        <v>109</v>
      </c>
      <c r="AQ3" s="38" t="s">
        <v>110</v>
      </c>
      <c r="AR3" s="38" t="s">
        <v>111</v>
      </c>
      <c r="AS3" s="38" t="s">
        <v>112</v>
      </c>
      <c r="AT3" s="38" t="s">
        <v>113</v>
      </c>
      <c r="AU3" s="38" t="s">
        <v>114</v>
      </c>
      <c r="AV3" s="38" t="s">
        <v>115</v>
      </c>
      <c r="AW3" s="36" t="s">
        <v>116</v>
      </c>
      <c r="AX3" s="45" t="s">
        <v>117</v>
      </c>
      <c r="AY3" s="45" t="s">
        <v>118</v>
      </c>
      <c r="AZ3" s="36" t="s">
        <v>119</v>
      </c>
      <c r="BA3" s="36" t="s">
        <v>120</v>
      </c>
      <c r="BB3" s="36" t="s">
        <v>121</v>
      </c>
      <c r="BC3" s="36" t="s">
        <v>122</v>
      </c>
      <c r="BD3" s="40" t="s">
        <v>123</v>
      </c>
      <c r="BE3" s="39" t="s">
        <v>124</v>
      </c>
      <c r="BF3" s="36" t="s">
        <v>125</v>
      </c>
      <c r="BG3" s="36" t="s">
        <v>126</v>
      </c>
      <c r="BH3" s="36" t="s">
        <v>127</v>
      </c>
      <c r="BI3" s="36" t="s">
        <v>128</v>
      </c>
      <c r="BJ3" s="36" t="s">
        <v>129</v>
      </c>
      <c r="BK3" s="38" t="s">
        <v>130</v>
      </c>
      <c r="BL3" s="38" t="s">
        <v>131</v>
      </c>
      <c r="BM3" s="56" t="s">
        <v>132</v>
      </c>
      <c r="BN3" s="36" t="s">
        <v>133</v>
      </c>
      <c r="BO3" s="36" t="s">
        <v>134</v>
      </c>
      <c r="BP3" s="36" t="s">
        <v>135</v>
      </c>
      <c r="BQ3" s="36" t="s">
        <v>136</v>
      </c>
      <c r="BR3" s="36" t="s">
        <v>137</v>
      </c>
      <c r="BS3" s="36" t="s">
        <v>138</v>
      </c>
      <c r="BT3" s="36" t="s">
        <v>139</v>
      </c>
    </row>
    <row r="4" spans="1:72" x14ac:dyDescent="0.45">
      <c r="A4" s="36">
        <v>40301</v>
      </c>
      <c r="B4" s="36" t="s">
        <v>140</v>
      </c>
      <c r="C4" s="36" t="s">
        <v>141</v>
      </c>
      <c r="D4" s="36" t="s">
        <v>142</v>
      </c>
      <c r="E4" s="36" t="s">
        <v>143</v>
      </c>
      <c r="F4" s="36" t="s">
        <v>144</v>
      </c>
      <c r="G4" s="36" t="s">
        <v>145</v>
      </c>
      <c r="H4" s="36" t="s">
        <v>146</v>
      </c>
      <c r="J4" s="36" t="s">
        <v>147</v>
      </c>
      <c r="K4" s="36">
        <v>3600</v>
      </c>
      <c r="L4" s="36" t="s">
        <v>148</v>
      </c>
      <c r="M4" s="36" t="s">
        <v>149</v>
      </c>
      <c r="N4" s="38">
        <v>4050000</v>
      </c>
      <c r="O4" s="36">
        <v>1</v>
      </c>
      <c r="P4" s="36" t="s">
        <v>150</v>
      </c>
      <c r="Q4" s="56">
        <v>50</v>
      </c>
      <c r="R4" s="36" t="s">
        <v>151</v>
      </c>
      <c r="S4" s="36" t="s">
        <v>152</v>
      </c>
      <c r="U4" s="36">
        <v>1</v>
      </c>
      <c r="AA4" s="38" t="s">
        <v>153</v>
      </c>
      <c r="AB4" s="38">
        <v>1000</v>
      </c>
      <c r="AC4" s="36">
        <v>5</v>
      </c>
      <c r="AE4" s="38">
        <v>14400000</v>
      </c>
      <c r="AF4" s="38">
        <v>500000</v>
      </c>
      <c r="AG4" s="36">
        <v>500</v>
      </c>
      <c r="AH4" s="36">
        <v>0</v>
      </c>
      <c r="AI4" s="36">
        <v>40302</v>
      </c>
      <c r="AJ4" s="38" t="s">
        <v>154</v>
      </c>
      <c r="AK4" s="38">
        <v>1000</v>
      </c>
      <c r="AL4" s="36">
        <v>21600</v>
      </c>
      <c r="AM4" s="36">
        <v>1000</v>
      </c>
      <c r="AN4" s="36">
        <v>0</v>
      </c>
      <c r="AO4" s="36">
        <v>600</v>
      </c>
      <c r="AP4" s="36">
        <v>2500</v>
      </c>
      <c r="AQ4" s="38" t="s">
        <v>155</v>
      </c>
      <c r="AR4" s="38">
        <v>100</v>
      </c>
      <c r="AS4" s="38" t="s">
        <v>156</v>
      </c>
      <c r="AT4" s="38">
        <v>1000</v>
      </c>
      <c r="AU4" s="38">
        <v>10800</v>
      </c>
      <c r="AV4" s="38">
        <v>14400000</v>
      </c>
      <c r="AW4" s="36">
        <v>200000</v>
      </c>
      <c r="BB4" s="36" t="s">
        <v>157</v>
      </c>
      <c r="BC4" s="36" t="s">
        <v>158</v>
      </c>
      <c r="BD4" s="46"/>
      <c r="BE4" s="39" t="s">
        <v>159</v>
      </c>
      <c r="BF4" s="36">
        <v>1</v>
      </c>
      <c r="BG4" s="36" t="s">
        <v>160</v>
      </c>
      <c r="BH4" s="36" t="s">
        <v>161</v>
      </c>
      <c r="BI4" s="36" t="s">
        <v>162</v>
      </c>
      <c r="BK4" s="38">
        <v>7200</v>
      </c>
      <c r="BL4" s="38">
        <v>1800</v>
      </c>
      <c r="BM4" s="56">
        <v>400</v>
      </c>
      <c r="BN4" s="36">
        <v>3</v>
      </c>
      <c r="BO4" s="35" t="s">
        <v>163</v>
      </c>
      <c r="BP4" s="36" t="s">
        <v>164</v>
      </c>
      <c r="BQ4" s="54" t="s">
        <v>157</v>
      </c>
      <c r="BR4" s="36" t="s">
        <v>165</v>
      </c>
      <c r="BS4" s="35" t="s">
        <v>163</v>
      </c>
      <c r="BT4" s="36" t="s">
        <v>166</v>
      </c>
    </row>
    <row r="5" spans="1:72" x14ac:dyDescent="0.45">
      <c r="A5" s="36">
        <v>40302</v>
      </c>
      <c r="B5" s="36" t="s">
        <v>167</v>
      </c>
      <c r="C5" s="36" t="s">
        <v>141</v>
      </c>
      <c r="D5" s="36" t="s">
        <v>142</v>
      </c>
      <c r="E5" s="36" t="s">
        <v>143</v>
      </c>
      <c r="F5" s="36" t="s">
        <v>144</v>
      </c>
      <c r="G5" s="36" t="s">
        <v>145</v>
      </c>
      <c r="H5" s="36" t="s">
        <v>146</v>
      </c>
      <c r="J5" s="36" t="s">
        <v>147</v>
      </c>
      <c r="K5" s="36">
        <v>3600</v>
      </c>
      <c r="L5" s="36" t="s">
        <v>148</v>
      </c>
      <c r="M5" s="36" t="s">
        <v>149</v>
      </c>
      <c r="N5" s="38">
        <v>4350000</v>
      </c>
      <c r="O5" s="36">
        <v>1</v>
      </c>
      <c r="P5" s="36" t="s">
        <v>150</v>
      </c>
      <c r="Q5" s="56">
        <v>100</v>
      </c>
      <c r="R5" s="36" t="s">
        <v>151</v>
      </c>
      <c r="S5" s="36" t="s">
        <v>152</v>
      </c>
      <c r="U5" s="36">
        <v>2</v>
      </c>
      <c r="AA5" s="38" t="s">
        <v>153</v>
      </c>
      <c r="AB5" s="38">
        <v>1000</v>
      </c>
      <c r="AC5" s="36">
        <v>5</v>
      </c>
      <c r="AE5" s="38">
        <v>14400000</v>
      </c>
      <c r="AF5" s="38">
        <v>500000</v>
      </c>
      <c r="AG5" s="36">
        <v>500</v>
      </c>
      <c r="AH5" s="36">
        <v>0</v>
      </c>
      <c r="AI5" s="36">
        <v>40303</v>
      </c>
      <c r="AJ5" s="38" t="s">
        <v>168</v>
      </c>
      <c r="AK5" s="38">
        <v>1000</v>
      </c>
      <c r="AL5" s="36">
        <v>32400</v>
      </c>
      <c r="AM5" s="36">
        <v>1000</v>
      </c>
      <c r="AN5" s="36">
        <v>0</v>
      </c>
      <c r="AO5" s="36">
        <v>600</v>
      </c>
      <c r="AP5" s="36">
        <v>2500</v>
      </c>
      <c r="AQ5" s="38" t="s">
        <v>155</v>
      </c>
      <c r="AR5" s="38">
        <v>100</v>
      </c>
      <c r="AS5" s="38" t="s">
        <v>156</v>
      </c>
      <c r="AT5" s="38">
        <v>1000</v>
      </c>
      <c r="AU5" s="38">
        <v>10800</v>
      </c>
      <c r="AV5" s="38">
        <v>14400000</v>
      </c>
      <c r="AW5" s="36">
        <v>200000</v>
      </c>
      <c r="BB5" s="36" t="s">
        <v>157</v>
      </c>
      <c r="BC5" s="36" t="s">
        <v>158</v>
      </c>
      <c r="BD5" s="46"/>
      <c r="BE5" s="39" t="s">
        <v>159</v>
      </c>
      <c r="BF5" s="36">
        <v>1</v>
      </c>
      <c r="BG5" s="36" t="s">
        <v>160</v>
      </c>
      <c r="BH5" s="36" t="s">
        <v>161</v>
      </c>
      <c r="BI5" s="36" t="s">
        <v>162</v>
      </c>
      <c r="BK5" s="38">
        <v>7200</v>
      </c>
      <c r="BL5" s="38">
        <v>1800</v>
      </c>
      <c r="BM5" s="56">
        <v>415</v>
      </c>
      <c r="BN5" s="36">
        <v>3</v>
      </c>
      <c r="BO5" s="35" t="s">
        <v>163</v>
      </c>
      <c r="BP5" s="36" t="s">
        <v>164</v>
      </c>
      <c r="BQ5" s="54" t="s">
        <v>157</v>
      </c>
      <c r="BR5" s="36" t="s">
        <v>165</v>
      </c>
      <c r="BS5" s="35" t="s">
        <v>163</v>
      </c>
      <c r="BT5" s="36" t="s">
        <v>166</v>
      </c>
    </row>
    <row r="6" spans="1:72" x14ac:dyDescent="0.45">
      <c r="A6" s="36">
        <v>40303</v>
      </c>
      <c r="B6" s="36" t="s">
        <v>169</v>
      </c>
      <c r="C6" s="36" t="s">
        <v>141</v>
      </c>
      <c r="D6" s="36" t="s">
        <v>142</v>
      </c>
      <c r="E6" s="36" t="s">
        <v>143</v>
      </c>
      <c r="F6" s="36" t="s">
        <v>144</v>
      </c>
      <c r="G6" s="36" t="s">
        <v>145</v>
      </c>
      <c r="H6" s="36" t="s">
        <v>146</v>
      </c>
      <c r="J6" s="36" t="s">
        <v>147</v>
      </c>
      <c r="K6" s="36">
        <v>3600</v>
      </c>
      <c r="L6" s="36" t="s">
        <v>148</v>
      </c>
      <c r="M6" s="36" t="s">
        <v>149</v>
      </c>
      <c r="N6" s="38">
        <v>4650000</v>
      </c>
      <c r="O6" s="36">
        <v>1</v>
      </c>
      <c r="P6" s="36" t="s">
        <v>150</v>
      </c>
      <c r="Q6" s="56">
        <v>150</v>
      </c>
      <c r="R6" s="36" t="s">
        <v>151</v>
      </c>
      <c r="S6" s="36" t="s">
        <v>152</v>
      </c>
      <c r="U6" s="36">
        <v>3</v>
      </c>
      <c r="AA6" s="38" t="s">
        <v>153</v>
      </c>
      <c r="AB6" s="38">
        <v>1000</v>
      </c>
      <c r="AC6" s="36">
        <v>5</v>
      </c>
      <c r="AE6" s="38">
        <v>14400000</v>
      </c>
      <c r="AF6" s="38">
        <v>500000</v>
      </c>
      <c r="AG6" s="36">
        <v>500</v>
      </c>
      <c r="AH6" s="36">
        <v>0</v>
      </c>
      <c r="AI6" s="36">
        <v>40304</v>
      </c>
      <c r="AJ6" s="38" t="s">
        <v>170</v>
      </c>
      <c r="AK6" s="38">
        <v>1000</v>
      </c>
      <c r="AL6" s="36">
        <v>43200</v>
      </c>
      <c r="AM6" s="36">
        <v>1000</v>
      </c>
      <c r="AN6" s="36">
        <v>0</v>
      </c>
      <c r="AO6" s="36">
        <v>600</v>
      </c>
      <c r="AP6" s="36">
        <v>2500</v>
      </c>
      <c r="AQ6" s="38" t="s">
        <v>155</v>
      </c>
      <c r="AR6" s="38">
        <v>100</v>
      </c>
      <c r="AS6" s="38" t="s">
        <v>156</v>
      </c>
      <c r="AT6" s="38">
        <v>1000</v>
      </c>
      <c r="AU6" s="38">
        <v>10800</v>
      </c>
      <c r="AV6" s="38">
        <v>14400000</v>
      </c>
      <c r="AW6" s="36">
        <v>200000</v>
      </c>
      <c r="BB6" s="36" t="s">
        <v>157</v>
      </c>
      <c r="BC6" s="36" t="s">
        <v>158</v>
      </c>
      <c r="BD6" s="46"/>
      <c r="BE6" s="39" t="s">
        <v>159</v>
      </c>
      <c r="BF6" s="36">
        <v>1</v>
      </c>
      <c r="BG6" s="36" t="s">
        <v>160</v>
      </c>
      <c r="BH6" s="36" t="s">
        <v>161</v>
      </c>
      <c r="BI6" s="36" t="s">
        <v>162</v>
      </c>
      <c r="BK6" s="38">
        <v>7200</v>
      </c>
      <c r="BL6" s="38">
        <v>1800</v>
      </c>
      <c r="BM6" s="56">
        <v>435</v>
      </c>
      <c r="BN6" s="36">
        <v>3</v>
      </c>
      <c r="BO6" s="35" t="s">
        <v>163</v>
      </c>
      <c r="BP6" s="36" t="s">
        <v>164</v>
      </c>
      <c r="BQ6" s="54" t="s">
        <v>157</v>
      </c>
      <c r="BR6" s="36" t="s">
        <v>165</v>
      </c>
      <c r="BS6" s="35" t="s">
        <v>163</v>
      </c>
      <c r="BT6" s="36" t="s">
        <v>166</v>
      </c>
    </row>
    <row r="7" spans="1:72" s="35" customFormat="1" x14ac:dyDescent="0.45">
      <c r="A7" s="36">
        <v>40304</v>
      </c>
      <c r="B7" s="36" t="s">
        <v>171</v>
      </c>
      <c r="C7" s="36" t="s">
        <v>141</v>
      </c>
      <c r="D7" s="36" t="s">
        <v>142</v>
      </c>
      <c r="E7" s="36" t="s">
        <v>143</v>
      </c>
      <c r="F7" s="36" t="s">
        <v>144</v>
      </c>
      <c r="G7" s="36" t="s">
        <v>145</v>
      </c>
      <c r="H7" s="36" t="s">
        <v>146</v>
      </c>
      <c r="I7" s="36"/>
      <c r="J7" s="36" t="s">
        <v>147</v>
      </c>
      <c r="K7" s="36">
        <v>3600</v>
      </c>
      <c r="L7" s="36" t="s">
        <v>148</v>
      </c>
      <c r="M7" s="36" t="s">
        <v>149</v>
      </c>
      <c r="N7" s="38">
        <v>4950000</v>
      </c>
      <c r="O7" s="36">
        <v>1</v>
      </c>
      <c r="P7" s="36" t="s">
        <v>150</v>
      </c>
      <c r="Q7" s="56">
        <v>200</v>
      </c>
      <c r="R7" s="36" t="s">
        <v>151</v>
      </c>
      <c r="S7" s="36" t="s">
        <v>152</v>
      </c>
      <c r="T7" s="36"/>
      <c r="U7" s="36">
        <v>4</v>
      </c>
      <c r="V7" s="36"/>
      <c r="W7" s="36"/>
      <c r="X7" s="36"/>
      <c r="Y7" s="36"/>
      <c r="Z7" s="36"/>
      <c r="AA7" s="38" t="s">
        <v>153</v>
      </c>
      <c r="AB7" s="38">
        <v>1000</v>
      </c>
      <c r="AC7" s="36">
        <v>5</v>
      </c>
      <c r="AD7" s="36"/>
      <c r="AE7" s="38">
        <v>14400000</v>
      </c>
      <c r="AF7" s="38">
        <v>500000</v>
      </c>
      <c r="AG7" s="36">
        <v>500</v>
      </c>
      <c r="AH7" s="36">
        <v>0</v>
      </c>
      <c r="AI7" s="36">
        <v>40305</v>
      </c>
      <c r="AJ7" s="38" t="s">
        <v>172</v>
      </c>
      <c r="AK7" s="38">
        <v>1000</v>
      </c>
      <c r="AL7" s="36">
        <v>54000</v>
      </c>
      <c r="AM7" s="36">
        <v>1000</v>
      </c>
      <c r="AN7" s="36">
        <v>0</v>
      </c>
      <c r="AO7" s="36">
        <v>600</v>
      </c>
      <c r="AP7" s="36">
        <v>2500</v>
      </c>
      <c r="AQ7" s="38" t="s">
        <v>155</v>
      </c>
      <c r="AR7" s="38">
        <v>100</v>
      </c>
      <c r="AS7" s="38" t="s">
        <v>156</v>
      </c>
      <c r="AT7" s="38">
        <v>1000</v>
      </c>
      <c r="AU7" s="38">
        <v>10800</v>
      </c>
      <c r="AV7" s="38">
        <v>14400000</v>
      </c>
      <c r="AW7" s="36">
        <v>200000</v>
      </c>
      <c r="AX7" s="36"/>
      <c r="AY7" s="36"/>
      <c r="AZ7" s="36"/>
      <c r="BA7" s="36"/>
      <c r="BB7" s="36" t="s">
        <v>157</v>
      </c>
      <c r="BC7" s="36" t="s">
        <v>158</v>
      </c>
      <c r="BD7" s="46"/>
      <c r="BE7" s="39" t="s">
        <v>159</v>
      </c>
      <c r="BF7" s="36">
        <v>1</v>
      </c>
      <c r="BG7" s="36" t="s">
        <v>160</v>
      </c>
      <c r="BH7" s="36" t="s">
        <v>161</v>
      </c>
      <c r="BI7" s="36" t="s">
        <v>162</v>
      </c>
      <c r="BJ7"/>
      <c r="BK7" s="38">
        <v>7200</v>
      </c>
      <c r="BL7" s="38">
        <v>1800</v>
      </c>
      <c r="BM7" s="56">
        <v>460</v>
      </c>
      <c r="BN7" s="36">
        <v>3</v>
      </c>
      <c r="BO7" s="35" t="s">
        <v>163</v>
      </c>
      <c r="BP7" s="36" t="s">
        <v>164</v>
      </c>
      <c r="BQ7" s="54" t="s">
        <v>157</v>
      </c>
      <c r="BR7" s="36" t="s">
        <v>165</v>
      </c>
      <c r="BS7" s="35" t="s">
        <v>163</v>
      </c>
      <c r="BT7" s="36" t="s">
        <v>166</v>
      </c>
    </row>
    <row r="8" spans="1:72" x14ac:dyDescent="0.45">
      <c r="A8" s="36">
        <v>40305</v>
      </c>
      <c r="B8" s="36" t="s">
        <v>173</v>
      </c>
      <c r="C8" s="36" t="s">
        <v>141</v>
      </c>
      <c r="D8" s="36" t="s">
        <v>142</v>
      </c>
      <c r="E8" s="36" t="s">
        <v>143</v>
      </c>
      <c r="F8" s="36" t="s">
        <v>144</v>
      </c>
      <c r="G8" s="36" t="s">
        <v>145</v>
      </c>
      <c r="H8" s="36" t="s">
        <v>146</v>
      </c>
      <c r="J8" s="36" t="s">
        <v>147</v>
      </c>
      <c r="K8" s="36">
        <v>3600</v>
      </c>
      <c r="L8" s="36" t="s">
        <v>148</v>
      </c>
      <c r="M8" s="36" t="s">
        <v>149</v>
      </c>
      <c r="N8" s="38">
        <v>5250000</v>
      </c>
      <c r="O8" s="36">
        <v>1</v>
      </c>
      <c r="P8" s="36" t="s">
        <v>150</v>
      </c>
      <c r="Q8" s="56">
        <v>250</v>
      </c>
      <c r="R8" s="36" t="s">
        <v>151</v>
      </c>
      <c r="S8" s="36" t="s">
        <v>152</v>
      </c>
      <c r="U8" s="36">
        <v>5</v>
      </c>
      <c r="AA8" s="38" t="s">
        <v>153</v>
      </c>
      <c r="AB8" s="38">
        <v>1000</v>
      </c>
      <c r="AC8" s="36">
        <v>5</v>
      </c>
      <c r="AE8" s="38">
        <v>14400000</v>
      </c>
      <c r="AF8" s="38">
        <v>500000</v>
      </c>
      <c r="AG8" s="36">
        <v>500</v>
      </c>
      <c r="AH8" s="36">
        <v>0</v>
      </c>
      <c r="AI8" s="36">
        <v>40306</v>
      </c>
      <c r="AJ8" s="38" t="s">
        <v>174</v>
      </c>
      <c r="AK8" s="38">
        <v>1000</v>
      </c>
      <c r="AL8" s="36">
        <v>64800</v>
      </c>
      <c r="AM8" s="36">
        <v>1000</v>
      </c>
      <c r="AN8" s="36">
        <v>0</v>
      </c>
      <c r="AO8" s="36">
        <v>600</v>
      </c>
      <c r="AP8" s="36">
        <v>2500</v>
      </c>
      <c r="AQ8" s="38" t="s">
        <v>155</v>
      </c>
      <c r="AR8" s="38">
        <v>100</v>
      </c>
      <c r="AS8" s="38" t="s">
        <v>156</v>
      </c>
      <c r="AT8" s="38">
        <v>1000</v>
      </c>
      <c r="AU8" s="38">
        <v>10800</v>
      </c>
      <c r="AV8" s="38">
        <v>14400000</v>
      </c>
      <c r="AW8" s="36">
        <v>200000</v>
      </c>
      <c r="BB8" s="36" t="s">
        <v>157</v>
      </c>
      <c r="BC8" s="36" t="s">
        <v>158</v>
      </c>
      <c r="BD8" s="46"/>
      <c r="BE8" s="39" t="s">
        <v>159</v>
      </c>
      <c r="BF8" s="36">
        <v>1</v>
      </c>
      <c r="BG8" s="36" t="s">
        <v>160</v>
      </c>
      <c r="BH8" s="36" t="s">
        <v>161</v>
      </c>
      <c r="BI8" s="36" t="s">
        <v>162</v>
      </c>
      <c r="BK8" s="38">
        <v>7200</v>
      </c>
      <c r="BL8" s="38">
        <v>1800</v>
      </c>
      <c r="BM8" s="56">
        <v>490</v>
      </c>
      <c r="BN8" s="36">
        <v>3</v>
      </c>
      <c r="BO8" s="35" t="s">
        <v>163</v>
      </c>
      <c r="BP8" s="36" t="s">
        <v>164</v>
      </c>
      <c r="BQ8" s="54" t="s">
        <v>157</v>
      </c>
      <c r="BR8" s="36" t="s">
        <v>165</v>
      </c>
      <c r="BS8" s="35" t="s">
        <v>163</v>
      </c>
      <c r="BT8" s="36" t="s">
        <v>166</v>
      </c>
    </row>
    <row r="9" spans="1:72" x14ac:dyDescent="0.45">
      <c r="A9" s="36">
        <v>40306</v>
      </c>
      <c r="B9" s="36" t="s">
        <v>175</v>
      </c>
      <c r="C9" s="36" t="s">
        <v>141</v>
      </c>
      <c r="D9" s="36" t="s">
        <v>142</v>
      </c>
      <c r="E9" s="36" t="s">
        <v>143</v>
      </c>
      <c r="F9" s="36" t="s">
        <v>176</v>
      </c>
      <c r="G9" s="36" t="s">
        <v>145</v>
      </c>
      <c r="H9" s="36" t="s">
        <v>146</v>
      </c>
      <c r="J9" s="36" t="s">
        <v>147</v>
      </c>
      <c r="K9" s="36">
        <v>3600</v>
      </c>
      <c r="L9" s="36" t="s">
        <v>148</v>
      </c>
      <c r="M9" s="36" t="s">
        <v>149</v>
      </c>
      <c r="N9" s="38">
        <v>5550000</v>
      </c>
      <c r="O9" s="36">
        <v>1</v>
      </c>
      <c r="P9" s="36" t="s">
        <v>150</v>
      </c>
      <c r="Q9" s="56">
        <v>300</v>
      </c>
      <c r="R9" s="42" t="s">
        <v>177</v>
      </c>
      <c r="S9" s="36" t="s">
        <v>152</v>
      </c>
      <c r="U9" s="36">
        <v>6</v>
      </c>
      <c r="AA9" s="38" t="s">
        <v>153</v>
      </c>
      <c r="AB9" s="38">
        <v>1000</v>
      </c>
      <c r="AC9" s="36">
        <v>5</v>
      </c>
      <c r="AE9" s="38">
        <v>14400000</v>
      </c>
      <c r="AF9" s="38">
        <v>500000</v>
      </c>
      <c r="AG9" s="36">
        <v>500</v>
      </c>
      <c r="AH9" s="36">
        <v>0</v>
      </c>
      <c r="AI9" s="36">
        <v>40307</v>
      </c>
      <c r="AJ9" s="38" t="s">
        <v>178</v>
      </c>
      <c r="AK9" s="38">
        <v>1000</v>
      </c>
      <c r="AL9" s="36">
        <v>75600</v>
      </c>
      <c r="AM9" s="36">
        <v>1000</v>
      </c>
      <c r="AN9" s="36">
        <v>0</v>
      </c>
      <c r="AO9" s="36">
        <v>600</v>
      </c>
      <c r="AP9" s="36">
        <v>2500</v>
      </c>
      <c r="AQ9" s="38" t="s">
        <v>155</v>
      </c>
      <c r="AR9" s="38">
        <v>100</v>
      </c>
      <c r="AS9" s="38" t="s">
        <v>156</v>
      </c>
      <c r="AT9" s="38">
        <v>1000</v>
      </c>
      <c r="AU9" s="38">
        <v>10800</v>
      </c>
      <c r="AV9" s="38">
        <v>14400000</v>
      </c>
      <c r="AW9" s="36">
        <v>200000</v>
      </c>
      <c r="BB9" s="36" t="s">
        <v>157</v>
      </c>
      <c r="BC9" s="36" t="s">
        <v>158</v>
      </c>
      <c r="BD9" s="46"/>
      <c r="BE9" s="39" t="s">
        <v>159</v>
      </c>
      <c r="BF9" s="36">
        <v>1</v>
      </c>
      <c r="BG9" s="36" t="s">
        <v>160</v>
      </c>
      <c r="BH9" s="36" t="s">
        <v>161</v>
      </c>
      <c r="BI9" s="36" t="s">
        <v>162</v>
      </c>
      <c r="BK9" s="38">
        <v>7200</v>
      </c>
      <c r="BL9" s="38">
        <v>1800</v>
      </c>
      <c r="BM9" s="56">
        <v>525</v>
      </c>
      <c r="BN9" s="36">
        <v>3</v>
      </c>
      <c r="BO9" s="35" t="s">
        <v>163</v>
      </c>
      <c r="BP9" s="36" t="s">
        <v>164</v>
      </c>
      <c r="BQ9" s="54" t="s">
        <v>157</v>
      </c>
      <c r="BR9" s="36" t="s">
        <v>165</v>
      </c>
      <c r="BS9" s="35" t="s">
        <v>163</v>
      </c>
      <c r="BT9" s="36" t="s">
        <v>166</v>
      </c>
    </row>
    <row r="10" spans="1:72" x14ac:dyDescent="0.45">
      <c r="A10" s="36">
        <v>40307</v>
      </c>
      <c r="B10" s="36" t="s">
        <v>179</v>
      </c>
      <c r="C10" s="36" t="s">
        <v>141</v>
      </c>
      <c r="D10" s="36" t="s">
        <v>142</v>
      </c>
      <c r="E10" s="36" t="s">
        <v>143</v>
      </c>
      <c r="F10" s="36" t="s">
        <v>176</v>
      </c>
      <c r="G10" s="36" t="s">
        <v>145</v>
      </c>
      <c r="H10" s="36" t="s">
        <v>146</v>
      </c>
      <c r="J10" s="36" t="s">
        <v>147</v>
      </c>
      <c r="K10" s="36">
        <v>3600</v>
      </c>
      <c r="L10" s="36" t="s">
        <v>148</v>
      </c>
      <c r="M10" s="36" t="s">
        <v>149</v>
      </c>
      <c r="N10" s="38">
        <v>5850000</v>
      </c>
      <c r="O10" s="36">
        <v>1</v>
      </c>
      <c r="P10" s="36" t="s">
        <v>150</v>
      </c>
      <c r="Q10" s="56">
        <v>350</v>
      </c>
      <c r="R10" s="42" t="s">
        <v>177</v>
      </c>
      <c r="S10" s="36" t="s">
        <v>152</v>
      </c>
      <c r="U10" s="36">
        <v>7</v>
      </c>
      <c r="AA10" s="38" t="s">
        <v>153</v>
      </c>
      <c r="AB10" s="38">
        <v>1000</v>
      </c>
      <c r="AC10" s="36">
        <v>5</v>
      </c>
      <c r="AE10" s="38">
        <v>14400000</v>
      </c>
      <c r="AF10" s="38">
        <v>500000</v>
      </c>
      <c r="AG10" s="36">
        <v>500</v>
      </c>
      <c r="AH10" s="36">
        <v>0</v>
      </c>
      <c r="AI10" s="36">
        <v>40308</v>
      </c>
      <c r="AJ10" s="38" t="s">
        <v>180</v>
      </c>
      <c r="AK10" s="38">
        <v>1000</v>
      </c>
      <c r="AL10" s="36">
        <v>86400</v>
      </c>
      <c r="AM10" s="36">
        <v>1000</v>
      </c>
      <c r="AN10" s="36">
        <v>0</v>
      </c>
      <c r="AO10" s="36">
        <v>600</v>
      </c>
      <c r="AP10" s="36">
        <v>2500</v>
      </c>
      <c r="AQ10" s="38" t="s">
        <v>155</v>
      </c>
      <c r="AR10" s="38">
        <v>100</v>
      </c>
      <c r="AS10" s="38" t="s">
        <v>156</v>
      </c>
      <c r="AT10" s="38">
        <v>1000</v>
      </c>
      <c r="AU10" s="38">
        <v>10800</v>
      </c>
      <c r="AV10" s="38">
        <v>14400000</v>
      </c>
      <c r="AW10" s="36">
        <v>200000</v>
      </c>
      <c r="BB10" s="36" t="s">
        <v>157</v>
      </c>
      <c r="BC10" s="36" t="s">
        <v>158</v>
      </c>
      <c r="BD10" s="46"/>
      <c r="BE10" s="39" t="s">
        <v>159</v>
      </c>
      <c r="BF10" s="36">
        <v>1</v>
      </c>
      <c r="BG10" s="36" t="s">
        <v>160</v>
      </c>
      <c r="BH10" s="36" t="s">
        <v>161</v>
      </c>
      <c r="BI10" s="36" t="s">
        <v>162</v>
      </c>
      <c r="BK10" s="38">
        <v>7200</v>
      </c>
      <c r="BL10" s="38">
        <v>1800</v>
      </c>
      <c r="BM10" s="56">
        <v>565</v>
      </c>
      <c r="BN10" s="36">
        <v>3</v>
      </c>
      <c r="BO10" s="35" t="s">
        <v>163</v>
      </c>
      <c r="BP10" s="36" t="s">
        <v>164</v>
      </c>
      <c r="BQ10" s="54" t="s">
        <v>157</v>
      </c>
      <c r="BR10" s="36" t="s">
        <v>165</v>
      </c>
      <c r="BS10" s="35" t="s">
        <v>163</v>
      </c>
      <c r="BT10" s="36" t="s">
        <v>166</v>
      </c>
    </row>
    <row r="11" spans="1:72" x14ac:dyDescent="0.45">
      <c r="A11" s="36">
        <v>40308</v>
      </c>
      <c r="B11" s="36" t="s">
        <v>181</v>
      </c>
      <c r="C11" s="36" t="s">
        <v>141</v>
      </c>
      <c r="D11" s="36" t="s">
        <v>142</v>
      </c>
      <c r="E11" s="36" t="s">
        <v>143</v>
      </c>
      <c r="F11" s="36" t="s">
        <v>176</v>
      </c>
      <c r="G11" s="36" t="s">
        <v>145</v>
      </c>
      <c r="H11" s="36" t="s">
        <v>146</v>
      </c>
      <c r="J11" s="36" t="s">
        <v>147</v>
      </c>
      <c r="K11" s="36">
        <v>3600</v>
      </c>
      <c r="L11" s="36" t="s">
        <v>148</v>
      </c>
      <c r="M11" s="36" t="s">
        <v>149</v>
      </c>
      <c r="N11" s="38">
        <v>6150000</v>
      </c>
      <c r="O11" s="36">
        <v>1</v>
      </c>
      <c r="P11" s="36" t="s">
        <v>150</v>
      </c>
      <c r="Q11" s="56">
        <v>400</v>
      </c>
      <c r="R11" s="42" t="s">
        <v>177</v>
      </c>
      <c r="S11" s="36" t="s">
        <v>152</v>
      </c>
      <c r="U11" s="36">
        <v>8</v>
      </c>
      <c r="AA11" s="38" t="s">
        <v>153</v>
      </c>
      <c r="AB11" s="38">
        <v>1000</v>
      </c>
      <c r="AC11" s="36">
        <v>5</v>
      </c>
      <c r="AE11" s="38">
        <v>14400000</v>
      </c>
      <c r="AF11" s="38">
        <v>500000</v>
      </c>
      <c r="AG11" s="36">
        <v>500</v>
      </c>
      <c r="AH11" s="36">
        <v>0</v>
      </c>
      <c r="AI11" s="36">
        <v>40309</v>
      </c>
      <c r="AJ11" s="38" t="s">
        <v>182</v>
      </c>
      <c r="AK11" s="38">
        <v>1000</v>
      </c>
      <c r="AL11" s="36">
        <v>97200</v>
      </c>
      <c r="AM11" s="36">
        <v>1000</v>
      </c>
      <c r="AN11" s="36">
        <v>0</v>
      </c>
      <c r="AO11" s="36">
        <v>600</v>
      </c>
      <c r="AP11" s="36">
        <v>2500</v>
      </c>
      <c r="AQ11" s="38" t="s">
        <v>155</v>
      </c>
      <c r="AR11" s="38">
        <v>100</v>
      </c>
      <c r="AS11" s="38" t="s">
        <v>156</v>
      </c>
      <c r="AT11" s="38">
        <v>1000</v>
      </c>
      <c r="AU11" s="38">
        <v>10800</v>
      </c>
      <c r="AV11" s="38">
        <v>14400000</v>
      </c>
      <c r="AW11" s="36">
        <v>200000</v>
      </c>
      <c r="BB11" s="36" t="s">
        <v>157</v>
      </c>
      <c r="BC11" s="36" t="s">
        <v>158</v>
      </c>
      <c r="BD11" s="46"/>
      <c r="BE11" s="39" t="s">
        <v>159</v>
      </c>
      <c r="BF11" s="36">
        <v>1</v>
      </c>
      <c r="BG11" s="36" t="s">
        <v>160</v>
      </c>
      <c r="BH11" s="36" t="s">
        <v>161</v>
      </c>
      <c r="BI11" s="36" t="s">
        <v>162</v>
      </c>
      <c r="BK11" s="38">
        <v>7200</v>
      </c>
      <c r="BL11" s="38">
        <v>1800</v>
      </c>
      <c r="BM11" s="56">
        <v>610</v>
      </c>
      <c r="BN11" s="36">
        <v>3</v>
      </c>
      <c r="BO11" s="35" t="s">
        <v>163</v>
      </c>
      <c r="BP11" s="36" t="s">
        <v>164</v>
      </c>
      <c r="BQ11" s="54" t="s">
        <v>157</v>
      </c>
      <c r="BR11" s="36" t="s">
        <v>165</v>
      </c>
      <c r="BS11" s="35" t="s">
        <v>163</v>
      </c>
      <c r="BT11" s="36" t="s">
        <v>166</v>
      </c>
    </row>
    <row r="12" spans="1:72" x14ac:dyDescent="0.45">
      <c r="A12" s="36">
        <v>40309</v>
      </c>
      <c r="B12" s="36" t="s">
        <v>183</v>
      </c>
      <c r="C12" s="36" t="s">
        <v>141</v>
      </c>
      <c r="D12" s="36" t="s">
        <v>142</v>
      </c>
      <c r="E12" s="36" t="s">
        <v>143</v>
      </c>
      <c r="F12" s="36" t="s">
        <v>184</v>
      </c>
      <c r="G12" s="36" t="s">
        <v>145</v>
      </c>
      <c r="H12" s="36" t="s">
        <v>146</v>
      </c>
      <c r="J12" s="36" t="s">
        <v>147</v>
      </c>
      <c r="K12" s="36">
        <v>3600</v>
      </c>
      <c r="L12" s="36" t="s">
        <v>148</v>
      </c>
      <c r="M12" s="36" t="s">
        <v>149</v>
      </c>
      <c r="N12" s="38">
        <v>6450000</v>
      </c>
      <c r="O12" s="36">
        <v>1</v>
      </c>
      <c r="P12" s="36" t="s">
        <v>150</v>
      </c>
      <c r="Q12" s="56">
        <v>450</v>
      </c>
      <c r="R12" s="42" t="s">
        <v>177</v>
      </c>
      <c r="S12" s="36" t="s">
        <v>152</v>
      </c>
      <c r="U12" s="36">
        <v>9</v>
      </c>
      <c r="AA12" s="38" t="s">
        <v>153</v>
      </c>
      <c r="AB12" s="38">
        <v>1000</v>
      </c>
      <c r="AC12" s="36">
        <v>5</v>
      </c>
      <c r="AE12" s="38">
        <v>14400000</v>
      </c>
      <c r="AF12" s="38">
        <v>500000</v>
      </c>
      <c r="AG12" s="36">
        <v>500</v>
      </c>
      <c r="AH12" s="36">
        <v>0</v>
      </c>
      <c r="AI12" s="36">
        <v>40310</v>
      </c>
      <c r="AJ12" s="38" t="s">
        <v>185</v>
      </c>
      <c r="AK12" s="38">
        <v>1000</v>
      </c>
      <c r="AL12" s="36">
        <v>108000</v>
      </c>
      <c r="AM12" s="36">
        <v>1000</v>
      </c>
      <c r="AN12" s="36">
        <v>0</v>
      </c>
      <c r="AO12" s="36">
        <v>600</v>
      </c>
      <c r="AP12" s="36">
        <v>2500</v>
      </c>
      <c r="AQ12" s="38" t="s">
        <v>155</v>
      </c>
      <c r="AR12" s="38">
        <v>100</v>
      </c>
      <c r="AS12" s="38" t="s">
        <v>156</v>
      </c>
      <c r="AT12" s="38">
        <v>1000</v>
      </c>
      <c r="AU12" s="38">
        <v>10800</v>
      </c>
      <c r="AV12" s="38">
        <v>14400000</v>
      </c>
      <c r="AW12" s="36">
        <v>200000</v>
      </c>
      <c r="BB12" s="36" t="s">
        <v>157</v>
      </c>
      <c r="BC12" s="36" t="s">
        <v>158</v>
      </c>
      <c r="BD12" s="46"/>
      <c r="BE12" s="39" t="s">
        <v>159</v>
      </c>
      <c r="BF12" s="36">
        <v>1</v>
      </c>
      <c r="BG12" s="36" t="s">
        <v>160</v>
      </c>
      <c r="BH12" s="36" t="s">
        <v>161</v>
      </c>
      <c r="BI12" s="36" t="s">
        <v>162</v>
      </c>
      <c r="BK12" s="38">
        <v>7200</v>
      </c>
      <c r="BL12" s="38">
        <v>1800</v>
      </c>
      <c r="BM12" s="56">
        <v>660</v>
      </c>
      <c r="BN12" s="36">
        <v>3</v>
      </c>
      <c r="BO12" s="35" t="s">
        <v>163</v>
      </c>
      <c r="BP12" s="36" t="s">
        <v>164</v>
      </c>
      <c r="BQ12" s="54" t="s">
        <v>157</v>
      </c>
      <c r="BR12" s="36" t="s">
        <v>165</v>
      </c>
      <c r="BS12" s="35" t="s">
        <v>163</v>
      </c>
      <c r="BT12" s="36" t="s">
        <v>166</v>
      </c>
    </row>
    <row r="13" spans="1:72" x14ac:dyDescent="0.45">
      <c r="A13" s="36">
        <v>40310</v>
      </c>
      <c r="B13" s="36" t="s">
        <v>186</v>
      </c>
      <c r="C13" s="36" t="s">
        <v>141</v>
      </c>
      <c r="D13" s="36" t="s">
        <v>142</v>
      </c>
      <c r="E13" s="36" t="s">
        <v>143</v>
      </c>
      <c r="F13" s="36" t="s">
        <v>184</v>
      </c>
      <c r="G13" s="36" t="s">
        <v>145</v>
      </c>
      <c r="H13" s="36" t="s">
        <v>146</v>
      </c>
      <c r="J13" s="36" t="s">
        <v>147</v>
      </c>
      <c r="K13" s="36">
        <v>3600</v>
      </c>
      <c r="L13" s="36" t="s">
        <v>148</v>
      </c>
      <c r="M13" s="36" t="s">
        <v>149</v>
      </c>
      <c r="N13" s="38">
        <v>6750000</v>
      </c>
      <c r="O13" s="36">
        <v>1</v>
      </c>
      <c r="P13" s="36" t="s">
        <v>150</v>
      </c>
      <c r="Q13" s="56">
        <v>500</v>
      </c>
      <c r="R13" s="42" t="s">
        <v>177</v>
      </c>
      <c r="S13" s="36" t="s">
        <v>152</v>
      </c>
      <c r="U13" s="36">
        <v>10</v>
      </c>
      <c r="AA13" s="38" t="s">
        <v>153</v>
      </c>
      <c r="AB13" s="38">
        <v>1000</v>
      </c>
      <c r="AC13" s="36">
        <v>5</v>
      </c>
      <c r="AE13" s="38">
        <v>14400000</v>
      </c>
      <c r="AF13" s="38">
        <v>500000</v>
      </c>
      <c r="AG13" s="36">
        <v>500</v>
      </c>
      <c r="AH13" s="36">
        <v>0</v>
      </c>
      <c r="AI13" s="36">
        <v>-1</v>
      </c>
      <c r="AK13" s="38">
        <v>1000</v>
      </c>
      <c r="AM13" s="36">
        <v>1000</v>
      </c>
      <c r="AN13" s="36">
        <v>0</v>
      </c>
      <c r="AO13" s="36">
        <v>600</v>
      </c>
      <c r="AP13" s="36">
        <v>2500</v>
      </c>
      <c r="AQ13" s="38" t="s">
        <v>155</v>
      </c>
      <c r="AR13" s="38">
        <v>100</v>
      </c>
      <c r="AS13" s="38" t="s">
        <v>156</v>
      </c>
      <c r="AT13" s="38">
        <v>1000</v>
      </c>
      <c r="AU13" s="38">
        <v>10800</v>
      </c>
      <c r="AV13" s="38">
        <v>14400000</v>
      </c>
      <c r="AW13" s="36">
        <v>200000</v>
      </c>
      <c r="BB13" s="36" t="s">
        <v>157</v>
      </c>
      <c r="BC13" s="36" t="s">
        <v>158</v>
      </c>
      <c r="BD13" s="46"/>
      <c r="BE13" s="39" t="s">
        <v>159</v>
      </c>
      <c r="BF13" s="36">
        <v>1</v>
      </c>
      <c r="BG13" s="36" t="s">
        <v>160</v>
      </c>
      <c r="BH13" s="36" t="s">
        <v>161</v>
      </c>
      <c r="BI13" s="36" t="s">
        <v>162</v>
      </c>
      <c r="BK13" s="38">
        <v>7200</v>
      </c>
      <c r="BL13" s="38">
        <v>1800</v>
      </c>
      <c r="BM13" s="56">
        <v>715</v>
      </c>
      <c r="BN13" s="36">
        <v>3</v>
      </c>
      <c r="BO13" s="35" t="s">
        <v>163</v>
      </c>
      <c r="BP13" s="36" t="s">
        <v>164</v>
      </c>
      <c r="BQ13" s="54" t="s">
        <v>157</v>
      </c>
      <c r="BR13" s="36" t="s">
        <v>165</v>
      </c>
      <c r="BS13" s="35" t="s">
        <v>163</v>
      </c>
      <c r="BT13" s="36" t="s">
        <v>166</v>
      </c>
    </row>
    <row r="14" spans="1:72" x14ac:dyDescent="0.45">
      <c r="A14" s="36">
        <v>40601</v>
      </c>
      <c r="B14" s="36" t="s">
        <v>771</v>
      </c>
      <c r="C14" s="36" t="s">
        <v>141</v>
      </c>
      <c r="D14" s="36" t="s">
        <v>142</v>
      </c>
      <c r="E14" s="36" t="s">
        <v>286</v>
      </c>
      <c r="F14" s="36" t="s">
        <v>144</v>
      </c>
      <c r="G14" s="36" t="s">
        <v>145</v>
      </c>
      <c r="H14" s="36" t="s">
        <v>146</v>
      </c>
      <c r="J14" s="36" t="s">
        <v>147</v>
      </c>
      <c r="K14" s="36">
        <v>3600</v>
      </c>
      <c r="L14" s="36" t="s">
        <v>772</v>
      </c>
      <c r="M14" s="36" t="s">
        <v>149</v>
      </c>
      <c r="N14" s="38">
        <v>4050000</v>
      </c>
      <c r="O14" s="36">
        <v>1</v>
      </c>
      <c r="P14" s="36" t="s">
        <v>150</v>
      </c>
      <c r="Q14" s="56">
        <v>50</v>
      </c>
      <c r="R14" s="36" t="s">
        <v>151</v>
      </c>
      <c r="S14" s="36" t="s">
        <v>773</v>
      </c>
      <c r="U14" s="36">
        <v>1</v>
      </c>
      <c r="AA14" s="38" t="s">
        <v>153</v>
      </c>
      <c r="AB14" s="38">
        <v>1000</v>
      </c>
      <c r="AC14" s="36">
        <v>5</v>
      </c>
      <c r="AE14" s="38">
        <v>14400000</v>
      </c>
      <c r="AF14" s="38">
        <v>500000</v>
      </c>
      <c r="AG14" s="36">
        <v>500</v>
      </c>
      <c r="AH14" s="36">
        <v>0</v>
      </c>
      <c r="AI14" s="36">
        <v>40602</v>
      </c>
      <c r="AJ14" s="38" t="s">
        <v>154</v>
      </c>
      <c r="AK14" s="38">
        <v>1000</v>
      </c>
      <c r="AL14" s="36">
        <v>21600</v>
      </c>
      <c r="AM14" s="36">
        <v>1000</v>
      </c>
      <c r="AN14" s="36">
        <v>0</v>
      </c>
      <c r="AO14" s="36">
        <v>600</v>
      </c>
      <c r="AP14" s="36">
        <v>2500</v>
      </c>
      <c r="AQ14" s="38" t="s">
        <v>155</v>
      </c>
      <c r="AR14" s="38">
        <v>100</v>
      </c>
      <c r="AS14" s="38" t="s">
        <v>156</v>
      </c>
      <c r="AT14" s="38">
        <v>1000</v>
      </c>
      <c r="AU14" s="38">
        <v>10800</v>
      </c>
      <c r="AV14" s="38">
        <v>14400000</v>
      </c>
      <c r="AW14" s="36">
        <v>200000</v>
      </c>
      <c r="BB14" s="36" t="s">
        <v>157</v>
      </c>
      <c r="BC14" s="36" t="s">
        <v>774</v>
      </c>
      <c r="BD14" s="46"/>
      <c r="BE14" s="39" t="s">
        <v>159</v>
      </c>
      <c r="BF14" s="36">
        <v>1</v>
      </c>
      <c r="BG14" s="36" t="s">
        <v>160</v>
      </c>
      <c r="BH14" s="36" t="s">
        <v>161</v>
      </c>
      <c r="BI14" s="36" t="s">
        <v>162</v>
      </c>
      <c r="BK14" s="38">
        <v>7200</v>
      </c>
      <c r="BL14" s="38">
        <v>1800</v>
      </c>
      <c r="BM14" s="56">
        <v>400</v>
      </c>
      <c r="BN14" s="36">
        <v>6</v>
      </c>
      <c r="BO14" s="35" t="s">
        <v>163</v>
      </c>
      <c r="BP14" s="36" t="s">
        <v>775</v>
      </c>
      <c r="BQ14" s="54" t="s">
        <v>157</v>
      </c>
      <c r="BR14" s="36" t="s">
        <v>776</v>
      </c>
      <c r="BS14" s="35" t="s">
        <v>163</v>
      </c>
      <c r="BT14" s="36" t="s">
        <v>777</v>
      </c>
    </row>
    <row r="15" spans="1:72" x14ac:dyDescent="0.45">
      <c r="A15" s="36">
        <v>40602</v>
      </c>
      <c r="B15" s="36" t="s">
        <v>778</v>
      </c>
      <c r="C15" s="36" t="s">
        <v>141</v>
      </c>
      <c r="D15" s="36" t="s">
        <v>142</v>
      </c>
      <c r="E15" s="36" t="s">
        <v>286</v>
      </c>
      <c r="F15" s="36" t="s">
        <v>144</v>
      </c>
      <c r="G15" s="36" t="s">
        <v>145</v>
      </c>
      <c r="H15" s="36" t="s">
        <v>146</v>
      </c>
      <c r="J15" s="36" t="s">
        <v>147</v>
      </c>
      <c r="K15" s="36">
        <v>3600</v>
      </c>
      <c r="L15" s="36" t="s">
        <v>772</v>
      </c>
      <c r="M15" s="36" t="s">
        <v>149</v>
      </c>
      <c r="N15" s="38">
        <v>4350000</v>
      </c>
      <c r="O15" s="36">
        <v>1</v>
      </c>
      <c r="P15" s="36" t="s">
        <v>150</v>
      </c>
      <c r="Q15" s="56">
        <v>100</v>
      </c>
      <c r="R15" s="36" t="s">
        <v>151</v>
      </c>
      <c r="S15" s="36" t="s">
        <v>773</v>
      </c>
      <c r="U15" s="36">
        <v>2</v>
      </c>
      <c r="AA15" s="38" t="s">
        <v>153</v>
      </c>
      <c r="AB15" s="38">
        <v>1000</v>
      </c>
      <c r="AC15" s="36">
        <v>5</v>
      </c>
      <c r="AE15" s="38">
        <v>14400000</v>
      </c>
      <c r="AF15" s="38">
        <v>500000</v>
      </c>
      <c r="AG15" s="36">
        <v>500</v>
      </c>
      <c r="AH15" s="36">
        <v>0</v>
      </c>
      <c r="AI15" s="36">
        <v>40603</v>
      </c>
      <c r="AJ15" s="38" t="s">
        <v>168</v>
      </c>
      <c r="AK15" s="38">
        <v>1000</v>
      </c>
      <c r="AL15" s="36">
        <v>32400</v>
      </c>
      <c r="AM15" s="36">
        <v>1000</v>
      </c>
      <c r="AN15" s="36">
        <v>0</v>
      </c>
      <c r="AO15" s="36">
        <v>600</v>
      </c>
      <c r="AP15" s="36">
        <v>2500</v>
      </c>
      <c r="AQ15" s="38" t="s">
        <v>155</v>
      </c>
      <c r="AR15" s="38">
        <v>100</v>
      </c>
      <c r="AS15" s="38" t="s">
        <v>156</v>
      </c>
      <c r="AT15" s="38">
        <v>1000</v>
      </c>
      <c r="AU15" s="38">
        <v>10800</v>
      </c>
      <c r="AV15" s="38">
        <v>14400000</v>
      </c>
      <c r="AW15" s="36">
        <v>200000</v>
      </c>
      <c r="BB15" s="36" t="s">
        <v>157</v>
      </c>
      <c r="BC15" s="36" t="s">
        <v>774</v>
      </c>
      <c r="BD15" s="46"/>
      <c r="BE15" s="39" t="s">
        <v>159</v>
      </c>
      <c r="BF15" s="36">
        <v>1</v>
      </c>
      <c r="BG15" s="36" t="s">
        <v>160</v>
      </c>
      <c r="BH15" s="36" t="s">
        <v>161</v>
      </c>
      <c r="BI15" s="36" t="s">
        <v>162</v>
      </c>
      <c r="BK15" s="38">
        <v>7200</v>
      </c>
      <c r="BL15" s="38">
        <v>1800</v>
      </c>
      <c r="BM15" s="56">
        <v>415</v>
      </c>
      <c r="BN15" s="36">
        <v>6</v>
      </c>
      <c r="BO15" s="35" t="s">
        <v>163</v>
      </c>
      <c r="BP15" s="36" t="s">
        <v>775</v>
      </c>
      <c r="BQ15" s="54" t="s">
        <v>157</v>
      </c>
      <c r="BR15" s="36" t="s">
        <v>776</v>
      </c>
      <c r="BS15" s="35" t="s">
        <v>163</v>
      </c>
      <c r="BT15" s="36" t="s">
        <v>777</v>
      </c>
    </row>
    <row r="16" spans="1:72" x14ac:dyDescent="0.45">
      <c r="A16" s="36">
        <v>40603</v>
      </c>
      <c r="B16" s="36" t="s">
        <v>779</v>
      </c>
      <c r="C16" s="36" t="s">
        <v>141</v>
      </c>
      <c r="D16" s="36" t="s">
        <v>142</v>
      </c>
      <c r="E16" s="36" t="s">
        <v>286</v>
      </c>
      <c r="F16" s="36" t="s">
        <v>144</v>
      </c>
      <c r="G16" s="36" t="s">
        <v>145</v>
      </c>
      <c r="H16" s="36" t="s">
        <v>146</v>
      </c>
      <c r="J16" s="36" t="s">
        <v>147</v>
      </c>
      <c r="K16" s="36">
        <v>3600</v>
      </c>
      <c r="L16" s="36" t="s">
        <v>772</v>
      </c>
      <c r="M16" s="36" t="s">
        <v>149</v>
      </c>
      <c r="N16" s="38">
        <v>4650000</v>
      </c>
      <c r="O16" s="36">
        <v>1</v>
      </c>
      <c r="P16" s="36" t="s">
        <v>150</v>
      </c>
      <c r="Q16" s="56">
        <v>150</v>
      </c>
      <c r="R16" s="36" t="s">
        <v>151</v>
      </c>
      <c r="S16" s="36" t="s">
        <v>773</v>
      </c>
      <c r="U16" s="36">
        <v>3</v>
      </c>
      <c r="AA16" s="38" t="s">
        <v>153</v>
      </c>
      <c r="AB16" s="38">
        <v>1000</v>
      </c>
      <c r="AC16" s="36">
        <v>5</v>
      </c>
      <c r="AE16" s="38">
        <v>14400000</v>
      </c>
      <c r="AF16" s="38">
        <v>500000</v>
      </c>
      <c r="AG16" s="36">
        <v>500</v>
      </c>
      <c r="AH16" s="36">
        <v>0</v>
      </c>
      <c r="AI16" s="36">
        <v>40604</v>
      </c>
      <c r="AJ16" s="38" t="s">
        <v>170</v>
      </c>
      <c r="AK16" s="38">
        <v>1000</v>
      </c>
      <c r="AL16" s="36">
        <v>43200</v>
      </c>
      <c r="AM16" s="36">
        <v>1000</v>
      </c>
      <c r="AN16" s="36">
        <v>0</v>
      </c>
      <c r="AO16" s="36">
        <v>600</v>
      </c>
      <c r="AP16" s="36">
        <v>2500</v>
      </c>
      <c r="AQ16" s="38" t="s">
        <v>155</v>
      </c>
      <c r="AR16" s="38">
        <v>100</v>
      </c>
      <c r="AS16" s="38" t="s">
        <v>156</v>
      </c>
      <c r="AT16" s="38">
        <v>1000</v>
      </c>
      <c r="AU16" s="38">
        <v>10800</v>
      </c>
      <c r="AV16" s="38">
        <v>14400000</v>
      </c>
      <c r="AW16" s="36">
        <v>200000</v>
      </c>
      <c r="BB16" s="36" t="s">
        <v>157</v>
      </c>
      <c r="BC16" s="36" t="s">
        <v>774</v>
      </c>
      <c r="BD16" s="46"/>
      <c r="BE16" s="39" t="s">
        <v>159</v>
      </c>
      <c r="BF16" s="36">
        <v>1</v>
      </c>
      <c r="BG16" s="36" t="s">
        <v>160</v>
      </c>
      <c r="BH16" s="36" t="s">
        <v>161</v>
      </c>
      <c r="BI16" s="36" t="s">
        <v>162</v>
      </c>
      <c r="BK16" s="38">
        <v>7200</v>
      </c>
      <c r="BL16" s="38">
        <v>1800</v>
      </c>
      <c r="BM16" s="56">
        <v>435</v>
      </c>
      <c r="BN16" s="36">
        <v>6</v>
      </c>
      <c r="BO16" s="35" t="s">
        <v>163</v>
      </c>
      <c r="BP16" s="36" t="s">
        <v>775</v>
      </c>
      <c r="BQ16" s="54" t="s">
        <v>157</v>
      </c>
      <c r="BR16" s="36" t="s">
        <v>776</v>
      </c>
      <c r="BS16" s="35" t="s">
        <v>163</v>
      </c>
      <c r="BT16" s="36" t="s">
        <v>777</v>
      </c>
    </row>
    <row r="17" spans="1:72" s="35" customFormat="1" x14ac:dyDescent="0.45">
      <c r="A17" s="36">
        <v>40604</v>
      </c>
      <c r="B17" s="36" t="s">
        <v>780</v>
      </c>
      <c r="C17" s="36" t="s">
        <v>141</v>
      </c>
      <c r="D17" s="36" t="s">
        <v>142</v>
      </c>
      <c r="E17" s="36" t="s">
        <v>286</v>
      </c>
      <c r="F17" s="36" t="s">
        <v>144</v>
      </c>
      <c r="G17" s="36" t="s">
        <v>145</v>
      </c>
      <c r="H17" s="36" t="s">
        <v>146</v>
      </c>
      <c r="I17" s="36"/>
      <c r="J17" s="36" t="s">
        <v>147</v>
      </c>
      <c r="K17" s="36">
        <v>3600</v>
      </c>
      <c r="L17" s="36" t="s">
        <v>772</v>
      </c>
      <c r="M17" s="36" t="s">
        <v>149</v>
      </c>
      <c r="N17" s="38">
        <v>4950000</v>
      </c>
      <c r="O17" s="36">
        <v>1</v>
      </c>
      <c r="P17" s="36" t="s">
        <v>150</v>
      </c>
      <c r="Q17" s="56">
        <v>200</v>
      </c>
      <c r="R17" s="36" t="s">
        <v>151</v>
      </c>
      <c r="S17" s="36" t="s">
        <v>773</v>
      </c>
      <c r="T17" s="36"/>
      <c r="U17" s="36">
        <v>4</v>
      </c>
      <c r="V17" s="36"/>
      <c r="W17" s="36"/>
      <c r="X17" s="36"/>
      <c r="Y17" s="36"/>
      <c r="Z17" s="36"/>
      <c r="AA17" s="38" t="s">
        <v>153</v>
      </c>
      <c r="AB17" s="38">
        <v>1000</v>
      </c>
      <c r="AC17" s="36">
        <v>5</v>
      </c>
      <c r="AD17" s="36"/>
      <c r="AE17" s="38">
        <v>14400000</v>
      </c>
      <c r="AF17" s="38">
        <v>500000</v>
      </c>
      <c r="AG17" s="36">
        <v>500</v>
      </c>
      <c r="AH17" s="36">
        <v>0</v>
      </c>
      <c r="AI17" s="36">
        <v>40605</v>
      </c>
      <c r="AJ17" s="38" t="s">
        <v>172</v>
      </c>
      <c r="AK17" s="38">
        <v>1000</v>
      </c>
      <c r="AL17" s="36">
        <v>54000</v>
      </c>
      <c r="AM17" s="36">
        <v>1000</v>
      </c>
      <c r="AN17" s="36">
        <v>0</v>
      </c>
      <c r="AO17" s="36">
        <v>600</v>
      </c>
      <c r="AP17" s="36">
        <v>2500</v>
      </c>
      <c r="AQ17" s="38" t="s">
        <v>155</v>
      </c>
      <c r="AR17" s="38">
        <v>100</v>
      </c>
      <c r="AS17" s="38" t="s">
        <v>156</v>
      </c>
      <c r="AT17" s="38">
        <v>1000</v>
      </c>
      <c r="AU17" s="38">
        <v>10800</v>
      </c>
      <c r="AV17" s="38">
        <v>14400000</v>
      </c>
      <c r="AW17" s="36">
        <v>200000</v>
      </c>
      <c r="AX17" s="36"/>
      <c r="AY17" s="36"/>
      <c r="AZ17" s="36"/>
      <c r="BA17" s="36"/>
      <c r="BB17" s="36" t="s">
        <v>157</v>
      </c>
      <c r="BC17" s="36" t="s">
        <v>774</v>
      </c>
      <c r="BD17" s="46"/>
      <c r="BE17" s="39" t="s">
        <v>159</v>
      </c>
      <c r="BF17" s="36">
        <v>1</v>
      </c>
      <c r="BG17" s="36" t="s">
        <v>160</v>
      </c>
      <c r="BH17" s="36" t="s">
        <v>161</v>
      </c>
      <c r="BI17" s="36" t="s">
        <v>162</v>
      </c>
      <c r="BJ17"/>
      <c r="BK17" s="38">
        <v>7200</v>
      </c>
      <c r="BL17" s="38">
        <v>1800</v>
      </c>
      <c r="BM17" s="56">
        <v>460</v>
      </c>
      <c r="BN17" s="36">
        <v>6</v>
      </c>
      <c r="BO17" s="35" t="s">
        <v>163</v>
      </c>
      <c r="BP17" s="36" t="s">
        <v>775</v>
      </c>
      <c r="BQ17" s="54" t="s">
        <v>157</v>
      </c>
      <c r="BR17" s="36" t="s">
        <v>776</v>
      </c>
      <c r="BS17" s="35" t="s">
        <v>163</v>
      </c>
      <c r="BT17" s="36" t="s">
        <v>777</v>
      </c>
    </row>
    <row r="18" spans="1:72" x14ac:dyDescent="0.45">
      <c r="A18" s="36">
        <v>40605</v>
      </c>
      <c r="B18" s="36" t="s">
        <v>781</v>
      </c>
      <c r="C18" s="36" t="s">
        <v>141</v>
      </c>
      <c r="D18" s="36" t="s">
        <v>142</v>
      </c>
      <c r="E18" s="36" t="s">
        <v>286</v>
      </c>
      <c r="F18" s="36" t="s">
        <v>144</v>
      </c>
      <c r="G18" s="36" t="s">
        <v>145</v>
      </c>
      <c r="H18" s="36" t="s">
        <v>146</v>
      </c>
      <c r="J18" s="36" t="s">
        <v>147</v>
      </c>
      <c r="K18" s="36">
        <v>3600</v>
      </c>
      <c r="L18" s="36" t="s">
        <v>772</v>
      </c>
      <c r="M18" s="36" t="s">
        <v>149</v>
      </c>
      <c r="N18" s="38">
        <v>5250000</v>
      </c>
      <c r="O18" s="36">
        <v>1</v>
      </c>
      <c r="P18" s="36" t="s">
        <v>150</v>
      </c>
      <c r="Q18" s="56">
        <v>250</v>
      </c>
      <c r="R18" s="36" t="s">
        <v>151</v>
      </c>
      <c r="S18" s="36" t="s">
        <v>773</v>
      </c>
      <c r="U18" s="36">
        <v>5</v>
      </c>
      <c r="AA18" s="38" t="s">
        <v>153</v>
      </c>
      <c r="AB18" s="38">
        <v>1000</v>
      </c>
      <c r="AC18" s="36">
        <v>5</v>
      </c>
      <c r="AE18" s="38">
        <v>14400000</v>
      </c>
      <c r="AF18" s="38">
        <v>500000</v>
      </c>
      <c r="AG18" s="36">
        <v>500</v>
      </c>
      <c r="AH18" s="36">
        <v>0</v>
      </c>
      <c r="AI18" s="36">
        <v>40606</v>
      </c>
      <c r="AJ18" s="38" t="s">
        <v>174</v>
      </c>
      <c r="AK18" s="38">
        <v>1000</v>
      </c>
      <c r="AL18" s="36">
        <v>64800</v>
      </c>
      <c r="AM18" s="36">
        <v>1000</v>
      </c>
      <c r="AN18" s="36">
        <v>0</v>
      </c>
      <c r="AO18" s="36">
        <v>600</v>
      </c>
      <c r="AP18" s="36">
        <v>2500</v>
      </c>
      <c r="AQ18" s="38" t="s">
        <v>155</v>
      </c>
      <c r="AR18" s="38">
        <v>100</v>
      </c>
      <c r="AS18" s="38" t="s">
        <v>156</v>
      </c>
      <c r="AT18" s="38">
        <v>1000</v>
      </c>
      <c r="AU18" s="38">
        <v>10800</v>
      </c>
      <c r="AV18" s="38">
        <v>14400000</v>
      </c>
      <c r="AW18" s="36">
        <v>200000</v>
      </c>
      <c r="BB18" s="36" t="s">
        <v>157</v>
      </c>
      <c r="BC18" s="36" t="s">
        <v>774</v>
      </c>
      <c r="BD18" s="46"/>
      <c r="BE18" s="39" t="s">
        <v>159</v>
      </c>
      <c r="BF18" s="36">
        <v>1</v>
      </c>
      <c r="BG18" s="36" t="s">
        <v>160</v>
      </c>
      <c r="BH18" s="36" t="s">
        <v>161</v>
      </c>
      <c r="BI18" s="36" t="s">
        <v>162</v>
      </c>
      <c r="BK18" s="38">
        <v>7200</v>
      </c>
      <c r="BL18" s="38">
        <v>1800</v>
      </c>
      <c r="BM18" s="56">
        <v>490</v>
      </c>
      <c r="BN18" s="36">
        <v>6</v>
      </c>
      <c r="BO18" s="35" t="s">
        <v>163</v>
      </c>
      <c r="BP18" s="36" t="s">
        <v>775</v>
      </c>
      <c r="BQ18" s="54" t="s">
        <v>157</v>
      </c>
      <c r="BR18" s="36" t="s">
        <v>776</v>
      </c>
      <c r="BS18" s="35" t="s">
        <v>163</v>
      </c>
      <c r="BT18" s="36" t="s">
        <v>777</v>
      </c>
    </row>
    <row r="19" spans="1:72" x14ac:dyDescent="0.45">
      <c r="A19" s="36">
        <v>40606</v>
      </c>
      <c r="B19" s="36" t="s">
        <v>782</v>
      </c>
      <c r="C19" s="36" t="s">
        <v>141</v>
      </c>
      <c r="D19" s="36" t="s">
        <v>142</v>
      </c>
      <c r="E19" s="36" t="s">
        <v>286</v>
      </c>
      <c r="F19" s="36" t="s">
        <v>176</v>
      </c>
      <c r="G19" s="36" t="s">
        <v>145</v>
      </c>
      <c r="H19" s="36" t="s">
        <v>146</v>
      </c>
      <c r="J19" s="36" t="s">
        <v>147</v>
      </c>
      <c r="K19" s="36">
        <v>3600</v>
      </c>
      <c r="L19" s="36" t="s">
        <v>772</v>
      </c>
      <c r="M19" s="36" t="s">
        <v>149</v>
      </c>
      <c r="N19" s="38">
        <v>5550000</v>
      </c>
      <c r="O19" s="36">
        <v>1</v>
      </c>
      <c r="P19" s="36" t="s">
        <v>150</v>
      </c>
      <c r="Q19" s="56">
        <v>300</v>
      </c>
      <c r="R19" s="42" t="s">
        <v>177</v>
      </c>
      <c r="S19" s="36" t="s">
        <v>773</v>
      </c>
      <c r="U19" s="36">
        <v>6</v>
      </c>
      <c r="AA19" s="38" t="s">
        <v>153</v>
      </c>
      <c r="AB19" s="38">
        <v>1000</v>
      </c>
      <c r="AC19" s="36">
        <v>5</v>
      </c>
      <c r="AE19" s="38">
        <v>14400000</v>
      </c>
      <c r="AF19" s="38">
        <v>500000</v>
      </c>
      <c r="AG19" s="36">
        <v>500</v>
      </c>
      <c r="AH19" s="36">
        <v>0</v>
      </c>
      <c r="AI19" s="36">
        <v>40607</v>
      </c>
      <c r="AJ19" s="38" t="s">
        <v>178</v>
      </c>
      <c r="AK19" s="38">
        <v>1000</v>
      </c>
      <c r="AL19" s="36">
        <v>75600</v>
      </c>
      <c r="AM19" s="36">
        <v>1000</v>
      </c>
      <c r="AN19" s="36">
        <v>0</v>
      </c>
      <c r="AO19" s="36">
        <v>600</v>
      </c>
      <c r="AP19" s="36">
        <v>2500</v>
      </c>
      <c r="AQ19" s="38" t="s">
        <v>155</v>
      </c>
      <c r="AR19" s="38">
        <v>100</v>
      </c>
      <c r="AS19" s="38" t="s">
        <v>156</v>
      </c>
      <c r="AT19" s="38">
        <v>1000</v>
      </c>
      <c r="AU19" s="38">
        <v>10800</v>
      </c>
      <c r="AV19" s="38">
        <v>14400000</v>
      </c>
      <c r="AW19" s="36">
        <v>200000</v>
      </c>
      <c r="BB19" s="36" t="s">
        <v>157</v>
      </c>
      <c r="BC19" s="36" t="s">
        <v>774</v>
      </c>
      <c r="BD19" s="46"/>
      <c r="BE19" s="39" t="s">
        <v>159</v>
      </c>
      <c r="BF19" s="36">
        <v>1</v>
      </c>
      <c r="BG19" s="36" t="s">
        <v>160</v>
      </c>
      <c r="BH19" s="36" t="s">
        <v>161</v>
      </c>
      <c r="BI19" s="36" t="s">
        <v>162</v>
      </c>
      <c r="BK19" s="38">
        <v>7200</v>
      </c>
      <c r="BL19" s="38">
        <v>1800</v>
      </c>
      <c r="BM19" s="56">
        <v>525</v>
      </c>
      <c r="BN19" s="36">
        <v>6</v>
      </c>
      <c r="BO19" s="35" t="s">
        <v>163</v>
      </c>
      <c r="BP19" s="36" t="s">
        <v>775</v>
      </c>
      <c r="BQ19" s="54" t="s">
        <v>157</v>
      </c>
      <c r="BR19" s="36" t="s">
        <v>776</v>
      </c>
      <c r="BS19" s="35" t="s">
        <v>163</v>
      </c>
      <c r="BT19" s="36" t="s">
        <v>777</v>
      </c>
    </row>
    <row r="20" spans="1:72" x14ac:dyDescent="0.45">
      <c r="A20" s="36">
        <v>40607</v>
      </c>
      <c r="B20" s="36" t="s">
        <v>783</v>
      </c>
      <c r="C20" s="36" t="s">
        <v>141</v>
      </c>
      <c r="D20" s="36" t="s">
        <v>142</v>
      </c>
      <c r="E20" s="36" t="s">
        <v>286</v>
      </c>
      <c r="F20" s="36" t="s">
        <v>176</v>
      </c>
      <c r="G20" s="36" t="s">
        <v>145</v>
      </c>
      <c r="H20" s="36" t="s">
        <v>146</v>
      </c>
      <c r="J20" s="36" t="s">
        <v>147</v>
      </c>
      <c r="K20" s="36">
        <v>3600</v>
      </c>
      <c r="L20" s="36" t="s">
        <v>772</v>
      </c>
      <c r="M20" s="36" t="s">
        <v>149</v>
      </c>
      <c r="N20" s="38">
        <v>5850000</v>
      </c>
      <c r="O20" s="36">
        <v>1</v>
      </c>
      <c r="P20" s="36" t="s">
        <v>150</v>
      </c>
      <c r="Q20" s="56">
        <v>350</v>
      </c>
      <c r="R20" s="42" t="s">
        <v>177</v>
      </c>
      <c r="S20" s="36" t="s">
        <v>773</v>
      </c>
      <c r="U20" s="36">
        <v>7</v>
      </c>
      <c r="AA20" s="38" t="s">
        <v>153</v>
      </c>
      <c r="AB20" s="38">
        <v>1000</v>
      </c>
      <c r="AC20" s="36">
        <v>5</v>
      </c>
      <c r="AE20" s="38">
        <v>14400000</v>
      </c>
      <c r="AF20" s="38">
        <v>500000</v>
      </c>
      <c r="AG20" s="36">
        <v>500</v>
      </c>
      <c r="AH20" s="36">
        <v>0</v>
      </c>
      <c r="AI20" s="36">
        <v>40608</v>
      </c>
      <c r="AJ20" s="38" t="s">
        <v>180</v>
      </c>
      <c r="AK20" s="38">
        <v>1000</v>
      </c>
      <c r="AL20" s="36">
        <v>86400</v>
      </c>
      <c r="AM20" s="36">
        <v>1000</v>
      </c>
      <c r="AN20" s="36">
        <v>0</v>
      </c>
      <c r="AO20" s="36">
        <v>600</v>
      </c>
      <c r="AP20" s="36">
        <v>2500</v>
      </c>
      <c r="AQ20" s="38" t="s">
        <v>155</v>
      </c>
      <c r="AR20" s="38">
        <v>100</v>
      </c>
      <c r="AS20" s="38" t="s">
        <v>156</v>
      </c>
      <c r="AT20" s="38">
        <v>1000</v>
      </c>
      <c r="AU20" s="38">
        <v>10800</v>
      </c>
      <c r="AV20" s="38">
        <v>14400000</v>
      </c>
      <c r="AW20" s="36">
        <v>200000</v>
      </c>
      <c r="BB20" s="36" t="s">
        <v>157</v>
      </c>
      <c r="BC20" s="36" t="s">
        <v>774</v>
      </c>
      <c r="BD20" s="46"/>
      <c r="BE20" s="39" t="s">
        <v>159</v>
      </c>
      <c r="BF20" s="36">
        <v>1</v>
      </c>
      <c r="BG20" s="36" t="s">
        <v>160</v>
      </c>
      <c r="BH20" s="36" t="s">
        <v>161</v>
      </c>
      <c r="BI20" s="36" t="s">
        <v>162</v>
      </c>
      <c r="BK20" s="38">
        <v>7200</v>
      </c>
      <c r="BL20" s="38">
        <v>1800</v>
      </c>
      <c r="BM20" s="56">
        <v>565</v>
      </c>
      <c r="BN20" s="36">
        <v>6</v>
      </c>
      <c r="BO20" s="35" t="s">
        <v>163</v>
      </c>
      <c r="BP20" s="36" t="s">
        <v>775</v>
      </c>
      <c r="BQ20" s="54" t="s">
        <v>157</v>
      </c>
      <c r="BR20" s="36" t="s">
        <v>776</v>
      </c>
      <c r="BS20" s="35" t="s">
        <v>163</v>
      </c>
      <c r="BT20" s="36" t="s">
        <v>777</v>
      </c>
    </row>
    <row r="21" spans="1:72" x14ac:dyDescent="0.45">
      <c r="A21" s="36">
        <v>40608</v>
      </c>
      <c r="B21" s="36" t="s">
        <v>784</v>
      </c>
      <c r="C21" s="36" t="s">
        <v>141</v>
      </c>
      <c r="D21" s="36" t="s">
        <v>142</v>
      </c>
      <c r="E21" s="36" t="s">
        <v>286</v>
      </c>
      <c r="F21" s="36" t="s">
        <v>176</v>
      </c>
      <c r="G21" s="36" t="s">
        <v>145</v>
      </c>
      <c r="H21" s="36" t="s">
        <v>146</v>
      </c>
      <c r="J21" s="36" t="s">
        <v>147</v>
      </c>
      <c r="K21" s="36">
        <v>3600</v>
      </c>
      <c r="L21" s="36" t="s">
        <v>772</v>
      </c>
      <c r="M21" s="36" t="s">
        <v>149</v>
      </c>
      <c r="N21" s="38">
        <v>6150000</v>
      </c>
      <c r="O21" s="36">
        <v>1</v>
      </c>
      <c r="P21" s="36" t="s">
        <v>150</v>
      </c>
      <c r="Q21" s="56">
        <v>400</v>
      </c>
      <c r="R21" s="42" t="s">
        <v>177</v>
      </c>
      <c r="S21" s="36" t="s">
        <v>773</v>
      </c>
      <c r="U21" s="36">
        <v>8</v>
      </c>
      <c r="AA21" s="38" t="s">
        <v>153</v>
      </c>
      <c r="AB21" s="38">
        <v>1000</v>
      </c>
      <c r="AC21" s="36">
        <v>5</v>
      </c>
      <c r="AE21" s="38">
        <v>14400000</v>
      </c>
      <c r="AF21" s="38">
        <v>500000</v>
      </c>
      <c r="AG21" s="36">
        <v>500</v>
      </c>
      <c r="AH21" s="36">
        <v>0</v>
      </c>
      <c r="AI21" s="36">
        <v>40609</v>
      </c>
      <c r="AJ21" s="38" t="s">
        <v>182</v>
      </c>
      <c r="AK21" s="38">
        <v>1000</v>
      </c>
      <c r="AL21" s="36">
        <v>97200</v>
      </c>
      <c r="AM21" s="36">
        <v>1000</v>
      </c>
      <c r="AN21" s="36">
        <v>0</v>
      </c>
      <c r="AO21" s="36">
        <v>600</v>
      </c>
      <c r="AP21" s="36">
        <v>2500</v>
      </c>
      <c r="AQ21" s="38" t="s">
        <v>155</v>
      </c>
      <c r="AR21" s="38">
        <v>100</v>
      </c>
      <c r="AS21" s="38" t="s">
        <v>156</v>
      </c>
      <c r="AT21" s="38">
        <v>1000</v>
      </c>
      <c r="AU21" s="38">
        <v>10800</v>
      </c>
      <c r="AV21" s="38">
        <v>14400000</v>
      </c>
      <c r="AW21" s="36">
        <v>200000</v>
      </c>
      <c r="BB21" s="36" t="s">
        <v>157</v>
      </c>
      <c r="BC21" s="36" t="s">
        <v>774</v>
      </c>
      <c r="BD21" s="46"/>
      <c r="BE21" s="39" t="s">
        <v>159</v>
      </c>
      <c r="BF21" s="36">
        <v>1</v>
      </c>
      <c r="BG21" s="36" t="s">
        <v>160</v>
      </c>
      <c r="BH21" s="36" t="s">
        <v>161</v>
      </c>
      <c r="BI21" s="36" t="s">
        <v>162</v>
      </c>
      <c r="BK21" s="38">
        <v>7200</v>
      </c>
      <c r="BL21" s="38">
        <v>1800</v>
      </c>
      <c r="BM21" s="56">
        <v>610</v>
      </c>
      <c r="BN21" s="36">
        <v>6</v>
      </c>
      <c r="BO21" s="35" t="s">
        <v>163</v>
      </c>
      <c r="BP21" s="36" t="s">
        <v>775</v>
      </c>
      <c r="BQ21" s="54" t="s">
        <v>157</v>
      </c>
      <c r="BR21" s="36" t="s">
        <v>776</v>
      </c>
      <c r="BS21" s="35" t="s">
        <v>163</v>
      </c>
      <c r="BT21" s="36" t="s">
        <v>777</v>
      </c>
    </row>
    <row r="22" spans="1:72" x14ac:dyDescent="0.45">
      <c r="A22" s="36">
        <v>40609</v>
      </c>
      <c r="B22" s="36" t="s">
        <v>785</v>
      </c>
      <c r="C22" s="36" t="s">
        <v>141</v>
      </c>
      <c r="D22" s="36" t="s">
        <v>142</v>
      </c>
      <c r="E22" s="36" t="s">
        <v>286</v>
      </c>
      <c r="F22" s="36" t="s">
        <v>184</v>
      </c>
      <c r="G22" s="36" t="s">
        <v>145</v>
      </c>
      <c r="H22" s="36" t="s">
        <v>146</v>
      </c>
      <c r="J22" s="36" t="s">
        <v>147</v>
      </c>
      <c r="K22" s="36">
        <v>3600</v>
      </c>
      <c r="L22" s="36" t="s">
        <v>772</v>
      </c>
      <c r="M22" s="36" t="s">
        <v>149</v>
      </c>
      <c r="N22" s="38">
        <v>6450000</v>
      </c>
      <c r="O22" s="36">
        <v>1</v>
      </c>
      <c r="P22" s="36" t="s">
        <v>150</v>
      </c>
      <c r="Q22" s="56">
        <v>450</v>
      </c>
      <c r="R22" s="42" t="s">
        <v>177</v>
      </c>
      <c r="S22" s="36" t="s">
        <v>773</v>
      </c>
      <c r="U22" s="36">
        <v>9</v>
      </c>
      <c r="AA22" s="38" t="s">
        <v>153</v>
      </c>
      <c r="AB22" s="38">
        <v>1000</v>
      </c>
      <c r="AC22" s="36">
        <v>5</v>
      </c>
      <c r="AE22" s="38">
        <v>14400000</v>
      </c>
      <c r="AF22" s="38">
        <v>500000</v>
      </c>
      <c r="AG22" s="36">
        <v>500</v>
      </c>
      <c r="AH22" s="36">
        <v>0</v>
      </c>
      <c r="AI22" s="36">
        <v>40610</v>
      </c>
      <c r="AJ22" s="38" t="s">
        <v>185</v>
      </c>
      <c r="AK22" s="38">
        <v>1000</v>
      </c>
      <c r="AL22" s="36">
        <v>108000</v>
      </c>
      <c r="AM22" s="36">
        <v>1000</v>
      </c>
      <c r="AN22" s="36">
        <v>0</v>
      </c>
      <c r="AO22" s="36">
        <v>600</v>
      </c>
      <c r="AP22" s="36">
        <v>2500</v>
      </c>
      <c r="AQ22" s="38" t="s">
        <v>155</v>
      </c>
      <c r="AR22" s="38">
        <v>100</v>
      </c>
      <c r="AS22" s="38" t="s">
        <v>156</v>
      </c>
      <c r="AT22" s="38">
        <v>1000</v>
      </c>
      <c r="AU22" s="38">
        <v>10800</v>
      </c>
      <c r="AV22" s="38">
        <v>14400000</v>
      </c>
      <c r="AW22" s="36">
        <v>200000</v>
      </c>
      <c r="BB22" s="36" t="s">
        <v>157</v>
      </c>
      <c r="BC22" s="36" t="s">
        <v>774</v>
      </c>
      <c r="BD22" s="46"/>
      <c r="BE22" s="39" t="s">
        <v>159</v>
      </c>
      <c r="BF22" s="36">
        <v>1</v>
      </c>
      <c r="BG22" s="36" t="s">
        <v>160</v>
      </c>
      <c r="BH22" s="36" t="s">
        <v>161</v>
      </c>
      <c r="BI22" s="36" t="s">
        <v>162</v>
      </c>
      <c r="BK22" s="38">
        <v>7200</v>
      </c>
      <c r="BL22" s="38">
        <v>1800</v>
      </c>
      <c r="BM22" s="56">
        <v>660</v>
      </c>
      <c r="BN22" s="36">
        <v>6</v>
      </c>
      <c r="BO22" s="35" t="s">
        <v>163</v>
      </c>
      <c r="BP22" s="36" t="s">
        <v>775</v>
      </c>
      <c r="BQ22" s="54" t="s">
        <v>157</v>
      </c>
      <c r="BR22" s="36" t="s">
        <v>776</v>
      </c>
      <c r="BS22" s="35" t="s">
        <v>163</v>
      </c>
      <c r="BT22" s="36" t="s">
        <v>777</v>
      </c>
    </row>
    <row r="23" spans="1:72" x14ac:dyDescent="0.45">
      <c r="A23" s="36">
        <v>40610</v>
      </c>
      <c r="B23" s="36" t="s">
        <v>786</v>
      </c>
      <c r="C23" s="36" t="s">
        <v>141</v>
      </c>
      <c r="D23" s="36" t="s">
        <v>142</v>
      </c>
      <c r="E23" s="36" t="s">
        <v>286</v>
      </c>
      <c r="F23" s="36" t="s">
        <v>184</v>
      </c>
      <c r="G23" s="36" t="s">
        <v>145</v>
      </c>
      <c r="H23" s="36" t="s">
        <v>146</v>
      </c>
      <c r="J23" s="36" t="s">
        <v>147</v>
      </c>
      <c r="K23" s="36">
        <v>3600</v>
      </c>
      <c r="L23" s="36" t="s">
        <v>772</v>
      </c>
      <c r="M23" s="36" t="s">
        <v>149</v>
      </c>
      <c r="N23" s="38">
        <v>6750000</v>
      </c>
      <c r="O23" s="36">
        <v>1</v>
      </c>
      <c r="P23" s="36" t="s">
        <v>150</v>
      </c>
      <c r="Q23" s="56">
        <v>500</v>
      </c>
      <c r="R23" s="42" t="s">
        <v>177</v>
      </c>
      <c r="S23" s="36" t="s">
        <v>773</v>
      </c>
      <c r="U23" s="36">
        <v>10</v>
      </c>
      <c r="AA23" s="38" t="s">
        <v>153</v>
      </c>
      <c r="AB23" s="38">
        <v>1000</v>
      </c>
      <c r="AC23" s="36">
        <v>5</v>
      </c>
      <c r="AE23" s="38">
        <v>14400000</v>
      </c>
      <c r="AF23" s="38">
        <v>500000</v>
      </c>
      <c r="AG23" s="36">
        <v>500</v>
      </c>
      <c r="AH23" s="36">
        <v>0</v>
      </c>
      <c r="AI23" s="36">
        <v>-1</v>
      </c>
      <c r="AK23" s="38">
        <v>1000</v>
      </c>
      <c r="AM23" s="36">
        <v>1000</v>
      </c>
      <c r="AN23" s="36">
        <v>0</v>
      </c>
      <c r="AO23" s="36">
        <v>600</v>
      </c>
      <c r="AP23" s="36">
        <v>2500</v>
      </c>
      <c r="AQ23" s="38" t="s">
        <v>155</v>
      </c>
      <c r="AR23" s="38">
        <v>100</v>
      </c>
      <c r="AS23" s="38" t="s">
        <v>156</v>
      </c>
      <c r="AT23" s="38">
        <v>1000</v>
      </c>
      <c r="AU23" s="38">
        <v>10800</v>
      </c>
      <c r="AV23" s="38">
        <v>14400000</v>
      </c>
      <c r="AW23" s="36">
        <v>200000</v>
      </c>
      <c r="BB23" s="36" t="s">
        <v>157</v>
      </c>
      <c r="BC23" s="36" t="s">
        <v>774</v>
      </c>
      <c r="BD23" s="46"/>
      <c r="BE23" s="39" t="s">
        <v>159</v>
      </c>
      <c r="BF23" s="36">
        <v>1</v>
      </c>
      <c r="BG23" s="36" t="s">
        <v>160</v>
      </c>
      <c r="BH23" s="36" t="s">
        <v>161</v>
      </c>
      <c r="BI23" s="36" t="s">
        <v>162</v>
      </c>
      <c r="BK23" s="38">
        <v>7200</v>
      </c>
      <c r="BL23" s="38">
        <v>1800</v>
      </c>
      <c r="BM23" s="56">
        <v>715</v>
      </c>
      <c r="BN23" s="36">
        <v>6</v>
      </c>
      <c r="BO23" s="35" t="s">
        <v>163</v>
      </c>
      <c r="BP23" s="36" t="s">
        <v>775</v>
      </c>
      <c r="BQ23" s="54" t="s">
        <v>157</v>
      </c>
      <c r="BR23" s="36" t="s">
        <v>776</v>
      </c>
      <c r="BS23" s="35" t="s">
        <v>163</v>
      </c>
      <c r="BT23" s="36" t="s">
        <v>777</v>
      </c>
    </row>
    <row r="24" spans="1:72" x14ac:dyDescent="0.45">
      <c r="A24" s="36">
        <v>40701</v>
      </c>
      <c r="B24" s="36" t="s">
        <v>187</v>
      </c>
      <c r="C24" s="36" t="s">
        <v>141</v>
      </c>
      <c r="D24" s="36" t="s">
        <v>142</v>
      </c>
      <c r="E24" s="36" t="s">
        <v>188</v>
      </c>
      <c r="F24" s="36" t="s">
        <v>144</v>
      </c>
      <c r="G24" s="36" t="s">
        <v>145</v>
      </c>
      <c r="H24" s="36" t="s">
        <v>146</v>
      </c>
      <c r="J24" s="36" t="s">
        <v>147</v>
      </c>
      <c r="K24" s="36">
        <v>3600</v>
      </c>
      <c r="L24" s="36" t="s">
        <v>189</v>
      </c>
      <c r="M24" s="36" t="s">
        <v>149</v>
      </c>
      <c r="N24" s="38">
        <v>4050000</v>
      </c>
      <c r="O24" s="36">
        <v>1</v>
      </c>
      <c r="P24" s="36" t="s">
        <v>150</v>
      </c>
      <c r="Q24" s="56">
        <v>50</v>
      </c>
      <c r="R24" s="36" t="s">
        <v>151</v>
      </c>
      <c r="S24" s="36" t="s">
        <v>190</v>
      </c>
      <c r="U24" s="36">
        <v>1</v>
      </c>
      <c r="AA24" s="38" t="s">
        <v>153</v>
      </c>
      <c r="AB24" s="38">
        <v>1000</v>
      </c>
      <c r="AC24" s="36">
        <v>5</v>
      </c>
      <c r="AE24" s="38">
        <v>14400000</v>
      </c>
      <c r="AF24" s="38">
        <v>500000</v>
      </c>
      <c r="AG24" s="36">
        <v>500</v>
      </c>
      <c r="AH24" s="36">
        <v>0</v>
      </c>
      <c r="AI24" s="36">
        <v>40702</v>
      </c>
      <c r="AJ24" s="38" t="s">
        <v>154</v>
      </c>
      <c r="AK24" s="38">
        <v>1000</v>
      </c>
      <c r="AL24" s="36">
        <v>21600</v>
      </c>
      <c r="AM24" s="36">
        <v>1000</v>
      </c>
      <c r="AN24" s="36">
        <v>0</v>
      </c>
      <c r="AO24" s="36">
        <v>600</v>
      </c>
      <c r="AP24" s="36">
        <v>2500</v>
      </c>
      <c r="AQ24" s="38" t="s">
        <v>155</v>
      </c>
      <c r="AR24" s="38">
        <v>100</v>
      </c>
      <c r="AS24" s="38" t="s">
        <v>156</v>
      </c>
      <c r="AT24" s="38">
        <v>1000</v>
      </c>
      <c r="AU24" s="38">
        <v>10800</v>
      </c>
      <c r="AV24" s="38">
        <v>14400000</v>
      </c>
      <c r="AW24" s="36">
        <v>200000</v>
      </c>
      <c r="BB24" s="36" t="s">
        <v>157</v>
      </c>
      <c r="BC24" s="36" t="s">
        <v>191</v>
      </c>
      <c r="BD24" s="46"/>
      <c r="BE24" s="39" t="s">
        <v>159</v>
      </c>
      <c r="BF24" s="36">
        <v>1</v>
      </c>
      <c r="BG24" s="36" t="s">
        <v>160</v>
      </c>
      <c r="BH24" s="36" t="s">
        <v>161</v>
      </c>
      <c r="BI24" s="36" t="s">
        <v>162</v>
      </c>
      <c r="BK24" s="38">
        <v>7200</v>
      </c>
      <c r="BL24" s="38">
        <v>1800</v>
      </c>
      <c r="BM24" s="56">
        <f t="shared" ref="BM24:BM33" si="0">BM14</f>
        <v>400</v>
      </c>
      <c r="BN24" s="36">
        <v>7</v>
      </c>
      <c r="BO24" s="35" t="s">
        <v>163</v>
      </c>
      <c r="BP24" s="36" t="s">
        <v>192</v>
      </c>
      <c r="BQ24" s="54" t="s">
        <v>157</v>
      </c>
      <c r="BR24" s="36" t="s">
        <v>193</v>
      </c>
      <c r="BS24" s="35" t="s">
        <v>163</v>
      </c>
      <c r="BT24" s="36" t="s">
        <v>194</v>
      </c>
    </row>
    <row r="25" spans="1:72" x14ac:dyDescent="0.45">
      <c r="A25" s="36">
        <v>40702</v>
      </c>
      <c r="B25" s="36" t="s">
        <v>195</v>
      </c>
      <c r="C25" s="36" t="s">
        <v>141</v>
      </c>
      <c r="D25" s="36" t="s">
        <v>142</v>
      </c>
      <c r="E25" s="36" t="s">
        <v>188</v>
      </c>
      <c r="F25" s="36" t="s">
        <v>144</v>
      </c>
      <c r="G25" s="36" t="s">
        <v>145</v>
      </c>
      <c r="H25" s="36" t="s">
        <v>146</v>
      </c>
      <c r="J25" s="36" t="s">
        <v>147</v>
      </c>
      <c r="K25" s="36">
        <v>3600</v>
      </c>
      <c r="L25" s="36" t="s">
        <v>189</v>
      </c>
      <c r="M25" s="36" t="s">
        <v>149</v>
      </c>
      <c r="N25" s="38">
        <v>4350000</v>
      </c>
      <c r="O25" s="36">
        <v>1</v>
      </c>
      <c r="P25" s="36" t="s">
        <v>150</v>
      </c>
      <c r="Q25" s="56">
        <v>100</v>
      </c>
      <c r="R25" s="36" t="s">
        <v>151</v>
      </c>
      <c r="S25" s="36" t="s">
        <v>190</v>
      </c>
      <c r="U25" s="36">
        <v>2</v>
      </c>
      <c r="AA25" s="38" t="s">
        <v>153</v>
      </c>
      <c r="AB25" s="38">
        <v>1000</v>
      </c>
      <c r="AC25" s="36">
        <v>5</v>
      </c>
      <c r="AE25" s="38">
        <v>14400000</v>
      </c>
      <c r="AF25" s="38">
        <v>500000</v>
      </c>
      <c r="AG25" s="36">
        <v>500</v>
      </c>
      <c r="AH25" s="36">
        <v>0</v>
      </c>
      <c r="AI25" s="36">
        <v>40703</v>
      </c>
      <c r="AJ25" s="38" t="s">
        <v>168</v>
      </c>
      <c r="AK25" s="38">
        <v>1000</v>
      </c>
      <c r="AL25" s="36">
        <v>32400</v>
      </c>
      <c r="AM25" s="36">
        <v>1000</v>
      </c>
      <c r="AN25" s="36">
        <v>0</v>
      </c>
      <c r="AO25" s="36">
        <v>600</v>
      </c>
      <c r="AP25" s="36">
        <v>2500</v>
      </c>
      <c r="AQ25" s="38" t="s">
        <v>155</v>
      </c>
      <c r="AR25" s="38">
        <v>100</v>
      </c>
      <c r="AS25" s="38" t="s">
        <v>156</v>
      </c>
      <c r="AT25" s="38">
        <v>1000</v>
      </c>
      <c r="AU25" s="38">
        <v>10800</v>
      </c>
      <c r="AV25" s="38">
        <v>14400000</v>
      </c>
      <c r="AW25" s="36">
        <v>200000</v>
      </c>
      <c r="BB25" s="36" t="s">
        <v>157</v>
      </c>
      <c r="BC25" s="36" t="s">
        <v>191</v>
      </c>
      <c r="BD25" s="46"/>
      <c r="BE25" s="39" t="s">
        <v>159</v>
      </c>
      <c r="BF25" s="36">
        <v>1</v>
      </c>
      <c r="BG25" s="36" t="s">
        <v>160</v>
      </c>
      <c r="BH25" s="36" t="s">
        <v>161</v>
      </c>
      <c r="BI25" s="36" t="s">
        <v>162</v>
      </c>
      <c r="BK25" s="38">
        <v>7200</v>
      </c>
      <c r="BL25" s="38">
        <v>1800</v>
      </c>
      <c r="BM25" s="56">
        <f t="shared" si="0"/>
        <v>415</v>
      </c>
      <c r="BN25" s="36">
        <v>7</v>
      </c>
      <c r="BO25" s="35" t="s">
        <v>163</v>
      </c>
      <c r="BP25" s="36" t="s">
        <v>192</v>
      </c>
      <c r="BQ25" s="54" t="s">
        <v>157</v>
      </c>
      <c r="BR25" s="36" t="s">
        <v>193</v>
      </c>
      <c r="BS25" s="35" t="s">
        <v>163</v>
      </c>
      <c r="BT25" s="36" t="s">
        <v>194</v>
      </c>
    </row>
    <row r="26" spans="1:72" x14ac:dyDescent="0.45">
      <c r="A26" s="36">
        <v>40703</v>
      </c>
      <c r="B26" s="36" t="s">
        <v>196</v>
      </c>
      <c r="C26" s="36" t="s">
        <v>141</v>
      </c>
      <c r="D26" s="36" t="s">
        <v>142</v>
      </c>
      <c r="E26" s="36" t="s">
        <v>188</v>
      </c>
      <c r="F26" s="36" t="s">
        <v>144</v>
      </c>
      <c r="G26" s="36" t="s">
        <v>145</v>
      </c>
      <c r="H26" s="36" t="s">
        <v>146</v>
      </c>
      <c r="J26" s="36" t="s">
        <v>147</v>
      </c>
      <c r="K26" s="36">
        <v>3600</v>
      </c>
      <c r="L26" s="36" t="s">
        <v>189</v>
      </c>
      <c r="M26" s="36" t="s">
        <v>149</v>
      </c>
      <c r="N26" s="38">
        <v>4650000</v>
      </c>
      <c r="O26" s="36">
        <v>1</v>
      </c>
      <c r="P26" s="36" t="s">
        <v>150</v>
      </c>
      <c r="Q26" s="56">
        <v>150</v>
      </c>
      <c r="R26" s="36" t="s">
        <v>151</v>
      </c>
      <c r="S26" s="36" t="s">
        <v>190</v>
      </c>
      <c r="U26" s="36">
        <v>3</v>
      </c>
      <c r="AA26" s="38" t="s">
        <v>153</v>
      </c>
      <c r="AB26" s="38">
        <v>1000</v>
      </c>
      <c r="AC26" s="36">
        <v>5</v>
      </c>
      <c r="AE26" s="38">
        <v>14400000</v>
      </c>
      <c r="AF26" s="38">
        <v>500000</v>
      </c>
      <c r="AG26" s="36">
        <v>500</v>
      </c>
      <c r="AH26" s="36">
        <v>0</v>
      </c>
      <c r="AI26" s="36">
        <v>40704</v>
      </c>
      <c r="AJ26" s="38" t="s">
        <v>170</v>
      </c>
      <c r="AK26" s="38">
        <v>1000</v>
      </c>
      <c r="AL26" s="36">
        <v>43200</v>
      </c>
      <c r="AM26" s="36">
        <v>1000</v>
      </c>
      <c r="AN26" s="36">
        <v>0</v>
      </c>
      <c r="AO26" s="36">
        <v>600</v>
      </c>
      <c r="AP26" s="36">
        <v>2500</v>
      </c>
      <c r="AQ26" s="38" t="s">
        <v>155</v>
      </c>
      <c r="AR26" s="38">
        <v>100</v>
      </c>
      <c r="AS26" s="38" t="s">
        <v>156</v>
      </c>
      <c r="AT26" s="38">
        <v>1000</v>
      </c>
      <c r="AU26" s="38">
        <v>10800</v>
      </c>
      <c r="AV26" s="38">
        <v>14400000</v>
      </c>
      <c r="AW26" s="36">
        <v>200000</v>
      </c>
      <c r="BB26" s="36" t="s">
        <v>157</v>
      </c>
      <c r="BC26" s="36" t="s">
        <v>191</v>
      </c>
      <c r="BD26" s="46"/>
      <c r="BE26" s="39" t="s">
        <v>159</v>
      </c>
      <c r="BF26" s="36">
        <v>1</v>
      </c>
      <c r="BG26" s="36" t="s">
        <v>160</v>
      </c>
      <c r="BH26" s="36" t="s">
        <v>161</v>
      </c>
      <c r="BI26" s="36" t="s">
        <v>162</v>
      </c>
      <c r="BK26" s="38">
        <v>7200</v>
      </c>
      <c r="BL26" s="38">
        <v>1800</v>
      </c>
      <c r="BM26" s="56">
        <f t="shared" si="0"/>
        <v>435</v>
      </c>
      <c r="BN26" s="36">
        <v>7</v>
      </c>
      <c r="BO26" s="35" t="s">
        <v>163</v>
      </c>
      <c r="BP26" s="36" t="s">
        <v>192</v>
      </c>
      <c r="BQ26" s="54" t="s">
        <v>157</v>
      </c>
      <c r="BR26" s="36" t="s">
        <v>193</v>
      </c>
      <c r="BS26" s="35" t="s">
        <v>163</v>
      </c>
      <c r="BT26" s="36" t="s">
        <v>194</v>
      </c>
    </row>
    <row r="27" spans="1:72" s="35" customFormat="1" x14ac:dyDescent="0.45">
      <c r="A27" s="36">
        <v>40704</v>
      </c>
      <c r="B27" s="36" t="s">
        <v>197</v>
      </c>
      <c r="C27" s="36" t="s">
        <v>141</v>
      </c>
      <c r="D27" s="36" t="s">
        <v>142</v>
      </c>
      <c r="E27" s="36" t="s">
        <v>188</v>
      </c>
      <c r="F27" s="36" t="s">
        <v>144</v>
      </c>
      <c r="G27" s="36" t="s">
        <v>145</v>
      </c>
      <c r="H27" s="36" t="s">
        <v>146</v>
      </c>
      <c r="I27" s="36"/>
      <c r="J27" s="36" t="s">
        <v>147</v>
      </c>
      <c r="K27" s="36">
        <v>3600</v>
      </c>
      <c r="L27" s="36" t="s">
        <v>189</v>
      </c>
      <c r="M27" s="36" t="s">
        <v>149</v>
      </c>
      <c r="N27" s="38">
        <v>4950000</v>
      </c>
      <c r="O27" s="36">
        <v>1</v>
      </c>
      <c r="P27" s="36" t="s">
        <v>150</v>
      </c>
      <c r="Q27" s="56">
        <v>200</v>
      </c>
      <c r="R27" s="36" t="s">
        <v>151</v>
      </c>
      <c r="S27" s="36" t="s">
        <v>190</v>
      </c>
      <c r="T27" s="36"/>
      <c r="U27" s="36">
        <v>4</v>
      </c>
      <c r="V27" s="36"/>
      <c r="W27" s="36"/>
      <c r="X27" s="36"/>
      <c r="Y27" s="36"/>
      <c r="Z27" s="36"/>
      <c r="AA27" s="38" t="s">
        <v>153</v>
      </c>
      <c r="AB27" s="38">
        <v>1000</v>
      </c>
      <c r="AC27" s="36">
        <v>5</v>
      </c>
      <c r="AD27" s="36"/>
      <c r="AE27" s="38">
        <v>14400000</v>
      </c>
      <c r="AF27" s="38">
        <v>500000</v>
      </c>
      <c r="AG27" s="36">
        <v>500</v>
      </c>
      <c r="AH27" s="36">
        <v>0</v>
      </c>
      <c r="AI27" s="36">
        <v>40705</v>
      </c>
      <c r="AJ27" s="38" t="s">
        <v>172</v>
      </c>
      <c r="AK27" s="38">
        <v>1000</v>
      </c>
      <c r="AL27" s="36">
        <v>54000</v>
      </c>
      <c r="AM27" s="36">
        <v>1000</v>
      </c>
      <c r="AN27" s="36">
        <v>0</v>
      </c>
      <c r="AO27" s="36">
        <v>600</v>
      </c>
      <c r="AP27" s="36">
        <v>2500</v>
      </c>
      <c r="AQ27" s="38" t="s">
        <v>155</v>
      </c>
      <c r="AR27" s="38">
        <v>100</v>
      </c>
      <c r="AS27" s="38" t="s">
        <v>156</v>
      </c>
      <c r="AT27" s="38">
        <v>1000</v>
      </c>
      <c r="AU27" s="38">
        <v>10800</v>
      </c>
      <c r="AV27" s="38">
        <v>14400000</v>
      </c>
      <c r="AW27" s="36">
        <v>200000</v>
      </c>
      <c r="AX27" s="36"/>
      <c r="AY27" s="36"/>
      <c r="AZ27" s="36"/>
      <c r="BA27" s="36"/>
      <c r="BB27" s="36" t="s">
        <v>157</v>
      </c>
      <c r="BC27" s="36" t="s">
        <v>191</v>
      </c>
      <c r="BD27" s="46"/>
      <c r="BE27" s="39" t="s">
        <v>159</v>
      </c>
      <c r="BF27" s="36">
        <v>1</v>
      </c>
      <c r="BG27" s="36" t="s">
        <v>160</v>
      </c>
      <c r="BH27" s="36" t="s">
        <v>161</v>
      </c>
      <c r="BI27" s="36" t="s">
        <v>162</v>
      </c>
      <c r="BJ27"/>
      <c r="BK27" s="38">
        <v>7200</v>
      </c>
      <c r="BL27" s="38">
        <v>1800</v>
      </c>
      <c r="BM27" s="56">
        <f t="shared" si="0"/>
        <v>460</v>
      </c>
      <c r="BN27" s="36">
        <v>7</v>
      </c>
      <c r="BO27" s="35" t="s">
        <v>163</v>
      </c>
      <c r="BP27" s="36" t="s">
        <v>192</v>
      </c>
      <c r="BQ27" s="54" t="s">
        <v>157</v>
      </c>
      <c r="BR27" s="36" t="s">
        <v>193</v>
      </c>
      <c r="BS27" s="35" t="s">
        <v>163</v>
      </c>
      <c r="BT27" s="36" t="s">
        <v>194</v>
      </c>
    </row>
    <row r="28" spans="1:72" x14ac:dyDescent="0.45">
      <c r="A28" s="36">
        <v>40705</v>
      </c>
      <c r="B28" s="36" t="s">
        <v>198</v>
      </c>
      <c r="C28" s="36" t="s">
        <v>141</v>
      </c>
      <c r="D28" s="36" t="s">
        <v>142</v>
      </c>
      <c r="E28" s="36" t="s">
        <v>188</v>
      </c>
      <c r="F28" s="36" t="s">
        <v>144</v>
      </c>
      <c r="G28" s="36" t="s">
        <v>145</v>
      </c>
      <c r="H28" s="36" t="s">
        <v>146</v>
      </c>
      <c r="J28" s="36" t="s">
        <v>147</v>
      </c>
      <c r="K28" s="36">
        <v>3600</v>
      </c>
      <c r="L28" s="36" t="s">
        <v>189</v>
      </c>
      <c r="M28" s="36" t="s">
        <v>149</v>
      </c>
      <c r="N28" s="38">
        <v>5250000</v>
      </c>
      <c r="O28" s="36">
        <v>1</v>
      </c>
      <c r="P28" s="36" t="s">
        <v>150</v>
      </c>
      <c r="Q28" s="56">
        <v>250</v>
      </c>
      <c r="R28" s="36" t="s">
        <v>151</v>
      </c>
      <c r="S28" s="36" t="s">
        <v>190</v>
      </c>
      <c r="U28" s="36">
        <v>5</v>
      </c>
      <c r="AA28" s="38" t="s">
        <v>153</v>
      </c>
      <c r="AB28" s="38">
        <v>1000</v>
      </c>
      <c r="AC28" s="36">
        <v>5</v>
      </c>
      <c r="AE28" s="38">
        <v>14400000</v>
      </c>
      <c r="AF28" s="38">
        <v>500000</v>
      </c>
      <c r="AG28" s="36">
        <v>500</v>
      </c>
      <c r="AH28" s="36">
        <v>0</v>
      </c>
      <c r="AI28" s="36">
        <v>40706</v>
      </c>
      <c r="AJ28" s="38" t="s">
        <v>174</v>
      </c>
      <c r="AK28" s="38">
        <v>1000</v>
      </c>
      <c r="AL28" s="36">
        <v>64800</v>
      </c>
      <c r="AM28" s="36">
        <v>1000</v>
      </c>
      <c r="AN28" s="36">
        <v>0</v>
      </c>
      <c r="AO28" s="36">
        <v>600</v>
      </c>
      <c r="AP28" s="36">
        <v>2500</v>
      </c>
      <c r="AQ28" s="38" t="s">
        <v>155</v>
      </c>
      <c r="AR28" s="38">
        <v>100</v>
      </c>
      <c r="AS28" s="38" t="s">
        <v>156</v>
      </c>
      <c r="AT28" s="38">
        <v>1000</v>
      </c>
      <c r="AU28" s="38">
        <v>10800</v>
      </c>
      <c r="AV28" s="38">
        <v>14400000</v>
      </c>
      <c r="AW28" s="36">
        <v>200000</v>
      </c>
      <c r="BB28" s="36" t="s">
        <v>157</v>
      </c>
      <c r="BC28" s="36" t="s">
        <v>191</v>
      </c>
      <c r="BD28" s="46"/>
      <c r="BE28" s="39" t="s">
        <v>159</v>
      </c>
      <c r="BF28" s="36">
        <v>1</v>
      </c>
      <c r="BG28" s="36" t="s">
        <v>160</v>
      </c>
      <c r="BH28" s="36" t="s">
        <v>161</v>
      </c>
      <c r="BI28" s="36" t="s">
        <v>162</v>
      </c>
      <c r="BK28" s="38">
        <v>7200</v>
      </c>
      <c r="BL28" s="38">
        <v>1800</v>
      </c>
      <c r="BM28" s="56">
        <f t="shared" si="0"/>
        <v>490</v>
      </c>
      <c r="BN28" s="36">
        <v>7</v>
      </c>
      <c r="BO28" s="35" t="s">
        <v>163</v>
      </c>
      <c r="BP28" s="36" t="s">
        <v>192</v>
      </c>
      <c r="BQ28" s="54" t="s">
        <v>157</v>
      </c>
      <c r="BR28" s="36" t="s">
        <v>193</v>
      </c>
      <c r="BS28" s="35" t="s">
        <v>163</v>
      </c>
      <c r="BT28" s="36" t="s">
        <v>194</v>
      </c>
    </row>
    <row r="29" spans="1:72" x14ac:dyDescent="0.45">
      <c r="A29" s="36">
        <v>40706</v>
      </c>
      <c r="B29" s="36" t="s">
        <v>199</v>
      </c>
      <c r="C29" s="36" t="s">
        <v>141</v>
      </c>
      <c r="D29" s="36" t="s">
        <v>142</v>
      </c>
      <c r="E29" s="36" t="s">
        <v>188</v>
      </c>
      <c r="F29" s="36" t="s">
        <v>176</v>
      </c>
      <c r="G29" s="36" t="s">
        <v>145</v>
      </c>
      <c r="H29" s="36" t="s">
        <v>146</v>
      </c>
      <c r="J29" s="36" t="s">
        <v>147</v>
      </c>
      <c r="K29" s="36">
        <v>3600</v>
      </c>
      <c r="L29" s="36" t="s">
        <v>189</v>
      </c>
      <c r="M29" s="36" t="s">
        <v>149</v>
      </c>
      <c r="N29" s="38">
        <v>5550000</v>
      </c>
      <c r="O29" s="36">
        <v>1</v>
      </c>
      <c r="P29" s="36" t="s">
        <v>150</v>
      </c>
      <c r="Q29" s="56">
        <v>300</v>
      </c>
      <c r="R29" s="42" t="s">
        <v>177</v>
      </c>
      <c r="S29" s="36" t="s">
        <v>190</v>
      </c>
      <c r="U29" s="36">
        <v>6</v>
      </c>
      <c r="AA29" s="38" t="s">
        <v>153</v>
      </c>
      <c r="AB29" s="38">
        <v>1000</v>
      </c>
      <c r="AC29" s="36">
        <v>5</v>
      </c>
      <c r="AE29" s="38">
        <v>14400000</v>
      </c>
      <c r="AF29" s="38">
        <v>500000</v>
      </c>
      <c r="AG29" s="36">
        <v>500</v>
      </c>
      <c r="AH29" s="36">
        <v>0</v>
      </c>
      <c r="AI29" s="36">
        <v>40707</v>
      </c>
      <c r="AJ29" s="38" t="s">
        <v>178</v>
      </c>
      <c r="AK29" s="38">
        <v>1000</v>
      </c>
      <c r="AL29" s="36">
        <v>75600</v>
      </c>
      <c r="AM29" s="36">
        <v>1000</v>
      </c>
      <c r="AN29" s="36">
        <v>0</v>
      </c>
      <c r="AO29" s="36">
        <v>600</v>
      </c>
      <c r="AP29" s="36">
        <v>2500</v>
      </c>
      <c r="AQ29" s="38" t="s">
        <v>155</v>
      </c>
      <c r="AR29" s="38">
        <v>100</v>
      </c>
      <c r="AS29" s="38" t="s">
        <v>156</v>
      </c>
      <c r="AT29" s="38">
        <v>1000</v>
      </c>
      <c r="AU29" s="38">
        <v>10800</v>
      </c>
      <c r="AV29" s="38">
        <v>14400000</v>
      </c>
      <c r="AW29" s="36">
        <v>200000</v>
      </c>
      <c r="BB29" s="36" t="s">
        <v>157</v>
      </c>
      <c r="BC29" s="36" t="s">
        <v>191</v>
      </c>
      <c r="BD29" s="46"/>
      <c r="BE29" s="39" t="s">
        <v>159</v>
      </c>
      <c r="BF29" s="36">
        <v>1</v>
      </c>
      <c r="BG29" s="36" t="s">
        <v>160</v>
      </c>
      <c r="BH29" s="36" t="s">
        <v>161</v>
      </c>
      <c r="BI29" s="36" t="s">
        <v>162</v>
      </c>
      <c r="BK29" s="38">
        <v>7200</v>
      </c>
      <c r="BL29" s="38">
        <v>1800</v>
      </c>
      <c r="BM29" s="56">
        <f t="shared" si="0"/>
        <v>525</v>
      </c>
      <c r="BN29" s="36">
        <v>7</v>
      </c>
      <c r="BO29" s="35" t="s">
        <v>163</v>
      </c>
      <c r="BP29" s="36" t="s">
        <v>192</v>
      </c>
      <c r="BQ29" s="54" t="s">
        <v>157</v>
      </c>
      <c r="BR29" s="36" t="s">
        <v>193</v>
      </c>
      <c r="BS29" s="35" t="s">
        <v>163</v>
      </c>
      <c r="BT29" s="36" t="s">
        <v>194</v>
      </c>
    </row>
    <row r="30" spans="1:72" x14ac:dyDescent="0.45">
      <c r="A30" s="36">
        <v>40707</v>
      </c>
      <c r="B30" s="36" t="s">
        <v>200</v>
      </c>
      <c r="C30" s="36" t="s">
        <v>141</v>
      </c>
      <c r="D30" s="36" t="s">
        <v>142</v>
      </c>
      <c r="E30" s="36" t="s">
        <v>188</v>
      </c>
      <c r="F30" s="36" t="s">
        <v>176</v>
      </c>
      <c r="G30" s="36" t="s">
        <v>145</v>
      </c>
      <c r="H30" s="36" t="s">
        <v>146</v>
      </c>
      <c r="J30" s="36" t="s">
        <v>147</v>
      </c>
      <c r="K30" s="36">
        <v>3600</v>
      </c>
      <c r="L30" s="36" t="s">
        <v>189</v>
      </c>
      <c r="M30" s="36" t="s">
        <v>149</v>
      </c>
      <c r="N30" s="38">
        <v>5850000</v>
      </c>
      <c r="O30" s="36">
        <v>1</v>
      </c>
      <c r="P30" s="36" t="s">
        <v>150</v>
      </c>
      <c r="Q30" s="56">
        <v>350</v>
      </c>
      <c r="R30" s="42" t="s">
        <v>177</v>
      </c>
      <c r="S30" s="36" t="s">
        <v>190</v>
      </c>
      <c r="U30" s="36">
        <v>7</v>
      </c>
      <c r="AA30" s="38" t="s">
        <v>153</v>
      </c>
      <c r="AB30" s="38">
        <v>1000</v>
      </c>
      <c r="AC30" s="36">
        <v>5</v>
      </c>
      <c r="AE30" s="38">
        <v>14400000</v>
      </c>
      <c r="AF30" s="38">
        <v>500000</v>
      </c>
      <c r="AG30" s="36">
        <v>500</v>
      </c>
      <c r="AH30" s="36">
        <v>0</v>
      </c>
      <c r="AI30" s="36">
        <v>40708</v>
      </c>
      <c r="AJ30" s="38" t="s">
        <v>180</v>
      </c>
      <c r="AK30" s="38">
        <v>1000</v>
      </c>
      <c r="AL30" s="36">
        <v>86400</v>
      </c>
      <c r="AM30" s="36">
        <v>1000</v>
      </c>
      <c r="AN30" s="36">
        <v>0</v>
      </c>
      <c r="AO30" s="36">
        <v>600</v>
      </c>
      <c r="AP30" s="36">
        <v>2500</v>
      </c>
      <c r="AQ30" s="38" t="s">
        <v>155</v>
      </c>
      <c r="AR30" s="38">
        <v>100</v>
      </c>
      <c r="AS30" s="38" t="s">
        <v>156</v>
      </c>
      <c r="AT30" s="38">
        <v>1000</v>
      </c>
      <c r="AU30" s="38">
        <v>10800</v>
      </c>
      <c r="AV30" s="38">
        <v>14400000</v>
      </c>
      <c r="AW30" s="36">
        <v>200000</v>
      </c>
      <c r="BB30" s="36" t="s">
        <v>157</v>
      </c>
      <c r="BC30" s="36" t="s">
        <v>191</v>
      </c>
      <c r="BD30" s="46"/>
      <c r="BE30" s="39" t="s">
        <v>159</v>
      </c>
      <c r="BF30" s="36">
        <v>1</v>
      </c>
      <c r="BG30" s="36" t="s">
        <v>160</v>
      </c>
      <c r="BH30" s="36" t="s">
        <v>161</v>
      </c>
      <c r="BI30" s="36" t="s">
        <v>162</v>
      </c>
      <c r="BK30" s="38">
        <v>7200</v>
      </c>
      <c r="BL30" s="38">
        <v>1800</v>
      </c>
      <c r="BM30" s="56">
        <f t="shared" si="0"/>
        <v>565</v>
      </c>
      <c r="BN30" s="36">
        <v>7</v>
      </c>
      <c r="BO30" s="35" t="s">
        <v>163</v>
      </c>
      <c r="BP30" s="36" t="s">
        <v>192</v>
      </c>
      <c r="BQ30" s="54" t="s">
        <v>157</v>
      </c>
      <c r="BR30" s="36" t="s">
        <v>193</v>
      </c>
      <c r="BS30" s="35" t="s">
        <v>163</v>
      </c>
      <c r="BT30" s="36" t="s">
        <v>194</v>
      </c>
    </row>
    <row r="31" spans="1:72" x14ac:dyDescent="0.45">
      <c r="A31" s="36">
        <v>40708</v>
      </c>
      <c r="B31" s="36" t="s">
        <v>201</v>
      </c>
      <c r="C31" s="36" t="s">
        <v>141</v>
      </c>
      <c r="D31" s="36" t="s">
        <v>142</v>
      </c>
      <c r="E31" s="36" t="s">
        <v>188</v>
      </c>
      <c r="F31" s="36" t="s">
        <v>176</v>
      </c>
      <c r="G31" s="36" t="s">
        <v>145</v>
      </c>
      <c r="H31" s="36" t="s">
        <v>146</v>
      </c>
      <c r="J31" s="36" t="s">
        <v>147</v>
      </c>
      <c r="K31" s="36">
        <v>3600</v>
      </c>
      <c r="L31" s="36" t="s">
        <v>189</v>
      </c>
      <c r="M31" s="36" t="s">
        <v>149</v>
      </c>
      <c r="N31" s="38">
        <v>6150000</v>
      </c>
      <c r="O31" s="36">
        <v>1</v>
      </c>
      <c r="P31" s="36" t="s">
        <v>150</v>
      </c>
      <c r="Q31" s="56">
        <v>400</v>
      </c>
      <c r="R31" s="42" t="s">
        <v>177</v>
      </c>
      <c r="S31" s="36" t="s">
        <v>190</v>
      </c>
      <c r="U31" s="36">
        <v>8</v>
      </c>
      <c r="AA31" s="38" t="s">
        <v>153</v>
      </c>
      <c r="AB31" s="38">
        <v>1000</v>
      </c>
      <c r="AC31" s="36">
        <v>5</v>
      </c>
      <c r="AE31" s="38">
        <v>14400000</v>
      </c>
      <c r="AF31" s="38">
        <v>500000</v>
      </c>
      <c r="AG31" s="36">
        <v>500</v>
      </c>
      <c r="AH31" s="36">
        <v>0</v>
      </c>
      <c r="AI31" s="36">
        <v>40709</v>
      </c>
      <c r="AJ31" s="38" t="s">
        <v>182</v>
      </c>
      <c r="AK31" s="38">
        <v>1000</v>
      </c>
      <c r="AL31" s="36">
        <v>97200</v>
      </c>
      <c r="AM31" s="36">
        <v>1000</v>
      </c>
      <c r="AN31" s="36">
        <v>0</v>
      </c>
      <c r="AO31" s="36">
        <v>600</v>
      </c>
      <c r="AP31" s="36">
        <v>2500</v>
      </c>
      <c r="AQ31" s="38" t="s">
        <v>155</v>
      </c>
      <c r="AR31" s="38">
        <v>100</v>
      </c>
      <c r="AS31" s="38" t="s">
        <v>156</v>
      </c>
      <c r="AT31" s="38">
        <v>1000</v>
      </c>
      <c r="AU31" s="38">
        <v>10800</v>
      </c>
      <c r="AV31" s="38">
        <v>14400000</v>
      </c>
      <c r="AW31" s="36">
        <v>200000</v>
      </c>
      <c r="BB31" s="36" t="s">
        <v>157</v>
      </c>
      <c r="BC31" s="36" t="s">
        <v>191</v>
      </c>
      <c r="BD31" s="46"/>
      <c r="BE31" s="39" t="s">
        <v>159</v>
      </c>
      <c r="BF31" s="36">
        <v>1</v>
      </c>
      <c r="BG31" s="36" t="s">
        <v>160</v>
      </c>
      <c r="BH31" s="36" t="s">
        <v>161</v>
      </c>
      <c r="BI31" s="36" t="s">
        <v>162</v>
      </c>
      <c r="BK31" s="38">
        <v>7200</v>
      </c>
      <c r="BL31" s="38">
        <v>1800</v>
      </c>
      <c r="BM31" s="56">
        <f t="shared" si="0"/>
        <v>610</v>
      </c>
      <c r="BN31" s="36">
        <v>7</v>
      </c>
      <c r="BO31" s="35" t="s">
        <v>163</v>
      </c>
      <c r="BP31" s="36" t="s">
        <v>192</v>
      </c>
      <c r="BQ31" s="54" t="s">
        <v>157</v>
      </c>
      <c r="BR31" s="36" t="s">
        <v>193</v>
      </c>
      <c r="BS31" s="35" t="s">
        <v>163</v>
      </c>
      <c r="BT31" s="36" t="s">
        <v>194</v>
      </c>
    </row>
    <row r="32" spans="1:72" x14ac:dyDescent="0.45">
      <c r="A32" s="36">
        <v>40709</v>
      </c>
      <c r="B32" s="36" t="s">
        <v>202</v>
      </c>
      <c r="C32" s="36" t="s">
        <v>141</v>
      </c>
      <c r="D32" s="36" t="s">
        <v>142</v>
      </c>
      <c r="E32" s="36" t="s">
        <v>188</v>
      </c>
      <c r="F32" s="36" t="s">
        <v>184</v>
      </c>
      <c r="G32" s="36" t="s">
        <v>145</v>
      </c>
      <c r="H32" s="36" t="s">
        <v>146</v>
      </c>
      <c r="J32" s="36" t="s">
        <v>147</v>
      </c>
      <c r="K32" s="36">
        <v>3600</v>
      </c>
      <c r="L32" s="36" t="s">
        <v>189</v>
      </c>
      <c r="M32" s="36" t="s">
        <v>149</v>
      </c>
      <c r="N32" s="38">
        <v>6450000</v>
      </c>
      <c r="O32" s="36">
        <v>1</v>
      </c>
      <c r="P32" s="36" t="s">
        <v>150</v>
      </c>
      <c r="Q32" s="56">
        <v>450</v>
      </c>
      <c r="R32" s="42" t="s">
        <v>177</v>
      </c>
      <c r="S32" s="36" t="s">
        <v>190</v>
      </c>
      <c r="U32" s="36">
        <v>9</v>
      </c>
      <c r="AA32" s="38" t="s">
        <v>153</v>
      </c>
      <c r="AB32" s="38">
        <v>1000</v>
      </c>
      <c r="AC32" s="36">
        <v>5</v>
      </c>
      <c r="AE32" s="38">
        <v>14400000</v>
      </c>
      <c r="AF32" s="38">
        <v>500000</v>
      </c>
      <c r="AG32" s="36">
        <v>500</v>
      </c>
      <c r="AH32" s="36">
        <v>0</v>
      </c>
      <c r="AI32" s="36">
        <v>40710</v>
      </c>
      <c r="AJ32" s="38" t="s">
        <v>185</v>
      </c>
      <c r="AK32" s="38">
        <v>1000</v>
      </c>
      <c r="AL32" s="36">
        <v>108000</v>
      </c>
      <c r="AM32" s="36">
        <v>1000</v>
      </c>
      <c r="AN32" s="36">
        <v>0</v>
      </c>
      <c r="AO32" s="36">
        <v>600</v>
      </c>
      <c r="AP32" s="36">
        <v>2500</v>
      </c>
      <c r="AQ32" s="38" t="s">
        <v>155</v>
      </c>
      <c r="AR32" s="38">
        <v>100</v>
      </c>
      <c r="AS32" s="38" t="s">
        <v>156</v>
      </c>
      <c r="AT32" s="38">
        <v>1000</v>
      </c>
      <c r="AU32" s="38">
        <v>10800</v>
      </c>
      <c r="AV32" s="38">
        <v>14400000</v>
      </c>
      <c r="AW32" s="36">
        <v>200000</v>
      </c>
      <c r="BB32" s="36" t="s">
        <v>157</v>
      </c>
      <c r="BC32" s="36" t="s">
        <v>191</v>
      </c>
      <c r="BD32" s="46"/>
      <c r="BE32" s="39" t="s">
        <v>159</v>
      </c>
      <c r="BF32" s="36">
        <v>1</v>
      </c>
      <c r="BG32" s="36" t="s">
        <v>160</v>
      </c>
      <c r="BH32" s="36" t="s">
        <v>161</v>
      </c>
      <c r="BI32" s="36" t="s">
        <v>162</v>
      </c>
      <c r="BK32" s="38">
        <v>7200</v>
      </c>
      <c r="BL32" s="38">
        <v>1800</v>
      </c>
      <c r="BM32" s="56">
        <f t="shared" si="0"/>
        <v>660</v>
      </c>
      <c r="BN32" s="36">
        <v>7</v>
      </c>
      <c r="BO32" s="35" t="s">
        <v>163</v>
      </c>
      <c r="BP32" s="36" t="s">
        <v>192</v>
      </c>
      <c r="BQ32" s="54" t="s">
        <v>157</v>
      </c>
      <c r="BR32" s="36" t="s">
        <v>193</v>
      </c>
      <c r="BS32" s="35" t="s">
        <v>163</v>
      </c>
      <c r="BT32" s="36" t="s">
        <v>194</v>
      </c>
    </row>
    <row r="33" spans="1:72" x14ac:dyDescent="0.45">
      <c r="A33" s="36">
        <v>40710</v>
      </c>
      <c r="B33" s="36" t="s">
        <v>203</v>
      </c>
      <c r="C33" s="36" t="s">
        <v>141</v>
      </c>
      <c r="D33" s="36" t="s">
        <v>142</v>
      </c>
      <c r="E33" s="36" t="s">
        <v>188</v>
      </c>
      <c r="F33" s="36" t="s">
        <v>184</v>
      </c>
      <c r="G33" s="36" t="s">
        <v>145</v>
      </c>
      <c r="H33" s="36" t="s">
        <v>146</v>
      </c>
      <c r="J33" s="36" t="s">
        <v>147</v>
      </c>
      <c r="K33" s="36">
        <v>3600</v>
      </c>
      <c r="L33" s="36" t="s">
        <v>189</v>
      </c>
      <c r="M33" s="36" t="s">
        <v>149</v>
      </c>
      <c r="N33" s="38">
        <v>6750000</v>
      </c>
      <c r="O33" s="36">
        <v>1</v>
      </c>
      <c r="P33" s="36" t="s">
        <v>150</v>
      </c>
      <c r="Q33" s="56">
        <v>500</v>
      </c>
      <c r="R33" s="42" t="s">
        <v>177</v>
      </c>
      <c r="S33" s="36" t="s">
        <v>190</v>
      </c>
      <c r="U33" s="36">
        <v>10</v>
      </c>
      <c r="AA33" s="38" t="s">
        <v>153</v>
      </c>
      <c r="AB33" s="38">
        <v>1000</v>
      </c>
      <c r="AC33" s="36">
        <v>5</v>
      </c>
      <c r="AE33" s="38">
        <v>14400000</v>
      </c>
      <c r="AF33" s="38">
        <v>500000</v>
      </c>
      <c r="AG33" s="36">
        <v>500</v>
      </c>
      <c r="AH33" s="36">
        <v>0</v>
      </c>
      <c r="AI33" s="36">
        <v>-1</v>
      </c>
      <c r="AK33" s="38">
        <v>1000</v>
      </c>
      <c r="AM33" s="36">
        <v>1000</v>
      </c>
      <c r="AN33" s="36">
        <v>0</v>
      </c>
      <c r="AO33" s="36">
        <v>600</v>
      </c>
      <c r="AP33" s="36">
        <v>2500</v>
      </c>
      <c r="AQ33" s="38" t="s">
        <v>155</v>
      </c>
      <c r="AR33" s="38">
        <v>100</v>
      </c>
      <c r="AS33" s="38" t="s">
        <v>156</v>
      </c>
      <c r="AT33" s="38">
        <v>1000</v>
      </c>
      <c r="AU33" s="38">
        <v>10800</v>
      </c>
      <c r="AV33" s="38">
        <v>14400000</v>
      </c>
      <c r="AW33" s="36">
        <v>200000</v>
      </c>
      <c r="BB33" s="36" t="s">
        <v>157</v>
      </c>
      <c r="BC33" s="36" t="s">
        <v>191</v>
      </c>
      <c r="BD33" s="46"/>
      <c r="BE33" s="39" t="s">
        <v>159</v>
      </c>
      <c r="BF33" s="36">
        <v>1</v>
      </c>
      <c r="BG33" s="36" t="s">
        <v>160</v>
      </c>
      <c r="BH33" s="36" t="s">
        <v>161</v>
      </c>
      <c r="BI33" s="36" t="s">
        <v>162</v>
      </c>
      <c r="BK33" s="38">
        <v>7200</v>
      </c>
      <c r="BL33" s="38">
        <v>1800</v>
      </c>
      <c r="BM33" s="56">
        <f t="shared" si="0"/>
        <v>715</v>
      </c>
      <c r="BN33" s="36">
        <v>7</v>
      </c>
      <c r="BO33" s="35" t="s">
        <v>163</v>
      </c>
      <c r="BP33" s="36" t="s">
        <v>192</v>
      </c>
      <c r="BQ33" s="54" t="s">
        <v>157</v>
      </c>
      <c r="BR33" s="36" t="s">
        <v>193</v>
      </c>
      <c r="BS33" s="35" t="s">
        <v>163</v>
      </c>
      <c r="BT33" s="36" t="s">
        <v>194</v>
      </c>
    </row>
    <row r="34" spans="1:72" x14ac:dyDescent="0.45">
      <c r="A34" s="36">
        <v>40801</v>
      </c>
      <c r="B34" s="36" t="s">
        <v>787</v>
      </c>
      <c r="C34" s="36" t="s">
        <v>141</v>
      </c>
      <c r="D34" s="36" t="s">
        <v>142</v>
      </c>
      <c r="E34" s="36" t="s">
        <v>558</v>
      </c>
      <c r="F34" s="36" t="s">
        <v>144</v>
      </c>
      <c r="G34" s="36" t="s">
        <v>145</v>
      </c>
      <c r="H34" s="36" t="s">
        <v>146</v>
      </c>
      <c r="J34" s="36" t="s">
        <v>147</v>
      </c>
      <c r="K34" s="36">
        <v>3600</v>
      </c>
      <c r="L34" s="36" t="s">
        <v>788</v>
      </c>
      <c r="M34" s="36" t="s">
        <v>149</v>
      </c>
      <c r="N34" s="38">
        <v>4050000</v>
      </c>
      <c r="O34" s="36">
        <v>1</v>
      </c>
      <c r="P34" s="36" t="s">
        <v>150</v>
      </c>
      <c r="Q34" s="56">
        <v>50</v>
      </c>
      <c r="R34" s="36" t="s">
        <v>151</v>
      </c>
      <c r="S34" s="36" t="s">
        <v>789</v>
      </c>
      <c r="U34" s="36">
        <v>1</v>
      </c>
      <c r="AA34" s="38" t="s">
        <v>153</v>
      </c>
      <c r="AB34" s="38">
        <v>1000</v>
      </c>
      <c r="AC34" s="36">
        <v>5</v>
      </c>
      <c r="AE34" s="38">
        <v>14400000</v>
      </c>
      <c r="AF34" s="38">
        <v>500000</v>
      </c>
      <c r="AG34" s="36">
        <v>500</v>
      </c>
      <c r="AH34" s="36">
        <v>0</v>
      </c>
      <c r="AI34" s="36">
        <v>40802</v>
      </c>
      <c r="AJ34" s="38" t="s">
        <v>154</v>
      </c>
      <c r="AK34" s="38">
        <v>1000</v>
      </c>
      <c r="AL34" s="36">
        <v>21600</v>
      </c>
      <c r="AM34" s="36">
        <v>1000</v>
      </c>
      <c r="AN34" s="36">
        <v>0</v>
      </c>
      <c r="AO34" s="36">
        <v>600</v>
      </c>
      <c r="AP34" s="36">
        <v>2500</v>
      </c>
      <c r="AQ34" s="38" t="s">
        <v>155</v>
      </c>
      <c r="AR34" s="38">
        <v>100</v>
      </c>
      <c r="AS34" s="38" t="s">
        <v>156</v>
      </c>
      <c r="AT34" s="38">
        <v>1000</v>
      </c>
      <c r="AU34" s="38">
        <v>10800</v>
      </c>
      <c r="AV34" s="38">
        <v>14400000</v>
      </c>
      <c r="AW34" s="36">
        <v>200000</v>
      </c>
      <c r="BB34" s="36" t="s">
        <v>157</v>
      </c>
      <c r="BC34" s="36" t="s">
        <v>790</v>
      </c>
      <c r="BD34" s="46"/>
      <c r="BE34" s="39" t="s">
        <v>159</v>
      </c>
      <c r="BF34" s="36">
        <v>1</v>
      </c>
      <c r="BG34" s="36" t="s">
        <v>160</v>
      </c>
      <c r="BH34" s="36" t="s">
        <v>161</v>
      </c>
      <c r="BI34" s="36" t="s">
        <v>162</v>
      </c>
      <c r="BK34" s="38">
        <v>7200</v>
      </c>
      <c r="BL34" s="38">
        <v>1800</v>
      </c>
      <c r="BM34" s="56">
        <f t="shared" ref="BM34:BM43" si="1">BM24</f>
        <v>400</v>
      </c>
      <c r="BN34" s="36">
        <v>8</v>
      </c>
      <c r="BO34" s="35" t="s">
        <v>163</v>
      </c>
      <c r="BP34" s="36" t="s">
        <v>791</v>
      </c>
      <c r="BQ34" s="54" t="s">
        <v>157</v>
      </c>
      <c r="BR34" s="36" t="s">
        <v>792</v>
      </c>
      <c r="BS34" s="35" t="s">
        <v>163</v>
      </c>
      <c r="BT34" s="36" t="s">
        <v>793</v>
      </c>
    </row>
    <row r="35" spans="1:72" x14ac:dyDescent="0.45">
      <c r="A35" s="36">
        <v>40802</v>
      </c>
      <c r="B35" s="36" t="s">
        <v>794</v>
      </c>
      <c r="C35" s="36" t="s">
        <v>141</v>
      </c>
      <c r="D35" s="36" t="s">
        <v>142</v>
      </c>
      <c r="E35" s="36" t="s">
        <v>558</v>
      </c>
      <c r="F35" s="36" t="s">
        <v>144</v>
      </c>
      <c r="G35" s="36" t="s">
        <v>145</v>
      </c>
      <c r="H35" s="36" t="s">
        <v>146</v>
      </c>
      <c r="J35" s="36" t="s">
        <v>147</v>
      </c>
      <c r="K35" s="36">
        <v>3600</v>
      </c>
      <c r="L35" s="36" t="s">
        <v>788</v>
      </c>
      <c r="M35" s="36" t="s">
        <v>149</v>
      </c>
      <c r="N35" s="38">
        <v>4350000</v>
      </c>
      <c r="O35" s="36">
        <v>1</v>
      </c>
      <c r="P35" s="36" t="s">
        <v>150</v>
      </c>
      <c r="Q35" s="56">
        <v>100</v>
      </c>
      <c r="R35" s="36" t="s">
        <v>151</v>
      </c>
      <c r="S35" s="36" t="s">
        <v>789</v>
      </c>
      <c r="U35" s="36">
        <v>2</v>
      </c>
      <c r="AA35" s="38" t="s">
        <v>153</v>
      </c>
      <c r="AB35" s="38">
        <v>1000</v>
      </c>
      <c r="AC35" s="36">
        <v>5</v>
      </c>
      <c r="AE35" s="38">
        <v>14400000</v>
      </c>
      <c r="AF35" s="38">
        <v>500000</v>
      </c>
      <c r="AG35" s="36">
        <v>500</v>
      </c>
      <c r="AH35" s="36">
        <v>0</v>
      </c>
      <c r="AI35" s="36">
        <v>40803</v>
      </c>
      <c r="AJ35" s="38" t="s">
        <v>168</v>
      </c>
      <c r="AK35" s="38">
        <v>1000</v>
      </c>
      <c r="AL35" s="36">
        <v>32400</v>
      </c>
      <c r="AM35" s="36">
        <v>1000</v>
      </c>
      <c r="AN35" s="36">
        <v>0</v>
      </c>
      <c r="AO35" s="36">
        <v>600</v>
      </c>
      <c r="AP35" s="36">
        <v>2500</v>
      </c>
      <c r="AQ35" s="38" t="s">
        <v>155</v>
      </c>
      <c r="AR35" s="38">
        <v>100</v>
      </c>
      <c r="AS35" s="38" t="s">
        <v>156</v>
      </c>
      <c r="AT35" s="38">
        <v>1000</v>
      </c>
      <c r="AU35" s="38">
        <v>10800</v>
      </c>
      <c r="AV35" s="38">
        <v>14400000</v>
      </c>
      <c r="AW35" s="36">
        <v>200000</v>
      </c>
      <c r="BB35" s="36" t="s">
        <v>157</v>
      </c>
      <c r="BC35" s="36" t="s">
        <v>790</v>
      </c>
      <c r="BD35" s="46"/>
      <c r="BE35" s="39" t="s">
        <v>159</v>
      </c>
      <c r="BF35" s="36">
        <v>1</v>
      </c>
      <c r="BG35" s="36" t="s">
        <v>160</v>
      </c>
      <c r="BH35" s="36" t="s">
        <v>161</v>
      </c>
      <c r="BI35" s="36" t="s">
        <v>162</v>
      </c>
      <c r="BK35" s="38">
        <v>7200</v>
      </c>
      <c r="BL35" s="38">
        <v>1800</v>
      </c>
      <c r="BM35" s="56">
        <f t="shared" si="1"/>
        <v>415</v>
      </c>
      <c r="BN35" s="36">
        <v>8</v>
      </c>
      <c r="BO35" s="35" t="s">
        <v>163</v>
      </c>
      <c r="BP35" s="36" t="s">
        <v>791</v>
      </c>
      <c r="BQ35" s="54" t="s">
        <v>157</v>
      </c>
      <c r="BR35" s="36" t="s">
        <v>792</v>
      </c>
      <c r="BS35" s="35" t="s">
        <v>163</v>
      </c>
      <c r="BT35" s="36" t="s">
        <v>793</v>
      </c>
    </row>
    <row r="36" spans="1:72" x14ac:dyDescent="0.45">
      <c r="A36" s="36">
        <v>40803</v>
      </c>
      <c r="B36" s="36" t="s">
        <v>795</v>
      </c>
      <c r="C36" s="36" t="s">
        <v>141</v>
      </c>
      <c r="D36" s="36" t="s">
        <v>142</v>
      </c>
      <c r="E36" s="36" t="s">
        <v>558</v>
      </c>
      <c r="F36" s="36" t="s">
        <v>144</v>
      </c>
      <c r="G36" s="36" t="s">
        <v>145</v>
      </c>
      <c r="H36" s="36" t="s">
        <v>146</v>
      </c>
      <c r="J36" s="36" t="s">
        <v>147</v>
      </c>
      <c r="K36" s="36">
        <v>3600</v>
      </c>
      <c r="L36" s="36" t="s">
        <v>788</v>
      </c>
      <c r="M36" s="36" t="s">
        <v>149</v>
      </c>
      <c r="N36" s="38">
        <v>4650000</v>
      </c>
      <c r="O36" s="36">
        <v>1</v>
      </c>
      <c r="P36" s="36" t="s">
        <v>150</v>
      </c>
      <c r="Q36" s="56">
        <v>150</v>
      </c>
      <c r="R36" s="36" t="s">
        <v>151</v>
      </c>
      <c r="S36" s="36" t="s">
        <v>789</v>
      </c>
      <c r="U36" s="36">
        <v>3</v>
      </c>
      <c r="AA36" s="38" t="s">
        <v>153</v>
      </c>
      <c r="AB36" s="38">
        <v>1000</v>
      </c>
      <c r="AC36" s="36">
        <v>5</v>
      </c>
      <c r="AE36" s="38">
        <v>14400000</v>
      </c>
      <c r="AF36" s="38">
        <v>500000</v>
      </c>
      <c r="AG36" s="36">
        <v>500</v>
      </c>
      <c r="AH36" s="36">
        <v>0</v>
      </c>
      <c r="AI36" s="36">
        <v>40804</v>
      </c>
      <c r="AJ36" s="38" t="s">
        <v>170</v>
      </c>
      <c r="AK36" s="38">
        <v>1000</v>
      </c>
      <c r="AL36" s="36">
        <v>43200</v>
      </c>
      <c r="AM36" s="36">
        <v>1000</v>
      </c>
      <c r="AN36" s="36">
        <v>0</v>
      </c>
      <c r="AO36" s="36">
        <v>600</v>
      </c>
      <c r="AP36" s="36">
        <v>2500</v>
      </c>
      <c r="AQ36" s="38" t="s">
        <v>155</v>
      </c>
      <c r="AR36" s="38">
        <v>100</v>
      </c>
      <c r="AS36" s="38" t="s">
        <v>156</v>
      </c>
      <c r="AT36" s="38">
        <v>1000</v>
      </c>
      <c r="AU36" s="38">
        <v>10800</v>
      </c>
      <c r="AV36" s="38">
        <v>14400000</v>
      </c>
      <c r="AW36" s="36">
        <v>200000</v>
      </c>
      <c r="BB36" s="36" t="s">
        <v>157</v>
      </c>
      <c r="BC36" s="36" t="s">
        <v>790</v>
      </c>
      <c r="BD36" s="46"/>
      <c r="BE36" s="39" t="s">
        <v>159</v>
      </c>
      <c r="BF36" s="36">
        <v>1</v>
      </c>
      <c r="BG36" s="36" t="s">
        <v>160</v>
      </c>
      <c r="BH36" s="36" t="s">
        <v>161</v>
      </c>
      <c r="BI36" s="36" t="s">
        <v>162</v>
      </c>
      <c r="BK36" s="38">
        <v>7200</v>
      </c>
      <c r="BL36" s="38">
        <v>1800</v>
      </c>
      <c r="BM36" s="56">
        <f t="shared" si="1"/>
        <v>435</v>
      </c>
      <c r="BN36" s="36">
        <v>8</v>
      </c>
      <c r="BO36" s="35" t="s">
        <v>163</v>
      </c>
      <c r="BP36" s="36" t="s">
        <v>791</v>
      </c>
      <c r="BQ36" s="54" t="s">
        <v>157</v>
      </c>
      <c r="BR36" s="36" t="s">
        <v>792</v>
      </c>
      <c r="BS36" s="35" t="s">
        <v>163</v>
      </c>
      <c r="BT36" s="36" t="s">
        <v>793</v>
      </c>
    </row>
    <row r="37" spans="1:72" s="35" customFormat="1" x14ac:dyDescent="0.45">
      <c r="A37" s="36">
        <v>40804</v>
      </c>
      <c r="B37" s="36" t="s">
        <v>796</v>
      </c>
      <c r="C37" s="36" t="s">
        <v>141</v>
      </c>
      <c r="D37" s="36" t="s">
        <v>142</v>
      </c>
      <c r="E37" s="36" t="s">
        <v>558</v>
      </c>
      <c r="F37" s="36" t="s">
        <v>144</v>
      </c>
      <c r="G37" s="36" t="s">
        <v>145</v>
      </c>
      <c r="H37" s="36" t="s">
        <v>146</v>
      </c>
      <c r="I37" s="36"/>
      <c r="J37" s="36" t="s">
        <v>147</v>
      </c>
      <c r="K37" s="36">
        <v>3600</v>
      </c>
      <c r="L37" s="36" t="s">
        <v>788</v>
      </c>
      <c r="M37" s="36" t="s">
        <v>149</v>
      </c>
      <c r="N37" s="38">
        <v>4950000</v>
      </c>
      <c r="O37" s="36">
        <v>1</v>
      </c>
      <c r="P37" s="36" t="s">
        <v>150</v>
      </c>
      <c r="Q37" s="56">
        <v>200</v>
      </c>
      <c r="R37" s="36" t="s">
        <v>151</v>
      </c>
      <c r="S37" s="36" t="s">
        <v>789</v>
      </c>
      <c r="T37" s="36"/>
      <c r="U37" s="36">
        <v>4</v>
      </c>
      <c r="V37" s="36"/>
      <c r="W37" s="36"/>
      <c r="X37" s="36"/>
      <c r="Y37" s="36"/>
      <c r="Z37" s="36"/>
      <c r="AA37" s="38" t="s">
        <v>153</v>
      </c>
      <c r="AB37" s="38">
        <v>1000</v>
      </c>
      <c r="AC37" s="36">
        <v>5</v>
      </c>
      <c r="AD37" s="36"/>
      <c r="AE37" s="38">
        <v>14400000</v>
      </c>
      <c r="AF37" s="38">
        <v>500000</v>
      </c>
      <c r="AG37" s="36">
        <v>500</v>
      </c>
      <c r="AH37" s="36">
        <v>0</v>
      </c>
      <c r="AI37" s="36">
        <v>40805</v>
      </c>
      <c r="AJ37" s="38" t="s">
        <v>172</v>
      </c>
      <c r="AK37" s="38">
        <v>1000</v>
      </c>
      <c r="AL37" s="36">
        <v>54000</v>
      </c>
      <c r="AM37" s="36">
        <v>1000</v>
      </c>
      <c r="AN37" s="36">
        <v>0</v>
      </c>
      <c r="AO37" s="36">
        <v>600</v>
      </c>
      <c r="AP37" s="36">
        <v>2500</v>
      </c>
      <c r="AQ37" s="38" t="s">
        <v>155</v>
      </c>
      <c r="AR37" s="38">
        <v>100</v>
      </c>
      <c r="AS37" s="38" t="s">
        <v>156</v>
      </c>
      <c r="AT37" s="38">
        <v>1000</v>
      </c>
      <c r="AU37" s="38">
        <v>10800</v>
      </c>
      <c r="AV37" s="38">
        <v>14400000</v>
      </c>
      <c r="AW37" s="36">
        <v>200000</v>
      </c>
      <c r="AX37" s="36"/>
      <c r="AY37" s="36"/>
      <c r="AZ37" s="36"/>
      <c r="BA37" s="36"/>
      <c r="BB37" s="36" t="s">
        <v>157</v>
      </c>
      <c r="BC37" s="36" t="s">
        <v>790</v>
      </c>
      <c r="BD37" s="46"/>
      <c r="BE37" s="39" t="s">
        <v>159</v>
      </c>
      <c r="BF37" s="36">
        <v>1</v>
      </c>
      <c r="BG37" s="36" t="s">
        <v>160</v>
      </c>
      <c r="BH37" s="36" t="s">
        <v>161</v>
      </c>
      <c r="BI37" s="36" t="s">
        <v>162</v>
      </c>
      <c r="BJ37"/>
      <c r="BK37" s="38">
        <v>7200</v>
      </c>
      <c r="BL37" s="38">
        <v>1800</v>
      </c>
      <c r="BM37" s="56">
        <f t="shared" si="1"/>
        <v>460</v>
      </c>
      <c r="BN37" s="36">
        <v>8</v>
      </c>
      <c r="BO37" s="35" t="s">
        <v>163</v>
      </c>
      <c r="BP37" s="36" t="s">
        <v>791</v>
      </c>
      <c r="BQ37" s="54" t="s">
        <v>157</v>
      </c>
      <c r="BR37" s="36" t="s">
        <v>792</v>
      </c>
      <c r="BS37" s="35" t="s">
        <v>163</v>
      </c>
      <c r="BT37" s="36" t="s">
        <v>793</v>
      </c>
    </row>
    <row r="38" spans="1:72" x14ac:dyDescent="0.45">
      <c r="A38" s="36">
        <v>40805</v>
      </c>
      <c r="B38" s="36" t="s">
        <v>797</v>
      </c>
      <c r="C38" s="36" t="s">
        <v>141</v>
      </c>
      <c r="D38" s="36" t="s">
        <v>142</v>
      </c>
      <c r="E38" s="36" t="s">
        <v>558</v>
      </c>
      <c r="F38" s="36" t="s">
        <v>144</v>
      </c>
      <c r="G38" s="36" t="s">
        <v>145</v>
      </c>
      <c r="H38" s="36" t="s">
        <v>146</v>
      </c>
      <c r="J38" s="36" t="s">
        <v>147</v>
      </c>
      <c r="K38" s="36">
        <v>3600</v>
      </c>
      <c r="L38" s="36" t="s">
        <v>788</v>
      </c>
      <c r="M38" s="36" t="s">
        <v>149</v>
      </c>
      <c r="N38" s="38">
        <v>5250000</v>
      </c>
      <c r="O38" s="36">
        <v>1</v>
      </c>
      <c r="P38" s="36" t="s">
        <v>150</v>
      </c>
      <c r="Q38" s="56">
        <v>250</v>
      </c>
      <c r="R38" s="36" t="s">
        <v>151</v>
      </c>
      <c r="S38" s="36" t="s">
        <v>789</v>
      </c>
      <c r="U38" s="36">
        <v>5</v>
      </c>
      <c r="AA38" s="38" t="s">
        <v>153</v>
      </c>
      <c r="AB38" s="38">
        <v>1000</v>
      </c>
      <c r="AC38" s="36">
        <v>5</v>
      </c>
      <c r="AE38" s="38">
        <v>14400000</v>
      </c>
      <c r="AF38" s="38">
        <v>500000</v>
      </c>
      <c r="AG38" s="36">
        <v>500</v>
      </c>
      <c r="AH38" s="36">
        <v>0</v>
      </c>
      <c r="AI38" s="36">
        <v>40806</v>
      </c>
      <c r="AJ38" s="38" t="s">
        <v>174</v>
      </c>
      <c r="AK38" s="38">
        <v>1000</v>
      </c>
      <c r="AL38" s="36">
        <v>64800</v>
      </c>
      <c r="AM38" s="36">
        <v>1000</v>
      </c>
      <c r="AN38" s="36">
        <v>0</v>
      </c>
      <c r="AO38" s="36">
        <v>600</v>
      </c>
      <c r="AP38" s="36">
        <v>2500</v>
      </c>
      <c r="AQ38" s="38" t="s">
        <v>155</v>
      </c>
      <c r="AR38" s="38">
        <v>100</v>
      </c>
      <c r="AS38" s="38" t="s">
        <v>156</v>
      </c>
      <c r="AT38" s="38">
        <v>1000</v>
      </c>
      <c r="AU38" s="38">
        <v>10800</v>
      </c>
      <c r="AV38" s="38">
        <v>14400000</v>
      </c>
      <c r="AW38" s="36">
        <v>200000</v>
      </c>
      <c r="BB38" s="36" t="s">
        <v>157</v>
      </c>
      <c r="BC38" s="36" t="s">
        <v>790</v>
      </c>
      <c r="BD38" s="46"/>
      <c r="BE38" s="39" t="s">
        <v>159</v>
      </c>
      <c r="BF38" s="36">
        <v>1</v>
      </c>
      <c r="BG38" s="36" t="s">
        <v>160</v>
      </c>
      <c r="BH38" s="36" t="s">
        <v>161</v>
      </c>
      <c r="BI38" s="36" t="s">
        <v>162</v>
      </c>
      <c r="BK38" s="38">
        <v>7200</v>
      </c>
      <c r="BL38" s="38">
        <v>1800</v>
      </c>
      <c r="BM38" s="56">
        <f t="shared" si="1"/>
        <v>490</v>
      </c>
      <c r="BN38" s="36">
        <v>8</v>
      </c>
      <c r="BO38" s="35" t="s">
        <v>163</v>
      </c>
      <c r="BP38" s="36" t="s">
        <v>791</v>
      </c>
      <c r="BQ38" s="54" t="s">
        <v>157</v>
      </c>
      <c r="BR38" s="36" t="s">
        <v>792</v>
      </c>
      <c r="BS38" s="35" t="s">
        <v>163</v>
      </c>
      <c r="BT38" s="36" t="s">
        <v>793</v>
      </c>
    </row>
    <row r="39" spans="1:72" x14ac:dyDescent="0.45">
      <c r="A39" s="36">
        <v>40806</v>
      </c>
      <c r="B39" s="36" t="s">
        <v>798</v>
      </c>
      <c r="C39" s="36" t="s">
        <v>141</v>
      </c>
      <c r="D39" s="36" t="s">
        <v>142</v>
      </c>
      <c r="E39" s="36" t="s">
        <v>558</v>
      </c>
      <c r="F39" s="36" t="s">
        <v>176</v>
      </c>
      <c r="G39" s="36" t="s">
        <v>145</v>
      </c>
      <c r="H39" s="36" t="s">
        <v>146</v>
      </c>
      <c r="J39" s="36" t="s">
        <v>147</v>
      </c>
      <c r="K39" s="36">
        <v>3600</v>
      </c>
      <c r="L39" s="36" t="s">
        <v>788</v>
      </c>
      <c r="M39" s="36" t="s">
        <v>149</v>
      </c>
      <c r="N39" s="38">
        <v>5550000</v>
      </c>
      <c r="O39" s="36">
        <v>1</v>
      </c>
      <c r="P39" s="36" t="s">
        <v>150</v>
      </c>
      <c r="Q39" s="56">
        <v>300</v>
      </c>
      <c r="R39" s="42" t="s">
        <v>177</v>
      </c>
      <c r="S39" s="36" t="s">
        <v>789</v>
      </c>
      <c r="U39" s="36">
        <v>6</v>
      </c>
      <c r="AA39" s="38" t="s">
        <v>153</v>
      </c>
      <c r="AB39" s="38">
        <v>1000</v>
      </c>
      <c r="AC39" s="36">
        <v>5</v>
      </c>
      <c r="AE39" s="38">
        <v>14400000</v>
      </c>
      <c r="AF39" s="38">
        <v>500000</v>
      </c>
      <c r="AG39" s="36">
        <v>500</v>
      </c>
      <c r="AH39" s="36">
        <v>0</v>
      </c>
      <c r="AI39" s="36">
        <v>40807</v>
      </c>
      <c r="AJ39" s="38" t="s">
        <v>178</v>
      </c>
      <c r="AK39" s="38">
        <v>1000</v>
      </c>
      <c r="AL39" s="36">
        <v>75600</v>
      </c>
      <c r="AM39" s="36">
        <v>1000</v>
      </c>
      <c r="AN39" s="36">
        <v>0</v>
      </c>
      <c r="AO39" s="36">
        <v>600</v>
      </c>
      <c r="AP39" s="36">
        <v>2500</v>
      </c>
      <c r="AQ39" s="38" t="s">
        <v>155</v>
      </c>
      <c r="AR39" s="38">
        <v>100</v>
      </c>
      <c r="AS39" s="38" t="s">
        <v>156</v>
      </c>
      <c r="AT39" s="38">
        <v>1000</v>
      </c>
      <c r="AU39" s="38">
        <v>10800</v>
      </c>
      <c r="AV39" s="38">
        <v>14400000</v>
      </c>
      <c r="AW39" s="36">
        <v>200000</v>
      </c>
      <c r="BB39" s="36" t="s">
        <v>157</v>
      </c>
      <c r="BC39" s="36" t="s">
        <v>790</v>
      </c>
      <c r="BD39" s="46"/>
      <c r="BE39" s="39" t="s">
        <v>159</v>
      </c>
      <c r="BF39" s="36">
        <v>1</v>
      </c>
      <c r="BG39" s="36" t="s">
        <v>160</v>
      </c>
      <c r="BH39" s="36" t="s">
        <v>161</v>
      </c>
      <c r="BI39" s="36" t="s">
        <v>162</v>
      </c>
      <c r="BK39" s="38">
        <v>7200</v>
      </c>
      <c r="BL39" s="38">
        <v>1800</v>
      </c>
      <c r="BM39" s="56">
        <f t="shared" si="1"/>
        <v>525</v>
      </c>
      <c r="BN39" s="36">
        <v>8</v>
      </c>
      <c r="BO39" s="35" t="s">
        <v>163</v>
      </c>
      <c r="BP39" s="36" t="s">
        <v>791</v>
      </c>
      <c r="BQ39" s="54" t="s">
        <v>157</v>
      </c>
      <c r="BR39" s="36" t="s">
        <v>792</v>
      </c>
      <c r="BS39" s="35" t="s">
        <v>163</v>
      </c>
      <c r="BT39" s="36" t="s">
        <v>793</v>
      </c>
    </row>
    <row r="40" spans="1:72" x14ac:dyDescent="0.45">
      <c r="A40" s="36">
        <v>40807</v>
      </c>
      <c r="B40" s="36" t="s">
        <v>799</v>
      </c>
      <c r="C40" s="36" t="s">
        <v>141</v>
      </c>
      <c r="D40" s="36" t="s">
        <v>142</v>
      </c>
      <c r="E40" s="36" t="s">
        <v>558</v>
      </c>
      <c r="F40" s="36" t="s">
        <v>176</v>
      </c>
      <c r="G40" s="36" t="s">
        <v>145</v>
      </c>
      <c r="H40" s="36" t="s">
        <v>146</v>
      </c>
      <c r="J40" s="36" t="s">
        <v>147</v>
      </c>
      <c r="K40" s="36">
        <v>3600</v>
      </c>
      <c r="L40" s="36" t="s">
        <v>788</v>
      </c>
      <c r="M40" s="36" t="s">
        <v>149</v>
      </c>
      <c r="N40" s="38">
        <v>5850000</v>
      </c>
      <c r="O40" s="36">
        <v>1</v>
      </c>
      <c r="P40" s="36" t="s">
        <v>150</v>
      </c>
      <c r="Q40" s="56">
        <v>350</v>
      </c>
      <c r="R40" s="42" t="s">
        <v>177</v>
      </c>
      <c r="S40" s="36" t="s">
        <v>789</v>
      </c>
      <c r="U40" s="36">
        <v>7</v>
      </c>
      <c r="AA40" s="38" t="s">
        <v>153</v>
      </c>
      <c r="AB40" s="38">
        <v>1000</v>
      </c>
      <c r="AC40" s="36">
        <v>5</v>
      </c>
      <c r="AE40" s="38">
        <v>14400000</v>
      </c>
      <c r="AF40" s="38">
        <v>500000</v>
      </c>
      <c r="AG40" s="36">
        <v>500</v>
      </c>
      <c r="AH40" s="36">
        <v>0</v>
      </c>
      <c r="AI40" s="36">
        <v>40808</v>
      </c>
      <c r="AJ40" s="38" t="s">
        <v>180</v>
      </c>
      <c r="AK40" s="38">
        <v>1000</v>
      </c>
      <c r="AL40" s="36">
        <v>86400</v>
      </c>
      <c r="AM40" s="36">
        <v>1000</v>
      </c>
      <c r="AN40" s="36">
        <v>0</v>
      </c>
      <c r="AO40" s="36">
        <v>600</v>
      </c>
      <c r="AP40" s="36">
        <v>2500</v>
      </c>
      <c r="AQ40" s="38" t="s">
        <v>155</v>
      </c>
      <c r="AR40" s="38">
        <v>100</v>
      </c>
      <c r="AS40" s="38" t="s">
        <v>156</v>
      </c>
      <c r="AT40" s="38">
        <v>1000</v>
      </c>
      <c r="AU40" s="38">
        <v>10800</v>
      </c>
      <c r="AV40" s="38">
        <v>14400000</v>
      </c>
      <c r="AW40" s="36">
        <v>200000</v>
      </c>
      <c r="BB40" s="36" t="s">
        <v>157</v>
      </c>
      <c r="BC40" s="36" t="s">
        <v>790</v>
      </c>
      <c r="BD40" s="46"/>
      <c r="BE40" s="39" t="s">
        <v>159</v>
      </c>
      <c r="BF40" s="36">
        <v>1</v>
      </c>
      <c r="BG40" s="36" t="s">
        <v>160</v>
      </c>
      <c r="BH40" s="36" t="s">
        <v>161</v>
      </c>
      <c r="BI40" s="36" t="s">
        <v>162</v>
      </c>
      <c r="BK40" s="38">
        <v>7200</v>
      </c>
      <c r="BL40" s="38">
        <v>1800</v>
      </c>
      <c r="BM40" s="56">
        <f t="shared" si="1"/>
        <v>565</v>
      </c>
      <c r="BN40" s="36">
        <v>8</v>
      </c>
      <c r="BO40" s="35" t="s">
        <v>163</v>
      </c>
      <c r="BP40" s="36" t="s">
        <v>791</v>
      </c>
      <c r="BQ40" s="54" t="s">
        <v>157</v>
      </c>
      <c r="BR40" s="36" t="s">
        <v>792</v>
      </c>
      <c r="BS40" s="35" t="s">
        <v>163</v>
      </c>
      <c r="BT40" s="36" t="s">
        <v>793</v>
      </c>
    </row>
    <row r="41" spans="1:72" x14ac:dyDescent="0.45">
      <c r="A41" s="36">
        <v>40808</v>
      </c>
      <c r="B41" s="36" t="s">
        <v>800</v>
      </c>
      <c r="C41" s="36" t="s">
        <v>141</v>
      </c>
      <c r="D41" s="36" t="s">
        <v>142</v>
      </c>
      <c r="E41" s="36" t="s">
        <v>558</v>
      </c>
      <c r="F41" s="36" t="s">
        <v>176</v>
      </c>
      <c r="G41" s="36" t="s">
        <v>145</v>
      </c>
      <c r="H41" s="36" t="s">
        <v>146</v>
      </c>
      <c r="J41" s="36" t="s">
        <v>147</v>
      </c>
      <c r="K41" s="36">
        <v>3600</v>
      </c>
      <c r="L41" s="36" t="s">
        <v>788</v>
      </c>
      <c r="M41" s="36" t="s">
        <v>149</v>
      </c>
      <c r="N41" s="38">
        <v>6150000</v>
      </c>
      <c r="O41" s="36">
        <v>1</v>
      </c>
      <c r="P41" s="36" t="s">
        <v>150</v>
      </c>
      <c r="Q41" s="56">
        <v>400</v>
      </c>
      <c r="R41" s="42" t="s">
        <v>177</v>
      </c>
      <c r="S41" s="36" t="s">
        <v>789</v>
      </c>
      <c r="U41" s="36">
        <v>8</v>
      </c>
      <c r="AA41" s="38" t="s">
        <v>153</v>
      </c>
      <c r="AB41" s="38">
        <v>1000</v>
      </c>
      <c r="AC41" s="36">
        <v>5</v>
      </c>
      <c r="AE41" s="38">
        <v>14400000</v>
      </c>
      <c r="AF41" s="38">
        <v>500000</v>
      </c>
      <c r="AG41" s="36">
        <v>500</v>
      </c>
      <c r="AH41" s="36">
        <v>0</v>
      </c>
      <c r="AI41" s="36">
        <v>40809</v>
      </c>
      <c r="AJ41" s="38" t="s">
        <v>182</v>
      </c>
      <c r="AK41" s="38">
        <v>1000</v>
      </c>
      <c r="AL41" s="36">
        <v>97200</v>
      </c>
      <c r="AM41" s="36">
        <v>1000</v>
      </c>
      <c r="AN41" s="36">
        <v>0</v>
      </c>
      <c r="AO41" s="36">
        <v>600</v>
      </c>
      <c r="AP41" s="36">
        <v>2500</v>
      </c>
      <c r="AQ41" s="38" t="s">
        <v>155</v>
      </c>
      <c r="AR41" s="38">
        <v>100</v>
      </c>
      <c r="AS41" s="38" t="s">
        <v>156</v>
      </c>
      <c r="AT41" s="38">
        <v>1000</v>
      </c>
      <c r="AU41" s="38">
        <v>10800</v>
      </c>
      <c r="AV41" s="38">
        <v>14400000</v>
      </c>
      <c r="AW41" s="36">
        <v>200000</v>
      </c>
      <c r="BB41" s="36" t="s">
        <v>157</v>
      </c>
      <c r="BC41" s="36" t="s">
        <v>790</v>
      </c>
      <c r="BD41" s="46"/>
      <c r="BE41" s="39" t="s">
        <v>159</v>
      </c>
      <c r="BF41" s="36">
        <v>1</v>
      </c>
      <c r="BG41" s="36" t="s">
        <v>160</v>
      </c>
      <c r="BH41" s="36" t="s">
        <v>161</v>
      </c>
      <c r="BI41" s="36" t="s">
        <v>162</v>
      </c>
      <c r="BK41" s="38">
        <v>7200</v>
      </c>
      <c r="BL41" s="38">
        <v>1800</v>
      </c>
      <c r="BM41" s="56">
        <f t="shared" si="1"/>
        <v>610</v>
      </c>
      <c r="BN41" s="36">
        <v>8</v>
      </c>
      <c r="BO41" s="35" t="s">
        <v>163</v>
      </c>
      <c r="BP41" s="36" t="s">
        <v>791</v>
      </c>
      <c r="BQ41" s="54" t="s">
        <v>157</v>
      </c>
      <c r="BR41" s="36" t="s">
        <v>792</v>
      </c>
      <c r="BS41" s="35" t="s">
        <v>163</v>
      </c>
      <c r="BT41" s="36" t="s">
        <v>793</v>
      </c>
    </row>
    <row r="42" spans="1:72" x14ac:dyDescent="0.45">
      <c r="A42" s="36">
        <v>40809</v>
      </c>
      <c r="B42" s="36" t="s">
        <v>801</v>
      </c>
      <c r="C42" s="36" t="s">
        <v>141</v>
      </c>
      <c r="D42" s="36" t="s">
        <v>142</v>
      </c>
      <c r="E42" s="36" t="s">
        <v>558</v>
      </c>
      <c r="F42" s="36" t="s">
        <v>184</v>
      </c>
      <c r="G42" s="36" t="s">
        <v>145</v>
      </c>
      <c r="H42" s="36" t="s">
        <v>146</v>
      </c>
      <c r="J42" s="36" t="s">
        <v>147</v>
      </c>
      <c r="K42" s="36">
        <v>3600</v>
      </c>
      <c r="L42" s="36" t="s">
        <v>788</v>
      </c>
      <c r="M42" s="36" t="s">
        <v>149</v>
      </c>
      <c r="N42" s="38">
        <v>6450000</v>
      </c>
      <c r="O42" s="36">
        <v>1</v>
      </c>
      <c r="P42" s="36" t="s">
        <v>150</v>
      </c>
      <c r="Q42" s="56">
        <v>450</v>
      </c>
      <c r="R42" s="42" t="s">
        <v>177</v>
      </c>
      <c r="S42" s="36" t="s">
        <v>789</v>
      </c>
      <c r="U42" s="36">
        <v>9</v>
      </c>
      <c r="AA42" s="38" t="s">
        <v>153</v>
      </c>
      <c r="AB42" s="38">
        <v>1000</v>
      </c>
      <c r="AC42" s="36">
        <v>5</v>
      </c>
      <c r="AE42" s="38">
        <v>14400000</v>
      </c>
      <c r="AF42" s="38">
        <v>500000</v>
      </c>
      <c r="AG42" s="36">
        <v>500</v>
      </c>
      <c r="AH42" s="36">
        <v>0</v>
      </c>
      <c r="AI42" s="36">
        <v>40810</v>
      </c>
      <c r="AJ42" s="38" t="s">
        <v>185</v>
      </c>
      <c r="AK42" s="38">
        <v>1000</v>
      </c>
      <c r="AL42" s="36">
        <v>108000</v>
      </c>
      <c r="AM42" s="36">
        <v>1000</v>
      </c>
      <c r="AN42" s="36">
        <v>0</v>
      </c>
      <c r="AO42" s="36">
        <v>600</v>
      </c>
      <c r="AP42" s="36">
        <v>2500</v>
      </c>
      <c r="AQ42" s="38" t="s">
        <v>155</v>
      </c>
      <c r="AR42" s="38">
        <v>100</v>
      </c>
      <c r="AS42" s="38" t="s">
        <v>156</v>
      </c>
      <c r="AT42" s="38">
        <v>1000</v>
      </c>
      <c r="AU42" s="38">
        <v>10800</v>
      </c>
      <c r="AV42" s="38">
        <v>14400000</v>
      </c>
      <c r="AW42" s="36">
        <v>200000</v>
      </c>
      <c r="BB42" s="36" t="s">
        <v>157</v>
      </c>
      <c r="BC42" s="36" t="s">
        <v>790</v>
      </c>
      <c r="BD42" s="46"/>
      <c r="BE42" s="39" t="s">
        <v>159</v>
      </c>
      <c r="BF42" s="36">
        <v>1</v>
      </c>
      <c r="BG42" s="36" t="s">
        <v>160</v>
      </c>
      <c r="BH42" s="36" t="s">
        <v>161</v>
      </c>
      <c r="BI42" s="36" t="s">
        <v>162</v>
      </c>
      <c r="BK42" s="38">
        <v>7200</v>
      </c>
      <c r="BL42" s="38">
        <v>1800</v>
      </c>
      <c r="BM42" s="56">
        <f t="shared" si="1"/>
        <v>660</v>
      </c>
      <c r="BN42" s="36">
        <v>8</v>
      </c>
      <c r="BO42" s="35" t="s">
        <v>163</v>
      </c>
      <c r="BP42" s="36" t="s">
        <v>791</v>
      </c>
      <c r="BQ42" s="54" t="s">
        <v>157</v>
      </c>
      <c r="BR42" s="36" t="s">
        <v>792</v>
      </c>
      <c r="BS42" s="35" t="s">
        <v>163</v>
      </c>
      <c r="BT42" s="36" t="s">
        <v>793</v>
      </c>
    </row>
    <row r="43" spans="1:72" x14ac:dyDescent="0.45">
      <c r="A43" s="36">
        <v>40810</v>
      </c>
      <c r="B43" s="36" t="s">
        <v>802</v>
      </c>
      <c r="C43" s="36" t="s">
        <v>141</v>
      </c>
      <c r="D43" s="36" t="s">
        <v>142</v>
      </c>
      <c r="E43" s="36" t="s">
        <v>558</v>
      </c>
      <c r="F43" s="36" t="s">
        <v>184</v>
      </c>
      <c r="G43" s="36" t="s">
        <v>145</v>
      </c>
      <c r="H43" s="36" t="s">
        <v>146</v>
      </c>
      <c r="J43" s="36" t="s">
        <v>147</v>
      </c>
      <c r="K43" s="36">
        <v>3600</v>
      </c>
      <c r="L43" s="36" t="s">
        <v>788</v>
      </c>
      <c r="M43" s="36" t="s">
        <v>149</v>
      </c>
      <c r="N43" s="38">
        <v>6750000</v>
      </c>
      <c r="O43" s="36">
        <v>1</v>
      </c>
      <c r="P43" s="36" t="s">
        <v>150</v>
      </c>
      <c r="Q43" s="56">
        <v>500</v>
      </c>
      <c r="R43" s="42" t="s">
        <v>177</v>
      </c>
      <c r="S43" s="36" t="s">
        <v>789</v>
      </c>
      <c r="U43" s="36">
        <v>10</v>
      </c>
      <c r="AA43" s="38" t="s">
        <v>153</v>
      </c>
      <c r="AB43" s="38">
        <v>1000</v>
      </c>
      <c r="AC43" s="36">
        <v>5</v>
      </c>
      <c r="AE43" s="38">
        <v>14400000</v>
      </c>
      <c r="AF43" s="38">
        <v>500000</v>
      </c>
      <c r="AG43" s="36">
        <v>500</v>
      </c>
      <c r="AH43" s="36">
        <v>0</v>
      </c>
      <c r="AI43" s="36">
        <v>-1</v>
      </c>
      <c r="AK43" s="38">
        <v>1000</v>
      </c>
      <c r="AM43" s="36">
        <v>1000</v>
      </c>
      <c r="AN43" s="36">
        <v>0</v>
      </c>
      <c r="AO43" s="36">
        <v>600</v>
      </c>
      <c r="AP43" s="36">
        <v>2500</v>
      </c>
      <c r="AQ43" s="38" t="s">
        <v>155</v>
      </c>
      <c r="AR43" s="38">
        <v>100</v>
      </c>
      <c r="AS43" s="38" t="s">
        <v>156</v>
      </c>
      <c r="AT43" s="38">
        <v>1000</v>
      </c>
      <c r="AU43" s="38">
        <v>10800</v>
      </c>
      <c r="AV43" s="38">
        <v>14400000</v>
      </c>
      <c r="AW43" s="36">
        <v>200000</v>
      </c>
      <c r="BB43" s="36" t="s">
        <v>157</v>
      </c>
      <c r="BC43" s="36" t="s">
        <v>790</v>
      </c>
      <c r="BD43" s="46"/>
      <c r="BE43" s="39" t="s">
        <v>159</v>
      </c>
      <c r="BF43" s="36">
        <v>1</v>
      </c>
      <c r="BG43" s="36" t="s">
        <v>160</v>
      </c>
      <c r="BH43" s="36" t="s">
        <v>161</v>
      </c>
      <c r="BI43" s="36" t="s">
        <v>162</v>
      </c>
      <c r="BK43" s="38">
        <v>7200</v>
      </c>
      <c r="BL43" s="38">
        <v>1800</v>
      </c>
      <c r="BM43" s="56">
        <f t="shared" si="1"/>
        <v>715</v>
      </c>
      <c r="BN43" s="36">
        <v>8</v>
      </c>
      <c r="BO43" s="35" t="s">
        <v>163</v>
      </c>
      <c r="BP43" s="36" t="s">
        <v>791</v>
      </c>
      <c r="BQ43" s="54" t="s">
        <v>157</v>
      </c>
      <c r="BR43" s="36" t="s">
        <v>792</v>
      </c>
      <c r="BS43" s="35" t="s">
        <v>163</v>
      </c>
      <c r="BT43" s="36" t="s">
        <v>793</v>
      </c>
    </row>
  </sheetData>
  <autoFilter ref="A2:BP43" xr:uid="{00000000-0009-0000-0000-000007000000}"/>
  <phoneticPr fontId="14" type="noConversion"/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183"/>
  <sheetViews>
    <sheetView zoomScale="85" zoomScaleNormal="85" workbookViewId="0">
      <pane xSplit="2" ySplit="3" topLeftCell="K4" activePane="bottomRight" state="frozen"/>
      <selection pane="topRight"/>
      <selection pane="bottomLeft"/>
      <selection pane="bottomRight" activeCell="S101" sqref="S101"/>
    </sheetView>
  </sheetViews>
  <sheetFormatPr defaultColWidth="9" defaultRowHeight="16.5" x14ac:dyDescent="0.45"/>
  <cols>
    <col min="1" max="1" width="9" style="36"/>
    <col min="2" max="2" width="27" style="36" customWidth="1"/>
    <col min="3" max="3" width="20.08984375" style="36" customWidth="1"/>
    <col min="4" max="6" width="20.453125" style="36" customWidth="1"/>
    <col min="7" max="7" width="27.08984375" style="36" customWidth="1"/>
    <col min="8" max="8" width="25.453125" style="36" customWidth="1"/>
    <col min="9" max="10" width="19.90625" style="36" customWidth="1"/>
    <col min="11" max="11" width="13" style="37" customWidth="1"/>
    <col min="12" max="12" width="20.453125" style="36" customWidth="1"/>
    <col min="13" max="13" width="9.90625" style="38" customWidth="1"/>
    <col min="14" max="14" width="18.90625" style="36" customWidth="1"/>
    <col min="15" max="15" width="18" style="36" customWidth="1"/>
    <col min="16" max="16" width="15.453125" style="38" customWidth="1"/>
    <col min="17" max="17" width="12.90625" style="39" customWidth="1"/>
    <col min="18" max="18" width="36" style="36" customWidth="1"/>
    <col min="19" max="19" width="16.90625" style="36" customWidth="1"/>
    <col min="20" max="20" width="6" style="36" customWidth="1"/>
    <col min="21" max="21" width="9" style="36" customWidth="1"/>
    <col min="22" max="22" width="11.08984375" style="36" customWidth="1"/>
    <col min="23" max="23" width="13.08984375" style="36" customWidth="1"/>
    <col min="24" max="24" width="19.453125" style="36" customWidth="1"/>
    <col min="25" max="25" width="21.453125" style="36" customWidth="1"/>
    <col min="26" max="26" width="95.36328125" style="38" customWidth="1"/>
    <col min="27" max="27" width="37.08984375" style="38" customWidth="1"/>
    <col min="28" max="29" width="15.90625" style="36" customWidth="1"/>
    <col min="30" max="30" width="17.453125" style="38" customWidth="1"/>
    <col min="31" max="31" width="39" style="38" customWidth="1"/>
    <col min="32" max="32" width="39" style="36" customWidth="1"/>
    <col min="33" max="33" width="20.90625" style="36" customWidth="1"/>
    <col min="34" max="34" width="22.453125" style="36" customWidth="1"/>
    <col min="35" max="35" width="100.7265625" style="38" customWidth="1"/>
    <col min="36" max="36" width="38.90625" style="38" customWidth="1"/>
    <col min="37" max="37" width="29.08984375" style="36" customWidth="1"/>
    <col min="38" max="38" width="43.08984375" style="36" customWidth="1"/>
    <col min="39" max="39" width="37.08984375" style="36" customWidth="1"/>
    <col min="40" max="40" width="30.08984375" style="36" customWidth="1"/>
    <col min="41" max="41" width="37" style="36" customWidth="1"/>
    <col min="42" max="42" width="67.453125" style="38" customWidth="1"/>
    <col min="43" max="43" width="13.7265625" style="38" customWidth="1"/>
    <col min="44" max="44" width="94.90625" style="38" customWidth="1"/>
    <col min="45" max="45" width="38.90625" style="38" customWidth="1"/>
    <col min="46" max="47" width="29.08984375" style="38" customWidth="1"/>
    <col min="48" max="48" width="40.453125" style="36" customWidth="1"/>
    <col min="49" max="49" width="21.90625" style="36" customWidth="1"/>
    <col min="50" max="50" width="29.90625" style="36" customWidth="1"/>
    <col min="51" max="51" width="10.90625" style="36" customWidth="1"/>
    <col min="52" max="52" width="38.08984375" style="36" customWidth="1"/>
    <col min="53" max="53" width="27.08984375" style="36" customWidth="1"/>
    <col min="54" max="54" width="33.08984375" style="36" customWidth="1"/>
    <col min="55" max="55" width="15.08984375" style="40" customWidth="1"/>
    <col min="56" max="56" width="63.08984375" style="39" customWidth="1"/>
    <col min="57" max="57" width="24.453125" style="36" customWidth="1"/>
    <col min="58" max="58" width="49.90625" style="36" customWidth="1"/>
    <col min="59" max="59" width="27.08984375" style="36" customWidth="1"/>
    <col min="60" max="60" width="31.90625" style="36" customWidth="1"/>
    <col min="61" max="61" width="20.90625" customWidth="1"/>
    <col min="62" max="63" width="16.6328125" style="41" customWidth="1"/>
    <col min="64" max="64" width="21.6328125" style="36" customWidth="1"/>
    <col min="65" max="65" width="9" style="36"/>
    <col min="66" max="66" width="18.90625" style="36" customWidth="1"/>
    <col min="67" max="67" width="18.36328125" style="36" customWidth="1"/>
    <col min="68" max="68" width="26.7265625" style="36" customWidth="1"/>
    <col min="69" max="69" width="26.26953125" style="36" customWidth="1"/>
    <col min="70" max="16384" width="9" style="36"/>
  </cols>
  <sheetData>
    <row r="1" spans="1:69" x14ac:dyDescent="0.45">
      <c r="A1" s="40"/>
      <c r="B1" s="40"/>
    </row>
    <row r="2" spans="1:69" ht="49.5" x14ac:dyDescent="0.45">
      <c r="A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7" t="s">
        <v>12</v>
      </c>
      <c r="L2" s="36" t="s">
        <v>13</v>
      </c>
      <c r="M2" s="38" t="s">
        <v>14</v>
      </c>
      <c r="N2" s="36" t="s">
        <v>15</v>
      </c>
      <c r="O2" s="36" t="s">
        <v>16</v>
      </c>
      <c r="P2" s="38" t="s">
        <v>17</v>
      </c>
      <c r="Q2" s="39" t="s">
        <v>18</v>
      </c>
      <c r="R2" s="36" t="s">
        <v>19</v>
      </c>
      <c r="S2" s="36" t="s">
        <v>20</v>
      </c>
      <c r="T2" s="36" t="s">
        <v>21</v>
      </c>
      <c r="U2" s="36" t="s">
        <v>22</v>
      </c>
      <c r="V2" s="36" t="s">
        <v>23</v>
      </c>
      <c r="W2" s="36" t="s">
        <v>24</v>
      </c>
      <c r="X2" s="36" t="s">
        <v>25</v>
      </c>
      <c r="Y2" s="36" t="s">
        <v>26</v>
      </c>
      <c r="Z2" s="38" t="s">
        <v>27</v>
      </c>
      <c r="AA2" s="38" t="s">
        <v>28</v>
      </c>
      <c r="AB2" s="36" t="s">
        <v>29</v>
      </c>
      <c r="AC2" s="36" t="s">
        <v>30</v>
      </c>
      <c r="AD2" s="38" t="s">
        <v>31</v>
      </c>
      <c r="AE2" s="38" t="s">
        <v>32</v>
      </c>
      <c r="AF2" s="36" t="s">
        <v>33</v>
      </c>
      <c r="AG2" s="36" t="s">
        <v>34</v>
      </c>
      <c r="AH2" s="36" t="s">
        <v>35</v>
      </c>
      <c r="AI2" s="38" t="s">
        <v>36</v>
      </c>
      <c r="AJ2" s="38" t="s">
        <v>37</v>
      </c>
      <c r="AK2" s="36" t="s">
        <v>38</v>
      </c>
      <c r="AL2" s="36" t="s">
        <v>39</v>
      </c>
      <c r="AM2" s="36" t="s">
        <v>40</v>
      </c>
      <c r="AN2" s="36" t="s">
        <v>41</v>
      </c>
      <c r="AO2" s="36" t="s">
        <v>42</v>
      </c>
      <c r="AP2" s="38" t="s">
        <v>43</v>
      </c>
      <c r="AQ2" s="38" t="s">
        <v>44</v>
      </c>
      <c r="AR2" s="38" t="s">
        <v>45</v>
      </c>
      <c r="AS2" s="38" t="s">
        <v>46</v>
      </c>
      <c r="AT2" s="44" t="s">
        <v>47</v>
      </c>
      <c r="AU2" s="38" t="s">
        <v>48</v>
      </c>
      <c r="AV2" s="36" t="s">
        <v>49</v>
      </c>
      <c r="AW2" s="45" t="s">
        <v>50</v>
      </c>
      <c r="AX2" s="45" t="s">
        <v>51</v>
      </c>
      <c r="AY2" s="36" t="s">
        <v>52</v>
      </c>
      <c r="AZ2" s="36" t="s">
        <v>53</v>
      </c>
      <c r="BA2" s="36" t="s">
        <v>54</v>
      </c>
      <c r="BB2" s="36" t="s">
        <v>55</v>
      </c>
      <c r="BC2" s="40" t="s">
        <v>56</v>
      </c>
      <c r="BD2" s="39" t="s">
        <v>57</v>
      </c>
      <c r="BE2" s="36" t="s">
        <v>58</v>
      </c>
      <c r="BF2" s="36" t="s">
        <v>59</v>
      </c>
      <c r="BG2" s="36" t="s">
        <v>60</v>
      </c>
      <c r="BH2" s="36" t="s">
        <v>61</v>
      </c>
      <c r="BI2" s="49" t="s">
        <v>62</v>
      </c>
      <c r="BJ2" s="50" t="s">
        <v>63</v>
      </c>
      <c r="BK2" s="50" t="s">
        <v>64</v>
      </c>
      <c r="BL2" s="51" t="s">
        <v>65</v>
      </c>
      <c r="BM2" s="36" t="s">
        <v>66</v>
      </c>
      <c r="BO2" s="36" t="s">
        <v>67</v>
      </c>
    </row>
    <row r="3" spans="1:69" x14ac:dyDescent="0.45">
      <c r="A3" s="36" t="s">
        <v>2</v>
      </c>
      <c r="C3" s="36" t="s">
        <v>70</v>
      </c>
      <c r="D3" s="36" t="s">
        <v>71</v>
      </c>
      <c r="E3" s="36" t="s">
        <v>72</v>
      </c>
      <c r="F3" s="36" t="s">
        <v>73</v>
      </c>
      <c r="G3" s="36" t="s">
        <v>74</v>
      </c>
      <c r="H3" s="36" t="s">
        <v>75</v>
      </c>
      <c r="I3" s="36" t="s">
        <v>76</v>
      </c>
      <c r="J3" s="36" t="s">
        <v>77</v>
      </c>
      <c r="K3" s="37" t="s">
        <v>79</v>
      </c>
      <c r="L3" s="36" t="s">
        <v>80</v>
      </c>
      <c r="M3" s="38" t="s">
        <v>81</v>
      </c>
      <c r="N3" s="36" t="s">
        <v>82</v>
      </c>
      <c r="O3" s="36" t="s">
        <v>83</v>
      </c>
      <c r="P3" s="38" t="s">
        <v>84</v>
      </c>
      <c r="Q3" s="39" t="s">
        <v>85</v>
      </c>
      <c r="R3" s="36" t="s">
        <v>86</v>
      </c>
      <c r="S3" s="36" t="s">
        <v>87</v>
      </c>
      <c r="T3" s="36" t="s">
        <v>88</v>
      </c>
      <c r="U3" s="36" t="s">
        <v>89</v>
      </c>
      <c r="V3" s="36" t="s">
        <v>90</v>
      </c>
      <c r="W3" s="36" t="s">
        <v>91</v>
      </c>
      <c r="X3" s="36" t="s">
        <v>92</v>
      </c>
      <c r="Y3" s="36" t="s">
        <v>93</v>
      </c>
      <c r="Z3" s="43" t="s">
        <v>94</v>
      </c>
      <c r="AA3" s="43" t="s">
        <v>95</v>
      </c>
      <c r="AB3" s="36" t="s">
        <v>96</v>
      </c>
      <c r="AC3" s="36" t="s">
        <v>97</v>
      </c>
      <c r="AD3" s="38" t="s">
        <v>98</v>
      </c>
      <c r="AE3" s="38" t="s">
        <v>99</v>
      </c>
      <c r="AF3" s="36" t="s">
        <v>100</v>
      </c>
      <c r="AG3" s="36" t="s">
        <v>101</v>
      </c>
      <c r="AH3" s="36" t="s">
        <v>102</v>
      </c>
      <c r="AI3" s="38" t="s">
        <v>103</v>
      </c>
      <c r="AJ3" s="38" t="s">
        <v>104</v>
      </c>
      <c r="AK3" s="36" t="s">
        <v>105</v>
      </c>
      <c r="AL3" s="36" t="s">
        <v>106</v>
      </c>
      <c r="AM3" s="36" t="s">
        <v>107</v>
      </c>
      <c r="AN3" s="36" t="s">
        <v>108</v>
      </c>
      <c r="AO3" s="36" t="s">
        <v>109</v>
      </c>
      <c r="AP3" s="38" t="s">
        <v>110</v>
      </c>
      <c r="AQ3" s="38" t="s">
        <v>111</v>
      </c>
      <c r="AR3" s="38" t="s">
        <v>112</v>
      </c>
      <c r="AS3" s="38" t="s">
        <v>113</v>
      </c>
      <c r="AT3" s="38" t="s">
        <v>114</v>
      </c>
      <c r="AU3" s="38" t="s">
        <v>115</v>
      </c>
      <c r="AV3" s="36" t="s">
        <v>116</v>
      </c>
      <c r="AW3" s="45" t="s">
        <v>117</v>
      </c>
      <c r="AX3" s="45" t="s">
        <v>118</v>
      </c>
      <c r="AY3" s="36" t="s">
        <v>119</v>
      </c>
      <c r="AZ3" s="36" t="s">
        <v>120</v>
      </c>
      <c r="BA3" s="36" t="s">
        <v>121</v>
      </c>
      <c r="BB3" s="36" t="s">
        <v>122</v>
      </c>
      <c r="BC3" s="40" t="s">
        <v>123</v>
      </c>
      <c r="BD3" s="39" t="s">
        <v>124</v>
      </c>
      <c r="BE3" s="36" t="s">
        <v>125</v>
      </c>
      <c r="BF3" s="36" t="s">
        <v>126</v>
      </c>
      <c r="BG3" s="36" t="s">
        <v>127</v>
      </c>
      <c r="BH3" s="36" t="s">
        <v>128</v>
      </c>
      <c r="BI3" s="36" t="s">
        <v>129</v>
      </c>
      <c r="BJ3" s="38" t="s">
        <v>130</v>
      </c>
      <c r="BK3" s="38" t="s">
        <v>131</v>
      </c>
      <c r="BL3" s="36" t="s">
        <v>132</v>
      </c>
      <c r="BM3" s="36" t="s">
        <v>133</v>
      </c>
      <c r="BN3" s="36" t="s">
        <v>134</v>
      </c>
      <c r="BO3" s="36" t="s">
        <v>135</v>
      </c>
      <c r="BP3" s="36" t="s">
        <v>136</v>
      </c>
      <c r="BQ3" s="36" t="s">
        <v>137</v>
      </c>
    </row>
    <row r="4" spans="1:69" x14ac:dyDescent="0.45">
      <c r="A4" s="36">
        <v>40101</v>
      </c>
      <c r="B4" s="36" t="s">
        <v>803</v>
      </c>
      <c r="C4" s="36" t="s">
        <v>141</v>
      </c>
      <c r="D4" s="36" t="s">
        <v>142</v>
      </c>
      <c r="E4" s="36" t="s">
        <v>701</v>
      </c>
      <c r="F4" s="36" t="s">
        <v>144</v>
      </c>
      <c r="G4" s="36" t="s">
        <v>145</v>
      </c>
      <c r="H4" s="36" t="s">
        <v>146</v>
      </c>
      <c r="J4" s="36" t="s">
        <v>147</v>
      </c>
      <c r="K4" s="36" t="s">
        <v>804</v>
      </c>
      <c r="L4" s="36" t="s">
        <v>149</v>
      </c>
      <c r="M4" s="38">
        <v>2700000</v>
      </c>
      <c r="N4" s="36">
        <v>1</v>
      </c>
      <c r="O4" s="36" t="s">
        <v>150</v>
      </c>
      <c r="P4" s="38">
        <v>50</v>
      </c>
      <c r="Q4" s="36" t="s">
        <v>805</v>
      </c>
      <c r="R4" s="36" t="s">
        <v>806</v>
      </c>
      <c r="T4" s="36">
        <v>1</v>
      </c>
      <c r="Z4" s="38" t="s">
        <v>807</v>
      </c>
      <c r="AA4" s="38">
        <v>1000</v>
      </c>
      <c r="AB4" s="36">
        <v>5</v>
      </c>
      <c r="AD4" s="38">
        <v>2700000</v>
      </c>
      <c r="AE4" s="38">
        <v>500000</v>
      </c>
      <c r="AF4" s="36">
        <v>500</v>
      </c>
      <c r="AG4" s="36">
        <v>0</v>
      </c>
      <c r="AH4" s="36">
        <v>40102</v>
      </c>
      <c r="AI4" s="38" t="s">
        <v>808</v>
      </c>
      <c r="AJ4" s="38">
        <v>1000</v>
      </c>
      <c r="AK4" s="36">
        <v>21600</v>
      </c>
      <c r="AL4" s="36">
        <v>1000</v>
      </c>
      <c r="AM4" s="36">
        <v>500</v>
      </c>
      <c r="AN4" s="36">
        <v>600</v>
      </c>
      <c r="AO4" s="36">
        <v>2500</v>
      </c>
      <c r="AP4" s="38" t="s">
        <v>155</v>
      </c>
      <c r="AQ4" s="38">
        <v>100</v>
      </c>
      <c r="AR4" s="38" t="s">
        <v>809</v>
      </c>
      <c r="AS4" s="38">
        <v>2000</v>
      </c>
      <c r="AT4" s="38">
        <v>10800</v>
      </c>
      <c r="AU4" s="38">
        <v>2700000</v>
      </c>
      <c r="AV4" s="36">
        <v>200000</v>
      </c>
      <c r="BA4" s="36" t="s">
        <v>157</v>
      </c>
      <c r="BB4" s="36" t="s">
        <v>810</v>
      </c>
      <c r="BC4" s="46"/>
      <c r="BD4" s="39" t="s">
        <v>811</v>
      </c>
      <c r="BE4" s="36">
        <v>1</v>
      </c>
      <c r="BF4" s="36" t="s">
        <v>160</v>
      </c>
      <c r="BG4" s="36" t="s">
        <v>161</v>
      </c>
      <c r="BH4" s="36" t="s">
        <v>162</v>
      </c>
      <c r="BJ4" s="38">
        <v>7200</v>
      </c>
      <c r="BK4" s="38">
        <v>1800</v>
      </c>
      <c r="BL4" s="36">
        <v>400</v>
      </c>
      <c r="BM4" s="36">
        <v>1</v>
      </c>
      <c r="BN4" s="35" t="s">
        <v>157</v>
      </c>
      <c r="BO4" s="36" t="s">
        <v>812</v>
      </c>
      <c r="BP4" s="54" t="s">
        <v>157</v>
      </c>
      <c r="BQ4" s="36" t="s">
        <v>813</v>
      </c>
    </row>
    <row r="5" spans="1:69" x14ac:dyDescent="0.45">
      <c r="A5" s="36">
        <v>40102</v>
      </c>
      <c r="B5" s="36" t="s">
        <v>814</v>
      </c>
      <c r="C5" s="36" t="s">
        <v>141</v>
      </c>
      <c r="D5" s="36" t="s">
        <v>142</v>
      </c>
      <c r="E5" s="36" t="s">
        <v>701</v>
      </c>
      <c r="F5" s="36" t="s">
        <v>144</v>
      </c>
      <c r="G5" s="36" t="s">
        <v>145</v>
      </c>
      <c r="H5" s="36" t="s">
        <v>146</v>
      </c>
      <c r="J5" s="36" t="s">
        <v>147</v>
      </c>
      <c r="K5" s="36" t="s">
        <v>804</v>
      </c>
      <c r="L5" s="36" t="s">
        <v>149</v>
      </c>
      <c r="M5" s="38">
        <v>2900000</v>
      </c>
      <c r="N5" s="36">
        <v>1</v>
      </c>
      <c r="O5" s="36" t="s">
        <v>150</v>
      </c>
      <c r="P5" s="38">
        <v>100</v>
      </c>
      <c r="Q5" s="36" t="s">
        <v>805</v>
      </c>
      <c r="R5" s="36" t="s">
        <v>806</v>
      </c>
      <c r="T5" s="36">
        <v>2</v>
      </c>
      <c r="Z5" s="38" t="s">
        <v>807</v>
      </c>
      <c r="AA5" s="38">
        <v>1000</v>
      </c>
      <c r="AB5" s="36">
        <v>5</v>
      </c>
      <c r="AD5" s="38">
        <v>2700000</v>
      </c>
      <c r="AE5" s="38">
        <v>500000</v>
      </c>
      <c r="AF5" s="36">
        <v>500</v>
      </c>
      <c r="AG5" s="36">
        <v>0</v>
      </c>
      <c r="AH5" s="36">
        <v>40103</v>
      </c>
      <c r="AI5" s="38" t="s">
        <v>815</v>
      </c>
      <c r="AJ5" s="38">
        <v>1000</v>
      </c>
      <c r="AK5" s="36">
        <v>21600</v>
      </c>
      <c r="AL5" s="36">
        <v>1000</v>
      </c>
      <c r="AM5" s="36">
        <v>500</v>
      </c>
      <c r="AN5" s="36">
        <v>600</v>
      </c>
      <c r="AO5" s="36">
        <v>2500</v>
      </c>
      <c r="AP5" s="38" t="s">
        <v>155</v>
      </c>
      <c r="AQ5" s="38">
        <v>100</v>
      </c>
      <c r="AR5" s="38" t="s">
        <v>809</v>
      </c>
      <c r="AS5" s="38">
        <v>2000</v>
      </c>
      <c r="AT5" s="38">
        <v>10800</v>
      </c>
      <c r="AU5" s="38">
        <v>2700000</v>
      </c>
      <c r="AV5" s="36">
        <v>200000</v>
      </c>
      <c r="BA5" s="36" t="s">
        <v>157</v>
      </c>
      <c r="BB5" s="36" t="s">
        <v>810</v>
      </c>
      <c r="BC5" s="46"/>
      <c r="BD5" s="39" t="s">
        <v>811</v>
      </c>
      <c r="BE5" s="36">
        <v>1</v>
      </c>
      <c r="BF5" s="36" t="s">
        <v>160</v>
      </c>
      <c r="BG5" s="36" t="s">
        <v>161</v>
      </c>
      <c r="BH5" s="36" t="s">
        <v>162</v>
      </c>
      <c r="BJ5" s="38">
        <v>7200</v>
      </c>
      <c r="BK5" s="38">
        <v>1800</v>
      </c>
      <c r="BL5" s="36">
        <v>415</v>
      </c>
      <c r="BM5" s="36">
        <v>1</v>
      </c>
      <c r="BN5" s="35" t="s">
        <v>157</v>
      </c>
      <c r="BO5" s="36" t="s">
        <v>812</v>
      </c>
      <c r="BP5" s="54" t="s">
        <v>157</v>
      </c>
      <c r="BQ5" s="36" t="s">
        <v>813</v>
      </c>
    </row>
    <row r="6" spans="1:69" x14ac:dyDescent="0.45">
      <c r="A6" s="36">
        <v>40103</v>
      </c>
      <c r="B6" s="36" t="s">
        <v>816</v>
      </c>
      <c r="C6" s="36" t="s">
        <v>141</v>
      </c>
      <c r="D6" s="36" t="s">
        <v>142</v>
      </c>
      <c r="E6" s="36" t="s">
        <v>701</v>
      </c>
      <c r="F6" s="36" t="s">
        <v>144</v>
      </c>
      <c r="G6" s="36" t="s">
        <v>145</v>
      </c>
      <c r="H6" s="36" t="s">
        <v>146</v>
      </c>
      <c r="J6" s="36" t="s">
        <v>147</v>
      </c>
      <c r="K6" s="36" t="s">
        <v>804</v>
      </c>
      <c r="L6" s="36" t="s">
        <v>149</v>
      </c>
      <c r="M6" s="38">
        <v>3100000</v>
      </c>
      <c r="N6" s="36">
        <v>1</v>
      </c>
      <c r="O6" s="36" t="s">
        <v>150</v>
      </c>
      <c r="P6" s="38">
        <v>150</v>
      </c>
      <c r="Q6" s="36" t="s">
        <v>805</v>
      </c>
      <c r="R6" s="36" t="s">
        <v>806</v>
      </c>
      <c r="T6" s="36">
        <v>3</v>
      </c>
      <c r="Z6" s="38" t="s">
        <v>807</v>
      </c>
      <c r="AA6" s="38">
        <v>1000</v>
      </c>
      <c r="AB6" s="36">
        <v>5</v>
      </c>
      <c r="AD6" s="38">
        <v>2700000</v>
      </c>
      <c r="AE6" s="38">
        <v>500000</v>
      </c>
      <c r="AF6" s="36">
        <v>500</v>
      </c>
      <c r="AG6" s="36">
        <v>0</v>
      </c>
      <c r="AH6" s="36">
        <v>40104</v>
      </c>
      <c r="AI6" s="38" t="s">
        <v>817</v>
      </c>
      <c r="AJ6" s="38">
        <v>1000</v>
      </c>
      <c r="AK6" s="36">
        <v>32400</v>
      </c>
      <c r="AL6" s="36">
        <v>1000</v>
      </c>
      <c r="AM6" s="36">
        <v>500</v>
      </c>
      <c r="AN6" s="36">
        <v>600</v>
      </c>
      <c r="AO6" s="36">
        <v>2500</v>
      </c>
      <c r="AP6" s="38" t="s">
        <v>155</v>
      </c>
      <c r="AQ6" s="38">
        <v>100</v>
      </c>
      <c r="AR6" s="38" t="s">
        <v>809</v>
      </c>
      <c r="AS6" s="38">
        <v>2000</v>
      </c>
      <c r="AT6" s="38">
        <v>10800</v>
      </c>
      <c r="AU6" s="38">
        <v>2700000</v>
      </c>
      <c r="AV6" s="36">
        <v>200000</v>
      </c>
      <c r="BA6" s="36" t="s">
        <v>157</v>
      </c>
      <c r="BB6" s="36" t="s">
        <v>810</v>
      </c>
      <c r="BC6" s="46"/>
      <c r="BD6" s="39" t="s">
        <v>811</v>
      </c>
      <c r="BE6" s="36">
        <v>1</v>
      </c>
      <c r="BF6" s="36" t="s">
        <v>160</v>
      </c>
      <c r="BG6" s="36" t="s">
        <v>161</v>
      </c>
      <c r="BH6" s="36" t="s">
        <v>162</v>
      </c>
      <c r="BJ6" s="38">
        <v>7200</v>
      </c>
      <c r="BK6" s="38">
        <v>1800</v>
      </c>
      <c r="BL6" s="36">
        <v>435</v>
      </c>
      <c r="BM6" s="36">
        <v>1</v>
      </c>
      <c r="BN6" s="35" t="s">
        <v>157</v>
      </c>
      <c r="BO6" s="36" t="s">
        <v>812</v>
      </c>
      <c r="BP6" s="54" t="s">
        <v>157</v>
      </c>
      <c r="BQ6" s="36" t="s">
        <v>813</v>
      </c>
    </row>
    <row r="7" spans="1:69" x14ac:dyDescent="0.45">
      <c r="A7" s="36">
        <v>40104</v>
      </c>
      <c r="B7" s="36" t="s">
        <v>818</v>
      </c>
      <c r="C7" s="36" t="s">
        <v>141</v>
      </c>
      <c r="D7" s="36" t="s">
        <v>142</v>
      </c>
      <c r="E7" s="36" t="s">
        <v>701</v>
      </c>
      <c r="F7" s="36" t="s">
        <v>144</v>
      </c>
      <c r="G7" s="36" t="s">
        <v>145</v>
      </c>
      <c r="H7" s="36" t="s">
        <v>146</v>
      </c>
      <c r="J7" s="36" t="s">
        <v>147</v>
      </c>
      <c r="K7" s="36" t="s">
        <v>804</v>
      </c>
      <c r="L7" s="36" t="s">
        <v>149</v>
      </c>
      <c r="M7" s="38">
        <v>3300000</v>
      </c>
      <c r="N7" s="36">
        <v>1</v>
      </c>
      <c r="O7" s="36" t="s">
        <v>150</v>
      </c>
      <c r="P7" s="38">
        <v>200</v>
      </c>
      <c r="Q7" s="36" t="s">
        <v>805</v>
      </c>
      <c r="R7" s="36" t="s">
        <v>806</v>
      </c>
      <c r="T7" s="36">
        <v>4</v>
      </c>
      <c r="Z7" s="38" t="s">
        <v>807</v>
      </c>
      <c r="AA7" s="38">
        <v>1000</v>
      </c>
      <c r="AB7" s="36">
        <v>5</v>
      </c>
      <c r="AD7" s="38">
        <v>2700000</v>
      </c>
      <c r="AE7" s="38">
        <v>500000</v>
      </c>
      <c r="AF7" s="36">
        <v>500</v>
      </c>
      <c r="AG7" s="36">
        <v>0</v>
      </c>
      <c r="AH7" s="36">
        <v>40105</v>
      </c>
      <c r="AI7" s="38" t="s">
        <v>819</v>
      </c>
      <c r="AJ7" s="38">
        <v>1000</v>
      </c>
      <c r="AK7" s="36">
        <v>43200</v>
      </c>
      <c r="AL7" s="36">
        <v>1000</v>
      </c>
      <c r="AM7" s="36">
        <v>500</v>
      </c>
      <c r="AN7" s="36">
        <v>600</v>
      </c>
      <c r="AO7" s="36">
        <v>2500</v>
      </c>
      <c r="AP7" s="38" t="s">
        <v>155</v>
      </c>
      <c r="AQ7" s="38">
        <v>100</v>
      </c>
      <c r="AR7" s="38" t="s">
        <v>809</v>
      </c>
      <c r="AS7" s="38">
        <v>2000</v>
      </c>
      <c r="AT7" s="38">
        <v>10800</v>
      </c>
      <c r="AU7" s="38">
        <v>2700000</v>
      </c>
      <c r="AV7" s="36">
        <v>200000</v>
      </c>
      <c r="BA7" s="36" t="s">
        <v>157</v>
      </c>
      <c r="BB7" s="36" t="s">
        <v>810</v>
      </c>
      <c r="BC7" s="46"/>
      <c r="BD7" s="39" t="s">
        <v>811</v>
      </c>
      <c r="BE7" s="36">
        <v>1</v>
      </c>
      <c r="BF7" s="36" t="s">
        <v>160</v>
      </c>
      <c r="BG7" s="36" t="s">
        <v>161</v>
      </c>
      <c r="BH7" s="36" t="s">
        <v>162</v>
      </c>
      <c r="BJ7" s="38">
        <v>7200</v>
      </c>
      <c r="BK7" s="38">
        <v>1800</v>
      </c>
      <c r="BL7" s="36">
        <v>460</v>
      </c>
      <c r="BM7" s="36">
        <v>1</v>
      </c>
      <c r="BN7" s="35" t="s">
        <v>157</v>
      </c>
      <c r="BO7" s="36" t="s">
        <v>812</v>
      </c>
      <c r="BP7" s="54" t="s">
        <v>157</v>
      </c>
      <c r="BQ7" s="36" t="s">
        <v>813</v>
      </c>
    </row>
    <row r="8" spans="1:69" x14ac:dyDescent="0.45">
      <c r="A8" s="36">
        <v>40105</v>
      </c>
      <c r="B8" s="36" t="s">
        <v>820</v>
      </c>
      <c r="C8" s="36" t="s">
        <v>141</v>
      </c>
      <c r="D8" s="36" t="s">
        <v>142</v>
      </c>
      <c r="E8" s="36" t="s">
        <v>701</v>
      </c>
      <c r="F8" s="36" t="s">
        <v>144</v>
      </c>
      <c r="G8" s="36" t="s">
        <v>145</v>
      </c>
      <c r="H8" s="36" t="s">
        <v>146</v>
      </c>
      <c r="J8" s="36" t="s">
        <v>147</v>
      </c>
      <c r="K8" s="36" t="s">
        <v>804</v>
      </c>
      <c r="L8" s="36" t="s">
        <v>149</v>
      </c>
      <c r="M8" s="38">
        <v>3500000</v>
      </c>
      <c r="N8" s="36">
        <v>1</v>
      </c>
      <c r="O8" s="36" t="s">
        <v>150</v>
      </c>
      <c r="P8" s="38">
        <v>250</v>
      </c>
      <c r="Q8" s="36" t="s">
        <v>805</v>
      </c>
      <c r="R8" s="36" t="s">
        <v>806</v>
      </c>
      <c r="T8" s="36">
        <v>5</v>
      </c>
      <c r="Z8" s="38" t="s">
        <v>807</v>
      </c>
      <c r="AA8" s="38">
        <v>1000</v>
      </c>
      <c r="AB8" s="36">
        <v>5</v>
      </c>
      <c r="AD8" s="38">
        <v>2700000</v>
      </c>
      <c r="AE8" s="38">
        <v>500000</v>
      </c>
      <c r="AF8" s="36">
        <v>500</v>
      </c>
      <c r="AG8" s="36">
        <v>0</v>
      </c>
      <c r="AH8" s="36">
        <v>40106</v>
      </c>
      <c r="AI8" s="38" t="s">
        <v>821</v>
      </c>
      <c r="AJ8" s="38">
        <v>1000</v>
      </c>
      <c r="AK8" s="36">
        <v>54000</v>
      </c>
      <c r="AL8" s="36">
        <v>1000</v>
      </c>
      <c r="AM8" s="36">
        <v>500</v>
      </c>
      <c r="AN8" s="36">
        <v>600</v>
      </c>
      <c r="AO8" s="36">
        <v>2500</v>
      </c>
      <c r="AP8" s="38" t="s">
        <v>155</v>
      </c>
      <c r="AQ8" s="38">
        <v>100</v>
      </c>
      <c r="AR8" s="38" t="s">
        <v>809</v>
      </c>
      <c r="AS8" s="38">
        <v>2000</v>
      </c>
      <c r="AT8" s="38">
        <v>10800</v>
      </c>
      <c r="AU8" s="38">
        <v>2700000</v>
      </c>
      <c r="AV8" s="36">
        <v>200000</v>
      </c>
      <c r="BA8" s="36" t="s">
        <v>157</v>
      </c>
      <c r="BB8" s="36" t="s">
        <v>810</v>
      </c>
      <c r="BC8" s="46"/>
      <c r="BD8" s="39" t="s">
        <v>811</v>
      </c>
      <c r="BE8" s="36">
        <v>1</v>
      </c>
      <c r="BF8" s="36" t="s">
        <v>160</v>
      </c>
      <c r="BG8" s="36" t="s">
        <v>161</v>
      </c>
      <c r="BH8" s="36" t="s">
        <v>162</v>
      </c>
      <c r="BJ8" s="38">
        <v>7200</v>
      </c>
      <c r="BK8" s="38">
        <v>1800</v>
      </c>
      <c r="BL8" s="36">
        <v>490</v>
      </c>
      <c r="BM8" s="36">
        <v>1</v>
      </c>
      <c r="BN8" s="35" t="s">
        <v>157</v>
      </c>
      <c r="BO8" s="36" t="s">
        <v>812</v>
      </c>
      <c r="BP8" s="54" t="s">
        <v>157</v>
      </c>
      <c r="BQ8" s="36" t="s">
        <v>813</v>
      </c>
    </row>
    <row r="9" spans="1:69" x14ac:dyDescent="0.45">
      <c r="A9" s="36">
        <v>40106</v>
      </c>
      <c r="B9" s="36" t="s">
        <v>822</v>
      </c>
      <c r="C9" s="36" t="s">
        <v>141</v>
      </c>
      <c r="D9" s="36" t="s">
        <v>142</v>
      </c>
      <c r="E9" s="36" t="s">
        <v>701</v>
      </c>
      <c r="F9" s="36" t="s">
        <v>144</v>
      </c>
      <c r="G9" s="36" t="s">
        <v>145</v>
      </c>
      <c r="H9" s="36" t="s">
        <v>146</v>
      </c>
      <c r="J9" s="36" t="s">
        <v>147</v>
      </c>
      <c r="K9" s="36" t="s">
        <v>804</v>
      </c>
      <c r="L9" s="36" t="s">
        <v>149</v>
      </c>
      <c r="M9" s="38">
        <v>3700000</v>
      </c>
      <c r="N9" s="36">
        <v>1</v>
      </c>
      <c r="O9" s="36" t="s">
        <v>150</v>
      </c>
      <c r="P9" s="38">
        <v>300</v>
      </c>
      <c r="Q9" s="42" t="s">
        <v>823</v>
      </c>
      <c r="R9" s="36" t="s">
        <v>806</v>
      </c>
      <c r="T9" s="36">
        <v>6</v>
      </c>
      <c r="Z9" s="38" t="s">
        <v>807</v>
      </c>
      <c r="AA9" s="38">
        <v>1000</v>
      </c>
      <c r="AB9" s="36">
        <v>5</v>
      </c>
      <c r="AD9" s="38">
        <v>2700000</v>
      </c>
      <c r="AE9" s="38">
        <v>500000</v>
      </c>
      <c r="AF9" s="36">
        <v>500</v>
      </c>
      <c r="AG9" s="36">
        <v>0</v>
      </c>
      <c r="AH9" s="36">
        <v>40107</v>
      </c>
      <c r="AI9" s="38" t="s">
        <v>824</v>
      </c>
      <c r="AJ9" s="38">
        <v>1000</v>
      </c>
      <c r="AK9" s="36">
        <v>64800</v>
      </c>
      <c r="AL9" s="36">
        <v>1000</v>
      </c>
      <c r="AM9" s="36">
        <v>500</v>
      </c>
      <c r="AN9" s="36">
        <v>600</v>
      </c>
      <c r="AO9" s="36">
        <v>2500</v>
      </c>
      <c r="AP9" s="38" t="s">
        <v>155</v>
      </c>
      <c r="AQ9" s="38">
        <v>100</v>
      </c>
      <c r="AR9" s="38" t="s">
        <v>809</v>
      </c>
      <c r="AS9" s="38">
        <v>2000</v>
      </c>
      <c r="AT9" s="38">
        <v>10800</v>
      </c>
      <c r="AU9" s="38">
        <v>2700000</v>
      </c>
      <c r="AV9" s="36">
        <v>200000</v>
      </c>
      <c r="BA9" s="36" t="s">
        <v>157</v>
      </c>
      <c r="BB9" s="36" t="s">
        <v>810</v>
      </c>
      <c r="BC9" s="46"/>
      <c r="BD9" s="39" t="s">
        <v>811</v>
      </c>
      <c r="BE9" s="36">
        <v>1</v>
      </c>
      <c r="BF9" s="36" t="s">
        <v>160</v>
      </c>
      <c r="BG9" s="36" t="s">
        <v>161</v>
      </c>
      <c r="BH9" s="36" t="s">
        <v>162</v>
      </c>
      <c r="BJ9" s="38">
        <v>7200</v>
      </c>
      <c r="BK9" s="38">
        <v>1800</v>
      </c>
      <c r="BL9" s="36">
        <v>525</v>
      </c>
      <c r="BM9" s="36">
        <v>1</v>
      </c>
      <c r="BN9" s="35" t="s">
        <v>157</v>
      </c>
      <c r="BO9" s="36" t="s">
        <v>812</v>
      </c>
      <c r="BP9" s="54" t="s">
        <v>157</v>
      </c>
      <c r="BQ9" s="36" t="s">
        <v>813</v>
      </c>
    </row>
    <row r="10" spans="1:69" x14ac:dyDescent="0.45">
      <c r="A10" s="36">
        <v>40107</v>
      </c>
      <c r="B10" s="36" t="s">
        <v>825</v>
      </c>
      <c r="C10" s="36" t="s">
        <v>141</v>
      </c>
      <c r="D10" s="36" t="s">
        <v>142</v>
      </c>
      <c r="E10" s="36" t="s">
        <v>701</v>
      </c>
      <c r="F10" s="36" t="s">
        <v>144</v>
      </c>
      <c r="G10" s="36" t="s">
        <v>145</v>
      </c>
      <c r="H10" s="36" t="s">
        <v>146</v>
      </c>
      <c r="J10" s="36" t="s">
        <v>147</v>
      </c>
      <c r="K10" s="36" t="s">
        <v>804</v>
      </c>
      <c r="L10" s="36" t="s">
        <v>149</v>
      </c>
      <c r="M10" s="38">
        <v>3900000</v>
      </c>
      <c r="N10" s="36">
        <v>1</v>
      </c>
      <c r="O10" s="36" t="s">
        <v>150</v>
      </c>
      <c r="P10" s="38">
        <v>350</v>
      </c>
      <c r="Q10" s="42" t="s">
        <v>823</v>
      </c>
      <c r="R10" s="36" t="s">
        <v>806</v>
      </c>
      <c r="T10" s="36">
        <v>7</v>
      </c>
      <c r="Z10" s="38" t="s">
        <v>807</v>
      </c>
      <c r="AA10" s="38">
        <v>1000</v>
      </c>
      <c r="AB10" s="36">
        <v>5</v>
      </c>
      <c r="AD10" s="38">
        <v>2700000</v>
      </c>
      <c r="AE10" s="38">
        <v>500000</v>
      </c>
      <c r="AF10" s="36">
        <v>500</v>
      </c>
      <c r="AG10" s="36">
        <v>0</v>
      </c>
      <c r="AH10" s="36">
        <v>40108</v>
      </c>
      <c r="AI10" s="38" t="s">
        <v>826</v>
      </c>
      <c r="AJ10" s="38">
        <v>1000</v>
      </c>
      <c r="AK10" s="36">
        <v>75600</v>
      </c>
      <c r="AL10" s="36">
        <v>1000</v>
      </c>
      <c r="AM10" s="36">
        <v>500</v>
      </c>
      <c r="AN10" s="36">
        <v>600</v>
      </c>
      <c r="AO10" s="36">
        <v>2500</v>
      </c>
      <c r="AP10" s="38" t="s">
        <v>155</v>
      </c>
      <c r="AQ10" s="38">
        <v>100</v>
      </c>
      <c r="AR10" s="38" t="s">
        <v>809</v>
      </c>
      <c r="AS10" s="38">
        <v>2000</v>
      </c>
      <c r="AT10" s="38">
        <v>10800</v>
      </c>
      <c r="AU10" s="38">
        <v>2700000</v>
      </c>
      <c r="AV10" s="36">
        <v>200000</v>
      </c>
      <c r="BA10" s="36" t="s">
        <v>157</v>
      </c>
      <c r="BB10" s="36" t="s">
        <v>810</v>
      </c>
      <c r="BC10" s="46"/>
      <c r="BD10" s="39" t="s">
        <v>811</v>
      </c>
      <c r="BE10" s="36">
        <v>1</v>
      </c>
      <c r="BF10" s="36" t="s">
        <v>160</v>
      </c>
      <c r="BG10" s="36" t="s">
        <v>161</v>
      </c>
      <c r="BH10" s="36" t="s">
        <v>162</v>
      </c>
      <c r="BJ10" s="38">
        <v>7200</v>
      </c>
      <c r="BK10" s="38">
        <v>1800</v>
      </c>
      <c r="BL10" s="36">
        <v>565</v>
      </c>
      <c r="BM10" s="36">
        <v>1</v>
      </c>
      <c r="BN10" s="35" t="s">
        <v>157</v>
      </c>
      <c r="BO10" s="36" t="s">
        <v>812</v>
      </c>
      <c r="BP10" s="54" t="s">
        <v>157</v>
      </c>
      <c r="BQ10" s="36" t="s">
        <v>813</v>
      </c>
    </row>
    <row r="11" spans="1:69" x14ac:dyDescent="0.45">
      <c r="A11" s="36">
        <v>40108</v>
      </c>
      <c r="B11" s="36" t="s">
        <v>827</v>
      </c>
      <c r="C11" s="36" t="s">
        <v>141</v>
      </c>
      <c r="D11" s="36" t="s">
        <v>142</v>
      </c>
      <c r="E11" s="36" t="s">
        <v>701</v>
      </c>
      <c r="F11" s="36" t="s">
        <v>144</v>
      </c>
      <c r="G11" s="36" t="s">
        <v>145</v>
      </c>
      <c r="H11" s="36" t="s">
        <v>146</v>
      </c>
      <c r="J11" s="36" t="s">
        <v>147</v>
      </c>
      <c r="K11" s="36" t="s">
        <v>804</v>
      </c>
      <c r="L11" s="36" t="s">
        <v>149</v>
      </c>
      <c r="M11" s="38">
        <v>4100000</v>
      </c>
      <c r="N11" s="36">
        <v>1</v>
      </c>
      <c r="O11" s="36" t="s">
        <v>150</v>
      </c>
      <c r="P11" s="38">
        <v>400</v>
      </c>
      <c r="Q11" s="42" t="s">
        <v>823</v>
      </c>
      <c r="R11" s="36" t="s">
        <v>806</v>
      </c>
      <c r="T11" s="36">
        <v>8</v>
      </c>
      <c r="Z11" s="38" t="s">
        <v>807</v>
      </c>
      <c r="AA11" s="38">
        <v>1000</v>
      </c>
      <c r="AB11" s="36">
        <v>5</v>
      </c>
      <c r="AD11" s="38">
        <v>2700000</v>
      </c>
      <c r="AE11" s="38">
        <v>500000</v>
      </c>
      <c r="AF11" s="36">
        <v>500</v>
      </c>
      <c r="AG11" s="36">
        <v>0</v>
      </c>
      <c r="AH11" s="36">
        <v>40109</v>
      </c>
      <c r="AI11" s="38" t="s">
        <v>828</v>
      </c>
      <c r="AJ11" s="38">
        <v>1000</v>
      </c>
      <c r="AK11" s="36">
        <v>86400</v>
      </c>
      <c r="AL11" s="36">
        <v>1000</v>
      </c>
      <c r="AM11" s="36">
        <v>500</v>
      </c>
      <c r="AN11" s="36">
        <v>600</v>
      </c>
      <c r="AO11" s="36">
        <v>2500</v>
      </c>
      <c r="AP11" s="38" t="s">
        <v>155</v>
      </c>
      <c r="AQ11" s="38">
        <v>100</v>
      </c>
      <c r="AR11" s="38" t="s">
        <v>809</v>
      </c>
      <c r="AS11" s="38">
        <v>2000</v>
      </c>
      <c r="AT11" s="38">
        <v>10800</v>
      </c>
      <c r="AU11" s="38">
        <v>2700000</v>
      </c>
      <c r="AV11" s="36">
        <v>200000</v>
      </c>
      <c r="BA11" s="36" t="s">
        <v>157</v>
      </c>
      <c r="BB11" s="36" t="s">
        <v>810</v>
      </c>
      <c r="BC11" s="46"/>
      <c r="BD11" s="39" t="s">
        <v>811</v>
      </c>
      <c r="BE11" s="36">
        <v>1</v>
      </c>
      <c r="BF11" s="36" t="s">
        <v>160</v>
      </c>
      <c r="BG11" s="36" t="s">
        <v>161</v>
      </c>
      <c r="BH11" s="36" t="s">
        <v>162</v>
      </c>
      <c r="BJ11" s="38">
        <v>7200</v>
      </c>
      <c r="BK11" s="38">
        <v>1800</v>
      </c>
      <c r="BL11" s="36">
        <v>610</v>
      </c>
      <c r="BM11" s="36">
        <v>1</v>
      </c>
      <c r="BN11" s="35" t="s">
        <v>157</v>
      </c>
      <c r="BO11" s="36" t="s">
        <v>812</v>
      </c>
      <c r="BP11" s="54" t="s">
        <v>157</v>
      </c>
      <c r="BQ11" s="36" t="s">
        <v>813</v>
      </c>
    </row>
    <row r="12" spans="1:69" x14ac:dyDescent="0.45">
      <c r="A12" s="36">
        <v>40109</v>
      </c>
      <c r="B12" s="36" t="s">
        <v>829</v>
      </c>
      <c r="C12" s="36" t="s">
        <v>141</v>
      </c>
      <c r="D12" s="36" t="s">
        <v>142</v>
      </c>
      <c r="E12" s="36" t="s">
        <v>701</v>
      </c>
      <c r="F12" s="36" t="s">
        <v>144</v>
      </c>
      <c r="G12" s="36" t="s">
        <v>145</v>
      </c>
      <c r="H12" s="36" t="s">
        <v>146</v>
      </c>
      <c r="J12" s="36" t="s">
        <v>147</v>
      </c>
      <c r="K12" s="36" t="s">
        <v>804</v>
      </c>
      <c r="L12" s="36" t="s">
        <v>149</v>
      </c>
      <c r="M12" s="38">
        <v>4300000</v>
      </c>
      <c r="N12" s="36">
        <v>1</v>
      </c>
      <c r="O12" s="36" t="s">
        <v>150</v>
      </c>
      <c r="P12" s="38">
        <v>450</v>
      </c>
      <c r="Q12" s="42" t="s">
        <v>823</v>
      </c>
      <c r="R12" s="36" t="s">
        <v>806</v>
      </c>
      <c r="T12" s="36">
        <v>9</v>
      </c>
      <c r="Z12" s="38" t="s">
        <v>807</v>
      </c>
      <c r="AA12" s="38">
        <v>1000</v>
      </c>
      <c r="AB12" s="36">
        <v>5</v>
      </c>
      <c r="AD12" s="38">
        <v>2700000</v>
      </c>
      <c r="AE12" s="38">
        <v>500000</v>
      </c>
      <c r="AF12" s="36">
        <v>500</v>
      </c>
      <c r="AG12" s="36">
        <v>0</v>
      </c>
      <c r="AH12" s="36">
        <v>40110</v>
      </c>
      <c r="AI12" s="38" t="s">
        <v>830</v>
      </c>
      <c r="AJ12" s="38">
        <v>1000</v>
      </c>
      <c r="AK12" s="36">
        <v>97200</v>
      </c>
      <c r="AL12" s="36">
        <v>1000</v>
      </c>
      <c r="AM12" s="36">
        <v>500</v>
      </c>
      <c r="AN12" s="36">
        <v>600</v>
      </c>
      <c r="AO12" s="36">
        <v>2500</v>
      </c>
      <c r="AP12" s="38" t="s">
        <v>155</v>
      </c>
      <c r="AQ12" s="38">
        <v>100</v>
      </c>
      <c r="AR12" s="38" t="s">
        <v>809</v>
      </c>
      <c r="AS12" s="38">
        <v>2000</v>
      </c>
      <c r="AT12" s="38">
        <v>10800</v>
      </c>
      <c r="AU12" s="38">
        <v>2700000</v>
      </c>
      <c r="AV12" s="36">
        <v>200000</v>
      </c>
      <c r="BA12" s="36" t="s">
        <v>157</v>
      </c>
      <c r="BB12" s="36" t="s">
        <v>810</v>
      </c>
      <c r="BC12" s="46"/>
      <c r="BD12" s="39" t="s">
        <v>811</v>
      </c>
      <c r="BE12" s="36">
        <v>1</v>
      </c>
      <c r="BF12" s="36" t="s">
        <v>160</v>
      </c>
      <c r="BG12" s="36" t="s">
        <v>161</v>
      </c>
      <c r="BH12" s="36" t="s">
        <v>162</v>
      </c>
      <c r="BJ12" s="38">
        <v>7200</v>
      </c>
      <c r="BK12" s="38">
        <v>1800</v>
      </c>
      <c r="BL12" s="36">
        <v>660</v>
      </c>
      <c r="BM12" s="36">
        <v>1</v>
      </c>
      <c r="BN12" s="35" t="s">
        <v>157</v>
      </c>
      <c r="BO12" s="36" t="s">
        <v>812</v>
      </c>
      <c r="BP12" s="54" t="s">
        <v>157</v>
      </c>
      <c r="BQ12" s="36" t="s">
        <v>813</v>
      </c>
    </row>
    <row r="13" spans="1:69" x14ac:dyDescent="0.45">
      <c r="A13" s="36">
        <v>40110</v>
      </c>
      <c r="B13" s="36" t="s">
        <v>831</v>
      </c>
      <c r="C13" s="36" t="s">
        <v>141</v>
      </c>
      <c r="D13" s="36" t="s">
        <v>142</v>
      </c>
      <c r="E13" s="36" t="s">
        <v>701</v>
      </c>
      <c r="F13" s="36" t="s">
        <v>144</v>
      </c>
      <c r="G13" s="36" t="s">
        <v>145</v>
      </c>
      <c r="H13" s="36" t="s">
        <v>146</v>
      </c>
      <c r="J13" s="36" t="s">
        <v>147</v>
      </c>
      <c r="K13" s="36" t="s">
        <v>804</v>
      </c>
      <c r="L13" s="36" t="s">
        <v>149</v>
      </c>
      <c r="M13" s="38">
        <v>4500000</v>
      </c>
      <c r="N13" s="36">
        <v>1</v>
      </c>
      <c r="O13" s="36" t="s">
        <v>150</v>
      </c>
      <c r="P13" s="38">
        <v>500</v>
      </c>
      <c r="Q13" s="42" t="s">
        <v>823</v>
      </c>
      <c r="R13" s="36" t="s">
        <v>806</v>
      </c>
      <c r="T13" s="36">
        <v>10</v>
      </c>
      <c r="Z13" s="38" t="s">
        <v>807</v>
      </c>
      <c r="AA13" s="38">
        <v>1000</v>
      </c>
      <c r="AB13" s="36">
        <v>5</v>
      </c>
      <c r="AD13" s="38">
        <v>2700000</v>
      </c>
      <c r="AE13" s="38">
        <v>500000</v>
      </c>
      <c r="AF13" s="36">
        <v>500</v>
      </c>
      <c r="AG13" s="36">
        <v>0</v>
      </c>
      <c r="AH13" s="36">
        <v>40111</v>
      </c>
      <c r="AI13" s="38" t="s">
        <v>832</v>
      </c>
      <c r="AJ13" s="38">
        <v>1000</v>
      </c>
      <c r="AK13" s="36">
        <v>108000</v>
      </c>
      <c r="AL13" s="36">
        <v>1000</v>
      </c>
      <c r="AM13" s="36">
        <v>500</v>
      </c>
      <c r="AN13" s="36">
        <v>600</v>
      </c>
      <c r="AO13" s="36">
        <v>2500</v>
      </c>
      <c r="AP13" s="38" t="s">
        <v>155</v>
      </c>
      <c r="AQ13" s="38">
        <v>100</v>
      </c>
      <c r="AR13" s="38" t="s">
        <v>809</v>
      </c>
      <c r="AS13" s="38">
        <v>2000</v>
      </c>
      <c r="AT13" s="38">
        <v>10800</v>
      </c>
      <c r="AU13" s="38">
        <v>2700000</v>
      </c>
      <c r="AV13" s="36">
        <v>200000</v>
      </c>
      <c r="BA13" s="36" t="s">
        <v>157</v>
      </c>
      <c r="BB13" s="36" t="s">
        <v>810</v>
      </c>
      <c r="BC13" s="46"/>
      <c r="BD13" s="39" t="s">
        <v>811</v>
      </c>
      <c r="BE13" s="36">
        <v>1</v>
      </c>
      <c r="BF13" s="36" t="s">
        <v>160</v>
      </c>
      <c r="BG13" s="36" t="s">
        <v>161</v>
      </c>
      <c r="BH13" s="36" t="s">
        <v>162</v>
      </c>
      <c r="BJ13" s="38">
        <v>7200</v>
      </c>
      <c r="BK13" s="38">
        <v>1800</v>
      </c>
      <c r="BL13" s="36">
        <v>715</v>
      </c>
      <c r="BM13" s="36">
        <v>1</v>
      </c>
      <c r="BN13" s="35" t="s">
        <v>157</v>
      </c>
      <c r="BO13" s="36" t="s">
        <v>812</v>
      </c>
      <c r="BP13" s="54" t="s">
        <v>157</v>
      </c>
      <c r="BQ13" s="36" t="s">
        <v>813</v>
      </c>
    </row>
    <row r="14" spans="1:69" s="34" customFormat="1" x14ac:dyDescent="0.45">
      <c r="A14" s="34">
        <v>40111</v>
      </c>
      <c r="B14" s="36" t="s">
        <v>833</v>
      </c>
      <c r="C14" s="34" t="s">
        <v>141</v>
      </c>
      <c r="D14" s="34" t="s">
        <v>142</v>
      </c>
      <c r="E14" s="34" t="s">
        <v>701</v>
      </c>
      <c r="F14" s="36" t="s">
        <v>144</v>
      </c>
      <c r="G14" s="34" t="s">
        <v>145</v>
      </c>
      <c r="H14" s="34" t="s">
        <v>146</v>
      </c>
      <c r="J14" s="34" t="s">
        <v>147</v>
      </c>
      <c r="K14" s="34" t="s">
        <v>804</v>
      </c>
      <c r="L14" s="34" t="s">
        <v>149</v>
      </c>
      <c r="M14" s="38">
        <v>4700000</v>
      </c>
      <c r="N14" s="36">
        <v>1</v>
      </c>
      <c r="O14" s="34" t="s">
        <v>150</v>
      </c>
      <c r="P14" s="38">
        <v>600</v>
      </c>
      <c r="Q14" s="36" t="s">
        <v>834</v>
      </c>
      <c r="R14" s="34" t="s">
        <v>806</v>
      </c>
      <c r="T14" s="36">
        <v>11</v>
      </c>
      <c r="U14" s="36"/>
      <c r="V14" s="36"/>
      <c r="W14" s="36"/>
      <c r="Z14" s="38" t="s">
        <v>807</v>
      </c>
      <c r="AA14" s="38">
        <v>1000</v>
      </c>
      <c r="AB14" s="34">
        <v>5</v>
      </c>
      <c r="AD14" s="38">
        <v>2700000</v>
      </c>
      <c r="AE14" s="38">
        <v>500000</v>
      </c>
      <c r="AF14" s="34">
        <v>500</v>
      </c>
      <c r="AG14" s="34">
        <v>0</v>
      </c>
      <c r="AH14" s="36">
        <v>40112</v>
      </c>
      <c r="AI14" s="38" t="s">
        <v>835</v>
      </c>
      <c r="AJ14" s="38">
        <v>1000</v>
      </c>
      <c r="AK14" s="34">
        <v>118800</v>
      </c>
      <c r="AL14" s="36">
        <v>1000</v>
      </c>
      <c r="AM14" s="34">
        <v>500</v>
      </c>
      <c r="AN14" s="34">
        <v>600</v>
      </c>
      <c r="AO14" s="34">
        <v>2500</v>
      </c>
      <c r="AP14" s="38" t="s">
        <v>155</v>
      </c>
      <c r="AQ14" s="38">
        <v>100</v>
      </c>
      <c r="AR14" s="38" t="s">
        <v>809</v>
      </c>
      <c r="AS14" s="38">
        <v>2000</v>
      </c>
      <c r="AT14" s="38">
        <v>10800</v>
      </c>
      <c r="AU14" s="38">
        <v>2700000</v>
      </c>
      <c r="AV14" s="34">
        <v>200000</v>
      </c>
      <c r="BA14" s="34" t="s">
        <v>157</v>
      </c>
      <c r="BB14" s="34" t="s">
        <v>810</v>
      </c>
      <c r="BC14" s="47"/>
      <c r="BD14" s="39" t="s">
        <v>811</v>
      </c>
      <c r="BE14" s="34">
        <v>1</v>
      </c>
      <c r="BF14" s="34" t="s">
        <v>160</v>
      </c>
      <c r="BG14" s="34" t="s">
        <v>161</v>
      </c>
      <c r="BH14" s="34" t="s">
        <v>162</v>
      </c>
      <c r="BI14" s="52"/>
      <c r="BJ14" s="38">
        <v>7200</v>
      </c>
      <c r="BK14" s="38">
        <v>1800</v>
      </c>
      <c r="BL14" s="36">
        <v>775</v>
      </c>
      <c r="BM14" s="36">
        <v>1</v>
      </c>
      <c r="BN14" s="34" t="s">
        <v>157</v>
      </c>
      <c r="BO14" s="34" t="s">
        <v>812</v>
      </c>
      <c r="BP14" s="54" t="s">
        <v>157</v>
      </c>
      <c r="BQ14" s="36" t="s">
        <v>813</v>
      </c>
    </row>
    <row r="15" spans="1:69" s="34" customFormat="1" x14ac:dyDescent="0.45">
      <c r="A15" s="34">
        <v>40112</v>
      </c>
      <c r="B15" s="36" t="s">
        <v>836</v>
      </c>
      <c r="C15" s="34" t="s">
        <v>141</v>
      </c>
      <c r="D15" s="34" t="s">
        <v>142</v>
      </c>
      <c r="E15" s="34" t="s">
        <v>701</v>
      </c>
      <c r="F15" s="36" t="s">
        <v>144</v>
      </c>
      <c r="G15" s="34" t="s">
        <v>145</v>
      </c>
      <c r="H15" s="34" t="s">
        <v>146</v>
      </c>
      <c r="J15" s="34" t="s">
        <v>147</v>
      </c>
      <c r="K15" s="34" t="s">
        <v>804</v>
      </c>
      <c r="L15" s="34" t="s">
        <v>149</v>
      </c>
      <c r="M15" s="38">
        <v>4900000</v>
      </c>
      <c r="N15" s="36">
        <v>1</v>
      </c>
      <c r="O15" s="34" t="s">
        <v>150</v>
      </c>
      <c r="P15" s="38">
        <v>700</v>
      </c>
      <c r="Q15" s="36" t="s">
        <v>834</v>
      </c>
      <c r="R15" s="34" t="s">
        <v>806</v>
      </c>
      <c r="T15" s="36">
        <v>12</v>
      </c>
      <c r="U15" s="36"/>
      <c r="V15" s="36"/>
      <c r="W15" s="36"/>
      <c r="Z15" s="38" t="s">
        <v>807</v>
      </c>
      <c r="AA15" s="38">
        <v>1000</v>
      </c>
      <c r="AB15" s="34">
        <v>5</v>
      </c>
      <c r="AD15" s="38">
        <v>2700000</v>
      </c>
      <c r="AE15" s="38">
        <v>500000</v>
      </c>
      <c r="AF15" s="34">
        <v>500</v>
      </c>
      <c r="AG15" s="34">
        <v>0</v>
      </c>
      <c r="AH15" s="36">
        <v>40113</v>
      </c>
      <c r="AI15" s="38" t="s">
        <v>837</v>
      </c>
      <c r="AJ15" s="38">
        <v>1000</v>
      </c>
      <c r="AK15" s="34">
        <v>129600</v>
      </c>
      <c r="AL15" s="36">
        <v>1000</v>
      </c>
      <c r="AM15" s="34">
        <v>500</v>
      </c>
      <c r="AN15" s="34">
        <v>600</v>
      </c>
      <c r="AO15" s="34">
        <v>2500</v>
      </c>
      <c r="AP15" s="38" t="s">
        <v>155</v>
      </c>
      <c r="AQ15" s="38">
        <v>100</v>
      </c>
      <c r="AR15" s="38" t="s">
        <v>809</v>
      </c>
      <c r="AS15" s="38">
        <v>2000</v>
      </c>
      <c r="AT15" s="38">
        <v>10800</v>
      </c>
      <c r="AU15" s="38">
        <v>2700000</v>
      </c>
      <c r="AV15" s="34">
        <v>200000</v>
      </c>
      <c r="BA15" s="34" t="s">
        <v>157</v>
      </c>
      <c r="BB15" s="34" t="s">
        <v>810</v>
      </c>
      <c r="BC15" s="47"/>
      <c r="BD15" s="39" t="s">
        <v>811</v>
      </c>
      <c r="BE15" s="34">
        <v>1</v>
      </c>
      <c r="BF15" s="34" t="s">
        <v>160</v>
      </c>
      <c r="BG15" s="34" t="s">
        <v>161</v>
      </c>
      <c r="BH15" s="34" t="s">
        <v>162</v>
      </c>
      <c r="BI15" s="52"/>
      <c r="BJ15" s="38">
        <v>7200</v>
      </c>
      <c r="BK15" s="38">
        <v>1800</v>
      </c>
      <c r="BL15" s="36">
        <v>840</v>
      </c>
      <c r="BM15" s="36">
        <v>1</v>
      </c>
      <c r="BN15" s="34" t="s">
        <v>157</v>
      </c>
      <c r="BO15" s="34" t="s">
        <v>812</v>
      </c>
      <c r="BP15" s="54" t="s">
        <v>157</v>
      </c>
      <c r="BQ15" s="36" t="s">
        <v>813</v>
      </c>
    </row>
    <row r="16" spans="1:69" s="34" customFormat="1" x14ac:dyDescent="0.45">
      <c r="A16" s="34">
        <v>40113</v>
      </c>
      <c r="B16" s="36" t="s">
        <v>838</v>
      </c>
      <c r="C16" s="34" t="s">
        <v>141</v>
      </c>
      <c r="D16" s="34" t="s">
        <v>142</v>
      </c>
      <c r="E16" s="34" t="s">
        <v>701</v>
      </c>
      <c r="F16" s="36" t="s">
        <v>144</v>
      </c>
      <c r="G16" s="34" t="s">
        <v>145</v>
      </c>
      <c r="H16" s="34" t="s">
        <v>146</v>
      </c>
      <c r="J16" s="34" t="s">
        <v>147</v>
      </c>
      <c r="K16" s="34" t="s">
        <v>804</v>
      </c>
      <c r="L16" s="34" t="s">
        <v>149</v>
      </c>
      <c r="M16" s="38">
        <v>5100000</v>
      </c>
      <c r="N16" s="36">
        <v>1</v>
      </c>
      <c r="O16" s="34" t="s">
        <v>150</v>
      </c>
      <c r="P16" s="38">
        <v>800</v>
      </c>
      <c r="Q16" s="36" t="s">
        <v>834</v>
      </c>
      <c r="R16" s="34" t="s">
        <v>806</v>
      </c>
      <c r="T16" s="36">
        <v>13</v>
      </c>
      <c r="U16" s="36"/>
      <c r="V16" s="36"/>
      <c r="W16" s="36"/>
      <c r="Z16" s="38" t="s">
        <v>807</v>
      </c>
      <c r="AA16" s="38">
        <v>1000</v>
      </c>
      <c r="AB16" s="34">
        <v>5</v>
      </c>
      <c r="AD16" s="38">
        <v>2700000</v>
      </c>
      <c r="AE16" s="38">
        <v>500000</v>
      </c>
      <c r="AF16" s="34">
        <v>500</v>
      </c>
      <c r="AG16" s="34">
        <v>0</v>
      </c>
      <c r="AH16" s="36">
        <v>40114</v>
      </c>
      <c r="AI16" s="38" t="s">
        <v>839</v>
      </c>
      <c r="AJ16" s="38">
        <v>1000</v>
      </c>
      <c r="AK16" s="34">
        <v>140400</v>
      </c>
      <c r="AL16" s="36">
        <v>1000</v>
      </c>
      <c r="AM16" s="34">
        <v>500</v>
      </c>
      <c r="AN16" s="34">
        <v>600</v>
      </c>
      <c r="AO16" s="34">
        <v>2500</v>
      </c>
      <c r="AP16" s="38" t="s">
        <v>155</v>
      </c>
      <c r="AQ16" s="38">
        <v>100</v>
      </c>
      <c r="AR16" s="38" t="s">
        <v>809</v>
      </c>
      <c r="AS16" s="38">
        <v>2000</v>
      </c>
      <c r="AT16" s="38">
        <v>10800</v>
      </c>
      <c r="AU16" s="38">
        <v>2700000</v>
      </c>
      <c r="AV16" s="34">
        <v>200000</v>
      </c>
      <c r="BA16" s="34" t="s">
        <v>157</v>
      </c>
      <c r="BB16" s="34" t="s">
        <v>810</v>
      </c>
      <c r="BC16" s="47"/>
      <c r="BD16" s="39" t="s">
        <v>811</v>
      </c>
      <c r="BE16" s="34">
        <v>1</v>
      </c>
      <c r="BF16" s="34" t="s">
        <v>160</v>
      </c>
      <c r="BG16" s="34" t="s">
        <v>161</v>
      </c>
      <c r="BH16" s="34" t="s">
        <v>162</v>
      </c>
      <c r="BI16" s="52"/>
      <c r="BJ16" s="38">
        <v>7200</v>
      </c>
      <c r="BK16" s="38">
        <v>1800</v>
      </c>
      <c r="BL16" s="36">
        <v>910</v>
      </c>
      <c r="BM16" s="36">
        <v>1</v>
      </c>
      <c r="BN16" s="34" t="s">
        <v>157</v>
      </c>
      <c r="BO16" s="34" t="s">
        <v>812</v>
      </c>
      <c r="BP16" s="54" t="s">
        <v>157</v>
      </c>
      <c r="BQ16" s="36" t="s">
        <v>813</v>
      </c>
    </row>
    <row r="17" spans="1:69" s="34" customFormat="1" x14ac:dyDescent="0.45">
      <c r="A17" s="34">
        <v>40114</v>
      </c>
      <c r="B17" s="36" t="s">
        <v>840</v>
      </c>
      <c r="C17" s="34" t="s">
        <v>141</v>
      </c>
      <c r="D17" s="34" t="s">
        <v>142</v>
      </c>
      <c r="E17" s="34" t="s">
        <v>701</v>
      </c>
      <c r="F17" s="36" t="s">
        <v>144</v>
      </c>
      <c r="G17" s="34" t="s">
        <v>145</v>
      </c>
      <c r="H17" s="34" t="s">
        <v>146</v>
      </c>
      <c r="J17" s="34" t="s">
        <v>147</v>
      </c>
      <c r="K17" s="34" t="s">
        <v>804</v>
      </c>
      <c r="L17" s="34" t="s">
        <v>149</v>
      </c>
      <c r="M17" s="38">
        <v>5300000</v>
      </c>
      <c r="N17" s="36">
        <v>1</v>
      </c>
      <c r="O17" s="34" t="s">
        <v>150</v>
      </c>
      <c r="P17" s="38">
        <v>900</v>
      </c>
      <c r="Q17" s="36" t="s">
        <v>834</v>
      </c>
      <c r="R17" s="34" t="s">
        <v>806</v>
      </c>
      <c r="T17" s="36">
        <v>14</v>
      </c>
      <c r="U17" s="36"/>
      <c r="V17" s="36"/>
      <c r="W17" s="36"/>
      <c r="Z17" s="38" t="s">
        <v>807</v>
      </c>
      <c r="AA17" s="38">
        <v>1000</v>
      </c>
      <c r="AB17" s="34">
        <v>5</v>
      </c>
      <c r="AD17" s="38">
        <v>2700000</v>
      </c>
      <c r="AE17" s="38">
        <v>500000</v>
      </c>
      <c r="AF17" s="34">
        <v>500</v>
      </c>
      <c r="AG17" s="34">
        <v>0</v>
      </c>
      <c r="AH17" s="36">
        <v>40115</v>
      </c>
      <c r="AI17" s="38" t="s">
        <v>841</v>
      </c>
      <c r="AJ17" s="38">
        <v>1000</v>
      </c>
      <c r="AK17" s="34">
        <v>151200</v>
      </c>
      <c r="AL17" s="36">
        <v>1000</v>
      </c>
      <c r="AM17" s="34">
        <v>500</v>
      </c>
      <c r="AN17" s="34">
        <v>600</v>
      </c>
      <c r="AO17" s="34">
        <v>2500</v>
      </c>
      <c r="AP17" s="38" t="s">
        <v>155</v>
      </c>
      <c r="AQ17" s="38">
        <v>100</v>
      </c>
      <c r="AR17" s="38" t="s">
        <v>809</v>
      </c>
      <c r="AS17" s="38">
        <v>2000</v>
      </c>
      <c r="AT17" s="38">
        <v>10800</v>
      </c>
      <c r="AU17" s="38">
        <v>2700000</v>
      </c>
      <c r="AV17" s="34">
        <v>200000</v>
      </c>
      <c r="BA17" s="34" t="s">
        <v>157</v>
      </c>
      <c r="BB17" s="34" t="s">
        <v>810</v>
      </c>
      <c r="BC17" s="47"/>
      <c r="BD17" s="39" t="s">
        <v>811</v>
      </c>
      <c r="BE17" s="34">
        <v>1</v>
      </c>
      <c r="BF17" s="34" t="s">
        <v>160</v>
      </c>
      <c r="BG17" s="34" t="s">
        <v>161</v>
      </c>
      <c r="BH17" s="34" t="s">
        <v>162</v>
      </c>
      <c r="BI17" s="52"/>
      <c r="BJ17" s="38">
        <v>7200</v>
      </c>
      <c r="BK17" s="38">
        <v>1800</v>
      </c>
      <c r="BL17" s="36">
        <v>985</v>
      </c>
      <c r="BM17" s="36">
        <v>1</v>
      </c>
      <c r="BN17" s="34" t="s">
        <v>157</v>
      </c>
      <c r="BO17" s="34" t="s">
        <v>812</v>
      </c>
      <c r="BP17" s="54" t="s">
        <v>157</v>
      </c>
      <c r="BQ17" s="36" t="s">
        <v>813</v>
      </c>
    </row>
    <row r="18" spans="1:69" s="34" customFormat="1" x14ac:dyDescent="0.45">
      <c r="A18" s="34">
        <v>40115</v>
      </c>
      <c r="B18" s="36" t="s">
        <v>842</v>
      </c>
      <c r="C18" s="34" t="s">
        <v>141</v>
      </c>
      <c r="D18" s="34" t="s">
        <v>142</v>
      </c>
      <c r="E18" s="34" t="s">
        <v>701</v>
      </c>
      <c r="F18" s="36" t="s">
        <v>144</v>
      </c>
      <c r="G18" s="34" t="s">
        <v>145</v>
      </c>
      <c r="H18" s="34" t="s">
        <v>146</v>
      </c>
      <c r="J18" s="34" t="s">
        <v>147</v>
      </c>
      <c r="K18" s="34" t="s">
        <v>804</v>
      </c>
      <c r="L18" s="34" t="s">
        <v>149</v>
      </c>
      <c r="M18" s="38">
        <v>5500000</v>
      </c>
      <c r="N18" s="36">
        <v>1</v>
      </c>
      <c r="O18" s="34" t="s">
        <v>150</v>
      </c>
      <c r="P18" s="38">
        <v>1000</v>
      </c>
      <c r="Q18" s="36" t="s">
        <v>834</v>
      </c>
      <c r="R18" s="34" t="s">
        <v>806</v>
      </c>
      <c r="T18" s="36">
        <v>15</v>
      </c>
      <c r="U18" s="36"/>
      <c r="V18" s="36"/>
      <c r="W18" s="36"/>
      <c r="Z18" s="38" t="s">
        <v>807</v>
      </c>
      <c r="AA18" s="38">
        <v>1000</v>
      </c>
      <c r="AB18" s="34">
        <v>5</v>
      </c>
      <c r="AD18" s="38">
        <v>2700000</v>
      </c>
      <c r="AE18" s="38">
        <v>500000</v>
      </c>
      <c r="AF18" s="34">
        <v>500</v>
      </c>
      <c r="AG18" s="34">
        <v>0</v>
      </c>
      <c r="AH18" s="36">
        <v>40116</v>
      </c>
      <c r="AI18" s="38" t="s">
        <v>843</v>
      </c>
      <c r="AJ18" s="38">
        <v>1000</v>
      </c>
      <c r="AK18" s="34">
        <v>162000</v>
      </c>
      <c r="AL18" s="36">
        <v>1000</v>
      </c>
      <c r="AM18" s="34">
        <v>500</v>
      </c>
      <c r="AN18" s="34">
        <v>600</v>
      </c>
      <c r="AO18" s="34">
        <v>2500</v>
      </c>
      <c r="AP18" s="38" t="s">
        <v>155</v>
      </c>
      <c r="AQ18" s="38">
        <v>100</v>
      </c>
      <c r="AR18" s="38" t="s">
        <v>809</v>
      </c>
      <c r="AS18" s="38">
        <v>2000</v>
      </c>
      <c r="AT18" s="38">
        <v>10800</v>
      </c>
      <c r="AU18" s="38">
        <v>2700000</v>
      </c>
      <c r="AV18" s="34">
        <v>200000</v>
      </c>
      <c r="BA18" s="34" t="s">
        <v>157</v>
      </c>
      <c r="BB18" s="34" t="s">
        <v>810</v>
      </c>
      <c r="BC18" s="47"/>
      <c r="BD18" s="39" t="s">
        <v>811</v>
      </c>
      <c r="BE18" s="34">
        <v>1</v>
      </c>
      <c r="BF18" s="34" t="s">
        <v>160</v>
      </c>
      <c r="BG18" s="34" t="s">
        <v>161</v>
      </c>
      <c r="BH18" s="34" t="s">
        <v>162</v>
      </c>
      <c r="BI18" s="52"/>
      <c r="BJ18" s="38">
        <v>7200</v>
      </c>
      <c r="BK18" s="38">
        <v>1800</v>
      </c>
      <c r="BL18" s="36">
        <v>1065</v>
      </c>
      <c r="BM18" s="36">
        <v>1</v>
      </c>
      <c r="BN18" s="34" t="s">
        <v>157</v>
      </c>
      <c r="BO18" s="34" t="s">
        <v>812</v>
      </c>
      <c r="BP18" s="54" t="s">
        <v>157</v>
      </c>
      <c r="BQ18" s="36" t="s">
        <v>813</v>
      </c>
    </row>
    <row r="19" spans="1:69" x14ac:dyDescent="0.45">
      <c r="A19" s="36">
        <v>40116</v>
      </c>
      <c r="B19" s="36" t="s">
        <v>844</v>
      </c>
      <c r="C19" s="36" t="s">
        <v>141</v>
      </c>
      <c r="D19" s="36" t="s">
        <v>142</v>
      </c>
      <c r="E19" s="36" t="s">
        <v>701</v>
      </c>
      <c r="F19" s="36" t="s">
        <v>144</v>
      </c>
      <c r="G19" s="36" t="s">
        <v>145</v>
      </c>
      <c r="H19" s="36" t="s">
        <v>146</v>
      </c>
      <c r="J19" s="36" t="s">
        <v>147</v>
      </c>
      <c r="K19" s="36" t="s">
        <v>804</v>
      </c>
      <c r="L19" s="36" t="s">
        <v>149</v>
      </c>
      <c r="M19" s="38">
        <v>5700000</v>
      </c>
      <c r="N19" s="36">
        <v>1</v>
      </c>
      <c r="O19" s="36" t="s">
        <v>150</v>
      </c>
      <c r="P19" s="38">
        <v>1200</v>
      </c>
      <c r="Q19" s="42" t="s">
        <v>845</v>
      </c>
      <c r="R19" s="36" t="s">
        <v>806</v>
      </c>
      <c r="T19" s="36">
        <v>16</v>
      </c>
      <c r="Z19" s="38" t="s">
        <v>807</v>
      </c>
      <c r="AA19" s="38">
        <v>1000</v>
      </c>
      <c r="AB19" s="36">
        <v>5</v>
      </c>
      <c r="AD19" s="38">
        <v>2700000</v>
      </c>
      <c r="AE19" s="38">
        <v>500000</v>
      </c>
      <c r="AF19" s="36">
        <v>500</v>
      </c>
      <c r="AG19" s="36">
        <v>0</v>
      </c>
      <c r="AH19" s="36">
        <v>40117</v>
      </c>
      <c r="AI19" s="38" t="s">
        <v>846</v>
      </c>
      <c r="AJ19" s="38">
        <v>1000</v>
      </c>
      <c r="AK19" s="36">
        <v>172800</v>
      </c>
      <c r="AL19" s="36">
        <v>1000</v>
      </c>
      <c r="AM19" s="36">
        <v>500</v>
      </c>
      <c r="AN19" s="36">
        <v>600</v>
      </c>
      <c r="AO19" s="36">
        <v>2500</v>
      </c>
      <c r="AP19" s="38" t="s">
        <v>155</v>
      </c>
      <c r="AQ19" s="38">
        <v>100</v>
      </c>
      <c r="AR19" s="38" t="s">
        <v>809</v>
      </c>
      <c r="AS19" s="38">
        <v>2000</v>
      </c>
      <c r="AT19" s="38">
        <v>10800</v>
      </c>
      <c r="AU19" s="38">
        <v>2700000</v>
      </c>
      <c r="AV19" s="36">
        <v>200000</v>
      </c>
      <c r="BA19" s="36" t="s">
        <v>157</v>
      </c>
      <c r="BB19" s="36" t="s">
        <v>810</v>
      </c>
      <c r="BC19" s="46"/>
      <c r="BD19" s="39" t="s">
        <v>811</v>
      </c>
      <c r="BE19" s="36">
        <v>1</v>
      </c>
      <c r="BF19" s="36" t="s">
        <v>160</v>
      </c>
      <c r="BG19" s="36" t="s">
        <v>161</v>
      </c>
      <c r="BH19" s="36" t="s">
        <v>162</v>
      </c>
      <c r="BJ19" s="38">
        <v>7200</v>
      </c>
      <c r="BK19" s="38">
        <v>1800</v>
      </c>
      <c r="BL19" s="36">
        <v>1150</v>
      </c>
      <c r="BM19" s="36">
        <v>1</v>
      </c>
      <c r="BN19" s="35" t="s">
        <v>157</v>
      </c>
      <c r="BO19" s="36" t="s">
        <v>812</v>
      </c>
      <c r="BP19" s="54" t="s">
        <v>157</v>
      </c>
      <c r="BQ19" s="36" t="s">
        <v>813</v>
      </c>
    </row>
    <row r="20" spans="1:69" x14ac:dyDescent="0.45">
      <c r="A20" s="36">
        <v>40117</v>
      </c>
      <c r="B20" s="36" t="s">
        <v>847</v>
      </c>
      <c r="C20" s="36" t="s">
        <v>141</v>
      </c>
      <c r="D20" s="36" t="s">
        <v>142</v>
      </c>
      <c r="E20" s="36" t="s">
        <v>701</v>
      </c>
      <c r="F20" s="36" t="s">
        <v>144</v>
      </c>
      <c r="G20" s="36" t="s">
        <v>145</v>
      </c>
      <c r="H20" s="36" t="s">
        <v>146</v>
      </c>
      <c r="J20" s="36" t="s">
        <v>147</v>
      </c>
      <c r="K20" s="36" t="s">
        <v>804</v>
      </c>
      <c r="L20" s="36" t="s">
        <v>149</v>
      </c>
      <c r="M20" s="38">
        <v>5900000</v>
      </c>
      <c r="N20" s="36">
        <v>1</v>
      </c>
      <c r="O20" s="36" t="s">
        <v>150</v>
      </c>
      <c r="P20" s="38">
        <v>1500</v>
      </c>
      <c r="Q20" s="42" t="s">
        <v>845</v>
      </c>
      <c r="R20" s="36" t="s">
        <v>806</v>
      </c>
      <c r="T20" s="36">
        <v>17</v>
      </c>
      <c r="Z20" s="38" t="s">
        <v>807</v>
      </c>
      <c r="AA20" s="38">
        <v>1000</v>
      </c>
      <c r="AB20" s="36">
        <v>5</v>
      </c>
      <c r="AD20" s="38">
        <v>2700000</v>
      </c>
      <c r="AE20" s="38">
        <v>500000</v>
      </c>
      <c r="AF20" s="36">
        <v>500</v>
      </c>
      <c r="AG20" s="36">
        <v>0</v>
      </c>
      <c r="AH20" s="36">
        <v>40118</v>
      </c>
      <c r="AI20" s="38" t="s">
        <v>848</v>
      </c>
      <c r="AJ20" s="38">
        <v>1000</v>
      </c>
      <c r="AK20" s="36">
        <v>183600</v>
      </c>
      <c r="AL20" s="36">
        <v>1000</v>
      </c>
      <c r="AM20" s="36">
        <v>500</v>
      </c>
      <c r="AN20" s="36">
        <v>600</v>
      </c>
      <c r="AO20" s="36">
        <v>2500</v>
      </c>
      <c r="AP20" s="38" t="s">
        <v>155</v>
      </c>
      <c r="AQ20" s="38">
        <v>100</v>
      </c>
      <c r="AR20" s="38" t="s">
        <v>809</v>
      </c>
      <c r="AS20" s="38">
        <v>2000</v>
      </c>
      <c r="AT20" s="38">
        <v>10800</v>
      </c>
      <c r="AU20" s="38">
        <v>2700000</v>
      </c>
      <c r="AV20" s="36">
        <v>200000</v>
      </c>
      <c r="BA20" s="36" t="s">
        <v>157</v>
      </c>
      <c r="BB20" s="36" t="s">
        <v>810</v>
      </c>
      <c r="BC20" s="46"/>
      <c r="BD20" s="39" t="s">
        <v>811</v>
      </c>
      <c r="BE20" s="36">
        <v>1</v>
      </c>
      <c r="BF20" s="36" t="s">
        <v>160</v>
      </c>
      <c r="BG20" s="36" t="s">
        <v>161</v>
      </c>
      <c r="BH20" s="36" t="s">
        <v>162</v>
      </c>
      <c r="BJ20" s="38">
        <v>7200</v>
      </c>
      <c r="BK20" s="38">
        <v>1800</v>
      </c>
      <c r="BL20" s="36">
        <v>1240</v>
      </c>
      <c r="BM20" s="36">
        <v>1</v>
      </c>
      <c r="BN20" s="35" t="s">
        <v>157</v>
      </c>
      <c r="BO20" s="36" t="s">
        <v>812</v>
      </c>
      <c r="BP20" s="54" t="s">
        <v>157</v>
      </c>
      <c r="BQ20" s="36" t="s">
        <v>813</v>
      </c>
    </row>
    <row r="21" spans="1:69" x14ac:dyDescent="0.45">
      <c r="A21" s="36">
        <v>40118</v>
      </c>
      <c r="B21" s="36" t="s">
        <v>849</v>
      </c>
      <c r="C21" s="36" t="s">
        <v>141</v>
      </c>
      <c r="D21" s="36" t="s">
        <v>142</v>
      </c>
      <c r="E21" s="36" t="s">
        <v>701</v>
      </c>
      <c r="F21" s="36" t="s">
        <v>144</v>
      </c>
      <c r="G21" s="36" t="s">
        <v>145</v>
      </c>
      <c r="H21" s="36" t="s">
        <v>146</v>
      </c>
      <c r="J21" s="36" t="s">
        <v>147</v>
      </c>
      <c r="K21" s="36" t="s">
        <v>804</v>
      </c>
      <c r="L21" s="36" t="s">
        <v>149</v>
      </c>
      <c r="M21" s="38">
        <v>6100000</v>
      </c>
      <c r="N21" s="36">
        <v>1</v>
      </c>
      <c r="O21" s="36" t="s">
        <v>150</v>
      </c>
      <c r="P21" s="38">
        <v>2000</v>
      </c>
      <c r="Q21" s="42" t="s">
        <v>845</v>
      </c>
      <c r="R21" s="36" t="s">
        <v>806</v>
      </c>
      <c r="T21" s="36">
        <v>18</v>
      </c>
      <c r="Z21" s="38" t="s">
        <v>807</v>
      </c>
      <c r="AA21" s="38">
        <v>1000</v>
      </c>
      <c r="AB21" s="36">
        <v>5</v>
      </c>
      <c r="AD21" s="38">
        <v>2700000</v>
      </c>
      <c r="AE21" s="38">
        <v>500000</v>
      </c>
      <c r="AF21" s="36">
        <v>500</v>
      </c>
      <c r="AG21" s="36">
        <v>0</v>
      </c>
      <c r="AH21" s="36">
        <v>40119</v>
      </c>
      <c r="AI21" s="38" t="s">
        <v>850</v>
      </c>
      <c r="AJ21" s="38">
        <v>1000</v>
      </c>
      <c r="AK21" s="36">
        <v>194400</v>
      </c>
      <c r="AL21" s="36">
        <v>1000</v>
      </c>
      <c r="AM21" s="36">
        <v>500</v>
      </c>
      <c r="AN21" s="36">
        <v>600</v>
      </c>
      <c r="AO21" s="36">
        <v>2500</v>
      </c>
      <c r="AP21" s="38" t="s">
        <v>155</v>
      </c>
      <c r="AQ21" s="38">
        <v>100</v>
      </c>
      <c r="AR21" s="38" t="s">
        <v>809</v>
      </c>
      <c r="AS21" s="38">
        <v>2000</v>
      </c>
      <c r="AT21" s="38">
        <v>10800</v>
      </c>
      <c r="AU21" s="38">
        <v>2700000</v>
      </c>
      <c r="AV21" s="36">
        <v>200000</v>
      </c>
      <c r="BA21" s="36" t="s">
        <v>157</v>
      </c>
      <c r="BB21" s="36" t="s">
        <v>810</v>
      </c>
      <c r="BC21" s="46"/>
      <c r="BD21" s="39" t="s">
        <v>811</v>
      </c>
      <c r="BE21" s="36">
        <v>1</v>
      </c>
      <c r="BF21" s="36" t="s">
        <v>160</v>
      </c>
      <c r="BG21" s="36" t="s">
        <v>161</v>
      </c>
      <c r="BH21" s="36" t="s">
        <v>162</v>
      </c>
      <c r="BJ21" s="38">
        <v>7200</v>
      </c>
      <c r="BK21" s="38">
        <v>1800</v>
      </c>
      <c r="BL21" s="36">
        <v>1335</v>
      </c>
      <c r="BM21" s="36">
        <v>1</v>
      </c>
      <c r="BN21" s="35" t="s">
        <v>157</v>
      </c>
      <c r="BO21" s="36" t="s">
        <v>812</v>
      </c>
      <c r="BP21" s="54" t="s">
        <v>157</v>
      </c>
      <c r="BQ21" s="36" t="s">
        <v>813</v>
      </c>
    </row>
    <row r="22" spans="1:69" x14ac:dyDescent="0.45">
      <c r="A22" s="36">
        <v>40119</v>
      </c>
      <c r="B22" s="36" t="s">
        <v>851</v>
      </c>
      <c r="C22" s="36" t="s">
        <v>141</v>
      </c>
      <c r="D22" s="36" t="s">
        <v>142</v>
      </c>
      <c r="E22" s="36" t="s">
        <v>701</v>
      </c>
      <c r="F22" s="36" t="s">
        <v>144</v>
      </c>
      <c r="G22" s="36" t="s">
        <v>145</v>
      </c>
      <c r="H22" s="36" t="s">
        <v>146</v>
      </c>
      <c r="J22" s="36" t="s">
        <v>147</v>
      </c>
      <c r="K22" s="36" t="s">
        <v>804</v>
      </c>
      <c r="L22" s="36" t="s">
        <v>149</v>
      </c>
      <c r="M22" s="38">
        <v>6300000</v>
      </c>
      <c r="N22" s="36">
        <v>1</v>
      </c>
      <c r="O22" s="36" t="s">
        <v>150</v>
      </c>
      <c r="P22" s="38">
        <v>2500</v>
      </c>
      <c r="Q22" s="42" t="s">
        <v>845</v>
      </c>
      <c r="R22" s="36" t="s">
        <v>806</v>
      </c>
      <c r="T22" s="36">
        <v>19</v>
      </c>
      <c r="Z22" s="38" t="s">
        <v>807</v>
      </c>
      <c r="AA22" s="38">
        <v>1000</v>
      </c>
      <c r="AB22" s="36">
        <v>5</v>
      </c>
      <c r="AD22" s="38">
        <v>2700000</v>
      </c>
      <c r="AE22" s="38">
        <v>500000</v>
      </c>
      <c r="AF22" s="36">
        <v>500</v>
      </c>
      <c r="AG22" s="36">
        <v>0</v>
      </c>
      <c r="AH22" s="36">
        <v>40120</v>
      </c>
      <c r="AI22" s="38" t="s">
        <v>852</v>
      </c>
      <c r="AJ22" s="38">
        <v>1000</v>
      </c>
      <c r="AK22" s="36">
        <v>205200</v>
      </c>
      <c r="AL22" s="36">
        <v>1000</v>
      </c>
      <c r="AM22" s="36">
        <v>500</v>
      </c>
      <c r="AN22" s="36">
        <v>600</v>
      </c>
      <c r="AO22" s="36">
        <v>2500</v>
      </c>
      <c r="AP22" s="38" t="s">
        <v>155</v>
      </c>
      <c r="AQ22" s="38">
        <v>100</v>
      </c>
      <c r="AR22" s="38" t="s">
        <v>809</v>
      </c>
      <c r="AS22" s="38">
        <v>2000</v>
      </c>
      <c r="AT22" s="38">
        <v>10800</v>
      </c>
      <c r="AU22" s="38">
        <v>2700000</v>
      </c>
      <c r="AV22" s="36">
        <v>200000</v>
      </c>
      <c r="BA22" s="36" t="s">
        <v>157</v>
      </c>
      <c r="BB22" s="36" t="s">
        <v>810</v>
      </c>
      <c r="BC22" s="46"/>
      <c r="BD22" s="39" t="s">
        <v>811</v>
      </c>
      <c r="BE22" s="36">
        <v>1</v>
      </c>
      <c r="BF22" s="36" t="s">
        <v>160</v>
      </c>
      <c r="BG22" s="36" t="s">
        <v>161</v>
      </c>
      <c r="BH22" s="36" t="s">
        <v>162</v>
      </c>
      <c r="BJ22" s="38">
        <v>7200</v>
      </c>
      <c r="BK22" s="38">
        <v>1800</v>
      </c>
      <c r="BL22" s="36">
        <v>1435</v>
      </c>
      <c r="BM22" s="36">
        <v>1</v>
      </c>
      <c r="BN22" s="35" t="s">
        <v>157</v>
      </c>
      <c r="BO22" s="36" t="s">
        <v>812</v>
      </c>
      <c r="BP22" s="54" t="s">
        <v>157</v>
      </c>
      <c r="BQ22" s="36" t="s">
        <v>813</v>
      </c>
    </row>
    <row r="23" spans="1:69" s="35" customFormat="1" x14ac:dyDescent="0.45">
      <c r="A23" s="35">
        <v>40120</v>
      </c>
      <c r="B23" s="36" t="s">
        <v>853</v>
      </c>
      <c r="C23" s="35" t="s">
        <v>141</v>
      </c>
      <c r="D23" s="35" t="s">
        <v>142</v>
      </c>
      <c r="E23" s="35" t="s">
        <v>701</v>
      </c>
      <c r="F23" s="36" t="s">
        <v>144</v>
      </c>
      <c r="G23" s="35" t="s">
        <v>145</v>
      </c>
      <c r="H23" s="35" t="s">
        <v>146</v>
      </c>
      <c r="J23" s="35" t="s">
        <v>147</v>
      </c>
      <c r="K23" s="35" t="s">
        <v>804</v>
      </c>
      <c r="L23" s="35" t="s">
        <v>149</v>
      </c>
      <c r="M23" s="38">
        <v>6500000</v>
      </c>
      <c r="N23" s="36">
        <v>1</v>
      </c>
      <c r="O23" s="35" t="s">
        <v>150</v>
      </c>
      <c r="P23" s="38">
        <v>3000</v>
      </c>
      <c r="Q23" s="42" t="s">
        <v>845</v>
      </c>
      <c r="R23" s="35" t="s">
        <v>806</v>
      </c>
      <c r="T23" s="36">
        <v>20</v>
      </c>
      <c r="U23" s="36"/>
      <c r="V23" s="36"/>
      <c r="W23" s="36"/>
      <c r="Z23" s="38" t="s">
        <v>807</v>
      </c>
      <c r="AA23" s="38">
        <v>1000</v>
      </c>
      <c r="AB23" s="35">
        <v>5</v>
      </c>
      <c r="AD23" s="38">
        <v>2700000</v>
      </c>
      <c r="AE23" s="38">
        <v>500000</v>
      </c>
      <c r="AF23" s="35">
        <v>500</v>
      </c>
      <c r="AG23" s="35">
        <v>0</v>
      </c>
      <c r="AH23" s="36">
        <v>-1</v>
      </c>
      <c r="AI23" s="38"/>
      <c r="AJ23" s="38">
        <v>1000</v>
      </c>
      <c r="AK23" s="35">
        <v>216000</v>
      </c>
      <c r="AL23" s="36">
        <v>1000</v>
      </c>
      <c r="AM23" s="35">
        <v>500</v>
      </c>
      <c r="AN23" s="35">
        <v>600</v>
      </c>
      <c r="AO23" s="35">
        <v>2500</v>
      </c>
      <c r="AP23" s="38" t="s">
        <v>155</v>
      </c>
      <c r="AQ23" s="38">
        <v>100</v>
      </c>
      <c r="AR23" s="38" t="s">
        <v>809</v>
      </c>
      <c r="AS23" s="38">
        <v>2000</v>
      </c>
      <c r="AT23" s="38">
        <v>10800</v>
      </c>
      <c r="AU23" s="38">
        <v>2700000</v>
      </c>
      <c r="AV23" s="35">
        <v>200000</v>
      </c>
      <c r="BA23" s="35" t="s">
        <v>157</v>
      </c>
      <c r="BB23" s="35" t="s">
        <v>810</v>
      </c>
      <c r="BC23" s="48"/>
      <c r="BD23" s="39" t="s">
        <v>811</v>
      </c>
      <c r="BE23" s="35">
        <v>1</v>
      </c>
      <c r="BF23" s="35" t="s">
        <v>160</v>
      </c>
      <c r="BG23" s="35" t="s">
        <v>161</v>
      </c>
      <c r="BH23" s="35" t="s">
        <v>162</v>
      </c>
      <c r="BI23" s="53"/>
      <c r="BJ23" s="38">
        <v>7200</v>
      </c>
      <c r="BK23" s="38">
        <v>1800</v>
      </c>
      <c r="BL23" s="36">
        <v>1540</v>
      </c>
      <c r="BM23" s="36">
        <v>1</v>
      </c>
      <c r="BN23" s="35" t="s">
        <v>157</v>
      </c>
      <c r="BO23" s="35" t="s">
        <v>812</v>
      </c>
      <c r="BP23" s="54" t="s">
        <v>157</v>
      </c>
      <c r="BQ23" s="36" t="s">
        <v>813</v>
      </c>
    </row>
    <row r="24" spans="1:69" x14ac:dyDescent="0.45">
      <c r="A24" s="36">
        <v>40201</v>
      </c>
      <c r="B24" s="36" t="s">
        <v>854</v>
      </c>
      <c r="C24" s="36" t="s">
        <v>141</v>
      </c>
      <c r="D24" s="36" t="s">
        <v>142</v>
      </c>
      <c r="E24" s="36" t="s">
        <v>716</v>
      </c>
      <c r="F24" s="36" t="s">
        <v>144</v>
      </c>
      <c r="G24" s="36" t="s">
        <v>145</v>
      </c>
      <c r="H24" s="36" t="s">
        <v>146</v>
      </c>
      <c r="J24" s="36" t="s">
        <v>147</v>
      </c>
      <c r="K24" s="36" t="s">
        <v>855</v>
      </c>
      <c r="L24" s="36" t="s">
        <v>149</v>
      </c>
      <c r="M24" s="38">
        <v>2700000</v>
      </c>
      <c r="N24" s="36">
        <v>1</v>
      </c>
      <c r="O24" s="36" t="s">
        <v>150</v>
      </c>
      <c r="P24" s="38">
        <v>50</v>
      </c>
      <c r="Q24" s="36" t="s">
        <v>805</v>
      </c>
      <c r="R24" s="36" t="s">
        <v>856</v>
      </c>
      <c r="T24" s="36">
        <v>1</v>
      </c>
      <c r="Z24" s="38" t="s">
        <v>807</v>
      </c>
      <c r="AA24" s="38">
        <v>1000</v>
      </c>
      <c r="AB24" s="36">
        <v>5</v>
      </c>
      <c r="AD24" s="38">
        <v>2700000</v>
      </c>
      <c r="AE24" s="38">
        <v>500000</v>
      </c>
      <c r="AF24" s="36">
        <v>500</v>
      </c>
      <c r="AG24" s="36">
        <v>0</v>
      </c>
      <c r="AH24" s="36">
        <v>40202</v>
      </c>
      <c r="AI24" s="38" t="s">
        <v>808</v>
      </c>
      <c r="AJ24" s="38">
        <v>1000</v>
      </c>
      <c r="AK24" s="36">
        <v>21600</v>
      </c>
      <c r="AL24" s="36">
        <v>1000</v>
      </c>
      <c r="AM24" s="36">
        <v>500</v>
      </c>
      <c r="AN24" s="36">
        <v>600</v>
      </c>
      <c r="AO24" s="36">
        <v>2500</v>
      </c>
      <c r="AP24" s="38" t="s">
        <v>155</v>
      </c>
      <c r="AQ24" s="38">
        <v>100</v>
      </c>
      <c r="AR24" s="38" t="s">
        <v>809</v>
      </c>
      <c r="AS24" s="38">
        <v>2000</v>
      </c>
      <c r="AT24" s="38">
        <v>10800</v>
      </c>
      <c r="AU24" s="38">
        <v>2700000</v>
      </c>
      <c r="AV24" s="36">
        <v>200000</v>
      </c>
      <c r="BA24" s="36" t="s">
        <v>157</v>
      </c>
      <c r="BB24" s="36" t="s">
        <v>857</v>
      </c>
      <c r="BC24" s="46"/>
      <c r="BD24" s="39" t="s">
        <v>811</v>
      </c>
      <c r="BE24" s="36">
        <v>1</v>
      </c>
      <c r="BF24" s="36" t="s">
        <v>160</v>
      </c>
      <c r="BG24" s="36" t="s">
        <v>161</v>
      </c>
      <c r="BH24" s="36" t="s">
        <v>162</v>
      </c>
      <c r="BJ24" s="38">
        <v>7200</v>
      </c>
      <c r="BK24" s="38">
        <v>1800</v>
      </c>
      <c r="BL24" s="36">
        <f t="shared" ref="BL24:BL87" si="0">BL4</f>
        <v>400</v>
      </c>
      <c r="BM24" s="36">
        <v>2</v>
      </c>
      <c r="BN24" s="35" t="s">
        <v>157</v>
      </c>
      <c r="BO24" s="36" t="s">
        <v>858</v>
      </c>
      <c r="BP24" s="54" t="s">
        <v>157</v>
      </c>
      <c r="BQ24" s="36" t="s">
        <v>859</v>
      </c>
    </row>
    <row r="25" spans="1:69" x14ac:dyDescent="0.45">
      <c r="A25" s="36">
        <v>40202</v>
      </c>
      <c r="B25" s="36" t="s">
        <v>860</v>
      </c>
      <c r="C25" s="36" t="s">
        <v>141</v>
      </c>
      <c r="D25" s="36" t="s">
        <v>142</v>
      </c>
      <c r="E25" s="36" t="s">
        <v>716</v>
      </c>
      <c r="F25" s="36" t="s">
        <v>144</v>
      </c>
      <c r="G25" s="36" t="s">
        <v>145</v>
      </c>
      <c r="H25" s="36" t="s">
        <v>146</v>
      </c>
      <c r="J25" s="36" t="s">
        <v>147</v>
      </c>
      <c r="K25" s="36" t="s">
        <v>855</v>
      </c>
      <c r="L25" s="36" t="s">
        <v>149</v>
      </c>
      <c r="M25" s="38">
        <v>2900000</v>
      </c>
      <c r="N25" s="36">
        <v>1</v>
      </c>
      <c r="O25" s="36" t="s">
        <v>150</v>
      </c>
      <c r="P25" s="38">
        <v>100</v>
      </c>
      <c r="Q25" s="36" t="s">
        <v>805</v>
      </c>
      <c r="R25" s="36" t="s">
        <v>856</v>
      </c>
      <c r="T25" s="36">
        <v>2</v>
      </c>
      <c r="Z25" s="38" t="s">
        <v>807</v>
      </c>
      <c r="AA25" s="38">
        <v>1000</v>
      </c>
      <c r="AB25" s="36">
        <v>5</v>
      </c>
      <c r="AD25" s="38">
        <v>2700000</v>
      </c>
      <c r="AE25" s="38">
        <v>500000</v>
      </c>
      <c r="AF25" s="36">
        <v>500</v>
      </c>
      <c r="AG25" s="36">
        <v>0</v>
      </c>
      <c r="AH25" s="36">
        <v>40203</v>
      </c>
      <c r="AI25" s="38" t="s">
        <v>815</v>
      </c>
      <c r="AJ25" s="38">
        <v>1000</v>
      </c>
      <c r="AK25" s="36">
        <v>21600</v>
      </c>
      <c r="AL25" s="36">
        <v>1000</v>
      </c>
      <c r="AM25" s="36">
        <v>500</v>
      </c>
      <c r="AN25" s="36">
        <v>600</v>
      </c>
      <c r="AO25" s="36">
        <v>2500</v>
      </c>
      <c r="AP25" s="38" t="s">
        <v>155</v>
      </c>
      <c r="AQ25" s="38">
        <v>100</v>
      </c>
      <c r="AR25" s="38" t="s">
        <v>809</v>
      </c>
      <c r="AS25" s="38">
        <v>2000</v>
      </c>
      <c r="AT25" s="38">
        <v>10800</v>
      </c>
      <c r="AU25" s="38">
        <v>2700000</v>
      </c>
      <c r="AV25" s="36">
        <v>200000</v>
      </c>
      <c r="BA25" s="36" t="s">
        <v>157</v>
      </c>
      <c r="BB25" s="36" t="s">
        <v>857</v>
      </c>
      <c r="BC25" s="46"/>
      <c r="BD25" s="39" t="s">
        <v>811</v>
      </c>
      <c r="BE25" s="36">
        <v>1</v>
      </c>
      <c r="BF25" s="36" t="s">
        <v>160</v>
      </c>
      <c r="BG25" s="36" t="s">
        <v>161</v>
      </c>
      <c r="BH25" s="36" t="s">
        <v>162</v>
      </c>
      <c r="BJ25" s="38">
        <v>7200</v>
      </c>
      <c r="BK25" s="38">
        <v>1800</v>
      </c>
      <c r="BL25" s="36">
        <f t="shared" si="0"/>
        <v>415</v>
      </c>
      <c r="BM25" s="36">
        <v>2</v>
      </c>
      <c r="BN25" s="35" t="s">
        <v>157</v>
      </c>
      <c r="BO25" s="36" t="s">
        <v>858</v>
      </c>
      <c r="BP25" s="54" t="s">
        <v>157</v>
      </c>
      <c r="BQ25" s="36" t="s">
        <v>859</v>
      </c>
    </row>
    <row r="26" spans="1:69" x14ac:dyDescent="0.45">
      <c r="A26" s="36">
        <v>40203</v>
      </c>
      <c r="B26" s="36" t="s">
        <v>861</v>
      </c>
      <c r="C26" s="36" t="s">
        <v>141</v>
      </c>
      <c r="D26" s="36" t="s">
        <v>142</v>
      </c>
      <c r="E26" s="36" t="s">
        <v>716</v>
      </c>
      <c r="F26" s="36" t="s">
        <v>144</v>
      </c>
      <c r="G26" s="36" t="s">
        <v>145</v>
      </c>
      <c r="H26" s="36" t="s">
        <v>146</v>
      </c>
      <c r="J26" s="36" t="s">
        <v>147</v>
      </c>
      <c r="K26" s="36" t="s">
        <v>855</v>
      </c>
      <c r="L26" s="36" t="s">
        <v>149</v>
      </c>
      <c r="M26" s="38">
        <v>3100000</v>
      </c>
      <c r="N26" s="36">
        <v>1</v>
      </c>
      <c r="O26" s="36" t="s">
        <v>150</v>
      </c>
      <c r="P26" s="38">
        <v>150</v>
      </c>
      <c r="Q26" s="36" t="s">
        <v>805</v>
      </c>
      <c r="R26" s="36" t="s">
        <v>856</v>
      </c>
      <c r="T26" s="36">
        <v>3</v>
      </c>
      <c r="Z26" s="38" t="s">
        <v>807</v>
      </c>
      <c r="AA26" s="38">
        <v>1000</v>
      </c>
      <c r="AB26" s="36">
        <v>5</v>
      </c>
      <c r="AD26" s="38">
        <v>2700000</v>
      </c>
      <c r="AE26" s="38">
        <v>500000</v>
      </c>
      <c r="AF26" s="36">
        <v>500</v>
      </c>
      <c r="AG26" s="36">
        <v>0</v>
      </c>
      <c r="AH26" s="36">
        <v>40204</v>
      </c>
      <c r="AI26" s="38" t="s">
        <v>817</v>
      </c>
      <c r="AJ26" s="38">
        <v>1000</v>
      </c>
      <c r="AK26" s="36">
        <v>32400</v>
      </c>
      <c r="AL26" s="36">
        <v>1000</v>
      </c>
      <c r="AM26" s="36">
        <v>500</v>
      </c>
      <c r="AN26" s="36">
        <v>600</v>
      </c>
      <c r="AO26" s="36">
        <v>2500</v>
      </c>
      <c r="AP26" s="38" t="s">
        <v>155</v>
      </c>
      <c r="AQ26" s="38">
        <v>100</v>
      </c>
      <c r="AR26" s="38" t="s">
        <v>809</v>
      </c>
      <c r="AS26" s="38">
        <v>2000</v>
      </c>
      <c r="AT26" s="38">
        <v>10800</v>
      </c>
      <c r="AU26" s="38">
        <v>2700000</v>
      </c>
      <c r="AV26" s="36">
        <v>200000</v>
      </c>
      <c r="BA26" s="36" t="s">
        <v>157</v>
      </c>
      <c r="BB26" s="36" t="s">
        <v>857</v>
      </c>
      <c r="BC26" s="46"/>
      <c r="BD26" s="39" t="s">
        <v>811</v>
      </c>
      <c r="BE26" s="36">
        <v>1</v>
      </c>
      <c r="BF26" s="36" t="s">
        <v>160</v>
      </c>
      <c r="BG26" s="36" t="s">
        <v>161</v>
      </c>
      <c r="BH26" s="36" t="s">
        <v>162</v>
      </c>
      <c r="BJ26" s="38">
        <v>7200</v>
      </c>
      <c r="BK26" s="38">
        <v>1800</v>
      </c>
      <c r="BL26" s="36">
        <f t="shared" si="0"/>
        <v>435</v>
      </c>
      <c r="BM26" s="36">
        <v>2</v>
      </c>
      <c r="BN26" s="35" t="s">
        <v>157</v>
      </c>
      <c r="BO26" s="36" t="s">
        <v>858</v>
      </c>
      <c r="BP26" s="54" t="s">
        <v>157</v>
      </c>
      <c r="BQ26" s="36" t="s">
        <v>859</v>
      </c>
    </row>
    <row r="27" spans="1:69" s="35" customFormat="1" x14ac:dyDescent="0.45">
      <c r="A27" s="36">
        <v>40204</v>
      </c>
      <c r="B27" s="36" t="s">
        <v>862</v>
      </c>
      <c r="C27" s="36" t="s">
        <v>141</v>
      </c>
      <c r="D27" s="36" t="s">
        <v>142</v>
      </c>
      <c r="E27" s="36" t="s">
        <v>716</v>
      </c>
      <c r="F27" s="36" t="s">
        <v>144</v>
      </c>
      <c r="G27" s="36" t="s">
        <v>145</v>
      </c>
      <c r="H27" s="36" t="s">
        <v>146</v>
      </c>
      <c r="I27" s="36"/>
      <c r="J27" s="36" t="s">
        <v>147</v>
      </c>
      <c r="K27" s="36" t="s">
        <v>855</v>
      </c>
      <c r="L27" s="36" t="s">
        <v>149</v>
      </c>
      <c r="M27" s="38">
        <v>3300000</v>
      </c>
      <c r="N27" s="36">
        <v>1</v>
      </c>
      <c r="O27" s="36" t="s">
        <v>150</v>
      </c>
      <c r="P27" s="38">
        <v>200</v>
      </c>
      <c r="Q27" s="36" t="s">
        <v>805</v>
      </c>
      <c r="R27" s="36" t="s">
        <v>856</v>
      </c>
      <c r="S27" s="36"/>
      <c r="T27" s="36">
        <v>4</v>
      </c>
      <c r="U27" s="36"/>
      <c r="V27" s="36"/>
      <c r="W27" s="36"/>
      <c r="X27" s="36"/>
      <c r="Y27" s="36"/>
      <c r="Z27" s="38" t="s">
        <v>807</v>
      </c>
      <c r="AA27" s="38">
        <v>1000</v>
      </c>
      <c r="AB27" s="36">
        <v>5</v>
      </c>
      <c r="AC27" s="36"/>
      <c r="AD27" s="38">
        <v>2700000</v>
      </c>
      <c r="AE27" s="38">
        <v>500000</v>
      </c>
      <c r="AF27" s="36">
        <v>500</v>
      </c>
      <c r="AG27" s="36">
        <v>0</v>
      </c>
      <c r="AH27" s="36">
        <v>40205</v>
      </c>
      <c r="AI27" s="38" t="s">
        <v>819</v>
      </c>
      <c r="AJ27" s="38">
        <v>1000</v>
      </c>
      <c r="AK27" s="36">
        <v>43200</v>
      </c>
      <c r="AL27" s="36">
        <v>1000</v>
      </c>
      <c r="AM27" s="36">
        <v>500</v>
      </c>
      <c r="AN27" s="36">
        <v>600</v>
      </c>
      <c r="AO27" s="36">
        <v>2500</v>
      </c>
      <c r="AP27" s="38" t="s">
        <v>155</v>
      </c>
      <c r="AQ27" s="38">
        <v>100</v>
      </c>
      <c r="AR27" s="38" t="s">
        <v>809</v>
      </c>
      <c r="AS27" s="38">
        <v>2000</v>
      </c>
      <c r="AT27" s="38">
        <v>10800</v>
      </c>
      <c r="AU27" s="38">
        <v>2700000</v>
      </c>
      <c r="AV27" s="36">
        <v>200000</v>
      </c>
      <c r="AW27" s="36"/>
      <c r="AX27" s="36"/>
      <c r="AY27" s="36"/>
      <c r="AZ27" s="36"/>
      <c r="BA27" s="36" t="s">
        <v>157</v>
      </c>
      <c r="BB27" s="36" t="s">
        <v>857</v>
      </c>
      <c r="BC27" s="46"/>
      <c r="BD27" s="39" t="s">
        <v>811</v>
      </c>
      <c r="BE27" s="36">
        <v>1</v>
      </c>
      <c r="BF27" s="36" t="s">
        <v>160</v>
      </c>
      <c r="BG27" s="36" t="s">
        <v>161</v>
      </c>
      <c r="BH27" s="36" t="s">
        <v>162</v>
      </c>
      <c r="BI27"/>
      <c r="BJ27" s="38">
        <v>7200</v>
      </c>
      <c r="BK27" s="38">
        <v>1800</v>
      </c>
      <c r="BL27" s="36">
        <f t="shared" si="0"/>
        <v>460</v>
      </c>
      <c r="BM27" s="36">
        <v>2</v>
      </c>
      <c r="BN27" s="35" t="s">
        <v>157</v>
      </c>
      <c r="BO27" s="36" t="s">
        <v>858</v>
      </c>
      <c r="BP27" s="54" t="s">
        <v>157</v>
      </c>
      <c r="BQ27" s="36" t="s">
        <v>859</v>
      </c>
    </row>
    <row r="28" spans="1:69" x14ac:dyDescent="0.45">
      <c r="A28" s="36">
        <v>40205</v>
      </c>
      <c r="B28" s="36" t="s">
        <v>863</v>
      </c>
      <c r="C28" s="36" t="s">
        <v>141</v>
      </c>
      <c r="D28" s="36" t="s">
        <v>142</v>
      </c>
      <c r="E28" s="36" t="s">
        <v>716</v>
      </c>
      <c r="F28" s="36" t="s">
        <v>144</v>
      </c>
      <c r="G28" s="36" t="s">
        <v>145</v>
      </c>
      <c r="H28" s="36" t="s">
        <v>146</v>
      </c>
      <c r="J28" s="36" t="s">
        <v>147</v>
      </c>
      <c r="K28" s="36" t="s">
        <v>855</v>
      </c>
      <c r="L28" s="36" t="s">
        <v>149</v>
      </c>
      <c r="M28" s="38">
        <v>3500000</v>
      </c>
      <c r="N28" s="36">
        <v>1</v>
      </c>
      <c r="O28" s="36" t="s">
        <v>150</v>
      </c>
      <c r="P28" s="38">
        <v>250</v>
      </c>
      <c r="Q28" s="36" t="s">
        <v>805</v>
      </c>
      <c r="R28" s="36" t="s">
        <v>856</v>
      </c>
      <c r="T28" s="36">
        <v>5</v>
      </c>
      <c r="Z28" s="38" t="s">
        <v>807</v>
      </c>
      <c r="AA28" s="38">
        <v>1000</v>
      </c>
      <c r="AB28" s="36">
        <v>5</v>
      </c>
      <c r="AD28" s="38">
        <v>2700000</v>
      </c>
      <c r="AE28" s="38">
        <v>500000</v>
      </c>
      <c r="AF28" s="36">
        <v>500</v>
      </c>
      <c r="AG28" s="36">
        <v>0</v>
      </c>
      <c r="AH28" s="36">
        <v>40206</v>
      </c>
      <c r="AI28" s="38" t="s">
        <v>821</v>
      </c>
      <c r="AJ28" s="38">
        <v>1000</v>
      </c>
      <c r="AK28" s="36">
        <v>54000</v>
      </c>
      <c r="AL28" s="36">
        <v>1000</v>
      </c>
      <c r="AM28" s="36">
        <v>500</v>
      </c>
      <c r="AN28" s="36">
        <v>600</v>
      </c>
      <c r="AO28" s="36">
        <v>2500</v>
      </c>
      <c r="AP28" s="38" t="s">
        <v>155</v>
      </c>
      <c r="AQ28" s="38">
        <v>100</v>
      </c>
      <c r="AR28" s="38" t="s">
        <v>809</v>
      </c>
      <c r="AS28" s="38">
        <v>2000</v>
      </c>
      <c r="AT28" s="38">
        <v>10800</v>
      </c>
      <c r="AU28" s="38">
        <v>2700000</v>
      </c>
      <c r="AV28" s="36">
        <v>200000</v>
      </c>
      <c r="BA28" s="36" t="s">
        <v>157</v>
      </c>
      <c r="BB28" s="36" t="s">
        <v>857</v>
      </c>
      <c r="BC28" s="46"/>
      <c r="BD28" s="39" t="s">
        <v>811</v>
      </c>
      <c r="BE28" s="36">
        <v>1</v>
      </c>
      <c r="BF28" s="36" t="s">
        <v>160</v>
      </c>
      <c r="BG28" s="36" t="s">
        <v>161</v>
      </c>
      <c r="BH28" s="36" t="s">
        <v>162</v>
      </c>
      <c r="BJ28" s="38">
        <v>7200</v>
      </c>
      <c r="BK28" s="38">
        <v>1800</v>
      </c>
      <c r="BL28" s="36">
        <f t="shared" si="0"/>
        <v>490</v>
      </c>
      <c r="BM28" s="36">
        <v>2</v>
      </c>
      <c r="BN28" s="35" t="s">
        <v>157</v>
      </c>
      <c r="BO28" s="36" t="s">
        <v>858</v>
      </c>
      <c r="BP28" s="54" t="s">
        <v>157</v>
      </c>
      <c r="BQ28" s="36" t="s">
        <v>859</v>
      </c>
    </row>
    <row r="29" spans="1:69" x14ac:dyDescent="0.45">
      <c r="A29" s="36">
        <v>40206</v>
      </c>
      <c r="B29" s="36" t="s">
        <v>864</v>
      </c>
      <c r="C29" s="36" t="s">
        <v>141</v>
      </c>
      <c r="D29" s="36" t="s">
        <v>142</v>
      </c>
      <c r="E29" s="36" t="s">
        <v>716</v>
      </c>
      <c r="F29" s="36" t="s">
        <v>144</v>
      </c>
      <c r="G29" s="36" t="s">
        <v>145</v>
      </c>
      <c r="H29" s="36" t="s">
        <v>146</v>
      </c>
      <c r="J29" s="36" t="s">
        <v>147</v>
      </c>
      <c r="K29" s="36" t="s">
        <v>855</v>
      </c>
      <c r="L29" s="36" t="s">
        <v>149</v>
      </c>
      <c r="M29" s="38">
        <v>3700000</v>
      </c>
      <c r="N29" s="36">
        <v>1</v>
      </c>
      <c r="O29" s="36" t="s">
        <v>150</v>
      </c>
      <c r="P29" s="38">
        <v>300</v>
      </c>
      <c r="Q29" s="42" t="s">
        <v>823</v>
      </c>
      <c r="R29" s="36" t="s">
        <v>856</v>
      </c>
      <c r="T29" s="36">
        <v>6</v>
      </c>
      <c r="Z29" s="38" t="s">
        <v>807</v>
      </c>
      <c r="AA29" s="38">
        <v>1000</v>
      </c>
      <c r="AB29" s="36">
        <v>5</v>
      </c>
      <c r="AD29" s="38">
        <v>2700000</v>
      </c>
      <c r="AE29" s="38">
        <v>500000</v>
      </c>
      <c r="AF29" s="36">
        <v>500</v>
      </c>
      <c r="AG29" s="36">
        <v>0</v>
      </c>
      <c r="AH29" s="36">
        <v>40207</v>
      </c>
      <c r="AI29" s="38" t="s">
        <v>824</v>
      </c>
      <c r="AJ29" s="38">
        <v>1000</v>
      </c>
      <c r="AK29" s="36">
        <v>64800</v>
      </c>
      <c r="AL29" s="36">
        <v>1000</v>
      </c>
      <c r="AM29" s="36">
        <v>500</v>
      </c>
      <c r="AN29" s="36">
        <v>600</v>
      </c>
      <c r="AO29" s="36">
        <v>2500</v>
      </c>
      <c r="AP29" s="38" t="s">
        <v>155</v>
      </c>
      <c r="AQ29" s="38">
        <v>100</v>
      </c>
      <c r="AR29" s="38" t="s">
        <v>809</v>
      </c>
      <c r="AS29" s="38">
        <v>2000</v>
      </c>
      <c r="AT29" s="38">
        <v>10800</v>
      </c>
      <c r="AU29" s="38">
        <v>2700000</v>
      </c>
      <c r="AV29" s="36">
        <v>200000</v>
      </c>
      <c r="BA29" s="36" t="s">
        <v>157</v>
      </c>
      <c r="BB29" s="36" t="s">
        <v>857</v>
      </c>
      <c r="BC29" s="46"/>
      <c r="BD29" s="39" t="s">
        <v>811</v>
      </c>
      <c r="BE29" s="36">
        <v>1</v>
      </c>
      <c r="BF29" s="36" t="s">
        <v>160</v>
      </c>
      <c r="BG29" s="36" t="s">
        <v>161</v>
      </c>
      <c r="BH29" s="36" t="s">
        <v>162</v>
      </c>
      <c r="BJ29" s="38">
        <v>7200</v>
      </c>
      <c r="BK29" s="38">
        <v>1800</v>
      </c>
      <c r="BL29" s="36">
        <f t="shared" si="0"/>
        <v>525</v>
      </c>
      <c r="BM29" s="36">
        <v>2</v>
      </c>
      <c r="BN29" s="35" t="s">
        <v>157</v>
      </c>
      <c r="BO29" s="36" t="s">
        <v>858</v>
      </c>
      <c r="BP29" s="54" t="s">
        <v>157</v>
      </c>
      <c r="BQ29" s="36" t="s">
        <v>859</v>
      </c>
    </row>
    <row r="30" spans="1:69" x14ac:dyDescent="0.45">
      <c r="A30" s="36">
        <v>40207</v>
      </c>
      <c r="B30" s="36" t="s">
        <v>865</v>
      </c>
      <c r="C30" s="36" t="s">
        <v>141</v>
      </c>
      <c r="D30" s="36" t="s">
        <v>142</v>
      </c>
      <c r="E30" s="36" t="s">
        <v>716</v>
      </c>
      <c r="F30" s="36" t="s">
        <v>144</v>
      </c>
      <c r="G30" s="36" t="s">
        <v>145</v>
      </c>
      <c r="H30" s="36" t="s">
        <v>146</v>
      </c>
      <c r="J30" s="36" t="s">
        <v>147</v>
      </c>
      <c r="K30" s="36" t="s">
        <v>855</v>
      </c>
      <c r="L30" s="36" t="s">
        <v>149</v>
      </c>
      <c r="M30" s="38">
        <v>3900000</v>
      </c>
      <c r="N30" s="36">
        <v>1</v>
      </c>
      <c r="O30" s="36" t="s">
        <v>150</v>
      </c>
      <c r="P30" s="38">
        <v>350</v>
      </c>
      <c r="Q30" s="42" t="s">
        <v>823</v>
      </c>
      <c r="R30" s="36" t="s">
        <v>856</v>
      </c>
      <c r="T30" s="36">
        <v>7</v>
      </c>
      <c r="Z30" s="38" t="s">
        <v>807</v>
      </c>
      <c r="AA30" s="38">
        <v>1000</v>
      </c>
      <c r="AB30" s="36">
        <v>5</v>
      </c>
      <c r="AD30" s="38">
        <v>2700000</v>
      </c>
      <c r="AE30" s="38">
        <v>500000</v>
      </c>
      <c r="AF30" s="36">
        <v>500</v>
      </c>
      <c r="AG30" s="36">
        <v>0</v>
      </c>
      <c r="AH30" s="36">
        <v>40208</v>
      </c>
      <c r="AI30" s="38" t="s">
        <v>826</v>
      </c>
      <c r="AJ30" s="38">
        <v>1000</v>
      </c>
      <c r="AK30" s="36">
        <v>75600</v>
      </c>
      <c r="AL30" s="36">
        <v>1000</v>
      </c>
      <c r="AM30" s="36">
        <v>500</v>
      </c>
      <c r="AN30" s="36">
        <v>600</v>
      </c>
      <c r="AO30" s="36">
        <v>2500</v>
      </c>
      <c r="AP30" s="38" t="s">
        <v>155</v>
      </c>
      <c r="AQ30" s="38">
        <v>100</v>
      </c>
      <c r="AR30" s="38" t="s">
        <v>809</v>
      </c>
      <c r="AS30" s="38">
        <v>2000</v>
      </c>
      <c r="AT30" s="38">
        <v>10800</v>
      </c>
      <c r="AU30" s="38">
        <v>2700000</v>
      </c>
      <c r="AV30" s="36">
        <v>200000</v>
      </c>
      <c r="BA30" s="36" t="s">
        <v>157</v>
      </c>
      <c r="BB30" s="36" t="s">
        <v>857</v>
      </c>
      <c r="BC30" s="46"/>
      <c r="BD30" s="39" t="s">
        <v>811</v>
      </c>
      <c r="BE30" s="36">
        <v>1</v>
      </c>
      <c r="BF30" s="36" t="s">
        <v>160</v>
      </c>
      <c r="BG30" s="36" t="s">
        <v>161</v>
      </c>
      <c r="BH30" s="36" t="s">
        <v>162</v>
      </c>
      <c r="BJ30" s="38">
        <v>7200</v>
      </c>
      <c r="BK30" s="38">
        <v>1800</v>
      </c>
      <c r="BL30" s="36">
        <f t="shared" si="0"/>
        <v>565</v>
      </c>
      <c r="BM30" s="36">
        <v>2</v>
      </c>
      <c r="BN30" s="35" t="s">
        <v>157</v>
      </c>
      <c r="BO30" s="36" t="s">
        <v>858</v>
      </c>
      <c r="BP30" s="54" t="s">
        <v>157</v>
      </c>
      <c r="BQ30" s="36" t="s">
        <v>859</v>
      </c>
    </row>
    <row r="31" spans="1:69" x14ac:dyDescent="0.45">
      <c r="A31" s="36">
        <v>40208</v>
      </c>
      <c r="B31" s="36" t="s">
        <v>866</v>
      </c>
      <c r="C31" s="36" t="s">
        <v>141</v>
      </c>
      <c r="D31" s="36" t="s">
        <v>142</v>
      </c>
      <c r="E31" s="36" t="s">
        <v>716</v>
      </c>
      <c r="F31" s="36" t="s">
        <v>144</v>
      </c>
      <c r="G31" s="36" t="s">
        <v>145</v>
      </c>
      <c r="H31" s="36" t="s">
        <v>146</v>
      </c>
      <c r="J31" s="36" t="s">
        <v>147</v>
      </c>
      <c r="K31" s="36" t="s">
        <v>855</v>
      </c>
      <c r="L31" s="36" t="s">
        <v>149</v>
      </c>
      <c r="M31" s="38">
        <v>4100000</v>
      </c>
      <c r="N31" s="36">
        <v>1</v>
      </c>
      <c r="O31" s="36" t="s">
        <v>150</v>
      </c>
      <c r="P31" s="38">
        <v>400</v>
      </c>
      <c r="Q31" s="42" t="s">
        <v>823</v>
      </c>
      <c r="R31" s="36" t="s">
        <v>856</v>
      </c>
      <c r="T31" s="36">
        <v>8</v>
      </c>
      <c r="Z31" s="38" t="s">
        <v>807</v>
      </c>
      <c r="AA31" s="38">
        <v>1000</v>
      </c>
      <c r="AB31" s="36">
        <v>5</v>
      </c>
      <c r="AD31" s="38">
        <v>2700000</v>
      </c>
      <c r="AE31" s="38">
        <v>500000</v>
      </c>
      <c r="AF31" s="36">
        <v>500</v>
      </c>
      <c r="AG31" s="36">
        <v>0</v>
      </c>
      <c r="AH31" s="36">
        <v>40209</v>
      </c>
      <c r="AI31" s="38" t="s">
        <v>828</v>
      </c>
      <c r="AJ31" s="38">
        <v>1000</v>
      </c>
      <c r="AK31" s="36">
        <v>86400</v>
      </c>
      <c r="AL31" s="36">
        <v>1000</v>
      </c>
      <c r="AM31" s="36">
        <v>500</v>
      </c>
      <c r="AN31" s="36">
        <v>600</v>
      </c>
      <c r="AO31" s="36">
        <v>2500</v>
      </c>
      <c r="AP31" s="38" t="s">
        <v>155</v>
      </c>
      <c r="AQ31" s="38">
        <v>100</v>
      </c>
      <c r="AR31" s="38" t="s">
        <v>809</v>
      </c>
      <c r="AS31" s="38">
        <v>2000</v>
      </c>
      <c r="AT31" s="38">
        <v>10800</v>
      </c>
      <c r="AU31" s="38">
        <v>2700000</v>
      </c>
      <c r="AV31" s="36">
        <v>200000</v>
      </c>
      <c r="BA31" s="36" t="s">
        <v>157</v>
      </c>
      <c r="BB31" s="36" t="s">
        <v>857</v>
      </c>
      <c r="BC31" s="46"/>
      <c r="BD31" s="39" t="s">
        <v>811</v>
      </c>
      <c r="BE31" s="36">
        <v>1</v>
      </c>
      <c r="BF31" s="36" t="s">
        <v>160</v>
      </c>
      <c r="BG31" s="36" t="s">
        <v>161</v>
      </c>
      <c r="BH31" s="36" t="s">
        <v>162</v>
      </c>
      <c r="BJ31" s="38">
        <v>7200</v>
      </c>
      <c r="BK31" s="38">
        <v>1800</v>
      </c>
      <c r="BL31" s="36">
        <f t="shared" si="0"/>
        <v>610</v>
      </c>
      <c r="BM31" s="36">
        <v>2</v>
      </c>
      <c r="BN31" s="35" t="s">
        <v>157</v>
      </c>
      <c r="BO31" s="36" t="s">
        <v>858</v>
      </c>
      <c r="BP31" s="54" t="s">
        <v>157</v>
      </c>
      <c r="BQ31" s="36" t="s">
        <v>859</v>
      </c>
    </row>
    <row r="32" spans="1:69" x14ac:dyDescent="0.45">
      <c r="A32" s="36">
        <v>40209</v>
      </c>
      <c r="B32" s="36" t="s">
        <v>867</v>
      </c>
      <c r="C32" s="36" t="s">
        <v>141</v>
      </c>
      <c r="D32" s="36" t="s">
        <v>142</v>
      </c>
      <c r="E32" s="36" t="s">
        <v>716</v>
      </c>
      <c r="F32" s="36" t="s">
        <v>144</v>
      </c>
      <c r="G32" s="36" t="s">
        <v>145</v>
      </c>
      <c r="H32" s="36" t="s">
        <v>146</v>
      </c>
      <c r="J32" s="36" t="s">
        <v>147</v>
      </c>
      <c r="K32" s="36" t="s">
        <v>855</v>
      </c>
      <c r="L32" s="36" t="s">
        <v>149</v>
      </c>
      <c r="M32" s="38">
        <v>4300000</v>
      </c>
      <c r="N32" s="36">
        <v>1</v>
      </c>
      <c r="O32" s="36" t="s">
        <v>150</v>
      </c>
      <c r="P32" s="38">
        <v>450</v>
      </c>
      <c r="Q32" s="42" t="s">
        <v>823</v>
      </c>
      <c r="R32" s="36" t="s">
        <v>856</v>
      </c>
      <c r="T32" s="36">
        <v>9</v>
      </c>
      <c r="Z32" s="38" t="s">
        <v>807</v>
      </c>
      <c r="AA32" s="38">
        <v>1000</v>
      </c>
      <c r="AB32" s="36">
        <v>5</v>
      </c>
      <c r="AD32" s="38">
        <v>2700000</v>
      </c>
      <c r="AE32" s="38">
        <v>500000</v>
      </c>
      <c r="AF32" s="36">
        <v>500</v>
      </c>
      <c r="AG32" s="36">
        <v>0</v>
      </c>
      <c r="AH32" s="36">
        <v>40210</v>
      </c>
      <c r="AI32" s="38" t="s">
        <v>830</v>
      </c>
      <c r="AJ32" s="38">
        <v>1000</v>
      </c>
      <c r="AK32" s="36">
        <v>97200</v>
      </c>
      <c r="AL32" s="36">
        <v>1000</v>
      </c>
      <c r="AM32" s="36">
        <v>500</v>
      </c>
      <c r="AN32" s="36">
        <v>600</v>
      </c>
      <c r="AO32" s="36">
        <v>2500</v>
      </c>
      <c r="AP32" s="38" t="s">
        <v>155</v>
      </c>
      <c r="AQ32" s="38">
        <v>100</v>
      </c>
      <c r="AR32" s="38" t="s">
        <v>809</v>
      </c>
      <c r="AS32" s="38">
        <v>2000</v>
      </c>
      <c r="AT32" s="38">
        <v>10800</v>
      </c>
      <c r="AU32" s="38">
        <v>2700000</v>
      </c>
      <c r="AV32" s="36">
        <v>200000</v>
      </c>
      <c r="BA32" s="36" t="s">
        <v>157</v>
      </c>
      <c r="BB32" s="36" t="s">
        <v>857</v>
      </c>
      <c r="BC32" s="46"/>
      <c r="BD32" s="39" t="s">
        <v>811</v>
      </c>
      <c r="BE32" s="36">
        <v>1</v>
      </c>
      <c r="BF32" s="36" t="s">
        <v>160</v>
      </c>
      <c r="BG32" s="36" t="s">
        <v>161</v>
      </c>
      <c r="BH32" s="36" t="s">
        <v>162</v>
      </c>
      <c r="BJ32" s="38">
        <v>7200</v>
      </c>
      <c r="BK32" s="38">
        <v>1800</v>
      </c>
      <c r="BL32" s="36">
        <f t="shared" si="0"/>
        <v>660</v>
      </c>
      <c r="BM32" s="36">
        <v>2</v>
      </c>
      <c r="BN32" s="35" t="s">
        <v>157</v>
      </c>
      <c r="BO32" s="36" t="s">
        <v>858</v>
      </c>
      <c r="BP32" s="54" t="s">
        <v>157</v>
      </c>
      <c r="BQ32" s="36" t="s">
        <v>859</v>
      </c>
    </row>
    <row r="33" spans="1:69" x14ac:dyDescent="0.45">
      <c r="A33" s="36">
        <v>40210</v>
      </c>
      <c r="B33" s="36" t="s">
        <v>868</v>
      </c>
      <c r="C33" s="36" t="s">
        <v>141</v>
      </c>
      <c r="D33" s="36" t="s">
        <v>142</v>
      </c>
      <c r="E33" s="36" t="s">
        <v>716</v>
      </c>
      <c r="F33" s="36" t="s">
        <v>144</v>
      </c>
      <c r="G33" s="36" t="s">
        <v>145</v>
      </c>
      <c r="H33" s="36" t="s">
        <v>146</v>
      </c>
      <c r="J33" s="36" t="s">
        <v>147</v>
      </c>
      <c r="K33" s="36" t="s">
        <v>855</v>
      </c>
      <c r="L33" s="36" t="s">
        <v>149</v>
      </c>
      <c r="M33" s="38">
        <v>4500000</v>
      </c>
      <c r="N33" s="36">
        <v>1</v>
      </c>
      <c r="O33" s="36" t="s">
        <v>150</v>
      </c>
      <c r="P33" s="38">
        <v>500</v>
      </c>
      <c r="Q33" s="42" t="s">
        <v>823</v>
      </c>
      <c r="R33" s="36" t="s">
        <v>856</v>
      </c>
      <c r="T33" s="36">
        <v>10</v>
      </c>
      <c r="Z33" s="38" t="s">
        <v>807</v>
      </c>
      <c r="AA33" s="38">
        <v>1000</v>
      </c>
      <c r="AB33" s="36">
        <v>5</v>
      </c>
      <c r="AD33" s="38">
        <v>2700000</v>
      </c>
      <c r="AE33" s="38">
        <v>500000</v>
      </c>
      <c r="AF33" s="36">
        <v>500</v>
      </c>
      <c r="AG33" s="36">
        <v>0</v>
      </c>
      <c r="AH33" s="36">
        <v>40211</v>
      </c>
      <c r="AI33" s="38" t="s">
        <v>832</v>
      </c>
      <c r="AJ33" s="38">
        <v>1000</v>
      </c>
      <c r="AK33" s="36">
        <v>108000</v>
      </c>
      <c r="AL33" s="36">
        <v>1000</v>
      </c>
      <c r="AM33" s="36">
        <v>500</v>
      </c>
      <c r="AN33" s="36">
        <v>600</v>
      </c>
      <c r="AO33" s="36">
        <v>2500</v>
      </c>
      <c r="AP33" s="38" t="s">
        <v>155</v>
      </c>
      <c r="AQ33" s="38">
        <v>100</v>
      </c>
      <c r="AR33" s="38" t="s">
        <v>809</v>
      </c>
      <c r="AS33" s="38">
        <v>2000</v>
      </c>
      <c r="AT33" s="38">
        <v>10800</v>
      </c>
      <c r="AU33" s="38">
        <v>2700000</v>
      </c>
      <c r="AV33" s="36">
        <v>200000</v>
      </c>
      <c r="BA33" s="36" t="s">
        <v>157</v>
      </c>
      <c r="BB33" s="36" t="s">
        <v>857</v>
      </c>
      <c r="BC33" s="46"/>
      <c r="BD33" s="39" t="s">
        <v>811</v>
      </c>
      <c r="BE33" s="36">
        <v>1</v>
      </c>
      <c r="BF33" s="36" t="s">
        <v>160</v>
      </c>
      <c r="BG33" s="36" t="s">
        <v>161</v>
      </c>
      <c r="BH33" s="36" t="s">
        <v>162</v>
      </c>
      <c r="BJ33" s="38">
        <v>7200</v>
      </c>
      <c r="BK33" s="38">
        <v>1800</v>
      </c>
      <c r="BL33" s="36">
        <f t="shared" si="0"/>
        <v>715</v>
      </c>
      <c r="BM33" s="36">
        <v>2</v>
      </c>
      <c r="BN33" s="35" t="s">
        <v>157</v>
      </c>
      <c r="BO33" s="36" t="s">
        <v>858</v>
      </c>
      <c r="BP33" s="54" t="s">
        <v>157</v>
      </c>
      <c r="BQ33" s="36" t="s">
        <v>859</v>
      </c>
    </row>
    <row r="34" spans="1:69" s="34" customFormat="1" x14ac:dyDescent="0.45">
      <c r="A34" s="34">
        <v>40211</v>
      </c>
      <c r="B34" s="36" t="s">
        <v>869</v>
      </c>
      <c r="C34" s="34" t="s">
        <v>141</v>
      </c>
      <c r="D34" s="34" t="s">
        <v>142</v>
      </c>
      <c r="E34" s="34" t="s">
        <v>716</v>
      </c>
      <c r="F34" s="36" t="s">
        <v>144</v>
      </c>
      <c r="G34" s="34" t="s">
        <v>145</v>
      </c>
      <c r="H34" s="34" t="s">
        <v>146</v>
      </c>
      <c r="J34" s="34" t="s">
        <v>147</v>
      </c>
      <c r="K34" s="34" t="s">
        <v>855</v>
      </c>
      <c r="L34" s="34" t="s">
        <v>149</v>
      </c>
      <c r="M34" s="38">
        <v>4700000</v>
      </c>
      <c r="N34" s="36">
        <v>1</v>
      </c>
      <c r="O34" s="34" t="s">
        <v>150</v>
      </c>
      <c r="P34" s="38">
        <v>600</v>
      </c>
      <c r="Q34" s="36" t="s">
        <v>834</v>
      </c>
      <c r="R34" s="34" t="s">
        <v>856</v>
      </c>
      <c r="T34" s="36">
        <v>11</v>
      </c>
      <c r="U34" s="36"/>
      <c r="V34" s="36"/>
      <c r="W34" s="36"/>
      <c r="Z34" s="38" t="s">
        <v>807</v>
      </c>
      <c r="AA34" s="38">
        <v>1000</v>
      </c>
      <c r="AB34" s="34">
        <v>5</v>
      </c>
      <c r="AD34" s="38">
        <v>2700000</v>
      </c>
      <c r="AE34" s="38">
        <v>500000</v>
      </c>
      <c r="AF34" s="34">
        <v>500</v>
      </c>
      <c r="AG34" s="34">
        <v>0</v>
      </c>
      <c r="AH34" s="36">
        <v>40212</v>
      </c>
      <c r="AI34" s="38" t="s">
        <v>835</v>
      </c>
      <c r="AJ34" s="38">
        <v>1000</v>
      </c>
      <c r="AK34" s="34">
        <v>118800</v>
      </c>
      <c r="AL34" s="36">
        <v>1000</v>
      </c>
      <c r="AM34" s="34">
        <v>500</v>
      </c>
      <c r="AN34" s="34">
        <v>600</v>
      </c>
      <c r="AO34" s="34">
        <v>2500</v>
      </c>
      <c r="AP34" s="38" t="s">
        <v>155</v>
      </c>
      <c r="AQ34" s="38">
        <v>100</v>
      </c>
      <c r="AR34" s="38" t="s">
        <v>809</v>
      </c>
      <c r="AS34" s="38">
        <v>2000</v>
      </c>
      <c r="AT34" s="38">
        <v>10800</v>
      </c>
      <c r="AU34" s="38">
        <v>2700000</v>
      </c>
      <c r="AV34" s="34">
        <v>200000</v>
      </c>
      <c r="BA34" s="34" t="s">
        <v>157</v>
      </c>
      <c r="BB34" s="34" t="s">
        <v>857</v>
      </c>
      <c r="BC34" s="47"/>
      <c r="BD34" s="39" t="s">
        <v>811</v>
      </c>
      <c r="BE34" s="34">
        <v>1</v>
      </c>
      <c r="BF34" s="34" t="s">
        <v>160</v>
      </c>
      <c r="BG34" s="34" t="s">
        <v>161</v>
      </c>
      <c r="BH34" s="34" t="s">
        <v>162</v>
      </c>
      <c r="BI34" s="52"/>
      <c r="BJ34" s="38">
        <v>7200</v>
      </c>
      <c r="BK34" s="38">
        <v>1800</v>
      </c>
      <c r="BL34" s="36">
        <f t="shared" si="0"/>
        <v>775</v>
      </c>
      <c r="BM34" s="36">
        <v>2</v>
      </c>
      <c r="BN34" s="34" t="s">
        <v>157</v>
      </c>
      <c r="BO34" s="34" t="s">
        <v>858</v>
      </c>
      <c r="BP34" s="54" t="s">
        <v>157</v>
      </c>
      <c r="BQ34" s="36" t="s">
        <v>859</v>
      </c>
    </row>
    <row r="35" spans="1:69" s="34" customFormat="1" x14ac:dyDescent="0.45">
      <c r="A35" s="34">
        <v>40212</v>
      </c>
      <c r="B35" s="36" t="s">
        <v>870</v>
      </c>
      <c r="C35" s="34" t="s">
        <v>141</v>
      </c>
      <c r="D35" s="34" t="s">
        <v>142</v>
      </c>
      <c r="E35" s="34" t="s">
        <v>716</v>
      </c>
      <c r="F35" s="36" t="s">
        <v>144</v>
      </c>
      <c r="G35" s="34" t="s">
        <v>145</v>
      </c>
      <c r="H35" s="34" t="s">
        <v>146</v>
      </c>
      <c r="J35" s="34" t="s">
        <v>147</v>
      </c>
      <c r="K35" s="34" t="s">
        <v>855</v>
      </c>
      <c r="L35" s="34" t="s">
        <v>149</v>
      </c>
      <c r="M35" s="38">
        <v>4900000</v>
      </c>
      <c r="N35" s="36">
        <v>1</v>
      </c>
      <c r="O35" s="34" t="s">
        <v>150</v>
      </c>
      <c r="P35" s="38">
        <v>700</v>
      </c>
      <c r="Q35" s="36" t="s">
        <v>834</v>
      </c>
      <c r="R35" s="34" t="s">
        <v>856</v>
      </c>
      <c r="T35" s="36">
        <v>12</v>
      </c>
      <c r="U35" s="36"/>
      <c r="V35" s="36"/>
      <c r="W35" s="36"/>
      <c r="Z35" s="38" t="s">
        <v>807</v>
      </c>
      <c r="AA35" s="38">
        <v>1000</v>
      </c>
      <c r="AB35" s="34">
        <v>5</v>
      </c>
      <c r="AD35" s="38">
        <v>2700000</v>
      </c>
      <c r="AE35" s="38">
        <v>500000</v>
      </c>
      <c r="AF35" s="34">
        <v>500</v>
      </c>
      <c r="AG35" s="34">
        <v>0</v>
      </c>
      <c r="AH35" s="36">
        <v>40213</v>
      </c>
      <c r="AI35" s="38" t="s">
        <v>837</v>
      </c>
      <c r="AJ35" s="38">
        <v>1000</v>
      </c>
      <c r="AK35" s="34">
        <v>129600</v>
      </c>
      <c r="AL35" s="36">
        <v>1000</v>
      </c>
      <c r="AM35" s="34">
        <v>500</v>
      </c>
      <c r="AN35" s="34">
        <v>600</v>
      </c>
      <c r="AO35" s="34">
        <v>2500</v>
      </c>
      <c r="AP35" s="38" t="s">
        <v>155</v>
      </c>
      <c r="AQ35" s="38">
        <v>100</v>
      </c>
      <c r="AR35" s="38" t="s">
        <v>809</v>
      </c>
      <c r="AS35" s="38">
        <v>2000</v>
      </c>
      <c r="AT35" s="38">
        <v>10800</v>
      </c>
      <c r="AU35" s="38">
        <v>2700000</v>
      </c>
      <c r="AV35" s="34">
        <v>200000</v>
      </c>
      <c r="BA35" s="34" t="s">
        <v>157</v>
      </c>
      <c r="BB35" s="34" t="s">
        <v>857</v>
      </c>
      <c r="BC35" s="47"/>
      <c r="BD35" s="39" t="s">
        <v>811</v>
      </c>
      <c r="BE35" s="34">
        <v>1</v>
      </c>
      <c r="BF35" s="34" t="s">
        <v>160</v>
      </c>
      <c r="BG35" s="34" t="s">
        <v>161</v>
      </c>
      <c r="BH35" s="34" t="s">
        <v>162</v>
      </c>
      <c r="BI35" s="52"/>
      <c r="BJ35" s="38">
        <v>7200</v>
      </c>
      <c r="BK35" s="38">
        <v>1800</v>
      </c>
      <c r="BL35" s="36">
        <f t="shared" si="0"/>
        <v>840</v>
      </c>
      <c r="BM35" s="36">
        <v>2</v>
      </c>
      <c r="BN35" s="34" t="s">
        <v>157</v>
      </c>
      <c r="BO35" s="34" t="s">
        <v>858</v>
      </c>
      <c r="BP35" s="54" t="s">
        <v>157</v>
      </c>
      <c r="BQ35" s="36" t="s">
        <v>859</v>
      </c>
    </row>
    <row r="36" spans="1:69" s="34" customFormat="1" x14ac:dyDescent="0.45">
      <c r="A36" s="34">
        <v>40213</v>
      </c>
      <c r="B36" s="36" t="s">
        <v>871</v>
      </c>
      <c r="C36" s="34" t="s">
        <v>141</v>
      </c>
      <c r="D36" s="34" t="s">
        <v>142</v>
      </c>
      <c r="E36" s="34" t="s">
        <v>716</v>
      </c>
      <c r="F36" s="36" t="s">
        <v>144</v>
      </c>
      <c r="G36" s="34" t="s">
        <v>145</v>
      </c>
      <c r="H36" s="34" t="s">
        <v>146</v>
      </c>
      <c r="J36" s="34" t="s">
        <v>147</v>
      </c>
      <c r="K36" s="34" t="s">
        <v>855</v>
      </c>
      <c r="L36" s="34" t="s">
        <v>149</v>
      </c>
      <c r="M36" s="38">
        <v>5100000</v>
      </c>
      <c r="N36" s="36">
        <v>1</v>
      </c>
      <c r="O36" s="34" t="s">
        <v>150</v>
      </c>
      <c r="P36" s="38">
        <v>800</v>
      </c>
      <c r="Q36" s="36" t="s">
        <v>834</v>
      </c>
      <c r="R36" s="34" t="s">
        <v>856</v>
      </c>
      <c r="T36" s="36">
        <v>13</v>
      </c>
      <c r="U36" s="36"/>
      <c r="V36" s="36"/>
      <c r="W36" s="36"/>
      <c r="Z36" s="38" t="s">
        <v>807</v>
      </c>
      <c r="AA36" s="38">
        <v>1000</v>
      </c>
      <c r="AB36" s="34">
        <v>5</v>
      </c>
      <c r="AD36" s="38">
        <v>2700000</v>
      </c>
      <c r="AE36" s="38">
        <v>500000</v>
      </c>
      <c r="AF36" s="34">
        <v>500</v>
      </c>
      <c r="AG36" s="34">
        <v>0</v>
      </c>
      <c r="AH36" s="36">
        <v>40214</v>
      </c>
      <c r="AI36" s="38" t="s">
        <v>839</v>
      </c>
      <c r="AJ36" s="38">
        <v>1000</v>
      </c>
      <c r="AK36" s="34">
        <v>140400</v>
      </c>
      <c r="AL36" s="36">
        <v>1000</v>
      </c>
      <c r="AM36" s="34">
        <v>500</v>
      </c>
      <c r="AN36" s="34">
        <v>600</v>
      </c>
      <c r="AO36" s="34">
        <v>2500</v>
      </c>
      <c r="AP36" s="38" t="s">
        <v>155</v>
      </c>
      <c r="AQ36" s="38">
        <v>100</v>
      </c>
      <c r="AR36" s="38" t="s">
        <v>809</v>
      </c>
      <c r="AS36" s="38">
        <v>2000</v>
      </c>
      <c r="AT36" s="38">
        <v>10800</v>
      </c>
      <c r="AU36" s="38">
        <v>2700000</v>
      </c>
      <c r="AV36" s="34">
        <v>200000</v>
      </c>
      <c r="BA36" s="34" t="s">
        <v>157</v>
      </c>
      <c r="BB36" s="34" t="s">
        <v>857</v>
      </c>
      <c r="BC36" s="47"/>
      <c r="BD36" s="39" t="s">
        <v>811</v>
      </c>
      <c r="BE36" s="34">
        <v>1</v>
      </c>
      <c r="BF36" s="34" t="s">
        <v>160</v>
      </c>
      <c r="BG36" s="34" t="s">
        <v>161</v>
      </c>
      <c r="BH36" s="34" t="s">
        <v>162</v>
      </c>
      <c r="BI36" s="52"/>
      <c r="BJ36" s="38">
        <v>7200</v>
      </c>
      <c r="BK36" s="38">
        <v>1800</v>
      </c>
      <c r="BL36" s="36">
        <f t="shared" si="0"/>
        <v>910</v>
      </c>
      <c r="BM36" s="36">
        <v>2</v>
      </c>
      <c r="BN36" s="34" t="s">
        <v>157</v>
      </c>
      <c r="BO36" s="34" t="s">
        <v>858</v>
      </c>
      <c r="BP36" s="54" t="s">
        <v>157</v>
      </c>
      <c r="BQ36" s="36" t="s">
        <v>859</v>
      </c>
    </row>
    <row r="37" spans="1:69" s="34" customFormat="1" x14ac:dyDescent="0.45">
      <c r="A37" s="34">
        <v>40214</v>
      </c>
      <c r="B37" s="36" t="s">
        <v>872</v>
      </c>
      <c r="C37" s="34" t="s">
        <v>141</v>
      </c>
      <c r="D37" s="34" t="s">
        <v>142</v>
      </c>
      <c r="E37" s="34" t="s">
        <v>716</v>
      </c>
      <c r="F37" s="36" t="s">
        <v>144</v>
      </c>
      <c r="G37" s="34" t="s">
        <v>145</v>
      </c>
      <c r="H37" s="34" t="s">
        <v>146</v>
      </c>
      <c r="J37" s="34" t="s">
        <v>147</v>
      </c>
      <c r="K37" s="34" t="s">
        <v>855</v>
      </c>
      <c r="L37" s="34" t="s">
        <v>149</v>
      </c>
      <c r="M37" s="38">
        <v>5300000</v>
      </c>
      <c r="N37" s="36">
        <v>1</v>
      </c>
      <c r="O37" s="34" t="s">
        <v>150</v>
      </c>
      <c r="P37" s="38">
        <v>900</v>
      </c>
      <c r="Q37" s="36" t="s">
        <v>834</v>
      </c>
      <c r="R37" s="34" t="s">
        <v>856</v>
      </c>
      <c r="T37" s="36">
        <v>14</v>
      </c>
      <c r="U37" s="36"/>
      <c r="V37" s="36"/>
      <c r="W37" s="36"/>
      <c r="Z37" s="38" t="s">
        <v>807</v>
      </c>
      <c r="AA37" s="38">
        <v>1000</v>
      </c>
      <c r="AB37" s="34">
        <v>5</v>
      </c>
      <c r="AD37" s="38">
        <v>2700000</v>
      </c>
      <c r="AE37" s="38">
        <v>500000</v>
      </c>
      <c r="AF37" s="34">
        <v>500</v>
      </c>
      <c r="AG37" s="34">
        <v>0</v>
      </c>
      <c r="AH37" s="36">
        <v>40215</v>
      </c>
      <c r="AI37" s="38" t="s">
        <v>841</v>
      </c>
      <c r="AJ37" s="38">
        <v>1000</v>
      </c>
      <c r="AK37" s="34">
        <v>151200</v>
      </c>
      <c r="AL37" s="36">
        <v>1000</v>
      </c>
      <c r="AM37" s="34">
        <v>500</v>
      </c>
      <c r="AN37" s="34">
        <v>600</v>
      </c>
      <c r="AO37" s="34">
        <v>2500</v>
      </c>
      <c r="AP37" s="38" t="s">
        <v>155</v>
      </c>
      <c r="AQ37" s="38">
        <v>100</v>
      </c>
      <c r="AR37" s="38" t="s">
        <v>809</v>
      </c>
      <c r="AS37" s="38">
        <v>2000</v>
      </c>
      <c r="AT37" s="38">
        <v>10800</v>
      </c>
      <c r="AU37" s="38">
        <v>2700000</v>
      </c>
      <c r="AV37" s="34">
        <v>200000</v>
      </c>
      <c r="BA37" s="34" t="s">
        <v>157</v>
      </c>
      <c r="BB37" s="34" t="s">
        <v>857</v>
      </c>
      <c r="BC37" s="47"/>
      <c r="BD37" s="39" t="s">
        <v>811</v>
      </c>
      <c r="BE37" s="34">
        <v>1</v>
      </c>
      <c r="BF37" s="34" t="s">
        <v>160</v>
      </c>
      <c r="BG37" s="34" t="s">
        <v>161</v>
      </c>
      <c r="BH37" s="34" t="s">
        <v>162</v>
      </c>
      <c r="BI37" s="52"/>
      <c r="BJ37" s="38">
        <v>7200</v>
      </c>
      <c r="BK37" s="38">
        <v>1800</v>
      </c>
      <c r="BL37" s="36">
        <f t="shared" si="0"/>
        <v>985</v>
      </c>
      <c r="BM37" s="36">
        <v>2</v>
      </c>
      <c r="BN37" s="34" t="s">
        <v>157</v>
      </c>
      <c r="BO37" s="34" t="s">
        <v>858</v>
      </c>
      <c r="BP37" s="54" t="s">
        <v>157</v>
      </c>
      <c r="BQ37" s="36" t="s">
        <v>859</v>
      </c>
    </row>
    <row r="38" spans="1:69" s="34" customFormat="1" x14ac:dyDescent="0.45">
      <c r="A38" s="34">
        <v>40215</v>
      </c>
      <c r="B38" s="36" t="s">
        <v>873</v>
      </c>
      <c r="C38" s="34" t="s">
        <v>141</v>
      </c>
      <c r="D38" s="34" t="s">
        <v>142</v>
      </c>
      <c r="E38" s="34" t="s">
        <v>716</v>
      </c>
      <c r="F38" s="36" t="s">
        <v>144</v>
      </c>
      <c r="G38" s="34" t="s">
        <v>145</v>
      </c>
      <c r="H38" s="34" t="s">
        <v>146</v>
      </c>
      <c r="J38" s="34" t="s">
        <v>147</v>
      </c>
      <c r="K38" s="34" t="s">
        <v>855</v>
      </c>
      <c r="L38" s="34" t="s">
        <v>149</v>
      </c>
      <c r="M38" s="38">
        <v>5500000</v>
      </c>
      <c r="N38" s="36">
        <v>1</v>
      </c>
      <c r="O38" s="34" t="s">
        <v>150</v>
      </c>
      <c r="P38" s="38">
        <v>1000</v>
      </c>
      <c r="Q38" s="36" t="s">
        <v>834</v>
      </c>
      <c r="R38" s="34" t="s">
        <v>856</v>
      </c>
      <c r="T38" s="36">
        <v>15</v>
      </c>
      <c r="U38" s="36"/>
      <c r="V38" s="36"/>
      <c r="W38" s="36"/>
      <c r="Z38" s="38" t="s">
        <v>807</v>
      </c>
      <c r="AA38" s="38">
        <v>1000</v>
      </c>
      <c r="AB38" s="34">
        <v>5</v>
      </c>
      <c r="AD38" s="38">
        <v>2700000</v>
      </c>
      <c r="AE38" s="38">
        <v>500000</v>
      </c>
      <c r="AF38" s="34">
        <v>500</v>
      </c>
      <c r="AG38" s="34">
        <v>0</v>
      </c>
      <c r="AH38" s="36">
        <v>40216</v>
      </c>
      <c r="AI38" s="38" t="s">
        <v>843</v>
      </c>
      <c r="AJ38" s="38">
        <v>1000</v>
      </c>
      <c r="AK38" s="34">
        <v>162000</v>
      </c>
      <c r="AL38" s="36">
        <v>1000</v>
      </c>
      <c r="AM38" s="34">
        <v>500</v>
      </c>
      <c r="AN38" s="34">
        <v>600</v>
      </c>
      <c r="AO38" s="34">
        <v>2500</v>
      </c>
      <c r="AP38" s="38" t="s">
        <v>155</v>
      </c>
      <c r="AQ38" s="38">
        <v>100</v>
      </c>
      <c r="AR38" s="38" t="s">
        <v>809</v>
      </c>
      <c r="AS38" s="38">
        <v>2000</v>
      </c>
      <c r="AT38" s="38">
        <v>10800</v>
      </c>
      <c r="AU38" s="38">
        <v>2700000</v>
      </c>
      <c r="AV38" s="34">
        <v>200000</v>
      </c>
      <c r="BA38" s="34" t="s">
        <v>157</v>
      </c>
      <c r="BB38" s="34" t="s">
        <v>857</v>
      </c>
      <c r="BC38" s="47"/>
      <c r="BD38" s="39" t="s">
        <v>811</v>
      </c>
      <c r="BE38" s="34">
        <v>1</v>
      </c>
      <c r="BF38" s="34" t="s">
        <v>160</v>
      </c>
      <c r="BG38" s="34" t="s">
        <v>161</v>
      </c>
      <c r="BH38" s="34" t="s">
        <v>162</v>
      </c>
      <c r="BI38" s="52"/>
      <c r="BJ38" s="38">
        <v>7200</v>
      </c>
      <c r="BK38" s="38">
        <v>1800</v>
      </c>
      <c r="BL38" s="36">
        <f t="shared" si="0"/>
        <v>1065</v>
      </c>
      <c r="BM38" s="36">
        <v>2</v>
      </c>
      <c r="BN38" s="34" t="s">
        <v>157</v>
      </c>
      <c r="BO38" s="34" t="s">
        <v>858</v>
      </c>
      <c r="BP38" s="54" t="s">
        <v>157</v>
      </c>
      <c r="BQ38" s="36" t="s">
        <v>859</v>
      </c>
    </row>
    <row r="39" spans="1:69" x14ac:dyDescent="0.45">
      <c r="A39" s="36">
        <v>40216</v>
      </c>
      <c r="B39" s="36" t="s">
        <v>874</v>
      </c>
      <c r="C39" s="36" t="s">
        <v>141</v>
      </c>
      <c r="D39" s="36" t="s">
        <v>142</v>
      </c>
      <c r="E39" s="36" t="s">
        <v>716</v>
      </c>
      <c r="F39" s="36" t="s">
        <v>144</v>
      </c>
      <c r="G39" s="36" t="s">
        <v>145</v>
      </c>
      <c r="H39" s="36" t="s">
        <v>146</v>
      </c>
      <c r="J39" s="36" t="s">
        <v>147</v>
      </c>
      <c r="K39" s="36" t="s">
        <v>855</v>
      </c>
      <c r="L39" s="36" t="s">
        <v>149</v>
      </c>
      <c r="M39" s="38">
        <v>5700000</v>
      </c>
      <c r="N39" s="36">
        <v>1</v>
      </c>
      <c r="O39" s="36" t="s">
        <v>150</v>
      </c>
      <c r="P39" s="38">
        <v>1200</v>
      </c>
      <c r="Q39" s="42" t="s">
        <v>845</v>
      </c>
      <c r="R39" s="36" t="s">
        <v>856</v>
      </c>
      <c r="T39" s="36">
        <v>16</v>
      </c>
      <c r="Z39" s="38" t="s">
        <v>807</v>
      </c>
      <c r="AA39" s="38">
        <v>1000</v>
      </c>
      <c r="AB39" s="36">
        <v>5</v>
      </c>
      <c r="AD39" s="38">
        <v>2700000</v>
      </c>
      <c r="AE39" s="38">
        <v>500000</v>
      </c>
      <c r="AF39" s="36">
        <v>500</v>
      </c>
      <c r="AG39" s="36">
        <v>0</v>
      </c>
      <c r="AH39" s="36">
        <v>40217</v>
      </c>
      <c r="AI39" s="38" t="s">
        <v>846</v>
      </c>
      <c r="AJ39" s="38">
        <v>1000</v>
      </c>
      <c r="AK39" s="36">
        <v>172800</v>
      </c>
      <c r="AL39" s="36">
        <v>1000</v>
      </c>
      <c r="AM39" s="36">
        <v>500</v>
      </c>
      <c r="AN39" s="36">
        <v>600</v>
      </c>
      <c r="AO39" s="36">
        <v>2500</v>
      </c>
      <c r="AP39" s="38" t="s">
        <v>155</v>
      </c>
      <c r="AQ39" s="38">
        <v>100</v>
      </c>
      <c r="AR39" s="38" t="s">
        <v>809</v>
      </c>
      <c r="AS39" s="38">
        <v>2000</v>
      </c>
      <c r="AT39" s="38">
        <v>10800</v>
      </c>
      <c r="AU39" s="38">
        <v>2700000</v>
      </c>
      <c r="AV39" s="36">
        <v>200000</v>
      </c>
      <c r="BA39" s="36" t="s">
        <v>157</v>
      </c>
      <c r="BB39" s="36" t="s">
        <v>857</v>
      </c>
      <c r="BC39" s="46"/>
      <c r="BD39" s="39" t="s">
        <v>811</v>
      </c>
      <c r="BE39" s="36">
        <v>1</v>
      </c>
      <c r="BF39" s="36" t="s">
        <v>160</v>
      </c>
      <c r="BG39" s="36" t="s">
        <v>161</v>
      </c>
      <c r="BH39" s="36" t="s">
        <v>162</v>
      </c>
      <c r="BJ39" s="38">
        <v>7200</v>
      </c>
      <c r="BK39" s="38">
        <v>1800</v>
      </c>
      <c r="BL39" s="36">
        <f t="shared" si="0"/>
        <v>1150</v>
      </c>
      <c r="BM39" s="36">
        <v>2</v>
      </c>
      <c r="BN39" s="35" t="s">
        <v>157</v>
      </c>
      <c r="BO39" s="36" t="s">
        <v>858</v>
      </c>
      <c r="BP39" s="54" t="s">
        <v>157</v>
      </c>
      <c r="BQ39" s="36" t="s">
        <v>859</v>
      </c>
    </row>
    <row r="40" spans="1:69" x14ac:dyDescent="0.45">
      <c r="A40" s="36">
        <v>40217</v>
      </c>
      <c r="B40" s="36" t="s">
        <v>875</v>
      </c>
      <c r="C40" s="36" t="s">
        <v>141</v>
      </c>
      <c r="D40" s="36" t="s">
        <v>142</v>
      </c>
      <c r="E40" s="36" t="s">
        <v>716</v>
      </c>
      <c r="F40" s="36" t="s">
        <v>144</v>
      </c>
      <c r="G40" s="36" t="s">
        <v>145</v>
      </c>
      <c r="H40" s="36" t="s">
        <v>146</v>
      </c>
      <c r="J40" s="36" t="s">
        <v>147</v>
      </c>
      <c r="K40" s="36" t="s">
        <v>855</v>
      </c>
      <c r="L40" s="36" t="s">
        <v>149</v>
      </c>
      <c r="M40" s="38">
        <v>5900000</v>
      </c>
      <c r="N40" s="36">
        <v>1</v>
      </c>
      <c r="O40" s="36" t="s">
        <v>150</v>
      </c>
      <c r="P40" s="38">
        <v>1500</v>
      </c>
      <c r="Q40" s="42" t="s">
        <v>845</v>
      </c>
      <c r="R40" s="36" t="s">
        <v>856</v>
      </c>
      <c r="T40" s="36">
        <v>17</v>
      </c>
      <c r="Z40" s="38" t="s">
        <v>807</v>
      </c>
      <c r="AA40" s="38">
        <v>1000</v>
      </c>
      <c r="AB40" s="36">
        <v>5</v>
      </c>
      <c r="AD40" s="38">
        <v>2700000</v>
      </c>
      <c r="AE40" s="38">
        <v>500000</v>
      </c>
      <c r="AF40" s="36">
        <v>500</v>
      </c>
      <c r="AG40" s="36">
        <v>0</v>
      </c>
      <c r="AH40" s="36">
        <v>40218</v>
      </c>
      <c r="AI40" s="38" t="s">
        <v>848</v>
      </c>
      <c r="AJ40" s="38">
        <v>1000</v>
      </c>
      <c r="AK40" s="36">
        <v>183600</v>
      </c>
      <c r="AL40" s="36">
        <v>1000</v>
      </c>
      <c r="AM40" s="36">
        <v>500</v>
      </c>
      <c r="AN40" s="36">
        <v>600</v>
      </c>
      <c r="AO40" s="36">
        <v>2500</v>
      </c>
      <c r="AP40" s="38" t="s">
        <v>155</v>
      </c>
      <c r="AQ40" s="38">
        <v>100</v>
      </c>
      <c r="AR40" s="38" t="s">
        <v>809</v>
      </c>
      <c r="AS40" s="38">
        <v>2000</v>
      </c>
      <c r="AT40" s="38">
        <v>10800</v>
      </c>
      <c r="AU40" s="38">
        <v>2700000</v>
      </c>
      <c r="AV40" s="36">
        <v>200000</v>
      </c>
      <c r="BA40" s="36" t="s">
        <v>157</v>
      </c>
      <c r="BB40" s="36" t="s">
        <v>857</v>
      </c>
      <c r="BC40" s="46"/>
      <c r="BD40" s="39" t="s">
        <v>811</v>
      </c>
      <c r="BE40" s="36">
        <v>1</v>
      </c>
      <c r="BF40" s="36" t="s">
        <v>160</v>
      </c>
      <c r="BG40" s="36" t="s">
        <v>161</v>
      </c>
      <c r="BH40" s="36" t="s">
        <v>162</v>
      </c>
      <c r="BJ40" s="38">
        <v>7200</v>
      </c>
      <c r="BK40" s="38">
        <v>1800</v>
      </c>
      <c r="BL40" s="36">
        <f t="shared" si="0"/>
        <v>1240</v>
      </c>
      <c r="BM40" s="36">
        <v>2</v>
      </c>
      <c r="BN40" s="35" t="s">
        <v>157</v>
      </c>
      <c r="BO40" s="36" t="s">
        <v>858</v>
      </c>
      <c r="BP40" s="54" t="s">
        <v>157</v>
      </c>
      <c r="BQ40" s="36" t="s">
        <v>859</v>
      </c>
    </row>
    <row r="41" spans="1:69" x14ac:dyDescent="0.45">
      <c r="A41" s="36">
        <v>40218</v>
      </c>
      <c r="B41" s="36" t="s">
        <v>876</v>
      </c>
      <c r="C41" s="36" t="s">
        <v>141</v>
      </c>
      <c r="D41" s="36" t="s">
        <v>142</v>
      </c>
      <c r="E41" s="36" t="s">
        <v>716</v>
      </c>
      <c r="F41" s="36" t="s">
        <v>144</v>
      </c>
      <c r="G41" s="36" t="s">
        <v>145</v>
      </c>
      <c r="H41" s="36" t="s">
        <v>146</v>
      </c>
      <c r="J41" s="36" t="s">
        <v>147</v>
      </c>
      <c r="K41" s="36" t="s">
        <v>855</v>
      </c>
      <c r="L41" s="36" t="s">
        <v>149</v>
      </c>
      <c r="M41" s="38">
        <v>6100000</v>
      </c>
      <c r="N41" s="36">
        <v>1</v>
      </c>
      <c r="O41" s="36" t="s">
        <v>150</v>
      </c>
      <c r="P41" s="38">
        <v>2000</v>
      </c>
      <c r="Q41" s="42" t="s">
        <v>845</v>
      </c>
      <c r="R41" s="36" t="s">
        <v>856</v>
      </c>
      <c r="T41" s="36">
        <v>18</v>
      </c>
      <c r="Z41" s="38" t="s">
        <v>807</v>
      </c>
      <c r="AA41" s="38">
        <v>1000</v>
      </c>
      <c r="AB41" s="36">
        <v>5</v>
      </c>
      <c r="AD41" s="38">
        <v>2700000</v>
      </c>
      <c r="AE41" s="38">
        <v>500000</v>
      </c>
      <c r="AF41" s="36">
        <v>500</v>
      </c>
      <c r="AG41" s="36">
        <v>0</v>
      </c>
      <c r="AH41" s="36">
        <v>40219</v>
      </c>
      <c r="AI41" s="38" t="s">
        <v>850</v>
      </c>
      <c r="AJ41" s="38">
        <v>1000</v>
      </c>
      <c r="AK41" s="36">
        <v>194400</v>
      </c>
      <c r="AL41" s="36">
        <v>1000</v>
      </c>
      <c r="AM41" s="36">
        <v>500</v>
      </c>
      <c r="AN41" s="36">
        <v>600</v>
      </c>
      <c r="AO41" s="36">
        <v>2500</v>
      </c>
      <c r="AP41" s="38" t="s">
        <v>155</v>
      </c>
      <c r="AQ41" s="38">
        <v>100</v>
      </c>
      <c r="AR41" s="38" t="s">
        <v>809</v>
      </c>
      <c r="AS41" s="38">
        <v>2000</v>
      </c>
      <c r="AT41" s="38">
        <v>10800</v>
      </c>
      <c r="AU41" s="38">
        <v>2700000</v>
      </c>
      <c r="AV41" s="36">
        <v>200000</v>
      </c>
      <c r="BA41" s="36" t="s">
        <v>157</v>
      </c>
      <c r="BB41" s="36" t="s">
        <v>857</v>
      </c>
      <c r="BC41" s="46"/>
      <c r="BD41" s="39" t="s">
        <v>811</v>
      </c>
      <c r="BE41" s="36">
        <v>1</v>
      </c>
      <c r="BF41" s="36" t="s">
        <v>160</v>
      </c>
      <c r="BG41" s="36" t="s">
        <v>161</v>
      </c>
      <c r="BH41" s="36" t="s">
        <v>162</v>
      </c>
      <c r="BJ41" s="38">
        <v>7200</v>
      </c>
      <c r="BK41" s="38">
        <v>1800</v>
      </c>
      <c r="BL41" s="36">
        <f t="shared" si="0"/>
        <v>1335</v>
      </c>
      <c r="BM41" s="36">
        <v>2</v>
      </c>
      <c r="BN41" s="35" t="s">
        <v>157</v>
      </c>
      <c r="BO41" s="36" t="s">
        <v>858</v>
      </c>
      <c r="BP41" s="54" t="s">
        <v>157</v>
      </c>
      <c r="BQ41" s="36" t="s">
        <v>859</v>
      </c>
    </row>
    <row r="42" spans="1:69" x14ac:dyDescent="0.45">
      <c r="A42" s="36">
        <v>40219</v>
      </c>
      <c r="B42" s="36" t="s">
        <v>877</v>
      </c>
      <c r="C42" s="36" t="s">
        <v>141</v>
      </c>
      <c r="D42" s="36" t="s">
        <v>142</v>
      </c>
      <c r="E42" s="36" t="s">
        <v>716</v>
      </c>
      <c r="F42" s="36" t="s">
        <v>144</v>
      </c>
      <c r="G42" s="36" t="s">
        <v>145</v>
      </c>
      <c r="H42" s="36" t="s">
        <v>146</v>
      </c>
      <c r="J42" s="36" t="s">
        <v>147</v>
      </c>
      <c r="K42" s="36" t="s">
        <v>855</v>
      </c>
      <c r="L42" s="36" t="s">
        <v>149</v>
      </c>
      <c r="M42" s="38">
        <v>6300000</v>
      </c>
      <c r="N42" s="36">
        <v>1</v>
      </c>
      <c r="O42" s="36" t="s">
        <v>150</v>
      </c>
      <c r="P42" s="38">
        <v>2500</v>
      </c>
      <c r="Q42" s="42" t="s">
        <v>845</v>
      </c>
      <c r="R42" s="36" t="s">
        <v>856</v>
      </c>
      <c r="T42" s="36">
        <v>19</v>
      </c>
      <c r="Z42" s="38" t="s">
        <v>807</v>
      </c>
      <c r="AA42" s="38">
        <v>1000</v>
      </c>
      <c r="AB42" s="36">
        <v>5</v>
      </c>
      <c r="AD42" s="38">
        <v>2700000</v>
      </c>
      <c r="AE42" s="38">
        <v>500000</v>
      </c>
      <c r="AF42" s="36">
        <v>500</v>
      </c>
      <c r="AG42" s="36">
        <v>0</v>
      </c>
      <c r="AH42" s="36">
        <v>40220</v>
      </c>
      <c r="AI42" s="38" t="s">
        <v>852</v>
      </c>
      <c r="AJ42" s="38">
        <v>1000</v>
      </c>
      <c r="AK42" s="36">
        <v>205200</v>
      </c>
      <c r="AL42" s="36">
        <v>1000</v>
      </c>
      <c r="AM42" s="36">
        <v>500</v>
      </c>
      <c r="AN42" s="36">
        <v>600</v>
      </c>
      <c r="AO42" s="36">
        <v>2500</v>
      </c>
      <c r="AP42" s="38" t="s">
        <v>155</v>
      </c>
      <c r="AQ42" s="38">
        <v>100</v>
      </c>
      <c r="AR42" s="38" t="s">
        <v>809</v>
      </c>
      <c r="AS42" s="38">
        <v>2000</v>
      </c>
      <c r="AT42" s="38">
        <v>10800</v>
      </c>
      <c r="AU42" s="38">
        <v>2700000</v>
      </c>
      <c r="AV42" s="36">
        <v>200000</v>
      </c>
      <c r="BA42" s="36" t="s">
        <v>157</v>
      </c>
      <c r="BB42" s="36" t="s">
        <v>857</v>
      </c>
      <c r="BC42" s="46"/>
      <c r="BD42" s="39" t="s">
        <v>811</v>
      </c>
      <c r="BE42" s="36">
        <v>1</v>
      </c>
      <c r="BF42" s="36" t="s">
        <v>160</v>
      </c>
      <c r="BG42" s="36" t="s">
        <v>161</v>
      </c>
      <c r="BH42" s="36" t="s">
        <v>162</v>
      </c>
      <c r="BJ42" s="38">
        <v>7200</v>
      </c>
      <c r="BK42" s="38">
        <v>1800</v>
      </c>
      <c r="BL42" s="36">
        <f t="shared" si="0"/>
        <v>1435</v>
      </c>
      <c r="BM42" s="36">
        <v>2</v>
      </c>
      <c r="BN42" s="35" t="s">
        <v>157</v>
      </c>
      <c r="BO42" s="36" t="s">
        <v>858</v>
      </c>
      <c r="BP42" s="54" t="s">
        <v>157</v>
      </c>
      <c r="BQ42" s="36" t="s">
        <v>859</v>
      </c>
    </row>
    <row r="43" spans="1:69" s="35" customFormat="1" x14ac:dyDescent="0.45">
      <c r="A43" s="35">
        <v>40220</v>
      </c>
      <c r="B43" s="36" t="s">
        <v>878</v>
      </c>
      <c r="C43" s="35" t="s">
        <v>141</v>
      </c>
      <c r="D43" s="35" t="s">
        <v>142</v>
      </c>
      <c r="E43" s="35" t="s">
        <v>716</v>
      </c>
      <c r="F43" s="36" t="s">
        <v>144</v>
      </c>
      <c r="G43" s="35" t="s">
        <v>145</v>
      </c>
      <c r="H43" s="35" t="s">
        <v>146</v>
      </c>
      <c r="J43" s="35" t="s">
        <v>147</v>
      </c>
      <c r="K43" s="35" t="s">
        <v>855</v>
      </c>
      <c r="L43" s="35" t="s">
        <v>149</v>
      </c>
      <c r="M43" s="38">
        <v>6500000</v>
      </c>
      <c r="N43" s="36">
        <v>1</v>
      </c>
      <c r="O43" s="35" t="s">
        <v>150</v>
      </c>
      <c r="P43" s="38">
        <v>3000</v>
      </c>
      <c r="Q43" s="42" t="s">
        <v>845</v>
      </c>
      <c r="R43" s="35" t="s">
        <v>856</v>
      </c>
      <c r="T43" s="36">
        <v>20</v>
      </c>
      <c r="U43" s="36"/>
      <c r="V43" s="36"/>
      <c r="W43" s="36"/>
      <c r="Z43" s="38" t="s">
        <v>807</v>
      </c>
      <c r="AA43" s="38">
        <v>1000</v>
      </c>
      <c r="AB43" s="35">
        <v>5</v>
      </c>
      <c r="AD43" s="38">
        <v>2700000</v>
      </c>
      <c r="AE43" s="38">
        <v>500000</v>
      </c>
      <c r="AF43" s="35">
        <v>500</v>
      </c>
      <c r="AG43" s="35">
        <v>0</v>
      </c>
      <c r="AH43" s="36">
        <v>-1</v>
      </c>
      <c r="AI43" s="38"/>
      <c r="AJ43" s="38">
        <v>1000</v>
      </c>
      <c r="AK43" s="35">
        <v>216000</v>
      </c>
      <c r="AL43" s="36">
        <v>1000</v>
      </c>
      <c r="AM43" s="35">
        <v>500</v>
      </c>
      <c r="AN43" s="35">
        <v>600</v>
      </c>
      <c r="AO43" s="35">
        <v>2500</v>
      </c>
      <c r="AP43" s="38" t="s">
        <v>155</v>
      </c>
      <c r="AQ43" s="38">
        <v>100</v>
      </c>
      <c r="AR43" s="38" t="s">
        <v>809</v>
      </c>
      <c r="AS43" s="38">
        <v>2000</v>
      </c>
      <c r="AT43" s="38">
        <v>10800</v>
      </c>
      <c r="AU43" s="38">
        <v>2700000</v>
      </c>
      <c r="AV43" s="35">
        <v>200000</v>
      </c>
      <c r="BA43" s="35" t="s">
        <v>157</v>
      </c>
      <c r="BB43" s="35" t="s">
        <v>857</v>
      </c>
      <c r="BC43" s="48"/>
      <c r="BD43" s="39" t="s">
        <v>811</v>
      </c>
      <c r="BE43" s="35">
        <v>1</v>
      </c>
      <c r="BF43" s="35" t="s">
        <v>160</v>
      </c>
      <c r="BG43" s="35" t="s">
        <v>161</v>
      </c>
      <c r="BH43" s="35" t="s">
        <v>162</v>
      </c>
      <c r="BI43" s="53"/>
      <c r="BJ43" s="38">
        <v>7200</v>
      </c>
      <c r="BK43" s="38">
        <v>1800</v>
      </c>
      <c r="BL43" s="36">
        <f t="shared" si="0"/>
        <v>1540</v>
      </c>
      <c r="BM43" s="36">
        <v>2</v>
      </c>
      <c r="BN43" s="35" t="s">
        <v>157</v>
      </c>
      <c r="BO43" s="35" t="s">
        <v>858</v>
      </c>
      <c r="BP43" s="54" t="s">
        <v>157</v>
      </c>
      <c r="BQ43" s="36" t="s">
        <v>859</v>
      </c>
    </row>
    <row r="44" spans="1:69" x14ac:dyDescent="0.45">
      <c r="A44" s="36">
        <v>40301</v>
      </c>
      <c r="B44" s="36" t="s">
        <v>140</v>
      </c>
      <c r="C44" s="36" t="s">
        <v>141</v>
      </c>
      <c r="D44" s="36" t="s">
        <v>142</v>
      </c>
      <c r="E44" s="36" t="s">
        <v>143</v>
      </c>
      <c r="F44" s="36" t="s">
        <v>144</v>
      </c>
      <c r="G44" s="36" t="s">
        <v>145</v>
      </c>
      <c r="H44" s="36" t="s">
        <v>146</v>
      </c>
      <c r="J44" s="36" t="s">
        <v>147</v>
      </c>
      <c r="K44" s="36" t="s">
        <v>148</v>
      </c>
      <c r="L44" s="36" t="s">
        <v>149</v>
      </c>
      <c r="M44" s="38">
        <v>2700000</v>
      </c>
      <c r="N44" s="36">
        <v>1</v>
      </c>
      <c r="O44" s="36" t="s">
        <v>150</v>
      </c>
      <c r="P44" s="38">
        <v>50</v>
      </c>
      <c r="Q44" s="36" t="s">
        <v>805</v>
      </c>
      <c r="R44" s="36" t="s">
        <v>152</v>
      </c>
      <c r="T44" s="36">
        <v>1</v>
      </c>
      <c r="Z44" s="38" t="s">
        <v>807</v>
      </c>
      <c r="AA44" s="38">
        <v>1000</v>
      </c>
      <c r="AB44" s="36">
        <v>5</v>
      </c>
      <c r="AD44" s="38">
        <v>2700000</v>
      </c>
      <c r="AE44" s="38">
        <v>500000</v>
      </c>
      <c r="AF44" s="36">
        <v>500</v>
      </c>
      <c r="AG44" s="36">
        <v>0</v>
      </c>
      <c r="AH44" s="36">
        <v>40302</v>
      </c>
      <c r="AI44" s="38" t="s">
        <v>808</v>
      </c>
      <c r="AJ44" s="38">
        <v>1000</v>
      </c>
      <c r="AK44" s="36">
        <v>21600</v>
      </c>
      <c r="AL44" s="36">
        <v>1000</v>
      </c>
      <c r="AM44" s="36">
        <v>500</v>
      </c>
      <c r="AN44" s="36">
        <v>600</v>
      </c>
      <c r="AO44" s="36">
        <v>2500</v>
      </c>
      <c r="AP44" s="38" t="s">
        <v>155</v>
      </c>
      <c r="AQ44" s="38">
        <v>100</v>
      </c>
      <c r="AR44" s="38" t="s">
        <v>809</v>
      </c>
      <c r="AS44" s="38">
        <v>2000</v>
      </c>
      <c r="AT44" s="38">
        <v>10800</v>
      </c>
      <c r="AU44" s="38">
        <v>2700000</v>
      </c>
      <c r="AV44" s="36">
        <v>200000</v>
      </c>
      <c r="BA44" s="36" t="s">
        <v>157</v>
      </c>
      <c r="BB44" s="36" t="s">
        <v>158</v>
      </c>
      <c r="BC44" s="46"/>
      <c r="BD44" s="39" t="s">
        <v>811</v>
      </c>
      <c r="BE44" s="36">
        <v>1</v>
      </c>
      <c r="BF44" s="36" t="s">
        <v>160</v>
      </c>
      <c r="BG44" s="36" t="s">
        <v>161</v>
      </c>
      <c r="BH44" s="36" t="s">
        <v>162</v>
      </c>
      <c r="BJ44" s="38">
        <v>7200</v>
      </c>
      <c r="BK44" s="38">
        <v>1800</v>
      </c>
      <c r="BL44" s="36">
        <f t="shared" si="0"/>
        <v>400</v>
      </c>
      <c r="BM44" s="36">
        <v>3</v>
      </c>
      <c r="BN44" s="35" t="s">
        <v>157</v>
      </c>
      <c r="BO44" s="36" t="s">
        <v>879</v>
      </c>
      <c r="BP44" s="54" t="s">
        <v>157</v>
      </c>
      <c r="BQ44" s="36" t="s">
        <v>165</v>
      </c>
    </row>
    <row r="45" spans="1:69" x14ac:dyDescent="0.45">
      <c r="A45" s="36">
        <v>40302</v>
      </c>
      <c r="B45" s="36" t="s">
        <v>167</v>
      </c>
      <c r="C45" s="36" t="s">
        <v>141</v>
      </c>
      <c r="D45" s="36" t="s">
        <v>142</v>
      </c>
      <c r="E45" s="36" t="s">
        <v>143</v>
      </c>
      <c r="F45" s="36" t="s">
        <v>144</v>
      </c>
      <c r="G45" s="36" t="s">
        <v>145</v>
      </c>
      <c r="H45" s="36" t="s">
        <v>146</v>
      </c>
      <c r="J45" s="36" t="s">
        <v>147</v>
      </c>
      <c r="K45" s="36" t="s">
        <v>148</v>
      </c>
      <c r="L45" s="36" t="s">
        <v>149</v>
      </c>
      <c r="M45" s="38">
        <v>2900000</v>
      </c>
      <c r="N45" s="36">
        <v>1</v>
      </c>
      <c r="O45" s="36" t="s">
        <v>150</v>
      </c>
      <c r="P45" s="38">
        <v>100</v>
      </c>
      <c r="Q45" s="36" t="s">
        <v>805</v>
      </c>
      <c r="R45" s="36" t="s">
        <v>152</v>
      </c>
      <c r="T45" s="36">
        <v>2</v>
      </c>
      <c r="Z45" s="38" t="s">
        <v>807</v>
      </c>
      <c r="AA45" s="38">
        <v>1000</v>
      </c>
      <c r="AB45" s="36">
        <v>5</v>
      </c>
      <c r="AD45" s="38">
        <v>2700000</v>
      </c>
      <c r="AE45" s="38">
        <v>500000</v>
      </c>
      <c r="AF45" s="36">
        <v>500</v>
      </c>
      <c r="AG45" s="36">
        <v>0</v>
      </c>
      <c r="AH45" s="36">
        <v>40303</v>
      </c>
      <c r="AI45" s="38" t="s">
        <v>815</v>
      </c>
      <c r="AJ45" s="38">
        <v>1000</v>
      </c>
      <c r="AK45" s="36">
        <v>21600</v>
      </c>
      <c r="AL45" s="36">
        <v>1000</v>
      </c>
      <c r="AM45" s="36">
        <v>500</v>
      </c>
      <c r="AN45" s="36">
        <v>600</v>
      </c>
      <c r="AO45" s="36">
        <v>2500</v>
      </c>
      <c r="AP45" s="38" t="s">
        <v>155</v>
      </c>
      <c r="AQ45" s="38">
        <v>100</v>
      </c>
      <c r="AR45" s="38" t="s">
        <v>809</v>
      </c>
      <c r="AS45" s="38">
        <v>2000</v>
      </c>
      <c r="AT45" s="38">
        <v>10800</v>
      </c>
      <c r="AU45" s="38">
        <v>2700000</v>
      </c>
      <c r="AV45" s="36">
        <v>200000</v>
      </c>
      <c r="BA45" s="36" t="s">
        <v>157</v>
      </c>
      <c r="BB45" s="36" t="s">
        <v>158</v>
      </c>
      <c r="BC45" s="46"/>
      <c r="BD45" s="39" t="s">
        <v>811</v>
      </c>
      <c r="BE45" s="36">
        <v>1</v>
      </c>
      <c r="BF45" s="36" t="s">
        <v>160</v>
      </c>
      <c r="BG45" s="36" t="s">
        <v>161</v>
      </c>
      <c r="BH45" s="36" t="s">
        <v>162</v>
      </c>
      <c r="BJ45" s="38">
        <v>7200</v>
      </c>
      <c r="BK45" s="38">
        <v>1800</v>
      </c>
      <c r="BL45" s="36">
        <f t="shared" si="0"/>
        <v>415</v>
      </c>
      <c r="BM45" s="36">
        <v>3</v>
      </c>
      <c r="BN45" s="35" t="s">
        <v>157</v>
      </c>
      <c r="BO45" s="36" t="s">
        <v>879</v>
      </c>
      <c r="BP45" s="54" t="s">
        <v>157</v>
      </c>
      <c r="BQ45" s="36" t="s">
        <v>165</v>
      </c>
    </row>
    <row r="46" spans="1:69" x14ac:dyDescent="0.45">
      <c r="A46" s="36">
        <v>40303</v>
      </c>
      <c r="B46" s="36" t="s">
        <v>169</v>
      </c>
      <c r="C46" s="36" t="s">
        <v>141</v>
      </c>
      <c r="D46" s="36" t="s">
        <v>142</v>
      </c>
      <c r="E46" s="36" t="s">
        <v>143</v>
      </c>
      <c r="F46" s="36" t="s">
        <v>144</v>
      </c>
      <c r="G46" s="36" t="s">
        <v>145</v>
      </c>
      <c r="H46" s="36" t="s">
        <v>146</v>
      </c>
      <c r="J46" s="36" t="s">
        <v>147</v>
      </c>
      <c r="K46" s="36" t="s">
        <v>148</v>
      </c>
      <c r="L46" s="36" t="s">
        <v>149</v>
      </c>
      <c r="M46" s="38">
        <v>3100000</v>
      </c>
      <c r="N46" s="36">
        <v>1</v>
      </c>
      <c r="O46" s="36" t="s">
        <v>150</v>
      </c>
      <c r="P46" s="38">
        <v>150</v>
      </c>
      <c r="Q46" s="36" t="s">
        <v>805</v>
      </c>
      <c r="R46" s="36" t="s">
        <v>152</v>
      </c>
      <c r="T46" s="36">
        <v>3</v>
      </c>
      <c r="Z46" s="38" t="s">
        <v>807</v>
      </c>
      <c r="AA46" s="38">
        <v>1000</v>
      </c>
      <c r="AB46" s="36">
        <v>5</v>
      </c>
      <c r="AD46" s="38">
        <v>2700000</v>
      </c>
      <c r="AE46" s="38">
        <v>500000</v>
      </c>
      <c r="AF46" s="36">
        <v>500</v>
      </c>
      <c r="AG46" s="36">
        <v>0</v>
      </c>
      <c r="AH46" s="36">
        <v>40304</v>
      </c>
      <c r="AI46" s="38" t="s">
        <v>817</v>
      </c>
      <c r="AJ46" s="38">
        <v>1000</v>
      </c>
      <c r="AK46" s="36">
        <v>32400</v>
      </c>
      <c r="AL46" s="36">
        <v>1000</v>
      </c>
      <c r="AM46" s="36">
        <v>500</v>
      </c>
      <c r="AN46" s="36">
        <v>600</v>
      </c>
      <c r="AO46" s="36">
        <v>2500</v>
      </c>
      <c r="AP46" s="38" t="s">
        <v>155</v>
      </c>
      <c r="AQ46" s="38">
        <v>100</v>
      </c>
      <c r="AR46" s="38" t="s">
        <v>809</v>
      </c>
      <c r="AS46" s="38">
        <v>2000</v>
      </c>
      <c r="AT46" s="38">
        <v>10800</v>
      </c>
      <c r="AU46" s="38">
        <v>2700000</v>
      </c>
      <c r="AV46" s="36">
        <v>200000</v>
      </c>
      <c r="BA46" s="36" t="s">
        <v>157</v>
      </c>
      <c r="BB46" s="36" t="s">
        <v>158</v>
      </c>
      <c r="BC46" s="46"/>
      <c r="BD46" s="39" t="s">
        <v>811</v>
      </c>
      <c r="BE46" s="36">
        <v>1</v>
      </c>
      <c r="BF46" s="36" t="s">
        <v>160</v>
      </c>
      <c r="BG46" s="36" t="s">
        <v>161</v>
      </c>
      <c r="BH46" s="36" t="s">
        <v>162</v>
      </c>
      <c r="BJ46" s="38">
        <v>7200</v>
      </c>
      <c r="BK46" s="38">
        <v>1800</v>
      </c>
      <c r="BL46" s="36">
        <f t="shared" si="0"/>
        <v>435</v>
      </c>
      <c r="BM46" s="36">
        <v>3</v>
      </c>
      <c r="BN46" s="35" t="s">
        <v>157</v>
      </c>
      <c r="BO46" s="36" t="s">
        <v>879</v>
      </c>
      <c r="BP46" s="54" t="s">
        <v>157</v>
      </c>
      <c r="BQ46" s="36" t="s">
        <v>165</v>
      </c>
    </row>
    <row r="47" spans="1:69" s="35" customFormat="1" x14ac:dyDescent="0.45">
      <c r="A47" s="36">
        <v>40304</v>
      </c>
      <c r="B47" s="36" t="s">
        <v>171</v>
      </c>
      <c r="C47" s="36" t="s">
        <v>141</v>
      </c>
      <c r="D47" s="36" t="s">
        <v>142</v>
      </c>
      <c r="E47" s="36" t="s">
        <v>143</v>
      </c>
      <c r="F47" s="36" t="s">
        <v>144</v>
      </c>
      <c r="G47" s="36" t="s">
        <v>145</v>
      </c>
      <c r="H47" s="36" t="s">
        <v>146</v>
      </c>
      <c r="I47" s="36"/>
      <c r="J47" s="36" t="s">
        <v>147</v>
      </c>
      <c r="K47" s="36" t="s">
        <v>148</v>
      </c>
      <c r="L47" s="36" t="s">
        <v>149</v>
      </c>
      <c r="M47" s="38">
        <v>3300000</v>
      </c>
      <c r="N47" s="36">
        <v>1</v>
      </c>
      <c r="O47" s="36" t="s">
        <v>150</v>
      </c>
      <c r="P47" s="38">
        <v>200</v>
      </c>
      <c r="Q47" s="36" t="s">
        <v>805</v>
      </c>
      <c r="R47" s="36" t="s">
        <v>152</v>
      </c>
      <c r="S47" s="36"/>
      <c r="T47" s="36">
        <v>4</v>
      </c>
      <c r="U47" s="36"/>
      <c r="V47" s="36"/>
      <c r="W47" s="36"/>
      <c r="X47" s="36"/>
      <c r="Y47" s="36"/>
      <c r="Z47" s="38" t="s">
        <v>807</v>
      </c>
      <c r="AA47" s="38">
        <v>1000</v>
      </c>
      <c r="AB47" s="36">
        <v>5</v>
      </c>
      <c r="AC47" s="36"/>
      <c r="AD47" s="38">
        <v>2700000</v>
      </c>
      <c r="AE47" s="38">
        <v>500000</v>
      </c>
      <c r="AF47" s="36">
        <v>500</v>
      </c>
      <c r="AG47" s="36">
        <v>0</v>
      </c>
      <c r="AH47" s="36">
        <v>40305</v>
      </c>
      <c r="AI47" s="38" t="s">
        <v>819</v>
      </c>
      <c r="AJ47" s="38">
        <v>1000</v>
      </c>
      <c r="AK47" s="36">
        <v>43200</v>
      </c>
      <c r="AL47" s="36">
        <v>1000</v>
      </c>
      <c r="AM47" s="36">
        <v>500</v>
      </c>
      <c r="AN47" s="36">
        <v>600</v>
      </c>
      <c r="AO47" s="36">
        <v>2500</v>
      </c>
      <c r="AP47" s="38" t="s">
        <v>155</v>
      </c>
      <c r="AQ47" s="38">
        <v>100</v>
      </c>
      <c r="AR47" s="38" t="s">
        <v>809</v>
      </c>
      <c r="AS47" s="38">
        <v>2000</v>
      </c>
      <c r="AT47" s="38">
        <v>10800</v>
      </c>
      <c r="AU47" s="38">
        <v>2700000</v>
      </c>
      <c r="AV47" s="36">
        <v>200000</v>
      </c>
      <c r="AW47" s="36"/>
      <c r="AX47" s="36"/>
      <c r="AY47" s="36"/>
      <c r="AZ47" s="36"/>
      <c r="BA47" s="36" t="s">
        <v>157</v>
      </c>
      <c r="BB47" s="36" t="s">
        <v>158</v>
      </c>
      <c r="BC47" s="46"/>
      <c r="BD47" s="39" t="s">
        <v>811</v>
      </c>
      <c r="BE47" s="36">
        <v>1</v>
      </c>
      <c r="BF47" s="36" t="s">
        <v>160</v>
      </c>
      <c r="BG47" s="36" t="s">
        <v>161</v>
      </c>
      <c r="BH47" s="36" t="s">
        <v>162</v>
      </c>
      <c r="BI47"/>
      <c r="BJ47" s="38">
        <v>7200</v>
      </c>
      <c r="BK47" s="38">
        <v>1800</v>
      </c>
      <c r="BL47" s="36">
        <f t="shared" si="0"/>
        <v>460</v>
      </c>
      <c r="BM47" s="36">
        <v>3</v>
      </c>
      <c r="BN47" s="35" t="s">
        <v>157</v>
      </c>
      <c r="BO47" s="36" t="s">
        <v>879</v>
      </c>
      <c r="BP47" s="54" t="s">
        <v>157</v>
      </c>
      <c r="BQ47" s="36" t="s">
        <v>165</v>
      </c>
    </row>
    <row r="48" spans="1:69" x14ac:dyDescent="0.45">
      <c r="A48" s="36">
        <v>40305</v>
      </c>
      <c r="B48" s="36" t="s">
        <v>173</v>
      </c>
      <c r="C48" s="36" t="s">
        <v>141</v>
      </c>
      <c r="D48" s="36" t="s">
        <v>142</v>
      </c>
      <c r="E48" s="36" t="s">
        <v>143</v>
      </c>
      <c r="F48" s="36" t="s">
        <v>144</v>
      </c>
      <c r="G48" s="36" t="s">
        <v>145</v>
      </c>
      <c r="H48" s="36" t="s">
        <v>146</v>
      </c>
      <c r="J48" s="36" t="s">
        <v>147</v>
      </c>
      <c r="K48" s="36" t="s">
        <v>148</v>
      </c>
      <c r="L48" s="36" t="s">
        <v>149</v>
      </c>
      <c r="M48" s="38">
        <v>3500000</v>
      </c>
      <c r="N48" s="36">
        <v>1</v>
      </c>
      <c r="O48" s="36" t="s">
        <v>150</v>
      </c>
      <c r="P48" s="38">
        <v>250</v>
      </c>
      <c r="Q48" s="36" t="s">
        <v>805</v>
      </c>
      <c r="R48" s="36" t="s">
        <v>152</v>
      </c>
      <c r="T48" s="36">
        <v>5</v>
      </c>
      <c r="Z48" s="38" t="s">
        <v>807</v>
      </c>
      <c r="AA48" s="38">
        <v>1000</v>
      </c>
      <c r="AB48" s="36">
        <v>5</v>
      </c>
      <c r="AD48" s="38">
        <v>2700000</v>
      </c>
      <c r="AE48" s="38">
        <v>500000</v>
      </c>
      <c r="AF48" s="36">
        <v>500</v>
      </c>
      <c r="AG48" s="36">
        <v>0</v>
      </c>
      <c r="AH48" s="36">
        <v>40306</v>
      </c>
      <c r="AI48" s="38" t="s">
        <v>821</v>
      </c>
      <c r="AJ48" s="38">
        <v>1000</v>
      </c>
      <c r="AK48" s="36">
        <v>54000</v>
      </c>
      <c r="AL48" s="36">
        <v>1000</v>
      </c>
      <c r="AM48" s="36">
        <v>500</v>
      </c>
      <c r="AN48" s="36">
        <v>600</v>
      </c>
      <c r="AO48" s="36">
        <v>2500</v>
      </c>
      <c r="AP48" s="38" t="s">
        <v>155</v>
      </c>
      <c r="AQ48" s="38">
        <v>100</v>
      </c>
      <c r="AR48" s="38" t="s">
        <v>809</v>
      </c>
      <c r="AS48" s="38">
        <v>2000</v>
      </c>
      <c r="AT48" s="38">
        <v>10800</v>
      </c>
      <c r="AU48" s="38">
        <v>2700000</v>
      </c>
      <c r="AV48" s="36">
        <v>200000</v>
      </c>
      <c r="BA48" s="36" t="s">
        <v>157</v>
      </c>
      <c r="BB48" s="36" t="s">
        <v>158</v>
      </c>
      <c r="BC48" s="46"/>
      <c r="BD48" s="39" t="s">
        <v>811</v>
      </c>
      <c r="BE48" s="36">
        <v>1</v>
      </c>
      <c r="BF48" s="36" t="s">
        <v>160</v>
      </c>
      <c r="BG48" s="36" t="s">
        <v>161</v>
      </c>
      <c r="BH48" s="36" t="s">
        <v>162</v>
      </c>
      <c r="BJ48" s="38">
        <v>7200</v>
      </c>
      <c r="BK48" s="38">
        <v>1800</v>
      </c>
      <c r="BL48" s="36">
        <f t="shared" si="0"/>
        <v>490</v>
      </c>
      <c r="BM48" s="36">
        <v>3</v>
      </c>
      <c r="BN48" s="35" t="s">
        <v>157</v>
      </c>
      <c r="BO48" s="36" t="s">
        <v>879</v>
      </c>
      <c r="BP48" s="54" t="s">
        <v>157</v>
      </c>
      <c r="BQ48" s="36" t="s">
        <v>165</v>
      </c>
    </row>
    <row r="49" spans="1:69" x14ac:dyDescent="0.45">
      <c r="A49" s="36">
        <v>40306</v>
      </c>
      <c r="B49" s="36" t="s">
        <v>175</v>
      </c>
      <c r="C49" s="36" t="s">
        <v>141</v>
      </c>
      <c r="D49" s="36" t="s">
        <v>142</v>
      </c>
      <c r="E49" s="36" t="s">
        <v>143</v>
      </c>
      <c r="F49" s="36" t="s">
        <v>144</v>
      </c>
      <c r="G49" s="36" t="s">
        <v>145</v>
      </c>
      <c r="H49" s="36" t="s">
        <v>146</v>
      </c>
      <c r="J49" s="36" t="s">
        <v>147</v>
      </c>
      <c r="K49" s="36" t="s">
        <v>148</v>
      </c>
      <c r="L49" s="36" t="s">
        <v>149</v>
      </c>
      <c r="M49" s="38">
        <v>3700000</v>
      </c>
      <c r="N49" s="36">
        <v>1</v>
      </c>
      <c r="O49" s="36" t="s">
        <v>150</v>
      </c>
      <c r="P49" s="38">
        <v>300</v>
      </c>
      <c r="Q49" s="42" t="s">
        <v>823</v>
      </c>
      <c r="R49" s="36" t="s">
        <v>152</v>
      </c>
      <c r="T49" s="36">
        <v>6</v>
      </c>
      <c r="Z49" s="38" t="s">
        <v>807</v>
      </c>
      <c r="AA49" s="38">
        <v>1000</v>
      </c>
      <c r="AB49" s="36">
        <v>5</v>
      </c>
      <c r="AD49" s="38">
        <v>2700000</v>
      </c>
      <c r="AE49" s="38">
        <v>500000</v>
      </c>
      <c r="AF49" s="36">
        <v>500</v>
      </c>
      <c r="AG49" s="36">
        <v>0</v>
      </c>
      <c r="AH49" s="36">
        <v>40307</v>
      </c>
      <c r="AI49" s="38" t="s">
        <v>824</v>
      </c>
      <c r="AJ49" s="38">
        <v>1000</v>
      </c>
      <c r="AK49" s="36">
        <v>64800</v>
      </c>
      <c r="AL49" s="36">
        <v>1000</v>
      </c>
      <c r="AM49" s="36">
        <v>500</v>
      </c>
      <c r="AN49" s="36">
        <v>600</v>
      </c>
      <c r="AO49" s="36">
        <v>2500</v>
      </c>
      <c r="AP49" s="38" t="s">
        <v>155</v>
      </c>
      <c r="AQ49" s="38">
        <v>100</v>
      </c>
      <c r="AR49" s="38" t="s">
        <v>809</v>
      </c>
      <c r="AS49" s="38">
        <v>2000</v>
      </c>
      <c r="AT49" s="38">
        <v>10800</v>
      </c>
      <c r="AU49" s="38">
        <v>2700000</v>
      </c>
      <c r="AV49" s="36">
        <v>200000</v>
      </c>
      <c r="BA49" s="36" t="s">
        <v>157</v>
      </c>
      <c r="BB49" s="36" t="s">
        <v>158</v>
      </c>
      <c r="BC49" s="46"/>
      <c r="BD49" s="39" t="s">
        <v>811</v>
      </c>
      <c r="BE49" s="36">
        <v>1</v>
      </c>
      <c r="BF49" s="36" t="s">
        <v>160</v>
      </c>
      <c r="BG49" s="36" t="s">
        <v>161</v>
      </c>
      <c r="BH49" s="36" t="s">
        <v>162</v>
      </c>
      <c r="BJ49" s="38">
        <v>7200</v>
      </c>
      <c r="BK49" s="38">
        <v>1800</v>
      </c>
      <c r="BL49" s="36">
        <f t="shared" si="0"/>
        <v>525</v>
      </c>
      <c r="BM49" s="36">
        <v>3</v>
      </c>
      <c r="BN49" s="35" t="s">
        <v>157</v>
      </c>
      <c r="BO49" s="36" t="s">
        <v>879</v>
      </c>
      <c r="BP49" s="54" t="s">
        <v>157</v>
      </c>
      <c r="BQ49" s="36" t="s">
        <v>165</v>
      </c>
    </row>
    <row r="50" spans="1:69" x14ac:dyDescent="0.45">
      <c r="A50" s="36">
        <v>40307</v>
      </c>
      <c r="B50" s="36" t="s">
        <v>179</v>
      </c>
      <c r="C50" s="36" t="s">
        <v>141</v>
      </c>
      <c r="D50" s="36" t="s">
        <v>142</v>
      </c>
      <c r="E50" s="36" t="s">
        <v>143</v>
      </c>
      <c r="F50" s="36" t="s">
        <v>144</v>
      </c>
      <c r="G50" s="36" t="s">
        <v>145</v>
      </c>
      <c r="H50" s="36" t="s">
        <v>146</v>
      </c>
      <c r="J50" s="36" t="s">
        <v>147</v>
      </c>
      <c r="K50" s="36" t="s">
        <v>148</v>
      </c>
      <c r="L50" s="36" t="s">
        <v>149</v>
      </c>
      <c r="M50" s="38">
        <v>3900000</v>
      </c>
      <c r="N50" s="36">
        <v>1</v>
      </c>
      <c r="O50" s="36" t="s">
        <v>150</v>
      </c>
      <c r="P50" s="38">
        <v>350</v>
      </c>
      <c r="Q50" s="42" t="s">
        <v>823</v>
      </c>
      <c r="R50" s="36" t="s">
        <v>152</v>
      </c>
      <c r="T50" s="36">
        <v>7</v>
      </c>
      <c r="Z50" s="38" t="s">
        <v>807</v>
      </c>
      <c r="AA50" s="38">
        <v>1000</v>
      </c>
      <c r="AB50" s="36">
        <v>5</v>
      </c>
      <c r="AD50" s="38">
        <v>2700000</v>
      </c>
      <c r="AE50" s="38">
        <v>500000</v>
      </c>
      <c r="AF50" s="36">
        <v>500</v>
      </c>
      <c r="AG50" s="36">
        <v>0</v>
      </c>
      <c r="AH50" s="36">
        <v>40308</v>
      </c>
      <c r="AI50" s="38" t="s">
        <v>826</v>
      </c>
      <c r="AJ50" s="38">
        <v>1000</v>
      </c>
      <c r="AK50" s="36">
        <v>75600</v>
      </c>
      <c r="AL50" s="36">
        <v>1000</v>
      </c>
      <c r="AM50" s="36">
        <v>500</v>
      </c>
      <c r="AN50" s="36">
        <v>600</v>
      </c>
      <c r="AO50" s="36">
        <v>2500</v>
      </c>
      <c r="AP50" s="38" t="s">
        <v>155</v>
      </c>
      <c r="AQ50" s="38">
        <v>100</v>
      </c>
      <c r="AR50" s="38" t="s">
        <v>809</v>
      </c>
      <c r="AS50" s="38">
        <v>2000</v>
      </c>
      <c r="AT50" s="38">
        <v>10800</v>
      </c>
      <c r="AU50" s="38">
        <v>2700000</v>
      </c>
      <c r="AV50" s="36">
        <v>200000</v>
      </c>
      <c r="BA50" s="36" t="s">
        <v>157</v>
      </c>
      <c r="BB50" s="36" t="s">
        <v>158</v>
      </c>
      <c r="BC50" s="46"/>
      <c r="BD50" s="39" t="s">
        <v>811</v>
      </c>
      <c r="BE50" s="36">
        <v>1</v>
      </c>
      <c r="BF50" s="36" t="s">
        <v>160</v>
      </c>
      <c r="BG50" s="36" t="s">
        <v>161</v>
      </c>
      <c r="BH50" s="36" t="s">
        <v>162</v>
      </c>
      <c r="BJ50" s="38">
        <v>7200</v>
      </c>
      <c r="BK50" s="38">
        <v>1800</v>
      </c>
      <c r="BL50" s="36">
        <f t="shared" si="0"/>
        <v>565</v>
      </c>
      <c r="BM50" s="36">
        <v>3</v>
      </c>
      <c r="BN50" s="35" t="s">
        <v>157</v>
      </c>
      <c r="BO50" s="36" t="s">
        <v>879</v>
      </c>
      <c r="BP50" s="54" t="s">
        <v>157</v>
      </c>
      <c r="BQ50" s="36" t="s">
        <v>165</v>
      </c>
    </row>
    <row r="51" spans="1:69" x14ac:dyDescent="0.45">
      <c r="A51" s="36">
        <v>40308</v>
      </c>
      <c r="B51" s="36" t="s">
        <v>181</v>
      </c>
      <c r="C51" s="36" t="s">
        <v>141</v>
      </c>
      <c r="D51" s="36" t="s">
        <v>142</v>
      </c>
      <c r="E51" s="36" t="s">
        <v>143</v>
      </c>
      <c r="F51" s="36" t="s">
        <v>144</v>
      </c>
      <c r="G51" s="36" t="s">
        <v>145</v>
      </c>
      <c r="H51" s="36" t="s">
        <v>146</v>
      </c>
      <c r="J51" s="36" t="s">
        <v>147</v>
      </c>
      <c r="K51" s="36" t="s">
        <v>148</v>
      </c>
      <c r="L51" s="36" t="s">
        <v>149</v>
      </c>
      <c r="M51" s="38">
        <v>4100000</v>
      </c>
      <c r="N51" s="36">
        <v>1</v>
      </c>
      <c r="O51" s="36" t="s">
        <v>150</v>
      </c>
      <c r="P51" s="38">
        <v>400</v>
      </c>
      <c r="Q51" s="42" t="s">
        <v>823</v>
      </c>
      <c r="R51" s="36" t="s">
        <v>152</v>
      </c>
      <c r="T51" s="36">
        <v>8</v>
      </c>
      <c r="Z51" s="38" t="s">
        <v>807</v>
      </c>
      <c r="AA51" s="38">
        <v>1000</v>
      </c>
      <c r="AB51" s="36">
        <v>5</v>
      </c>
      <c r="AD51" s="38">
        <v>2700000</v>
      </c>
      <c r="AE51" s="38">
        <v>500000</v>
      </c>
      <c r="AF51" s="36">
        <v>500</v>
      </c>
      <c r="AG51" s="36">
        <v>0</v>
      </c>
      <c r="AH51" s="36">
        <v>40309</v>
      </c>
      <c r="AI51" s="38" t="s">
        <v>828</v>
      </c>
      <c r="AJ51" s="38">
        <v>1000</v>
      </c>
      <c r="AK51" s="36">
        <v>86400</v>
      </c>
      <c r="AL51" s="36">
        <v>1000</v>
      </c>
      <c r="AM51" s="36">
        <v>500</v>
      </c>
      <c r="AN51" s="36">
        <v>600</v>
      </c>
      <c r="AO51" s="36">
        <v>2500</v>
      </c>
      <c r="AP51" s="38" t="s">
        <v>155</v>
      </c>
      <c r="AQ51" s="38">
        <v>100</v>
      </c>
      <c r="AR51" s="38" t="s">
        <v>809</v>
      </c>
      <c r="AS51" s="38">
        <v>2000</v>
      </c>
      <c r="AT51" s="38">
        <v>10800</v>
      </c>
      <c r="AU51" s="38">
        <v>2700000</v>
      </c>
      <c r="AV51" s="36">
        <v>200000</v>
      </c>
      <c r="BA51" s="36" t="s">
        <v>157</v>
      </c>
      <c r="BB51" s="36" t="s">
        <v>158</v>
      </c>
      <c r="BC51" s="46"/>
      <c r="BD51" s="39" t="s">
        <v>811</v>
      </c>
      <c r="BE51" s="36">
        <v>1</v>
      </c>
      <c r="BF51" s="36" t="s">
        <v>160</v>
      </c>
      <c r="BG51" s="36" t="s">
        <v>161</v>
      </c>
      <c r="BH51" s="36" t="s">
        <v>162</v>
      </c>
      <c r="BJ51" s="38">
        <v>7200</v>
      </c>
      <c r="BK51" s="38">
        <v>1800</v>
      </c>
      <c r="BL51" s="36">
        <f t="shared" si="0"/>
        <v>610</v>
      </c>
      <c r="BM51" s="36">
        <v>3</v>
      </c>
      <c r="BN51" s="35" t="s">
        <v>157</v>
      </c>
      <c r="BO51" s="36" t="s">
        <v>879</v>
      </c>
      <c r="BP51" s="54" t="s">
        <v>157</v>
      </c>
      <c r="BQ51" s="36" t="s">
        <v>165</v>
      </c>
    </row>
    <row r="52" spans="1:69" x14ac:dyDescent="0.45">
      <c r="A52" s="36">
        <v>40309</v>
      </c>
      <c r="B52" s="36" t="s">
        <v>183</v>
      </c>
      <c r="C52" s="36" t="s">
        <v>141</v>
      </c>
      <c r="D52" s="36" t="s">
        <v>142</v>
      </c>
      <c r="E52" s="36" t="s">
        <v>143</v>
      </c>
      <c r="F52" s="36" t="s">
        <v>144</v>
      </c>
      <c r="G52" s="36" t="s">
        <v>145</v>
      </c>
      <c r="H52" s="36" t="s">
        <v>146</v>
      </c>
      <c r="J52" s="36" t="s">
        <v>147</v>
      </c>
      <c r="K52" s="36" t="s">
        <v>148</v>
      </c>
      <c r="L52" s="36" t="s">
        <v>149</v>
      </c>
      <c r="M52" s="38">
        <v>4300000</v>
      </c>
      <c r="N52" s="36">
        <v>1</v>
      </c>
      <c r="O52" s="36" t="s">
        <v>150</v>
      </c>
      <c r="P52" s="38">
        <v>450</v>
      </c>
      <c r="Q52" s="42" t="s">
        <v>823</v>
      </c>
      <c r="R52" s="36" t="s">
        <v>152</v>
      </c>
      <c r="T52" s="36">
        <v>9</v>
      </c>
      <c r="Z52" s="38" t="s">
        <v>807</v>
      </c>
      <c r="AA52" s="38">
        <v>1000</v>
      </c>
      <c r="AB52" s="36">
        <v>5</v>
      </c>
      <c r="AD52" s="38">
        <v>2700000</v>
      </c>
      <c r="AE52" s="38">
        <v>500000</v>
      </c>
      <c r="AF52" s="36">
        <v>500</v>
      </c>
      <c r="AG52" s="36">
        <v>0</v>
      </c>
      <c r="AH52" s="36">
        <v>40310</v>
      </c>
      <c r="AI52" s="38" t="s">
        <v>830</v>
      </c>
      <c r="AJ52" s="38">
        <v>1000</v>
      </c>
      <c r="AK52" s="36">
        <v>97200</v>
      </c>
      <c r="AL52" s="36">
        <v>1000</v>
      </c>
      <c r="AM52" s="36">
        <v>500</v>
      </c>
      <c r="AN52" s="36">
        <v>600</v>
      </c>
      <c r="AO52" s="36">
        <v>2500</v>
      </c>
      <c r="AP52" s="38" t="s">
        <v>155</v>
      </c>
      <c r="AQ52" s="38">
        <v>100</v>
      </c>
      <c r="AR52" s="38" t="s">
        <v>809</v>
      </c>
      <c r="AS52" s="38">
        <v>2000</v>
      </c>
      <c r="AT52" s="38">
        <v>10800</v>
      </c>
      <c r="AU52" s="38">
        <v>2700000</v>
      </c>
      <c r="AV52" s="36">
        <v>200000</v>
      </c>
      <c r="BA52" s="36" t="s">
        <v>157</v>
      </c>
      <c r="BB52" s="36" t="s">
        <v>158</v>
      </c>
      <c r="BC52" s="46"/>
      <c r="BD52" s="39" t="s">
        <v>811</v>
      </c>
      <c r="BE52" s="36">
        <v>1</v>
      </c>
      <c r="BF52" s="36" t="s">
        <v>160</v>
      </c>
      <c r="BG52" s="36" t="s">
        <v>161</v>
      </c>
      <c r="BH52" s="36" t="s">
        <v>162</v>
      </c>
      <c r="BJ52" s="38">
        <v>7200</v>
      </c>
      <c r="BK52" s="38">
        <v>1800</v>
      </c>
      <c r="BL52" s="36">
        <f t="shared" si="0"/>
        <v>660</v>
      </c>
      <c r="BM52" s="36">
        <v>3</v>
      </c>
      <c r="BN52" s="35" t="s">
        <v>157</v>
      </c>
      <c r="BO52" s="36" t="s">
        <v>879</v>
      </c>
      <c r="BP52" s="54" t="s">
        <v>157</v>
      </c>
      <c r="BQ52" s="36" t="s">
        <v>165</v>
      </c>
    </row>
    <row r="53" spans="1:69" x14ac:dyDescent="0.45">
      <c r="A53" s="36">
        <v>40310</v>
      </c>
      <c r="B53" s="36" t="s">
        <v>186</v>
      </c>
      <c r="C53" s="36" t="s">
        <v>141</v>
      </c>
      <c r="D53" s="36" t="s">
        <v>142</v>
      </c>
      <c r="E53" s="36" t="s">
        <v>143</v>
      </c>
      <c r="F53" s="36" t="s">
        <v>144</v>
      </c>
      <c r="G53" s="36" t="s">
        <v>145</v>
      </c>
      <c r="H53" s="36" t="s">
        <v>146</v>
      </c>
      <c r="J53" s="36" t="s">
        <v>147</v>
      </c>
      <c r="K53" s="36" t="s">
        <v>148</v>
      </c>
      <c r="L53" s="36" t="s">
        <v>149</v>
      </c>
      <c r="M53" s="38">
        <v>4500000</v>
      </c>
      <c r="N53" s="36">
        <v>1</v>
      </c>
      <c r="O53" s="36" t="s">
        <v>150</v>
      </c>
      <c r="P53" s="38">
        <v>500</v>
      </c>
      <c r="Q53" s="42" t="s">
        <v>823</v>
      </c>
      <c r="R53" s="36" t="s">
        <v>152</v>
      </c>
      <c r="T53" s="36">
        <v>10</v>
      </c>
      <c r="Z53" s="38" t="s">
        <v>807</v>
      </c>
      <c r="AA53" s="38">
        <v>1000</v>
      </c>
      <c r="AB53" s="36">
        <v>5</v>
      </c>
      <c r="AD53" s="38">
        <v>2700000</v>
      </c>
      <c r="AE53" s="38">
        <v>500000</v>
      </c>
      <c r="AF53" s="36">
        <v>500</v>
      </c>
      <c r="AG53" s="36">
        <v>0</v>
      </c>
      <c r="AH53" s="36">
        <v>40311</v>
      </c>
      <c r="AI53" s="38" t="s">
        <v>832</v>
      </c>
      <c r="AJ53" s="38">
        <v>1000</v>
      </c>
      <c r="AK53" s="36">
        <v>108000</v>
      </c>
      <c r="AL53" s="36">
        <v>1000</v>
      </c>
      <c r="AM53" s="36">
        <v>500</v>
      </c>
      <c r="AN53" s="36">
        <v>600</v>
      </c>
      <c r="AO53" s="36">
        <v>2500</v>
      </c>
      <c r="AP53" s="38" t="s">
        <v>155</v>
      </c>
      <c r="AQ53" s="38">
        <v>100</v>
      </c>
      <c r="AR53" s="38" t="s">
        <v>809</v>
      </c>
      <c r="AS53" s="38">
        <v>2000</v>
      </c>
      <c r="AT53" s="38">
        <v>10800</v>
      </c>
      <c r="AU53" s="38">
        <v>2700000</v>
      </c>
      <c r="AV53" s="36">
        <v>200000</v>
      </c>
      <c r="BA53" s="36" t="s">
        <v>157</v>
      </c>
      <c r="BB53" s="36" t="s">
        <v>158</v>
      </c>
      <c r="BC53" s="46"/>
      <c r="BD53" s="39" t="s">
        <v>811</v>
      </c>
      <c r="BE53" s="36">
        <v>1</v>
      </c>
      <c r="BF53" s="36" t="s">
        <v>160</v>
      </c>
      <c r="BG53" s="36" t="s">
        <v>161</v>
      </c>
      <c r="BH53" s="36" t="s">
        <v>162</v>
      </c>
      <c r="BJ53" s="38">
        <v>7200</v>
      </c>
      <c r="BK53" s="38">
        <v>1800</v>
      </c>
      <c r="BL53" s="36">
        <f t="shared" si="0"/>
        <v>715</v>
      </c>
      <c r="BM53" s="36">
        <v>3</v>
      </c>
      <c r="BN53" s="35" t="s">
        <v>157</v>
      </c>
      <c r="BO53" s="36" t="s">
        <v>879</v>
      </c>
      <c r="BP53" s="54" t="s">
        <v>157</v>
      </c>
      <c r="BQ53" s="36" t="s">
        <v>165</v>
      </c>
    </row>
    <row r="54" spans="1:69" s="34" customFormat="1" x14ac:dyDescent="0.45">
      <c r="A54" s="34">
        <v>40311</v>
      </c>
      <c r="B54" s="36" t="s">
        <v>880</v>
      </c>
      <c r="C54" s="34" t="s">
        <v>141</v>
      </c>
      <c r="D54" s="34" t="s">
        <v>142</v>
      </c>
      <c r="E54" s="34" t="s">
        <v>143</v>
      </c>
      <c r="F54" s="36" t="s">
        <v>144</v>
      </c>
      <c r="G54" s="34" t="s">
        <v>145</v>
      </c>
      <c r="H54" s="34" t="s">
        <v>146</v>
      </c>
      <c r="J54" s="34" t="s">
        <v>147</v>
      </c>
      <c r="K54" s="34" t="s">
        <v>148</v>
      </c>
      <c r="L54" s="34" t="s">
        <v>149</v>
      </c>
      <c r="M54" s="38">
        <v>4700000</v>
      </c>
      <c r="N54" s="36">
        <v>1</v>
      </c>
      <c r="O54" s="34" t="s">
        <v>150</v>
      </c>
      <c r="P54" s="38">
        <v>600</v>
      </c>
      <c r="Q54" s="36" t="s">
        <v>834</v>
      </c>
      <c r="R54" s="34" t="s">
        <v>152</v>
      </c>
      <c r="T54" s="36">
        <v>11</v>
      </c>
      <c r="U54" s="36"/>
      <c r="V54" s="36"/>
      <c r="W54" s="36"/>
      <c r="Z54" s="38" t="s">
        <v>807</v>
      </c>
      <c r="AA54" s="38">
        <v>1000</v>
      </c>
      <c r="AB54" s="34">
        <v>5</v>
      </c>
      <c r="AD54" s="38">
        <v>2700000</v>
      </c>
      <c r="AE54" s="38">
        <v>500000</v>
      </c>
      <c r="AF54" s="34">
        <v>500</v>
      </c>
      <c r="AG54" s="34">
        <v>0</v>
      </c>
      <c r="AH54" s="36">
        <v>40312</v>
      </c>
      <c r="AI54" s="38" t="s">
        <v>835</v>
      </c>
      <c r="AJ54" s="38">
        <v>1000</v>
      </c>
      <c r="AK54" s="34">
        <v>118800</v>
      </c>
      <c r="AL54" s="36">
        <v>1000</v>
      </c>
      <c r="AM54" s="34">
        <v>500</v>
      </c>
      <c r="AN54" s="34">
        <v>600</v>
      </c>
      <c r="AO54" s="34">
        <v>2500</v>
      </c>
      <c r="AP54" s="38" t="s">
        <v>155</v>
      </c>
      <c r="AQ54" s="38">
        <v>100</v>
      </c>
      <c r="AR54" s="38" t="s">
        <v>809</v>
      </c>
      <c r="AS54" s="38">
        <v>2000</v>
      </c>
      <c r="AT54" s="38">
        <v>10800</v>
      </c>
      <c r="AU54" s="38">
        <v>2700000</v>
      </c>
      <c r="AV54" s="34">
        <v>200000</v>
      </c>
      <c r="BA54" s="34" t="s">
        <v>157</v>
      </c>
      <c r="BB54" s="34" t="s">
        <v>158</v>
      </c>
      <c r="BC54" s="47"/>
      <c r="BD54" s="39" t="s">
        <v>811</v>
      </c>
      <c r="BE54" s="34">
        <v>1</v>
      </c>
      <c r="BF54" s="34" t="s">
        <v>160</v>
      </c>
      <c r="BG54" s="34" t="s">
        <v>161</v>
      </c>
      <c r="BH54" s="34" t="s">
        <v>162</v>
      </c>
      <c r="BI54" s="52"/>
      <c r="BJ54" s="38">
        <v>7200</v>
      </c>
      <c r="BK54" s="38">
        <v>1800</v>
      </c>
      <c r="BL54" s="36">
        <f t="shared" si="0"/>
        <v>775</v>
      </c>
      <c r="BM54" s="36">
        <v>3</v>
      </c>
      <c r="BN54" s="34" t="s">
        <v>157</v>
      </c>
      <c r="BO54" s="34" t="s">
        <v>879</v>
      </c>
      <c r="BP54" s="54" t="s">
        <v>157</v>
      </c>
      <c r="BQ54" s="36" t="s">
        <v>165</v>
      </c>
    </row>
    <row r="55" spans="1:69" s="34" customFormat="1" x14ac:dyDescent="0.45">
      <c r="A55" s="34">
        <v>40312</v>
      </c>
      <c r="B55" s="36" t="s">
        <v>881</v>
      </c>
      <c r="C55" s="34" t="s">
        <v>141</v>
      </c>
      <c r="D55" s="34" t="s">
        <v>142</v>
      </c>
      <c r="E55" s="34" t="s">
        <v>143</v>
      </c>
      <c r="F55" s="36" t="s">
        <v>144</v>
      </c>
      <c r="G55" s="34" t="s">
        <v>145</v>
      </c>
      <c r="H55" s="34" t="s">
        <v>146</v>
      </c>
      <c r="J55" s="34" t="s">
        <v>147</v>
      </c>
      <c r="K55" s="34" t="s">
        <v>148</v>
      </c>
      <c r="L55" s="34" t="s">
        <v>149</v>
      </c>
      <c r="M55" s="38">
        <v>4900000</v>
      </c>
      <c r="N55" s="36">
        <v>1</v>
      </c>
      <c r="O55" s="34" t="s">
        <v>150</v>
      </c>
      <c r="P55" s="38">
        <v>700</v>
      </c>
      <c r="Q55" s="36" t="s">
        <v>834</v>
      </c>
      <c r="R55" s="34" t="s">
        <v>152</v>
      </c>
      <c r="T55" s="36">
        <v>12</v>
      </c>
      <c r="U55" s="36"/>
      <c r="V55" s="36"/>
      <c r="W55" s="36"/>
      <c r="Z55" s="38" t="s">
        <v>807</v>
      </c>
      <c r="AA55" s="38">
        <v>1000</v>
      </c>
      <c r="AB55" s="34">
        <v>5</v>
      </c>
      <c r="AD55" s="38">
        <v>2700000</v>
      </c>
      <c r="AE55" s="38">
        <v>500000</v>
      </c>
      <c r="AF55" s="34">
        <v>500</v>
      </c>
      <c r="AG55" s="34">
        <v>0</v>
      </c>
      <c r="AH55" s="36">
        <v>40313</v>
      </c>
      <c r="AI55" s="38" t="s">
        <v>837</v>
      </c>
      <c r="AJ55" s="38">
        <v>1000</v>
      </c>
      <c r="AK55" s="34">
        <v>129600</v>
      </c>
      <c r="AL55" s="36">
        <v>1000</v>
      </c>
      <c r="AM55" s="34">
        <v>500</v>
      </c>
      <c r="AN55" s="34">
        <v>600</v>
      </c>
      <c r="AO55" s="34">
        <v>2500</v>
      </c>
      <c r="AP55" s="38" t="s">
        <v>155</v>
      </c>
      <c r="AQ55" s="38">
        <v>100</v>
      </c>
      <c r="AR55" s="38" t="s">
        <v>809</v>
      </c>
      <c r="AS55" s="38">
        <v>2000</v>
      </c>
      <c r="AT55" s="38">
        <v>10800</v>
      </c>
      <c r="AU55" s="38">
        <v>2700000</v>
      </c>
      <c r="AV55" s="34">
        <v>200000</v>
      </c>
      <c r="BA55" s="34" t="s">
        <v>157</v>
      </c>
      <c r="BB55" s="34" t="s">
        <v>158</v>
      </c>
      <c r="BC55" s="47"/>
      <c r="BD55" s="39" t="s">
        <v>811</v>
      </c>
      <c r="BE55" s="34">
        <v>1</v>
      </c>
      <c r="BF55" s="34" t="s">
        <v>160</v>
      </c>
      <c r="BG55" s="34" t="s">
        <v>161</v>
      </c>
      <c r="BH55" s="34" t="s">
        <v>162</v>
      </c>
      <c r="BI55" s="52"/>
      <c r="BJ55" s="38">
        <v>7200</v>
      </c>
      <c r="BK55" s="38">
        <v>1800</v>
      </c>
      <c r="BL55" s="36">
        <f t="shared" si="0"/>
        <v>840</v>
      </c>
      <c r="BM55" s="36">
        <v>3</v>
      </c>
      <c r="BN55" s="34" t="s">
        <v>157</v>
      </c>
      <c r="BO55" s="34" t="s">
        <v>879</v>
      </c>
      <c r="BP55" s="54" t="s">
        <v>157</v>
      </c>
      <c r="BQ55" s="36" t="s">
        <v>165</v>
      </c>
    </row>
    <row r="56" spans="1:69" s="34" customFormat="1" x14ac:dyDescent="0.45">
      <c r="A56" s="34">
        <v>40313</v>
      </c>
      <c r="B56" s="36" t="s">
        <v>882</v>
      </c>
      <c r="C56" s="34" t="s">
        <v>141</v>
      </c>
      <c r="D56" s="34" t="s">
        <v>142</v>
      </c>
      <c r="E56" s="34" t="s">
        <v>143</v>
      </c>
      <c r="F56" s="36" t="s">
        <v>144</v>
      </c>
      <c r="G56" s="34" t="s">
        <v>145</v>
      </c>
      <c r="H56" s="34" t="s">
        <v>146</v>
      </c>
      <c r="J56" s="34" t="s">
        <v>147</v>
      </c>
      <c r="K56" s="34" t="s">
        <v>148</v>
      </c>
      <c r="L56" s="34" t="s">
        <v>149</v>
      </c>
      <c r="M56" s="38">
        <v>5100000</v>
      </c>
      <c r="N56" s="36">
        <v>1</v>
      </c>
      <c r="O56" s="34" t="s">
        <v>150</v>
      </c>
      <c r="P56" s="38">
        <v>800</v>
      </c>
      <c r="Q56" s="36" t="s">
        <v>834</v>
      </c>
      <c r="R56" s="34" t="s">
        <v>152</v>
      </c>
      <c r="T56" s="36">
        <v>13</v>
      </c>
      <c r="U56" s="36"/>
      <c r="V56" s="36"/>
      <c r="W56" s="36"/>
      <c r="Z56" s="38" t="s">
        <v>807</v>
      </c>
      <c r="AA56" s="38">
        <v>1000</v>
      </c>
      <c r="AB56" s="34">
        <v>5</v>
      </c>
      <c r="AD56" s="38">
        <v>2700000</v>
      </c>
      <c r="AE56" s="38">
        <v>500000</v>
      </c>
      <c r="AF56" s="34">
        <v>500</v>
      </c>
      <c r="AG56" s="34">
        <v>0</v>
      </c>
      <c r="AH56" s="36">
        <v>40314</v>
      </c>
      <c r="AI56" s="38" t="s">
        <v>839</v>
      </c>
      <c r="AJ56" s="38">
        <v>1000</v>
      </c>
      <c r="AK56" s="34">
        <v>140400</v>
      </c>
      <c r="AL56" s="36">
        <v>1000</v>
      </c>
      <c r="AM56" s="34">
        <v>500</v>
      </c>
      <c r="AN56" s="34">
        <v>600</v>
      </c>
      <c r="AO56" s="34">
        <v>2500</v>
      </c>
      <c r="AP56" s="38" t="s">
        <v>155</v>
      </c>
      <c r="AQ56" s="38">
        <v>100</v>
      </c>
      <c r="AR56" s="38" t="s">
        <v>809</v>
      </c>
      <c r="AS56" s="38">
        <v>2000</v>
      </c>
      <c r="AT56" s="38">
        <v>10800</v>
      </c>
      <c r="AU56" s="38">
        <v>2700000</v>
      </c>
      <c r="AV56" s="34">
        <v>200000</v>
      </c>
      <c r="BA56" s="34" t="s">
        <v>157</v>
      </c>
      <c r="BB56" s="34" t="s">
        <v>158</v>
      </c>
      <c r="BC56" s="47"/>
      <c r="BD56" s="39" t="s">
        <v>811</v>
      </c>
      <c r="BE56" s="34">
        <v>1</v>
      </c>
      <c r="BF56" s="34" t="s">
        <v>160</v>
      </c>
      <c r="BG56" s="34" t="s">
        <v>161</v>
      </c>
      <c r="BH56" s="34" t="s">
        <v>162</v>
      </c>
      <c r="BI56" s="52"/>
      <c r="BJ56" s="38">
        <v>7200</v>
      </c>
      <c r="BK56" s="38">
        <v>1800</v>
      </c>
      <c r="BL56" s="36">
        <f t="shared" si="0"/>
        <v>910</v>
      </c>
      <c r="BM56" s="36">
        <v>3</v>
      </c>
      <c r="BN56" s="34" t="s">
        <v>157</v>
      </c>
      <c r="BO56" s="34" t="s">
        <v>879</v>
      </c>
      <c r="BP56" s="54" t="s">
        <v>157</v>
      </c>
      <c r="BQ56" s="36" t="s">
        <v>165</v>
      </c>
    </row>
    <row r="57" spans="1:69" s="34" customFormat="1" x14ac:dyDescent="0.45">
      <c r="A57" s="34">
        <v>40314</v>
      </c>
      <c r="B57" s="36" t="s">
        <v>883</v>
      </c>
      <c r="C57" s="34" t="s">
        <v>141</v>
      </c>
      <c r="D57" s="34" t="s">
        <v>142</v>
      </c>
      <c r="E57" s="34" t="s">
        <v>143</v>
      </c>
      <c r="F57" s="36" t="s">
        <v>144</v>
      </c>
      <c r="G57" s="34" t="s">
        <v>145</v>
      </c>
      <c r="H57" s="34" t="s">
        <v>146</v>
      </c>
      <c r="J57" s="34" t="s">
        <v>147</v>
      </c>
      <c r="K57" s="34" t="s">
        <v>148</v>
      </c>
      <c r="L57" s="34" t="s">
        <v>149</v>
      </c>
      <c r="M57" s="38">
        <v>5300000</v>
      </c>
      <c r="N57" s="36">
        <v>1</v>
      </c>
      <c r="O57" s="34" t="s">
        <v>150</v>
      </c>
      <c r="P57" s="38">
        <v>900</v>
      </c>
      <c r="Q57" s="36" t="s">
        <v>834</v>
      </c>
      <c r="R57" s="34" t="s">
        <v>152</v>
      </c>
      <c r="T57" s="36">
        <v>14</v>
      </c>
      <c r="U57" s="36"/>
      <c r="V57" s="36"/>
      <c r="W57" s="36"/>
      <c r="Z57" s="38" t="s">
        <v>807</v>
      </c>
      <c r="AA57" s="38">
        <v>1000</v>
      </c>
      <c r="AB57" s="34">
        <v>5</v>
      </c>
      <c r="AD57" s="38">
        <v>2700000</v>
      </c>
      <c r="AE57" s="38">
        <v>500000</v>
      </c>
      <c r="AF57" s="34">
        <v>500</v>
      </c>
      <c r="AG57" s="34">
        <v>0</v>
      </c>
      <c r="AH57" s="36">
        <v>40315</v>
      </c>
      <c r="AI57" s="38" t="s">
        <v>841</v>
      </c>
      <c r="AJ57" s="38">
        <v>1000</v>
      </c>
      <c r="AK57" s="34">
        <v>151200</v>
      </c>
      <c r="AL57" s="36">
        <v>1000</v>
      </c>
      <c r="AM57" s="34">
        <v>500</v>
      </c>
      <c r="AN57" s="34">
        <v>600</v>
      </c>
      <c r="AO57" s="34">
        <v>2500</v>
      </c>
      <c r="AP57" s="38" t="s">
        <v>155</v>
      </c>
      <c r="AQ57" s="38">
        <v>100</v>
      </c>
      <c r="AR57" s="38" t="s">
        <v>809</v>
      </c>
      <c r="AS57" s="38">
        <v>2000</v>
      </c>
      <c r="AT57" s="38">
        <v>10800</v>
      </c>
      <c r="AU57" s="38">
        <v>2700000</v>
      </c>
      <c r="AV57" s="34">
        <v>200000</v>
      </c>
      <c r="BA57" s="34" t="s">
        <v>157</v>
      </c>
      <c r="BB57" s="34" t="s">
        <v>158</v>
      </c>
      <c r="BC57" s="47"/>
      <c r="BD57" s="39" t="s">
        <v>811</v>
      </c>
      <c r="BE57" s="34">
        <v>1</v>
      </c>
      <c r="BF57" s="34" t="s">
        <v>160</v>
      </c>
      <c r="BG57" s="34" t="s">
        <v>161</v>
      </c>
      <c r="BH57" s="34" t="s">
        <v>162</v>
      </c>
      <c r="BI57" s="52"/>
      <c r="BJ57" s="38">
        <v>7200</v>
      </c>
      <c r="BK57" s="38">
        <v>1800</v>
      </c>
      <c r="BL57" s="36">
        <f t="shared" si="0"/>
        <v>985</v>
      </c>
      <c r="BM57" s="36">
        <v>3</v>
      </c>
      <c r="BN57" s="34" t="s">
        <v>157</v>
      </c>
      <c r="BO57" s="34" t="s">
        <v>879</v>
      </c>
      <c r="BP57" s="54" t="s">
        <v>157</v>
      </c>
      <c r="BQ57" s="36" t="s">
        <v>165</v>
      </c>
    </row>
    <row r="58" spans="1:69" s="34" customFormat="1" x14ac:dyDescent="0.45">
      <c r="A58" s="34">
        <v>40315</v>
      </c>
      <c r="B58" s="36" t="s">
        <v>884</v>
      </c>
      <c r="C58" s="34" t="s">
        <v>141</v>
      </c>
      <c r="D58" s="34" t="s">
        <v>142</v>
      </c>
      <c r="E58" s="34" t="s">
        <v>143</v>
      </c>
      <c r="F58" s="36" t="s">
        <v>144</v>
      </c>
      <c r="G58" s="34" t="s">
        <v>145</v>
      </c>
      <c r="H58" s="34" t="s">
        <v>146</v>
      </c>
      <c r="J58" s="34" t="s">
        <v>147</v>
      </c>
      <c r="K58" s="34" t="s">
        <v>148</v>
      </c>
      <c r="L58" s="34" t="s">
        <v>149</v>
      </c>
      <c r="M58" s="38">
        <v>5500000</v>
      </c>
      <c r="N58" s="36">
        <v>1</v>
      </c>
      <c r="O58" s="34" t="s">
        <v>150</v>
      </c>
      <c r="P58" s="38">
        <v>1000</v>
      </c>
      <c r="Q58" s="36" t="s">
        <v>834</v>
      </c>
      <c r="R58" s="34" t="s">
        <v>152</v>
      </c>
      <c r="T58" s="36">
        <v>15</v>
      </c>
      <c r="U58" s="36"/>
      <c r="V58" s="36"/>
      <c r="W58" s="36"/>
      <c r="Z58" s="38" t="s">
        <v>807</v>
      </c>
      <c r="AA58" s="38">
        <v>1000</v>
      </c>
      <c r="AB58" s="34">
        <v>5</v>
      </c>
      <c r="AD58" s="38">
        <v>2700000</v>
      </c>
      <c r="AE58" s="38">
        <v>500000</v>
      </c>
      <c r="AF58" s="34">
        <v>500</v>
      </c>
      <c r="AG58" s="34">
        <v>0</v>
      </c>
      <c r="AH58" s="36">
        <v>40316</v>
      </c>
      <c r="AI58" s="38" t="s">
        <v>843</v>
      </c>
      <c r="AJ58" s="38">
        <v>1000</v>
      </c>
      <c r="AK58" s="34">
        <v>162000</v>
      </c>
      <c r="AL58" s="36">
        <v>1000</v>
      </c>
      <c r="AM58" s="34">
        <v>500</v>
      </c>
      <c r="AN58" s="34">
        <v>600</v>
      </c>
      <c r="AO58" s="34">
        <v>2500</v>
      </c>
      <c r="AP58" s="38" t="s">
        <v>155</v>
      </c>
      <c r="AQ58" s="38">
        <v>100</v>
      </c>
      <c r="AR58" s="38" t="s">
        <v>809</v>
      </c>
      <c r="AS58" s="38">
        <v>2000</v>
      </c>
      <c r="AT58" s="38">
        <v>10800</v>
      </c>
      <c r="AU58" s="38">
        <v>2700000</v>
      </c>
      <c r="AV58" s="34">
        <v>200000</v>
      </c>
      <c r="BA58" s="34" t="s">
        <v>157</v>
      </c>
      <c r="BB58" s="34" t="s">
        <v>158</v>
      </c>
      <c r="BC58" s="47"/>
      <c r="BD58" s="39" t="s">
        <v>811</v>
      </c>
      <c r="BE58" s="34">
        <v>1</v>
      </c>
      <c r="BF58" s="34" t="s">
        <v>160</v>
      </c>
      <c r="BG58" s="34" t="s">
        <v>161</v>
      </c>
      <c r="BH58" s="34" t="s">
        <v>162</v>
      </c>
      <c r="BI58" s="52"/>
      <c r="BJ58" s="38">
        <v>7200</v>
      </c>
      <c r="BK58" s="38">
        <v>1800</v>
      </c>
      <c r="BL58" s="36">
        <f t="shared" si="0"/>
        <v>1065</v>
      </c>
      <c r="BM58" s="36">
        <v>3</v>
      </c>
      <c r="BN58" s="34" t="s">
        <v>157</v>
      </c>
      <c r="BO58" s="34" t="s">
        <v>879</v>
      </c>
      <c r="BP58" s="54" t="s">
        <v>157</v>
      </c>
      <c r="BQ58" s="36" t="s">
        <v>165</v>
      </c>
    </row>
    <row r="59" spans="1:69" x14ac:dyDescent="0.45">
      <c r="A59" s="36">
        <v>40316</v>
      </c>
      <c r="B59" s="36" t="s">
        <v>885</v>
      </c>
      <c r="C59" s="36" t="s">
        <v>141</v>
      </c>
      <c r="D59" s="36" t="s">
        <v>142</v>
      </c>
      <c r="E59" s="36" t="s">
        <v>143</v>
      </c>
      <c r="F59" s="36" t="s">
        <v>144</v>
      </c>
      <c r="G59" s="36" t="s">
        <v>145</v>
      </c>
      <c r="H59" s="36" t="s">
        <v>146</v>
      </c>
      <c r="J59" s="36" t="s">
        <v>147</v>
      </c>
      <c r="K59" s="36" t="s">
        <v>148</v>
      </c>
      <c r="L59" s="36" t="s">
        <v>149</v>
      </c>
      <c r="M59" s="38">
        <v>5700000</v>
      </c>
      <c r="N59" s="36">
        <v>1</v>
      </c>
      <c r="O59" s="36" t="s">
        <v>150</v>
      </c>
      <c r="P59" s="38">
        <v>1200</v>
      </c>
      <c r="Q59" s="42" t="s">
        <v>845</v>
      </c>
      <c r="R59" s="36" t="s">
        <v>152</v>
      </c>
      <c r="T59" s="36">
        <v>16</v>
      </c>
      <c r="Z59" s="38" t="s">
        <v>807</v>
      </c>
      <c r="AA59" s="38">
        <v>1000</v>
      </c>
      <c r="AB59" s="36">
        <v>5</v>
      </c>
      <c r="AD59" s="38">
        <v>2700000</v>
      </c>
      <c r="AE59" s="38">
        <v>500000</v>
      </c>
      <c r="AF59" s="36">
        <v>500</v>
      </c>
      <c r="AG59" s="36">
        <v>0</v>
      </c>
      <c r="AH59" s="36">
        <v>40317</v>
      </c>
      <c r="AI59" s="38" t="s">
        <v>846</v>
      </c>
      <c r="AJ59" s="38">
        <v>1000</v>
      </c>
      <c r="AK59" s="36">
        <v>172800</v>
      </c>
      <c r="AL59" s="36">
        <v>1000</v>
      </c>
      <c r="AM59" s="36">
        <v>500</v>
      </c>
      <c r="AN59" s="36">
        <v>600</v>
      </c>
      <c r="AO59" s="36">
        <v>2500</v>
      </c>
      <c r="AP59" s="38" t="s">
        <v>155</v>
      </c>
      <c r="AQ59" s="38">
        <v>100</v>
      </c>
      <c r="AR59" s="38" t="s">
        <v>809</v>
      </c>
      <c r="AS59" s="38">
        <v>2000</v>
      </c>
      <c r="AT59" s="38">
        <v>10800</v>
      </c>
      <c r="AU59" s="38">
        <v>2700000</v>
      </c>
      <c r="AV59" s="36">
        <v>200000</v>
      </c>
      <c r="BA59" s="36" t="s">
        <v>157</v>
      </c>
      <c r="BB59" s="36" t="s">
        <v>158</v>
      </c>
      <c r="BC59" s="46"/>
      <c r="BD59" s="39" t="s">
        <v>811</v>
      </c>
      <c r="BE59" s="36">
        <v>1</v>
      </c>
      <c r="BF59" s="36" t="s">
        <v>160</v>
      </c>
      <c r="BG59" s="36" t="s">
        <v>161</v>
      </c>
      <c r="BH59" s="36" t="s">
        <v>162</v>
      </c>
      <c r="BJ59" s="38">
        <v>7200</v>
      </c>
      <c r="BK59" s="38">
        <v>1800</v>
      </c>
      <c r="BL59" s="36">
        <f t="shared" si="0"/>
        <v>1150</v>
      </c>
      <c r="BM59" s="36">
        <v>3</v>
      </c>
      <c r="BN59" s="35" t="s">
        <v>157</v>
      </c>
      <c r="BO59" s="36" t="s">
        <v>879</v>
      </c>
      <c r="BP59" s="54" t="s">
        <v>157</v>
      </c>
      <c r="BQ59" s="36" t="s">
        <v>165</v>
      </c>
    </row>
    <row r="60" spans="1:69" x14ac:dyDescent="0.45">
      <c r="A60" s="36">
        <v>40317</v>
      </c>
      <c r="B60" s="36" t="s">
        <v>886</v>
      </c>
      <c r="C60" s="36" t="s">
        <v>141</v>
      </c>
      <c r="D60" s="36" t="s">
        <v>142</v>
      </c>
      <c r="E60" s="36" t="s">
        <v>143</v>
      </c>
      <c r="F60" s="36" t="s">
        <v>144</v>
      </c>
      <c r="G60" s="36" t="s">
        <v>145</v>
      </c>
      <c r="H60" s="36" t="s">
        <v>146</v>
      </c>
      <c r="J60" s="36" t="s">
        <v>147</v>
      </c>
      <c r="K60" s="36" t="s">
        <v>148</v>
      </c>
      <c r="L60" s="36" t="s">
        <v>149</v>
      </c>
      <c r="M60" s="38">
        <v>5900000</v>
      </c>
      <c r="N60" s="36">
        <v>1</v>
      </c>
      <c r="O60" s="36" t="s">
        <v>150</v>
      </c>
      <c r="P60" s="38">
        <v>1500</v>
      </c>
      <c r="Q60" s="42" t="s">
        <v>845</v>
      </c>
      <c r="R60" s="36" t="s">
        <v>152</v>
      </c>
      <c r="T60" s="36">
        <v>17</v>
      </c>
      <c r="Z60" s="38" t="s">
        <v>807</v>
      </c>
      <c r="AA60" s="38">
        <v>1000</v>
      </c>
      <c r="AB60" s="36">
        <v>5</v>
      </c>
      <c r="AD60" s="38">
        <v>2700000</v>
      </c>
      <c r="AE60" s="38">
        <v>500000</v>
      </c>
      <c r="AF60" s="36">
        <v>500</v>
      </c>
      <c r="AG60" s="36">
        <v>0</v>
      </c>
      <c r="AH60" s="36">
        <v>40318</v>
      </c>
      <c r="AI60" s="38" t="s">
        <v>848</v>
      </c>
      <c r="AJ60" s="38">
        <v>1000</v>
      </c>
      <c r="AK60" s="36">
        <v>183600</v>
      </c>
      <c r="AL60" s="36">
        <v>1000</v>
      </c>
      <c r="AM60" s="36">
        <v>500</v>
      </c>
      <c r="AN60" s="36">
        <v>600</v>
      </c>
      <c r="AO60" s="36">
        <v>2500</v>
      </c>
      <c r="AP60" s="38" t="s">
        <v>155</v>
      </c>
      <c r="AQ60" s="38">
        <v>100</v>
      </c>
      <c r="AR60" s="38" t="s">
        <v>809</v>
      </c>
      <c r="AS60" s="38">
        <v>2000</v>
      </c>
      <c r="AT60" s="38">
        <v>10800</v>
      </c>
      <c r="AU60" s="38">
        <v>2700000</v>
      </c>
      <c r="AV60" s="36">
        <v>200000</v>
      </c>
      <c r="BA60" s="36" t="s">
        <v>157</v>
      </c>
      <c r="BB60" s="36" t="s">
        <v>158</v>
      </c>
      <c r="BC60" s="46"/>
      <c r="BD60" s="39" t="s">
        <v>811</v>
      </c>
      <c r="BE60" s="36">
        <v>1</v>
      </c>
      <c r="BF60" s="36" t="s">
        <v>160</v>
      </c>
      <c r="BG60" s="36" t="s">
        <v>161</v>
      </c>
      <c r="BH60" s="36" t="s">
        <v>162</v>
      </c>
      <c r="BJ60" s="38">
        <v>7200</v>
      </c>
      <c r="BK60" s="38">
        <v>1800</v>
      </c>
      <c r="BL60" s="36">
        <f t="shared" si="0"/>
        <v>1240</v>
      </c>
      <c r="BM60" s="36">
        <v>3</v>
      </c>
      <c r="BN60" s="35" t="s">
        <v>157</v>
      </c>
      <c r="BO60" s="36" t="s">
        <v>879</v>
      </c>
      <c r="BP60" s="54" t="s">
        <v>157</v>
      </c>
      <c r="BQ60" s="36" t="s">
        <v>165</v>
      </c>
    </row>
    <row r="61" spans="1:69" x14ac:dyDescent="0.45">
      <c r="A61" s="36">
        <v>40318</v>
      </c>
      <c r="B61" s="36" t="s">
        <v>887</v>
      </c>
      <c r="C61" s="36" t="s">
        <v>141</v>
      </c>
      <c r="D61" s="36" t="s">
        <v>142</v>
      </c>
      <c r="E61" s="36" t="s">
        <v>143</v>
      </c>
      <c r="F61" s="36" t="s">
        <v>144</v>
      </c>
      <c r="G61" s="36" t="s">
        <v>145</v>
      </c>
      <c r="H61" s="36" t="s">
        <v>146</v>
      </c>
      <c r="J61" s="36" t="s">
        <v>147</v>
      </c>
      <c r="K61" s="36" t="s">
        <v>148</v>
      </c>
      <c r="L61" s="36" t="s">
        <v>149</v>
      </c>
      <c r="M61" s="38">
        <v>6100000</v>
      </c>
      <c r="N61" s="36">
        <v>1</v>
      </c>
      <c r="O61" s="36" t="s">
        <v>150</v>
      </c>
      <c r="P61" s="38">
        <v>2000</v>
      </c>
      <c r="Q61" s="42" t="s">
        <v>845</v>
      </c>
      <c r="R61" s="36" t="s">
        <v>152</v>
      </c>
      <c r="T61" s="36">
        <v>18</v>
      </c>
      <c r="Z61" s="38" t="s">
        <v>807</v>
      </c>
      <c r="AA61" s="38">
        <v>1000</v>
      </c>
      <c r="AB61" s="36">
        <v>5</v>
      </c>
      <c r="AD61" s="38">
        <v>2700000</v>
      </c>
      <c r="AE61" s="38">
        <v>500000</v>
      </c>
      <c r="AF61" s="36">
        <v>500</v>
      </c>
      <c r="AG61" s="36">
        <v>0</v>
      </c>
      <c r="AH61" s="36">
        <v>40319</v>
      </c>
      <c r="AI61" s="38" t="s">
        <v>850</v>
      </c>
      <c r="AJ61" s="38">
        <v>1000</v>
      </c>
      <c r="AK61" s="36">
        <v>194400</v>
      </c>
      <c r="AL61" s="36">
        <v>1000</v>
      </c>
      <c r="AM61" s="36">
        <v>500</v>
      </c>
      <c r="AN61" s="36">
        <v>600</v>
      </c>
      <c r="AO61" s="36">
        <v>2500</v>
      </c>
      <c r="AP61" s="38" t="s">
        <v>155</v>
      </c>
      <c r="AQ61" s="38">
        <v>100</v>
      </c>
      <c r="AR61" s="38" t="s">
        <v>809</v>
      </c>
      <c r="AS61" s="38">
        <v>2000</v>
      </c>
      <c r="AT61" s="38">
        <v>10800</v>
      </c>
      <c r="AU61" s="38">
        <v>2700000</v>
      </c>
      <c r="AV61" s="36">
        <v>200000</v>
      </c>
      <c r="BA61" s="36" t="s">
        <v>157</v>
      </c>
      <c r="BB61" s="36" t="s">
        <v>158</v>
      </c>
      <c r="BC61" s="46"/>
      <c r="BD61" s="39" t="s">
        <v>811</v>
      </c>
      <c r="BE61" s="36">
        <v>1</v>
      </c>
      <c r="BF61" s="36" t="s">
        <v>160</v>
      </c>
      <c r="BG61" s="36" t="s">
        <v>161</v>
      </c>
      <c r="BH61" s="36" t="s">
        <v>162</v>
      </c>
      <c r="BJ61" s="38">
        <v>7200</v>
      </c>
      <c r="BK61" s="38">
        <v>1800</v>
      </c>
      <c r="BL61" s="36">
        <f t="shared" si="0"/>
        <v>1335</v>
      </c>
      <c r="BM61" s="36">
        <v>3</v>
      </c>
      <c r="BN61" s="35" t="s">
        <v>157</v>
      </c>
      <c r="BO61" s="36" t="s">
        <v>879</v>
      </c>
      <c r="BP61" s="54" t="s">
        <v>157</v>
      </c>
      <c r="BQ61" s="36" t="s">
        <v>165</v>
      </c>
    </row>
    <row r="62" spans="1:69" x14ac:dyDescent="0.45">
      <c r="A62" s="36">
        <v>40319</v>
      </c>
      <c r="B62" s="36" t="s">
        <v>888</v>
      </c>
      <c r="C62" s="36" t="s">
        <v>141</v>
      </c>
      <c r="D62" s="36" t="s">
        <v>142</v>
      </c>
      <c r="E62" s="36" t="s">
        <v>143</v>
      </c>
      <c r="F62" s="36" t="s">
        <v>144</v>
      </c>
      <c r="G62" s="36" t="s">
        <v>145</v>
      </c>
      <c r="H62" s="36" t="s">
        <v>146</v>
      </c>
      <c r="J62" s="36" t="s">
        <v>147</v>
      </c>
      <c r="K62" s="36" t="s">
        <v>148</v>
      </c>
      <c r="L62" s="36" t="s">
        <v>149</v>
      </c>
      <c r="M62" s="38">
        <v>6300000</v>
      </c>
      <c r="N62" s="36">
        <v>1</v>
      </c>
      <c r="O62" s="36" t="s">
        <v>150</v>
      </c>
      <c r="P62" s="38">
        <v>2500</v>
      </c>
      <c r="Q62" s="42" t="s">
        <v>845</v>
      </c>
      <c r="R62" s="36" t="s">
        <v>152</v>
      </c>
      <c r="T62" s="36">
        <v>19</v>
      </c>
      <c r="Z62" s="38" t="s">
        <v>807</v>
      </c>
      <c r="AA62" s="38">
        <v>1000</v>
      </c>
      <c r="AB62" s="36">
        <v>5</v>
      </c>
      <c r="AD62" s="38">
        <v>2700000</v>
      </c>
      <c r="AE62" s="38">
        <v>500000</v>
      </c>
      <c r="AF62" s="36">
        <v>500</v>
      </c>
      <c r="AG62" s="36">
        <v>0</v>
      </c>
      <c r="AH62" s="36">
        <v>40320</v>
      </c>
      <c r="AI62" s="38" t="s">
        <v>852</v>
      </c>
      <c r="AJ62" s="38">
        <v>1000</v>
      </c>
      <c r="AK62" s="36">
        <v>205200</v>
      </c>
      <c r="AL62" s="36">
        <v>1000</v>
      </c>
      <c r="AM62" s="36">
        <v>500</v>
      </c>
      <c r="AN62" s="36">
        <v>600</v>
      </c>
      <c r="AO62" s="36">
        <v>2500</v>
      </c>
      <c r="AP62" s="38" t="s">
        <v>155</v>
      </c>
      <c r="AQ62" s="38">
        <v>100</v>
      </c>
      <c r="AR62" s="38" t="s">
        <v>809</v>
      </c>
      <c r="AS62" s="38">
        <v>2000</v>
      </c>
      <c r="AT62" s="38">
        <v>10800</v>
      </c>
      <c r="AU62" s="38">
        <v>2700000</v>
      </c>
      <c r="AV62" s="36">
        <v>200000</v>
      </c>
      <c r="BA62" s="36" t="s">
        <v>157</v>
      </c>
      <c r="BB62" s="36" t="s">
        <v>158</v>
      </c>
      <c r="BC62" s="46"/>
      <c r="BD62" s="39" t="s">
        <v>811</v>
      </c>
      <c r="BE62" s="36">
        <v>1</v>
      </c>
      <c r="BF62" s="36" t="s">
        <v>160</v>
      </c>
      <c r="BG62" s="36" t="s">
        <v>161</v>
      </c>
      <c r="BH62" s="36" t="s">
        <v>162</v>
      </c>
      <c r="BJ62" s="38">
        <v>7200</v>
      </c>
      <c r="BK62" s="38">
        <v>1800</v>
      </c>
      <c r="BL62" s="36">
        <f t="shared" si="0"/>
        <v>1435</v>
      </c>
      <c r="BM62" s="36">
        <v>3</v>
      </c>
      <c r="BN62" s="35" t="s">
        <v>157</v>
      </c>
      <c r="BO62" s="36" t="s">
        <v>879</v>
      </c>
      <c r="BP62" s="54" t="s">
        <v>157</v>
      </c>
      <c r="BQ62" s="36" t="s">
        <v>165</v>
      </c>
    </row>
    <row r="63" spans="1:69" x14ac:dyDescent="0.45">
      <c r="A63" s="36">
        <v>40320</v>
      </c>
      <c r="B63" s="36" t="s">
        <v>889</v>
      </c>
      <c r="C63" s="36" t="s">
        <v>141</v>
      </c>
      <c r="D63" s="36" t="s">
        <v>142</v>
      </c>
      <c r="E63" s="36" t="s">
        <v>143</v>
      </c>
      <c r="F63" s="36" t="s">
        <v>144</v>
      </c>
      <c r="G63" s="36" t="s">
        <v>145</v>
      </c>
      <c r="H63" s="36" t="s">
        <v>146</v>
      </c>
      <c r="J63" s="36" t="s">
        <v>147</v>
      </c>
      <c r="K63" s="36" t="s">
        <v>148</v>
      </c>
      <c r="L63" s="36" t="s">
        <v>149</v>
      </c>
      <c r="M63" s="38">
        <v>6500000</v>
      </c>
      <c r="N63" s="36">
        <v>1</v>
      </c>
      <c r="O63" s="36" t="s">
        <v>150</v>
      </c>
      <c r="P63" s="38">
        <v>3000</v>
      </c>
      <c r="Q63" s="42" t="s">
        <v>845</v>
      </c>
      <c r="R63" s="36" t="s">
        <v>152</v>
      </c>
      <c r="T63" s="36">
        <v>20</v>
      </c>
      <c r="Z63" s="38" t="s">
        <v>807</v>
      </c>
      <c r="AA63" s="38">
        <v>1000</v>
      </c>
      <c r="AB63" s="36">
        <v>5</v>
      </c>
      <c r="AD63" s="38">
        <v>2700000</v>
      </c>
      <c r="AE63" s="38">
        <v>500000</v>
      </c>
      <c r="AF63" s="36">
        <v>500</v>
      </c>
      <c r="AG63" s="36">
        <v>0</v>
      </c>
      <c r="AH63" s="36">
        <v>-1</v>
      </c>
      <c r="AJ63" s="38">
        <v>1000</v>
      </c>
      <c r="AK63" s="35">
        <v>216000</v>
      </c>
      <c r="AL63" s="36">
        <v>1000</v>
      </c>
      <c r="AM63" s="36">
        <v>500</v>
      </c>
      <c r="AN63" s="36">
        <v>600</v>
      </c>
      <c r="AO63" s="36">
        <v>2500</v>
      </c>
      <c r="AP63" s="38" t="s">
        <v>155</v>
      </c>
      <c r="AQ63" s="38">
        <v>100</v>
      </c>
      <c r="AR63" s="38" t="s">
        <v>809</v>
      </c>
      <c r="AS63" s="38">
        <v>2000</v>
      </c>
      <c r="AT63" s="38">
        <v>10800</v>
      </c>
      <c r="AU63" s="38">
        <v>2700000</v>
      </c>
      <c r="AV63" s="36">
        <v>200000</v>
      </c>
      <c r="BA63" s="36" t="s">
        <v>157</v>
      </c>
      <c r="BB63" s="36" t="s">
        <v>158</v>
      </c>
      <c r="BC63" s="46"/>
      <c r="BD63" s="39" t="s">
        <v>811</v>
      </c>
      <c r="BE63" s="36">
        <v>1</v>
      </c>
      <c r="BF63" s="36" t="s">
        <v>160</v>
      </c>
      <c r="BG63" s="36" t="s">
        <v>161</v>
      </c>
      <c r="BH63" s="36" t="s">
        <v>162</v>
      </c>
      <c r="BJ63" s="38">
        <v>7200</v>
      </c>
      <c r="BK63" s="38">
        <v>1800</v>
      </c>
      <c r="BL63" s="36">
        <f t="shared" si="0"/>
        <v>1540</v>
      </c>
      <c r="BM63" s="36">
        <v>3</v>
      </c>
      <c r="BN63" s="35" t="s">
        <v>157</v>
      </c>
      <c r="BO63" s="36" t="s">
        <v>879</v>
      </c>
      <c r="BP63" s="54" t="s">
        <v>157</v>
      </c>
      <c r="BQ63" s="36" t="s">
        <v>165</v>
      </c>
    </row>
    <row r="64" spans="1:69" x14ac:dyDescent="0.45">
      <c r="A64" s="36">
        <v>40401</v>
      </c>
      <c r="B64" s="36" t="s">
        <v>890</v>
      </c>
      <c r="C64" s="36" t="s">
        <v>141</v>
      </c>
      <c r="D64" s="36" t="s">
        <v>142</v>
      </c>
      <c r="E64" s="36" t="s">
        <v>729</v>
      </c>
      <c r="F64" s="36" t="s">
        <v>144</v>
      </c>
      <c r="G64" s="36" t="s">
        <v>145</v>
      </c>
      <c r="H64" s="36" t="s">
        <v>146</v>
      </c>
      <c r="J64" s="36" t="s">
        <v>147</v>
      </c>
      <c r="K64" s="36" t="s">
        <v>891</v>
      </c>
      <c r="L64" s="36" t="s">
        <v>149</v>
      </c>
      <c r="M64" s="38">
        <v>2700000</v>
      </c>
      <c r="N64" s="36">
        <v>1</v>
      </c>
      <c r="O64" s="36" t="s">
        <v>150</v>
      </c>
      <c r="P64" s="38">
        <v>50</v>
      </c>
      <c r="Q64" s="36" t="s">
        <v>805</v>
      </c>
      <c r="R64" s="36" t="s">
        <v>892</v>
      </c>
      <c r="T64" s="36">
        <v>1</v>
      </c>
      <c r="Z64" s="38" t="s">
        <v>807</v>
      </c>
      <c r="AA64" s="38">
        <v>1000</v>
      </c>
      <c r="AB64" s="36">
        <v>5</v>
      </c>
      <c r="AD64" s="38">
        <v>2700000</v>
      </c>
      <c r="AE64" s="38">
        <v>500000</v>
      </c>
      <c r="AF64" s="36">
        <v>500</v>
      </c>
      <c r="AG64" s="36">
        <v>0</v>
      </c>
      <c r="AH64" s="36">
        <v>40402</v>
      </c>
      <c r="AI64" s="38" t="s">
        <v>808</v>
      </c>
      <c r="AJ64" s="38">
        <v>1000</v>
      </c>
      <c r="AK64" s="36">
        <v>21600</v>
      </c>
      <c r="AL64" s="36">
        <v>1000</v>
      </c>
      <c r="AM64" s="36">
        <v>500</v>
      </c>
      <c r="AN64" s="36">
        <v>600</v>
      </c>
      <c r="AO64" s="36">
        <v>2500</v>
      </c>
      <c r="AP64" s="38" t="s">
        <v>155</v>
      </c>
      <c r="AQ64" s="38">
        <v>100</v>
      </c>
      <c r="AR64" s="38" t="s">
        <v>809</v>
      </c>
      <c r="AS64" s="38">
        <v>2000</v>
      </c>
      <c r="AT64" s="38">
        <v>10800</v>
      </c>
      <c r="AU64" s="38">
        <v>2700000</v>
      </c>
      <c r="AV64" s="36">
        <v>200000</v>
      </c>
      <c r="BA64" s="36" t="s">
        <v>157</v>
      </c>
      <c r="BB64" s="36" t="s">
        <v>893</v>
      </c>
      <c r="BC64" s="46"/>
      <c r="BD64" s="39" t="s">
        <v>811</v>
      </c>
      <c r="BE64" s="36">
        <v>1</v>
      </c>
      <c r="BF64" s="36" t="s">
        <v>160</v>
      </c>
      <c r="BG64" s="36" t="s">
        <v>161</v>
      </c>
      <c r="BH64" s="36" t="s">
        <v>162</v>
      </c>
      <c r="BJ64" s="38">
        <v>7200</v>
      </c>
      <c r="BK64" s="38">
        <v>1800</v>
      </c>
      <c r="BL64" s="36">
        <f t="shared" si="0"/>
        <v>400</v>
      </c>
      <c r="BM64" s="36">
        <v>4</v>
      </c>
      <c r="BN64" s="35" t="s">
        <v>157</v>
      </c>
      <c r="BO64" s="36" t="s">
        <v>894</v>
      </c>
      <c r="BP64" s="54" t="s">
        <v>157</v>
      </c>
      <c r="BQ64" s="36" t="s">
        <v>895</v>
      </c>
    </row>
    <row r="65" spans="1:69" x14ac:dyDescent="0.45">
      <c r="A65" s="36">
        <v>40402</v>
      </c>
      <c r="B65" s="36" t="s">
        <v>896</v>
      </c>
      <c r="C65" s="36" t="s">
        <v>141</v>
      </c>
      <c r="D65" s="36" t="s">
        <v>142</v>
      </c>
      <c r="E65" s="36" t="s">
        <v>729</v>
      </c>
      <c r="F65" s="36" t="s">
        <v>144</v>
      </c>
      <c r="G65" s="36" t="s">
        <v>145</v>
      </c>
      <c r="H65" s="36" t="s">
        <v>146</v>
      </c>
      <c r="J65" s="36" t="s">
        <v>147</v>
      </c>
      <c r="K65" s="36" t="s">
        <v>891</v>
      </c>
      <c r="L65" s="36" t="s">
        <v>149</v>
      </c>
      <c r="M65" s="38">
        <v>2900000</v>
      </c>
      <c r="N65" s="36">
        <v>1</v>
      </c>
      <c r="O65" s="36" t="s">
        <v>150</v>
      </c>
      <c r="P65" s="38">
        <v>100</v>
      </c>
      <c r="Q65" s="36" t="s">
        <v>805</v>
      </c>
      <c r="R65" s="36" t="s">
        <v>892</v>
      </c>
      <c r="T65" s="36">
        <v>2</v>
      </c>
      <c r="Z65" s="38" t="s">
        <v>807</v>
      </c>
      <c r="AA65" s="38">
        <v>1000</v>
      </c>
      <c r="AB65" s="36">
        <v>5</v>
      </c>
      <c r="AD65" s="38">
        <v>2700000</v>
      </c>
      <c r="AE65" s="38">
        <v>500000</v>
      </c>
      <c r="AF65" s="36">
        <v>500</v>
      </c>
      <c r="AG65" s="36">
        <v>0</v>
      </c>
      <c r="AH65" s="36">
        <v>40403</v>
      </c>
      <c r="AI65" s="38" t="s">
        <v>815</v>
      </c>
      <c r="AJ65" s="38">
        <v>1000</v>
      </c>
      <c r="AK65" s="36">
        <v>21600</v>
      </c>
      <c r="AL65" s="36">
        <v>1000</v>
      </c>
      <c r="AM65" s="36">
        <v>500</v>
      </c>
      <c r="AN65" s="36">
        <v>600</v>
      </c>
      <c r="AO65" s="36">
        <v>2500</v>
      </c>
      <c r="AP65" s="38" t="s">
        <v>155</v>
      </c>
      <c r="AQ65" s="38">
        <v>100</v>
      </c>
      <c r="AR65" s="38" t="s">
        <v>809</v>
      </c>
      <c r="AS65" s="38">
        <v>2000</v>
      </c>
      <c r="AT65" s="38">
        <v>10800</v>
      </c>
      <c r="AU65" s="38">
        <v>2700000</v>
      </c>
      <c r="AV65" s="36">
        <v>200000</v>
      </c>
      <c r="BA65" s="36" t="s">
        <v>157</v>
      </c>
      <c r="BB65" s="36" t="s">
        <v>893</v>
      </c>
      <c r="BC65" s="46"/>
      <c r="BD65" s="39" t="s">
        <v>811</v>
      </c>
      <c r="BE65" s="36">
        <v>1</v>
      </c>
      <c r="BF65" s="36" t="s">
        <v>160</v>
      </c>
      <c r="BG65" s="36" t="s">
        <v>161</v>
      </c>
      <c r="BH65" s="36" t="s">
        <v>162</v>
      </c>
      <c r="BJ65" s="38">
        <v>7200</v>
      </c>
      <c r="BK65" s="38">
        <v>1800</v>
      </c>
      <c r="BL65" s="36">
        <f t="shared" si="0"/>
        <v>415</v>
      </c>
      <c r="BM65" s="36">
        <v>4</v>
      </c>
      <c r="BN65" s="35" t="s">
        <v>157</v>
      </c>
      <c r="BO65" s="36" t="s">
        <v>894</v>
      </c>
      <c r="BP65" s="54" t="s">
        <v>157</v>
      </c>
      <c r="BQ65" s="36" t="s">
        <v>895</v>
      </c>
    </row>
    <row r="66" spans="1:69" x14ac:dyDescent="0.45">
      <c r="A66" s="36">
        <v>40403</v>
      </c>
      <c r="B66" s="36" t="s">
        <v>897</v>
      </c>
      <c r="C66" s="36" t="s">
        <v>141</v>
      </c>
      <c r="D66" s="36" t="s">
        <v>142</v>
      </c>
      <c r="E66" s="36" t="s">
        <v>729</v>
      </c>
      <c r="F66" s="36" t="s">
        <v>144</v>
      </c>
      <c r="G66" s="36" t="s">
        <v>145</v>
      </c>
      <c r="H66" s="36" t="s">
        <v>146</v>
      </c>
      <c r="J66" s="36" t="s">
        <v>147</v>
      </c>
      <c r="K66" s="36" t="s">
        <v>891</v>
      </c>
      <c r="L66" s="36" t="s">
        <v>149</v>
      </c>
      <c r="M66" s="38">
        <v>3100000</v>
      </c>
      <c r="N66" s="36">
        <v>1</v>
      </c>
      <c r="O66" s="36" t="s">
        <v>150</v>
      </c>
      <c r="P66" s="38">
        <v>150</v>
      </c>
      <c r="Q66" s="36" t="s">
        <v>805</v>
      </c>
      <c r="R66" s="36" t="s">
        <v>892</v>
      </c>
      <c r="T66" s="36">
        <v>3</v>
      </c>
      <c r="Z66" s="38" t="s">
        <v>807</v>
      </c>
      <c r="AA66" s="38">
        <v>1000</v>
      </c>
      <c r="AB66" s="36">
        <v>5</v>
      </c>
      <c r="AD66" s="38">
        <v>2700000</v>
      </c>
      <c r="AE66" s="38">
        <v>500000</v>
      </c>
      <c r="AF66" s="36">
        <v>500</v>
      </c>
      <c r="AG66" s="36">
        <v>0</v>
      </c>
      <c r="AH66" s="36">
        <v>40404</v>
      </c>
      <c r="AI66" s="38" t="s">
        <v>817</v>
      </c>
      <c r="AJ66" s="38">
        <v>1000</v>
      </c>
      <c r="AK66" s="36">
        <v>32400</v>
      </c>
      <c r="AL66" s="36">
        <v>1000</v>
      </c>
      <c r="AM66" s="36">
        <v>500</v>
      </c>
      <c r="AN66" s="36">
        <v>600</v>
      </c>
      <c r="AO66" s="36">
        <v>2500</v>
      </c>
      <c r="AP66" s="38" t="s">
        <v>155</v>
      </c>
      <c r="AQ66" s="38">
        <v>100</v>
      </c>
      <c r="AR66" s="38" t="s">
        <v>809</v>
      </c>
      <c r="AS66" s="38">
        <v>2000</v>
      </c>
      <c r="AT66" s="38">
        <v>10800</v>
      </c>
      <c r="AU66" s="38">
        <v>2700000</v>
      </c>
      <c r="AV66" s="36">
        <v>200000</v>
      </c>
      <c r="BA66" s="36" t="s">
        <v>157</v>
      </c>
      <c r="BB66" s="36" t="s">
        <v>893</v>
      </c>
      <c r="BC66" s="46"/>
      <c r="BD66" s="39" t="s">
        <v>811</v>
      </c>
      <c r="BE66" s="36">
        <v>1</v>
      </c>
      <c r="BF66" s="36" t="s">
        <v>160</v>
      </c>
      <c r="BG66" s="36" t="s">
        <v>161</v>
      </c>
      <c r="BH66" s="36" t="s">
        <v>162</v>
      </c>
      <c r="BJ66" s="38">
        <v>7200</v>
      </c>
      <c r="BK66" s="38">
        <v>1800</v>
      </c>
      <c r="BL66" s="36">
        <f t="shared" si="0"/>
        <v>435</v>
      </c>
      <c r="BM66" s="36">
        <v>4</v>
      </c>
      <c r="BN66" s="35" t="s">
        <v>157</v>
      </c>
      <c r="BO66" s="36" t="s">
        <v>894</v>
      </c>
      <c r="BP66" s="54" t="s">
        <v>157</v>
      </c>
      <c r="BQ66" s="36" t="s">
        <v>895</v>
      </c>
    </row>
    <row r="67" spans="1:69" s="35" customFormat="1" x14ac:dyDescent="0.45">
      <c r="A67" s="36">
        <v>40404</v>
      </c>
      <c r="B67" s="36" t="s">
        <v>898</v>
      </c>
      <c r="C67" s="36" t="s">
        <v>141</v>
      </c>
      <c r="D67" s="36" t="s">
        <v>142</v>
      </c>
      <c r="E67" s="36" t="s">
        <v>729</v>
      </c>
      <c r="F67" s="36" t="s">
        <v>144</v>
      </c>
      <c r="G67" s="36" t="s">
        <v>145</v>
      </c>
      <c r="H67" s="36" t="s">
        <v>146</v>
      </c>
      <c r="I67" s="36"/>
      <c r="J67" s="36" t="s">
        <v>147</v>
      </c>
      <c r="K67" s="36" t="s">
        <v>891</v>
      </c>
      <c r="L67" s="36" t="s">
        <v>149</v>
      </c>
      <c r="M67" s="38">
        <v>3300000</v>
      </c>
      <c r="N67" s="36">
        <v>1</v>
      </c>
      <c r="O67" s="36" t="s">
        <v>150</v>
      </c>
      <c r="P67" s="38">
        <v>200</v>
      </c>
      <c r="Q67" s="36" t="s">
        <v>805</v>
      </c>
      <c r="R67" s="36" t="s">
        <v>892</v>
      </c>
      <c r="S67" s="36"/>
      <c r="T67" s="36">
        <v>4</v>
      </c>
      <c r="U67" s="36"/>
      <c r="V67" s="36"/>
      <c r="W67" s="36"/>
      <c r="X67" s="36"/>
      <c r="Y67" s="36"/>
      <c r="Z67" s="38" t="s">
        <v>807</v>
      </c>
      <c r="AA67" s="38">
        <v>1000</v>
      </c>
      <c r="AB67" s="36">
        <v>5</v>
      </c>
      <c r="AC67" s="36"/>
      <c r="AD67" s="38">
        <v>2700000</v>
      </c>
      <c r="AE67" s="38">
        <v>500000</v>
      </c>
      <c r="AF67" s="36">
        <v>500</v>
      </c>
      <c r="AG67" s="36">
        <v>0</v>
      </c>
      <c r="AH67" s="36">
        <v>40405</v>
      </c>
      <c r="AI67" s="38" t="s">
        <v>819</v>
      </c>
      <c r="AJ67" s="38">
        <v>1000</v>
      </c>
      <c r="AK67" s="36">
        <v>43200</v>
      </c>
      <c r="AL67" s="36">
        <v>1000</v>
      </c>
      <c r="AM67" s="36">
        <v>500</v>
      </c>
      <c r="AN67" s="36">
        <v>600</v>
      </c>
      <c r="AO67" s="36">
        <v>2500</v>
      </c>
      <c r="AP67" s="38" t="s">
        <v>155</v>
      </c>
      <c r="AQ67" s="38">
        <v>100</v>
      </c>
      <c r="AR67" s="38" t="s">
        <v>809</v>
      </c>
      <c r="AS67" s="38">
        <v>2000</v>
      </c>
      <c r="AT67" s="38">
        <v>10800</v>
      </c>
      <c r="AU67" s="38">
        <v>2700000</v>
      </c>
      <c r="AV67" s="36">
        <v>200000</v>
      </c>
      <c r="AW67" s="36"/>
      <c r="AX67" s="36"/>
      <c r="AY67" s="36"/>
      <c r="AZ67" s="36"/>
      <c r="BA67" s="36" t="s">
        <v>157</v>
      </c>
      <c r="BB67" s="36" t="s">
        <v>893</v>
      </c>
      <c r="BC67" s="46"/>
      <c r="BD67" s="39" t="s">
        <v>811</v>
      </c>
      <c r="BE67" s="36">
        <v>1</v>
      </c>
      <c r="BF67" s="36" t="s">
        <v>160</v>
      </c>
      <c r="BG67" s="36" t="s">
        <v>161</v>
      </c>
      <c r="BH67" s="36" t="s">
        <v>162</v>
      </c>
      <c r="BI67"/>
      <c r="BJ67" s="38">
        <v>7200</v>
      </c>
      <c r="BK67" s="38">
        <v>1800</v>
      </c>
      <c r="BL67" s="36">
        <f t="shared" si="0"/>
        <v>460</v>
      </c>
      <c r="BM67" s="36">
        <v>4</v>
      </c>
      <c r="BN67" s="35" t="s">
        <v>157</v>
      </c>
      <c r="BO67" s="36" t="s">
        <v>894</v>
      </c>
      <c r="BP67" s="54" t="s">
        <v>157</v>
      </c>
      <c r="BQ67" s="36" t="s">
        <v>895</v>
      </c>
    </row>
    <row r="68" spans="1:69" x14ac:dyDescent="0.45">
      <c r="A68" s="36">
        <v>40405</v>
      </c>
      <c r="B68" s="36" t="s">
        <v>899</v>
      </c>
      <c r="C68" s="36" t="s">
        <v>141</v>
      </c>
      <c r="D68" s="36" t="s">
        <v>142</v>
      </c>
      <c r="E68" s="36" t="s">
        <v>729</v>
      </c>
      <c r="F68" s="36" t="s">
        <v>144</v>
      </c>
      <c r="G68" s="36" t="s">
        <v>145</v>
      </c>
      <c r="H68" s="36" t="s">
        <v>146</v>
      </c>
      <c r="J68" s="36" t="s">
        <v>147</v>
      </c>
      <c r="K68" s="36" t="s">
        <v>891</v>
      </c>
      <c r="L68" s="36" t="s">
        <v>149</v>
      </c>
      <c r="M68" s="38">
        <v>3500000</v>
      </c>
      <c r="N68" s="36">
        <v>1</v>
      </c>
      <c r="O68" s="36" t="s">
        <v>150</v>
      </c>
      <c r="P68" s="38">
        <v>250</v>
      </c>
      <c r="Q68" s="36" t="s">
        <v>805</v>
      </c>
      <c r="R68" s="36" t="s">
        <v>892</v>
      </c>
      <c r="T68" s="36">
        <v>5</v>
      </c>
      <c r="Z68" s="38" t="s">
        <v>807</v>
      </c>
      <c r="AA68" s="38">
        <v>1000</v>
      </c>
      <c r="AB68" s="36">
        <v>5</v>
      </c>
      <c r="AD68" s="38">
        <v>2700000</v>
      </c>
      <c r="AE68" s="38">
        <v>500000</v>
      </c>
      <c r="AF68" s="36">
        <v>500</v>
      </c>
      <c r="AG68" s="36">
        <v>0</v>
      </c>
      <c r="AH68" s="36">
        <v>40406</v>
      </c>
      <c r="AI68" s="38" t="s">
        <v>821</v>
      </c>
      <c r="AJ68" s="38">
        <v>1000</v>
      </c>
      <c r="AK68" s="36">
        <v>54000</v>
      </c>
      <c r="AL68" s="36">
        <v>1000</v>
      </c>
      <c r="AM68" s="36">
        <v>500</v>
      </c>
      <c r="AN68" s="36">
        <v>600</v>
      </c>
      <c r="AO68" s="36">
        <v>2500</v>
      </c>
      <c r="AP68" s="38" t="s">
        <v>155</v>
      </c>
      <c r="AQ68" s="38">
        <v>100</v>
      </c>
      <c r="AR68" s="38" t="s">
        <v>809</v>
      </c>
      <c r="AS68" s="38">
        <v>2000</v>
      </c>
      <c r="AT68" s="38">
        <v>10800</v>
      </c>
      <c r="AU68" s="38">
        <v>2700000</v>
      </c>
      <c r="AV68" s="36">
        <v>200000</v>
      </c>
      <c r="BA68" s="36" t="s">
        <v>157</v>
      </c>
      <c r="BB68" s="36" t="s">
        <v>893</v>
      </c>
      <c r="BC68" s="46"/>
      <c r="BD68" s="39" t="s">
        <v>811</v>
      </c>
      <c r="BE68" s="36">
        <v>1</v>
      </c>
      <c r="BF68" s="36" t="s">
        <v>160</v>
      </c>
      <c r="BG68" s="36" t="s">
        <v>161</v>
      </c>
      <c r="BH68" s="36" t="s">
        <v>162</v>
      </c>
      <c r="BJ68" s="38">
        <v>7200</v>
      </c>
      <c r="BK68" s="38">
        <v>1800</v>
      </c>
      <c r="BL68" s="36">
        <f t="shared" si="0"/>
        <v>490</v>
      </c>
      <c r="BM68" s="36">
        <v>4</v>
      </c>
      <c r="BN68" s="35" t="s">
        <v>157</v>
      </c>
      <c r="BO68" s="36" t="s">
        <v>894</v>
      </c>
      <c r="BP68" s="54" t="s">
        <v>157</v>
      </c>
      <c r="BQ68" s="36" t="s">
        <v>895</v>
      </c>
    </row>
    <row r="69" spans="1:69" x14ac:dyDescent="0.45">
      <c r="A69" s="36">
        <v>40406</v>
      </c>
      <c r="B69" s="36" t="s">
        <v>900</v>
      </c>
      <c r="C69" s="36" t="s">
        <v>141</v>
      </c>
      <c r="D69" s="36" t="s">
        <v>142</v>
      </c>
      <c r="E69" s="36" t="s">
        <v>729</v>
      </c>
      <c r="F69" s="36" t="s">
        <v>144</v>
      </c>
      <c r="G69" s="36" t="s">
        <v>145</v>
      </c>
      <c r="H69" s="36" t="s">
        <v>146</v>
      </c>
      <c r="J69" s="36" t="s">
        <v>147</v>
      </c>
      <c r="K69" s="36" t="s">
        <v>891</v>
      </c>
      <c r="L69" s="36" t="s">
        <v>149</v>
      </c>
      <c r="M69" s="38">
        <v>3700000</v>
      </c>
      <c r="N69" s="36">
        <v>1</v>
      </c>
      <c r="O69" s="36" t="s">
        <v>150</v>
      </c>
      <c r="P69" s="38">
        <v>300</v>
      </c>
      <c r="Q69" s="42" t="s">
        <v>823</v>
      </c>
      <c r="R69" s="36" t="s">
        <v>892</v>
      </c>
      <c r="T69" s="36">
        <v>6</v>
      </c>
      <c r="Z69" s="38" t="s">
        <v>807</v>
      </c>
      <c r="AA69" s="38">
        <v>1000</v>
      </c>
      <c r="AB69" s="36">
        <v>5</v>
      </c>
      <c r="AD69" s="38">
        <v>2700000</v>
      </c>
      <c r="AE69" s="38">
        <v>500000</v>
      </c>
      <c r="AF69" s="36">
        <v>500</v>
      </c>
      <c r="AG69" s="36">
        <v>0</v>
      </c>
      <c r="AH69" s="36">
        <v>40407</v>
      </c>
      <c r="AI69" s="38" t="s">
        <v>824</v>
      </c>
      <c r="AJ69" s="38">
        <v>1000</v>
      </c>
      <c r="AK69" s="36">
        <v>64800</v>
      </c>
      <c r="AL69" s="36">
        <v>1000</v>
      </c>
      <c r="AM69" s="36">
        <v>500</v>
      </c>
      <c r="AN69" s="36">
        <v>600</v>
      </c>
      <c r="AO69" s="36">
        <v>2500</v>
      </c>
      <c r="AP69" s="38" t="s">
        <v>155</v>
      </c>
      <c r="AQ69" s="38">
        <v>100</v>
      </c>
      <c r="AR69" s="38" t="s">
        <v>809</v>
      </c>
      <c r="AS69" s="38">
        <v>2000</v>
      </c>
      <c r="AT69" s="38">
        <v>10800</v>
      </c>
      <c r="AU69" s="38">
        <v>2700000</v>
      </c>
      <c r="AV69" s="36">
        <v>200000</v>
      </c>
      <c r="BA69" s="36" t="s">
        <v>157</v>
      </c>
      <c r="BB69" s="36" t="s">
        <v>893</v>
      </c>
      <c r="BC69" s="46"/>
      <c r="BD69" s="39" t="s">
        <v>811</v>
      </c>
      <c r="BE69" s="36">
        <v>1</v>
      </c>
      <c r="BF69" s="36" t="s">
        <v>160</v>
      </c>
      <c r="BG69" s="36" t="s">
        <v>161</v>
      </c>
      <c r="BH69" s="36" t="s">
        <v>162</v>
      </c>
      <c r="BJ69" s="38">
        <v>7200</v>
      </c>
      <c r="BK69" s="38">
        <v>1800</v>
      </c>
      <c r="BL69" s="36">
        <f t="shared" si="0"/>
        <v>525</v>
      </c>
      <c r="BM69" s="36">
        <v>4</v>
      </c>
      <c r="BN69" s="35" t="s">
        <v>157</v>
      </c>
      <c r="BO69" s="36" t="s">
        <v>894</v>
      </c>
      <c r="BP69" s="54" t="s">
        <v>157</v>
      </c>
      <c r="BQ69" s="36" t="s">
        <v>895</v>
      </c>
    </row>
    <row r="70" spans="1:69" x14ac:dyDescent="0.45">
      <c r="A70" s="36">
        <v>40407</v>
      </c>
      <c r="B70" s="36" t="s">
        <v>901</v>
      </c>
      <c r="C70" s="36" t="s">
        <v>141</v>
      </c>
      <c r="D70" s="36" t="s">
        <v>142</v>
      </c>
      <c r="E70" s="36" t="s">
        <v>729</v>
      </c>
      <c r="F70" s="36" t="s">
        <v>144</v>
      </c>
      <c r="G70" s="36" t="s">
        <v>145</v>
      </c>
      <c r="H70" s="36" t="s">
        <v>146</v>
      </c>
      <c r="J70" s="36" t="s">
        <v>147</v>
      </c>
      <c r="K70" s="36" t="s">
        <v>891</v>
      </c>
      <c r="L70" s="36" t="s">
        <v>149</v>
      </c>
      <c r="M70" s="38">
        <v>3900000</v>
      </c>
      <c r="N70" s="36">
        <v>1</v>
      </c>
      <c r="O70" s="36" t="s">
        <v>150</v>
      </c>
      <c r="P70" s="38">
        <v>350</v>
      </c>
      <c r="Q70" s="42" t="s">
        <v>823</v>
      </c>
      <c r="R70" s="36" t="s">
        <v>892</v>
      </c>
      <c r="T70" s="36">
        <v>7</v>
      </c>
      <c r="Z70" s="38" t="s">
        <v>807</v>
      </c>
      <c r="AA70" s="38">
        <v>1000</v>
      </c>
      <c r="AB70" s="36">
        <v>5</v>
      </c>
      <c r="AD70" s="38">
        <v>2700000</v>
      </c>
      <c r="AE70" s="38">
        <v>500000</v>
      </c>
      <c r="AF70" s="36">
        <v>500</v>
      </c>
      <c r="AG70" s="36">
        <v>0</v>
      </c>
      <c r="AH70" s="36">
        <v>40408</v>
      </c>
      <c r="AI70" s="38" t="s">
        <v>826</v>
      </c>
      <c r="AJ70" s="38">
        <v>1000</v>
      </c>
      <c r="AK70" s="36">
        <v>75600</v>
      </c>
      <c r="AL70" s="36">
        <v>1000</v>
      </c>
      <c r="AM70" s="36">
        <v>500</v>
      </c>
      <c r="AN70" s="36">
        <v>600</v>
      </c>
      <c r="AO70" s="36">
        <v>2500</v>
      </c>
      <c r="AP70" s="38" t="s">
        <v>155</v>
      </c>
      <c r="AQ70" s="38">
        <v>100</v>
      </c>
      <c r="AR70" s="38" t="s">
        <v>809</v>
      </c>
      <c r="AS70" s="38">
        <v>2000</v>
      </c>
      <c r="AT70" s="38">
        <v>10800</v>
      </c>
      <c r="AU70" s="38">
        <v>2700000</v>
      </c>
      <c r="AV70" s="36">
        <v>200000</v>
      </c>
      <c r="BA70" s="36" t="s">
        <v>157</v>
      </c>
      <c r="BB70" s="36" t="s">
        <v>893</v>
      </c>
      <c r="BC70" s="46"/>
      <c r="BD70" s="39" t="s">
        <v>811</v>
      </c>
      <c r="BE70" s="36">
        <v>1</v>
      </c>
      <c r="BF70" s="36" t="s">
        <v>160</v>
      </c>
      <c r="BG70" s="36" t="s">
        <v>161</v>
      </c>
      <c r="BH70" s="36" t="s">
        <v>162</v>
      </c>
      <c r="BJ70" s="38">
        <v>7200</v>
      </c>
      <c r="BK70" s="38">
        <v>1800</v>
      </c>
      <c r="BL70" s="36">
        <f t="shared" si="0"/>
        <v>565</v>
      </c>
      <c r="BM70" s="36">
        <v>4</v>
      </c>
      <c r="BN70" s="35" t="s">
        <v>157</v>
      </c>
      <c r="BO70" s="36" t="s">
        <v>894</v>
      </c>
      <c r="BP70" s="54" t="s">
        <v>157</v>
      </c>
      <c r="BQ70" s="36" t="s">
        <v>895</v>
      </c>
    </row>
    <row r="71" spans="1:69" x14ac:dyDescent="0.45">
      <c r="A71" s="36">
        <v>40408</v>
      </c>
      <c r="B71" s="36" t="s">
        <v>902</v>
      </c>
      <c r="C71" s="36" t="s">
        <v>141</v>
      </c>
      <c r="D71" s="36" t="s">
        <v>142</v>
      </c>
      <c r="E71" s="36" t="s">
        <v>729</v>
      </c>
      <c r="F71" s="36" t="s">
        <v>144</v>
      </c>
      <c r="G71" s="36" t="s">
        <v>145</v>
      </c>
      <c r="H71" s="36" t="s">
        <v>146</v>
      </c>
      <c r="J71" s="36" t="s">
        <v>147</v>
      </c>
      <c r="K71" s="36" t="s">
        <v>891</v>
      </c>
      <c r="L71" s="36" t="s">
        <v>149</v>
      </c>
      <c r="M71" s="38">
        <v>4100000</v>
      </c>
      <c r="N71" s="36">
        <v>1</v>
      </c>
      <c r="O71" s="36" t="s">
        <v>150</v>
      </c>
      <c r="P71" s="38">
        <v>400</v>
      </c>
      <c r="Q71" s="42" t="s">
        <v>823</v>
      </c>
      <c r="R71" s="36" t="s">
        <v>892</v>
      </c>
      <c r="T71" s="36">
        <v>8</v>
      </c>
      <c r="Z71" s="38" t="s">
        <v>807</v>
      </c>
      <c r="AA71" s="38">
        <v>1000</v>
      </c>
      <c r="AB71" s="36">
        <v>5</v>
      </c>
      <c r="AD71" s="38">
        <v>2700000</v>
      </c>
      <c r="AE71" s="38">
        <v>500000</v>
      </c>
      <c r="AF71" s="36">
        <v>500</v>
      </c>
      <c r="AG71" s="36">
        <v>0</v>
      </c>
      <c r="AH71" s="36">
        <v>40409</v>
      </c>
      <c r="AI71" s="38" t="s">
        <v>828</v>
      </c>
      <c r="AJ71" s="38">
        <v>1000</v>
      </c>
      <c r="AK71" s="36">
        <v>86400</v>
      </c>
      <c r="AL71" s="36">
        <v>1000</v>
      </c>
      <c r="AM71" s="36">
        <v>500</v>
      </c>
      <c r="AN71" s="36">
        <v>600</v>
      </c>
      <c r="AO71" s="36">
        <v>2500</v>
      </c>
      <c r="AP71" s="38" t="s">
        <v>155</v>
      </c>
      <c r="AQ71" s="38">
        <v>100</v>
      </c>
      <c r="AR71" s="38" t="s">
        <v>809</v>
      </c>
      <c r="AS71" s="38">
        <v>2000</v>
      </c>
      <c r="AT71" s="38">
        <v>10800</v>
      </c>
      <c r="AU71" s="38">
        <v>2700000</v>
      </c>
      <c r="AV71" s="36">
        <v>200000</v>
      </c>
      <c r="BA71" s="36" t="s">
        <v>157</v>
      </c>
      <c r="BB71" s="36" t="s">
        <v>893</v>
      </c>
      <c r="BC71" s="46"/>
      <c r="BD71" s="39" t="s">
        <v>811</v>
      </c>
      <c r="BE71" s="36">
        <v>1</v>
      </c>
      <c r="BF71" s="36" t="s">
        <v>160</v>
      </c>
      <c r="BG71" s="36" t="s">
        <v>161</v>
      </c>
      <c r="BH71" s="36" t="s">
        <v>162</v>
      </c>
      <c r="BJ71" s="38">
        <v>7200</v>
      </c>
      <c r="BK71" s="38">
        <v>1800</v>
      </c>
      <c r="BL71" s="36">
        <f t="shared" si="0"/>
        <v>610</v>
      </c>
      <c r="BM71" s="36">
        <v>4</v>
      </c>
      <c r="BN71" s="35" t="s">
        <v>157</v>
      </c>
      <c r="BO71" s="36" t="s">
        <v>894</v>
      </c>
      <c r="BP71" s="54" t="s">
        <v>157</v>
      </c>
      <c r="BQ71" s="36" t="s">
        <v>895</v>
      </c>
    </row>
    <row r="72" spans="1:69" x14ac:dyDescent="0.45">
      <c r="A72" s="36">
        <v>40409</v>
      </c>
      <c r="B72" s="36" t="s">
        <v>903</v>
      </c>
      <c r="C72" s="36" t="s">
        <v>141</v>
      </c>
      <c r="D72" s="36" t="s">
        <v>142</v>
      </c>
      <c r="E72" s="36" t="s">
        <v>729</v>
      </c>
      <c r="F72" s="36" t="s">
        <v>144</v>
      </c>
      <c r="G72" s="36" t="s">
        <v>145</v>
      </c>
      <c r="H72" s="36" t="s">
        <v>146</v>
      </c>
      <c r="J72" s="36" t="s">
        <v>147</v>
      </c>
      <c r="K72" s="36" t="s">
        <v>891</v>
      </c>
      <c r="L72" s="36" t="s">
        <v>149</v>
      </c>
      <c r="M72" s="38">
        <v>4300000</v>
      </c>
      <c r="N72" s="36">
        <v>1</v>
      </c>
      <c r="O72" s="36" t="s">
        <v>150</v>
      </c>
      <c r="P72" s="38">
        <v>450</v>
      </c>
      <c r="Q72" s="42" t="s">
        <v>823</v>
      </c>
      <c r="R72" s="36" t="s">
        <v>892</v>
      </c>
      <c r="T72" s="36">
        <v>9</v>
      </c>
      <c r="Z72" s="38" t="s">
        <v>807</v>
      </c>
      <c r="AA72" s="38">
        <v>1000</v>
      </c>
      <c r="AB72" s="36">
        <v>5</v>
      </c>
      <c r="AD72" s="38">
        <v>2700000</v>
      </c>
      <c r="AE72" s="38">
        <v>500000</v>
      </c>
      <c r="AF72" s="36">
        <v>500</v>
      </c>
      <c r="AG72" s="36">
        <v>0</v>
      </c>
      <c r="AH72" s="36">
        <v>40410</v>
      </c>
      <c r="AI72" s="38" t="s">
        <v>830</v>
      </c>
      <c r="AJ72" s="38">
        <v>1000</v>
      </c>
      <c r="AK72" s="36">
        <v>97200</v>
      </c>
      <c r="AL72" s="36">
        <v>1000</v>
      </c>
      <c r="AM72" s="36">
        <v>500</v>
      </c>
      <c r="AN72" s="36">
        <v>600</v>
      </c>
      <c r="AO72" s="36">
        <v>2500</v>
      </c>
      <c r="AP72" s="38" t="s">
        <v>155</v>
      </c>
      <c r="AQ72" s="38">
        <v>100</v>
      </c>
      <c r="AR72" s="38" t="s">
        <v>809</v>
      </c>
      <c r="AS72" s="38">
        <v>2000</v>
      </c>
      <c r="AT72" s="38">
        <v>10800</v>
      </c>
      <c r="AU72" s="38">
        <v>2700000</v>
      </c>
      <c r="AV72" s="36">
        <v>200000</v>
      </c>
      <c r="BA72" s="36" t="s">
        <v>157</v>
      </c>
      <c r="BB72" s="36" t="s">
        <v>893</v>
      </c>
      <c r="BC72" s="46"/>
      <c r="BD72" s="39" t="s">
        <v>811</v>
      </c>
      <c r="BE72" s="36">
        <v>1</v>
      </c>
      <c r="BF72" s="36" t="s">
        <v>160</v>
      </c>
      <c r="BG72" s="36" t="s">
        <v>161</v>
      </c>
      <c r="BH72" s="36" t="s">
        <v>162</v>
      </c>
      <c r="BJ72" s="38">
        <v>7200</v>
      </c>
      <c r="BK72" s="38">
        <v>1800</v>
      </c>
      <c r="BL72" s="36">
        <f t="shared" si="0"/>
        <v>660</v>
      </c>
      <c r="BM72" s="36">
        <v>4</v>
      </c>
      <c r="BN72" s="35" t="s">
        <v>157</v>
      </c>
      <c r="BO72" s="36" t="s">
        <v>894</v>
      </c>
      <c r="BP72" s="54" t="s">
        <v>157</v>
      </c>
      <c r="BQ72" s="36" t="s">
        <v>895</v>
      </c>
    </row>
    <row r="73" spans="1:69" x14ac:dyDescent="0.45">
      <c r="A73" s="36">
        <v>40410</v>
      </c>
      <c r="B73" s="36" t="s">
        <v>904</v>
      </c>
      <c r="C73" s="36" t="s">
        <v>141</v>
      </c>
      <c r="D73" s="36" t="s">
        <v>142</v>
      </c>
      <c r="E73" s="36" t="s">
        <v>729</v>
      </c>
      <c r="F73" s="36" t="s">
        <v>144</v>
      </c>
      <c r="G73" s="36" t="s">
        <v>145</v>
      </c>
      <c r="H73" s="36" t="s">
        <v>146</v>
      </c>
      <c r="J73" s="36" t="s">
        <v>147</v>
      </c>
      <c r="K73" s="36" t="s">
        <v>891</v>
      </c>
      <c r="L73" s="36" t="s">
        <v>149</v>
      </c>
      <c r="M73" s="38">
        <v>4500000</v>
      </c>
      <c r="N73" s="36">
        <v>1</v>
      </c>
      <c r="O73" s="36" t="s">
        <v>150</v>
      </c>
      <c r="P73" s="38">
        <v>500</v>
      </c>
      <c r="Q73" s="42" t="s">
        <v>823</v>
      </c>
      <c r="R73" s="36" t="s">
        <v>892</v>
      </c>
      <c r="T73" s="36">
        <v>10</v>
      </c>
      <c r="Z73" s="38" t="s">
        <v>807</v>
      </c>
      <c r="AA73" s="38">
        <v>1000</v>
      </c>
      <c r="AB73" s="36">
        <v>5</v>
      </c>
      <c r="AD73" s="38">
        <v>2700000</v>
      </c>
      <c r="AE73" s="38">
        <v>500000</v>
      </c>
      <c r="AF73" s="36">
        <v>500</v>
      </c>
      <c r="AG73" s="36">
        <v>0</v>
      </c>
      <c r="AH73" s="36">
        <v>40411</v>
      </c>
      <c r="AI73" s="38" t="s">
        <v>832</v>
      </c>
      <c r="AJ73" s="38">
        <v>1000</v>
      </c>
      <c r="AK73" s="36">
        <v>108000</v>
      </c>
      <c r="AL73" s="36">
        <v>1000</v>
      </c>
      <c r="AM73" s="36">
        <v>500</v>
      </c>
      <c r="AN73" s="36">
        <v>600</v>
      </c>
      <c r="AO73" s="36">
        <v>2500</v>
      </c>
      <c r="AP73" s="38" t="s">
        <v>155</v>
      </c>
      <c r="AQ73" s="38">
        <v>100</v>
      </c>
      <c r="AR73" s="38" t="s">
        <v>809</v>
      </c>
      <c r="AS73" s="38">
        <v>2000</v>
      </c>
      <c r="AT73" s="38">
        <v>10800</v>
      </c>
      <c r="AU73" s="38">
        <v>2700000</v>
      </c>
      <c r="AV73" s="36">
        <v>200000</v>
      </c>
      <c r="BA73" s="36" t="s">
        <v>157</v>
      </c>
      <c r="BB73" s="36" t="s">
        <v>893</v>
      </c>
      <c r="BC73" s="46"/>
      <c r="BD73" s="39" t="s">
        <v>811</v>
      </c>
      <c r="BE73" s="36">
        <v>1</v>
      </c>
      <c r="BF73" s="36" t="s">
        <v>160</v>
      </c>
      <c r="BG73" s="36" t="s">
        <v>161</v>
      </c>
      <c r="BH73" s="36" t="s">
        <v>162</v>
      </c>
      <c r="BJ73" s="38">
        <v>7200</v>
      </c>
      <c r="BK73" s="38">
        <v>1800</v>
      </c>
      <c r="BL73" s="36">
        <f t="shared" si="0"/>
        <v>715</v>
      </c>
      <c r="BM73" s="36">
        <v>4</v>
      </c>
      <c r="BN73" s="35" t="s">
        <v>157</v>
      </c>
      <c r="BO73" s="36" t="s">
        <v>894</v>
      </c>
      <c r="BP73" s="54" t="s">
        <v>157</v>
      </c>
      <c r="BQ73" s="36" t="s">
        <v>895</v>
      </c>
    </row>
    <row r="74" spans="1:69" x14ac:dyDescent="0.45">
      <c r="A74" s="35">
        <v>40411</v>
      </c>
      <c r="B74" s="36" t="s">
        <v>905</v>
      </c>
      <c r="C74" s="35" t="s">
        <v>141</v>
      </c>
      <c r="D74" s="35" t="s">
        <v>142</v>
      </c>
      <c r="E74" s="35" t="s">
        <v>729</v>
      </c>
      <c r="F74" s="36" t="s">
        <v>144</v>
      </c>
      <c r="G74" s="35" t="s">
        <v>145</v>
      </c>
      <c r="H74" s="35" t="s">
        <v>146</v>
      </c>
      <c r="I74" s="35"/>
      <c r="J74" s="35" t="s">
        <v>147</v>
      </c>
      <c r="K74" s="35" t="s">
        <v>891</v>
      </c>
      <c r="L74" s="35" t="s">
        <v>149</v>
      </c>
      <c r="M74" s="38">
        <v>4700000</v>
      </c>
      <c r="N74" s="36">
        <v>1</v>
      </c>
      <c r="O74" s="35" t="s">
        <v>150</v>
      </c>
      <c r="P74" s="38">
        <v>600</v>
      </c>
      <c r="Q74" s="36" t="s">
        <v>834</v>
      </c>
      <c r="R74" s="35" t="s">
        <v>892</v>
      </c>
      <c r="S74" s="35"/>
      <c r="T74" s="36">
        <v>11</v>
      </c>
      <c r="X74" s="35"/>
      <c r="Y74" s="35"/>
      <c r="Z74" s="38" t="s">
        <v>807</v>
      </c>
      <c r="AA74" s="38">
        <v>1000</v>
      </c>
      <c r="AB74" s="35">
        <v>5</v>
      </c>
      <c r="AC74" s="35"/>
      <c r="AD74" s="38">
        <v>2700000</v>
      </c>
      <c r="AE74" s="38">
        <v>500000</v>
      </c>
      <c r="AF74" s="35">
        <v>500</v>
      </c>
      <c r="AG74" s="35">
        <v>0</v>
      </c>
      <c r="AH74" s="36">
        <v>40412</v>
      </c>
      <c r="AI74" s="38" t="s">
        <v>835</v>
      </c>
      <c r="AJ74" s="38">
        <v>1000</v>
      </c>
      <c r="AK74" s="34">
        <v>118800</v>
      </c>
      <c r="AL74" s="36">
        <v>1000</v>
      </c>
      <c r="AM74" s="35">
        <v>500</v>
      </c>
      <c r="AN74" s="35">
        <v>600</v>
      </c>
      <c r="AO74" s="35">
        <v>2500</v>
      </c>
      <c r="AP74" s="38" t="s">
        <v>155</v>
      </c>
      <c r="AQ74" s="38">
        <v>100</v>
      </c>
      <c r="AR74" s="38" t="s">
        <v>809</v>
      </c>
      <c r="AS74" s="38">
        <v>2000</v>
      </c>
      <c r="AT74" s="38">
        <v>10800</v>
      </c>
      <c r="AU74" s="38">
        <v>2700000</v>
      </c>
      <c r="AV74" s="35">
        <v>200000</v>
      </c>
      <c r="AW74" s="35"/>
      <c r="AX74" s="35"/>
      <c r="AY74" s="35"/>
      <c r="AZ74" s="35"/>
      <c r="BA74" s="35" t="s">
        <v>157</v>
      </c>
      <c r="BB74" s="36" t="s">
        <v>893</v>
      </c>
      <c r="BC74" s="48"/>
      <c r="BD74" s="39" t="s">
        <v>811</v>
      </c>
      <c r="BE74" s="35">
        <v>1</v>
      </c>
      <c r="BF74" s="35" t="s">
        <v>160</v>
      </c>
      <c r="BG74" s="35" t="s">
        <v>161</v>
      </c>
      <c r="BH74" s="35" t="s">
        <v>162</v>
      </c>
      <c r="BI74" s="53"/>
      <c r="BJ74" s="38">
        <v>7200</v>
      </c>
      <c r="BK74" s="38">
        <v>1800</v>
      </c>
      <c r="BL74" s="36">
        <f t="shared" si="0"/>
        <v>775</v>
      </c>
      <c r="BM74" s="36">
        <v>4</v>
      </c>
      <c r="BN74" s="35" t="s">
        <v>157</v>
      </c>
      <c r="BO74" s="36" t="s">
        <v>894</v>
      </c>
      <c r="BP74" s="54" t="s">
        <v>157</v>
      </c>
      <c r="BQ74" s="36" t="s">
        <v>895</v>
      </c>
    </row>
    <row r="75" spans="1:69" x14ac:dyDescent="0.45">
      <c r="A75" s="36">
        <v>40412</v>
      </c>
      <c r="B75" s="36" t="s">
        <v>906</v>
      </c>
      <c r="C75" s="36" t="s">
        <v>141</v>
      </c>
      <c r="D75" s="36" t="s">
        <v>142</v>
      </c>
      <c r="E75" s="36" t="s">
        <v>729</v>
      </c>
      <c r="F75" s="36" t="s">
        <v>144</v>
      </c>
      <c r="G75" s="36" t="s">
        <v>145</v>
      </c>
      <c r="H75" s="36" t="s">
        <v>146</v>
      </c>
      <c r="J75" s="36" t="s">
        <v>147</v>
      </c>
      <c r="K75" s="36" t="s">
        <v>891</v>
      </c>
      <c r="L75" s="36" t="s">
        <v>149</v>
      </c>
      <c r="M75" s="38">
        <v>4900000</v>
      </c>
      <c r="N75" s="36">
        <v>1</v>
      </c>
      <c r="O75" s="36" t="s">
        <v>150</v>
      </c>
      <c r="P75" s="38">
        <v>700</v>
      </c>
      <c r="Q75" s="36" t="s">
        <v>834</v>
      </c>
      <c r="R75" s="36" t="s">
        <v>892</v>
      </c>
      <c r="T75" s="36">
        <v>12</v>
      </c>
      <c r="Z75" s="38" t="s">
        <v>807</v>
      </c>
      <c r="AA75" s="38">
        <v>1000</v>
      </c>
      <c r="AB75" s="36">
        <v>5</v>
      </c>
      <c r="AD75" s="38">
        <v>2700000</v>
      </c>
      <c r="AE75" s="38">
        <v>500000</v>
      </c>
      <c r="AF75" s="36">
        <v>500</v>
      </c>
      <c r="AG75" s="36">
        <v>0</v>
      </c>
      <c r="AH75" s="36">
        <v>40413</v>
      </c>
      <c r="AI75" s="38" t="s">
        <v>837</v>
      </c>
      <c r="AJ75" s="38">
        <v>1000</v>
      </c>
      <c r="AK75" s="34">
        <v>129600</v>
      </c>
      <c r="AL75" s="36">
        <v>1000</v>
      </c>
      <c r="AM75" s="36">
        <v>500</v>
      </c>
      <c r="AN75" s="36">
        <v>600</v>
      </c>
      <c r="AO75" s="36">
        <v>2500</v>
      </c>
      <c r="AP75" s="38" t="s">
        <v>155</v>
      </c>
      <c r="AQ75" s="38">
        <v>100</v>
      </c>
      <c r="AR75" s="38" t="s">
        <v>809</v>
      </c>
      <c r="AS75" s="38">
        <v>2000</v>
      </c>
      <c r="AT75" s="38">
        <v>10800</v>
      </c>
      <c r="AU75" s="38">
        <v>2700000</v>
      </c>
      <c r="AV75" s="36">
        <v>200000</v>
      </c>
      <c r="BA75" s="36" t="s">
        <v>157</v>
      </c>
      <c r="BB75" s="36" t="s">
        <v>893</v>
      </c>
      <c r="BC75" s="46"/>
      <c r="BD75" s="39" t="s">
        <v>811</v>
      </c>
      <c r="BE75" s="36">
        <v>1</v>
      </c>
      <c r="BF75" s="36" t="s">
        <v>160</v>
      </c>
      <c r="BG75" s="36" t="s">
        <v>161</v>
      </c>
      <c r="BH75" s="36" t="s">
        <v>162</v>
      </c>
      <c r="BJ75" s="38">
        <v>7200</v>
      </c>
      <c r="BK75" s="38">
        <v>1800</v>
      </c>
      <c r="BL75" s="36">
        <f t="shared" si="0"/>
        <v>840</v>
      </c>
      <c r="BM75" s="36">
        <v>4</v>
      </c>
      <c r="BN75" s="35" t="s">
        <v>157</v>
      </c>
      <c r="BO75" s="36" t="s">
        <v>894</v>
      </c>
      <c r="BP75" s="54" t="s">
        <v>157</v>
      </c>
      <c r="BQ75" s="36" t="s">
        <v>895</v>
      </c>
    </row>
    <row r="76" spans="1:69" x14ac:dyDescent="0.45">
      <c r="A76" s="36">
        <v>40413</v>
      </c>
      <c r="B76" s="36" t="s">
        <v>907</v>
      </c>
      <c r="C76" s="36" t="s">
        <v>141</v>
      </c>
      <c r="D76" s="36" t="s">
        <v>142</v>
      </c>
      <c r="E76" s="36" t="s">
        <v>729</v>
      </c>
      <c r="F76" s="36" t="s">
        <v>144</v>
      </c>
      <c r="G76" s="36" t="s">
        <v>145</v>
      </c>
      <c r="H76" s="36" t="s">
        <v>146</v>
      </c>
      <c r="J76" s="36" t="s">
        <v>147</v>
      </c>
      <c r="K76" s="36" t="s">
        <v>891</v>
      </c>
      <c r="L76" s="36" t="s">
        <v>149</v>
      </c>
      <c r="M76" s="38">
        <v>5100000</v>
      </c>
      <c r="N76" s="36">
        <v>1</v>
      </c>
      <c r="O76" s="36" t="s">
        <v>150</v>
      </c>
      <c r="P76" s="38">
        <v>800</v>
      </c>
      <c r="Q76" s="36" t="s">
        <v>834</v>
      </c>
      <c r="R76" s="36" t="s">
        <v>892</v>
      </c>
      <c r="T76" s="36">
        <v>13</v>
      </c>
      <c r="Z76" s="38" t="s">
        <v>807</v>
      </c>
      <c r="AA76" s="38">
        <v>1000</v>
      </c>
      <c r="AB76" s="36">
        <v>5</v>
      </c>
      <c r="AD76" s="38">
        <v>2700000</v>
      </c>
      <c r="AE76" s="38">
        <v>500000</v>
      </c>
      <c r="AF76" s="36">
        <v>500</v>
      </c>
      <c r="AG76" s="36">
        <v>0</v>
      </c>
      <c r="AH76" s="36">
        <v>40414</v>
      </c>
      <c r="AI76" s="38" t="s">
        <v>839</v>
      </c>
      <c r="AJ76" s="38">
        <v>1000</v>
      </c>
      <c r="AK76" s="34">
        <v>140400</v>
      </c>
      <c r="AL76" s="36">
        <v>1000</v>
      </c>
      <c r="AM76" s="36">
        <v>500</v>
      </c>
      <c r="AN76" s="36">
        <v>600</v>
      </c>
      <c r="AO76" s="36">
        <v>2500</v>
      </c>
      <c r="AP76" s="38" t="s">
        <v>155</v>
      </c>
      <c r="AQ76" s="38">
        <v>100</v>
      </c>
      <c r="AR76" s="38" t="s">
        <v>809</v>
      </c>
      <c r="AS76" s="38">
        <v>2000</v>
      </c>
      <c r="AT76" s="38">
        <v>10800</v>
      </c>
      <c r="AU76" s="38">
        <v>2700000</v>
      </c>
      <c r="AV76" s="36">
        <v>200000</v>
      </c>
      <c r="BA76" s="36" t="s">
        <v>157</v>
      </c>
      <c r="BB76" s="36" t="s">
        <v>893</v>
      </c>
      <c r="BC76" s="46"/>
      <c r="BD76" s="39" t="s">
        <v>811</v>
      </c>
      <c r="BE76" s="36">
        <v>1</v>
      </c>
      <c r="BF76" s="36" t="s">
        <v>160</v>
      </c>
      <c r="BG76" s="36" t="s">
        <v>161</v>
      </c>
      <c r="BH76" s="36" t="s">
        <v>162</v>
      </c>
      <c r="BJ76" s="38">
        <v>7200</v>
      </c>
      <c r="BK76" s="38">
        <v>1800</v>
      </c>
      <c r="BL76" s="36">
        <f t="shared" si="0"/>
        <v>910</v>
      </c>
      <c r="BM76" s="36">
        <v>4</v>
      </c>
      <c r="BN76" s="35" t="s">
        <v>157</v>
      </c>
      <c r="BO76" s="36" t="s">
        <v>894</v>
      </c>
      <c r="BP76" s="54" t="s">
        <v>157</v>
      </c>
      <c r="BQ76" s="36" t="s">
        <v>895</v>
      </c>
    </row>
    <row r="77" spans="1:69" x14ac:dyDescent="0.45">
      <c r="A77" s="36">
        <v>40414</v>
      </c>
      <c r="B77" s="36" t="s">
        <v>908</v>
      </c>
      <c r="C77" s="36" t="s">
        <v>141</v>
      </c>
      <c r="D77" s="36" t="s">
        <v>142</v>
      </c>
      <c r="E77" s="36" t="s">
        <v>729</v>
      </c>
      <c r="F77" s="36" t="s">
        <v>144</v>
      </c>
      <c r="G77" s="36" t="s">
        <v>145</v>
      </c>
      <c r="H77" s="36" t="s">
        <v>146</v>
      </c>
      <c r="J77" s="36" t="s">
        <v>147</v>
      </c>
      <c r="K77" s="36" t="s">
        <v>891</v>
      </c>
      <c r="L77" s="36" t="s">
        <v>149</v>
      </c>
      <c r="M77" s="38">
        <v>5300000</v>
      </c>
      <c r="N77" s="36">
        <v>1</v>
      </c>
      <c r="O77" s="36" t="s">
        <v>150</v>
      </c>
      <c r="P77" s="38">
        <v>900</v>
      </c>
      <c r="Q77" s="36" t="s">
        <v>834</v>
      </c>
      <c r="R77" s="36" t="s">
        <v>892</v>
      </c>
      <c r="T77" s="36">
        <v>14</v>
      </c>
      <c r="Z77" s="38" t="s">
        <v>807</v>
      </c>
      <c r="AA77" s="38">
        <v>1000</v>
      </c>
      <c r="AB77" s="36">
        <v>5</v>
      </c>
      <c r="AD77" s="38">
        <v>2700000</v>
      </c>
      <c r="AE77" s="38">
        <v>500000</v>
      </c>
      <c r="AF77" s="36">
        <v>500</v>
      </c>
      <c r="AG77" s="36">
        <v>0</v>
      </c>
      <c r="AH77" s="36">
        <v>40415</v>
      </c>
      <c r="AI77" s="38" t="s">
        <v>841</v>
      </c>
      <c r="AJ77" s="38">
        <v>1000</v>
      </c>
      <c r="AK77" s="34">
        <v>151200</v>
      </c>
      <c r="AL77" s="36">
        <v>1000</v>
      </c>
      <c r="AM77" s="36">
        <v>500</v>
      </c>
      <c r="AN77" s="36">
        <v>600</v>
      </c>
      <c r="AO77" s="36">
        <v>2500</v>
      </c>
      <c r="AP77" s="38" t="s">
        <v>155</v>
      </c>
      <c r="AQ77" s="38">
        <v>100</v>
      </c>
      <c r="AR77" s="38" t="s">
        <v>809</v>
      </c>
      <c r="AS77" s="38">
        <v>2000</v>
      </c>
      <c r="AT77" s="38">
        <v>10800</v>
      </c>
      <c r="AU77" s="38">
        <v>2700000</v>
      </c>
      <c r="AV77" s="36">
        <v>200000</v>
      </c>
      <c r="BA77" s="36" t="s">
        <v>157</v>
      </c>
      <c r="BB77" s="36" t="s">
        <v>893</v>
      </c>
      <c r="BC77" s="46"/>
      <c r="BD77" s="39" t="s">
        <v>811</v>
      </c>
      <c r="BE77" s="36">
        <v>1</v>
      </c>
      <c r="BF77" s="36" t="s">
        <v>160</v>
      </c>
      <c r="BG77" s="36" t="s">
        <v>161</v>
      </c>
      <c r="BH77" s="36" t="s">
        <v>162</v>
      </c>
      <c r="BJ77" s="38">
        <v>7200</v>
      </c>
      <c r="BK77" s="38">
        <v>1800</v>
      </c>
      <c r="BL77" s="36">
        <f t="shared" si="0"/>
        <v>985</v>
      </c>
      <c r="BM77" s="36">
        <v>4</v>
      </c>
      <c r="BN77" s="35" t="s">
        <v>157</v>
      </c>
      <c r="BO77" s="36" t="s">
        <v>894</v>
      </c>
      <c r="BP77" s="54" t="s">
        <v>157</v>
      </c>
      <c r="BQ77" s="36" t="s">
        <v>895</v>
      </c>
    </row>
    <row r="78" spans="1:69" s="35" customFormat="1" x14ac:dyDescent="0.45">
      <c r="A78" s="36">
        <v>40415</v>
      </c>
      <c r="B78" s="36" t="s">
        <v>909</v>
      </c>
      <c r="C78" s="36" t="s">
        <v>141</v>
      </c>
      <c r="D78" s="36" t="s">
        <v>142</v>
      </c>
      <c r="E78" s="36" t="s">
        <v>729</v>
      </c>
      <c r="F78" s="36" t="s">
        <v>144</v>
      </c>
      <c r="G78" s="36" t="s">
        <v>145</v>
      </c>
      <c r="H78" s="36" t="s">
        <v>146</v>
      </c>
      <c r="I78" s="36"/>
      <c r="J78" s="36" t="s">
        <v>147</v>
      </c>
      <c r="K78" s="36" t="s">
        <v>891</v>
      </c>
      <c r="L78" s="36" t="s">
        <v>149</v>
      </c>
      <c r="M78" s="38">
        <v>5500000</v>
      </c>
      <c r="N78" s="36">
        <v>1</v>
      </c>
      <c r="O78" s="36" t="s">
        <v>150</v>
      </c>
      <c r="P78" s="38">
        <v>1000</v>
      </c>
      <c r="Q78" s="36" t="s">
        <v>834</v>
      </c>
      <c r="R78" s="36" t="s">
        <v>892</v>
      </c>
      <c r="S78" s="36"/>
      <c r="T78" s="36">
        <v>15</v>
      </c>
      <c r="U78" s="36"/>
      <c r="V78" s="36"/>
      <c r="W78" s="36"/>
      <c r="X78" s="36"/>
      <c r="Y78" s="36"/>
      <c r="Z78" s="38" t="s">
        <v>807</v>
      </c>
      <c r="AA78" s="38">
        <v>1000</v>
      </c>
      <c r="AB78" s="36">
        <v>5</v>
      </c>
      <c r="AC78" s="36"/>
      <c r="AD78" s="38">
        <v>2700000</v>
      </c>
      <c r="AE78" s="38">
        <v>500000</v>
      </c>
      <c r="AF78" s="36">
        <v>500</v>
      </c>
      <c r="AG78" s="36">
        <v>0</v>
      </c>
      <c r="AH78" s="36">
        <v>40416</v>
      </c>
      <c r="AI78" s="38" t="s">
        <v>843</v>
      </c>
      <c r="AJ78" s="38">
        <v>1000</v>
      </c>
      <c r="AK78" s="34">
        <v>162000</v>
      </c>
      <c r="AL78" s="36">
        <v>1000</v>
      </c>
      <c r="AM78" s="36">
        <v>500</v>
      </c>
      <c r="AN78" s="36">
        <v>600</v>
      </c>
      <c r="AO78" s="36">
        <v>2500</v>
      </c>
      <c r="AP78" s="38" t="s">
        <v>155</v>
      </c>
      <c r="AQ78" s="38">
        <v>100</v>
      </c>
      <c r="AR78" s="38" t="s">
        <v>809</v>
      </c>
      <c r="AS78" s="38">
        <v>2000</v>
      </c>
      <c r="AT78" s="38">
        <v>10800</v>
      </c>
      <c r="AU78" s="38">
        <v>2700000</v>
      </c>
      <c r="AV78" s="36">
        <v>200000</v>
      </c>
      <c r="AW78" s="36"/>
      <c r="AX78" s="36"/>
      <c r="AY78" s="36"/>
      <c r="AZ78" s="36"/>
      <c r="BA78" s="36" t="s">
        <v>157</v>
      </c>
      <c r="BB78" s="36" t="s">
        <v>893</v>
      </c>
      <c r="BC78" s="46"/>
      <c r="BD78" s="39" t="s">
        <v>811</v>
      </c>
      <c r="BE78" s="36">
        <v>1</v>
      </c>
      <c r="BF78" s="36" t="s">
        <v>160</v>
      </c>
      <c r="BG78" s="36" t="s">
        <v>161</v>
      </c>
      <c r="BH78" s="36" t="s">
        <v>162</v>
      </c>
      <c r="BI78"/>
      <c r="BJ78" s="38">
        <v>7200</v>
      </c>
      <c r="BK78" s="38">
        <v>1800</v>
      </c>
      <c r="BL78" s="36">
        <f t="shared" si="0"/>
        <v>1065</v>
      </c>
      <c r="BM78" s="36">
        <v>4</v>
      </c>
      <c r="BN78" s="35" t="s">
        <v>157</v>
      </c>
      <c r="BO78" s="36" t="s">
        <v>894</v>
      </c>
      <c r="BP78" s="54" t="s">
        <v>157</v>
      </c>
      <c r="BQ78" s="36" t="s">
        <v>895</v>
      </c>
    </row>
    <row r="79" spans="1:69" x14ac:dyDescent="0.45">
      <c r="A79" s="36">
        <v>40416</v>
      </c>
      <c r="B79" s="36" t="s">
        <v>910</v>
      </c>
      <c r="C79" s="36" t="s">
        <v>141</v>
      </c>
      <c r="D79" s="36" t="s">
        <v>142</v>
      </c>
      <c r="E79" s="36" t="s">
        <v>729</v>
      </c>
      <c r="F79" s="36" t="s">
        <v>144</v>
      </c>
      <c r="G79" s="36" t="s">
        <v>145</v>
      </c>
      <c r="H79" s="36" t="s">
        <v>146</v>
      </c>
      <c r="J79" s="36" t="s">
        <v>147</v>
      </c>
      <c r="K79" s="36" t="s">
        <v>891</v>
      </c>
      <c r="L79" s="36" t="s">
        <v>149</v>
      </c>
      <c r="M79" s="38">
        <v>5700000</v>
      </c>
      <c r="N79" s="36">
        <v>1</v>
      </c>
      <c r="O79" s="36" t="s">
        <v>150</v>
      </c>
      <c r="P79" s="38">
        <v>1200</v>
      </c>
      <c r="Q79" s="42" t="s">
        <v>845</v>
      </c>
      <c r="R79" s="36" t="s">
        <v>892</v>
      </c>
      <c r="T79" s="36">
        <v>16</v>
      </c>
      <c r="Z79" s="38" t="s">
        <v>807</v>
      </c>
      <c r="AA79" s="38">
        <v>1000</v>
      </c>
      <c r="AB79" s="36">
        <v>5</v>
      </c>
      <c r="AD79" s="38">
        <v>2700000</v>
      </c>
      <c r="AE79" s="38">
        <v>500000</v>
      </c>
      <c r="AF79" s="36">
        <v>500</v>
      </c>
      <c r="AG79" s="36">
        <v>0</v>
      </c>
      <c r="AH79" s="36">
        <v>40417</v>
      </c>
      <c r="AI79" s="38" t="s">
        <v>846</v>
      </c>
      <c r="AJ79" s="38">
        <v>1000</v>
      </c>
      <c r="AK79" s="36">
        <v>172800</v>
      </c>
      <c r="AL79" s="36">
        <v>1000</v>
      </c>
      <c r="AM79" s="36">
        <v>500</v>
      </c>
      <c r="AN79" s="36">
        <v>600</v>
      </c>
      <c r="AO79" s="36">
        <v>2500</v>
      </c>
      <c r="AP79" s="38" t="s">
        <v>155</v>
      </c>
      <c r="AQ79" s="38">
        <v>100</v>
      </c>
      <c r="AR79" s="38" t="s">
        <v>809</v>
      </c>
      <c r="AS79" s="38">
        <v>2000</v>
      </c>
      <c r="AT79" s="38">
        <v>10800</v>
      </c>
      <c r="AU79" s="38">
        <v>2700000</v>
      </c>
      <c r="AV79" s="36">
        <v>200000</v>
      </c>
      <c r="BA79" s="36" t="s">
        <v>157</v>
      </c>
      <c r="BB79" s="36" t="s">
        <v>893</v>
      </c>
      <c r="BC79" s="46"/>
      <c r="BD79" s="39" t="s">
        <v>811</v>
      </c>
      <c r="BE79" s="36">
        <v>1</v>
      </c>
      <c r="BF79" s="36" t="s">
        <v>160</v>
      </c>
      <c r="BG79" s="36" t="s">
        <v>161</v>
      </c>
      <c r="BH79" s="36" t="s">
        <v>162</v>
      </c>
      <c r="BJ79" s="38">
        <v>7200</v>
      </c>
      <c r="BK79" s="38">
        <v>1800</v>
      </c>
      <c r="BL79" s="36">
        <f t="shared" si="0"/>
        <v>1150</v>
      </c>
      <c r="BM79" s="36">
        <v>4</v>
      </c>
      <c r="BN79" s="35" t="s">
        <v>157</v>
      </c>
      <c r="BO79" s="36" t="s">
        <v>894</v>
      </c>
      <c r="BP79" s="54" t="s">
        <v>157</v>
      </c>
      <c r="BQ79" s="36" t="s">
        <v>895</v>
      </c>
    </row>
    <row r="80" spans="1:69" x14ac:dyDescent="0.45">
      <c r="A80" s="36">
        <v>40417</v>
      </c>
      <c r="B80" s="36" t="s">
        <v>911</v>
      </c>
      <c r="C80" s="36" t="s">
        <v>141</v>
      </c>
      <c r="D80" s="36" t="s">
        <v>142</v>
      </c>
      <c r="E80" s="36" t="s">
        <v>729</v>
      </c>
      <c r="F80" s="36" t="s">
        <v>144</v>
      </c>
      <c r="G80" s="36" t="s">
        <v>145</v>
      </c>
      <c r="H80" s="36" t="s">
        <v>146</v>
      </c>
      <c r="J80" s="36" t="s">
        <v>147</v>
      </c>
      <c r="K80" s="36" t="s">
        <v>891</v>
      </c>
      <c r="L80" s="36" t="s">
        <v>149</v>
      </c>
      <c r="M80" s="38">
        <v>5900000</v>
      </c>
      <c r="N80" s="36">
        <v>1</v>
      </c>
      <c r="O80" s="36" t="s">
        <v>150</v>
      </c>
      <c r="P80" s="38">
        <v>1500</v>
      </c>
      <c r="Q80" s="42" t="s">
        <v>845</v>
      </c>
      <c r="R80" s="36" t="s">
        <v>892</v>
      </c>
      <c r="T80" s="36">
        <v>17</v>
      </c>
      <c r="Z80" s="38" t="s">
        <v>807</v>
      </c>
      <c r="AA80" s="38">
        <v>1000</v>
      </c>
      <c r="AB80" s="36">
        <v>5</v>
      </c>
      <c r="AD80" s="38">
        <v>2700000</v>
      </c>
      <c r="AE80" s="38">
        <v>500000</v>
      </c>
      <c r="AF80" s="36">
        <v>500</v>
      </c>
      <c r="AG80" s="36">
        <v>0</v>
      </c>
      <c r="AH80" s="36">
        <v>40418</v>
      </c>
      <c r="AI80" s="38" t="s">
        <v>848</v>
      </c>
      <c r="AJ80" s="38">
        <v>1000</v>
      </c>
      <c r="AK80" s="36">
        <v>183600</v>
      </c>
      <c r="AL80" s="36">
        <v>1000</v>
      </c>
      <c r="AM80" s="36">
        <v>500</v>
      </c>
      <c r="AN80" s="36">
        <v>600</v>
      </c>
      <c r="AO80" s="36">
        <v>2500</v>
      </c>
      <c r="AP80" s="38" t="s">
        <v>155</v>
      </c>
      <c r="AQ80" s="38">
        <v>100</v>
      </c>
      <c r="AR80" s="38" t="s">
        <v>809</v>
      </c>
      <c r="AS80" s="38">
        <v>2000</v>
      </c>
      <c r="AT80" s="38">
        <v>10800</v>
      </c>
      <c r="AU80" s="38">
        <v>2700000</v>
      </c>
      <c r="AV80" s="36">
        <v>200000</v>
      </c>
      <c r="BA80" s="36" t="s">
        <v>157</v>
      </c>
      <c r="BB80" s="36" t="s">
        <v>893</v>
      </c>
      <c r="BC80" s="46"/>
      <c r="BD80" s="39" t="s">
        <v>811</v>
      </c>
      <c r="BE80" s="36">
        <v>1</v>
      </c>
      <c r="BF80" s="36" t="s">
        <v>160</v>
      </c>
      <c r="BG80" s="36" t="s">
        <v>161</v>
      </c>
      <c r="BH80" s="36" t="s">
        <v>162</v>
      </c>
      <c r="BJ80" s="38">
        <v>7200</v>
      </c>
      <c r="BK80" s="38">
        <v>1800</v>
      </c>
      <c r="BL80" s="36">
        <f t="shared" si="0"/>
        <v>1240</v>
      </c>
      <c r="BM80" s="36">
        <v>4</v>
      </c>
      <c r="BN80" s="35" t="s">
        <v>157</v>
      </c>
      <c r="BO80" s="36" t="s">
        <v>894</v>
      </c>
      <c r="BP80" s="54" t="s">
        <v>157</v>
      </c>
      <c r="BQ80" s="36" t="s">
        <v>895</v>
      </c>
    </row>
    <row r="81" spans="1:69" x14ac:dyDescent="0.45">
      <c r="A81" s="36">
        <v>40418</v>
      </c>
      <c r="B81" s="36" t="s">
        <v>912</v>
      </c>
      <c r="C81" s="36" t="s">
        <v>141</v>
      </c>
      <c r="D81" s="36" t="s">
        <v>142</v>
      </c>
      <c r="E81" s="36" t="s">
        <v>729</v>
      </c>
      <c r="F81" s="36" t="s">
        <v>144</v>
      </c>
      <c r="G81" s="36" t="s">
        <v>145</v>
      </c>
      <c r="H81" s="36" t="s">
        <v>146</v>
      </c>
      <c r="J81" s="36" t="s">
        <v>147</v>
      </c>
      <c r="K81" s="36" t="s">
        <v>891</v>
      </c>
      <c r="L81" s="36" t="s">
        <v>149</v>
      </c>
      <c r="M81" s="38">
        <v>6100000</v>
      </c>
      <c r="N81" s="36">
        <v>1</v>
      </c>
      <c r="O81" s="36" t="s">
        <v>150</v>
      </c>
      <c r="P81" s="38">
        <v>2000</v>
      </c>
      <c r="Q81" s="42" t="s">
        <v>845</v>
      </c>
      <c r="R81" s="36" t="s">
        <v>892</v>
      </c>
      <c r="T81" s="36">
        <v>18</v>
      </c>
      <c r="Z81" s="38" t="s">
        <v>807</v>
      </c>
      <c r="AA81" s="38">
        <v>1000</v>
      </c>
      <c r="AB81" s="36">
        <v>5</v>
      </c>
      <c r="AD81" s="38">
        <v>2700000</v>
      </c>
      <c r="AE81" s="38">
        <v>500000</v>
      </c>
      <c r="AF81" s="36">
        <v>500</v>
      </c>
      <c r="AG81" s="36">
        <v>0</v>
      </c>
      <c r="AH81" s="36">
        <v>40419</v>
      </c>
      <c r="AI81" s="38" t="s">
        <v>850</v>
      </c>
      <c r="AJ81" s="38">
        <v>1000</v>
      </c>
      <c r="AK81" s="36">
        <v>194400</v>
      </c>
      <c r="AL81" s="36">
        <v>1000</v>
      </c>
      <c r="AM81" s="36">
        <v>500</v>
      </c>
      <c r="AN81" s="36">
        <v>600</v>
      </c>
      <c r="AO81" s="36">
        <v>2500</v>
      </c>
      <c r="AP81" s="38" t="s">
        <v>155</v>
      </c>
      <c r="AQ81" s="38">
        <v>100</v>
      </c>
      <c r="AR81" s="38" t="s">
        <v>809</v>
      </c>
      <c r="AS81" s="38">
        <v>2000</v>
      </c>
      <c r="AT81" s="38">
        <v>10800</v>
      </c>
      <c r="AU81" s="38">
        <v>2700000</v>
      </c>
      <c r="AV81" s="36">
        <v>200000</v>
      </c>
      <c r="BA81" s="36" t="s">
        <v>157</v>
      </c>
      <c r="BB81" s="36" t="s">
        <v>893</v>
      </c>
      <c r="BC81" s="46"/>
      <c r="BD81" s="39" t="s">
        <v>811</v>
      </c>
      <c r="BE81" s="36">
        <v>1</v>
      </c>
      <c r="BF81" s="36" t="s">
        <v>160</v>
      </c>
      <c r="BG81" s="36" t="s">
        <v>161</v>
      </c>
      <c r="BH81" s="36" t="s">
        <v>162</v>
      </c>
      <c r="BJ81" s="38">
        <v>7200</v>
      </c>
      <c r="BK81" s="38">
        <v>1800</v>
      </c>
      <c r="BL81" s="36">
        <f t="shared" si="0"/>
        <v>1335</v>
      </c>
      <c r="BM81" s="36">
        <v>4</v>
      </c>
      <c r="BN81" s="35" t="s">
        <v>157</v>
      </c>
      <c r="BO81" s="36" t="s">
        <v>894</v>
      </c>
      <c r="BP81" s="54" t="s">
        <v>157</v>
      </c>
      <c r="BQ81" s="36" t="s">
        <v>895</v>
      </c>
    </row>
    <row r="82" spans="1:69" x14ac:dyDescent="0.45">
      <c r="A82" s="36">
        <v>40419</v>
      </c>
      <c r="B82" s="36" t="s">
        <v>913</v>
      </c>
      <c r="C82" s="36" t="s">
        <v>141</v>
      </c>
      <c r="D82" s="36" t="s">
        <v>142</v>
      </c>
      <c r="E82" s="36" t="s">
        <v>729</v>
      </c>
      <c r="F82" s="36" t="s">
        <v>144</v>
      </c>
      <c r="G82" s="36" t="s">
        <v>145</v>
      </c>
      <c r="H82" s="36" t="s">
        <v>146</v>
      </c>
      <c r="J82" s="36" t="s">
        <v>147</v>
      </c>
      <c r="K82" s="36" t="s">
        <v>891</v>
      </c>
      <c r="L82" s="36" t="s">
        <v>149</v>
      </c>
      <c r="M82" s="38">
        <v>6300000</v>
      </c>
      <c r="N82" s="36">
        <v>1</v>
      </c>
      <c r="O82" s="36" t="s">
        <v>150</v>
      </c>
      <c r="P82" s="38">
        <v>2500</v>
      </c>
      <c r="Q82" s="42" t="s">
        <v>845</v>
      </c>
      <c r="R82" s="36" t="s">
        <v>892</v>
      </c>
      <c r="T82" s="36">
        <v>19</v>
      </c>
      <c r="Z82" s="38" t="s">
        <v>807</v>
      </c>
      <c r="AA82" s="38">
        <v>1000</v>
      </c>
      <c r="AB82" s="36">
        <v>5</v>
      </c>
      <c r="AD82" s="38">
        <v>2700000</v>
      </c>
      <c r="AE82" s="38">
        <v>500000</v>
      </c>
      <c r="AF82" s="36">
        <v>500</v>
      </c>
      <c r="AG82" s="36">
        <v>0</v>
      </c>
      <c r="AH82" s="36">
        <v>40420</v>
      </c>
      <c r="AI82" s="38" t="s">
        <v>852</v>
      </c>
      <c r="AJ82" s="38">
        <v>1000</v>
      </c>
      <c r="AK82" s="36">
        <v>205200</v>
      </c>
      <c r="AL82" s="36">
        <v>1000</v>
      </c>
      <c r="AM82" s="36">
        <v>500</v>
      </c>
      <c r="AN82" s="36">
        <v>600</v>
      </c>
      <c r="AO82" s="36">
        <v>2500</v>
      </c>
      <c r="AP82" s="38" t="s">
        <v>155</v>
      </c>
      <c r="AQ82" s="38">
        <v>100</v>
      </c>
      <c r="AR82" s="38" t="s">
        <v>809</v>
      </c>
      <c r="AS82" s="38">
        <v>2000</v>
      </c>
      <c r="AT82" s="38">
        <v>10800</v>
      </c>
      <c r="AU82" s="38">
        <v>2700000</v>
      </c>
      <c r="AV82" s="36">
        <v>200000</v>
      </c>
      <c r="BA82" s="36" t="s">
        <v>157</v>
      </c>
      <c r="BB82" s="36" t="s">
        <v>893</v>
      </c>
      <c r="BC82" s="46"/>
      <c r="BD82" s="39" t="s">
        <v>811</v>
      </c>
      <c r="BE82" s="36">
        <v>1</v>
      </c>
      <c r="BF82" s="36" t="s">
        <v>160</v>
      </c>
      <c r="BG82" s="36" t="s">
        <v>161</v>
      </c>
      <c r="BH82" s="36" t="s">
        <v>162</v>
      </c>
      <c r="BJ82" s="38">
        <v>7200</v>
      </c>
      <c r="BK82" s="38">
        <v>1800</v>
      </c>
      <c r="BL82" s="36">
        <f t="shared" si="0"/>
        <v>1435</v>
      </c>
      <c r="BM82" s="36">
        <v>4</v>
      </c>
      <c r="BN82" s="35" t="s">
        <v>157</v>
      </c>
      <c r="BO82" s="36" t="s">
        <v>894</v>
      </c>
      <c r="BP82" s="54" t="s">
        <v>157</v>
      </c>
      <c r="BQ82" s="36" t="s">
        <v>895</v>
      </c>
    </row>
    <row r="83" spans="1:69" x14ac:dyDescent="0.45">
      <c r="A83" s="36">
        <v>40420</v>
      </c>
      <c r="B83" s="36" t="s">
        <v>914</v>
      </c>
      <c r="C83" s="36" t="s">
        <v>141</v>
      </c>
      <c r="D83" s="36" t="s">
        <v>142</v>
      </c>
      <c r="E83" s="36" t="s">
        <v>729</v>
      </c>
      <c r="F83" s="36" t="s">
        <v>144</v>
      </c>
      <c r="G83" s="36" t="s">
        <v>145</v>
      </c>
      <c r="H83" s="36" t="s">
        <v>146</v>
      </c>
      <c r="J83" s="36" t="s">
        <v>147</v>
      </c>
      <c r="K83" s="36" t="s">
        <v>891</v>
      </c>
      <c r="L83" s="36" t="s">
        <v>149</v>
      </c>
      <c r="M83" s="38">
        <v>6500000</v>
      </c>
      <c r="N83" s="36">
        <v>1</v>
      </c>
      <c r="O83" s="36" t="s">
        <v>150</v>
      </c>
      <c r="P83" s="38">
        <v>3000</v>
      </c>
      <c r="Q83" s="42" t="s">
        <v>845</v>
      </c>
      <c r="R83" s="36" t="s">
        <v>892</v>
      </c>
      <c r="T83" s="36">
        <v>20</v>
      </c>
      <c r="Z83" s="38" t="s">
        <v>807</v>
      </c>
      <c r="AA83" s="38">
        <v>1000</v>
      </c>
      <c r="AB83" s="36">
        <v>5</v>
      </c>
      <c r="AD83" s="38">
        <v>2700000</v>
      </c>
      <c r="AE83" s="38">
        <v>500000</v>
      </c>
      <c r="AF83" s="36">
        <v>500</v>
      </c>
      <c r="AG83" s="36">
        <v>0</v>
      </c>
      <c r="AH83" s="36">
        <v>-1</v>
      </c>
      <c r="AJ83" s="38">
        <v>1000</v>
      </c>
      <c r="AK83" s="35">
        <v>216000</v>
      </c>
      <c r="AL83" s="36">
        <v>1000</v>
      </c>
      <c r="AM83" s="36">
        <v>500</v>
      </c>
      <c r="AN83" s="36">
        <v>600</v>
      </c>
      <c r="AO83" s="36">
        <v>2500</v>
      </c>
      <c r="AP83" s="38" t="s">
        <v>155</v>
      </c>
      <c r="AQ83" s="38">
        <v>100</v>
      </c>
      <c r="AR83" s="38" t="s">
        <v>809</v>
      </c>
      <c r="AS83" s="38">
        <v>2000</v>
      </c>
      <c r="AT83" s="38">
        <v>10800</v>
      </c>
      <c r="AU83" s="38">
        <v>2700000</v>
      </c>
      <c r="AV83" s="36">
        <v>200000</v>
      </c>
      <c r="BA83" s="36" t="s">
        <v>157</v>
      </c>
      <c r="BB83" s="36" t="s">
        <v>893</v>
      </c>
      <c r="BC83" s="46"/>
      <c r="BD83" s="39" t="s">
        <v>811</v>
      </c>
      <c r="BE83" s="36">
        <v>1</v>
      </c>
      <c r="BF83" s="36" t="s">
        <v>160</v>
      </c>
      <c r="BG83" s="36" t="s">
        <v>161</v>
      </c>
      <c r="BH83" s="36" t="s">
        <v>162</v>
      </c>
      <c r="BJ83" s="38">
        <v>7200</v>
      </c>
      <c r="BK83" s="38">
        <v>1800</v>
      </c>
      <c r="BL83" s="36">
        <f t="shared" si="0"/>
        <v>1540</v>
      </c>
      <c r="BM83" s="36">
        <v>4</v>
      </c>
      <c r="BN83" s="35" t="s">
        <v>157</v>
      </c>
      <c r="BO83" s="36" t="s">
        <v>894</v>
      </c>
      <c r="BP83" s="54" t="s">
        <v>157</v>
      </c>
      <c r="BQ83" s="36" t="s">
        <v>895</v>
      </c>
    </row>
    <row r="84" spans="1:69" s="35" customFormat="1" x14ac:dyDescent="0.45">
      <c r="A84" s="35">
        <v>40501</v>
      </c>
      <c r="B84" s="35" t="s">
        <v>915</v>
      </c>
      <c r="C84" s="35" t="s">
        <v>141</v>
      </c>
      <c r="D84" s="35" t="s">
        <v>142</v>
      </c>
      <c r="E84" s="35" t="s">
        <v>736</v>
      </c>
      <c r="F84" s="35" t="s">
        <v>144</v>
      </c>
      <c r="G84" s="35" t="s">
        <v>145</v>
      </c>
      <c r="H84" s="35" t="s">
        <v>146</v>
      </c>
      <c r="J84" s="35" t="s">
        <v>147</v>
      </c>
      <c r="K84" s="36" t="s">
        <v>916</v>
      </c>
      <c r="L84" s="35" t="s">
        <v>149</v>
      </c>
      <c r="M84" s="35">
        <v>2700000</v>
      </c>
      <c r="N84" s="36">
        <v>1</v>
      </c>
      <c r="O84" s="36" t="s">
        <v>150</v>
      </c>
      <c r="P84" s="35">
        <v>50</v>
      </c>
      <c r="Q84" s="35" t="s">
        <v>805</v>
      </c>
      <c r="R84" s="36" t="s">
        <v>917</v>
      </c>
      <c r="T84" s="35">
        <v>1</v>
      </c>
      <c r="Z84" s="35" t="s">
        <v>807</v>
      </c>
      <c r="AA84" s="35">
        <v>1000</v>
      </c>
      <c r="AB84" s="35">
        <v>5</v>
      </c>
      <c r="AD84" s="38">
        <v>2700000</v>
      </c>
      <c r="AE84" s="35">
        <v>500000</v>
      </c>
      <c r="AF84" s="35">
        <v>500</v>
      </c>
      <c r="AG84" s="35">
        <v>0</v>
      </c>
      <c r="AH84" s="35">
        <v>40502</v>
      </c>
      <c r="AI84" s="35" t="s">
        <v>808</v>
      </c>
      <c r="AJ84" s="35">
        <v>1000</v>
      </c>
      <c r="AK84" s="35">
        <v>21600</v>
      </c>
      <c r="AL84" s="36">
        <v>1000</v>
      </c>
      <c r="AM84" s="35">
        <v>500</v>
      </c>
      <c r="AN84" s="35">
        <v>600</v>
      </c>
      <c r="AO84" s="35">
        <v>2500</v>
      </c>
      <c r="AP84" s="35" t="s">
        <v>155</v>
      </c>
      <c r="AQ84" s="35">
        <v>100</v>
      </c>
      <c r="AR84" s="38" t="s">
        <v>809</v>
      </c>
      <c r="AS84" s="35">
        <v>2000</v>
      </c>
      <c r="AT84" s="38">
        <v>10800</v>
      </c>
      <c r="AU84" s="38">
        <v>2700000</v>
      </c>
      <c r="AV84" s="35">
        <v>200000</v>
      </c>
      <c r="BA84" s="35" t="s">
        <v>157</v>
      </c>
      <c r="BB84" s="35" t="s">
        <v>918</v>
      </c>
      <c r="BC84" s="48"/>
      <c r="BD84" s="35" t="s">
        <v>811</v>
      </c>
      <c r="BE84" s="35">
        <v>1</v>
      </c>
      <c r="BF84" s="35" t="s">
        <v>160</v>
      </c>
      <c r="BG84" s="35" t="s">
        <v>161</v>
      </c>
      <c r="BH84" s="35" t="s">
        <v>162</v>
      </c>
      <c r="BI84" s="53"/>
      <c r="BJ84" s="35">
        <v>7200</v>
      </c>
      <c r="BK84" s="35">
        <v>1800</v>
      </c>
      <c r="BL84" s="35">
        <f t="shared" si="0"/>
        <v>400</v>
      </c>
      <c r="BM84" s="35">
        <v>5</v>
      </c>
      <c r="BN84" s="35" t="s">
        <v>157</v>
      </c>
      <c r="BO84" s="35" t="s">
        <v>919</v>
      </c>
      <c r="BP84" s="55" t="s">
        <v>157</v>
      </c>
      <c r="BQ84" s="35" t="s">
        <v>920</v>
      </c>
    </row>
    <row r="85" spans="1:69" s="35" customFormat="1" x14ac:dyDescent="0.45">
      <c r="A85" s="35">
        <v>40502</v>
      </c>
      <c r="B85" s="35" t="s">
        <v>921</v>
      </c>
      <c r="C85" s="35" t="s">
        <v>141</v>
      </c>
      <c r="D85" s="35" t="s">
        <v>142</v>
      </c>
      <c r="E85" s="35" t="s">
        <v>736</v>
      </c>
      <c r="F85" s="35" t="s">
        <v>144</v>
      </c>
      <c r="G85" s="35" t="s">
        <v>145</v>
      </c>
      <c r="H85" s="35" t="s">
        <v>146</v>
      </c>
      <c r="J85" s="35" t="s">
        <v>147</v>
      </c>
      <c r="K85" s="36" t="s">
        <v>916</v>
      </c>
      <c r="L85" s="35" t="s">
        <v>149</v>
      </c>
      <c r="M85" s="35">
        <v>2900000</v>
      </c>
      <c r="N85" s="36">
        <v>1</v>
      </c>
      <c r="O85" s="36" t="s">
        <v>150</v>
      </c>
      <c r="P85" s="35">
        <v>100</v>
      </c>
      <c r="Q85" s="35" t="s">
        <v>805</v>
      </c>
      <c r="R85" s="36" t="s">
        <v>917</v>
      </c>
      <c r="T85" s="35">
        <v>2</v>
      </c>
      <c r="Z85" s="35" t="s">
        <v>807</v>
      </c>
      <c r="AA85" s="35">
        <v>1000</v>
      </c>
      <c r="AB85" s="35">
        <v>5</v>
      </c>
      <c r="AD85" s="38">
        <v>2700000</v>
      </c>
      <c r="AE85" s="35">
        <v>500000</v>
      </c>
      <c r="AF85" s="35">
        <v>500</v>
      </c>
      <c r="AG85" s="35">
        <v>0</v>
      </c>
      <c r="AH85" s="35">
        <v>40503</v>
      </c>
      <c r="AI85" s="35" t="s">
        <v>815</v>
      </c>
      <c r="AJ85" s="35">
        <v>1000</v>
      </c>
      <c r="AK85" s="35">
        <v>21600</v>
      </c>
      <c r="AL85" s="36">
        <v>1000</v>
      </c>
      <c r="AM85" s="35">
        <v>500</v>
      </c>
      <c r="AN85" s="35">
        <v>600</v>
      </c>
      <c r="AO85" s="35">
        <v>2500</v>
      </c>
      <c r="AP85" s="35" t="s">
        <v>155</v>
      </c>
      <c r="AQ85" s="35">
        <v>100</v>
      </c>
      <c r="AR85" s="38" t="s">
        <v>809</v>
      </c>
      <c r="AS85" s="35">
        <v>2000</v>
      </c>
      <c r="AT85" s="38">
        <v>10800</v>
      </c>
      <c r="AU85" s="38">
        <v>2700000</v>
      </c>
      <c r="AV85" s="35">
        <v>200000</v>
      </c>
      <c r="BA85" s="35" t="s">
        <v>157</v>
      </c>
      <c r="BB85" s="35" t="s">
        <v>918</v>
      </c>
      <c r="BC85" s="48"/>
      <c r="BD85" s="35" t="s">
        <v>811</v>
      </c>
      <c r="BE85" s="35">
        <v>1</v>
      </c>
      <c r="BF85" s="35" t="s">
        <v>160</v>
      </c>
      <c r="BG85" s="35" t="s">
        <v>161</v>
      </c>
      <c r="BH85" s="35" t="s">
        <v>162</v>
      </c>
      <c r="BI85" s="53"/>
      <c r="BJ85" s="35">
        <v>7200</v>
      </c>
      <c r="BK85" s="35">
        <v>1800</v>
      </c>
      <c r="BL85" s="35">
        <f t="shared" si="0"/>
        <v>415</v>
      </c>
      <c r="BM85" s="35">
        <v>5</v>
      </c>
      <c r="BN85" s="35" t="s">
        <v>157</v>
      </c>
      <c r="BO85" s="35" t="s">
        <v>919</v>
      </c>
      <c r="BP85" s="55" t="s">
        <v>157</v>
      </c>
      <c r="BQ85" s="35" t="s">
        <v>920</v>
      </c>
    </row>
    <row r="86" spans="1:69" s="35" customFormat="1" x14ac:dyDescent="0.45">
      <c r="A86" s="35">
        <v>40503</v>
      </c>
      <c r="B86" s="35" t="s">
        <v>922</v>
      </c>
      <c r="C86" s="35" t="s">
        <v>141</v>
      </c>
      <c r="D86" s="35" t="s">
        <v>142</v>
      </c>
      <c r="E86" s="35" t="s">
        <v>736</v>
      </c>
      <c r="F86" s="35" t="s">
        <v>144</v>
      </c>
      <c r="G86" s="35" t="s">
        <v>145</v>
      </c>
      <c r="H86" s="35" t="s">
        <v>146</v>
      </c>
      <c r="J86" s="35" t="s">
        <v>147</v>
      </c>
      <c r="K86" s="36" t="s">
        <v>916</v>
      </c>
      <c r="L86" s="35" t="s">
        <v>149</v>
      </c>
      <c r="M86" s="35">
        <v>3100000</v>
      </c>
      <c r="N86" s="36">
        <v>1</v>
      </c>
      <c r="O86" s="36" t="s">
        <v>150</v>
      </c>
      <c r="P86" s="35">
        <v>150</v>
      </c>
      <c r="Q86" s="35" t="s">
        <v>805</v>
      </c>
      <c r="R86" s="36" t="s">
        <v>917</v>
      </c>
      <c r="T86" s="35">
        <v>3</v>
      </c>
      <c r="Z86" s="35" t="s">
        <v>807</v>
      </c>
      <c r="AA86" s="35">
        <v>1000</v>
      </c>
      <c r="AB86" s="35">
        <v>5</v>
      </c>
      <c r="AD86" s="38">
        <v>2700000</v>
      </c>
      <c r="AE86" s="35">
        <v>500000</v>
      </c>
      <c r="AF86" s="35">
        <v>500</v>
      </c>
      <c r="AG86" s="35">
        <v>0</v>
      </c>
      <c r="AH86" s="35">
        <v>40504</v>
      </c>
      <c r="AI86" s="35" t="s">
        <v>817</v>
      </c>
      <c r="AJ86" s="35">
        <v>1000</v>
      </c>
      <c r="AK86" s="35">
        <v>32400</v>
      </c>
      <c r="AL86" s="36">
        <v>1000</v>
      </c>
      <c r="AM86" s="35">
        <v>500</v>
      </c>
      <c r="AN86" s="35">
        <v>600</v>
      </c>
      <c r="AO86" s="35">
        <v>2500</v>
      </c>
      <c r="AP86" s="35" t="s">
        <v>155</v>
      </c>
      <c r="AQ86" s="35">
        <v>100</v>
      </c>
      <c r="AR86" s="38" t="s">
        <v>809</v>
      </c>
      <c r="AS86" s="35">
        <v>2000</v>
      </c>
      <c r="AT86" s="38">
        <v>10800</v>
      </c>
      <c r="AU86" s="38">
        <v>2700000</v>
      </c>
      <c r="AV86" s="35">
        <v>200000</v>
      </c>
      <c r="BA86" s="35" t="s">
        <v>157</v>
      </c>
      <c r="BB86" s="35" t="s">
        <v>918</v>
      </c>
      <c r="BC86" s="48"/>
      <c r="BD86" s="35" t="s">
        <v>811</v>
      </c>
      <c r="BE86" s="35">
        <v>1</v>
      </c>
      <c r="BF86" s="35" t="s">
        <v>160</v>
      </c>
      <c r="BG86" s="35" t="s">
        <v>161</v>
      </c>
      <c r="BH86" s="35" t="s">
        <v>162</v>
      </c>
      <c r="BI86" s="53"/>
      <c r="BJ86" s="35">
        <v>7200</v>
      </c>
      <c r="BK86" s="35">
        <v>1800</v>
      </c>
      <c r="BL86" s="35">
        <f t="shared" si="0"/>
        <v>435</v>
      </c>
      <c r="BM86" s="35">
        <v>5</v>
      </c>
      <c r="BN86" s="35" t="s">
        <v>157</v>
      </c>
      <c r="BO86" s="35" t="s">
        <v>919</v>
      </c>
      <c r="BP86" s="55" t="s">
        <v>157</v>
      </c>
      <c r="BQ86" s="35" t="s">
        <v>920</v>
      </c>
    </row>
    <row r="87" spans="1:69" s="35" customFormat="1" x14ac:dyDescent="0.45">
      <c r="A87" s="35">
        <v>40504</v>
      </c>
      <c r="B87" s="35" t="s">
        <v>923</v>
      </c>
      <c r="C87" s="35" t="s">
        <v>141</v>
      </c>
      <c r="D87" s="35" t="s">
        <v>142</v>
      </c>
      <c r="E87" s="35" t="s">
        <v>736</v>
      </c>
      <c r="F87" s="35" t="s">
        <v>144</v>
      </c>
      <c r="G87" s="35" t="s">
        <v>145</v>
      </c>
      <c r="H87" s="35" t="s">
        <v>146</v>
      </c>
      <c r="J87" s="35" t="s">
        <v>147</v>
      </c>
      <c r="K87" s="36" t="s">
        <v>916</v>
      </c>
      <c r="L87" s="35" t="s">
        <v>149</v>
      </c>
      <c r="M87" s="35">
        <v>3300000</v>
      </c>
      <c r="N87" s="36">
        <v>1</v>
      </c>
      <c r="O87" s="36" t="s">
        <v>150</v>
      </c>
      <c r="P87" s="35">
        <v>200</v>
      </c>
      <c r="Q87" s="35" t="s">
        <v>805</v>
      </c>
      <c r="R87" s="36" t="s">
        <v>917</v>
      </c>
      <c r="T87" s="35">
        <v>4</v>
      </c>
      <c r="Z87" s="35" t="s">
        <v>807</v>
      </c>
      <c r="AA87" s="35">
        <v>1000</v>
      </c>
      <c r="AB87" s="35">
        <v>5</v>
      </c>
      <c r="AD87" s="38">
        <v>2700000</v>
      </c>
      <c r="AE87" s="35">
        <v>500000</v>
      </c>
      <c r="AF87" s="35">
        <v>500</v>
      </c>
      <c r="AG87" s="35">
        <v>0</v>
      </c>
      <c r="AH87" s="35">
        <v>40505</v>
      </c>
      <c r="AI87" s="35" t="s">
        <v>819</v>
      </c>
      <c r="AJ87" s="35">
        <v>1000</v>
      </c>
      <c r="AK87" s="35">
        <v>43200</v>
      </c>
      <c r="AL87" s="36">
        <v>1000</v>
      </c>
      <c r="AM87" s="35">
        <v>500</v>
      </c>
      <c r="AN87" s="35">
        <v>600</v>
      </c>
      <c r="AO87" s="35">
        <v>2500</v>
      </c>
      <c r="AP87" s="35" t="s">
        <v>155</v>
      </c>
      <c r="AQ87" s="35">
        <v>100</v>
      </c>
      <c r="AR87" s="38" t="s">
        <v>809</v>
      </c>
      <c r="AS87" s="35">
        <v>2000</v>
      </c>
      <c r="AT87" s="38">
        <v>10800</v>
      </c>
      <c r="AU87" s="38">
        <v>2700000</v>
      </c>
      <c r="AV87" s="35">
        <v>200000</v>
      </c>
      <c r="BA87" s="35" t="s">
        <v>157</v>
      </c>
      <c r="BB87" s="35" t="s">
        <v>918</v>
      </c>
      <c r="BC87" s="48"/>
      <c r="BD87" s="35" t="s">
        <v>811</v>
      </c>
      <c r="BE87" s="35">
        <v>1</v>
      </c>
      <c r="BF87" s="35" t="s">
        <v>160</v>
      </c>
      <c r="BG87" s="35" t="s">
        <v>161</v>
      </c>
      <c r="BH87" s="35" t="s">
        <v>162</v>
      </c>
      <c r="BI87" s="53"/>
      <c r="BJ87" s="35">
        <v>7200</v>
      </c>
      <c r="BK87" s="35">
        <v>1800</v>
      </c>
      <c r="BL87" s="35">
        <f t="shared" si="0"/>
        <v>460</v>
      </c>
      <c r="BM87" s="35">
        <v>5</v>
      </c>
      <c r="BN87" s="35" t="s">
        <v>157</v>
      </c>
      <c r="BO87" s="35" t="s">
        <v>919</v>
      </c>
      <c r="BP87" s="55" t="s">
        <v>157</v>
      </c>
      <c r="BQ87" s="35" t="s">
        <v>920</v>
      </c>
    </row>
    <row r="88" spans="1:69" s="35" customFormat="1" x14ac:dyDescent="0.45">
      <c r="A88" s="35">
        <v>40505</v>
      </c>
      <c r="B88" s="35" t="s">
        <v>924</v>
      </c>
      <c r="C88" s="35" t="s">
        <v>141</v>
      </c>
      <c r="D88" s="35" t="s">
        <v>142</v>
      </c>
      <c r="E88" s="35" t="s">
        <v>736</v>
      </c>
      <c r="F88" s="35" t="s">
        <v>144</v>
      </c>
      <c r="G88" s="35" t="s">
        <v>145</v>
      </c>
      <c r="H88" s="35" t="s">
        <v>146</v>
      </c>
      <c r="J88" s="35" t="s">
        <v>147</v>
      </c>
      <c r="K88" s="36" t="s">
        <v>916</v>
      </c>
      <c r="L88" s="35" t="s">
        <v>149</v>
      </c>
      <c r="M88" s="35">
        <v>3500000</v>
      </c>
      <c r="N88" s="36">
        <v>1</v>
      </c>
      <c r="O88" s="36" t="s">
        <v>150</v>
      </c>
      <c r="P88" s="35">
        <v>250</v>
      </c>
      <c r="Q88" s="35" t="s">
        <v>805</v>
      </c>
      <c r="R88" s="36" t="s">
        <v>917</v>
      </c>
      <c r="T88" s="35">
        <v>5</v>
      </c>
      <c r="Z88" s="35" t="s">
        <v>807</v>
      </c>
      <c r="AA88" s="35">
        <v>1000</v>
      </c>
      <c r="AB88" s="35">
        <v>5</v>
      </c>
      <c r="AD88" s="38">
        <v>2700000</v>
      </c>
      <c r="AE88" s="35">
        <v>500000</v>
      </c>
      <c r="AF88" s="35">
        <v>500</v>
      </c>
      <c r="AG88" s="35">
        <v>0</v>
      </c>
      <c r="AH88" s="35">
        <v>40506</v>
      </c>
      <c r="AI88" s="35" t="s">
        <v>821</v>
      </c>
      <c r="AJ88" s="35">
        <v>1000</v>
      </c>
      <c r="AK88" s="35">
        <v>54000</v>
      </c>
      <c r="AL88" s="36">
        <v>1000</v>
      </c>
      <c r="AM88" s="35">
        <v>500</v>
      </c>
      <c r="AN88" s="35">
        <v>600</v>
      </c>
      <c r="AO88" s="35">
        <v>2500</v>
      </c>
      <c r="AP88" s="35" t="s">
        <v>155</v>
      </c>
      <c r="AQ88" s="35">
        <v>100</v>
      </c>
      <c r="AR88" s="38" t="s">
        <v>809</v>
      </c>
      <c r="AS88" s="35">
        <v>2000</v>
      </c>
      <c r="AT88" s="38">
        <v>10800</v>
      </c>
      <c r="AU88" s="38">
        <v>2700000</v>
      </c>
      <c r="AV88" s="35">
        <v>200000</v>
      </c>
      <c r="BA88" s="35" t="s">
        <v>157</v>
      </c>
      <c r="BB88" s="35" t="s">
        <v>918</v>
      </c>
      <c r="BC88" s="48"/>
      <c r="BD88" s="35" t="s">
        <v>811</v>
      </c>
      <c r="BE88" s="35">
        <v>1</v>
      </c>
      <c r="BF88" s="35" t="s">
        <v>160</v>
      </c>
      <c r="BG88" s="35" t="s">
        <v>161</v>
      </c>
      <c r="BH88" s="35" t="s">
        <v>162</v>
      </c>
      <c r="BI88" s="53"/>
      <c r="BJ88" s="35">
        <v>7200</v>
      </c>
      <c r="BK88" s="35">
        <v>1800</v>
      </c>
      <c r="BL88" s="35">
        <f t="shared" ref="BL88:BL151" si="1">BL68</f>
        <v>490</v>
      </c>
      <c r="BM88" s="35">
        <v>5</v>
      </c>
      <c r="BN88" s="35" t="s">
        <v>157</v>
      </c>
      <c r="BO88" s="35" t="s">
        <v>919</v>
      </c>
      <c r="BP88" s="55" t="s">
        <v>157</v>
      </c>
      <c r="BQ88" s="35" t="s">
        <v>920</v>
      </c>
    </row>
    <row r="89" spans="1:69" s="35" customFormat="1" x14ac:dyDescent="0.45">
      <c r="A89" s="35">
        <v>40506</v>
      </c>
      <c r="B89" s="35" t="s">
        <v>925</v>
      </c>
      <c r="C89" s="35" t="s">
        <v>141</v>
      </c>
      <c r="D89" s="35" t="s">
        <v>142</v>
      </c>
      <c r="E89" s="35" t="s">
        <v>736</v>
      </c>
      <c r="F89" s="35" t="s">
        <v>144</v>
      </c>
      <c r="G89" s="35" t="s">
        <v>145</v>
      </c>
      <c r="H89" s="35" t="s">
        <v>146</v>
      </c>
      <c r="J89" s="35" t="s">
        <v>147</v>
      </c>
      <c r="K89" s="36" t="s">
        <v>916</v>
      </c>
      <c r="L89" s="35" t="s">
        <v>149</v>
      </c>
      <c r="M89" s="35">
        <v>3700000</v>
      </c>
      <c r="N89" s="36">
        <v>1</v>
      </c>
      <c r="O89" s="36" t="s">
        <v>150</v>
      </c>
      <c r="P89" s="35">
        <v>300</v>
      </c>
      <c r="Q89" s="35" t="s">
        <v>823</v>
      </c>
      <c r="R89" s="36" t="s">
        <v>917</v>
      </c>
      <c r="T89" s="35">
        <v>6</v>
      </c>
      <c r="Z89" s="35" t="s">
        <v>807</v>
      </c>
      <c r="AA89" s="35">
        <v>1000</v>
      </c>
      <c r="AB89" s="35">
        <v>5</v>
      </c>
      <c r="AD89" s="38">
        <v>2700000</v>
      </c>
      <c r="AE89" s="35">
        <v>500000</v>
      </c>
      <c r="AF89" s="35">
        <v>500</v>
      </c>
      <c r="AG89" s="35">
        <v>0</v>
      </c>
      <c r="AH89" s="35">
        <v>40507</v>
      </c>
      <c r="AI89" s="35" t="s">
        <v>824</v>
      </c>
      <c r="AJ89" s="35">
        <v>1000</v>
      </c>
      <c r="AK89" s="35">
        <v>64800</v>
      </c>
      <c r="AL89" s="36">
        <v>1000</v>
      </c>
      <c r="AM89" s="35">
        <v>500</v>
      </c>
      <c r="AN89" s="35">
        <v>600</v>
      </c>
      <c r="AO89" s="35">
        <v>2500</v>
      </c>
      <c r="AP89" s="35" t="s">
        <v>155</v>
      </c>
      <c r="AQ89" s="35">
        <v>100</v>
      </c>
      <c r="AR89" s="38" t="s">
        <v>809</v>
      </c>
      <c r="AS89" s="35">
        <v>2000</v>
      </c>
      <c r="AT89" s="38">
        <v>10800</v>
      </c>
      <c r="AU89" s="38">
        <v>2700000</v>
      </c>
      <c r="AV89" s="35">
        <v>200000</v>
      </c>
      <c r="BA89" s="35" t="s">
        <v>157</v>
      </c>
      <c r="BB89" s="35" t="s">
        <v>918</v>
      </c>
      <c r="BC89" s="48"/>
      <c r="BD89" s="35" t="s">
        <v>811</v>
      </c>
      <c r="BE89" s="35">
        <v>1</v>
      </c>
      <c r="BF89" s="35" t="s">
        <v>160</v>
      </c>
      <c r="BG89" s="35" t="s">
        <v>161</v>
      </c>
      <c r="BH89" s="35" t="s">
        <v>162</v>
      </c>
      <c r="BI89" s="53"/>
      <c r="BJ89" s="35">
        <v>7200</v>
      </c>
      <c r="BK89" s="35">
        <v>1800</v>
      </c>
      <c r="BL89" s="35">
        <f t="shared" si="1"/>
        <v>525</v>
      </c>
      <c r="BM89" s="35">
        <v>5</v>
      </c>
      <c r="BN89" s="35" t="s">
        <v>157</v>
      </c>
      <c r="BO89" s="35" t="s">
        <v>919</v>
      </c>
      <c r="BP89" s="55" t="s">
        <v>157</v>
      </c>
      <c r="BQ89" s="35" t="s">
        <v>920</v>
      </c>
    </row>
    <row r="90" spans="1:69" s="35" customFormat="1" x14ac:dyDescent="0.45">
      <c r="A90" s="35">
        <v>40507</v>
      </c>
      <c r="B90" s="35" t="s">
        <v>926</v>
      </c>
      <c r="C90" s="35" t="s">
        <v>141</v>
      </c>
      <c r="D90" s="35" t="s">
        <v>142</v>
      </c>
      <c r="E90" s="35" t="s">
        <v>736</v>
      </c>
      <c r="F90" s="35" t="s">
        <v>144</v>
      </c>
      <c r="G90" s="35" t="s">
        <v>145</v>
      </c>
      <c r="H90" s="35" t="s">
        <v>146</v>
      </c>
      <c r="J90" s="35" t="s">
        <v>147</v>
      </c>
      <c r="K90" s="36" t="s">
        <v>916</v>
      </c>
      <c r="L90" s="35" t="s">
        <v>149</v>
      </c>
      <c r="M90" s="35">
        <v>3900000</v>
      </c>
      <c r="N90" s="36">
        <v>1</v>
      </c>
      <c r="O90" s="36" t="s">
        <v>150</v>
      </c>
      <c r="P90" s="35">
        <v>350</v>
      </c>
      <c r="Q90" s="35" t="s">
        <v>823</v>
      </c>
      <c r="R90" s="36" t="s">
        <v>917</v>
      </c>
      <c r="T90" s="35">
        <v>7</v>
      </c>
      <c r="Z90" s="35" t="s">
        <v>807</v>
      </c>
      <c r="AA90" s="35">
        <v>1000</v>
      </c>
      <c r="AB90" s="35">
        <v>5</v>
      </c>
      <c r="AD90" s="38">
        <v>2700000</v>
      </c>
      <c r="AE90" s="35">
        <v>500000</v>
      </c>
      <c r="AF90" s="35">
        <v>500</v>
      </c>
      <c r="AG90" s="35">
        <v>0</v>
      </c>
      <c r="AH90" s="35">
        <v>40508</v>
      </c>
      <c r="AI90" s="35" t="s">
        <v>826</v>
      </c>
      <c r="AJ90" s="35">
        <v>1000</v>
      </c>
      <c r="AK90" s="35">
        <v>75600</v>
      </c>
      <c r="AL90" s="36">
        <v>1000</v>
      </c>
      <c r="AM90" s="35">
        <v>500</v>
      </c>
      <c r="AN90" s="35">
        <v>600</v>
      </c>
      <c r="AO90" s="35">
        <v>2500</v>
      </c>
      <c r="AP90" s="35" t="s">
        <v>155</v>
      </c>
      <c r="AQ90" s="35">
        <v>100</v>
      </c>
      <c r="AR90" s="38" t="s">
        <v>809</v>
      </c>
      <c r="AS90" s="35">
        <v>2000</v>
      </c>
      <c r="AT90" s="38">
        <v>10800</v>
      </c>
      <c r="AU90" s="38">
        <v>2700000</v>
      </c>
      <c r="AV90" s="35">
        <v>200000</v>
      </c>
      <c r="BA90" s="35" t="s">
        <v>157</v>
      </c>
      <c r="BB90" s="35" t="s">
        <v>918</v>
      </c>
      <c r="BC90" s="48"/>
      <c r="BD90" s="35" t="s">
        <v>811</v>
      </c>
      <c r="BE90" s="35">
        <v>1</v>
      </c>
      <c r="BF90" s="35" t="s">
        <v>160</v>
      </c>
      <c r="BG90" s="35" t="s">
        <v>161</v>
      </c>
      <c r="BH90" s="35" t="s">
        <v>162</v>
      </c>
      <c r="BI90" s="53"/>
      <c r="BJ90" s="35">
        <v>7200</v>
      </c>
      <c r="BK90" s="35">
        <v>1800</v>
      </c>
      <c r="BL90" s="35">
        <f t="shared" si="1"/>
        <v>565</v>
      </c>
      <c r="BM90" s="35">
        <v>5</v>
      </c>
      <c r="BN90" s="35" t="s">
        <v>157</v>
      </c>
      <c r="BO90" s="35" t="s">
        <v>919</v>
      </c>
      <c r="BP90" s="55" t="s">
        <v>157</v>
      </c>
      <c r="BQ90" s="35" t="s">
        <v>920</v>
      </c>
    </row>
    <row r="91" spans="1:69" s="35" customFormat="1" x14ac:dyDescent="0.45">
      <c r="A91" s="35">
        <v>40508</v>
      </c>
      <c r="B91" s="35" t="s">
        <v>927</v>
      </c>
      <c r="C91" s="35" t="s">
        <v>141</v>
      </c>
      <c r="D91" s="35" t="s">
        <v>142</v>
      </c>
      <c r="E91" s="35" t="s">
        <v>736</v>
      </c>
      <c r="F91" s="35" t="s">
        <v>144</v>
      </c>
      <c r="G91" s="35" t="s">
        <v>145</v>
      </c>
      <c r="H91" s="35" t="s">
        <v>146</v>
      </c>
      <c r="J91" s="35" t="s">
        <v>147</v>
      </c>
      <c r="K91" s="36" t="s">
        <v>916</v>
      </c>
      <c r="L91" s="35" t="s">
        <v>149</v>
      </c>
      <c r="M91" s="35">
        <v>4100000</v>
      </c>
      <c r="N91" s="36">
        <v>1</v>
      </c>
      <c r="O91" s="36" t="s">
        <v>150</v>
      </c>
      <c r="P91" s="35">
        <v>400</v>
      </c>
      <c r="Q91" s="35" t="s">
        <v>823</v>
      </c>
      <c r="R91" s="36" t="s">
        <v>917</v>
      </c>
      <c r="T91" s="35">
        <v>8</v>
      </c>
      <c r="Z91" s="35" t="s">
        <v>807</v>
      </c>
      <c r="AA91" s="35">
        <v>1000</v>
      </c>
      <c r="AB91" s="35">
        <v>5</v>
      </c>
      <c r="AD91" s="38">
        <v>2700000</v>
      </c>
      <c r="AE91" s="35">
        <v>500000</v>
      </c>
      <c r="AF91" s="35">
        <v>500</v>
      </c>
      <c r="AG91" s="35">
        <v>0</v>
      </c>
      <c r="AH91" s="35">
        <v>40509</v>
      </c>
      <c r="AI91" s="35" t="s">
        <v>828</v>
      </c>
      <c r="AJ91" s="35">
        <v>1000</v>
      </c>
      <c r="AK91" s="35">
        <v>86400</v>
      </c>
      <c r="AL91" s="36">
        <v>1000</v>
      </c>
      <c r="AM91" s="35">
        <v>500</v>
      </c>
      <c r="AN91" s="35">
        <v>600</v>
      </c>
      <c r="AO91" s="35">
        <v>2500</v>
      </c>
      <c r="AP91" s="35" t="s">
        <v>155</v>
      </c>
      <c r="AQ91" s="35">
        <v>100</v>
      </c>
      <c r="AR91" s="38" t="s">
        <v>809</v>
      </c>
      <c r="AS91" s="35">
        <v>2000</v>
      </c>
      <c r="AT91" s="38">
        <v>10800</v>
      </c>
      <c r="AU91" s="38">
        <v>2700000</v>
      </c>
      <c r="AV91" s="35">
        <v>200000</v>
      </c>
      <c r="BA91" s="35" t="s">
        <v>157</v>
      </c>
      <c r="BB91" s="35" t="s">
        <v>918</v>
      </c>
      <c r="BC91" s="48"/>
      <c r="BD91" s="35" t="s">
        <v>811</v>
      </c>
      <c r="BE91" s="35">
        <v>1</v>
      </c>
      <c r="BF91" s="35" t="s">
        <v>160</v>
      </c>
      <c r="BG91" s="35" t="s">
        <v>161</v>
      </c>
      <c r="BH91" s="35" t="s">
        <v>162</v>
      </c>
      <c r="BI91" s="53"/>
      <c r="BJ91" s="35">
        <v>7200</v>
      </c>
      <c r="BK91" s="35">
        <v>1800</v>
      </c>
      <c r="BL91" s="35">
        <f t="shared" si="1"/>
        <v>610</v>
      </c>
      <c r="BM91" s="35">
        <v>5</v>
      </c>
      <c r="BN91" s="35" t="s">
        <v>157</v>
      </c>
      <c r="BO91" s="35" t="s">
        <v>919</v>
      </c>
      <c r="BP91" s="55" t="s">
        <v>157</v>
      </c>
      <c r="BQ91" s="35" t="s">
        <v>920</v>
      </c>
    </row>
    <row r="92" spans="1:69" s="35" customFormat="1" x14ac:dyDescent="0.45">
      <c r="A92" s="35">
        <v>40509</v>
      </c>
      <c r="B92" s="35" t="s">
        <v>928</v>
      </c>
      <c r="C92" s="35" t="s">
        <v>141</v>
      </c>
      <c r="D92" s="35" t="s">
        <v>142</v>
      </c>
      <c r="E92" s="35" t="s">
        <v>736</v>
      </c>
      <c r="F92" s="35" t="s">
        <v>144</v>
      </c>
      <c r="G92" s="35" t="s">
        <v>145</v>
      </c>
      <c r="H92" s="35" t="s">
        <v>146</v>
      </c>
      <c r="J92" s="35" t="s">
        <v>147</v>
      </c>
      <c r="K92" s="36" t="s">
        <v>916</v>
      </c>
      <c r="L92" s="35" t="s">
        <v>149</v>
      </c>
      <c r="M92" s="35">
        <v>4300000</v>
      </c>
      <c r="N92" s="36">
        <v>1</v>
      </c>
      <c r="O92" s="36" t="s">
        <v>150</v>
      </c>
      <c r="P92" s="35">
        <v>450</v>
      </c>
      <c r="Q92" s="35" t="s">
        <v>823</v>
      </c>
      <c r="R92" s="36" t="s">
        <v>917</v>
      </c>
      <c r="T92" s="35">
        <v>9</v>
      </c>
      <c r="Z92" s="35" t="s">
        <v>807</v>
      </c>
      <c r="AA92" s="35">
        <v>1000</v>
      </c>
      <c r="AB92" s="35">
        <v>5</v>
      </c>
      <c r="AD92" s="38">
        <v>2700000</v>
      </c>
      <c r="AE92" s="35">
        <v>500000</v>
      </c>
      <c r="AF92" s="35">
        <v>500</v>
      </c>
      <c r="AG92" s="35">
        <v>0</v>
      </c>
      <c r="AH92" s="35">
        <v>40510</v>
      </c>
      <c r="AI92" s="35" t="s">
        <v>830</v>
      </c>
      <c r="AJ92" s="35">
        <v>1000</v>
      </c>
      <c r="AK92" s="35">
        <v>97200</v>
      </c>
      <c r="AL92" s="36">
        <v>1000</v>
      </c>
      <c r="AM92" s="35">
        <v>500</v>
      </c>
      <c r="AN92" s="35">
        <v>600</v>
      </c>
      <c r="AO92" s="35">
        <v>2500</v>
      </c>
      <c r="AP92" s="35" t="s">
        <v>155</v>
      </c>
      <c r="AQ92" s="35">
        <v>100</v>
      </c>
      <c r="AR92" s="38" t="s">
        <v>809</v>
      </c>
      <c r="AS92" s="35">
        <v>2000</v>
      </c>
      <c r="AT92" s="38">
        <v>10800</v>
      </c>
      <c r="AU92" s="38">
        <v>2700000</v>
      </c>
      <c r="AV92" s="35">
        <v>200000</v>
      </c>
      <c r="BA92" s="35" t="s">
        <v>157</v>
      </c>
      <c r="BB92" s="35" t="s">
        <v>918</v>
      </c>
      <c r="BC92" s="48"/>
      <c r="BD92" s="35" t="s">
        <v>811</v>
      </c>
      <c r="BE92" s="35">
        <v>1</v>
      </c>
      <c r="BF92" s="35" t="s">
        <v>160</v>
      </c>
      <c r="BG92" s="35" t="s">
        <v>161</v>
      </c>
      <c r="BH92" s="35" t="s">
        <v>162</v>
      </c>
      <c r="BI92" s="53"/>
      <c r="BJ92" s="35">
        <v>7200</v>
      </c>
      <c r="BK92" s="35">
        <v>1800</v>
      </c>
      <c r="BL92" s="35">
        <f t="shared" si="1"/>
        <v>660</v>
      </c>
      <c r="BM92" s="35">
        <v>5</v>
      </c>
      <c r="BN92" s="35" t="s">
        <v>157</v>
      </c>
      <c r="BO92" s="35" t="s">
        <v>919</v>
      </c>
      <c r="BP92" s="55" t="s">
        <v>157</v>
      </c>
      <c r="BQ92" s="35" t="s">
        <v>920</v>
      </c>
    </row>
    <row r="93" spans="1:69" s="35" customFormat="1" x14ac:dyDescent="0.45">
      <c r="A93" s="35">
        <v>40510</v>
      </c>
      <c r="B93" s="35" t="s">
        <v>929</v>
      </c>
      <c r="C93" s="35" t="s">
        <v>141</v>
      </c>
      <c r="D93" s="35" t="s">
        <v>142</v>
      </c>
      <c r="E93" s="35" t="s">
        <v>736</v>
      </c>
      <c r="F93" s="35" t="s">
        <v>144</v>
      </c>
      <c r="G93" s="35" t="s">
        <v>145</v>
      </c>
      <c r="H93" s="35" t="s">
        <v>146</v>
      </c>
      <c r="J93" s="35" t="s">
        <v>147</v>
      </c>
      <c r="K93" s="36" t="s">
        <v>916</v>
      </c>
      <c r="L93" s="35" t="s">
        <v>149</v>
      </c>
      <c r="M93" s="35">
        <v>4500000</v>
      </c>
      <c r="N93" s="36">
        <v>1</v>
      </c>
      <c r="O93" s="36" t="s">
        <v>150</v>
      </c>
      <c r="P93" s="35">
        <v>500</v>
      </c>
      <c r="Q93" s="35" t="s">
        <v>823</v>
      </c>
      <c r="R93" s="36" t="s">
        <v>917</v>
      </c>
      <c r="T93" s="35">
        <v>10</v>
      </c>
      <c r="Z93" s="35" t="s">
        <v>807</v>
      </c>
      <c r="AA93" s="35">
        <v>1000</v>
      </c>
      <c r="AB93" s="35">
        <v>5</v>
      </c>
      <c r="AD93" s="38">
        <v>2700000</v>
      </c>
      <c r="AE93" s="35">
        <v>500000</v>
      </c>
      <c r="AF93" s="35">
        <v>500</v>
      </c>
      <c r="AG93" s="35">
        <v>0</v>
      </c>
      <c r="AH93" s="35">
        <v>40511</v>
      </c>
      <c r="AI93" s="35" t="s">
        <v>832</v>
      </c>
      <c r="AJ93" s="35">
        <v>1000</v>
      </c>
      <c r="AK93" s="35">
        <v>108000</v>
      </c>
      <c r="AL93" s="36">
        <v>1000</v>
      </c>
      <c r="AM93" s="35">
        <v>500</v>
      </c>
      <c r="AN93" s="35">
        <v>600</v>
      </c>
      <c r="AO93" s="35">
        <v>2500</v>
      </c>
      <c r="AP93" s="35" t="s">
        <v>155</v>
      </c>
      <c r="AQ93" s="35">
        <v>100</v>
      </c>
      <c r="AR93" s="38" t="s">
        <v>809</v>
      </c>
      <c r="AS93" s="35">
        <v>2000</v>
      </c>
      <c r="AT93" s="38">
        <v>10800</v>
      </c>
      <c r="AU93" s="38">
        <v>2700000</v>
      </c>
      <c r="AV93" s="35">
        <v>200000</v>
      </c>
      <c r="BA93" s="35" t="s">
        <v>157</v>
      </c>
      <c r="BB93" s="35" t="s">
        <v>918</v>
      </c>
      <c r="BC93" s="48"/>
      <c r="BD93" s="35" t="s">
        <v>811</v>
      </c>
      <c r="BE93" s="35">
        <v>1</v>
      </c>
      <c r="BF93" s="35" t="s">
        <v>160</v>
      </c>
      <c r="BG93" s="35" t="s">
        <v>161</v>
      </c>
      <c r="BH93" s="35" t="s">
        <v>162</v>
      </c>
      <c r="BI93" s="53"/>
      <c r="BJ93" s="35">
        <v>7200</v>
      </c>
      <c r="BK93" s="35">
        <v>1800</v>
      </c>
      <c r="BL93" s="35">
        <f t="shared" si="1"/>
        <v>715</v>
      </c>
      <c r="BM93" s="35">
        <v>5</v>
      </c>
      <c r="BN93" s="35" t="s">
        <v>157</v>
      </c>
      <c r="BO93" s="35" t="s">
        <v>919</v>
      </c>
      <c r="BP93" s="55" t="s">
        <v>157</v>
      </c>
      <c r="BQ93" s="35" t="s">
        <v>920</v>
      </c>
    </row>
    <row r="94" spans="1:69" s="35" customFormat="1" x14ac:dyDescent="0.45">
      <c r="A94" s="35">
        <v>40511</v>
      </c>
      <c r="B94" s="35" t="s">
        <v>930</v>
      </c>
      <c r="C94" s="35" t="s">
        <v>141</v>
      </c>
      <c r="D94" s="35" t="s">
        <v>142</v>
      </c>
      <c r="E94" s="35" t="s">
        <v>736</v>
      </c>
      <c r="F94" s="35" t="s">
        <v>144</v>
      </c>
      <c r="G94" s="35" t="s">
        <v>145</v>
      </c>
      <c r="H94" s="35" t="s">
        <v>146</v>
      </c>
      <c r="J94" s="35" t="s">
        <v>147</v>
      </c>
      <c r="K94" s="35" t="s">
        <v>916</v>
      </c>
      <c r="L94" s="35" t="s">
        <v>149</v>
      </c>
      <c r="M94" s="35">
        <v>4700000</v>
      </c>
      <c r="N94" s="36">
        <v>1</v>
      </c>
      <c r="O94" s="35" t="s">
        <v>150</v>
      </c>
      <c r="P94" s="35">
        <v>600</v>
      </c>
      <c r="Q94" s="35" t="s">
        <v>834</v>
      </c>
      <c r="R94" s="35" t="s">
        <v>917</v>
      </c>
      <c r="T94" s="35">
        <v>11</v>
      </c>
      <c r="Z94" s="35" t="s">
        <v>807</v>
      </c>
      <c r="AA94" s="35">
        <v>1000</v>
      </c>
      <c r="AB94" s="35">
        <v>5</v>
      </c>
      <c r="AD94" s="38">
        <v>2700000</v>
      </c>
      <c r="AE94" s="35">
        <v>500000</v>
      </c>
      <c r="AF94" s="35">
        <v>500</v>
      </c>
      <c r="AG94" s="35">
        <v>0</v>
      </c>
      <c r="AH94" s="35">
        <v>40512</v>
      </c>
      <c r="AI94" s="35" t="s">
        <v>835</v>
      </c>
      <c r="AJ94" s="35">
        <v>1000</v>
      </c>
      <c r="AK94" s="35">
        <v>118800</v>
      </c>
      <c r="AL94" s="36">
        <v>1000</v>
      </c>
      <c r="AM94" s="35">
        <v>500</v>
      </c>
      <c r="AN94" s="35">
        <v>600</v>
      </c>
      <c r="AO94" s="35">
        <v>2500</v>
      </c>
      <c r="AP94" s="35" t="s">
        <v>155</v>
      </c>
      <c r="AQ94" s="35">
        <v>100</v>
      </c>
      <c r="AR94" s="38" t="s">
        <v>809</v>
      </c>
      <c r="AS94" s="35">
        <v>2000</v>
      </c>
      <c r="AT94" s="38">
        <v>10800</v>
      </c>
      <c r="AU94" s="38">
        <v>2700000</v>
      </c>
      <c r="AV94" s="35">
        <v>200000</v>
      </c>
      <c r="BA94" s="35" t="s">
        <v>157</v>
      </c>
      <c r="BB94" s="35" t="s">
        <v>918</v>
      </c>
      <c r="BC94" s="48"/>
      <c r="BD94" s="35" t="s">
        <v>811</v>
      </c>
      <c r="BE94" s="35">
        <v>1</v>
      </c>
      <c r="BF94" s="35" t="s">
        <v>160</v>
      </c>
      <c r="BG94" s="35" t="s">
        <v>161</v>
      </c>
      <c r="BH94" s="35" t="s">
        <v>162</v>
      </c>
      <c r="BI94" s="53"/>
      <c r="BJ94" s="35">
        <v>7200</v>
      </c>
      <c r="BK94" s="35">
        <v>1800</v>
      </c>
      <c r="BL94" s="35">
        <f t="shared" si="1"/>
        <v>775</v>
      </c>
      <c r="BM94" s="35">
        <v>5</v>
      </c>
      <c r="BN94" s="35" t="s">
        <v>157</v>
      </c>
      <c r="BO94" s="35" t="s">
        <v>919</v>
      </c>
      <c r="BP94" s="55" t="s">
        <v>157</v>
      </c>
      <c r="BQ94" s="35" t="s">
        <v>920</v>
      </c>
    </row>
    <row r="95" spans="1:69" s="35" customFormat="1" x14ac:dyDescent="0.45">
      <c r="A95" s="35">
        <v>40512</v>
      </c>
      <c r="B95" s="35" t="s">
        <v>931</v>
      </c>
      <c r="C95" s="35" t="s">
        <v>141</v>
      </c>
      <c r="D95" s="35" t="s">
        <v>142</v>
      </c>
      <c r="E95" s="35" t="s">
        <v>736</v>
      </c>
      <c r="F95" s="35" t="s">
        <v>144</v>
      </c>
      <c r="G95" s="35" t="s">
        <v>145</v>
      </c>
      <c r="H95" s="35" t="s">
        <v>146</v>
      </c>
      <c r="J95" s="35" t="s">
        <v>147</v>
      </c>
      <c r="K95" s="36" t="s">
        <v>916</v>
      </c>
      <c r="L95" s="35" t="s">
        <v>149</v>
      </c>
      <c r="M95" s="35">
        <v>4900000</v>
      </c>
      <c r="N95" s="36">
        <v>1</v>
      </c>
      <c r="O95" s="36" t="s">
        <v>150</v>
      </c>
      <c r="P95" s="35">
        <v>700</v>
      </c>
      <c r="Q95" s="35" t="s">
        <v>834</v>
      </c>
      <c r="R95" s="36" t="s">
        <v>917</v>
      </c>
      <c r="T95" s="35">
        <v>12</v>
      </c>
      <c r="Z95" s="35" t="s">
        <v>807</v>
      </c>
      <c r="AA95" s="35">
        <v>1000</v>
      </c>
      <c r="AB95" s="35">
        <v>5</v>
      </c>
      <c r="AD95" s="38">
        <v>2700000</v>
      </c>
      <c r="AE95" s="35">
        <v>500000</v>
      </c>
      <c r="AF95" s="35">
        <v>500</v>
      </c>
      <c r="AG95" s="35">
        <v>0</v>
      </c>
      <c r="AH95" s="35">
        <v>40513</v>
      </c>
      <c r="AI95" s="35" t="s">
        <v>837</v>
      </c>
      <c r="AJ95" s="35">
        <v>1000</v>
      </c>
      <c r="AK95" s="35">
        <v>129600</v>
      </c>
      <c r="AL95" s="36">
        <v>1000</v>
      </c>
      <c r="AM95" s="35">
        <v>500</v>
      </c>
      <c r="AN95" s="35">
        <v>600</v>
      </c>
      <c r="AO95" s="35">
        <v>2500</v>
      </c>
      <c r="AP95" s="35" t="s">
        <v>155</v>
      </c>
      <c r="AQ95" s="35">
        <v>100</v>
      </c>
      <c r="AR95" s="38" t="s">
        <v>809</v>
      </c>
      <c r="AS95" s="35">
        <v>2000</v>
      </c>
      <c r="AT95" s="38">
        <v>10800</v>
      </c>
      <c r="AU95" s="38">
        <v>2700000</v>
      </c>
      <c r="AV95" s="35">
        <v>200000</v>
      </c>
      <c r="BA95" s="35" t="s">
        <v>157</v>
      </c>
      <c r="BB95" s="35" t="s">
        <v>918</v>
      </c>
      <c r="BC95" s="48"/>
      <c r="BD95" s="35" t="s">
        <v>811</v>
      </c>
      <c r="BE95" s="35">
        <v>1</v>
      </c>
      <c r="BF95" s="35" t="s">
        <v>160</v>
      </c>
      <c r="BG95" s="35" t="s">
        <v>161</v>
      </c>
      <c r="BH95" s="35" t="s">
        <v>162</v>
      </c>
      <c r="BI95" s="53"/>
      <c r="BJ95" s="35">
        <v>7200</v>
      </c>
      <c r="BK95" s="35">
        <v>1800</v>
      </c>
      <c r="BL95" s="35">
        <f t="shared" si="1"/>
        <v>840</v>
      </c>
      <c r="BM95" s="35">
        <v>5</v>
      </c>
      <c r="BN95" s="35" t="s">
        <v>157</v>
      </c>
      <c r="BO95" s="35" t="s">
        <v>919</v>
      </c>
      <c r="BP95" s="55" t="s">
        <v>157</v>
      </c>
      <c r="BQ95" s="35" t="s">
        <v>920</v>
      </c>
    </row>
    <row r="96" spans="1:69" s="35" customFormat="1" x14ac:dyDescent="0.45">
      <c r="A96" s="35">
        <v>40513</v>
      </c>
      <c r="B96" s="35" t="s">
        <v>932</v>
      </c>
      <c r="C96" s="35" t="s">
        <v>141</v>
      </c>
      <c r="D96" s="35" t="s">
        <v>142</v>
      </c>
      <c r="E96" s="35" t="s">
        <v>736</v>
      </c>
      <c r="F96" s="35" t="s">
        <v>144</v>
      </c>
      <c r="G96" s="35" t="s">
        <v>145</v>
      </c>
      <c r="H96" s="35" t="s">
        <v>146</v>
      </c>
      <c r="J96" s="35" t="s">
        <v>147</v>
      </c>
      <c r="K96" s="36" t="s">
        <v>916</v>
      </c>
      <c r="L96" s="35" t="s">
        <v>149</v>
      </c>
      <c r="M96" s="35">
        <v>5100000</v>
      </c>
      <c r="N96" s="36">
        <v>1</v>
      </c>
      <c r="O96" s="36" t="s">
        <v>150</v>
      </c>
      <c r="P96" s="35">
        <v>800</v>
      </c>
      <c r="Q96" s="35" t="s">
        <v>834</v>
      </c>
      <c r="R96" s="36" t="s">
        <v>917</v>
      </c>
      <c r="T96" s="35">
        <v>13</v>
      </c>
      <c r="Z96" s="35" t="s">
        <v>807</v>
      </c>
      <c r="AA96" s="35">
        <v>1000</v>
      </c>
      <c r="AB96" s="35">
        <v>5</v>
      </c>
      <c r="AD96" s="38">
        <v>2700000</v>
      </c>
      <c r="AE96" s="35">
        <v>500000</v>
      </c>
      <c r="AF96" s="35">
        <v>500</v>
      </c>
      <c r="AG96" s="35">
        <v>0</v>
      </c>
      <c r="AH96" s="35">
        <v>40514</v>
      </c>
      <c r="AI96" s="35" t="s">
        <v>839</v>
      </c>
      <c r="AJ96" s="35">
        <v>1000</v>
      </c>
      <c r="AK96" s="35">
        <v>140400</v>
      </c>
      <c r="AL96" s="36">
        <v>1000</v>
      </c>
      <c r="AM96" s="35">
        <v>500</v>
      </c>
      <c r="AN96" s="35">
        <v>600</v>
      </c>
      <c r="AO96" s="35">
        <v>2500</v>
      </c>
      <c r="AP96" s="35" t="s">
        <v>155</v>
      </c>
      <c r="AQ96" s="35">
        <v>100</v>
      </c>
      <c r="AR96" s="38" t="s">
        <v>809</v>
      </c>
      <c r="AS96" s="35">
        <v>2000</v>
      </c>
      <c r="AT96" s="38">
        <v>10800</v>
      </c>
      <c r="AU96" s="38">
        <v>2700000</v>
      </c>
      <c r="AV96" s="35">
        <v>200000</v>
      </c>
      <c r="BA96" s="35" t="s">
        <v>157</v>
      </c>
      <c r="BB96" s="35" t="s">
        <v>918</v>
      </c>
      <c r="BC96" s="48"/>
      <c r="BD96" s="35" t="s">
        <v>811</v>
      </c>
      <c r="BE96" s="35">
        <v>1</v>
      </c>
      <c r="BF96" s="35" t="s">
        <v>160</v>
      </c>
      <c r="BG96" s="35" t="s">
        <v>161</v>
      </c>
      <c r="BH96" s="35" t="s">
        <v>162</v>
      </c>
      <c r="BI96" s="53"/>
      <c r="BJ96" s="35">
        <v>7200</v>
      </c>
      <c r="BK96" s="35">
        <v>1800</v>
      </c>
      <c r="BL96" s="35">
        <f t="shared" si="1"/>
        <v>910</v>
      </c>
      <c r="BM96" s="35">
        <v>5</v>
      </c>
      <c r="BN96" s="35" t="s">
        <v>157</v>
      </c>
      <c r="BO96" s="35" t="s">
        <v>919</v>
      </c>
      <c r="BP96" s="55" t="s">
        <v>157</v>
      </c>
      <c r="BQ96" s="35" t="s">
        <v>920</v>
      </c>
    </row>
    <row r="97" spans="1:69" s="35" customFormat="1" x14ac:dyDescent="0.45">
      <c r="A97" s="35">
        <v>40514</v>
      </c>
      <c r="B97" s="35" t="s">
        <v>933</v>
      </c>
      <c r="C97" s="35" t="s">
        <v>141</v>
      </c>
      <c r="D97" s="35" t="s">
        <v>142</v>
      </c>
      <c r="E97" s="35" t="s">
        <v>736</v>
      </c>
      <c r="F97" s="35" t="s">
        <v>144</v>
      </c>
      <c r="G97" s="35" t="s">
        <v>145</v>
      </c>
      <c r="H97" s="35" t="s">
        <v>146</v>
      </c>
      <c r="J97" s="35" t="s">
        <v>147</v>
      </c>
      <c r="K97" s="36" t="s">
        <v>916</v>
      </c>
      <c r="L97" s="35" t="s">
        <v>149</v>
      </c>
      <c r="M97" s="35">
        <v>5300000</v>
      </c>
      <c r="N97" s="36">
        <v>1</v>
      </c>
      <c r="O97" s="36" t="s">
        <v>150</v>
      </c>
      <c r="P97" s="35">
        <v>900</v>
      </c>
      <c r="Q97" s="35" t="s">
        <v>834</v>
      </c>
      <c r="R97" s="36" t="s">
        <v>917</v>
      </c>
      <c r="T97" s="35">
        <v>14</v>
      </c>
      <c r="Z97" s="35" t="s">
        <v>807</v>
      </c>
      <c r="AA97" s="35">
        <v>1000</v>
      </c>
      <c r="AB97" s="35">
        <v>5</v>
      </c>
      <c r="AD97" s="38">
        <v>2700000</v>
      </c>
      <c r="AE97" s="35">
        <v>500000</v>
      </c>
      <c r="AF97" s="35">
        <v>500</v>
      </c>
      <c r="AG97" s="35">
        <v>0</v>
      </c>
      <c r="AH97" s="35">
        <v>40515</v>
      </c>
      <c r="AI97" s="35" t="s">
        <v>841</v>
      </c>
      <c r="AJ97" s="35">
        <v>1000</v>
      </c>
      <c r="AK97" s="35">
        <v>151200</v>
      </c>
      <c r="AL97" s="36">
        <v>1000</v>
      </c>
      <c r="AM97" s="35">
        <v>500</v>
      </c>
      <c r="AN97" s="35">
        <v>600</v>
      </c>
      <c r="AO97" s="35">
        <v>2500</v>
      </c>
      <c r="AP97" s="35" t="s">
        <v>155</v>
      </c>
      <c r="AQ97" s="35">
        <v>100</v>
      </c>
      <c r="AR97" s="38" t="s">
        <v>809</v>
      </c>
      <c r="AS97" s="35">
        <v>2000</v>
      </c>
      <c r="AT97" s="38">
        <v>10800</v>
      </c>
      <c r="AU97" s="38">
        <v>2700000</v>
      </c>
      <c r="AV97" s="35">
        <v>200000</v>
      </c>
      <c r="BA97" s="35" t="s">
        <v>157</v>
      </c>
      <c r="BB97" s="35" t="s">
        <v>918</v>
      </c>
      <c r="BC97" s="48"/>
      <c r="BD97" s="35" t="s">
        <v>811</v>
      </c>
      <c r="BE97" s="35">
        <v>1</v>
      </c>
      <c r="BF97" s="35" t="s">
        <v>160</v>
      </c>
      <c r="BG97" s="35" t="s">
        <v>161</v>
      </c>
      <c r="BH97" s="35" t="s">
        <v>162</v>
      </c>
      <c r="BI97" s="53"/>
      <c r="BJ97" s="35">
        <v>7200</v>
      </c>
      <c r="BK97" s="35">
        <v>1800</v>
      </c>
      <c r="BL97" s="35">
        <f t="shared" si="1"/>
        <v>985</v>
      </c>
      <c r="BM97" s="35">
        <v>5</v>
      </c>
      <c r="BN97" s="35" t="s">
        <v>157</v>
      </c>
      <c r="BO97" s="35" t="s">
        <v>919</v>
      </c>
      <c r="BP97" s="55" t="s">
        <v>157</v>
      </c>
      <c r="BQ97" s="35" t="s">
        <v>920</v>
      </c>
    </row>
    <row r="98" spans="1:69" s="35" customFormat="1" x14ac:dyDescent="0.45">
      <c r="A98" s="35">
        <v>40515</v>
      </c>
      <c r="B98" s="35" t="s">
        <v>934</v>
      </c>
      <c r="C98" s="35" t="s">
        <v>141</v>
      </c>
      <c r="D98" s="35" t="s">
        <v>142</v>
      </c>
      <c r="E98" s="35" t="s">
        <v>736</v>
      </c>
      <c r="F98" s="35" t="s">
        <v>144</v>
      </c>
      <c r="G98" s="35" t="s">
        <v>145</v>
      </c>
      <c r="H98" s="35" t="s">
        <v>146</v>
      </c>
      <c r="J98" s="35" t="s">
        <v>147</v>
      </c>
      <c r="K98" s="36" t="s">
        <v>916</v>
      </c>
      <c r="L98" s="35" t="s">
        <v>149</v>
      </c>
      <c r="M98" s="35">
        <v>5500000</v>
      </c>
      <c r="N98" s="36">
        <v>1</v>
      </c>
      <c r="O98" s="36" t="s">
        <v>150</v>
      </c>
      <c r="P98" s="35">
        <v>1000</v>
      </c>
      <c r="Q98" s="35" t="s">
        <v>834</v>
      </c>
      <c r="R98" s="36" t="s">
        <v>917</v>
      </c>
      <c r="T98" s="35">
        <v>15</v>
      </c>
      <c r="Z98" s="35" t="s">
        <v>807</v>
      </c>
      <c r="AA98" s="35">
        <v>1000</v>
      </c>
      <c r="AB98" s="35">
        <v>5</v>
      </c>
      <c r="AD98" s="38">
        <v>2700000</v>
      </c>
      <c r="AE98" s="35">
        <v>500000</v>
      </c>
      <c r="AF98" s="35">
        <v>500</v>
      </c>
      <c r="AG98" s="35">
        <v>0</v>
      </c>
      <c r="AH98" s="35">
        <v>40516</v>
      </c>
      <c r="AI98" s="35" t="s">
        <v>843</v>
      </c>
      <c r="AJ98" s="35">
        <v>1000</v>
      </c>
      <c r="AK98" s="35">
        <v>162000</v>
      </c>
      <c r="AL98" s="36">
        <v>1000</v>
      </c>
      <c r="AM98" s="35">
        <v>500</v>
      </c>
      <c r="AN98" s="35">
        <v>600</v>
      </c>
      <c r="AO98" s="35">
        <v>2500</v>
      </c>
      <c r="AP98" s="35" t="s">
        <v>155</v>
      </c>
      <c r="AQ98" s="35">
        <v>100</v>
      </c>
      <c r="AR98" s="38" t="s">
        <v>809</v>
      </c>
      <c r="AS98" s="35">
        <v>2000</v>
      </c>
      <c r="AT98" s="38">
        <v>10800</v>
      </c>
      <c r="AU98" s="38">
        <v>2700000</v>
      </c>
      <c r="AV98" s="35">
        <v>200000</v>
      </c>
      <c r="BA98" s="35" t="s">
        <v>157</v>
      </c>
      <c r="BB98" s="35" t="s">
        <v>918</v>
      </c>
      <c r="BC98" s="48"/>
      <c r="BD98" s="35" t="s">
        <v>811</v>
      </c>
      <c r="BE98" s="35">
        <v>1</v>
      </c>
      <c r="BF98" s="35" t="s">
        <v>160</v>
      </c>
      <c r="BG98" s="35" t="s">
        <v>161</v>
      </c>
      <c r="BH98" s="35" t="s">
        <v>162</v>
      </c>
      <c r="BI98" s="53"/>
      <c r="BJ98" s="35">
        <v>7200</v>
      </c>
      <c r="BK98" s="35">
        <v>1800</v>
      </c>
      <c r="BL98" s="35">
        <f t="shared" si="1"/>
        <v>1065</v>
      </c>
      <c r="BM98" s="35">
        <v>5</v>
      </c>
      <c r="BN98" s="35" t="s">
        <v>157</v>
      </c>
      <c r="BO98" s="35" t="s">
        <v>919</v>
      </c>
      <c r="BP98" s="55" t="s">
        <v>157</v>
      </c>
      <c r="BQ98" s="35" t="s">
        <v>920</v>
      </c>
    </row>
    <row r="99" spans="1:69" s="35" customFormat="1" x14ac:dyDescent="0.45">
      <c r="A99" s="35">
        <v>40516</v>
      </c>
      <c r="B99" s="35" t="s">
        <v>935</v>
      </c>
      <c r="C99" s="35" t="s">
        <v>141</v>
      </c>
      <c r="D99" s="35" t="s">
        <v>142</v>
      </c>
      <c r="E99" s="35" t="s">
        <v>736</v>
      </c>
      <c r="F99" s="35" t="s">
        <v>144</v>
      </c>
      <c r="G99" s="35" t="s">
        <v>145</v>
      </c>
      <c r="H99" s="35" t="s">
        <v>146</v>
      </c>
      <c r="J99" s="35" t="s">
        <v>147</v>
      </c>
      <c r="K99" s="36" t="s">
        <v>916</v>
      </c>
      <c r="L99" s="35" t="s">
        <v>149</v>
      </c>
      <c r="M99" s="35">
        <v>5700000</v>
      </c>
      <c r="N99" s="36">
        <v>1</v>
      </c>
      <c r="O99" s="36" t="s">
        <v>150</v>
      </c>
      <c r="P99" s="35">
        <v>1200</v>
      </c>
      <c r="Q99" s="35" t="s">
        <v>845</v>
      </c>
      <c r="R99" s="36" t="s">
        <v>917</v>
      </c>
      <c r="T99" s="35">
        <v>16</v>
      </c>
      <c r="Z99" s="35" t="s">
        <v>807</v>
      </c>
      <c r="AA99" s="35">
        <v>1000</v>
      </c>
      <c r="AB99" s="35">
        <v>5</v>
      </c>
      <c r="AD99" s="38">
        <v>2700000</v>
      </c>
      <c r="AE99" s="35">
        <v>500000</v>
      </c>
      <c r="AF99" s="35">
        <v>500</v>
      </c>
      <c r="AG99" s="35">
        <v>0</v>
      </c>
      <c r="AH99" s="35">
        <v>40517</v>
      </c>
      <c r="AI99" s="35" t="s">
        <v>846</v>
      </c>
      <c r="AJ99" s="35">
        <v>1000</v>
      </c>
      <c r="AK99" s="35">
        <v>172800</v>
      </c>
      <c r="AL99" s="36">
        <v>1000</v>
      </c>
      <c r="AM99" s="35">
        <v>500</v>
      </c>
      <c r="AN99" s="35">
        <v>600</v>
      </c>
      <c r="AO99" s="35">
        <v>2500</v>
      </c>
      <c r="AP99" s="35" t="s">
        <v>155</v>
      </c>
      <c r="AQ99" s="35">
        <v>100</v>
      </c>
      <c r="AR99" s="38" t="s">
        <v>809</v>
      </c>
      <c r="AS99" s="35">
        <v>2000</v>
      </c>
      <c r="AT99" s="38">
        <v>10800</v>
      </c>
      <c r="AU99" s="38">
        <v>2700000</v>
      </c>
      <c r="AV99" s="35">
        <v>200000</v>
      </c>
      <c r="BA99" s="35" t="s">
        <v>157</v>
      </c>
      <c r="BB99" s="35" t="s">
        <v>918</v>
      </c>
      <c r="BC99" s="48"/>
      <c r="BD99" s="35" t="s">
        <v>811</v>
      </c>
      <c r="BE99" s="35">
        <v>1</v>
      </c>
      <c r="BF99" s="35" t="s">
        <v>160</v>
      </c>
      <c r="BG99" s="35" t="s">
        <v>161</v>
      </c>
      <c r="BH99" s="35" t="s">
        <v>162</v>
      </c>
      <c r="BI99" s="53"/>
      <c r="BJ99" s="35">
        <v>7200</v>
      </c>
      <c r="BK99" s="35">
        <v>1800</v>
      </c>
      <c r="BL99" s="35">
        <f t="shared" si="1"/>
        <v>1150</v>
      </c>
      <c r="BM99" s="35">
        <v>5</v>
      </c>
      <c r="BN99" s="35" t="s">
        <v>157</v>
      </c>
      <c r="BO99" s="35" t="s">
        <v>919</v>
      </c>
      <c r="BP99" s="55" t="s">
        <v>157</v>
      </c>
      <c r="BQ99" s="35" t="s">
        <v>920</v>
      </c>
    </row>
    <row r="100" spans="1:69" s="35" customFormat="1" x14ac:dyDescent="0.45">
      <c r="A100" s="35">
        <v>40517</v>
      </c>
      <c r="B100" s="35" t="s">
        <v>936</v>
      </c>
      <c r="C100" s="35" t="s">
        <v>141</v>
      </c>
      <c r="D100" s="35" t="s">
        <v>142</v>
      </c>
      <c r="E100" s="35" t="s">
        <v>736</v>
      </c>
      <c r="F100" s="35" t="s">
        <v>144</v>
      </c>
      <c r="G100" s="35" t="s">
        <v>145</v>
      </c>
      <c r="H100" s="35" t="s">
        <v>146</v>
      </c>
      <c r="J100" s="35" t="s">
        <v>147</v>
      </c>
      <c r="K100" s="36" t="s">
        <v>916</v>
      </c>
      <c r="L100" s="35" t="s">
        <v>149</v>
      </c>
      <c r="M100" s="35">
        <v>5900000</v>
      </c>
      <c r="N100" s="36">
        <v>1</v>
      </c>
      <c r="O100" s="36" t="s">
        <v>150</v>
      </c>
      <c r="P100" s="35">
        <v>1500</v>
      </c>
      <c r="Q100" s="35" t="s">
        <v>845</v>
      </c>
      <c r="R100" s="36" t="s">
        <v>917</v>
      </c>
      <c r="T100" s="35">
        <v>17</v>
      </c>
      <c r="Z100" s="35" t="s">
        <v>807</v>
      </c>
      <c r="AA100" s="35">
        <v>1000</v>
      </c>
      <c r="AB100" s="35">
        <v>5</v>
      </c>
      <c r="AD100" s="38">
        <v>2700000</v>
      </c>
      <c r="AE100" s="35">
        <v>500000</v>
      </c>
      <c r="AF100" s="35">
        <v>500</v>
      </c>
      <c r="AG100" s="35">
        <v>0</v>
      </c>
      <c r="AH100" s="35">
        <v>40518</v>
      </c>
      <c r="AI100" s="35" t="s">
        <v>848</v>
      </c>
      <c r="AJ100" s="35">
        <v>1000</v>
      </c>
      <c r="AK100" s="35">
        <v>183600</v>
      </c>
      <c r="AL100" s="36">
        <v>1000</v>
      </c>
      <c r="AM100" s="35">
        <v>500</v>
      </c>
      <c r="AN100" s="35">
        <v>600</v>
      </c>
      <c r="AO100" s="35">
        <v>2500</v>
      </c>
      <c r="AP100" s="35" t="s">
        <v>155</v>
      </c>
      <c r="AQ100" s="35">
        <v>100</v>
      </c>
      <c r="AR100" s="38" t="s">
        <v>809</v>
      </c>
      <c r="AS100" s="35">
        <v>2000</v>
      </c>
      <c r="AT100" s="38">
        <v>10800</v>
      </c>
      <c r="AU100" s="38">
        <v>2700000</v>
      </c>
      <c r="AV100" s="35">
        <v>200000</v>
      </c>
      <c r="BA100" s="35" t="s">
        <v>157</v>
      </c>
      <c r="BB100" s="35" t="s">
        <v>918</v>
      </c>
      <c r="BC100" s="48"/>
      <c r="BD100" s="35" t="s">
        <v>811</v>
      </c>
      <c r="BE100" s="35">
        <v>1</v>
      </c>
      <c r="BF100" s="35" t="s">
        <v>160</v>
      </c>
      <c r="BG100" s="35" t="s">
        <v>161</v>
      </c>
      <c r="BH100" s="35" t="s">
        <v>162</v>
      </c>
      <c r="BI100" s="53"/>
      <c r="BJ100" s="35">
        <v>7200</v>
      </c>
      <c r="BK100" s="35">
        <v>1800</v>
      </c>
      <c r="BL100" s="35">
        <f t="shared" si="1"/>
        <v>1240</v>
      </c>
      <c r="BM100" s="35">
        <v>5</v>
      </c>
      <c r="BN100" s="35" t="s">
        <v>157</v>
      </c>
      <c r="BO100" s="35" t="s">
        <v>919</v>
      </c>
      <c r="BP100" s="55" t="s">
        <v>157</v>
      </c>
      <c r="BQ100" s="35" t="s">
        <v>920</v>
      </c>
    </row>
    <row r="101" spans="1:69" s="35" customFormat="1" x14ac:dyDescent="0.45">
      <c r="A101" s="35">
        <v>40518</v>
      </c>
      <c r="B101" s="35" t="s">
        <v>937</v>
      </c>
      <c r="C101" s="35" t="s">
        <v>141</v>
      </c>
      <c r="D101" s="35" t="s">
        <v>142</v>
      </c>
      <c r="E101" s="35" t="s">
        <v>736</v>
      </c>
      <c r="F101" s="35" t="s">
        <v>144</v>
      </c>
      <c r="G101" s="35" t="s">
        <v>145</v>
      </c>
      <c r="H101" s="35" t="s">
        <v>146</v>
      </c>
      <c r="J101" s="35" t="s">
        <v>147</v>
      </c>
      <c r="K101" s="36" t="s">
        <v>916</v>
      </c>
      <c r="L101" s="35" t="s">
        <v>149</v>
      </c>
      <c r="M101" s="35">
        <v>6100000</v>
      </c>
      <c r="N101" s="36">
        <v>1</v>
      </c>
      <c r="O101" s="36" t="s">
        <v>150</v>
      </c>
      <c r="P101" s="35">
        <v>2000</v>
      </c>
      <c r="Q101" s="35" t="s">
        <v>845</v>
      </c>
      <c r="R101" s="36" t="s">
        <v>917</v>
      </c>
      <c r="T101" s="35">
        <v>18</v>
      </c>
      <c r="Z101" s="35" t="s">
        <v>807</v>
      </c>
      <c r="AA101" s="35">
        <v>1000</v>
      </c>
      <c r="AB101" s="35">
        <v>5</v>
      </c>
      <c r="AD101" s="38">
        <v>2700000</v>
      </c>
      <c r="AE101" s="35">
        <v>500000</v>
      </c>
      <c r="AF101" s="35">
        <v>500</v>
      </c>
      <c r="AG101" s="35">
        <v>0</v>
      </c>
      <c r="AH101" s="35">
        <v>40519</v>
      </c>
      <c r="AI101" s="35" t="s">
        <v>850</v>
      </c>
      <c r="AJ101" s="35">
        <v>1000</v>
      </c>
      <c r="AK101" s="35">
        <v>194400</v>
      </c>
      <c r="AL101" s="36">
        <v>1000</v>
      </c>
      <c r="AM101" s="35">
        <v>500</v>
      </c>
      <c r="AN101" s="35">
        <v>600</v>
      </c>
      <c r="AO101" s="35">
        <v>2500</v>
      </c>
      <c r="AP101" s="35" t="s">
        <v>155</v>
      </c>
      <c r="AQ101" s="35">
        <v>100</v>
      </c>
      <c r="AR101" s="38" t="s">
        <v>809</v>
      </c>
      <c r="AS101" s="35">
        <v>2000</v>
      </c>
      <c r="AT101" s="38">
        <v>10800</v>
      </c>
      <c r="AU101" s="38">
        <v>2700000</v>
      </c>
      <c r="AV101" s="35">
        <v>200000</v>
      </c>
      <c r="BA101" s="35" t="s">
        <v>157</v>
      </c>
      <c r="BB101" s="35" t="s">
        <v>918</v>
      </c>
      <c r="BC101" s="48"/>
      <c r="BD101" s="35" t="s">
        <v>811</v>
      </c>
      <c r="BE101" s="35">
        <v>1</v>
      </c>
      <c r="BF101" s="35" t="s">
        <v>160</v>
      </c>
      <c r="BG101" s="35" t="s">
        <v>161</v>
      </c>
      <c r="BH101" s="35" t="s">
        <v>162</v>
      </c>
      <c r="BI101" s="53"/>
      <c r="BJ101" s="35">
        <v>7200</v>
      </c>
      <c r="BK101" s="35">
        <v>1800</v>
      </c>
      <c r="BL101" s="35">
        <f t="shared" si="1"/>
        <v>1335</v>
      </c>
      <c r="BM101" s="35">
        <v>5</v>
      </c>
      <c r="BN101" s="35" t="s">
        <v>157</v>
      </c>
      <c r="BO101" s="35" t="s">
        <v>919</v>
      </c>
      <c r="BP101" s="55" t="s">
        <v>157</v>
      </c>
      <c r="BQ101" s="35" t="s">
        <v>920</v>
      </c>
    </row>
    <row r="102" spans="1:69" s="35" customFormat="1" x14ac:dyDescent="0.45">
      <c r="A102" s="35">
        <v>40519</v>
      </c>
      <c r="B102" s="35" t="s">
        <v>938</v>
      </c>
      <c r="C102" s="35" t="s">
        <v>141</v>
      </c>
      <c r="D102" s="35" t="s">
        <v>142</v>
      </c>
      <c r="E102" s="35" t="s">
        <v>736</v>
      </c>
      <c r="F102" s="35" t="s">
        <v>144</v>
      </c>
      <c r="G102" s="35" t="s">
        <v>145</v>
      </c>
      <c r="H102" s="35" t="s">
        <v>146</v>
      </c>
      <c r="J102" s="35" t="s">
        <v>147</v>
      </c>
      <c r="K102" s="36" t="s">
        <v>916</v>
      </c>
      <c r="L102" s="35" t="s">
        <v>149</v>
      </c>
      <c r="M102" s="35">
        <v>6300000</v>
      </c>
      <c r="N102" s="36">
        <v>1</v>
      </c>
      <c r="O102" s="36" t="s">
        <v>150</v>
      </c>
      <c r="P102" s="35">
        <v>2500</v>
      </c>
      <c r="Q102" s="35" t="s">
        <v>845</v>
      </c>
      <c r="R102" s="36" t="s">
        <v>917</v>
      </c>
      <c r="T102" s="35">
        <v>19</v>
      </c>
      <c r="Z102" s="35" t="s">
        <v>807</v>
      </c>
      <c r="AA102" s="35">
        <v>1000</v>
      </c>
      <c r="AB102" s="35">
        <v>5</v>
      </c>
      <c r="AD102" s="38">
        <v>2700000</v>
      </c>
      <c r="AE102" s="35">
        <v>500000</v>
      </c>
      <c r="AF102" s="35">
        <v>500</v>
      </c>
      <c r="AG102" s="35">
        <v>0</v>
      </c>
      <c r="AH102" s="35">
        <v>40520</v>
      </c>
      <c r="AI102" s="35" t="s">
        <v>852</v>
      </c>
      <c r="AJ102" s="35">
        <v>1000</v>
      </c>
      <c r="AK102" s="35">
        <v>205200</v>
      </c>
      <c r="AL102" s="36">
        <v>1000</v>
      </c>
      <c r="AM102" s="35">
        <v>500</v>
      </c>
      <c r="AN102" s="35">
        <v>600</v>
      </c>
      <c r="AO102" s="35">
        <v>2500</v>
      </c>
      <c r="AP102" s="35" t="s">
        <v>155</v>
      </c>
      <c r="AQ102" s="35">
        <v>100</v>
      </c>
      <c r="AR102" s="38" t="s">
        <v>809</v>
      </c>
      <c r="AS102" s="35">
        <v>2000</v>
      </c>
      <c r="AT102" s="38">
        <v>10800</v>
      </c>
      <c r="AU102" s="38">
        <v>2700000</v>
      </c>
      <c r="AV102" s="35">
        <v>200000</v>
      </c>
      <c r="BA102" s="35" t="s">
        <v>157</v>
      </c>
      <c r="BB102" s="35" t="s">
        <v>918</v>
      </c>
      <c r="BC102" s="48"/>
      <c r="BD102" s="35" t="s">
        <v>811</v>
      </c>
      <c r="BE102" s="35">
        <v>1</v>
      </c>
      <c r="BF102" s="35" t="s">
        <v>160</v>
      </c>
      <c r="BG102" s="35" t="s">
        <v>161</v>
      </c>
      <c r="BH102" s="35" t="s">
        <v>162</v>
      </c>
      <c r="BI102" s="53"/>
      <c r="BJ102" s="35">
        <v>7200</v>
      </c>
      <c r="BK102" s="35">
        <v>1800</v>
      </c>
      <c r="BL102" s="35">
        <f t="shared" si="1"/>
        <v>1435</v>
      </c>
      <c r="BM102" s="35">
        <v>5</v>
      </c>
      <c r="BN102" s="35" t="s">
        <v>157</v>
      </c>
      <c r="BO102" s="35" t="s">
        <v>919</v>
      </c>
      <c r="BP102" s="55" t="s">
        <v>157</v>
      </c>
      <c r="BQ102" s="35" t="s">
        <v>920</v>
      </c>
    </row>
    <row r="103" spans="1:69" s="35" customFormat="1" x14ac:dyDescent="0.45">
      <c r="A103" s="35">
        <v>40520</v>
      </c>
      <c r="B103" s="35" t="s">
        <v>939</v>
      </c>
      <c r="C103" s="35" t="s">
        <v>141</v>
      </c>
      <c r="D103" s="35" t="s">
        <v>142</v>
      </c>
      <c r="E103" s="35" t="s">
        <v>736</v>
      </c>
      <c r="F103" s="35" t="s">
        <v>144</v>
      </c>
      <c r="G103" s="35" t="s">
        <v>145</v>
      </c>
      <c r="H103" s="35" t="s">
        <v>146</v>
      </c>
      <c r="J103" s="35" t="s">
        <v>147</v>
      </c>
      <c r="K103" s="36" t="s">
        <v>916</v>
      </c>
      <c r="L103" s="35" t="s">
        <v>149</v>
      </c>
      <c r="M103" s="35">
        <v>6500000</v>
      </c>
      <c r="N103" s="36">
        <v>1</v>
      </c>
      <c r="O103" s="36" t="s">
        <v>150</v>
      </c>
      <c r="P103" s="35">
        <v>3000</v>
      </c>
      <c r="Q103" s="35" t="s">
        <v>845</v>
      </c>
      <c r="R103" s="36" t="s">
        <v>917</v>
      </c>
      <c r="T103" s="35">
        <v>20</v>
      </c>
      <c r="Z103" s="35" t="s">
        <v>807</v>
      </c>
      <c r="AA103" s="35">
        <v>1000</v>
      </c>
      <c r="AB103" s="35">
        <v>5</v>
      </c>
      <c r="AD103" s="38">
        <v>2700000</v>
      </c>
      <c r="AE103" s="35">
        <v>500000</v>
      </c>
      <c r="AF103" s="35">
        <v>500</v>
      </c>
      <c r="AG103" s="35">
        <v>0</v>
      </c>
      <c r="AH103" s="35">
        <v>-1</v>
      </c>
      <c r="AJ103" s="35">
        <v>1000</v>
      </c>
      <c r="AK103" s="35">
        <v>216000</v>
      </c>
      <c r="AL103" s="36">
        <v>1000</v>
      </c>
      <c r="AM103" s="35">
        <v>500</v>
      </c>
      <c r="AN103" s="35">
        <v>600</v>
      </c>
      <c r="AO103" s="35">
        <v>2500</v>
      </c>
      <c r="AP103" s="35" t="s">
        <v>155</v>
      </c>
      <c r="AQ103" s="35">
        <v>100</v>
      </c>
      <c r="AR103" s="38" t="s">
        <v>809</v>
      </c>
      <c r="AS103" s="35">
        <v>2000</v>
      </c>
      <c r="AT103" s="38">
        <v>10800</v>
      </c>
      <c r="AU103" s="38">
        <v>2700000</v>
      </c>
      <c r="AV103" s="35">
        <v>200000</v>
      </c>
      <c r="BA103" s="35" t="s">
        <v>157</v>
      </c>
      <c r="BB103" s="35" t="s">
        <v>918</v>
      </c>
      <c r="BC103" s="48"/>
      <c r="BD103" s="35" t="s">
        <v>811</v>
      </c>
      <c r="BE103" s="35">
        <v>1</v>
      </c>
      <c r="BF103" s="35" t="s">
        <v>160</v>
      </c>
      <c r="BG103" s="35" t="s">
        <v>161</v>
      </c>
      <c r="BH103" s="35" t="s">
        <v>162</v>
      </c>
      <c r="BI103" s="53"/>
      <c r="BJ103" s="35">
        <v>7200</v>
      </c>
      <c r="BK103" s="35">
        <v>1800</v>
      </c>
      <c r="BL103" s="35">
        <f t="shared" si="1"/>
        <v>1540</v>
      </c>
      <c r="BM103" s="35">
        <v>5</v>
      </c>
      <c r="BN103" s="35" t="s">
        <v>157</v>
      </c>
      <c r="BO103" s="35" t="s">
        <v>919</v>
      </c>
      <c r="BP103" s="55" t="s">
        <v>157</v>
      </c>
      <c r="BQ103" s="35" t="s">
        <v>920</v>
      </c>
    </row>
    <row r="104" spans="1:69" x14ac:dyDescent="0.45">
      <c r="A104" s="36">
        <v>40601</v>
      </c>
      <c r="B104" s="36" t="s">
        <v>771</v>
      </c>
      <c r="C104" s="36" t="s">
        <v>141</v>
      </c>
      <c r="D104" s="36" t="s">
        <v>142</v>
      </c>
      <c r="E104" s="36" t="s">
        <v>286</v>
      </c>
      <c r="F104" s="36" t="s">
        <v>144</v>
      </c>
      <c r="G104" s="36" t="s">
        <v>145</v>
      </c>
      <c r="H104" s="36" t="s">
        <v>146</v>
      </c>
      <c r="J104" s="36" t="s">
        <v>147</v>
      </c>
      <c r="K104" s="36" t="s">
        <v>772</v>
      </c>
      <c r="L104" s="36" t="s">
        <v>149</v>
      </c>
      <c r="M104" s="38">
        <v>2700000</v>
      </c>
      <c r="N104" s="36">
        <v>1</v>
      </c>
      <c r="O104" s="36" t="s">
        <v>150</v>
      </c>
      <c r="P104" s="38">
        <v>50</v>
      </c>
      <c r="Q104" s="36" t="s">
        <v>805</v>
      </c>
      <c r="R104" s="36" t="s">
        <v>773</v>
      </c>
      <c r="T104" s="36">
        <v>1</v>
      </c>
      <c r="Z104" s="38" t="s">
        <v>807</v>
      </c>
      <c r="AA104" s="38">
        <v>1000</v>
      </c>
      <c r="AB104" s="36">
        <v>5</v>
      </c>
      <c r="AD104" s="38">
        <v>2700000</v>
      </c>
      <c r="AE104" s="38">
        <v>500000</v>
      </c>
      <c r="AF104" s="36">
        <v>500</v>
      </c>
      <c r="AG104" s="36">
        <v>0</v>
      </c>
      <c r="AH104" s="36">
        <v>40602</v>
      </c>
      <c r="AI104" s="38" t="s">
        <v>808</v>
      </c>
      <c r="AJ104" s="38">
        <v>1000</v>
      </c>
      <c r="AK104" s="36">
        <v>21600</v>
      </c>
      <c r="AL104" s="36">
        <v>1000</v>
      </c>
      <c r="AM104" s="36">
        <v>500</v>
      </c>
      <c r="AN104" s="36">
        <v>600</v>
      </c>
      <c r="AO104" s="36">
        <v>2500</v>
      </c>
      <c r="AP104" s="38" t="s">
        <v>155</v>
      </c>
      <c r="AQ104" s="38">
        <v>100</v>
      </c>
      <c r="AR104" s="38" t="s">
        <v>809</v>
      </c>
      <c r="AS104" s="38">
        <v>2000</v>
      </c>
      <c r="AT104" s="38">
        <v>10800</v>
      </c>
      <c r="AU104" s="38">
        <v>2700000</v>
      </c>
      <c r="AV104" s="36">
        <v>200000</v>
      </c>
      <c r="BA104" s="36" t="s">
        <v>157</v>
      </c>
      <c r="BB104" s="36" t="s">
        <v>774</v>
      </c>
      <c r="BC104" s="46"/>
      <c r="BD104" s="39" t="s">
        <v>811</v>
      </c>
      <c r="BE104" s="36">
        <v>1</v>
      </c>
      <c r="BF104" s="36" t="s">
        <v>160</v>
      </c>
      <c r="BG104" s="36" t="s">
        <v>161</v>
      </c>
      <c r="BH104" s="36" t="s">
        <v>162</v>
      </c>
      <c r="BJ104" s="38">
        <v>7200</v>
      </c>
      <c r="BK104" s="38">
        <v>1800</v>
      </c>
      <c r="BL104" s="36">
        <f t="shared" si="1"/>
        <v>400</v>
      </c>
      <c r="BM104" s="36">
        <v>6</v>
      </c>
      <c r="BN104" s="35" t="s">
        <v>157</v>
      </c>
      <c r="BO104" s="36" t="s">
        <v>940</v>
      </c>
      <c r="BP104" s="54" t="s">
        <v>157</v>
      </c>
      <c r="BQ104" s="36" t="s">
        <v>776</v>
      </c>
    </row>
    <row r="105" spans="1:69" x14ac:dyDescent="0.45">
      <c r="A105" s="36">
        <v>40602</v>
      </c>
      <c r="B105" s="36" t="s">
        <v>778</v>
      </c>
      <c r="C105" s="36" t="s">
        <v>141</v>
      </c>
      <c r="D105" s="36" t="s">
        <v>142</v>
      </c>
      <c r="E105" s="36" t="s">
        <v>286</v>
      </c>
      <c r="F105" s="36" t="s">
        <v>144</v>
      </c>
      <c r="G105" s="36" t="s">
        <v>145</v>
      </c>
      <c r="H105" s="36" t="s">
        <v>146</v>
      </c>
      <c r="J105" s="36" t="s">
        <v>147</v>
      </c>
      <c r="K105" s="36" t="s">
        <v>772</v>
      </c>
      <c r="L105" s="36" t="s">
        <v>149</v>
      </c>
      <c r="M105" s="38">
        <v>2900000</v>
      </c>
      <c r="N105" s="36">
        <v>1</v>
      </c>
      <c r="O105" s="36" t="s">
        <v>150</v>
      </c>
      <c r="P105" s="38">
        <v>100</v>
      </c>
      <c r="Q105" s="36" t="s">
        <v>805</v>
      </c>
      <c r="R105" s="36" t="s">
        <v>773</v>
      </c>
      <c r="T105" s="36">
        <v>2</v>
      </c>
      <c r="Z105" s="38" t="s">
        <v>807</v>
      </c>
      <c r="AA105" s="38">
        <v>1000</v>
      </c>
      <c r="AB105" s="36">
        <v>5</v>
      </c>
      <c r="AD105" s="38">
        <v>2700000</v>
      </c>
      <c r="AE105" s="38">
        <v>500000</v>
      </c>
      <c r="AF105" s="36">
        <v>500</v>
      </c>
      <c r="AG105" s="36">
        <v>0</v>
      </c>
      <c r="AH105" s="36">
        <v>40603</v>
      </c>
      <c r="AI105" s="38" t="s">
        <v>815</v>
      </c>
      <c r="AJ105" s="38">
        <v>1000</v>
      </c>
      <c r="AK105" s="36">
        <v>21600</v>
      </c>
      <c r="AL105" s="36">
        <v>1000</v>
      </c>
      <c r="AM105" s="36">
        <v>500</v>
      </c>
      <c r="AN105" s="36">
        <v>600</v>
      </c>
      <c r="AO105" s="36">
        <v>2500</v>
      </c>
      <c r="AP105" s="38" t="s">
        <v>155</v>
      </c>
      <c r="AQ105" s="38">
        <v>100</v>
      </c>
      <c r="AR105" s="38" t="s">
        <v>809</v>
      </c>
      <c r="AS105" s="38">
        <v>2000</v>
      </c>
      <c r="AT105" s="38">
        <v>10800</v>
      </c>
      <c r="AU105" s="38">
        <v>2700000</v>
      </c>
      <c r="AV105" s="36">
        <v>200000</v>
      </c>
      <c r="BA105" s="36" t="s">
        <v>157</v>
      </c>
      <c r="BB105" s="36" t="s">
        <v>774</v>
      </c>
      <c r="BC105" s="46"/>
      <c r="BD105" s="39" t="s">
        <v>811</v>
      </c>
      <c r="BE105" s="36">
        <v>1</v>
      </c>
      <c r="BF105" s="36" t="s">
        <v>160</v>
      </c>
      <c r="BG105" s="36" t="s">
        <v>161</v>
      </c>
      <c r="BH105" s="36" t="s">
        <v>162</v>
      </c>
      <c r="BJ105" s="38">
        <v>7200</v>
      </c>
      <c r="BK105" s="38">
        <v>1800</v>
      </c>
      <c r="BL105" s="36">
        <f t="shared" si="1"/>
        <v>415</v>
      </c>
      <c r="BM105" s="36">
        <v>6</v>
      </c>
      <c r="BN105" s="35" t="s">
        <v>157</v>
      </c>
      <c r="BO105" s="36" t="s">
        <v>940</v>
      </c>
      <c r="BP105" s="54" t="s">
        <v>157</v>
      </c>
      <c r="BQ105" s="36" t="s">
        <v>776</v>
      </c>
    </row>
    <row r="106" spans="1:69" x14ac:dyDescent="0.45">
      <c r="A106" s="36">
        <v>40603</v>
      </c>
      <c r="B106" s="36" t="s">
        <v>779</v>
      </c>
      <c r="C106" s="36" t="s">
        <v>141</v>
      </c>
      <c r="D106" s="36" t="s">
        <v>142</v>
      </c>
      <c r="E106" s="36" t="s">
        <v>286</v>
      </c>
      <c r="F106" s="36" t="s">
        <v>144</v>
      </c>
      <c r="G106" s="36" t="s">
        <v>145</v>
      </c>
      <c r="H106" s="36" t="s">
        <v>146</v>
      </c>
      <c r="J106" s="36" t="s">
        <v>147</v>
      </c>
      <c r="K106" s="36" t="s">
        <v>772</v>
      </c>
      <c r="L106" s="36" t="s">
        <v>149</v>
      </c>
      <c r="M106" s="38">
        <v>3100000</v>
      </c>
      <c r="N106" s="36">
        <v>1</v>
      </c>
      <c r="O106" s="36" t="s">
        <v>150</v>
      </c>
      <c r="P106" s="38">
        <v>150</v>
      </c>
      <c r="Q106" s="36" t="s">
        <v>805</v>
      </c>
      <c r="R106" s="36" t="s">
        <v>773</v>
      </c>
      <c r="T106" s="36">
        <v>3</v>
      </c>
      <c r="Z106" s="38" t="s">
        <v>807</v>
      </c>
      <c r="AA106" s="38">
        <v>1000</v>
      </c>
      <c r="AB106" s="36">
        <v>5</v>
      </c>
      <c r="AD106" s="38">
        <v>2700000</v>
      </c>
      <c r="AE106" s="38">
        <v>500000</v>
      </c>
      <c r="AF106" s="36">
        <v>500</v>
      </c>
      <c r="AG106" s="36">
        <v>0</v>
      </c>
      <c r="AH106" s="36">
        <v>40604</v>
      </c>
      <c r="AI106" s="38" t="s">
        <v>817</v>
      </c>
      <c r="AJ106" s="38">
        <v>1000</v>
      </c>
      <c r="AK106" s="36">
        <v>32400</v>
      </c>
      <c r="AL106" s="36">
        <v>1000</v>
      </c>
      <c r="AM106" s="36">
        <v>500</v>
      </c>
      <c r="AN106" s="36">
        <v>600</v>
      </c>
      <c r="AO106" s="36">
        <v>2500</v>
      </c>
      <c r="AP106" s="38" t="s">
        <v>155</v>
      </c>
      <c r="AQ106" s="38">
        <v>100</v>
      </c>
      <c r="AR106" s="38" t="s">
        <v>809</v>
      </c>
      <c r="AS106" s="38">
        <v>2000</v>
      </c>
      <c r="AT106" s="38">
        <v>10800</v>
      </c>
      <c r="AU106" s="38">
        <v>2700000</v>
      </c>
      <c r="AV106" s="36">
        <v>200000</v>
      </c>
      <c r="BA106" s="36" t="s">
        <v>157</v>
      </c>
      <c r="BB106" s="36" t="s">
        <v>774</v>
      </c>
      <c r="BC106" s="46"/>
      <c r="BD106" s="39" t="s">
        <v>811</v>
      </c>
      <c r="BE106" s="36">
        <v>1</v>
      </c>
      <c r="BF106" s="36" t="s">
        <v>160</v>
      </c>
      <c r="BG106" s="36" t="s">
        <v>161</v>
      </c>
      <c r="BH106" s="36" t="s">
        <v>162</v>
      </c>
      <c r="BJ106" s="38">
        <v>7200</v>
      </c>
      <c r="BK106" s="38">
        <v>1800</v>
      </c>
      <c r="BL106" s="36">
        <f t="shared" si="1"/>
        <v>435</v>
      </c>
      <c r="BM106" s="36">
        <v>6</v>
      </c>
      <c r="BN106" s="35" t="s">
        <v>157</v>
      </c>
      <c r="BO106" s="36" t="s">
        <v>940</v>
      </c>
      <c r="BP106" s="54" t="s">
        <v>157</v>
      </c>
      <c r="BQ106" s="36" t="s">
        <v>776</v>
      </c>
    </row>
    <row r="107" spans="1:69" s="35" customFormat="1" x14ac:dyDescent="0.45">
      <c r="A107" s="36">
        <v>40604</v>
      </c>
      <c r="B107" s="36" t="s">
        <v>780</v>
      </c>
      <c r="C107" s="36" t="s">
        <v>141</v>
      </c>
      <c r="D107" s="36" t="s">
        <v>142</v>
      </c>
      <c r="E107" s="36" t="s">
        <v>286</v>
      </c>
      <c r="F107" s="36" t="s">
        <v>144</v>
      </c>
      <c r="G107" s="36" t="s">
        <v>145</v>
      </c>
      <c r="H107" s="36" t="s">
        <v>146</v>
      </c>
      <c r="I107" s="36"/>
      <c r="J107" s="36" t="s">
        <v>147</v>
      </c>
      <c r="K107" s="36" t="s">
        <v>772</v>
      </c>
      <c r="L107" s="36" t="s">
        <v>149</v>
      </c>
      <c r="M107" s="38">
        <v>3300000</v>
      </c>
      <c r="N107" s="36">
        <v>1</v>
      </c>
      <c r="O107" s="36" t="s">
        <v>150</v>
      </c>
      <c r="P107" s="38">
        <v>200</v>
      </c>
      <c r="Q107" s="36" t="s">
        <v>805</v>
      </c>
      <c r="R107" s="36" t="s">
        <v>773</v>
      </c>
      <c r="S107" s="36"/>
      <c r="T107" s="36">
        <v>4</v>
      </c>
      <c r="U107" s="36"/>
      <c r="V107" s="36"/>
      <c r="W107" s="36"/>
      <c r="X107" s="36"/>
      <c r="Y107" s="36"/>
      <c r="Z107" s="38" t="s">
        <v>807</v>
      </c>
      <c r="AA107" s="38">
        <v>1000</v>
      </c>
      <c r="AB107" s="36">
        <v>5</v>
      </c>
      <c r="AC107" s="36"/>
      <c r="AD107" s="38">
        <v>2700000</v>
      </c>
      <c r="AE107" s="38">
        <v>500000</v>
      </c>
      <c r="AF107" s="36">
        <v>500</v>
      </c>
      <c r="AG107" s="36">
        <v>0</v>
      </c>
      <c r="AH107" s="36">
        <v>40605</v>
      </c>
      <c r="AI107" s="38" t="s">
        <v>819</v>
      </c>
      <c r="AJ107" s="38">
        <v>1000</v>
      </c>
      <c r="AK107" s="36">
        <v>43200</v>
      </c>
      <c r="AL107" s="36">
        <v>1000</v>
      </c>
      <c r="AM107" s="36">
        <v>500</v>
      </c>
      <c r="AN107" s="36">
        <v>600</v>
      </c>
      <c r="AO107" s="36">
        <v>2500</v>
      </c>
      <c r="AP107" s="38" t="s">
        <v>155</v>
      </c>
      <c r="AQ107" s="38">
        <v>100</v>
      </c>
      <c r="AR107" s="38" t="s">
        <v>809</v>
      </c>
      <c r="AS107" s="38">
        <v>2000</v>
      </c>
      <c r="AT107" s="38">
        <v>10800</v>
      </c>
      <c r="AU107" s="38">
        <v>2700000</v>
      </c>
      <c r="AV107" s="36">
        <v>200000</v>
      </c>
      <c r="AW107" s="36"/>
      <c r="AX107" s="36"/>
      <c r="AY107" s="36"/>
      <c r="AZ107" s="36"/>
      <c r="BA107" s="36" t="s">
        <v>157</v>
      </c>
      <c r="BB107" s="36" t="s">
        <v>774</v>
      </c>
      <c r="BC107" s="46"/>
      <c r="BD107" s="39" t="s">
        <v>811</v>
      </c>
      <c r="BE107" s="36">
        <v>1</v>
      </c>
      <c r="BF107" s="36" t="s">
        <v>160</v>
      </c>
      <c r="BG107" s="36" t="s">
        <v>161</v>
      </c>
      <c r="BH107" s="36" t="s">
        <v>162</v>
      </c>
      <c r="BI107"/>
      <c r="BJ107" s="38">
        <v>7200</v>
      </c>
      <c r="BK107" s="38">
        <v>1800</v>
      </c>
      <c r="BL107" s="36">
        <f t="shared" si="1"/>
        <v>460</v>
      </c>
      <c r="BM107" s="36">
        <v>6</v>
      </c>
      <c r="BN107" s="35" t="s">
        <v>157</v>
      </c>
      <c r="BO107" s="36" t="s">
        <v>940</v>
      </c>
      <c r="BP107" s="54" t="s">
        <v>157</v>
      </c>
      <c r="BQ107" s="36" t="s">
        <v>776</v>
      </c>
    </row>
    <row r="108" spans="1:69" x14ac:dyDescent="0.45">
      <c r="A108" s="36">
        <v>40605</v>
      </c>
      <c r="B108" s="36" t="s">
        <v>781</v>
      </c>
      <c r="C108" s="36" t="s">
        <v>141</v>
      </c>
      <c r="D108" s="36" t="s">
        <v>142</v>
      </c>
      <c r="E108" s="36" t="s">
        <v>286</v>
      </c>
      <c r="F108" s="36" t="s">
        <v>144</v>
      </c>
      <c r="G108" s="36" t="s">
        <v>145</v>
      </c>
      <c r="H108" s="36" t="s">
        <v>146</v>
      </c>
      <c r="J108" s="36" t="s">
        <v>147</v>
      </c>
      <c r="K108" s="36" t="s">
        <v>772</v>
      </c>
      <c r="L108" s="36" t="s">
        <v>149</v>
      </c>
      <c r="M108" s="38">
        <v>3500000</v>
      </c>
      <c r="N108" s="36">
        <v>1</v>
      </c>
      <c r="O108" s="36" t="s">
        <v>150</v>
      </c>
      <c r="P108" s="38">
        <v>250</v>
      </c>
      <c r="Q108" s="36" t="s">
        <v>805</v>
      </c>
      <c r="R108" s="36" t="s">
        <v>773</v>
      </c>
      <c r="T108" s="36">
        <v>5</v>
      </c>
      <c r="Z108" s="38" t="s">
        <v>807</v>
      </c>
      <c r="AA108" s="38">
        <v>1000</v>
      </c>
      <c r="AB108" s="36">
        <v>5</v>
      </c>
      <c r="AD108" s="38">
        <v>2700000</v>
      </c>
      <c r="AE108" s="38">
        <v>500000</v>
      </c>
      <c r="AF108" s="36">
        <v>500</v>
      </c>
      <c r="AG108" s="36">
        <v>0</v>
      </c>
      <c r="AH108" s="36">
        <v>40606</v>
      </c>
      <c r="AI108" s="38" t="s">
        <v>821</v>
      </c>
      <c r="AJ108" s="38">
        <v>1000</v>
      </c>
      <c r="AK108" s="36">
        <v>54000</v>
      </c>
      <c r="AL108" s="36">
        <v>1000</v>
      </c>
      <c r="AM108" s="36">
        <v>500</v>
      </c>
      <c r="AN108" s="36">
        <v>600</v>
      </c>
      <c r="AO108" s="36">
        <v>2500</v>
      </c>
      <c r="AP108" s="38" t="s">
        <v>155</v>
      </c>
      <c r="AQ108" s="38">
        <v>100</v>
      </c>
      <c r="AR108" s="38" t="s">
        <v>809</v>
      </c>
      <c r="AS108" s="38">
        <v>2000</v>
      </c>
      <c r="AT108" s="38">
        <v>10800</v>
      </c>
      <c r="AU108" s="38">
        <v>2700000</v>
      </c>
      <c r="AV108" s="36">
        <v>200000</v>
      </c>
      <c r="BA108" s="36" t="s">
        <v>157</v>
      </c>
      <c r="BB108" s="36" t="s">
        <v>774</v>
      </c>
      <c r="BC108" s="46"/>
      <c r="BD108" s="39" t="s">
        <v>811</v>
      </c>
      <c r="BE108" s="36">
        <v>1</v>
      </c>
      <c r="BF108" s="36" t="s">
        <v>160</v>
      </c>
      <c r="BG108" s="36" t="s">
        <v>161</v>
      </c>
      <c r="BH108" s="36" t="s">
        <v>162</v>
      </c>
      <c r="BJ108" s="38">
        <v>7200</v>
      </c>
      <c r="BK108" s="38">
        <v>1800</v>
      </c>
      <c r="BL108" s="36">
        <f t="shared" si="1"/>
        <v>490</v>
      </c>
      <c r="BM108" s="36">
        <v>6</v>
      </c>
      <c r="BN108" s="35" t="s">
        <v>157</v>
      </c>
      <c r="BO108" s="36" t="s">
        <v>940</v>
      </c>
      <c r="BP108" s="54" t="s">
        <v>157</v>
      </c>
      <c r="BQ108" s="36" t="s">
        <v>776</v>
      </c>
    </row>
    <row r="109" spans="1:69" x14ac:dyDescent="0.45">
      <c r="A109" s="36">
        <v>40606</v>
      </c>
      <c r="B109" s="36" t="s">
        <v>782</v>
      </c>
      <c r="C109" s="36" t="s">
        <v>141</v>
      </c>
      <c r="D109" s="36" t="s">
        <v>142</v>
      </c>
      <c r="E109" s="36" t="s">
        <v>286</v>
      </c>
      <c r="F109" s="36" t="s">
        <v>144</v>
      </c>
      <c r="G109" s="36" t="s">
        <v>145</v>
      </c>
      <c r="H109" s="36" t="s">
        <v>146</v>
      </c>
      <c r="J109" s="36" t="s">
        <v>147</v>
      </c>
      <c r="K109" s="36" t="s">
        <v>772</v>
      </c>
      <c r="L109" s="36" t="s">
        <v>149</v>
      </c>
      <c r="M109" s="38">
        <v>3700000</v>
      </c>
      <c r="N109" s="36">
        <v>1</v>
      </c>
      <c r="O109" s="36" t="s">
        <v>150</v>
      </c>
      <c r="P109" s="38">
        <v>300</v>
      </c>
      <c r="Q109" s="42" t="s">
        <v>823</v>
      </c>
      <c r="R109" s="36" t="s">
        <v>773</v>
      </c>
      <c r="T109" s="36">
        <v>6</v>
      </c>
      <c r="Z109" s="38" t="s">
        <v>807</v>
      </c>
      <c r="AA109" s="38">
        <v>1000</v>
      </c>
      <c r="AB109" s="36">
        <v>5</v>
      </c>
      <c r="AD109" s="38">
        <v>2700000</v>
      </c>
      <c r="AE109" s="38">
        <v>500000</v>
      </c>
      <c r="AF109" s="36">
        <v>500</v>
      </c>
      <c r="AG109" s="36">
        <v>0</v>
      </c>
      <c r="AH109" s="36">
        <v>40607</v>
      </c>
      <c r="AI109" s="38" t="s">
        <v>824</v>
      </c>
      <c r="AJ109" s="38">
        <v>1000</v>
      </c>
      <c r="AK109" s="36">
        <v>64800</v>
      </c>
      <c r="AL109" s="36">
        <v>1000</v>
      </c>
      <c r="AM109" s="36">
        <v>500</v>
      </c>
      <c r="AN109" s="36">
        <v>600</v>
      </c>
      <c r="AO109" s="36">
        <v>2500</v>
      </c>
      <c r="AP109" s="38" t="s">
        <v>155</v>
      </c>
      <c r="AQ109" s="38">
        <v>100</v>
      </c>
      <c r="AR109" s="38" t="s">
        <v>809</v>
      </c>
      <c r="AS109" s="38">
        <v>2000</v>
      </c>
      <c r="AT109" s="38">
        <v>10800</v>
      </c>
      <c r="AU109" s="38">
        <v>2700000</v>
      </c>
      <c r="AV109" s="36">
        <v>200000</v>
      </c>
      <c r="BA109" s="36" t="s">
        <v>157</v>
      </c>
      <c r="BB109" s="36" t="s">
        <v>774</v>
      </c>
      <c r="BC109" s="46"/>
      <c r="BD109" s="39" t="s">
        <v>811</v>
      </c>
      <c r="BE109" s="36">
        <v>1</v>
      </c>
      <c r="BF109" s="36" t="s">
        <v>160</v>
      </c>
      <c r="BG109" s="36" t="s">
        <v>161</v>
      </c>
      <c r="BH109" s="36" t="s">
        <v>162</v>
      </c>
      <c r="BJ109" s="38">
        <v>7200</v>
      </c>
      <c r="BK109" s="38">
        <v>1800</v>
      </c>
      <c r="BL109" s="36">
        <f t="shared" si="1"/>
        <v>525</v>
      </c>
      <c r="BM109" s="36">
        <v>6</v>
      </c>
      <c r="BN109" s="35" t="s">
        <v>157</v>
      </c>
      <c r="BO109" s="36" t="s">
        <v>940</v>
      </c>
      <c r="BP109" s="54" t="s">
        <v>157</v>
      </c>
      <c r="BQ109" s="36" t="s">
        <v>776</v>
      </c>
    </row>
    <row r="110" spans="1:69" x14ac:dyDescent="0.45">
      <c r="A110" s="36">
        <v>40607</v>
      </c>
      <c r="B110" s="36" t="s">
        <v>783</v>
      </c>
      <c r="C110" s="36" t="s">
        <v>141</v>
      </c>
      <c r="D110" s="36" t="s">
        <v>142</v>
      </c>
      <c r="E110" s="36" t="s">
        <v>286</v>
      </c>
      <c r="F110" s="36" t="s">
        <v>144</v>
      </c>
      <c r="G110" s="36" t="s">
        <v>145</v>
      </c>
      <c r="H110" s="36" t="s">
        <v>146</v>
      </c>
      <c r="J110" s="36" t="s">
        <v>147</v>
      </c>
      <c r="K110" s="36" t="s">
        <v>772</v>
      </c>
      <c r="L110" s="36" t="s">
        <v>149</v>
      </c>
      <c r="M110" s="38">
        <v>3900000</v>
      </c>
      <c r="N110" s="36">
        <v>1</v>
      </c>
      <c r="O110" s="36" t="s">
        <v>150</v>
      </c>
      <c r="P110" s="38">
        <v>350</v>
      </c>
      <c r="Q110" s="42" t="s">
        <v>823</v>
      </c>
      <c r="R110" s="36" t="s">
        <v>773</v>
      </c>
      <c r="T110" s="36">
        <v>7</v>
      </c>
      <c r="Z110" s="38" t="s">
        <v>807</v>
      </c>
      <c r="AA110" s="38">
        <v>1000</v>
      </c>
      <c r="AB110" s="36">
        <v>5</v>
      </c>
      <c r="AD110" s="38">
        <v>2700000</v>
      </c>
      <c r="AE110" s="38">
        <v>500000</v>
      </c>
      <c r="AF110" s="36">
        <v>500</v>
      </c>
      <c r="AG110" s="36">
        <v>0</v>
      </c>
      <c r="AH110" s="36">
        <v>40608</v>
      </c>
      <c r="AI110" s="38" t="s">
        <v>826</v>
      </c>
      <c r="AJ110" s="38">
        <v>1000</v>
      </c>
      <c r="AK110" s="36">
        <v>75600</v>
      </c>
      <c r="AL110" s="36">
        <v>1000</v>
      </c>
      <c r="AM110" s="36">
        <v>500</v>
      </c>
      <c r="AN110" s="36">
        <v>600</v>
      </c>
      <c r="AO110" s="36">
        <v>2500</v>
      </c>
      <c r="AP110" s="38" t="s">
        <v>155</v>
      </c>
      <c r="AQ110" s="38">
        <v>100</v>
      </c>
      <c r="AR110" s="38" t="s">
        <v>809</v>
      </c>
      <c r="AS110" s="38">
        <v>2000</v>
      </c>
      <c r="AT110" s="38">
        <v>10800</v>
      </c>
      <c r="AU110" s="38">
        <v>2700000</v>
      </c>
      <c r="AV110" s="36">
        <v>200000</v>
      </c>
      <c r="BA110" s="36" t="s">
        <v>157</v>
      </c>
      <c r="BB110" s="36" t="s">
        <v>774</v>
      </c>
      <c r="BC110" s="46"/>
      <c r="BD110" s="39" t="s">
        <v>811</v>
      </c>
      <c r="BE110" s="36">
        <v>1</v>
      </c>
      <c r="BF110" s="36" t="s">
        <v>160</v>
      </c>
      <c r="BG110" s="36" t="s">
        <v>161</v>
      </c>
      <c r="BH110" s="36" t="s">
        <v>162</v>
      </c>
      <c r="BJ110" s="38">
        <v>7200</v>
      </c>
      <c r="BK110" s="38">
        <v>1800</v>
      </c>
      <c r="BL110" s="36">
        <f t="shared" si="1"/>
        <v>565</v>
      </c>
      <c r="BM110" s="36">
        <v>6</v>
      </c>
      <c r="BN110" s="35" t="s">
        <v>157</v>
      </c>
      <c r="BO110" s="36" t="s">
        <v>940</v>
      </c>
      <c r="BP110" s="54" t="s">
        <v>157</v>
      </c>
      <c r="BQ110" s="36" t="s">
        <v>776</v>
      </c>
    </row>
    <row r="111" spans="1:69" x14ac:dyDescent="0.45">
      <c r="A111" s="36">
        <v>40608</v>
      </c>
      <c r="B111" s="36" t="s">
        <v>784</v>
      </c>
      <c r="C111" s="36" t="s">
        <v>141</v>
      </c>
      <c r="D111" s="36" t="s">
        <v>142</v>
      </c>
      <c r="E111" s="36" t="s">
        <v>286</v>
      </c>
      <c r="F111" s="36" t="s">
        <v>144</v>
      </c>
      <c r="G111" s="36" t="s">
        <v>145</v>
      </c>
      <c r="H111" s="36" t="s">
        <v>146</v>
      </c>
      <c r="J111" s="36" t="s">
        <v>147</v>
      </c>
      <c r="K111" s="36" t="s">
        <v>772</v>
      </c>
      <c r="L111" s="36" t="s">
        <v>149</v>
      </c>
      <c r="M111" s="38">
        <v>4100000</v>
      </c>
      <c r="N111" s="36">
        <v>1</v>
      </c>
      <c r="O111" s="36" t="s">
        <v>150</v>
      </c>
      <c r="P111" s="38">
        <v>400</v>
      </c>
      <c r="Q111" s="42" t="s">
        <v>823</v>
      </c>
      <c r="R111" s="36" t="s">
        <v>773</v>
      </c>
      <c r="T111" s="36">
        <v>8</v>
      </c>
      <c r="Z111" s="38" t="s">
        <v>807</v>
      </c>
      <c r="AA111" s="38">
        <v>1000</v>
      </c>
      <c r="AB111" s="36">
        <v>5</v>
      </c>
      <c r="AD111" s="38">
        <v>2700000</v>
      </c>
      <c r="AE111" s="38">
        <v>500000</v>
      </c>
      <c r="AF111" s="36">
        <v>500</v>
      </c>
      <c r="AG111" s="36">
        <v>0</v>
      </c>
      <c r="AH111" s="36">
        <v>40609</v>
      </c>
      <c r="AI111" s="38" t="s">
        <v>828</v>
      </c>
      <c r="AJ111" s="38">
        <v>1000</v>
      </c>
      <c r="AK111" s="36">
        <v>86400</v>
      </c>
      <c r="AL111" s="36">
        <v>1000</v>
      </c>
      <c r="AM111" s="36">
        <v>500</v>
      </c>
      <c r="AN111" s="36">
        <v>600</v>
      </c>
      <c r="AO111" s="36">
        <v>2500</v>
      </c>
      <c r="AP111" s="38" t="s">
        <v>155</v>
      </c>
      <c r="AQ111" s="38">
        <v>100</v>
      </c>
      <c r="AR111" s="38" t="s">
        <v>809</v>
      </c>
      <c r="AS111" s="38">
        <v>2000</v>
      </c>
      <c r="AT111" s="38">
        <v>10800</v>
      </c>
      <c r="AU111" s="38">
        <v>2700000</v>
      </c>
      <c r="AV111" s="36">
        <v>200000</v>
      </c>
      <c r="BA111" s="36" t="s">
        <v>157</v>
      </c>
      <c r="BB111" s="36" t="s">
        <v>774</v>
      </c>
      <c r="BC111" s="46"/>
      <c r="BD111" s="39" t="s">
        <v>811</v>
      </c>
      <c r="BE111" s="36">
        <v>1</v>
      </c>
      <c r="BF111" s="36" t="s">
        <v>160</v>
      </c>
      <c r="BG111" s="36" t="s">
        <v>161</v>
      </c>
      <c r="BH111" s="36" t="s">
        <v>162</v>
      </c>
      <c r="BJ111" s="38">
        <v>7200</v>
      </c>
      <c r="BK111" s="38">
        <v>1800</v>
      </c>
      <c r="BL111" s="36">
        <f t="shared" si="1"/>
        <v>610</v>
      </c>
      <c r="BM111" s="36">
        <v>6</v>
      </c>
      <c r="BN111" s="35" t="s">
        <v>157</v>
      </c>
      <c r="BO111" s="36" t="s">
        <v>940</v>
      </c>
      <c r="BP111" s="54" t="s">
        <v>157</v>
      </c>
      <c r="BQ111" s="36" t="s">
        <v>776</v>
      </c>
    </row>
    <row r="112" spans="1:69" x14ac:dyDescent="0.45">
      <c r="A112" s="36">
        <v>40609</v>
      </c>
      <c r="B112" s="36" t="s">
        <v>785</v>
      </c>
      <c r="C112" s="36" t="s">
        <v>141</v>
      </c>
      <c r="D112" s="36" t="s">
        <v>142</v>
      </c>
      <c r="E112" s="36" t="s">
        <v>286</v>
      </c>
      <c r="F112" s="36" t="s">
        <v>144</v>
      </c>
      <c r="G112" s="36" t="s">
        <v>145</v>
      </c>
      <c r="H112" s="36" t="s">
        <v>146</v>
      </c>
      <c r="J112" s="36" t="s">
        <v>147</v>
      </c>
      <c r="K112" s="36" t="s">
        <v>772</v>
      </c>
      <c r="L112" s="36" t="s">
        <v>149</v>
      </c>
      <c r="M112" s="38">
        <v>4300000</v>
      </c>
      <c r="N112" s="36">
        <v>1</v>
      </c>
      <c r="O112" s="36" t="s">
        <v>150</v>
      </c>
      <c r="P112" s="38">
        <v>450</v>
      </c>
      <c r="Q112" s="42" t="s">
        <v>823</v>
      </c>
      <c r="R112" s="36" t="s">
        <v>773</v>
      </c>
      <c r="T112" s="36">
        <v>9</v>
      </c>
      <c r="Z112" s="38" t="s">
        <v>807</v>
      </c>
      <c r="AA112" s="38">
        <v>1000</v>
      </c>
      <c r="AB112" s="36">
        <v>5</v>
      </c>
      <c r="AD112" s="38">
        <v>2700000</v>
      </c>
      <c r="AE112" s="38">
        <v>500000</v>
      </c>
      <c r="AF112" s="36">
        <v>500</v>
      </c>
      <c r="AG112" s="36">
        <v>0</v>
      </c>
      <c r="AH112" s="36">
        <v>40610</v>
      </c>
      <c r="AI112" s="38" t="s">
        <v>830</v>
      </c>
      <c r="AJ112" s="38">
        <v>1000</v>
      </c>
      <c r="AK112" s="36">
        <v>97200</v>
      </c>
      <c r="AL112" s="36">
        <v>1000</v>
      </c>
      <c r="AM112" s="36">
        <v>500</v>
      </c>
      <c r="AN112" s="36">
        <v>600</v>
      </c>
      <c r="AO112" s="36">
        <v>2500</v>
      </c>
      <c r="AP112" s="38" t="s">
        <v>155</v>
      </c>
      <c r="AQ112" s="38">
        <v>100</v>
      </c>
      <c r="AR112" s="38" t="s">
        <v>809</v>
      </c>
      <c r="AS112" s="38">
        <v>2000</v>
      </c>
      <c r="AT112" s="38">
        <v>10800</v>
      </c>
      <c r="AU112" s="38">
        <v>2700000</v>
      </c>
      <c r="AV112" s="36">
        <v>200000</v>
      </c>
      <c r="BA112" s="36" t="s">
        <v>157</v>
      </c>
      <c r="BB112" s="36" t="s">
        <v>774</v>
      </c>
      <c r="BC112" s="46"/>
      <c r="BD112" s="39" t="s">
        <v>811</v>
      </c>
      <c r="BE112" s="36">
        <v>1</v>
      </c>
      <c r="BF112" s="36" t="s">
        <v>160</v>
      </c>
      <c r="BG112" s="36" t="s">
        <v>161</v>
      </c>
      <c r="BH112" s="36" t="s">
        <v>162</v>
      </c>
      <c r="BJ112" s="38">
        <v>7200</v>
      </c>
      <c r="BK112" s="38">
        <v>1800</v>
      </c>
      <c r="BL112" s="36">
        <f t="shared" si="1"/>
        <v>660</v>
      </c>
      <c r="BM112" s="36">
        <v>6</v>
      </c>
      <c r="BN112" s="35" t="s">
        <v>157</v>
      </c>
      <c r="BO112" s="36" t="s">
        <v>940</v>
      </c>
      <c r="BP112" s="54" t="s">
        <v>157</v>
      </c>
      <c r="BQ112" s="36" t="s">
        <v>776</v>
      </c>
    </row>
    <row r="113" spans="1:69" x14ac:dyDescent="0.45">
      <c r="A113" s="36">
        <v>40610</v>
      </c>
      <c r="B113" s="36" t="s">
        <v>786</v>
      </c>
      <c r="C113" s="36" t="s">
        <v>141</v>
      </c>
      <c r="D113" s="36" t="s">
        <v>142</v>
      </c>
      <c r="E113" s="36" t="s">
        <v>286</v>
      </c>
      <c r="F113" s="36" t="s">
        <v>144</v>
      </c>
      <c r="G113" s="36" t="s">
        <v>145</v>
      </c>
      <c r="H113" s="36" t="s">
        <v>146</v>
      </c>
      <c r="J113" s="36" t="s">
        <v>147</v>
      </c>
      <c r="K113" s="36" t="s">
        <v>772</v>
      </c>
      <c r="L113" s="36" t="s">
        <v>149</v>
      </c>
      <c r="M113" s="38">
        <v>4500000</v>
      </c>
      <c r="N113" s="36">
        <v>1</v>
      </c>
      <c r="O113" s="36" t="s">
        <v>150</v>
      </c>
      <c r="P113" s="38">
        <v>500</v>
      </c>
      <c r="Q113" s="42" t="s">
        <v>823</v>
      </c>
      <c r="R113" s="36" t="s">
        <v>773</v>
      </c>
      <c r="T113" s="36">
        <v>10</v>
      </c>
      <c r="Z113" s="38" t="s">
        <v>807</v>
      </c>
      <c r="AA113" s="38">
        <v>1000</v>
      </c>
      <c r="AB113" s="36">
        <v>5</v>
      </c>
      <c r="AD113" s="38">
        <v>2700000</v>
      </c>
      <c r="AE113" s="38">
        <v>500000</v>
      </c>
      <c r="AF113" s="36">
        <v>500</v>
      </c>
      <c r="AG113" s="36">
        <v>0</v>
      </c>
      <c r="AH113" s="36">
        <v>40611</v>
      </c>
      <c r="AI113" s="38" t="s">
        <v>832</v>
      </c>
      <c r="AJ113" s="38">
        <v>1000</v>
      </c>
      <c r="AK113" s="36">
        <v>108000</v>
      </c>
      <c r="AL113" s="36">
        <v>1000</v>
      </c>
      <c r="AM113" s="36">
        <v>500</v>
      </c>
      <c r="AN113" s="36">
        <v>600</v>
      </c>
      <c r="AO113" s="36">
        <v>2500</v>
      </c>
      <c r="AP113" s="38" t="s">
        <v>155</v>
      </c>
      <c r="AQ113" s="38">
        <v>100</v>
      </c>
      <c r="AR113" s="38" t="s">
        <v>809</v>
      </c>
      <c r="AS113" s="38">
        <v>2000</v>
      </c>
      <c r="AT113" s="38">
        <v>10800</v>
      </c>
      <c r="AU113" s="38">
        <v>2700000</v>
      </c>
      <c r="AV113" s="36">
        <v>200000</v>
      </c>
      <c r="BA113" s="36" t="s">
        <v>157</v>
      </c>
      <c r="BB113" s="36" t="s">
        <v>774</v>
      </c>
      <c r="BC113" s="46"/>
      <c r="BD113" s="39" t="s">
        <v>811</v>
      </c>
      <c r="BE113" s="36">
        <v>1</v>
      </c>
      <c r="BF113" s="36" t="s">
        <v>160</v>
      </c>
      <c r="BG113" s="36" t="s">
        <v>161</v>
      </c>
      <c r="BH113" s="36" t="s">
        <v>162</v>
      </c>
      <c r="BJ113" s="38">
        <v>7200</v>
      </c>
      <c r="BK113" s="38">
        <v>1800</v>
      </c>
      <c r="BL113" s="36">
        <f t="shared" si="1"/>
        <v>715</v>
      </c>
      <c r="BM113" s="36">
        <v>6</v>
      </c>
      <c r="BN113" s="35" t="s">
        <v>157</v>
      </c>
      <c r="BO113" s="36" t="s">
        <v>940</v>
      </c>
      <c r="BP113" s="54" t="s">
        <v>157</v>
      </c>
      <c r="BQ113" s="36" t="s">
        <v>776</v>
      </c>
    </row>
    <row r="114" spans="1:69" x14ac:dyDescent="0.45">
      <c r="A114" s="35">
        <v>40611</v>
      </c>
      <c r="B114" s="36" t="s">
        <v>941</v>
      </c>
      <c r="C114" s="35" t="s">
        <v>141</v>
      </c>
      <c r="D114" s="35" t="s">
        <v>142</v>
      </c>
      <c r="E114" s="35" t="s">
        <v>286</v>
      </c>
      <c r="F114" s="36" t="s">
        <v>144</v>
      </c>
      <c r="G114" s="35" t="s">
        <v>145</v>
      </c>
      <c r="H114" s="35" t="s">
        <v>146</v>
      </c>
      <c r="I114" s="35"/>
      <c r="J114" s="35" t="s">
        <v>147</v>
      </c>
      <c r="K114" s="35" t="s">
        <v>772</v>
      </c>
      <c r="L114" s="35" t="s">
        <v>149</v>
      </c>
      <c r="M114" s="38">
        <v>4700000</v>
      </c>
      <c r="N114" s="36">
        <v>1</v>
      </c>
      <c r="O114" s="35" t="s">
        <v>150</v>
      </c>
      <c r="P114" s="38">
        <v>600</v>
      </c>
      <c r="Q114" s="36" t="s">
        <v>834</v>
      </c>
      <c r="R114" s="35" t="s">
        <v>773</v>
      </c>
      <c r="S114" s="35"/>
      <c r="T114" s="36">
        <v>11</v>
      </c>
      <c r="X114" s="35"/>
      <c r="Y114" s="35"/>
      <c r="Z114" s="38" t="s">
        <v>807</v>
      </c>
      <c r="AA114" s="38">
        <v>1000</v>
      </c>
      <c r="AB114" s="35">
        <v>5</v>
      </c>
      <c r="AC114" s="35"/>
      <c r="AD114" s="38">
        <v>2700000</v>
      </c>
      <c r="AE114" s="38">
        <v>500000</v>
      </c>
      <c r="AF114" s="35">
        <v>500</v>
      </c>
      <c r="AG114" s="35">
        <v>0</v>
      </c>
      <c r="AH114" s="36">
        <v>40612</v>
      </c>
      <c r="AI114" s="38" t="s">
        <v>835</v>
      </c>
      <c r="AJ114" s="38">
        <v>1000</v>
      </c>
      <c r="AK114" s="34">
        <v>118800</v>
      </c>
      <c r="AL114" s="36">
        <v>1000</v>
      </c>
      <c r="AM114" s="35">
        <v>500</v>
      </c>
      <c r="AN114" s="35">
        <v>600</v>
      </c>
      <c r="AO114" s="35">
        <v>2500</v>
      </c>
      <c r="AP114" s="38" t="s">
        <v>155</v>
      </c>
      <c r="AQ114" s="38">
        <v>100</v>
      </c>
      <c r="AR114" s="38" t="s">
        <v>809</v>
      </c>
      <c r="AS114" s="38">
        <v>2000</v>
      </c>
      <c r="AT114" s="38">
        <v>10800</v>
      </c>
      <c r="AU114" s="38">
        <v>2700000</v>
      </c>
      <c r="AV114" s="35">
        <v>200000</v>
      </c>
      <c r="AW114" s="35"/>
      <c r="AX114" s="35"/>
      <c r="AY114" s="35"/>
      <c r="AZ114" s="35"/>
      <c r="BA114" s="35" t="s">
        <v>157</v>
      </c>
      <c r="BB114" s="36" t="s">
        <v>774</v>
      </c>
      <c r="BC114" s="48"/>
      <c r="BD114" s="39" t="s">
        <v>811</v>
      </c>
      <c r="BE114" s="35">
        <v>1</v>
      </c>
      <c r="BF114" s="35" t="s">
        <v>160</v>
      </c>
      <c r="BG114" s="35" t="s">
        <v>161</v>
      </c>
      <c r="BH114" s="35" t="s">
        <v>162</v>
      </c>
      <c r="BI114" s="53"/>
      <c r="BJ114" s="38">
        <v>7200</v>
      </c>
      <c r="BK114" s="38">
        <v>1800</v>
      </c>
      <c r="BL114" s="36">
        <f t="shared" si="1"/>
        <v>775</v>
      </c>
      <c r="BM114" s="36">
        <v>6</v>
      </c>
      <c r="BN114" s="35" t="s">
        <v>157</v>
      </c>
      <c r="BO114" s="36" t="s">
        <v>940</v>
      </c>
      <c r="BP114" s="54" t="s">
        <v>157</v>
      </c>
      <c r="BQ114" s="36" t="s">
        <v>776</v>
      </c>
    </row>
    <row r="115" spans="1:69" x14ac:dyDescent="0.45">
      <c r="A115" s="36">
        <v>40612</v>
      </c>
      <c r="B115" s="36" t="s">
        <v>942</v>
      </c>
      <c r="C115" s="36" t="s">
        <v>141</v>
      </c>
      <c r="D115" s="36" t="s">
        <v>142</v>
      </c>
      <c r="E115" s="36" t="s">
        <v>286</v>
      </c>
      <c r="F115" s="36" t="s">
        <v>144</v>
      </c>
      <c r="G115" s="36" t="s">
        <v>145</v>
      </c>
      <c r="H115" s="36" t="s">
        <v>146</v>
      </c>
      <c r="J115" s="36" t="s">
        <v>147</v>
      </c>
      <c r="K115" s="36" t="s">
        <v>772</v>
      </c>
      <c r="L115" s="36" t="s">
        <v>149</v>
      </c>
      <c r="M115" s="38">
        <v>4900000</v>
      </c>
      <c r="N115" s="36">
        <v>1</v>
      </c>
      <c r="O115" s="36" t="s">
        <v>150</v>
      </c>
      <c r="P115" s="38">
        <v>700</v>
      </c>
      <c r="Q115" s="36" t="s">
        <v>834</v>
      </c>
      <c r="R115" s="36" t="s">
        <v>773</v>
      </c>
      <c r="T115" s="36">
        <v>12</v>
      </c>
      <c r="Z115" s="38" t="s">
        <v>807</v>
      </c>
      <c r="AA115" s="38">
        <v>1000</v>
      </c>
      <c r="AB115" s="36">
        <v>5</v>
      </c>
      <c r="AD115" s="38">
        <v>2700000</v>
      </c>
      <c r="AE115" s="38">
        <v>500000</v>
      </c>
      <c r="AF115" s="36">
        <v>500</v>
      </c>
      <c r="AG115" s="36">
        <v>0</v>
      </c>
      <c r="AH115" s="36">
        <v>40613</v>
      </c>
      <c r="AI115" s="38" t="s">
        <v>837</v>
      </c>
      <c r="AJ115" s="38">
        <v>1000</v>
      </c>
      <c r="AK115" s="34">
        <v>129600</v>
      </c>
      <c r="AL115" s="36">
        <v>1000</v>
      </c>
      <c r="AM115" s="36">
        <v>500</v>
      </c>
      <c r="AN115" s="36">
        <v>600</v>
      </c>
      <c r="AO115" s="36">
        <v>2500</v>
      </c>
      <c r="AP115" s="38" t="s">
        <v>155</v>
      </c>
      <c r="AQ115" s="38">
        <v>100</v>
      </c>
      <c r="AR115" s="38" t="s">
        <v>809</v>
      </c>
      <c r="AS115" s="38">
        <v>2000</v>
      </c>
      <c r="AT115" s="38">
        <v>10800</v>
      </c>
      <c r="AU115" s="38">
        <v>2700000</v>
      </c>
      <c r="AV115" s="36">
        <v>200000</v>
      </c>
      <c r="BA115" s="36" t="s">
        <v>157</v>
      </c>
      <c r="BB115" s="36" t="s">
        <v>774</v>
      </c>
      <c r="BC115" s="46"/>
      <c r="BD115" s="39" t="s">
        <v>811</v>
      </c>
      <c r="BE115" s="36">
        <v>1</v>
      </c>
      <c r="BF115" s="36" t="s">
        <v>160</v>
      </c>
      <c r="BG115" s="36" t="s">
        <v>161</v>
      </c>
      <c r="BH115" s="36" t="s">
        <v>162</v>
      </c>
      <c r="BJ115" s="38">
        <v>7200</v>
      </c>
      <c r="BK115" s="38">
        <v>1800</v>
      </c>
      <c r="BL115" s="36">
        <f t="shared" si="1"/>
        <v>840</v>
      </c>
      <c r="BM115" s="36">
        <v>6</v>
      </c>
      <c r="BN115" s="35" t="s">
        <v>157</v>
      </c>
      <c r="BO115" s="36" t="s">
        <v>940</v>
      </c>
      <c r="BP115" s="54" t="s">
        <v>157</v>
      </c>
      <c r="BQ115" s="36" t="s">
        <v>776</v>
      </c>
    </row>
    <row r="116" spans="1:69" x14ac:dyDescent="0.45">
      <c r="A116" s="36">
        <v>40613</v>
      </c>
      <c r="B116" s="36" t="s">
        <v>943</v>
      </c>
      <c r="C116" s="36" t="s">
        <v>141</v>
      </c>
      <c r="D116" s="36" t="s">
        <v>142</v>
      </c>
      <c r="E116" s="36" t="s">
        <v>286</v>
      </c>
      <c r="F116" s="36" t="s">
        <v>144</v>
      </c>
      <c r="G116" s="36" t="s">
        <v>145</v>
      </c>
      <c r="H116" s="36" t="s">
        <v>146</v>
      </c>
      <c r="J116" s="36" t="s">
        <v>147</v>
      </c>
      <c r="K116" s="36" t="s">
        <v>772</v>
      </c>
      <c r="L116" s="36" t="s">
        <v>149</v>
      </c>
      <c r="M116" s="38">
        <v>5100000</v>
      </c>
      <c r="N116" s="36">
        <v>1</v>
      </c>
      <c r="O116" s="36" t="s">
        <v>150</v>
      </c>
      <c r="P116" s="38">
        <v>800</v>
      </c>
      <c r="Q116" s="36" t="s">
        <v>834</v>
      </c>
      <c r="R116" s="36" t="s">
        <v>773</v>
      </c>
      <c r="T116" s="36">
        <v>13</v>
      </c>
      <c r="Z116" s="38" t="s">
        <v>807</v>
      </c>
      <c r="AA116" s="38">
        <v>1000</v>
      </c>
      <c r="AB116" s="36">
        <v>5</v>
      </c>
      <c r="AD116" s="38">
        <v>2700000</v>
      </c>
      <c r="AE116" s="38">
        <v>500000</v>
      </c>
      <c r="AF116" s="36">
        <v>500</v>
      </c>
      <c r="AG116" s="36">
        <v>0</v>
      </c>
      <c r="AH116" s="36">
        <v>40614</v>
      </c>
      <c r="AI116" s="38" t="s">
        <v>839</v>
      </c>
      <c r="AJ116" s="38">
        <v>1000</v>
      </c>
      <c r="AK116" s="34">
        <v>140400</v>
      </c>
      <c r="AL116" s="36">
        <v>1000</v>
      </c>
      <c r="AM116" s="36">
        <v>500</v>
      </c>
      <c r="AN116" s="36">
        <v>600</v>
      </c>
      <c r="AO116" s="36">
        <v>2500</v>
      </c>
      <c r="AP116" s="38" t="s">
        <v>155</v>
      </c>
      <c r="AQ116" s="38">
        <v>100</v>
      </c>
      <c r="AR116" s="38" t="s">
        <v>809</v>
      </c>
      <c r="AS116" s="38">
        <v>2000</v>
      </c>
      <c r="AT116" s="38">
        <v>10800</v>
      </c>
      <c r="AU116" s="38">
        <v>2700000</v>
      </c>
      <c r="AV116" s="36">
        <v>200000</v>
      </c>
      <c r="BA116" s="36" t="s">
        <v>157</v>
      </c>
      <c r="BB116" s="36" t="s">
        <v>774</v>
      </c>
      <c r="BC116" s="46"/>
      <c r="BD116" s="39" t="s">
        <v>811</v>
      </c>
      <c r="BE116" s="36">
        <v>1</v>
      </c>
      <c r="BF116" s="36" t="s">
        <v>160</v>
      </c>
      <c r="BG116" s="36" t="s">
        <v>161</v>
      </c>
      <c r="BH116" s="36" t="s">
        <v>162</v>
      </c>
      <c r="BJ116" s="38">
        <v>7200</v>
      </c>
      <c r="BK116" s="38">
        <v>1800</v>
      </c>
      <c r="BL116" s="36">
        <f t="shared" si="1"/>
        <v>910</v>
      </c>
      <c r="BM116" s="36">
        <v>6</v>
      </c>
      <c r="BN116" s="35" t="s">
        <v>157</v>
      </c>
      <c r="BO116" s="36" t="s">
        <v>940</v>
      </c>
      <c r="BP116" s="54" t="s">
        <v>157</v>
      </c>
      <c r="BQ116" s="36" t="s">
        <v>776</v>
      </c>
    </row>
    <row r="117" spans="1:69" x14ac:dyDescent="0.45">
      <c r="A117" s="36">
        <v>40614</v>
      </c>
      <c r="B117" s="36" t="s">
        <v>944</v>
      </c>
      <c r="C117" s="36" t="s">
        <v>141</v>
      </c>
      <c r="D117" s="36" t="s">
        <v>142</v>
      </c>
      <c r="E117" s="36" t="s">
        <v>286</v>
      </c>
      <c r="F117" s="36" t="s">
        <v>144</v>
      </c>
      <c r="G117" s="36" t="s">
        <v>145</v>
      </c>
      <c r="H117" s="36" t="s">
        <v>146</v>
      </c>
      <c r="J117" s="36" t="s">
        <v>147</v>
      </c>
      <c r="K117" s="36" t="s">
        <v>772</v>
      </c>
      <c r="L117" s="36" t="s">
        <v>149</v>
      </c>
      <c r="M117" s="38">
        <v>5300000</v>
      </c>
      <c r="N117" s="36">
        <v>1</v>
      </c>
      <c r="O117" s="36" t="s">
        <v>150</v>
      </c>
      <c r="P117" s="38">
        <v>900</v>
      </c>
      <c r="Q117" s="36" t="s">
        <v>834</v>
      </c>
      <c r="R117" s="36" t="s">
        <v>773</v>
      </c>
      <c r="T117" s="36">
        <v>14</v>
      </c>
      <c r="Z117" s="38" t="s">
        <v>807</v>
      </c>
      <c r="AA117" s="38">
        <v>1000</v>
      </c>
      <c r="AB117" s="36">
        <v>5</v>
      </c>
      <c r="AD117" s="38">
        <v>2700000</v>
      </c>
      <c r="AE117" s="38">
        <v>500000</v>
      </c>
      <c r="AF117" s="36">
        <v>500</v>
      </c>
      <c r="AG117" s="36">
        <v>0</v>
      </c>
      <c r="AH117" s="36">
        <v>40615</v>
      </c>
      <c r="AI117" s="38" t="s">
        <v>841</v>
      </c>
      <c r="AJ117" s="38">
        <v>1000</v>
      </c>
      <c r="AK117" s="34">
        <v>151200</v>
      </c>
      <c r="AL117" s="36">
        <v>1000</v>
      </c>
      <c r="AM117" s="36">
        <v>500</v>
      </c>
      <c r="AN117" s="36">
        <v>600</v>
      </c>
      <c r="AO117" s="36">
        <v>2500</v>
      </c>
      <c r="AP117" s="38" t="s">
        <v>155</v>
      </c>
      <c r="AQ117" s="38">
        <v>100</v>
      </c>
      <c r="AR117" s="38" t="s">
        <v>809</v>
      </c>
      <c r="AS117" s="38">
        <v>2000</v>
      </c>
      <c r="AT117" s="38">
        <v>10800</v>
      </c>
      <c r="AU117" s="38">
        <v>2700000</v>
      </c>
      <c r="AV117" s="36">
        <v>200000</v>
      </c>
      <c r="BA117" s="36" t="s">
        <v>157</v>
      </c>
      <c r="BB117" s="36" t="s">
        <v>774</v>
      </c>
      <c r="BC117" s="46"/>
      <c r="BD117" s="39" t="s">
        <v>811</v>
      </c>
      <c r="BE117" s="36">
        <v>1</v>
      </c>
      <c r="BF117" s="36" t="s">
        <v>160</v>
      </c>
      <c r="BG117" s="36" t="s">
        <v>161</v>
      </c>
      <c r="BH117" s="36" t="s">
        <v>162</v>
      </c>
      <c r="BJ117" s="38">
        <v>7200</v>
      </c>
      <c r="BK117" s="38">
        <v>1800</v>
      </c>
      <c r="BL117" s="36">
        <f t="shared" si="1"/>
        <v>985</v>
      </c>
      <c r="BM117" s="36">
        <v>6</v>
      </c>
      <c r="BN117" s="35" t="s">
        <v>157</v>
      </c>
      <c r="BO117" s="36" t="s">
        <v>940</v>
      </c>
      <c r="BP117" s="54" t="s">
        <v>157</v>
      </c>
      <c r="BQ117" s="36" t="s">
        <v>776</v>
      </c>
    </row>
    <row r="118" spans="1:69" s="35" customFormat="1" x14ac:dyDescent="0.45">
      <c r="A118" s="36">
        <v>40615</v>
      </c>
      <c r="B118" s="36" t="s">
        <v>945</v>
      </c>
      <c r="C118" s="36" t="s">
        <v>141</v>
      </c>
      <c r="D118" s="36" t="s">
        <v>142</v>
      </c>
      <c r="E118" s="36" t="s">
        <v>286</v>
      </c>
      <c r="F118" s="36" t="s">
        <v>144</v>
      </c>
      <c r="G118" s="36" t="s">
        <v>145</v>
      </c>
      <c r="H118" s="36" t="s">
        <v>146</v>
      </c>
      <c r="I118" s="36"/>
      <c r="J118" s="36" t="s">
        <v>147</v>
      </c>
      <c r="K118" s="36" t="s">
        <v>772</v>
      </c>
      <c r="L118" s="36" t="s">
        <v>149</v>
      </c>
      <c r="M118" s="38">
        <v>5500000</v>
      </c>
      <c r="N118" s="36">
        <v>1</v>
      </c>
      <c r="O118" s="36" t="s">
        <v>150</v>
      </c>
      <c r="P118" s="38">
        <v>1000</v>
      </c>
      <c r="Q118" s="36" t="s">
        <v>834</v>
      </c>
      <c r="R118" s="36" t="s">
        <v>773</v>
      </c>
      <c r="S118" s="36"/>
      <c r="T118" s="36">
        <v>15</v>
      </c>
      <c r="U118" s="36"/>
      <c r="V118" s="36"/>
      <c r="W118" s="36"/>
      <c r="X118" s="36"/>
      <c r="Y118" s="36"/>
      <c r="Z118" s="38" t="s">
        <v>807</v>
      </c>
      <c r="AA118" s="38">
        <v>1000</v>
      </c>
      <c r="AB118" s="36">
        <v>5</v>
      </c>
      <c r="AC118" s="36"/>
      <c r="AD118" s="38">
        <v>2700000</v>
      </c>
      <c r="AE118" s="38">
        <v>500000</v>
      </c>
      <c r="AF118" s="36">
        <v>500</v>
      </c>
      <c r="AG118" s="36">
        <v>0</v>
      </c>
      <c r="AH118" s="36">
        <v>40616</v>
      </c>
      <c r="AI118" s="38" t="s">
        <v>843</v>
      </c>
      <c r="AJ118" s="38">
        <v>1000</v>
      </c>
      <c r="AK118" s="34">
        <v>162000</v>
      </c>
      <c r="AL118" s="36">
        <v>1000</v>
      </c>
      <c r="AM118" s="36">
        <v>500</v>
      </c>
      <c r="AN118" s="36">
        <v>600</v>
      </c>
      <c r="AO118" s="36">
        <v>2500</v>
      </c>
      <c r="AP118" s="38" t="s">
        <v>155</v>
      </c>
      <c r="AQ118" s="38">
        <v>100</v>
      </c>
      <c r="AR118" s="38" t="s">
        <v>809</v>
      </c>
      <c r="AS118" s="38">
        <v>2000</v>
      </c>
      <c r="AT118" s="38">
        <v>10800</v>
      </c>
      <c r="AU118" s="38">
        <v>2700000</v>
      </c>
      <c r="AV118" s="36">
        <v>200000</v>
      </c>
      <c r="AW118" s="36"/>
      <c r="AX118" s="36"/>
      <c r="AY118" s="36"/>
      <c r="AZ118" s="36"/>
      <c r="BA118" s="36" t="s">
        <v>157</v>
      </c>
      <c r="BB118" s="36" t="s">
        <v>774</v>
      </c>
      <c r="BC118" s="46"/>
      <c r="BD118" s="39" t="s">
        <v>811</v>
      </c>
      <c r="BE118" s="36">
        <v>1</v>
      </c>
      <c r="BF118" s="36" t="s">
        <v>160</v>
      </c>
      <c r="BG118" s="36" t="s">
        <v>161</v>
      </c>
      <c r="BH118" s="36" t="s">
        <v>162</v>
      </c>
      <c r="BI118"/>
      <c r="BJ118" s="38">
        <v>7200</v>
      </c>
      <c r="BK118" s="38">
        <v>1800</v>
      </c>
      <c r="BL118" s="36">
        <f t="shared" si="1"/>
        <v>1065</v>
      </c>
      <c r="BM118" s="36">
        <v>6</v>
      </c>
      <c r="BN118" s="35" t="s">
        <v>157</v>
      </c>
      <c r="BO118" s="36" t="s">
        <v>940</v>
      </c>
      <c r="BP118" s="54" t="s">
        <v>157</v>
      </c>
      <c r="BQ118" s="36" t="s">
        <v>776</v>
      </c>
    </row>
    <row r="119" spans="1:69" x14ac:dyDescent="0.45">
      <c r="A119" s="36">
        <v>40616</v>
      </c>
      <c r="B119" s="36" t="s">
        <v>946</v>
      </c>
      <c r="C119" s="36" t="s">
        <v>141</v>
      </c>
      <c r="D119" s="36" t="s">
        <v>142</v>
      </c>
      <c r="E119" s="36" t="s">
        <v>286</v>
      </c>
      <c r="F119" s="36" t="s">
        <v>144</v>
      </c>
      <c r="G119" s="36" t="s">
        <v>145</v>
      </c>
      <c r="H119" s="36" t="s">
        <v>146</v>
      </c>
      <c r="J119" s="36" t="s">
        <v>147</v>
      </c>
      <c r="K119" s="36" t="s">
        <v>772</v>
      </c>
      <c r="L119" s="36" t="s">
        <v>149</v>
      </c>
      <c r="M119" s="38">
        <v>5700000</v>
      </c>
      <c r="N119" s="36">
        <v>1</v>
      </c>
      <c r="O119" s="36" t="s">
        <v>150</v>
      </c>
      <c r="P119" s="38">
        <v>1200</v>
      </c>
      <c r="Q119" s="42" t="s">
        <v>845</v>
      </c>
      <c r="R119" s="36" t="s">
        <v>773</v>
      </c>
      <c r="T119" s="36">
        <v>16</v>
      </c>
      <c r="Z119" s="38" t="s">
        <v>807</v>
      </c>
      <c r="AA119" s="38">
        <v>1000</v>
      </c>
      <c r="AB119" s="36">
        <v>5</v>
      </c>
      <c r="AD119" s="38">
        <v>2700000</v>
      </c>
      <c r="AE119" s="38">
        <v>500000</v>
      </c>
      <c r="AF119" s="36">
        <v>500</v>
      </c>
      <c r="AG119" s="36">
        <v>0</v>
      </c>
      <c r="AH119" s="36">
        <v>40617</v>
      </c>
      <c r="AI119" s="38" t="s">
        <v>846</v>
      </c>
      <c r="AJ119" s="38">
        <v>1000</v>
      </c>
      <c r="AK119" s="36">
        <v>172800</v>
      </c>
      <c r="AL119" s="36">
        <v>1000</v>
      </c>
      <c r="AM119" s="36">
        <v>500</v>
      </c>
      <c r="AN119" s="36">
        <v>600</v>
      </c>
      <c r="AO119" s="36">
        <v>2500</v>
      </c>
      <c r="AP119" s="38" t="s">
        <v>155</v>
      </c>
      <c r="AQ119" s="38">
        <v>100</v>
      </c>
      <c r="AR119" s="38" t="s">
        <v>809</v>
      </c>
      <c r="AS119" s="38">
        <v>2000</v>
      </c>
      <c r="AT119" s="38">
        <v>10800</v>
      </c>
      <c r="AU119" s="38">
        <v>2700000</v>
      </c>
      <c r="AV119" s="36">
        <v>200000</v>
      </c>
      <c r="BA119" s="36" t="s">
        <v>157</v>
      </c>
      <c r="BB119" s="36" t="s">
        <v>774</v>
      </c>
      <c r="BC119" s="46"/>
      <c r="BD119" s="39" t="s">
        <v>811</v>
      </c>
      <c r="BE119" s="36">
        <v>1</v>
      </c>
      <c r="BF119" s="36" t="s">
        <v>160</v>
      </c>
      <c r="BG119" s="36" t="s">
        <v>161</v>
      </c>
      <c r="BH119" s="36" t="s">
        <v>162</v>
      </c>
      <c r="BJ119" s="38">
        <v>7200</v>
      </c>
      <c r="BK119" s="38">
        <v>1800</v>
      </c>
      <c r="BL119" s="36">
        <f t="shared" si="1"/>
        <v>1150</v>
      </c>
      <c r="BM119" s="36">
        <v>6</v>
      </c>
      <c r="BN119" s="35" t="s">
        <v>157</v>
      </c>
      <c r="BO119" s="36" t="s">
        <v>940</v>
      </c>
      <c r="BP119" s="54" t="s">
        <v>157</v>
      </c>
      <c r="BQ119" s="36" t="s">
        <v>776</v>
      </c>
    </row>
    <row r="120" spans="1:69" x14ac:dyDescent="0.45">
      <c r="A120" s="36">
        <v>40617</v>
      </c>
      <c r="B120" s="36" t="s">
        <v>947</v>
      </c>
      <c r="C120" s="36" t="s">
        <v>141</v>
      </c>
      <c r="D120" s="36" t="s">
        <v>142</v>
      </c>
      <c r="E120" s="36" t="s">
        <v>286</v>
      </c>
      <c r="F120" s="36" t="s">
        <v>144</v>
      </c>
      <c r="G120" s="36" t="s">
        <v>145</v>
      </c>
      <c r="H120" s="36" t="s">
        <v>146</v>
      </c>
      <c r="J120" s="36" t="s">
        <v>147</v>
      </c>
      <c r="K120" s="36" t="s">
        <v>772</v>
      </c>
      <c r="L120" s="36" t="s">
        <v>149</v>
      </c>
      <c r="M120" s="38">
        <v>5900000</v>
      </c>
      <c r="N120" s="36">
        <v>1</v>
      </c>
      <c r="O120" s="36" t="s">
        <v>150</v>
      </c>
      <c r="P120" s="38">
        <v>1500</v>
      </c>
      <c r="Q120" s="42" t="s">
        <v>845</v>
      </c>
      <c r="R120" s="36" t="s">
        <v>773</v>
      </c>
      <c r="T120" s="36">
        <v>17</v>
      </c>
      <c r="Z120" s="38" t="s">
        <v>807</v>
      </c>
      <c r="AA120" s="38">
        <v>1000</v>
      </c>
      <c r="AB120" s="36">
        <v>5</v>
      </c>
      <c r="AD120" s="38">
        <v>2700000</v>
      </c>
      <c r="AE120" s="38">
        <v>500000</v>
      </c>
      <c r="AF120" s="36">
        <v>500</v>
      </c>
      <c r="AG120" s="36">
        <v>0</v>
      </c>
      <c r="AH120" s="36">
        <v>40618</v>
      </c>
      <c r="AI120" s="38" t="s">
        <v>848</v>
      </c>
      <c r="AJ120" s="38">
        <v>1000</v>
      </c>
      <c r="AK120" s="36">
        <v>183600</v>
      </c>
      <c r="AL120" s="36">
        <v>1000</v>
      </c>
      <c r="AM120" s="36">
        <v>500</v>
      </c>
      <c r="AN120" s="36">
        <v>600</v>
      </c>
      <c r="AO120" s="36">
        <v>2500</v>
      </c>
      <c r="AP120" s="38" t="s">
        <v>155</v>
      </c>
      <c r="AQ120" s="38">
        <v>100</v>
      </c>
      <c r="AR120" s="38" t="s">
        <v>809</v>
      </c>
      <c r="AS120" s="38">
        <v>2000</v>
      </c>
      <c r="AT120" s="38">
        <v>10800</v>
      </c>
      <c r="AU120" s="38">
        <v>2700000</v>
      </c>
      <c r="AV120" s="36">
        <v>200000</v>
      </c>
      <c r="BA120" s="36" t="s">
        <v>157</v>
      </c>
      <c r="BB120" s="36" t="s">
        <v>774</v>
      </c>
      <c r="BC120" s="46"/>
      <c r="BD120" s="39" t="s">
        <v>811</v>
      </c>
      <c r="BE120" s="36">
        <v>1</v>
      </c>
      <c r="BF120" s="36" t="s">
        <v>160</v>
      </c>
      <c r="BG120" s="36" t="s">
        <v>161</v>
      </c>
      <c r="BH120" s="36" t="s">
        <v>162</v>
      </c>
      <c r="BJ120" s="38">
        <v>7200</v>
      </c>
      <c r="BK120" s="38">
        <v>1800</v>
      </c>
      <c r="BL120" s="36">
        <f t="shared" si="1"/>
        <v>1240</v>
      </c>
      <c r="BM120" s="36">
        <v>6</v>
      </c>
      <c r="BN120" s="35" t="s">
        <v>157</v>
      </c>
      <c r="BO120" s="36" t="s">
        <v>940</v>
      </c>
      <c r="BP120" s="54" t="s">
        <v>157</v>
      </c>
      <c r="BQ120" s="36" t="s">
        <v>776</v>
      </c>
    </row>
    <row r="121" spans="1:69" x14ac:dyDescent="0.45">
      <c r="A121" s="36">
        <v>40618</v>
      </c>
      <c r="B121" s="36" t="s">
        <v>948</v>
      </c>
      <c r="C121" s="36" t="s">
        <v>141</v>
      </c>
      <c r="D121" s="36" t="s">
        <v>142</v>
      </c>
      <c r="E121" s="36" t="s">
        <v>286</v>
      </c>
      <c r="F121" s="36" t="s">
        <v>144</v>
      </c>
      <c r="G121" s="36" t="s">
        <v>145</v>
      </c>
      <c r="H121" s="36" t="s">
        <v>146</v>
      </c>
      <c r="J121" s="36" t="s">
        <v>147</v>
      </c>
      <c r="K121" s="36" t="s">
        <v>772</v>
      </c>
      <c r="L121" s="36" t="s">
        <v>149</v>
      </c>
      <c r="M121" s="38">
        <v>6100000</v>
      </c>
      <c r="N121" s="36">
        <v>1</v>
      </c>
      <c r="O121" s="36" t="s">
        <v>150</v>
      </c>
      <c r="P121" s="38">
        <v>2000</v>
      </c>
      <c r="Q121" s="42" t="s">
        <v>845</v>
      </c>
      <c r="R121" s="36" t="s">
        <v>773</v>
      </c>
      <c r="T121" s="36">
        <v>18</v>
      </c>
      <c r="Z121" s="38" t="s">
        <v>807</v>
      </c>
      <c r="AA121" s="38">
        <v>1000</v>
      </c>
      <c r="AB121" s="36">
        <v>5</v>
      </c>
      <c r="AD121" s="38">
        <v>2700000</v>
      </c>
      <c r="AE121" s="38">
        <v>500000</v>
      </c>
      <c r="AF121" s="36">
        <v>500</v>
      </c>
      <c r="AG121" s="36">
        <v>0</v>
      </c>
      <c r="AH121" s="36">
        <v>40619</v>
      </c>
      <c r="AI121" s="38" t="s">
        <v>850</v>
      </c>
      <c r="AJ121" s="38">
        <v>1000</v>
      </c>
      <c r="AK121" s="36">
        <v>194400</v>
      </c>
      <c r="AL121" s="36">
        <v>1000</v>
      </c>
      <c r="AM121" s="36">
        <v>500</v>
      </c>
      <c r="AN121" s="36">
        <v>600</v>
      </c>
      <c r="AO121" s="36">
        <v>2500</v>
      </c>
      <c r="AP121" s="38" t="s">
        <v>155</v>
      </c>
      <c r="AQ121" s="38">
        <v>100</v>
      </c>
      <c r="AR121" s="38" t="s">
        <v>809</v>
      </c>
      <c r="AS121" s="38">
        <v>2000</v>
      </c>
      <c r="AT121" s="38">
        <v>10800</v>
      </c>
      <c r="AU121" s="38">
        <v>2700000</v>
      </c>
      <c r="AV121" s="36">
        <v>200000</v>
      </c>
      <c r="BA121" s="36" t="s">
        <v>157</v>
      </c>
      <c r="BB121" s="36" t="s">
        <v>774</v>
      </c>
      <c r="BC121" s="46"/>
      <c r="BD121" s="39" t="s">
        <v>811</v>
      </c>
      <c r="BE121" s="36">
        <v>1</v>
      </c>
      <c r="BF121" s="36" t="s">
        <v>160</v>
      </c>
      <c r="BG121" s="36" t="s">
        <v>161</v>
      </c>
      <c r="BH121" s="36" t="s">
        <v>162</v>
      </c>
      <c r="BJ121" s="38">
        <v>7200</v>
      </c>
      <c r="BK121" s="38">
        <v>1800</v>
      </c>
      <c r="BL121" s="36">
        <f t="shared" si="1"/>
        <v>1335</v>
      </c>
      <c r="BM121" s="36">
        <v>6</v>
      </c>
      <c r="BN121" s="35" t="s">
        <v>157</v>
      </c>
      <c r="BO121" s="36" t="s">
        <v>940</v>
      </c>
      <c r="BP121" s="54" t="s">
        <v>157</v>
      </c>
      <c r="BQ121" s="36" t="s">
        <v>776</v>
      </c>
    </row>
    <row r="122" spans="1:69" x14ac:dyDescent="0.45">
      <c r="A122" s="36">
        <v>40619</v>
      </c>
      <c r="B122" s="36" t="s">
        <v>949</v>
      </c>
      <c r="C122" s="36" t="s">
        <v>141</v>
      </c>
      <c r="D122" s="36" t="s">
        <v>142</v>
      </c>
      <c r="E122" s="36" t="s">
        <v>286</v>
      </c>
      <c r="F122" s="36" t="s">
        <v>144</v>
      </c>
      <c r="G122" s="36" t="s">
        <v>145</v>
      </c>
      <c r="H122" s="36" t="s">
        <v>146</v>
      </c>
      <c r="J122" s="36" t="s">
        <v>147</v>
      </c>
      <c r="K122" s="36" t="s">
        <v>772</v>
      </c>
      <c r="L122" s="36" t="s">
        <v>149</v>
      </c>
      <c r="M122" s="38">
        <v>6300000</v>
      </c>
      <c r="N122" s="36">
        <v>1</v>
      </c>
      <c r="O122" s="36" t="s">
        <v>150</v>
      </c>
      <c r="P122" s="38">
        <v>2500</v>
      </c>
      <c r="Q122" s="42" t="s">
        <v>845</v>
      </c>
      <c r="R122" s="36" t="s">
        <v>773</v>
      </c>
      <c r="T122" s="36">
        <v>19</v>
      </c>
      <c r="Z122" s="38" t="s">
        <v>807</v>
      </c>
      <c r="AA122" s="38">
        <v>1000</v>
      </c>
      <c r="AB122" s="36">
        <v>5</v>
      </c>
      <c r="AD122" s="38">
        <v>2700000</v>
      </c>
      <c r="AE122" s="38">
        <v>500000</v>
      </c>
      <c r="AF122" s="36">
        <v>500</v>
      </c>
      <c r="AG122" s="36">
        <v>0</v>
      </c>
      <c r="AH122" s="36">
        <v>40620</v>
      </c>
      <c r="AI122" s="38" t="s">
        <v>852</v>
      </c>
      <c r="AJ122" s="38">
        <v>1000</v>
      </c>
      <c r="AK122" s="36">
        <v>205200</v>
      </c>
      <c r="AL122" s="36">
        <v>1000</v>
      </c>
      <c r="AM122" s="36">
        <v>500</v>
      </c>
      <c r="AN122" s="36">
        <v>600</v>
      </c>
      <c r="AO122" s="36">
        <v>2500</v>
      </c>
      <c r="AP122" s="38" t="s">
        <v>155</v>
      </c>
      <c r="AQ122" s="38">
        <v>100</v>
      </c>
      <c r="AR122" s="38" t="s">
        <v>809</v>
      </c>
      <c r="AS122" s="38">
        <v>2000</v>
      </c>
      <c r="AT122" s="38">
        <v>10800</v>
      </c>
      <c r="AU122" s="38">
        <v>2700000</v>
      </c>
      <c r="AV122" s="36">
        <v>200000</v>
      </c>
      <c r="BA122" s="36" t="s">
        <v>157</v>
      </c>
      <c r="BB122" s="36" t="s">
        <v>774</v>
      </c>
      <c r="BC122" s="46"/>
      <c r="BD122" s="39" t="s">
        <v>811</v>
      </c>
      <c r="BE122" s="36">
        <v>1</v>
      </c>
      <c r="BF122" s="36" t="s">
        <v>160</v>
      </c>
      <c r="BG122" s="36" t="s">
        <v>161</v>
      </c>
      <c r="BH122" s="36" t="s">
        <v>162</v>
      </c>
      <c r="BJ122" s="38">
        <v>7200</v>
      </c>
      <c r="BK122" s="38">
        <v>1800</v>
      </c>
      <c r="BL122" s="36">
        <f t="shared" si="1"/>
        <v>1435</v>
      </c>
      <c r="BM122" s="36">
        <v>6</v>
      </c>
      <c r="BN122" s="35" t="s">
        <v>157</v>
      </c>
      <c r="BO122" s="36" t="s">
        <v>940</v>
      </c>
      <c r="BP122" s="54" t="s">
        <v>157</v>
      </c>
      <c r="BQ122" s="36" t="s">
        <v>776</v>
      </c>
    </row>
    <row r="123" spans="1:69" x14ac:dyDescent="0.45">
      <c r="A123" s="36">
        <v>40620</v>
      </c>
      <c r="B123" s="36" t="s">
        <v>950</v>
      </c>
      <c r="C123" s="36" t="s">
        <v>141</v>
      </c>
      <c r="D123" s="36" t="s">
        <v>142</v>
      </c>
      <c r="E123" s="36" t="s">
        <v>286</v>
      </c>
      <c r="F123" s="36" t="s">
        <v>144</v>
      </c>
      <c r="G123" s="36" t="s">
        <v>145</v>
      </c>
      <c r="H123" s="36" t="s">
        <v>146</v>
      </c>
      <c r="J123" s="36" t="s">
        <v>147</v>
      </c>
      <c r="K123" s="36" t="s">
        <v>772</v>
      </c>
      <c r="L123" s="36" t="s">
        <v>149</v>
      </c>
      <c r="M123" s="38">
        <v>6500000</v>
      </c>
      <c r="N123" s="36">
        <v>1</v>
      </c>
      <c r="O123" s="36" t="s">
        <v>150</v>
      </c>
      <c r="P123" s="38">
        <v>3000</v>
      </c>
      <c r="Q123" s="42" t="s">
        <v>845</v>
      </c>
      <c r="R123" s="36" t="s">
        <v>773</v>
      </c>
      <c r="T123" s="36">
        <v>20</v>
      </c>
      <c r="Z123" s="38" t="s">
        <v>807</v>
      </c>
      <c r="AA123" s="38">
        <v>1000</v>
      </c>
      <c r="AB123" s="36">
        <v>5</v>
      </c>
      <c r="AD123" s="38">
        <v>2700000</v>
      </c>
      <c r="AE123" s="38">
        <v>500000</v>
      </c>
      <c r="AF123" s="36">
        <v>500</v>
      </c>
      <c r="AG123" s="36">
        <v>0</v>
      </c>
      <c r="AH123" s="36">
        <v>-1</v>
      </c>
      <c r="AJ123" s="38">
        <v>1000</v>
      </c>
      <c r="AK123" s="35">
        <v>216000</v>
      </c>
      <c r="AL123" s="36">
        <v>1000</v>
      </c>
      <c r="AM123" s="36">
        <v>500</v>
      </c>
      <c r="AN123" s="36">
        <v>600</v>
      </c>
      <c r="AO123" s="36">
        <v>2500</v>
      </c>
      <c r="AP123" s="38" t="s">
        <v>155</v>
      </c>
      <c r="AQ123" s="38">
        <v>100</v>
      </c>
      <c r="AR123" s="38" t="s">
        <v>809</v>
      </c>
      <c r="AS123" s="38">
        <v>2000</v>
      </c>
      <c r="AT123" s="38">
        <v>10800</v>
      </c>
      <c r="AU123" s="38">
        <v>2700000</v>
      </c>
      <c r="AV123" s="36">
        <v>200000</v>
      </c>
      <c r="BA123" s="36" t="s">
        <v>157</v>
      </c>
      <c r="BB123" s="36" t="s">
        <v>774</v>
      </c>
      <c r="BC123" s="46"/>
      <c r="BD123" s="39" t="s">
        <v>811</v>
      </c>
      <c r="BE123" s="36">
        <v>1</v>
      </c>
      <c r="BF123" s="36" t="s">
        <v>160</v>
      </c>
      <c r="BG123" s="36" t="s">
        <v>161</v>
      </c>
      <c r="BH123" s="36" t="s">
        <v>162</v>
      </c>
      <c r="BJ123" s="38">
        <v>7200</v>
      </c>
      <c r="BK123" s="38">
        <v>1800</v>
      </c>
      <c r="BL123" s="36">
        <f t="shared" si="1"/>
        <v>1540</v>
      </c>
      <c r="BM123" s="36">
        <v>6</v>
      </c>
      <c r="BN123" s="35" t="s">
        <v>157</v>
      </c>
      <c r="BO123" s="36" t="s">
        <v>940</v>
      </c>
      <c r="BP123" s="54" t="s">
        <v>157</v>
      </c>
      <c r="BQ123" s="36" t="s">
        <v>776</v>
      </c>
    </row>
    <row r="124" spans="1:69" x14ac:dyDescent="0.45">
      <c r="A124" s="36">
        <v>40701</v>
      </c>
      <c r="B124" s="36" t="s">
        <v>187</v>
      </c>
      <c r="C124" s="36" t="s">
        <v>141</v>
      </c>
      <c r="D124" s="36" t="s">
        <v>142</v>
      </c>
      <c r="E124" s="36" t="s">
        <v>188</v>
      </c>
      <c r="F124" s="36" t="s">
        <v>144</v>
      </c>
      <c r="G124" s="36" t="s">
        <v>145</v>
      </c>
      <c r="H124" s="36" t="s">
        <v>146</v>
      </c>
      <c r="J124" s="36" t="s">
        <v>147</v>
      </c>
      <c r="K124" s="36" t="s">
        <v>189</v>
      </c>
      <c r="L124" s="36" t="s">
        <v>149</v>
      </c>
      <c r="M124" s="38">
        <v>2700000</v>
      </c>
      <c r="N124" s="36">
        <v>1</v>
      </c>
      <c r="O124" s="36" t="s">
        <v>150</v>
      </c>
      <c r="P124" s="38">
        <v>50</v>
      </c>
      <c r="Q124" s="36" t="s">
        <v>805</v>
      </c>
      <c r="R124" s="36" t="s">
        <v>190</v>
      </c>
      <c r="T124" s="36">
        <v>1</v>
      </c>
      <c r="Z124" s="38" t="s">
        <v>807</v>
      </c>
      <c r="AA124" s="38">
        <v>1000</v>
      </c>
      <c r="AB124" s="36">
        <v>5</v>
      </c>
      <c r="AD124" s="38">
        <v>2700000</v>
      </c>
      <c r="AE124" s="38">
        <v>500000</v>
      </c>
      <c r="AF124" s="36">
        <v>500</v>
      </c>
      <c r="AG124" s="36">
        <v>0</v>
      </c>
      <c r="AH124" s="36">
        <v>40702</v>
      </c>
      <c r="AI124" s="38" t="s">
        <v>808</v>
      </c>
      <c r="AJ124" s="38">
        <v>1000</v>
      </c>
      <c r="AK124" s="36">
        <v>21600</v>
      </c>
      <c r="AL124" s="36">
        <v>1000</v>
      </c>
      <c r="AM124" s="36">
        <v>500</v>
      </c>
      <c r="AN124" s="36">
        <v>600</v>
      </c>
      <c r="AO124" s="36">
        <v>2500</v>
      </c>
      <c r="AP124" s="38" t="s">
        <v>155</v>
      </c>
      <c r="AQ124" s="38">
        <v>100</v>
      </c>
      <c r="AR124" s="38" t="s">
        <v>809</v>
      </c>
      <c r="AS124" s="38">
        <v>2000</v>
      </c>
      <c r="AT124" s="38">
        <v>10800</v>
      </c>
      <c r="AU124" s="38">
        <v>2700000</v>
      </c>
      <c r="AV124" s="36">
        <v>200000</v>
      </c>
      <c r="BA124" s="36" t="s">
        <v>157</v>
      </c>
      <c r="BB124" s="36" t="s">
        <v>191</v>
      </c>
      <c r="BC124" s="46"/>
      <c r="BD124" s="39" t="s">
        <v>811</v>
      </c>
      <c r="BE124" s="36">
        <v>1</v>
      </c>
      <c r="BF124" s="36" t="s">
        <v>160</v>
      </c>
      <c r="BG124" s="36" t="s">
        <v>161</v>
      </c>
      <c r="BH124" s="36" t="s">
        <v>162</v>
      </c>
      <c r="BJ124" s="38">
        <v>7200</v>
      </c>
      <c r="BK124" s="38">
        <v>1800</v>
      </c>
      <c r="BL124" s="36">
        <f t="shared" si="1"/>
        <v>400</v>
      </c>
      <c r="BM124" s="36">
        <v>7</v>
      </c>
      <c r="BN124" s="35" t="s">
        <v>157</v>
      </c>
      <c r="BO124" s="36" t="s">
        <v>951</v>
      </c>
      <c r="BP124" s="54" t="s">
        <v>157</v>
      </c>
      <c r="BQ124" s="36" t="s">
        <v>193</v>
      </c>
    </row>
    <row r="125" spans="1:69" x14ac:dyDescent="0.45">
      <c r="A125" s="36">
        <v>40702</v>
      </c>
      <c r="B125" s="36" t="s">
        <v>195</v>
      </c>
      <c r="C125" s="36" t="s">
        <v>141</v>
      </c>
      <c r="D125" s="36" t="s">
        <v>142</v>
      </c>
      <c r="E125" s="36" t="s">
        <v>188</v>
      </c>
      <c r="F125" s="36" t="s">
        <v>144</v>
      </c>
      <c r="G125" s="36" t="s">
        <v>145</v>
      </c>
      <c r="H125" s="36" t="s">
        <v>146</v>
      </c>
      <c r="J125" s="36" t="s">
        <v>147</v>
      </c>
      <c r="K125" s="36" t="s">
        <v>189</v>
      </c>
      <c r="L125" s="36" t="s">
        <v>149</v>
      </c>
      <c r="M125" s="38">
        <v>2900000</v>
      </c>
      <c r="N125" s="36">
        <v>1</v>
      </c>
      <c r="O125" s="36" t="s">
        <v>150</v>
      </c>
      <c r="P125" s="38">
        <v>100</v>
      </c>
      <c r="Q125" s="36" t="s">
        <v>805</v>
      </c>
      <c r="R125" s="36" t="s">
        <v>190</v>
      </c>
      <c r="T125" s="36">
        <v>2</v>
      </c>
      <c r="Z125" s="38" t="s">
        <v>807</v>
      </c>
      <c r="AA125" s="38">
        <v>1000</v>
      </c>
      <c r="AB125" s="36">
        <v>5</v>
      </c>
      <c r="AD125" s="38">
        <v>2700000</v>
      </c>
      <c r="AE125" s="38">
        <v>500000</v>
      </c>
      <c r="AF125" s="36">
        <v>500</v>
      </c>
      <c r="AG125" s="36">
        <v>0</v>
      </c>
      <c r="AH125" s="36">
        <v>40703</v>
      </c>
      <c r="AI125" s="38" t="s">
        <v>815</v>
      </c>
      <c r="AJ125" s="38">
        <v>1000</v>
      </c>
      <c r="AK125" s="36">
        <v>21600</v>
      </c>
      <c r="AL125" s="36">
        <v>1000</v>
      </c>
      <c r="AM125" s="36">
        <v>500</v>
      </c>
      <c r="AN125" s="36">
        <v>600</v>
      </c>
      <c r="AO125" s="36">
        <v>2500</v>
      </c>
      <c r="AP125" s="38" t="s">
        <v>155</v>
      </c>
      <c r="AQ125" s="38">
        <v>100</v>
      </c>
      <c r="AR125" s="38" t="s">
        <v>809</v>
      </c>
      <c r="AS125" s="38">
        <v>2000</v>
      </c>
      <c r="AT125" s="38">
        <v>10800</v>
      </c>
      <c r="AU125" s="38">
        <v>2700000</v>
      </c>
      <c r="AV125" s="36">
        <v>200000</v>
      </c>
      <c r="BA125" s="36" t="s">
        <v>157</v>
      </c>
      <c r="BB125" s="36" t="s">
        <v>191</v>
      </c>
      <c r="BC125" s="46"/>
      <c r="BD125" s="39" t="s">
        <v>811</v>
      </c>
      <c r="BE125" s="36">
        <v>1</v>
      </c>
      <c r="BF125" s="36" t="s">
        <v>160</v>
      </c>
      <c r="BG125" s="36" t="s">
        <v>161</v>
      </c>
      <c r="BH125" s="36" t="s">
        <v>162</v>
      </c>
      <c r="BJ125" s="38">
        <v>7200</v>
      </c>
      <c r="BK125" s="38">
        <v>1800</v>
      </c>
      <c r="BL125" s="36">
        <f t="shared" si="1"/>
        <v>415</v>
      </c>
      <c r="BM125" s="36">
        <v>7</v>
      </c>
      <c r="BN125" s="35" t="s">
        <v>157</v>
      </c>
      <c r="BO125" s="36" t="s">
        <v>951</v>
      </c>
      <c r="BP125" s="54" t="s">
        <v>157</v>
      </c>
      <c r="BQ125" s="36" t="s">
        <v>193</v>
      </c>
    </row>
    <row r="126" spans="1:69" x14ac:dyDescent="0.45">
      <c r="A126" s="36">
        <v>40703</v>
      </c>
      <c r="B126" s="36" t="s">
        <v>196</v>
      </c>
      <c r="C126" s="36" t="s">
        <v>141</v>
      </c>
      <c r="D126" s="36" t="s">
        <v>142</v>
      </c>
      <c r="E126" s="36" t="s">
        <v>188</v>
      </c>
      <c r="F126" s="36" t="s">
        <v>144</v>
      </c>
      <c r="G126" s="36" t="s">
        <v>145</v>
      </c>
      <c r="H126" s="36" t="s">
        <v>146</v>
      </c>
      <c r="J126" s="36" t="s">
        <v>147</v>
      </c>
      <c r="K126" s="36" t="s">
        <v>189</v>
      </c>
      <c r="L126" s="36" t="s">
        <v>149</v>
      </c>
      <c r="M126" s="38">
        <v>3100000</v>
      </c>
      <c r="N126" s="36">
        <v>1</v>
      </c>
      <c r="O126" s="36" t="s">
        <v>150</v>
      </c>
      <c r="P126" s="38">
        <v>150</v>
      </c>
      <c r="Q126" s="36" t="s">
        <v>805</v>
      </c>
      <c r="R126" s="36" t="s">
        <v>190</v>
      </c>
      <c r="T126" s="36">
        <v>3</v>
      </c>
      <c r="Z126" s="38" t="s">
        <v>807</v>
      </c>
      <c r="AA126" s="38">
        <v>1000</v>
      </c>
      <c r="AB126" s="36">
        <v>5</v>
      </c>
      <c r="AD126" s="38">
        <v>2700000</v>
      </c>
      <c r="AE126" s="38">
        <v>500000</v>
      </c>
      <c r="AF126" s="36">
        <v>500</v>
      </c>
      <c r="AG126" s="36">
        <v>0</v>
      </c>
      <c r="AH126" s="36">
        <v>40704</v>
      </c>
      <c r="AI126" s="38" t="s">
        <v>817</v>
      </c>
      <c r="AJ126" s="38">
        <v>1000</v>
      </c>
      <c r="AK126" s="36">
        <v>32400</v>
      </c>
      <c r="AL126" s="36">
        <v>1000</v>
      </c>
      <c r="AM126" s="36">
        <v>500</v>
      </c>
      <c r="AN126" s="36">
        <v>600</v>
      </c>
      <c r="AO126" s="36">
        <v>2500</v>
      </c>
      <c r="AP126" s="38" t="s">
        <v>155</v>
      </c>
      <c r="AQ126" s="38">
        <v>100</v>
      </c>
      <c r="AR126" s="38" t="s">
        <v>809</v>
      </c>
      <c r="AS126" s="38">
        <v>2000</v>
      </c>
      <c r="AT126" s="38">
        <v>10800</v>
      </c>
      <c r="AU126" s="38">
        <v>2700000</v>
      </c>
      <c r="AV126" s="36">
        <v>200000</v>
      </c>
      <c r="BA126" s="36" t="s">
        <v>157</v>
      </c>
      <c r="BB126" s="36" t="s">
        <v>191</v>
      </c>
      <c r="BC126" s="46"/>
      <c r="BD126" s="39" t="s">
        <v>811</v>
      </c>
      <c r="BE126" s="36">
        <v>1</v>
      </c>
      <c r="BF126" s="36" t="s">
        <v>160</v>
      </c>
      <c r="BG126" s="36" t="s">
        <v>161</v>
      </c>
      <c r="BH126" s="36" t="s">
        <v>162</v>
      </c>
      <c r="BJ126" s="38">
        <v>7200</v>
      </c>
      <c r="BK126" s="38">
        <v>1800</v>
      </c>
      <c r="BL126" s="36">
        <f t="shared" si="1"/>
        <v>435</v>
      </c>
      <c r="BM126" s="36">
        <v>7</v>
      </c>
      <c r="BN126" s="35" t="s">
        <v>157</v>
      </c>
      <c r="BO126" s="36" t="s">
        <v>951</v>
      </c>
      <c r="BP126" s="54" t="s">
        <v>157</v>
      </c>
      <c r="BQ126" s="36" t="s">
        <v>193</v>
      </c>
    </row>
    <row r="127" spans="1:69" s="35" customFormat="1" x14ac:dyDescent="0.45">
      <c r="A127" s="36">
        <v>40704</v>
      </c>
      <c r="B127" s="36" t="s">
        <v>197</v>
      </c>
      <c r="C127" s="36" t="s">
        <v>141</v>
      </c>
      <c r="D127" s="36" t="s">
        <v>142</v>
      </c>
      <c r="E127" s="36" t="s">
        <v>188</v>
      </c>
      <c r="F127" s="36" t="s">
        <v>144</v>
      </c>
      <c r="G127" s="36" t="s">
        <v>145</v>
      </c>
      <c r="H127" s="36" t="s">
        <v>146</v>
      </c>
      <c r="I127" s="36"/>
      <c r="J127" s="36" t="s">
        <v>147</v>
      </c>
      <c r="K127" s="36" t="s">
        <v>189</v>
      </c>
      <c r="L127" s="36" t="s">
        <v>149</v>
      </c>
      <c r="M127" s="38">
        <v>3300000</v>
      </c>
      <c r="N127" s="36">
        <v>1</v>
      </c>
      <c r="O127" s="36" t="s">
        <v>150</v>
      </c>
      <c r="P127" s="38">
        <v>200</v>
      </c>
      <c r="Q127" s="36" t="s">
        <v>805</v>
      </c>
      <c r="R127" s="36" t="s">
        <v>190</v>
      </c>
      <c r="S127" s="36"/>
      <c r="T127" s="36">
        <v>4</v>
      </c>
      <c r="U127" s="36"/>
      <c r="V127" s="36"/>
      <c r="W127" s="36"/>
      <c r="X127" s="36"/>
      <c r="Y127" s="36"/>
      <c r="Z127" s="38" t="s">
        <v>807</v>
      </c>
      <c r="AA127" s="38">
        <v>1000</v>
      </c>
      <c r="AB127" s="36">
        <v>5</v>
      </c>
      <c r="AC127" s="36"/>
      <c r="AD127" s="38">
        <v>2700000</v>
      </c>
      <c r="AE127" s="38">
        <v>500000</v>
      </c>
      <c r="AF127" s="36">
        <v>500</v>
      </c>
      <c r="AG127" s="36">
        <v>0</v>
      </c>
      <c r="AH127" s="36">
        <v>40705</v>
      </c>
      <c r="AI127" s="38" t="s">
        <v>819</v>
      </c>
      <c r="AJ127" s="38">
        <v>1000</v>
      </c>
      <c r="AK127" s="36">
        <v>43200</v>
      </c>
      <c r="AL127" s="36">
        <v>1000</v>
      </c>
      <c r="AM127" s="36">
        <v>500</v>
      </c>
      <c r="AN127" s="36">
        <v>600</v>
      </c>
      <c r="AO127" s="36">
        <v>2500</v>
      </c>
      <c r="AP127" s="38" t="s">
        <v>155</v>
      </c>
      <c r="AQ127" s="38">
        <v>100</v>
      </c>
      <c r="AR127" s="38" t="s">
        <v>809</v>
      </c>
      <c r="AS127" s="38">
        <v>2000</v>
      </c>
      <c r="AT127" s="38">
        <v>10800</v>
      </c>
      <c r="AU127" s="38">
        <v>2700000</v>
      </c>
      <c r="AV127" s="36">
        <v>200000</v>
      </c>
      <c r="AW127" s="36"/>
      <c r="AX127" s="36"/>
      <c r="AY127" s="36"/>
      <c r="AZ127" s="36"/>
      <c r="BA127" s="36" t="s">
        <v>157</v>
      </c>
      <c r="BB127" s="36" t="s">
        <v>191</v>
      </c>
      <c r="BC127" s="46"/>
      <c r="BD127" s="39" t="s">
        <v>811</v>
      </c>
      <c r="BE127" s="36">
        <v>1</v>
      </c>
      <c r="BF127" s="36" t="s">
        <v>160</v>
      </c>
      <c r="BG127" s="36" t="s">
        <v>161</v>
      </c>
      <c r="BH127" s="36" t="s">
        <v>162</v>
      </c>
      <c r="BI127"/>
      <c r="BJ127" s="38">
        <v>7200</v>
      </c>
      <c r="BK127" s="38">
        <v>1800</v>
      </c>
      <c r="BL127" s="36">
        <f t="shared" si="1"/>
        <v>460</v>
      </c>
      <c r="BM127" s="36">
        <v>7</v>
      </c>
      <c r="BN127" s="35" t="s">
        <v>157</v>
      </c>
      <c r="BO127" s="36" t="s">
        <v>951</v>
      </c>
      <c r="BP127" s="54" t="s">
        <v>157</v>
      </c>
      <c r="BQ127" s="36" t="s">
        <v>193</v>
      </c>
    </row>
    <row r="128" spans="1:69" x14ac:dyDescent="0.45">
      <c r="A128" s="36">
        <v>40705</v>
      </c>
      <c r="B128" s="36" t="s">
        <v>198</v>
      </c>
      <c r="C128" s="36" t="s">
        <v>141</v>
      </c>
      <c r="D128" s="36" t="s">
        <v>142</v>
      </c>
      <c r="E128" s="36" t="s">
        <v>188</v>
      </c>
      <c r="F128" s="36" t="s">
        <v>144</v>
      </c>
      <c r="G128" s="36" t="s">
        <v>145</v>
      </c>
      <c r="H128" s="36" t="s">
        <v>146</v>
      </c>
      <c r="J128" s="36" t="s">
        <v>147</v>
      </c>
      <c r="K128" s="36" t="s">
        <v>189</v>
      </c>
      <c r="L128" s="36" t="s">
        <v>149</v>
      </c>
      <c r="M128" s="38">
        <v>3500000</v>
      </c>
      <c r="N128" s="36">
        <v>1</v>
      </c>
      <c r="O128" s="36" t="s">
        <v>150</v>
      </c>
      <c r="P128" s="38">
        <v>250</v>
      </c>
      <c r="Q128" s="36" t="s">
        <v>805</v>
      </c>
      <c r="R128" s="36" t="s">
        <v>190</v>
      </c>
      <c r="T128" s="36">
        <v>5</v>
      </c>
      <c r="Z128" s="38" t="s">
        <v>807</v>
      </c>
      <c r="AA128" s="38">
        <v>1000</v>
      </c>
      <c r="AB128" s="36">
        <v>5</v>
      </c>
      <c r="AD128" s="38">
        <v>2700000</v>
      </c>
      <c r="AE128" s="38">
        <v>500000</v>
      </c>
      <c r="AF128" s="36">
        <v>500</v>
      </c>
      <c r="AG128" s="36">
        <v>0</v>
      </c>
      <c r="AH128" s="36">
        <v>40706</v>
      </c>
      <c r="AI128" s="38" t="s">
        <v>821</v>
      </c>
      <c r="AJ128" s="38">
        <v>1000</v>
      </c>
      <c r="AK128" s="36">
        <v>54000</v>
      </c>
      <c r="AL128" s="36">
        <v>1000</v>
      </c>
      <c r="AM128" s="36">
        <v>500</v>
      </c>
      <c r="AN128" s="36">
        <v>600</v>
      </c>
      <c r="AO128" s="36">
        <v>2500</v>
      </c>
      <c r="AP128" s="38" t="s">
        <v>155</v>
      </c>
      <c r="AQ128" s="38">
        <v>100</v>
      </c>
      <c r="AR128" s="38" t="s">
        <v>809</v>
      </c>
      <c r="AS128" s="38">
        <v>2000</v>
      </c>
      <c r="AT128" s="38">
        <v>10800</v>
      </c>
      <c r="AU128" s="38">
        <v>2700000</v>
      </c>
      <c r="AV128" s="36">
        <v>200000</v>
      </c>
      <c r="BA128" s="36" t="s">
        <v>157</v>
      </c>
      <c r="BB128" s="36" t="s">
        <v>191</v>
      </c>
      <c r="BC128" s="46"/>
      <c r="BD128" s="39" t="s">
        <v>811</v>
      </c>
      <c r="BE128" s="36">
        <v>1</v>
      </c>
      <c r="BF128" s="36" t="s">
        <v>160</v>
      </c>
      <c r="BG128" s="36" t="s">
        <v>161</v>
      </c>
      <c r="BH128" s="36" t="s">
        <v>162</v>
      </c>
      <c r="BJ128" s="38">
        <v>7200</v>
      </c>
      <c r="BK128" s="38">
        <v>1800</v>
      </c>
      <c r="BL128" s="36">
        <f t="shared" si="1"/>
        <v>490</v>
      </c>
      <c r="BM128" s="36">
        <v>7</v>
      </c>
      <c r="BN128" s="35" t="s">
        <v>157</v>
      </c>
      <c r="BO128" s="36" t="s">
        <v>951</v>
      </c>
      <c r="BP128" s="54" t="s">
        <v>157</v>
      </c>
      <c r="BQ128" s="36" t="s">
        <v>193</v>
      </c>
    </row>
    <row r="129" spans="1:69" x14ac:dyDescent="0.45">
      <c r="A129" s="36">
        <v>40706</v>
      </c>
      <c r="B129" s="36" t="s">
        <v>199</v>
      </c>
      <c r="C129" s="36" t="s">
        <v>141</v>
      </c>
      <c r="D129" s="36" t="s">
        <v>142</v>
      </c>
      <c r="E129" s="36" t="s">
        <v>188</v>
      </c>
      <c r="F129" s="36" t="s">
        <v>144</v>
      </c>
      <c r="G129" s="36" t="s">
        <v>145</v>
      </c>
      <c r="H129" s="36" t="s">
        <v>146</v>
      </c>
      <c r="J129" s="36" t="s">
        <v>147</v>
      </c>
      <c r="K129" s="36" t="s">
        <v>189</v>
      </c>
      <c r="L129" s="36" t="s">
        <v>149</v>
      </c>
      <c r="M129" s="38">
        <v>3700000</v>
      </c>
      <c r="N129" s="36">
        <v>1</v>
      </c>
      <c r="O129" s="36" t="s">
        <v>150</v>
      </c>
      <c r="P129" s="38">
        <v>300</v>
      </c>
      <c r="Q129" s="42" t="s">
        <v>823</v>
      </c>
      <c r="R129" s="36" t="s">
        <v>190</v>
      </c>
      <c r="T129" s="36">
        <v>6</v>
      </c>
      <c r="Z129" s="38" t="s">
        <v>807</v>
      </c>
      <c r="AA129" s="38">
        <v>1000</v>
      </c>
      <c r="AB129" s="36">
        <v>5</v>
      </c>
      <c r="AD129" s="38">
        <v>2700000</v>
      </c>
      <c r="AE129" s="38">
        <v>500000</v>
      </c>
      <c r="AF129" s="36">
        <v>500</v>
      </c>
      <c r="AG129" s="36">
        <v>0</v>
      </c>
      <c r="AH129" s="36">
        <v>40707</v>
      </c>
      <c r="AI129" s="38" t="s">
        <v>824</v>
      </c>
      <c r="AJ129" s="38">
        <v>1000</v>
      </c>
      <c r="AK129" s="36">
        <v>64800</v>
      </c>
      <c r="AL129" s="36">
        <v>1000</v>
      </c>
      <c r="AM129" s="36">
        <v>500</v>
      </c>
      <c r="AN129" s="36">
        <v>600</v>
      </c>
      <c r="AO129" s="36">
        <v>2500</v>
      </c>
      <c r="AP129" s="38" t="s">
        <v>155</v>
      </c>
      <c r="AQ129" s="38">
        <v>100</v>
      </c>
      <c r="AR129" s="38" t="s">
        <v>809</v>
      </c>
      <c r="AS129" s="38">
        <v>2000</v>
      </c>
      <c r="AT129" s="38">
        <v>10800</v>
      </c>
      <c r="AU129" s="38">
        <v>2700000</v>
      </c>
      <c r="AV129" s="36">
        <v>200000</v>
      </c>
      <c r="BA129" s="36" t="s">
        <v>157</v>
      </c>
      <c r="BB129" s="36" t="s">
        <v>191</v>
      </c>
      <c r="BC129" s="46"/>
      <c r="BD129" s="39" t="s">
        <v>811</v>
      </c>
      <c r="BE129" s="36">
        <v>1</v>
      </c>
      <c r="BF129" s="36" t="s">
        <v>160</v>
      </c>
      <c r="BG129" s="36" t="s">
        <v>161</v>
      </c>
      <c r="BH129" s="36" t="s">
        <v>162</v>
      </c>
      <c r="BJ129" s="38">
        <v>7200</v>
      </c>
      <c r="BK129" s="38">
        <v>1800</v>
      </c>
      <c r="BL129" s="36">
        <f t="shared" si="1"/>
        <v>525</v>
      </c>
      <c r="BM129" s="36">
        <v>7</v>
      </c>
      <c r="BN129" s="35" t="s">
        <v>157</v>
      </c>
      <c r="BO129" s="36" t="s">
        <v>951</v>
      </c>
      <c r="BP129" s="54" t="s">
        <v>157</v>
      </c>
      <c r="BQ129" s="36" t="s">
        <v>193</v>
      </c>
    </row>
    <row r="130" spans="1:69" x14ac:dyDescent="0.45">
      <c r="A130" s="36">
        <v>40707</v>
      </c>
      <c r="B130" s="36" t="s">
        <v>200</v>
      </c>
      <c r="C130" s="36" t="s">
        <v>141</v>
      </c>
      <c r="D130" s="36" t="s">
        <v>142</v>
      </c>
      <c r="E130" s="36" t="s">
        <v>188</v>
      </c>
      <c r="F130" s="36" t="s">
        <v>144</v>
      </c>
      <c r="G130" s="36" t="s">
        <v>145</v>
      </c>
      <c r="H130" s="36" t="s">
        <v>146</v>
      </c>
      <c r="J130" s="36" t="s">
        <v>147</v>
      </c>
      <c r="K130" s="36" t="s">
        <v>189</v>
      </c>
      <c r="L130" s="36" t="s">
        <v>149</v>
      </c>
      <c r="M130" s="38">
        <v>3900000</v>
      </c>
      <c r="N130" s="36">
        <v>1</v>
      </c>
      <c r="O130" s="36" t="s">
        <v>150</v>
      </c>
      <c r="P130" s="38">
        <v>350</v>
      </c>
      <c r="Q130" s="42" t="s">
        <v>823</v>
      </c>
      <c r="R130" s="36" t="s">
        <v>190</v>
      </c>
      <c r="T130" s="36">
        <v>7</v>
      </c>
      <c r="Z130" s="38" t="s">
        <v>807</v>
      </c>
      <c r="AA130" s="38">
        <v>1000</v>
      </c>
      <c r="AB130" s="36">
        <v>5</v>
      </c>
      <c r="AD130" s="38">
        <v>2700000</v>
      </c>
      <c r="AE130" s="38">
        <v>500000</v>
      </c>
      <c r="AF130" s="36">
        <v>500</v>
      </c>
      <c r="AG130" s="36">
        <v>0</v>
      </c>
      <c r="AH130" s="36">
        <v>40708</v>
      </c>
      <c r="AI130" s="38" t="s">
        <v>826</v>
      </c>
      <c r="AJ130" s="38">
        <v>1000</v>
      </c>
      <c r="AK130" s="36">
        <v>75600</v>
      </c>
      <c r="AL130" s="36">
        <v>1000</v>
      </c>
      <c r="AM130" s="36">
        <v>500</v>
      </c>
      <c r="AN130" s="36">
        <v>600</v>
      </c>
      <c r="AO130" s="36">
        <v>2500</v>
      </c>
      <c r="AP130" s="38" t="s">
        <v>155</v>
      </c>
      <c r="AQ130" s="38">
        <v>100</v>
      </c>
      <c r="AR130" s="38" t="s">
        <v>809</v>
      </c>
      <c r="AS130" s="38">
        <v>2000</v>
      </c>
      <c r="AT130" s="38">
        <v>10800</v>
      </c>
      <c r="AU130" s="38">
        <v>2700000</v>
      </c>
      <c r="AV130" s="36">
        <v>200000</v>
      </c>
      <c r="BA130" s="36" t="s">
        <v>157</v>
      </c>
      <c r="BB130" s="36" t="s">
        <v>191</v>
      </c>
      <c r="BC130" s="46"/>
      <c r="BD130" s="39" t="s">
        <v>811</v>
      </c>
      <c r="BE130" s="36">
        <v>1</v>
      </c>
      <c r="BF130" s="36" t="s">
        <v>160</v>
      </c>
      <c r="BG130" s="36" t="s">
        <v>161</v>
      </c>
      <c r="BH130" s="36" t="s">
        <v>162</v>
      </c>
      <c r="BJ130" s="38">
        <v>7200</v>
      </c>
      <c r="BK130" s="38">
        <v>1800</v>
      </c>
      <c r="BL130" s="36">
        <f t="shared" si="1"/>
        <v>565</v>
      </c>
      <c r="BM130" s="36">
        <v>7</v>
      </c>
      <c r="BN130" s="35" t="s">
        <v>157</v>
      </c>
      <c r="BO130" s="36" t="s">
        <v>951</v>
      </c>
      <c r="BP130" s="54" t="s">
        <v>157</v>
      </c>
      <c r="BQ130" s="36" t="s">
        <v>193</v>
      </c>
    </row>
    <row r="131" spans="1:69" x14ac:dyDescent="0.45">
      <c r="A131" s="36">
        <v>40708</v>
      </c>
      <c r="B131" s="36" t="s">
        <v>201</v>
      </c>
      <c r="C131" s="36" t="s">
        <v>141</v>
      </c>
      <c r="D131" s="36" t="s">
        <v>142</v>
      </c>
      <c r="E131" s="36" t="s">
        <v>188</v>
      </c>
      <c r="F131" s="36" t="s">
        <v>144</v>
      </c>
      <c r="G131" s="36" t="s">
        <v>145</v>
      </c>
      <c r="H131" s="36" t="s">
        <v>146</v>
      </c>
      <c r="J131" s="36" t="s">
        <v>147</v>
      </c>
      <c r="K131" s="36" t="s">
        <v>189</v>
      </c>
      <c r="L131" s="36" t="s">
        <v>149</v>
      </c>
      <c r="M131" s="38">
        <v>4100000</v>
      </c>
      <c r="N131" s="36">
        <v>1</v>
      </c>
      <c r="O131" s="36" t="s">
        <v>150</v>
      </c>
      <c r="P131" s="38">
        <v>400</v>
      </c>
      <c r="Q131" s="42" t="s">
        <v>823</v>
      </c>
      <c r="R131" s="36" t="s">
        <v>190</v>
      </c>
      <c r="T131" s="36">
        <v>8</v>
      </c>
      <c r="Z131" s="38" t="s">
        <v>807</v>
      </c>
      <c r="AA131" s="38">
        <v>1000</v>
      </c>
      <c r="AB131" s="36">
        <v>5</v>
      </c>
      <c r="AD131" s="38">
        <v>2700000</v>
      </c>
      <c r="AE131" s="38">
        <v>500000</v>
      </c>
      <c r="AF131" s="36">
        <v>500</v>
      </c>
      <c r="AG131" s="36">
        <v>0</v>
      </c>
      <c r="AH131" s="36">
        <v>40709</v>
      </c>
      <c r="AI131" s="38" t="s">
        <v>828</v>
      </c>
      <c r="AJ131" s="38">
        <v>1000</v>
      </c>
      <c r="AK131" s="36">
        <v>86400</v>
      </c>
      <c r="AL131" s="36">
        <v>1000</v>
      </c>
      <c r="AM131" s="36">
        <v>500</v>
      </c>
      <c r="AN131" s="36">
        <v>600</v>
      </c>
      <c r="AO131" s="36">
        <v>2500</v>
      </c>
      <c r="AP131" s="38" t="s">
        <v>155</v>
      </c>
      <c r="AQ131" s="38">
        <v>100</v>
      </c>
      <c r="AR131" s="38" t="s">
        <v>809</v>
      </c>
      <c r="AS131" s="38">
        <v>2000</v>
      </c>
      <c r="AT131" s="38">
        <v>10800</v>
      </c>
      <c r="AU131" s="38">
        <v>2700000</v>
      </c>
      <c r="AV131" s="36">
        <v>200000</v>
      </c>
      <c r="BA131" s="36" t="s">
        <v>157</v>
      </c>
      <c r="BB131" s="36" t="s">
        <v>191</v>
      </c>
      <c r="BC131" s="46"/>
      <c r="BD131" s="39" t="s">
        <v>811</v>
      </c>
      <c r="BE131" s="36">
        <v>1</v>
      </c>
      <c r="BF131" s="36" t="s">
        <v>160</v>
      </c>
      <c r="BG131" s="36" t="s">
        <v>161</v>
      </c>
      <c r="BH131" s="36" t="s">
        <v>162</v>
      </c>
      <c r="BJ131" s="38">
        <v>7200</v>
      </c>
      <c r="BK131" s="38">
        <v>1800</v>
      </c>
      <c r="BL131" s="36">
        <f t="shared" si="1"/>
        <v>610</v>
      </c>
      <c r="BM131" s="36">
        <v>7</v>
      </c>
      <c r="BN131" s="35" t="s">
        <v>157</v>
      </c>
      <c r="BO131" s="36" t="s">
        <v>951</v>
      </c>
      <c r="BP131" s="54" t="s">
        <v>157</v>
      </c>
      <c r="BQ131" s="36" t="s">
        <v>193</v>
      </c>
    </row>
    <row r="132" spans="1:69" x14ac:dyDescent="0.45">
      <c r="A132" s="36">
        <v>40709</v>
      </c>
      <c r="B132" s="36" t="s">
        <v>202</v>
      </c>
      <c r="C132" s="36" t="s">
        <v>141</v>
      </c>
      <c r="D132" s="36" t="s">
        <v>142</v>
      </c>
      <c r="E132" s="36" t="s">
        <v>188</v>
      </c>
      <c r="F132" s="36" t="s">
        <v>144</v>
      </c>
      <c r="G132" s="36" t="s">
        <v>145</v>
      </c>
      <c r="H132" s="36" t="s">
        <v>146</v>
      </c>
      <c r="J132" s="36" t="s">
        <v>147</v>
      </c>
      <c r="K132" s="36" t="s">
        <v>189</v>
      </c>
      <c r="L132" s="36" t="s">
        <v>149</v>
      </c>
      <c r="M132" s="38">
        <v>4300000</v>
      </c>
      <c r="N132" s="36">
        <v>1</v>
      </c>
      <c r="O132" s="36" t="s">
        <v>150</v>
      </c>
      <c r="P132" s="38">
        <v>450</v>
      </c>
      <c r="Q132" s="42" t="s">
        <v>823</v>
      </c>
      <c r="R132" s="36" t="s">
        <v>190</v>
      </c>
      <c r="T132" s="36">
        <v>9</v>
      </c>
      <c r="Z132" s="38" t="s">
        <v>807</v>
      </c>
      <c r="AA132" s="38">
        <v>1000</v>
      </c>
      <c r="AB132" s="36">
        <v>5</v>
      </c>
      <c r="AD132" s="38">
        <v>2700000</v>
      </c>
      <c r="AE132" s="38">
        <v>500000</v>
      </c>
      <c r="AF132" s="36">
        <v>500</v>
      </c>
      <c r="AG132" s="36">
        <v>0</v>
      </c>
      <c r="AH132" s="36">
        <v>40710</v>
      </c>
      <c r="AI132" s="38" t="s">
        <v>830</v>
      </c>
      <c r="AJ132" s="38">
        <v>1000</v>
      </c>
      <c r="AK132" s="36">
        <v>97200</v>
      </c>
      <c r="AL132" s="36">
        <v>1000</v>
      </c>
      <c r="AM132" s="36">
        <v>500</v>
      </c>
      <c r="AN132" s="36">
        <v>600</v>
      </c>
      <c r="AO132" s="36">
        <v>2500</v>
      </c>
      <c r="AP132" s="38" t="s">
        <v>155</v>
      </c>
      <c r="AQ132" s="38">
        <v>100</v>
      </c>
      <c r="AR132" s="38" t="s">
        <v>809</v>
      </c>
      <c r="AS132" s="38">
        <v>2000</v>
      </c>
      <c r="AT132" s="38">
        <v>10800</v>
      </c>
      <c r="AU132" s="38">
        <v>2700000</v>
      </c>
      <c r="AV132" s="36">
        <v>200000</v>
      </c>
      <c r="BA132" s="36" t="s">
        <v>157</v>
      </c>
      <c r="BB132" s="36" t="s">
        <v>191</v>
      </c>
      <c r="BC132" s="46"/>
      <c r="BD132" s="39" t="s">
        <v>811</v>
      </c>
      <c r="BE132" s="36">
        <v>1</v>
      </c>
      <c r="BF132" s="36" t="s">
        <v>160</v>
      </c>
      <c r="BG132" s="36" t="s">
        <v>161</v>
      </c>
      <c r="BH132" s="36" t="s">
        <v>162</v>
      </c>
      <c r="BJ132" s="38">
        <v>7200</v>
      </c>
      <c r="BK132" s="38">
        <v>1800</v>
      </c>
      <c r="BL132" s="36">
        <f t="shared" si="1"/>
        <v>660</v>
      </c>
      <c r="BM132" s="36">
        <v>7</v>
      </c>
      <c r="BN132" s="35" t="s">
        <v>157</v>
      </c>
      <c r="BO132" s="36" t="s">
        <v>951</v>
      </c>
      <c r="BP132" s="54" t="s">
        <v>157</v>
      </c>
      <c r="BQ132" s="36" t="s">
        <v>193</v>
      </c>
    </row>
    <row r="133" spans="1:69" x14ac:dyDescent="0.45">
      <c r="A133" s="36">
        <v>40710</v>
      </c>
      <c r="B133" s="36" t="s">
        <v>203</v>
      </c>
      <c r="C133" s="36" t="s">
        <v>141</v>
      </c>
      <c r="D133" s="36" t="s">
        <v>142</v>
      </c>
      <c r="E133" s="36" t="s">
        <v>188</v>
      </c>
      <c r="F133" s="36" t="s">
        <v>144</v>
      </c>
      <c r="G133" s="36" t="s">
        <v>145</v>
      </c>
      <c r="H133" s="36" t="s">
        <v>146</v>
      </c>
      <c r="J133" s="36" t="s">
        <v>147</v>
      </c>
      <c r="K133" s="36" t="s">
        <v>189</v>
      </c>
      <c r="L133" s="36" t="s">
        <v>149</v>
      </c>
      <c r="M133" s="38">
        <v>4500000</v>
      </c>
      <c r="N133" s="36">
        <v>1</v>
      </c>
      <c r="O133" s="36" t="s">
        <v>150</v>
      </c>
      <c r="P133" s="38">
        <v>500</v>
      </c>
      <c r="Q133" s="42" t="s">
        <v>823</v>
      </c>
      <c r="R133" s="36" t="s">
        <v>190</v>
      </c>
      <c r="T133" s="36">
        <v>10</v>
      </c>
      <c r="Z133" s="38" t="s">
        <v>807</v>
      </c>
      <c r="AA133" s="38">
        <v>1000</v>
      </c>
      <c r="AB133" s="36">
        <v>5</v>
      </c>
      <c r="AD133" s="38">
        <v>2700000</v>
      </c>
      <c r="AE133" s="38">
        <v>500000</v>
      </c>
      <c r="AF133" s="36">
        <v>500</v>
      </c>
      <c r="AG133" s="36">
        <v>0</v>
      </c>
      <c r="AH133" s="36">
        <v>40711</v>
      </c>
      <c r="AI133" s="38" t="s">
        <v>832</v>
      </c>
      <c r="AJ133" s="38">
        <v>1000</v>
      </c>
      <c r="AK133" s="36">
        <v>108000</v>
      </c>
      <c r="AL133" s="36">
        <v>1000</v>
      </c>
      <c r="AM133" s="36">
        <v>500</v>
      </c>
      <c r="AN133" s="36">
        <v>600</v>
      </c>
      <c r="AO133" s="36">
        <v>2500</v>
      </c>
      <c r="AP133" s="38" t="s">
        <v>155</v>
      </c>
      <c r="AQ133" s="38">
        <v>100</v>
      </c>
      <c r="AR133" s="38" t="s">
        <v>809</v>
      </c>
      <c r="AS133" s="38">
        <v>2000</v>
      </c>
      <c r="AT133" s="38">
        <v>10800</v>
      </c>
      <c r="AU133" s="38">
        <v>2700000</v>
      </c>
      <c r="AV133" s="36">
        <v>200000</v>
      </c>
      <c r="BA133" s="36" t="s">
        <v>157</v>
      </c>
      <c r="BB133" s="36" t="s">
        <v>191</v>
      </c>
      <c r="BC133" s="46"/>
      <c r="BD133" s="39" t="s">
        <v>811</v>
      </c>
      <c r="BE133" s="36">
        <v>1</v>
      </c>
      <c r="BF133" s="36" t="s">
        <v>160</v>
      </c>
      <c r="BG133" s="36" t="s">
        <v>161</v>
      </c>
      <c r="BH133" s="36" t="s">
        <v>162</v>
      </c>
      <c r="BJ133" s="38">
        <v>7200</v>
      </c>
      <c r="BK133" s="38">
        <v>1800</v>
      </c>
      <c r="BL133" s="36">
        <f t="shared" si="1"/>
        <v>715</v>
      </c>
      <c r="BM133" s="36">
        <v>7</v>
      </c>
      <c r="BN133" s="35" t="s">
        <v>157</v>
      </c>
      <c r="BO133" s="36" t="s">
        <v>951</v>
      </c>
      <c r="BP133" s="54" t="s">
        <v>157</v>
      </c>
      <c r="BQ133" s="36" t="s">
        <v>193</v>
      </c>
    </row>
    <row r="134" spans="1:69" x14ac:dyDescent="0.45">
      <c r="A134" s="35">
        <v>40711</v>
      </c>
      <c r="B134" s="36" t="s">
        <v>952</v>
      </c>
      <c r="C134" s="35" t="s">
        <v>141</v>
      </c>
      <c r="D134" s="35" t="s">
        <v>142</v>
      </c>
      <c r="E134" s="35" t="s">
        <v>188</v>
      </c>
      <c r="F134" s="36" t="s">
        <v>144</v>
      </c>
      <c r="G134" s="35" t="s">
        <v>145</v>
      </c>
      <c r="H134" s="35" t="s">
        <v>146</v>
      </c>
      <c r="I134" s="35"/>
      <c r="J134" s="35" t="s">
        <v>147</v>
      </c>
      <c r="K134" s="35" t="s">
        <v>189</v>
      </c>
      <c r="L134" s="35" t="s">
        <v>149</v>
      </c>
      <c r="M134" s="38">
        <v>4700000</v>
      </c>
      <c r="N134" s="36">
        <v>1</v>
      </c>
      <c r="O134" s="35" t="s">
        <v>150</v>
      </c>
      <c r="P134" s="38">
        <v>600</v>
      </c>
      <c r="Q134" s="36" t="s">
        <v>834</v>
      </c>
      <c r="R134" s="35" t="s">
        <v>190</v>
      </c>
      <c r="S134" s="35"/>
      <c r="T134" s="36">
        <v>11</v>
      </c>
      <c r="X134" s="35"/>
      <c r="Y134" s="35"/>
      <c r="Z134" s="38" t="s">
        <v>807</v>
      </c>
      <c r="AA134" s="38">
        <v>1000</v>
      </c>
      <c r="AB134" s="35">
        <v>5</v>
      </c>
      <c r="AC134" s="35"/>
      <c r="AD134" s="38">
        <v>2700000</v>
      </c>
      <c r="AE134" s="38">
        <v>500000</v>
      </c>
      <c r="AF134" s="35">
        <v>500</v>
      </c>
      <c r="AG134" s="35">
        <v>0</v>
      </c>
      <c r="AH134" s="36">
        <v>40712</v>
      </c>
      <c r="AI134" s="38" t="s">
        <v>835</v>
      </c>
      <c r="AJ134" s="38">
        <v>1000</v>
      </c>
      <c r="AK134" s="34">
        <v>118800</v>
      </c>
      <c r="AL134" s="36">
        <v>1000</v>
      </c>
      <c r="AM134" s="35">
        <v>500</v>
      </c>
      <c r="AN134" s="35">
        <v>600</v>
      </c>
      <c r="AO134" s="35">
        <v>2500</v>
      </c>
      <c r="AP134" s="38" t="s">
        <v>155</v>
      </c>
      <c r="AQ134" s="38">
        <v>100</v>
      </c>
      <c r="AR134" s="38" t="s">
        <v>809</v>
      </c>
      <c r="AS134" s="38">
        <v>2000</v>
      </c>
      <c r="AT134" s="38">
        <v>10800</v>
      </c>
      <c r="AU134" s="38">
        <v>2700000</v>
      </c>
      <c r="AV134" s="35">
        <v>200000</v>
      </c>
      <c r="AW134" s="35"/>
      <c r="AX134" s="35"/>
      <c r="AY134" s="35"/>
      <c r="AZ134" s="35"/>
      <c r="BA134" s="35" t="s">
        <v>157</v>
      </c>
      <c r="BB134" s="36" t="s">
        <v>191</v>
      </c>
      <c r="BC134" s="48"/>
      <c r="BD134" s="39" t="s">
        <v>811</v>
      </c>
      <c r="BE134" s="35">
        <v>1</v>
      </c>
      <c r="BF134" s="35" t="s">
        <v>160</v>
      </c>
      <c r="BG134" s="35" t="s">
        <v>161</v>
      </c>
      <c r="BH134" s="35" t="s">
        <v>162</v>
      </c>
      <c r="BI134" s="53"/>
      <c r="BJ134" s="38">
        <v>7200</v>
      </c>
      <c r="BK134" s="38">
        <v>1800</v>
      </c>
      <c r="BL134" s="36">
        <f t="shared" si="1"/>
        <v>775</v>
      </c>
      <c r="BM134" s="36">
        <v>7</v>
      </c>
      <c r="BN134" s="35" t="s">
        <v>157</v>
      </c>
      <c r="BO134" s="36" t="s">
        <v>951</v>
      </c>
      <c r="BP134" s="54" t="s">
        <v>157</v>
      </c>
      <c r="BQ134" s="36" t="s">
        <v>193</v>
      </c>
    </row>
    <row r="135" spans="1:69" x14ac:dyDescent="0.45">
      <c r="A135" s="36">
        <v>40712</v>
      </c>
      <c r="B135" s="36" t="s">
        <v>953</v>
      </c>
      <c r="C135" s="36" t="s">
        <v>141</v>
      </c>
      <c r="D135" s="36" t="s">
        <v>142</v>
      </c>
      <c r="E135" s="36" t="s">
        <v>188</v>
      </c>
      <c r="F135" s="36" t="s">
        <v>144</v>
      </c>
      <c r="G135" s="36" t="s">
        <v>145</v>
      </c>
      <c r="H135" s="36" t="s">
        <v>146</v>
      </c>
      <c r="J135" s="36" t="s">
        <v>147</v>
      </c>
      <c r="K135" s="36" t="s">
        <v>189</v>
      </c>
      <c r="L135" s="36" t="s">
        <v>149</v>
      </c>
      <c r="M135" s="38">
        <v>4900000</v>
      </c>
      <c r="N135" s="36">
        <v>1</v>
      </c>
      <c r="O135" s="36" t="s">
        <v>150</v>
      </c>
      <c r="P135" s="38">
        <v>700</v>
      </c>
      <c r="Q135" s="36" t="s">
        <v>834</v>
      </c>
      <c r="R135" s="36" t="s">
        <v>190</v>
      </c>
      <c r="T135" s="36">
        <v>12</v>
      </c>
      <c r="Z135" s="38" t="s">
        <v>807</v>
      </c>
      <c r="AA135" s="38">
        <v>1000</v>
      </c>
      <c r="AB135" s="36">
        <v>5</v>
      </c>
      <c r="AD135" s="38">
        <v>2700000</v>
      </c>
      <c r="AE135" s="38">
        <v>500000</v>
      </c>
      <c r="AF135" s="36">
        <v>500</v>
      </c>
      <c r="AG135" s="36">
        <v>0</v>
      </c>
      <c r="AH135" s="36">
        <v>40713</v>
      </c>
      <c r="AI135" s="38" t="s">
        <v>837</v>
      </c>
      <c r="AJ135" s="38">
        <v>1000</v>
      </c>
      <c r="AK135" s="34">
        <v>129600</v>
      </c>
      <c r="AL135" s="36">
        <v>1000</v>
      </c>
      <c r="AM135" s="36">
        <v>500</v>
      </c>
      <c r="AN135" s="36">
        <v>600</v>
      </c>
      <c r="AO135" s="36">
        <v>2500</v>
      </c>
      <c r="AP135" s="38" t="s">
        <v>155</v>
      </c>
      <c r="AQ135" s="38">
        <v>100</v>
      </c>
      <c r="AR135" s="38" t="s">
        <v>809</v>
      </c>
      <c r="AS135" s="38">
        <v>2000</v>
      </c>
      <c r="AT135" s="38">
        <v>10800</v>
      </c>
      <c r="AU135" s="38">
        <v>2700000</v>
      </c>
      <c r="AV135" s="36">
        <v>200000</v>
      </c>
      <c r="BA135" s="36" t="s">
        <v>157</v>
      </c>
      <c r="BB135" s="36" t="s">
        <v>191</v>
      </c>
      <c r="BC135" s="46"/>
      <c r="BD135" s="39" t="s">
        <v>811</v>
      </c>
      <c r="BE135" s="36">
        <v>1</v>
      </c>
      <c r="BF135" s="36" t="s">
        <v>160</v>
      </c>
      <c r="BG135" s="36" t="s">
        <v>161</v>
      </c>
      <c r="BH135" s="36" t="s">
        <v>162</v>
      </c>
      <c r="BJ135" s="38">
        <v>7200</v>
      </c>
      <c r="BK135" s="38">
        <v>1800</v>
      </c>
      <c r="BL135" s="36">
        <f t="shared" si="1"/>
        <v>840</v>
      </c>
      <c r="BM135" s="36">
        <v>7</v>
      </c>
      <c r="BN135" s="35" t="s">
        <v>157</v>
      </c>
      <c r="BO135" s="36" t="s">
        <v>951</v>
      </c>
      <c r="BP135" s="54" t="s">
        <v>157</v>
      </c>
      <c r="BQ135" s="36" t="s">
        <v>193</v>
      </c>
    </row>
    <row r="136" spans="1:69" x14ac:dyDescent="0.45">
      <c r="A136" s="36">
        <v>40713</v>
      </c>
      <c r="B136" s="36" t="s">
        <v>954</v>
      </c>
      <c r="C136" s="36" t="s">
        <v>141</v>
      </c>
      <c r="D136" s="36" t="s">
        <v>142</v>
      </c>
      <c r="E136" s="36" t="s">
        <v>188</v>
      </c>
      <c r="F136" s="36" t="s">
        <v>144</v>
      </c>
      <c r="G136" s="36" t="s">
        <v>145</v>
      </c>
      <c r="H136" s="36" t="s">
        <v>146</v>
      </c>
      <c r="J136" s="36" t="s">
        <v>147</v>
      </c>
      <c r="K136" s="36" t="s">
        <v>189</v>
      </c>
      <c r="L136" s="36" t="s">
        <v>149</v>
      </c>
      <c r="M136" s="38">
        <v>5100000</v>
      </c>
      <c r="N136" s="36">
        <v>1</v>
      </c>
      <c r="O136" s="36" t="s">
        <v>150</v>
      </c>
      <c r="P136" s="38">
        <v>800</v>
      </c>
      <c r="Q136" s="36" t="s">
        <v>834</v>
      </c>
      <c r="R136" s="36" t="s">
        <v>190</v>
      </c>
      <c r="T136" s="36">
        <v>13</v>
      </c>
      <c r="Z136" s="38" t="s">
        <v>807</v>
      </c>
      <c r="AA136" s="38">
        <v>1000</v>
      </c>
      <c r="AB136" s="36">
        <v>5</v>
      </c>
      <c r="AD136" s="38">
        <v>2700000</v>
      </c>
      <c r="AE136" s="38">
        <v>500000</v>
      </c>
      <c r="AF136" s="36">
        <v>500</v>
      </c>
      <c r="AG136" s="36">
        <v>0</v>
      </c>
      <c r="AH136" s="36">
        <v>40714</v>
      </c>
      <c r="AI136" s="38" t="s">
        <v>839</v>
      </c>
      <c r="AJ136" s="38">
        <v>1000</v>
      </c>
      <c r="AK136" s="34">
        <v>140400</v>
      </c>
      <c r="AL136" s="36">
        <v>1000</v>
      </c>
      <c r="AM136" s="36">
        <v>500</v>
      </c>
      <c r="AN136" s="36">
        <v>600</v>
      </c>
      <c r="AO136" s="36">
        <v>2500</v>
      </c>
      <c r="AP136" s="38" t="s">
        <v>155</v>
      </c>
      <c r="AQ136" s="38">
        <v>100</v>
      </c>
      <c r="AR136" s="38" t="s">
        <v>809</v>
      </c>
      <c r="AS136" s="38">
        <v>2000</v>
      </c>
      <c r="AT136" s="38">
        <v>10800</v>
      </c>
      <c r="AU136" s="38">
        <v>2700000</v>
      </c>
      <c r="AV136" s="36">
        <v>200000</v>
      </c>
      <c r="BA136" s="36" t="s">
        <v>157</v>
      </c>
      <c r="BB136" s="36" t="s">
        <v>191</v>
      </c>
      <c r="BC136" s="46"/>
      <c r="BD136" s="39" t="s">
        <v>811</v>
      </c>
      <c r="BE136" s="36">
        <v>1</v>
      </c>
      <c r="BF136" s="36" t="s">
        <v>160</v>
      </c>
      <c r="BG136" s="36" t="s">
        <v>161</v>
      </c>
      <c r="BH136" s="36" t="s">
        <v>162</v>
      </c>
      <c r="BJ136" s="38">
        <v>7200</v>
      </c>
      <c r="BK136" s="38">
        <v>1800</v>
      </c>
      <c r="BL136" s="36">
        <f t="shared" si="1"/>
        <v>910</v>
      </c>
      <c r="BM136" s="36">
        <v>7</v>
      </c>
      <c r="BN136" s="35" t="s">
        <v>157</v>
      </c>
      <c r="BO136" s="36" t="s">
        <v>951</v>
      </c>
      <c r="BP136" s="54" t="s">
        <v>157</v>
      </c>
      <c r="BQ136" s="36" t="s">
        <v>193</v>
      </c>
    </row>
    <row r="137" spans="1:69" x14ac:dyDescent="0.45">
      <c r="A137" s="36">
        <v>40714</v>
      </c>
      <c r="B137" s="36" t="s">
        <v>955</v>
      </c>
      <c r="C137" s="36" t="s">
        <v>141</v>
      </c>
      <c r="D137" s="36" t="s">
        <v>142</v>
      </c>
      <c r="E137" s="36" t="s">
        <v>188</v>
      </c>
      <c r="F137" s="36" t="s">
        <v>144</v>
      </c>
      <c r="G137" s="36" t="s">
        <v>145</v>
      </c>
      <c r="H137" s="36" t="s">
        <v>146</v>
      </c>
      <c r="J137" s="36" t="s">
        <v>147</v>
      </c>
      <c r="K137" s="36" t="s">
        <v>189</v>
      </c>
      <c r="L137" s="36" t="s">
        <v>149</v>
      </c>
      <c r="M137" s="38">
        <v>5300000</v>
      </c>
      <c r="N137" s="36">
        <v>1</v>
      </c>
      <c r="O137" s="36" t="s">
        <v>150</v>
      </c>
      <c r="P137" s="38">
        <v>900</v>
      </c>
      <c r="Q137" s="36" t="s">
        <v>834</v>
      </c>
      <c r="R137" s="36" t="s">
        <v>190</v>
      </c>
      <c r="T137" s="36">
        <v>14</v>
      </c>
      <c r="Z137" s="38" t="s">
        <v>807</v>
      </c>
      <c r="AA137" s="38">
        <v>1000</v>
      </c>
      <c r="AB137" s="36">
        <v>5</v>
      </c>
      <c r="AD137" s="38">
        <v>2700000</v>
      </c>
      <c r="AE137" s="38">
        <v>500000</v>
      </c>
      <c r="AF137" s="36">
        <v>500</v>
      </c>
      <c r="AG137" s="36">
        <v>0</v>
      </c>
      <c r="AH137" s="36">
        <v>40715</v>
      </c>
      <c r="AI137" s="38" t="s">
        <v>841</v>
      </c>
      <c r="AJ137" s="38">
        <v>1000</v>
      </c>
      <c r="AK137" s="34">
        <v>151200</v>
      </c>
      <c r="AL137" s="36">
        <v>1000</v>
      </c>
      <c r="AM137" s="36">
        <v>500</v>
      </c>
      <c r="AN137" s="36">
        <v>600</v>
      </c>
      <c r="AO137" s="36">
        <v>2500</v>
      </c>
      <c r="AP137" s="38" t="s">
        <v>155</v>
      </c>
      <c r="AQ137" s="38">
        <v>100</v>
      </c>
      <c r="AR137" s="38" t="s">
        <v>809</v>
      </c>
      <c r="AS137" s="38">
        <v>2000</v>
      </c>
      <c r="AT137" s="38">
        <v>10800</v>
      </c>
      <c r="AU137" s="38">
        <v>2700000</v>
      </c>
      <c r="AV137" s="36">
        <v>200000</v>
      </c>
      <c r="BA137" s="36" t="s">
        <v>157</v>
      </c>
      <c r="BB137" s="36" t="s">
        <v>191</v>
      </c>
      <c r="BC137" s="46"/>
      <c r="BD137" s="39" t="s">
        <v>811</v>
      </c>
      <c r="BE137" s="36">
        <v>1</v>
      </c>
      <c r="BF137" s="36" t="s">
        <v>160</v>
      </c>
      <c r="BG137" s="36" t="s">
        <v>161</v>
      </c>
      <c r="BH137" s="36" t="s">
        <v>162</v>
      </c>
      <c r="BJ137" s="38">
        <v>7200</v>
      </c>
      <c r="BK137" s="38">
        <v>1800</v>
      </c>
      <c r="BL137" s="36">
        <f t="shared" si="1"/>
        <v>985</v>
      </c>
      <c r="BM137" s="36">
        <v>7</v>
      </c>
      <c r="BN137" s="35" t="s">
        <v>157</v>
      </c>
      <c r="BO137" s="36" t="s">
        <v>951</v>
      </c>
      <c r="BP137" s="54" t="s">
        <v>157</v>
      </c>
      <c r="BQ137" s="36" t="s">
        <v>193</v>
      </c>
    </row>
    <row r="138" spans="1:69" s="35" customFormat="1" x14ac:dyDescent="0.45">
      <c r="A138" s="36">
        <v>40715</v>
      </c>
      <c r="B138" s="36" t="s">
        <v>956</v>
      </c>
      <c r="C138" s="36" t="s">
        <v>141</v>
      </c>
      <c r="D138" s="36" t="s">
        <v>142</v>
      </c>
      <c r="E138" s="36" t="s">
        <v>188</v>
      </c>
      <c r="F138" s="36" t="s">
        <v>144</v>
      </c>
      <c r="G138" s="36" t="s">
        <v>145</v>
      </c>
      <c r="H138" s="36" t="s">
        <v>146</v>
      </c>
      <c r="I138" s="36"/>
      <c r="J138" s="36" t="s">
        <v>147</v>
      </c>
      <c r="K138" s="36" t="s">
        <v>189</v>
      </c>
      <c r="L138" s="36" t="s">
        <v>149</v>
      </c>
      <c r="M138" s="38">
        <v>5500000</v>
      </c>
      <c r="N138" s="36">
        <v>1</v>
      </c>
      <c r="O138" s="36" t="s">
        <v>150</v>
      </c>
      <c r="P138" s="38">
        <v>1000</v>
      </c>
      <c r="Q138" s="36" t="s">
        <v>834</v>
      </c>
      <c r="R138" s="36" t="s">
        <v>190</v>
      </c>
      <c r="S138" s="36"/>
      <c r="T138" s="36">
        <v>15</v>
      </c>
      <c r="U138" s="36"/>
      <c r="V138" s="36"/>
      <c r="W138" s="36"/>
      <c r="X138" s="36"/>
      <c r="Y138" s="36"/>
      <c r="Z138" s="38" t="s">
        <v>807</v>
      </c>
      <c r="AA138" s="38">
        <v>1000</v>
      </c>
      <c r="AB138" s="36">
        <v>5</v>
      </c>
      <c r="AC138" s="36"/>
      <c r="AD138" s="38">
        <v>2700000</v>
      </c>
      <c r="AE138" s="38">
        <v>500000</v>
      </c>
      <c r="AF138" s="36">
        <v>500</v>
      </c>
      <c r="AG138" s="36">
        <v>0</v>
      </c>
      <c r="AH138" s="36">
        <v>40716</v>
      </c>
      <c r="AI138" s="38" t="s">
        <v>843</v>
      </c>
      <c r="AJ138" s="38">
        <v>1000</v>
      </c>
      <c r="AK138" s="34">
        <v>162000</v>
      </c>
      <c r="AL138" s="36">
        <v>1000</v>
      </c>
      <c r="AM138" s="36">
        <v>500</v>
      </c>
      <c r="AN138" s="36">
        <v>600</v>
      </c>
      <c r="AO138" s="36">
        <v>2500</v>
      </c>
      <c r="AP138" s="38" t="s">
        <v>155</v>
      </c>
      <c r="AQ138" s="38">
        <v>100</v>
      </c>
      <c r="AR138" s="38" t="s">
        <v>809</v>
      </c>
      <c r="AS138" s="38">
        <v>2000</v>
      </c>
      <c r="AT138" s="38">
        <v>10800</v>
      </c>
      <c r="AU138" s="38">
        <v>2700000</v>
      </c>
      <c r="AV138" s="36">
        <v>200000</v>
      </c>
      <c r="AW138" s="36"/>
      <c r="AX138" s="36"/>
      <c r="AY138" s="36"/>
      <c r="AZ138" s="36"/>
      <c r="BA138" s="36" t="s">
        <v>157</v>
      </c>
      <c r="BB138" s="36" t="s">
        <v>191</v>
      </c>
      <c r="BC138" s="46"/>
      <c r="BD138" s="39" t="s">
        <v>811</v>
      </c>
      <c r="BE138" s="36">
        <v>1</v>
      </c>
      <c r="BF138" s="36" t="s">
        <v>160</v>
      </c>
      <c r="BG138" s="36" t="s">
        <v>161</v>
      </c>
      <c r="BH138" s="36" t="s">
        <v>162</v>
      </c>
      <c r="BI138"/>
      <c r="BJ138" s="38">
        <v>7200</v>
      </c>
      <c r="BK138" s="38">
        <v>1800</v>
      </c>
      <c r="BL138" s="36">
        <f t="shared" si="1"/>
        <v>1065</v>
      </c>
      <c r="BM138" s="36">
        <v>7</v>
      </c>
      <c r="BN138" s="35" t="s">
        <v>157</v>
      </c>
      <c r="BO138" s="36" t="s">
        <v>951</v>
      </c>
      <c r="BP138" s="54" t="s">
        <v>157</v>
      </c>
      <c r="BQ138" s="36" t="s">
        <v>193</v>
      </c>
    </row>
    <row r="139" spans="1:69" x14ac:dyDescent="0.45">
      <c r="A139" s="36">
        <v>40716</v>
      </c>
      <c r="B139" s="36" t="s">
        <v>957</v>
      </c>
      <c r="C139" s="36" t="s">
        <v>141</v>
      </c>
      <c r="D139" s="36" t="s">
        <v>142</v>
      </c>
      <c r="E139" s="36" t="s">
        <v>188</v>
      </c>
      <c r="F139" s="36" t="s">
        <v>144</v>
      </c>
      <c r="G139" s="36" t="s">
        <v>145</v>
      </c>
      <c r="H139" s="36" t="s">
        <v>146</v>
      </c>
      <c r="J139" s="36" t="s">
        <v>147</v>
      </c>
      <c r="K139" s="36" t="s">
        <v>189</v>
      </c>
      <c r="L139" s="36" t="s">
        <v>149</v>
      </c>
      <c r="M139" s="38">
        <v>5700000</v>
      </c>
      <c r="N139" s="36">
        <v>1</v>
      </c>
      <c r="O139" s="36" t="s">
        <v>150</v>
      </c>
      <c r="P139" s="38">
        <v>1200</v>
      </c>
      <c r="Q139" s="42" t="s">
        <v>845</v>
      </c>
      <c r="R139" s="36" t="s">
        <v>190</v>
      </c>
      <c r="T139" s="36">
        <v>16</v>
      </c>
      <c r="Z139" s="38" t="s">
        <v>807</v>
      </c>
      <c r="AA139" s="38">
        <v>1000</v>
      </c>
      <c r="AB139" s="36">
        <v>5</v>
      </c>
      <c r="AD139" s="38">
        <v>2700000</v>
      </c>
      <c r="AE139" s="38">
        <v>500000</v>
      </c>
      <c r="AF139" s="36">
        <v>500</v>
      </c>
      <c r="AG139" s="36">
        <v>0</v>
      </c>
      <c r="AH139" s="36">
        <v>40717</v>
      </c>
      <c r="AI139" s="38" t="s">
        <v>846</v>
      </c>
      <c r="AJ139" s="38">
        <v>1000</v>
      </c>
      <c r="AK139" s="36">
        <v>172800</v>
      </c>
      <c r="AL139" s="36">
        <v>1000</v>
      </c>
      <c r="AM139" s="36">
        <v>500</v>
      </c>
      <c r="AN139" s="36">
        <v>600</v>
      </c>
      <c r="AO139" s="36">
        <v>2500</v>
      </c>
      <c r="AP139" s="38" t="s">
        <v>155</v>
      </c>
      <c r="AQ139" s="38">
        <v>100</v>
      </c>
      <c r="AR139" s="38" t="s">
        <v>809</v>
      </c>
      <c r="AS139" s="38">
        <v>2000</v>
      </c>
      <c r="AT139" s="38">
        <v>10800</v>
      </c>
      <c r="AU139" s="38">
        <v>2700000</v>
      </c>
      <c r="AV139" s="36">
        <v>200000</v>
      </c>
      <c r="BA139" s="36" t="s">
        <v>157</v>
      </c>
      <c r="BB139" s="36" t="s">
        <v>191</v>
      </c>
      <c r="BC139" s="46"/>
      <c r="BD139" s="39" t="s">
        <v>811</v>
      </c>
      <c r="BE139" s="36">
        <v>1</v>
      </c>
      <c r="BF139" s="36" t="s">
        <v>160</v>
      </c>
      <c r="BG139" s="36" t="s">
        <v>161</v>
      </c>
      <c r="BH139" s="36" t="s">
        <v>162</v>
      </c>
      <c r="BJ139" s="38">
        <v>7200</v>
      </c>
      <c r="BK139" s="38">
        <v>1800</v>
      </c>
      <c r="BL139" s="36">
        <f t="shared" si="1"/>
        <v>1150</v>
      </c>
      <c r="BM139" s="36">
        <v>7</v>
      </c>
      <c r="BN139" s="35" t="s">
        <v>157</v>
      </c>
      <c r="BO139" s="36" t="s">
        <v>951</v>
      </c>
      <c r="BP139" s="54" t="s">
        <v>157</v>
      </c>
      <c r="BQ139" s="36" t="s">
        <v>193</v>
      </c>
    </row>
    <row r="140" spans="1:69" x14ac:dyDescent="0.45">
      <c r="A140" s="36">
        <v>40717</v>
      </c>
      <c r="B140" s="36" t="s">
        <v>958</v>
      </c>
      <c r="C140" s="36" t="s">
        <v>141</v>
      </c>
      <c r="D140" s="36" t="s">
        <v>142</v>
      </c>
      <c r="E140" s="36" t="s">
        <v>188</v>
      </c>
      <c r="F140" s="36" t="s">
        <v>144</v>
      </c>
      <c r="G140" s="36" t="s">
        <v>145</v>
      </c>
      <c r="H140" s="36" t="s">
        <v>146</v>
      </c>
      <c r="J140" s="36" t="s">
        <v>147</v>
      </c>
      <c r="K140" s="36" t="s">
        <v>189</v>
      </c>
      <c r="L140" s="36" t="s">
        <v>149</v>
      </c>
      <c r="M140" s="38">
        <v>5900000</v>
      </c>
      <c r="N140" s="36">
        <v>1</v>
      </c>
      <c r="O140" s="36" t="s">
        <v>150</v>
      </c>
      <c r="P140" s="38">
        <v>1500</v>
      </c>
      <c r="Q140" s="42" t="s">
        <v>845</v>
      </c>
      <c r="R140" s="36" t="s">
        <v>190</v>
      </c>
      <c r="T140" s="36">
        <v>17</v>
      </c>
      <c r="Z140" s="38" t="s">
        <v>807</v>
      </c>
      <c r="AA140" s="38">
        <v>1000</v>
      </c>
      <c r="AB140" s="36">
        <v>5</v>
      </c>
      <c r="AD140" s="38">
        <v>2700000</v>
      </c>
      <c r="AE140" s="38">
        <v>500000</v>
      </c>
      <c r="AF140" s="36">
        <v>500</v>
      </c>
      <c r="AG140" s="36">
        <v>0</v>
      </c>
      <c r="AH140" s="36">
        <v>40718</v>
      </c>
      <c r="AI140" s="38" t="s">
        <v>848</v>
      </c>
      <c r="AJ140" s="38">
        <v>1000</v>
      </c>
      <c r="AK140" s="36">
        <v>183600</v>
      </c>
      <c r="AL140" s="36">
        <v>1000</v>
      </c>
      <c r="AM140" s="36">
        <v>500</v>
      </c>
      <c r="AN140" s="36">
        <v>600</v>
      </c>
      <c r="AO140" s="36">
        <v>2500</v>
      </c>
      <c r="AP140" s="38" t="s">
        <v>155</v>
      </c>
      <c r="AQ140" s="38">
        <v>100</v>
      </c>
      <c r="AR140" s="38" t="s">
        <v>809</v>
      </c>
      <c r="AS140" s="38">
        <v>2000</v>
      </c>
      <c r="AT140" s="38">
        <v>10800</v>
      </c>
      <c r="AU140" s="38">
        <v>2700000</v>
      </c>
      <c r="AV140" s="36">
        <v>200000</v>
      </c>
      <c r="BA140" s="36" t="s">
        <v>157</v>
      </c>
      <c r="BB140" s="36" t="s">
        <v>191</v>
      </c>
      <c r="BC140" s="46"/>
      <c r="BD140" s="39" t="s">
        <v>811</v>
      </c>
      <c r="BE140" s="36">
        <v>1</v>
      </c>
      <c r="BF140" s="36" t="s">
        <v>160</v>
      </c>
      <c r="BG140" s="36" t="s">
        <v>161</v>
      </c>
      <c r="BH140" s="36" t="s">
        <v>162</v>
      </c>
      <c r="BJ140" s="38">
        <v>7200</v>
      </c>
      <c r="BK140" s="38">
        <v>1800</v>
      </c>
      <c r="BL140" s="36">
        <f t="shared" si="1"/>
        <v>1240</v>
      </c>
      <c r="BM140" s="36">
        <v>7</v>
      </c>
      <c r="BN140" s="35" t="s">
        <v>157</v>
      </c>
      <c r="BO140" s="36" t="s">
        <v>951</v>
      </c>
      <c r="BP140" s="54" t="s">
        <v>157</v>
      </c>
      <c r="BQ140" s="36" t="s">
        <v>193</v>
      </c>
    </row>
    <row r="141" spans="1:69" x14ac:dyDescent="0.45">
      <c r="A141" s="36">
        <v>40718</v>
      </c>
      <c r="B141" s="36" t="s">
        <v>959</v>
      </c>
      <c r="C141" s="36" t="s">
        <v>141</v>
      </c>
      <c r="D141" s="36" t="s">
        <v>142</v>
      </c>
      <c r="E141" s="36" t="s">
        <v>188</v>
      </c>
      <c r="F141" s="36" t="s">
        <v>144</v>
      </c>
      <c r="G141" s="36" t="s">
        <v>145</v>
      </c>
      <c r="H141" s="36" t="s">
        <v>146</v>
      </c>
      <c r="J141" s="36" t="s">
        <v>147</v>
      </c>
      <c r="K141" s="36" t="s">
        <v>189</v>
      </c>
      <c r="L141" s="36" t="s">
        <v>149</v>
      </c>
      <c r="M141" s="38">
        <v>6100000</v>
      </c>
      <c r="N141" s="36">
        <v>1</v>
      </c>
      <c r="O141" s="36" t="s">
        <v>150</v>
      </c>
      <c r="P141" s="38">
        <v>2000</v>
      </c>
      <c r="Q141" s="42" t="s">
        <v>845</v>
      </c>
      <c r="R141" s="36" t="s">
        <v>190</v>
      </c>
      <c r="T141" s="36">
        <v>18</v>
      </c>
      <c r="Z141" s="38" t="s">
        <v>807</v>
      </c>
      <c r="AA141" s="38">
        <v>1000</v>
      </c>
      <c r="AB141" s="36">
        <v>5</v>
      </c>
      <c r="AD141" s="38">
        <v>2700000</v>
      </c>
      <c r="AE141" s="38">
        <v>500000</v>
      </c>
      <c r="AF141" s="36">
        <v>500</v>
      </c>
      <c r="AG141" s="36">
        <v>0</v>
      </c>
      <c r="AH141" s="36">
        <v>40719</v>
      </c>
      <c r="AI141" s="38" t="s">
        <v>850</v>
      </c>
      <c r="AJ141" s="38">
        <v>1000</v>
      </c>
      <c r="AK141" s="36">
        <v>194400</v>
      </c>
      <c r="AL141" s="36">
        <v>1000</v>
      </c>
      <c r="AM141" s="36">
        <v>500</v>
      </c>
      <c r="AN141" s="36">
        <v>600</v>
      </c>
      <c r="AO141" s="36">
        <v>2500</v>
      </c>
      <c r="AP141" s="38" t="s">
        <v>155</v>
      </c>
      <c r="AQ141" s="38">
        <v>100</v>
      </c>
      <c r="AR141" s="38" t="s">
        <v>809</v>
      </c>
      <c r="AS141" s="38">
        <v>2000</v>
      </c>
      <c r="AT141" s="38">
        <v>10800</v>
      </c>
      <c r="AU141" s="38">
        <v>2700000</v>
      </c>
      <c r="AV141" s="36">
        <v>200000</v>
      </c>
      <c r="BA141" s="36" t="s">
        <v>157</v>
      </c>
      <c r="BB141" s="36" t="s">
        <v>191</v>
      </c>
      <c r="BC141" s="46"/>
      <c r="BD141" s="39" t="s">
        <v>811</v>
      </c>
      <c r="BE141" s="36">
        <v>1</v>
      </c>
      <c r="BF141" s="36" t="s">
        <v>160</v>
      </c>
      <c r="BG141" s="36" t="s">
        <v>161</v>
      </c>
      <c r="BH141" s="36" t="s">
        <v>162</v>
      </c>
      <c r="BJ141" s="38">
        <v>7200</v>
      </c>
      <c r="BK141" s="38">
        <v>1800</v>
      </c>
      <c r="BL141" s="36">
        <f t="shared" si="1"/>
        <v>1335</v>
      </c>
      <c r="BM141" s="36">
        <v>7</v>
      </c>
      <c r="BN141" s="35" t="s">
        <v>157</v>
      </c>
      <c r="BO141" s="36" t="s">
        <v>951</v>
      </c>
      <c r="BP141" s="54" t="s">
        <v>157</v>
      </c>
      <c r="BQ141" s="36" t="s">
        <v>193</v>
      </c>
    </row>
    <row r="142" spans="1:69" x14ac:dyDescent="0.45">
      <c r="A142" s="36">
        <v>40719</v>
      </c>
      <c r="B142" s="36" t="s">
        <v>960</v>
      </c>
      <c r="C142" s="36" t="s">
        <v>141</v>
      </c>
      <c r="D142" s="36" t="s">
        <v>142</v>
      </c>
      <c r="E142" s="36" t="s">
        <v>188</v>
      </c>
      <c r="F142" s="36" t="s">
        <v>144</v>
      </c>
      <c r="G142" s="36" t="s">
        <v>145</v>
      </c>
      <c r="H142" s="36" t="s">
        <v>146</v>
      </c>
      <c r="J142" s="36" t="s">
        <v>147</v>
      </c>
      <c r="K142" s="36" t="s">
        <v>189</v>
      </c>
      <c r="L142" s="36" t="s">
        <v>149</v>
      </c>
      <c r="M142" s="38">
        <v>6300000</v>
      </c>
      <c r="N142" s="36">
        <v>1</v>
      </c>
      <c r="O142" s="36" t="s">
        <v>150</v>
      </c>
      <c r="P142" s="38">
        <v>2500</v>
      </c>
      <c r="Q142" s="42" t="s">
        <v>845</v>
      </c>
      <c r="R142" s="36" t="s">
        <v>190</v>
      </c>
      <c r="T142" s="36">
        <v>19</v>
      </c>
      <c r="Z142" s="38" t="s">
        <v>807</v>
      </c>
      <c r="AA142" s="38">
        <v>1000</v>
      </c>
      <c r="AB142" s="36">
        <v>5</v>
      </c>
      <c r="AD142" s="38">
        <v>2700000</v>
      </c>
      <c r="AE142" s="38">
        <v>500000</v>
      </c>
      <c r="AF142" s="36">
        <v>500</v>
      </c>
      <c r="AG142" s="36">
        <v>0</v>
      </c>
      <c r="AH142" s="36">
        <v>40720</v>
      </c>
      <c r="AI142" s="38" t="s">
        <v>852</v>
      </c>
      <c r="AJ142" s="38">
        <v>1000</v>
      </c>
      <c r="AK142" s="36">
        <v>205200</v>
      </c>
      <c r="AL142" s="36">
        <v>1000</v>
      </c>
      <c r="AM142" s="36">
        <v>500</v>
      </c>
      <c r="AN142" s="36">
        <v>600</v>
      </c>
      <c r="AO142" s="36">
        <v>2500</v>
      </c>
      <c r="AP142" s="38" t="s">
        <v>155</v>
      </c>
      <c r="AQ142" s="38">
        <v>100</v>
      </c>
      <c r="AR142" s="38" t="s">
        <v>809</v>
      </c>
      <c r="AS142" s="38">
        <v>2000</v>
      </c>
      <c r="AT142" s="38">
        <v>10800</v>
      </c>
      <c r="AU142" s="38">
        <v>2700000</v>
      </c>
      <c r="AV142" s="36">
        <v>200000</v>
      </c>
      <c r="BA142" s="36" t="s">
        <v>157</v>
      </c>
      <c r="BB142" s="36" t="s">
        <v>191</v>
      </c>
      <c r="BC142" s="46"/>
      <c r="BD142" s="39" t="s">
        <v>811</v>
      </c>
      <c r="BE142" s="36">
        <v>1</v>
      </c>
      <c r="BF142" s="36" t="s">
        <v>160</v>
      </c>
      <c r="BG142" s="36" t="s">
        <v>161</v>
      </c>
      <c r="BH142" s="36" t="s">
        <v>162</v>
      </c>
      <c r="BJ142" s="38">
        <v>7200</v>
      </c>
      <c r="BK142" s="38">
        <v>1800</v>
      </c>
      <c r="BL142" s="36">
        <f t="shared" si="1"/>
        <v>1435</v>
      </c>
      <c r="BM142" s="36">
        <v>7</v>
      </c>
      <c r="BN142" s="35" t="s">
        <v>157</v>
      </c>
      <c r="BO142" s="36" t="s">
        <v>951</v>
      </c>
      <c r="BP142" s="54" t="s">
        <v>157</v>
      </c>
      <c r="BQ142" s="36" t="s">
        <v>193</v>
      </c>
    </row>
    <row r="143" spans="1:69" x14ac:dyDescent="0.45">
      <c r="A143" s="36">
        <v>40720</v>
      </c>
      <c r="B143" s="36" t="s">
        <v>961</v>
      </c>
      <c r="C143" s="36" t="s">
        <v>141</v>
      </c>
      <c r="D143" s="36" t="s">
        <v>142</v>
      </c>
      <c r="E143" s="36" t="s">
        <v>188</v>
      </c>
      <c r="F143" s="36" t="s">
        <v>144</v>
      </c>
      <c r="G143" s="36" t="s">
        <v>145</v>
      </c>
      <c r="H143" s="36" t="s">
        <v>146</v>
      </c>
      <c r="J143" s="36" t="s">
        <v>147</v>
      </c>
      <c r="K143" s="36" t="s">
        <v>189</v>
      </c>
      <c r="L143" s="36" t="s">
        <v>149</v>
      </c>
      <c r="M143" s="38">
        <v>6500000</v>
      </c>
      <c r="N143" s="36">
        <v>1</v>
      </c>
      <c r="O143" s="36" t="s">
        <v>150</v>
      </c>
      <c r="P143" s="38">
        <v>3000</v>
      </c>
      <c r="Q143" s="42" t="s">
        <v>845</v>
      </c>
      <c r="R143" s="36" t="s">
        <v>190</v>
      </c>
      <c r="T143" s="36">
        <v>20</v>
      </c>
      <c r="Z143" s="38" t="s">
        <v>807</v>
      </c>
      <c r="AA143" s="38">
        <v>1000</v>
      </c>
      <c r="AB143" s="36">
        <v>5</v>
      </c>
      <c r="AD143" s="38">
        <v>2700000</v>
      </c>
      <c r="AE143" s="38">
        <v>500000</v>
      </c>
      <c r="AF143" s="36">
        <v>500</v>
      </c>
      <c r="AG143" s="36">
        <v>0</v>
      </c>
      <c r="AH143" s="36">
        <v>-1</v>
      </c>
      <c r="AJ143" s="38">
        <v>1000</v>
      </c>
      <c r="AK143" s="35">
        <v>216000</v>
      </c>
      <c r="AL143" s="36">
        <v>1000</v>
      </c>
      <c r="AM143" s="36">
        <v>500</v>
      </c>
      <c r="AN143" s="36">
        <v>600</v>
      </c>
      <c r="AO143" s="36">
        <v>2500</v>
      </c>
      <c r="AP143" s="38" t="s">
        <v>155</v>
      </c>
      <c r="AQ143" s="38">
        <v>100</v>
      </c>
      <c r="AR143" s="38" t="s">
        <v>809</v>
      </c>
      <c r="AS143" s="38">
        <v>2000</v>
      </c>
      <c r="AT143" s="38">
        <v>10800</v>
      </c>
      <c r="AU143" s="38">
        <v>2700000</v>
      </c>
      <c r="AV143" s="36">
        <v>200000</v>
      </c>
      <c r="BA143" s="36" t="s">
        <v>157</v>
      </c>
      <c r="BB143" s="36" t="s">
        <v>191</v>
      </c>
      <c r="BC143" s="46"/>
      <c r="BD143" s="39" t="s">
        <v>811</v>
      </c>
      <c r="BE143" s="36">
        <v>1</v>
      </c>
      <c r="BF143" s="36" t="s">
        <v>160</v>
      </c>
      <c r="BG143" s="36" t="s">
        <v>161</v>
      </c>
      <c r="BH143" s="36" t="s">
        <v>162</v>
      </c>
      <c r="BJ143" s="38">
        <v>7200</v>
      </c>
      <c r="BK143" s="38">
        <v>1800</v>
      </c>
      <c r="BL143" s="36">
        <f t="shared" si="1"/>
        <v>1540</v>
      </c>
      <c r="BM143" s="36">
        <v>7</v>
      </c>
      <c r="BN143" s="35" t="s">
        <v>157</v>
      </c>
      <c r="BO143" s="36" t="s">
        <v>951</v>
      </c>
      <c r="BP143" s="54" t="s">
        <v>157</v>
      </c>
      <c r="BQ143" s="36" t="s">
        <v>193</v>
      </c>
    </row>
    <row r="144" spans="1:69" x14ac:dyDescent="0.45">
      <c r="A144" s="36">
        <v>40801</v>
      </c>
      <c r="B144" s="36" t="s">
        <v>787</v>
      </c>
      <c r="C144" s="36" t="s">
        <v>141</v>
      </c>
      <c r="D144" s="36" t="s">
        <v>142</v>
      </c>
      <c r="E144" s="36" t="s">
        <v>558</v>
      </c>
      <c r="F144" s="36" t="s">
        <v>144</v>
      </c>
      <c r="G144" s="36" t="s">
        <v>145</v>
      </c>
      <c r="H144" s="36" t="s">
        <v>146</v>
      </c>
      <c r="J144" s="36" t="s">
        <v>147</v>
      </c>
      <c r="K144" s="36" t="s">
        <v>788</v>
      </c>
      <c r="L144" s="36" t="s">
        <v>149</v>
      </c>
      <c r="M144" s="38">
        <v>2700000</v>
      </c>
      <c r="N144" s="36">
        <v>1</v>
      </c>
      <c r="O144" s="36" t="s">
        <v>150</v>
      </c>
      <c r="P144" s="38">
        <v>50</v>
      </c>
      <c r="Q144" s="36" t="s">
        <v>805</v>
      </c>
      <c r="R144" s="36" t="s">
        <v>789</v>
      </c>
      <c r="T144" s="36">
        <v>1</v>
      </c>
      <c r="Z144" s="38" t="s">
        <v>807</v>
      </c>
      <c r="AA144" s="38">
        <v>1000</v>
      </c>
      <c r="AB144" s="36">
        <v>5</v>
      </c>
      <c r="AD144" s="38">
        <v>2700000</v>
      </c>
      <c r="AE144" s="38">
        <v>500000</v>
      </c>
      <c r="AF144" s="36">
        <v>500</v>
      </c>
      <c r="AG144" s="36">
        <v>0</v>
      </c>
      <c r="AH144" s="36">
        <v>40802</v>
      </c>
      <c r="AI144" s="38" t="s">
        <v>808</v>
      </c>
      <c r="AJ144" s="38">
        <v>1000</v>
      </c>
      <c r="AK144" s="36">
        <v>21600</v>
      </c>
      <c r="AL144" s="36">
        <v>1000</v>
      </c>
      <c r="AM144" s="36">
        <v>500</v>
      </c>
      <c r="AN144" s="36">
        <v>600</v>
      </c>
      <c r="AO144" s="36">
        <v>2500</v>
      </c>
      <c r="AP144" s="38" t="s">
        <v>155</v>
      </c>
      <c r="AQ144" s="38">
        <v>100</v>
      </c>
      <c r="AR144" s="38" t="s">
        <v>809</v>
      </c>
      <c r="AS144" s="38">
        <v>2000</v>
      </c>
      <c r="AT144" s="38">
        <v>10800</v>
      </c>
      <c r="AU144" s="38">
        <v>2700000</v>
      </c>
      <c r="AV144" s="36">
        <v>200000</v>
      </c>
      <c r="BA144" s="36" t="s">
        <v>157</v>
      </c>
      <c r="BB144" s="36" t="s">
        <v>790</v>
      </c>
      <c r="BC144" s="46"/>
      <c r="BD144" s="39" t="s">
        <v>811</v>
      </c>
      <c r="BE144" s="36">
        <v>1</v>
      </c>
      <c r="BF144" s="36" t="s">
        <v>160</v>
      </c>
      <c r="BG144" s="36" t="s">
        <v>161</v>
      </c>
      <c r="BH144" s="36" t="s">
        <v>162</v>
      </c>
      <c r="BJ144" s="38">
        <v>7200</v>
      </c>
      <c r="BK144" s="38">
        <v>1800</v>
      </c>
      <c r="BL144" s="36">
        <f t="shared" si="1"/>
        <v>400</v>
      </c>
      <c r="BM144" s="36">
        <v>8</v>
      </c>
      <c r="BN144" s="35" t="s">
        <v>157</v>
      </c>
      <c r="BO144" s="36" t="s">
        <v>962</v>
      </c>
      <c r="BP144" s="54" t="s">
        <v>157</v>
      </c>
      <c r="BQ144" s="36" t="s">
        <v>792</v>
      </c>
    </row>
    <row r="145" spans="1:69" x14ac:dyDescent="0.45">
      <c r="A145" s="36">
        <v>40802</v>
      </c>
      <c r="B145" s="36" t="s">
        <v>794</v>
      </c>
      <c r="C145" s="36" t="s">
        <v>141</v>
      </c>
      <c r="D145" s="36" t="s">
        <v>142</v>
      </c>
      <c r="E145" s="36" t="s">
        <v>558</v>
      </c>
      <c r="F145" s="36" t="s">
        <v>144</v>
      </c>
      <c r="G145" s="36" t="s">
        <v>145</v>
      </c>
      <c r="H145" s="36" t="s">
        <v>146</v>
      </c>
      <c r="J145" s="36" t="s">
        <v>147</v>
      </c>
      <c r="K145" s="36" t="s">
        <v>788</v>
      </c>
      <c r="L145" s="36" t="s">
        <v>149</v>
      </c>
      <c r="M145" s="38">
        <v>2900000</v>
      </c>
      <c r="N145" s="36">
        <v>1</v>
      </c>
      <c r="O145" s="36" t="s">
        <v>150</v>
      </c>
      <c r="P145" s="38">
        <v>100</v>
      </c>
      <c r="Q145" s="36" t="s">
        <v>805</v>
      </c>
      <c r="R145" s="36" t="s">
        <v>789</v>
      </c>
      <c r="T145" s="36">
        <v>2</v>
      </c>
      <c r="Z145" s="38" t="s">
        <v>807</v>
      </c>
      <c r="AA145" s="38">
        <v>1000</v>
      </c>
      <c r="AB145" s="36">
        <v>5</v>
      </c>
      <c r="AD145" s="38">
        <v>2700000</v>
      </c>
      <c r="AE145" s="38">
        <v>500000</v>
      </c>
      <c r="AF145" s="36">
        <v>500</v>
      </c>
      <c r="AG145" s="36">
        <v>0</v>
      </c>
      <c r="AH145" s="36">
        <v>40803</v>
      </c>
      <c r="AI145" s="38" t="s">
        <v>815</v>
      </c>
      <c r="AJ145" s="38">
        <v>1000</v>
      </c>
      <c r="AK145" s="36">
        <v>21600</v>
      </c>
      <c r="AL145" s="36">
        <v>1000</v>
      </c>
      <c r="AM145" s="36">
        <v>500</v>
      </c>
      <c r="AN145" s="36">
        <v>600</v>
      </c>
      <c r="AO145" s="36">
        <v>2500</v>
      </c>
      <c r="AP145" s="38" t="s">
        <v>155</v>
      </c>
      <c r="AQ145" s="38">
        <v>100</v>
      </c>
      <c r="AR145" s="38" t="s">
        <v>809</v>
      </c>
      <c r="AS145" s="38">
        <v>2000</v>
      </c>
      <c r="AT145" s="38">
        <v>10800</v>
      </c>
      <c r="AU145" s="38">
        <v>2700000</v>
      </c>
      <c r="AV145" s="36">
        <v>200000</v>
      </c>
      <c r="BA145" s="36" t="s">
        <v>157</v>
      </c>
      <c r="BB145" s="36" t="s">
        <v>790</v>
      </c>
      <c r="BC145" s="46"/>
      <c r="BD145" s="39" t="s">
        <v>811</v>
      </c>
      <c r="BE145" s="36">
        <v>1</v>
      </c>
      <c r="BF145" s="36" t="s">
        <v>160</v>
      </c>
      <c r="BG145" s="36" t="s">
        <v>161</v>
      </c>
      <c r="BH145" s="36" t="s">
        <v>162</v>
      </c>
      <c r="BJ145" s="38">
        <v>7200</v>
      </c>
      <c r="BK145" s="38">
        <v>1800</v>
      </c>
      <c r="BL145" s="36">
        <f t="shared" si="1"/>
        <v>415</v>
      </c>
      <c r="BM145" s="36">
        <v>8</v>
      </c>
      <c r="BN145" s="35" t="s">
        <v>157</v>
      </c>
      <c r="BO145" s="36" t="s">
        <v>962</v>
      </c>
      <c r="BP145" s="54" t="s">
        <v>157</v>
      </c>
      <c r="BQ145" s="36" t="s">
        <v>792</v>
      </c>
    </row>
    <row r="146" spans="1:69" x14ac:dyDescent="0.45">
      <c r="A146" s="36">
        <v>40803</v>
      </c>
      <c r="B146" s="36" t="s">
        <v>795</v>
      </c>
      <c r="C146" s="36" t="s">
        <v>141</v>
      </c>
      <c r="D146" s="36" t="s">
        <v>142</v>
      </c>
      <c r="E146" s="36" t="s">
        <v>558</v>
      </c>
      <c r="F146" s="36" t="s">
        <v>144</v>
      </c>
      <c r="G146" s="36" t="s">
        <v>145</v>
      </c>
      <c r="H146" s="36" t="s">
        <v>146</v>
      </c>
      <c r="J146" s="36" t="s">
        <v>147</v>
      </c>
      <c r="K146" s="36" t="s">
        <v>788</v>
      </c>
      <c r="L146" s="36" t="s">
        <v>149</v>
      </c>
      <c r="M146" s="38">
        <v>3100000</v>
      </c>
      <c r="N146" s="36">
        <v>1</v>
      </c>
      <c r="O146" s="36" t="s">
        <v>150</v>
      </c>
      <c r="P146" s="38">
        <v>150</v>
      </c>
      <c r="Q146" s="36" t="s">
        <v>805</v>
      </c>
      <c r="R146" s="36" t="s">
        <v>789</v>
      </c>
      <c r="T146" s="36">
        <v>3</v>
      </c>
      <c r="Z146" s="38" t="s">
        <v>807</v>
      </c>
      <c r="AA146" s="38">
        <v>1000</v>
      </c>
      <c r="AB146" s="36">
        <v>5</v>
      </c>
      <c r="AD146" s="38">
        <v>2700000</v>
      </c>
      <c r="AE146" s="38">
        <v>500000</v>
      </c>
      <c r="AF146" s="36">
        <v>500</v>
      </c>
      <c r="AG146" s="36">
        <v>0</v>
      </c>
      <c r="AH146" s="36">
        <v>40804</v>
      </c>
      <c r="AI146" s="38" t="s">
        <v>817</v>
      </c>
      <c r="AJ146" s="38">
        <v>1000</v>
      </c>
      <c r="AK146" s="36">
        <v>32400</v>
      </c>
      <c r="AL146" s="36">
        <v>1000</v>
      </c>
      <c r="AM146" s="36">
        <v>500</v>
      </c>
      <c r="AN146" s="36">
        <v>600</v>
      </c>
      <c r="AO146" s="36">
        <v>2500</v>
      </c>
      <c r="AP146" s="38" t="s">
        <v>155</v>
      </c>
      <c r="AQ146" s="38">
        <v>100</v>
      </c>
      <c r="AR146" s="38" t="s">
        <v>809</v>
      </c>
      <c r="AS146" s="38">
        <v>2000</v>
      </c>
      <c r="AT146" s="38">
        <v>10800</v>
      </c>
      <c r="AU146" s="38">
        <v>2700000</v>
      </c>
      <c r="AV146" s="36">
        <v>200000</v>
      </c>
      <c r="BA146" s="36" t="s">
        <v>157</v>
      </c>
      <c r="BB146" s="36" t="s">
        <v>790</v>
      </c>
      <c r="BC146" s="46"/>
      <c r="BD146" s="39" t="s">
        <v>811</v>
      </c>
      <c r="BE146" s="36">
        <v>1</v>
      </c>
      <c r="BF146" s="36" t="s">
        <v>160</v>
      </c>
      <c r="BG146" s="36" t="s">
        <v>161</v>
      </c>
      <c r="BH146" s="36" t="s">
        <v>162</v>
      </c>
      <c r="BJ146" s="38">
        <v>7200</v>
      </c>
      <c r="BK146" s="38">
        <v>1800</v>
      </c>
      <c r="BL146" s="36">
        <f t="shared" si="1"/>
        <v>435</v>
      </c>
      <c r="BM146" s="36">
        <v>8</v>
      </c>
      <c r="BN146" s="35" t="s">
        <v>157</v>
      </c>
      <c r="BO146" s="36" t="s">
        <v>962</v>
      </c>
      <c r="BP146" s="54" t="s">
        <v>157</v>
      </c>
      <c r="BQ146" s="36" t="s">
        <v>792</v>
      </c>
    </row>
    <row r="147" spans="1:69" s="35" customFormat="1" x14ac:dyDescent="0.45">
      <c r="A147" s="36">
        <v>40804</v>
      </c>
      <c r="B147" s="36" t="s">
        <v>796</v>
      </c>
      <c r="C147" s="36" t="s">
        <v>141</v>
      </c>
      <c r="D147" s="36" t="s">
        <v>142</v>
      </c>
      <c r="E147" s="36" t="s">
        <v>558</v>
      </c>
      <c r="F147" s="36" t="s">
        <v>144</v>
      </c>
      <c r="G147" s="36" t="s">
        <v>145</v>
      </c>
      <c r="H147" s="36" t="s">
        <v>146</v>
      </c>
      <c r="I147" s="36"/>
      <c r="J147" s="36" t="s">
        <v>147</v>
      </c>
      <c r="K147" s="36" t="s">
        <v>788</v>
      </c>
      <c r="L147" s="36" t="s">
        <v>149</v>
      </c>
      <c r="M147" s="38">
        <v>3300000</v>
      </c>
      <c r="N147" s="36">
        <v>1</v>
      </c>
      <c r="O147" s="36" t="s">
        <v>150</v>
      </c>
      <c r="P147" s="38">
        <v>200</v>
      </c>
      <c r="Q147" s="36" t="s">
        <v>805</v>
      </c>
      <c r="R147" s="36" t="s">
        <v>789</v>
      </c>
      <c r="S147" s="36"/>
      <c r="T147" s="36">
        <v>4</v>
      </c>
      <c r="U147" s="36"/>
      <c r="V147" s="36"/>
      <c r="W147" s="36"/>
      <c r="X147" s="36"/>
      <c r="Y147" s="36"/>
      <c r="Z147" s="38" t="s">
        <v>807</v>
      </c>
      <c r="AA147" s="38">
        <v>1000</v>
      </c>
      <c r="AB147" s="36">
        <v>5</v>
      </c>
      <c r="AC147" s="36"/>
      <c r="AD147" s="38">
        <v>2700000</v>
      </c>
      <c r="AE147" s="38">
        <v>500000</v>
      </c>
      <c r="AF147" s="36">
        <v>500</v>
      </c>
      <c r="AG147" s="36">
        <v>0</v>
      </c>
      <c r="AH147" s="36">
        <v>40805</v>
      </c>
      <c r="AI147" s="38" t="s">
        <v>819</v>
      </c>
      <c r="AJ147" s="38">
        <v>1000</v>
      </c>
      <c r="AK147" s="36">
        <v>43200</v>
      </c>
      <c r="AL147" s="36">
        <v>1000</v>
      </c>
      <c r="AM147" s="36">
        <v>500</v>
      </c>
      <c r="AN147" s="36">
        <v>600</v>
      </c>
      <c r="AO147" s="36">
        <v>2500</v>
      </c>
      <c r="AP147" s="38" t="s">
        <v>155</v>
      </c>
      <c r="AQ147" s="38">
        <v>100</v>
      </c>
      <c r="AR147" s="38" t="s">
        <v>809</v>
      </c>
      <c r="AS147" s="38">
        <v>2000</v>
      </c>
      <c r="AT147" s="38">
        <v>10800</v>
      </c>
      <c r="AU147" s="38">
        <v>2700000</v>
      </c>
      <c r="AV147" s="36">
        <v>200000</v>
      </c>
      <c r="AW147" s="36"/>
      <c r="AX147" s="36"/>
      <c r="AY147" s="36"/>
      <c r="AZ147" s="36"/>
      <c r="BA147" s="36" t="s">
        <v>157</v>
      </c>
      <c r="BB147" s="36" t="s">
        <v>790</v>
      </c>
      <c r="BC147" s="46"/>
      <c r="BD147" s="39" t="s">
        <v>811</v>
      </c>
      <c r="BE147" s="36">
        <v>1</v>
      </c>
      <c r="BF147" s="36" t="s">
        <v>160</v>
      </c>
      <c r="BG147" s="36" t="s">
        <v>161</v>
      </c>
      <c r="BH147" s="36" t="s">
        <v>162</v>
      </c>
      <c r="BI147"/>
      <c r="BJ147" s="38">
        <v>7200</v>
      </c>
      <c r="BK147" s="38">
        <v>1800</v>
      </c>
      <c r="BL147" s="36">
        <f t="shared" si="1"/>
        <v>460</v>
      </c>
      <c r="BM147" s="36">
        <v>8</v>
      </c>
      <c r="BN147" s="35" t="s">
        <v>157</v>
      </c>
      <c r="BO147" s="36" t="s">
        <v>962</v>
      </c>
      <c r="BP147" s="54" t="s">
        <v>157</v>
      </c>
      <c r="BQ147" s="36" t="s">
        <v>792</v>
      </c>
    </row>
    <row r="148" spans="1:69" x14ac:dyDescent="0.45">
      <c r="A148" s="36">
        <v>40805</v>
      </c>
      <c r="B148" s="36" t="s">
        <v>797</v>
      </c>
      <c r="C148" s="36" t="s">
        <v>141</v>
      </c>
      <c r="D148" s="36" t="s">
        <v>142</v>
      </c>
      <c r="E148" s="36" t="s">
        <v>558</v>
      </c>
      <c r="F148" s="36" t="s">
        <v>144</v>
      </c>
      <c r="G148" s="36" t="s">
        <v>145</v>
      </c>
      <c r="H148" s="36" t="s">
        <v>146</v>
      </c>
      <c r="J148" s="36" t="s">
        <v>147</v>
      </c>
      <c r="K148" s="36" t="s">
        <v>788</v>
      </c>
      <c r="L148" s="36" t="s">
        <v>149</v>
      </c>
      <c r="M148" s="38">
        <v>3500000</v>
      </c>
      <c r="N148" s="36">
        <v>1</v>
      </c>
      <c r="O148" s="36" t="s">
        <v>150</v>
      </c>
      <c r="P148" s="38">
        <v>250</v>
      </c>
      <c r="Q148" s="36" t="s">
        <v>805</v>
      </c>
      <c r="R148" s="36" t="s">
        <v>789</v>
      </c>
      <c r="T148" s="36">
        <v>5</v>
      </c>
      <c r="Z148" s="38" t="s">
        <v>807</v>
      </c>
      <c r="AA148" s="38">
        <v>1000</v>
      </c>
      <c r="AB148" s="36">
        <v>5</v>
      </c>
      <c r="AD148" s="38">
        <v>2700000</v>
      </c>
      <c r="AE148" s="38">
        <v>500000</v>
      </c>
      <c r="AF148" s="36">
        <v>500</v>
      </c>
      <c r="AG148" s="36">
        <v>0</v>
      </c>
      <c r="AH148" s="36">
        <v>40806</v>
      </c>
      <c r="AI148" s="38" t="s">
        <v>821</v>
      </c>
      <c r="AJ148" s="38">
        <v>1000</v>
      </c>
      <c r="AK148" s="36">
        <v>54000</v>
      </c>
      <c r="AL148" s="36">
        <v>1000</v>
      </c>
      <c r="AM148" s="36">
        <v>500</v>
      </c>
      <c r="AN148" s="36">
        <v>600</v>
      </c>
      <c r="AO148" s="36">
        <v>2500</v>
      </c>
      <c r="AP148" s="38" t="s">
        <v>155</v>
      </c>
      <c r="AQ148" s="38">
        <v>100</v>
      </c>
      <c r="AR148" s="38" t="s">
        <v>809</v>
      </c>
      <c r="AS148" s="38">
        <v>2000</v>
      </c>
      <c r="AT148" s="38">
        <v>10800</v>
      </c>
      <c r="AU148" s="38">
        <v>2700000</v>
      </c>
      <c r="AV148" s="36">
        <v>200000</v>
      </c>
      <c r="BA148" s="36" t="s">
        <v>157</v>
      </c>
      <c r="BB148" s="36" t="s">
        <v>790</v>
      </c>
      <c r="BC148" s="46"/>
      <c r="BD148" s="39" t="s">
        <v>811</v>
      </c>
      <c r="BE148" s="36">
        <v>1</v>
      </c>
      <c r="BF148" s="36" t="s">
        <v>160</v>
      </c>
      <c r="BG148" s="36" t="s">
        <v>161</v>
      </c>
      <c r="BH148" s="36" t="s">
        <v>162</v>
      </c>
      <c r="BJ148" s="38">
        <v>7200</v>
      </c>
      <c r="BK148" s="38">
        <v>1800</v>
      </c>
      <c r="BL148" s="36">
        <f t="shared" si="1"/>
        <v>490</v>
      </c>
      <c r="BM148" s="36">
        <v>8</v>
      </c>
      <c r="BN148" s="35" t="s">
        <v>157</v>
      </c>
      <c r="BO148" s="36" t="s">
        <v>962</v>
      </c>
      <c r="BP148" s="54" t="s">
        <v>157</v>
      </c>
      <c r="BQ148" s="36" t="s">
        <v>792</v>
      </c>
    </row>
    <row r="149" spans="1:69" x14ac:dyDescent="0.45">
      <c r="A149" s="36">
        <v>40806</v>
      </c>
      <c r="B149" s="36" t="s">
        <v>798</v>
      </c>
      <c r="C149" s="36" t="s">
        <v>141</v>
      </c>
      <c r="D149" s="36" t="s">
        <v>142</v>
      </c>
      <c r="E149" s="36" t="s">
        <v>558</v>
      </c>
      <c r="F149" s="36" t="s">
        <v>144</v>
      </c>
      <c r="G149" s="36" t="s">
        <v>145</v>
      </c>
      <c r="H149" s="36" t="s">
        <v>146</v>
      </c>
      <c r="J149" s="36" t="s">
        <v>147</v>
      </c>
      <c r="K149" s="36" t="s">
        <v>788</v>
      </c>
      <c r="L149" s="36" t="s">
        <v>149</v>
      </c>
      <c r="M149" s="38">
        <v>3700000</v>
      </c>
      <c r="N149" s="36">
        <v>1</v>
      </c>
      <c r="O149" s="36" t="s">
        <v>150</v>
      </c>
      <c r="P149" s="38">
        <v>300</v>
      </c>
      <c r="Q149" s="42" t="s">
        <v>823</v>
      </c>
      <c r="R149" s="36" t="s">
        <v>789</v>
      </c>
      <c r="T149" s="36">
        <v>6</v>
      </c>
      <c r="Z149" s="38" t="s">
        <v>807</v>
      </c>
      <c r="AA149" s="38">
        <v>1000</v>
      </c>
      <c r="AB149" s="36">
        <v>5</v>
      </c>
      <c r="AD149" s="38">
        <v>2700000</v>
      </c>
      <c r="AE149" s="38">
        <v>500000</v>
      </c>
      <c r="AF149" s="36">
        <v>500</v>
      </c>
      <c r="AG149" s="36">
        <v>0</v>
      </c>
      <c r="AH149" s="36">
        <v>40807</v>
      </c>
      <c r="AI149" s="38" t="s">
        <v>824</v>
      </c>
      <c r="AJ149" s="38">
        <v>1000</v>
      </c>
      <c r="AK149" s="36">
        <v>64800</v>
      </c>
      <c r="AL149" s="36">
        <v>1000</v>
      </c>
      <c r="AM149" s="36">
        <v>500</v>
      </c>
      <c r="AN149" s="36">
        <v>600</v>
      </c>
      <c r="AO149" s="36">
        <v>2500</v>
      </c>
      <c r="AP149" s="38" t="s">
        <v>155</v>
      </c>
      <c r="AQ149" s="38">
        <v>100</v>
      </c>
      <c r="AR149" s="38" t="s">
        <v>809</v>
      </c>
      <c r="AS149" s="38">
        <v>2000</v>
      </c>
      <c r="AT149" s="38">
        <v>10800</v>
      </c>
      <c r="AU149" s="38">
        <v>2700000</v>
      </c>
      <c r="AV149" s="36">
        <v>200000</v>
      </c>
      <c r="BA149" s="36" t="s">
        <v>157</v>
      </c>
      <c r="BB149" s="36" t="s">
        <v>790</v>
      </c>
      <c r="BC149" s="46"/>
      <c r="BD149" s="39" t="s">
        <v>811</v>
      </c>
      <c r="BE149" s="36">
        <v>1</v>
      </c>
      <c r="BF149" s="36" t="s">
        <v>160</v>
      </c>
      <c r="BG149" s="36" t="s">
        <v>161</v>
      </c>
      <c r="BH149" s="36" t="s">
        <v>162</v>
      </c>
      <c r="BJ149" s="38">
        <v>7200</v>
      </c>
      <c r="BK149" s="38">
        <v>1800</v>
      </c>
      <c r="BL149" s="36">
        <f t="shared" si="1"/>
        <v>525</v>
      </c>
      <c r="BM149" s="36">
        <v>8</v>
      </c>
      <c r="BN149" s="35" t="s">
        <v>157</v>
      </c>
      <c r="BO149" s="36" t="s">
        <v>962</v>
      </c>
      <c r="BP149" s="54" t="s">
        <v>157</v>
      </c>
      <c r="BQ149" s="36" t="s">
        <v>792</v>
      </c>
    </row>
    <row r="150" spans="1:69" x14ac:dyDescent="0.45">
      <c r="A150" s="36">
        <v>40807</v>
      </c>
      <c r="B150" s="36" t="s">
        <v>799</v>
      </c>
      <c r="C150" s="36" t="s">
        <v>141</v>
      </c>
      <c r="D150" s="36" t="s">
        <v>142</v>
      </c>
      <c r="E150" s="36" t="s">
        <v>558</v>
      </c>
      <c r="F150" s="36" t="s">
        <v>144</v>
      </c>
      <c r="G150" s="36" t="s">
        <v>145</v>
      </c>
      <c r="H150" s="36" t="s">
        <v>146</v>
      </c>
      <c r="J150" s="36" t="s">
        <v>147</v>
      </c>
      <c r="K150" s="36" t="s">
        <v>788</v>
      </c>
      <c r="L150" s="36" t="s">
        <v>149</v>
      </c>
      <c r="M150" s="38">
        <v>3900000</v>
      </c>
      <c r="N150" s="36">
        <v>1</v>
      </c>
      <c r="O150" s="36" t="s">
        <v>150</v>
      </c>
      <c r="P150" s="38">
        <v>350</v>
      </c>
      <c r="Q150" s="42" t="s">
        <v>823</v>
      </c>
      <c r="R150" s="36" t="s">
        <v>789</v>
      </c>
      <c r="T150" s="36">
        <v>7</v>
      </c>
      <c r="Z150" s="38" t="s">
        <v>807</v>
      </c>
      <c r="AA150" s="38">
        <v>1000</v>
      </c>
      <c r="AB150" s="36">
        <v>5</v>
      </c>
      <c r="AD150" s="38">
        <v>2700000</v>
      </c>
      <c r="AE150" s="38">
        <v>500000</v>
      </c>
      <c r="AF150" s="36">
        <v>500</v>
      </c>
      <c r="AG150" s="36">
        <v>0</v>
      </c>
      <c r="AH150" s="36">
        <v>40808</v>
      </c>
      <c r="AI150" s="38" t="s">
        <v>826</v>
      </c>
      <c r="AJ150" s="38">
        <v>1000</v>
      </c>
      <c r="AK150" s="36">
        <v>75600</v>
      </c>
      <c r="AL150" s="36">
        <v>1000</v>
      </c>
      <c r="AM150" s="36">
        <v>500</v>
      </c>
      <c r="AN150" s="36">
        <v>600</v>
      </c>
      <c r="AO150" s="36">
        <v>2500</v>
      </c>
      <c r="AP150" s="38" t="s">
        <v>155</v>
      </c>
      <c r="AQ150" s="38">
        <v>100</v>
      </c>
      <c r="AR150" s="38" t="s">
        <v>809</v>
      </c>
      <c r="AS150" s="38">
        <v>2000</v>
      </c>
      <c r="AT150" s="38">
        <v>10800</v>
      </c>
      <c r="AU150" s="38">
        <v>2700000</v>
      </c>
      <c r="AV150" s="36">
        <v>200000</v>
      </c>
      <c r="BA150" s="36" t="s">
        <v>157</v>
      </c>
      <c r="BB150" s="36" t="s">
        <v>790</v>
      </c>
      <c r="BC150" s="46"/>
      <c r="BD150" s="39" t="s">
        <v>811</v>
      </c>
      <c r="BE150" s="36">
        <v>1</v>
      </c>
      <c r="BF150" s="36" t="s">
        <v>160</v>
      </c>
      <c r="BG150" s="36" t="s">
        <v>161</v>
      </c>
      <c r="BH150" s="36" t="s">
        <v>162</v>
      </c>
      <c r="BJ150" s="38">
        <v>7200</v>
      </c>
      <c r="BK150" s="38">
        <v>1800</v>
      </c>
      <c r="BL150" s="36">
        <f t="shared" si="1"/>
        <v>565</v>
      </c>
      <c r="BM150" s="36">
        <v>8</v>
      </c>
      <c r="BN150" s="35" t="s">
        <v>157</v>
      </c>
      <c r="BO150" s="36" t="s">
        <v>962</v>
      </c>
      <c r="BP150" s="54" t="s">
        <v>157</v>
      </c>
      <c r="BQ150" s="36" t="s">
        <v>792</v>
      </c>
    </row>
    <row r="151" spans="1:69" x14ac:dyDescent="0.45">
      <c r="A151" s="36">
        <v>40808</v>
      </c>
      <c r="B151" s="36" t="s">
        <v>800</v>
      </c>
      <c r="C151" s="36" t="s">
        <v>141</v>
      </c>
      <c r="D151" s="36" t="s">
        <v>142</v>
      </c>
      <c r="E151" s="36" t="s">
        <v>558</v>
      </c>
      <c r="F151" s="36" t="s">
        <v>144</v>
      </c>
      <c r="G151" s="36" t="s">
        <v>145</v>
      </c>
      <c r="H151" s="36" t="s">
        <v>146</v>
      </c>
      <c r="J151" s="36" t="s">
        <v>147</v>
      </c>
      <c r="K151" s="36" t="s">
        <v>788</v>
      </c>
      <c r="L151" s="36" t="s">
        <v>149</v>
      </c>
      <c r="M151" s="38">
        <v>4100000</v>
      </c>
      <c r="N151" s="36">
        <v>1</v>
      </c>
      <c r="O151" s="36" t="s">
        <v>150</v>
      </c>
      <c r="P151" s="38">
        <v>400</v>
      </c>
      <c r="Q151" s="42" t="s">
        <v>823</v>
      </c>
      <c r="R151" s="36" t="s">
        <v>789</v>
      </c>
      <c r="T151" s="36">
        <v>8</v>
      </c>
      <c r="Z151" s="38" t="s">
        <v>807</v>
      </c>
      <c r="AA151" s="38">
        <v>1000</v>
      </c>
      <c r="AB151" s="36">
        <v>5</v>
      </c>
      <c r="AD151" s="38">
        <v>2700000</v>
      </c>
      <c r="AE151" s="38">
        <v>500000</v>
      </c>
      <c r="AF151" s="36">
        <v>500</v>
      </c>
      <c r="AG151" s="36">
        <v>0</v>
      </c>
      <c r="AH151" s="36">
        <v>40809</v>
      </c>
      <c r="AI151" s="38" t="s">
        <v>828</v>
      </c>
      <c r="AJ151" s="38">
        <v>1000</v>
      </c>
      <c r="AK151" s="36">
        <v>86400</v>
      </c>
      <c r="AL151" s="36">
        <v>1000</v>
      </c>
      <c r="AM151" s="36">
        <v>500</v>
      </c>
      <c r="AN151" s="36">
        <v>600</v>
      </c>
      <c r="AO151" s="36">
        <v>2500</v>
      </c>
      <c r="AP151" s="38" t="s">
        <v>155</v>
      </c>
      <c r="AQ151" s="38">
        <v>100</v>
      </c>
      <c r="AR151" s="38" t="s">
        <v>809</v>
      </c>
      <c r="AS151" s="38">
        <v>2000</v>
      </c>
      <c r="AT151" s="38">
        <v>10800</v>
      </c>
      <c r="AU151" s="38">
        <v>2700000</v>
      </c>
      <c r="AV151" s="36">
        <v>200000</v>
      </c>
      <c r="BA151" s="36" t="s">
        <v>157</v>
      </c>
      <c r="BB151" s="36" t="s">
        <v>790</v>
      </c>
      <c r="BC151" s="46"/>
      <c r="BD151" s="39" t="s">
        <v>811</v>
      </c>
      <c r="BE151" s="36">
        <v>1</v>
      </c>
      <c r="BF151" s="36" t="s">
        <v>160</v>
      </c>
      <c r="BG151" s="36" t="s">
        <v>161</v>
      </c>
      <c r="BH151" s="36" t="s">
        <v>162</v>
      </c>
      <c r="BJ151" s="38">
        <v>7200</v>
      </c>
      <c r="BK151" s="38">
        <v>1800</v>
      </c>
      <c r="BL151" s="36">
        <f t="shared" si="1"/>
        <v>610</v>
      </c>
      <c r="BM151" s="36">
        <v>8</v>
      </c>
      <c r="BN151" s="35" t="s">
        <v>157</v>
      </c>
      <c r="BO151" s="36" t="s">
        <v>962</v>
      </c>
      <c r="BP151" s="54" t="s">
        <v>157</v>
      </c>
      <c r="BQ151" s="36" t="s">
        <v>792</v>
      </c>
    </row>
    <row r="152" spans="1:69" x14ac:dyDescent="0.45">
      <c r="A152" s="36">
        <v>40809</v>
      </c>
      <c r="B152" s="36" t="s">
        <v>801</v>
      </c>
      <c r="C152" s="36" t="s">
        <v>141</v>
      </c>
      <c r="D152" s="36" t="s">
        <v>142</v>
      </c>
      <c r="E152" s="36" t="s">
        <v>558</v>
      </c>
      <c r="F152" s="36" t="s">
        <v>144</v>
      </c>
      <c r="G152" s="36" t="s">
        <v>145</v>
      </c>
      <c r="H152" s="36" t="s">
        <v>146</v>
      </c>
      <c r="J152" s="36" t="s">
        <v>147</v>
      </c>
      <c r="K152" s="36" t="s">
        <v>788</v>
      </c>
      <c r="L152" s="36" t="s">
        <v>149</v>
      </c>
      <c r="M152" s="38">
        <v>4300000</v>
      </c>
      <c r="N152" s="36">
        <v>1</v>
      </c>
      <c r="O152" s="36" t="s">
        <v>150</v>
      </c>
      <c r="P152" s="38">
        <v>450</v>
      </c>
      <c r="Q152" s="42" t="s">
        <v>823</v>
      </c>
      <c r="R152" s="36" t="s">
        <v>789</v>
      </c>
      <c r="T152" s="36">
        <v>9</v>
      </c>
      <c r="Z152" s="38" t="s">
        <v>807</v>
      </c>
      <c r="AA152" s="38">
        <v>1000</v>
      </c>
      <c r="AB152" s="36">
        <v>5</v>
      </c>
      <c r="AD152" s="38">
        <v>2700000</v>
      </c>
      <c r="AE152" s="38">
        <v>500000</v>
      </c>
      <c r="AF152" s="36">
        <v>500</v>
      </c>
      <c r="AG152" s="36">
        <v>0</v>
      </c>
      <c r="AH152" s="36">
        <v>40810</v>
      </c>
      <c r="AI152" s="38" t="s">
        <v>830</v>
      </c>
      <c r="AJ152" s="38">
        <v>1000</v>
      </c>
      <c r="AK152" s="36">
        <v>97200</v>
      </c>
      <c r="AL152" s="36">
        <v>1000</v>
      </c>
      <c r="AM152" s="36">
        <v>500</v>
      </c>
      <c r="AN152" s="36">
        <v>600</v>
      </c>
      <c r="AO152" s="36">
        <v>2500</v>
      </c>
      <c r="AP152" s="38" t="s">
        <v>155</v>
      </c>
      <c r="AQ152" s="38">
        <v>100</v>
      </c>
      <c r="AR152" s="38" t="s">
        <v>809</v>
      </c>
      <c r="AS152" s="38">
        <v>2000</v>
      </c>
      <c r="AT152" s="38">
        <v>10800</v>
      </c>
      <c r="AU152" s="38">
        <v>2700000</v>
      </c>
      <c r="AV152" s="36">
        <v>200000</v>
      </c>
      <c r="BA152" s="36" t="s">
        <v>157</v>
      </c>
      <c r="BB152" s="36" t="s">
        <v>790</v>
      </c>
      <c r="BC152" s="46"/>
      <c r="BD152" s="39" t="s">
        <v>811</v>
      </c>
      <c r="BE152" s="36">
        <v>1</v>
      </c>
      <c r="BF152" s="36" t="s">
        <v>160</v>
      </c>
      <c r="BG152" s="36" t="s">
        <v>161</v>
      </c>
      <c r="BH152" s="36" t="s">
        <v>162</v>
      </c>
      <c r="BJ152" s="38">
        <v>7200</v>
      </c>
      <c r="BK152" s="38">
        <v>1800</v>
      </c>
      <c r="BL152" s="36">
        <f t="shared" ref="BL152:BL183" si="2">BL132</f>
        <v>660</v>
      </c>
      <c r="BM152" s="36">
        <v>8</v>
      </c>
      <c r="BN152" s="35" t="s">
        <v>157</v>
      </c>
      <c r="BO152" s="36" t="s">
        <v>962</v>
      </c>
      <c r="BP152" s="54" t="s">
        <v>157</v>
      </c>
      <c r="BQ152" s="36" t="s">
        <v>792</v>
      </c>
    </row>
    <row r="153" spans="1:69" x14ac:dyDescent="0.45">
      <c r="A153" s="36">
        <v>40810</v>
      </c>
      <c r="B153" s="36" t="s">
        <v>802</v>
      </c>
      <c r="C153" s="36" t="s">
        <v>141</v>
      </c>
      <c r="D153" s="36" t="s">
        <v>142</v>
      </c>
      <c r="E153" s="36" t="s">
        <v>558</v>
      </c>
      <c r="F153" s="36" t="s">
        <v>144</v>
      </c>
      <c r="G153" s="36" t="s">
        <v>145</v>
      </c>
      <c r="H153" s="36" t="s">
        <v>146</v>
      </c>
      <c r="J153" s="36" t="s">
        <v>147</v>
      </c>
      <c r="K153" s="36" t="s">
        <v>788</v>
      </c>
      <c r="L153" s="36" t="s">
        <v>149</v>
      </c>
      <c r="M153" s="38">
        <v>4500000</v>
      </c>
      <c r="N153" s="36">
        <v>1</v>
      </c>
      <c r="O153" s="36" t="s">
        <v>150</v>
      </c>
      <c r="P153" s="38">
        <v>500</v>
      </c>
      <c r="Q153" s="42" t="s">
        <v>823</v>
      </c>
      <c r="R153" s="36" t="s">
        <v>789</v>
      </c>
      <c r="T153" s="36">
        <v>10</v>
      </c>
      <c r="Z153" s="38" t="s">
        <v>807</v>
      </c>
      <c r="AA153" s="38">
        <v>1000</v>
      </c>
      <c r="AB153" s="36">
        <v>5</v>
      </c>
      <c r="AD153" s="38">
        <v>2700000</v>
      </c>
      <c r="AE153" s="38">
        <v>500000</v>
      </c>
      <c r="AF153" s="36">
        <v>500</v>
      </c>
      <c r="AG153" s="36">
        <v>0</v>
      </c>
      <c r="AH153" s="36">
        <v>40811</v>
      </c>
      <c r="AI153" s="38" t="s">
        <v>832</v>
      </c>
      <c r="AJ153" s="38">
        <v>1000</v>
      </c>
      <c r="AK153" s="36">
        <v>108000</v>
      </c>
      <c r="AL153" s="36">
        <v>1000</v>
      </c>
      <c r="AM153" s="36">
        <v>500</v>
      </c>
      <c r="AN153" s="36">
        <v>600</v>
      </c>
      <c r="AO153" s="36">
        <v>2500</v>
      </c>
      <c r="AP153" s="38" t="s">
        <v>155</v>
      </c>
      <c r="AQ153" s="38">
        <v>100</v>
      </c>
      <c r="AR153" s="38" t="s">
        <v>809</v>
      </c>
      <c r="AS153" s="38">
        <v>2000</v>
      </c>
      <c r="AT153" s="38">
        <v>10800</v>
      </c>
      <c r="AU153" s="38">
        <v>2700000</v>
      </c>
      <c r="AV153" s="36">
        <v>200000</v>
      </c>
      <c r="BA153" s="36" t="s">
        <v>157</v>
      </c>
      <c r="BB153" s="36" t="s">
        <v>790</v>
      </c>
      <c r="BC153" s="46"/>
      <c r="BD153" s="39" t="s">
        <v>811</v>
      </c>
      <c r="BE153" s="36">
        <v>1</v>
      </c>
      <c r="BF153" s="36" t="s">
        <v>160</v>
      </c>
      <c r="BG153" s="36" t="s">
        <v>161</v>
      </c>
      <c r="BH153" s="36" t="s">
        <v>162</v>
      </c>
      <c r="BJ153" s="38">
        <v>7200</v>
      </c>
      <c r="BK153" s="38">
        <v>1800</v>
      </c>
      <c r="BL153" s="36">
        <f t="shared" si="2"/>
        <v>715</v>
      </c>
      <c r="BM153" s="36">
        <v>8</v>
      </c>
      <c r="BN153" s="35" t="s">
        <v>157</v>
      </c>
      <c r="BO153" s="36" t="s">
        <v>962</v>
      </c>
      <c r="BP153" s="54" t="s">
        <v>157</v>
      </c>
      <c r="BQ153" s="36" t="s">
        <v>792</v>
      </c>
    </row>
    <row r="154" spans="1:69" x14ac:dyDescent="0.45">
      <c r="A154" s="35">
        <v>40811</v>
      </c>
      <c r="B154" s="36" t="s">
        <v>963</v>
      </c>
      <c r="C154" s="35" t="s">
        <v>141</v>
      </c>
      <c r="D154" s="35" t="s">
        <v>142</v>
      </c>
      <c r="E154" s="35" t="s">
        <v>558</v>
      </c>
      <c r="F154" s="36" t="s">
        <v>144</v>
      </c>
      <c r="G154" s="35" t="s">
        <v>145</v>
      </c>
      <c r="H154" s="35" t="s">
        <v>146</v>
      </c>
      <c r="I154" s="35"/>
      <c r="J154" s="35" t="s">
        <v>147</v>
      </c>
      <c r="K154" s="35" t="s">
        <v>788</v>
      </c>
      <c r="L154" s="35" t="s">
        <v>149</v>
      </c>
      <c r="M154" s="38">
        <v>4700000</v>
      </c>
      <c r="N154" s="36">
        <v>1</v>
      </c>
      <c r="O154" s="35" t="s">
        <v>150</v>
      </c>
      <c r="P154" s="38">
        <v>600</v>
      </c>
      <c r="Q154" s="36" t="s">
        <v>834</v>
      </c>
      <c r="R154" s="35" t="s">
        <v>789</v>
      </c>
      <c r="S154" s="35"/>
      <c r="T154" s="36">
        <v>11</v>
      </c>
      <c r="X154" s="35"/>
      <c r="Y154" s="35"/>
      <c r="Z154" s="38" t="s">
        <v>807</v>
      </c>
      <c r="AA154" s="38">
        <v>1000</v>
      </c>
      <c r="AB154" s="35">
        <v>5</v>
      </c>
      <c r="AC154" s="35"/>
      <c r="AD154" s="38">
        <v>2700000</v>
      </c>
      <c r="AE154" s="38">
        <v>500000</v>
      </c>
      <c r="AF154" s="35">
        <v>500</v>
      </c>
      <c r="AG154" s="35">
        <v>0</v>
      </c>
      <c r="AH154" s="36">
        <v>40812</v>
      </c>
      <c r="AI154" s="38" t="s">
        <v>835</v>
      </c>
      <c r="AJ154" s="38">
        <v>1000</v>
      </c>
      <c r="AK154" s="34">
        <v>118800</v>
      </c>
      <c r="AL154" s="36">
        <v>1000</v>
      </c>
      <c r="AM154" s="35">
        <v>500</v>
      </c>
      <c r="AN154" s="35">
        <v>600</v>
      </c>
      <c r="AO154" s="35">
        <v>2500</v>
      </c>
      <c r="AP154" s="38" t="s">
        <v>155</v>
      </c>
      <c r="AQ154" s="38">
        <v>100</v>
      </c>
      <c r="AR154" s="38" t="s">
        <v>809</v>
      </c>
      <c r="AS154" s="38">
        <v>2000</v>
      </c>
      <c r="AT154" s="38">
        <v>10800</v>
      </c>
      <c r="AU154" s="38">
        <v>2700000</v>
      </c>
      <c r="AV154" s="35">
        <v>200000</v>
      </c>
      <c r="AW154" s="35"/>
      <c r="AX154" s="35"/>
      <c r="AY154" s="35"/>
      <c r="AZ154" s="35"/>
      <c r="BA154" s="35" t="s">
        <v>157</v>
      </c>
      <c r="BB154" s="36" t="s">
        <v>790</v>
      </c>
      <c r="BC154" s="48"/>
      <c r="BD154" s="39" t="s">
        <v>811</v>
      </c>
      <c r="BE154" s="35">
        <v>1</v>
      </c>
      <c r="BF154" s="35" t="s">
        <v>160</v>
      </c>
      <c r="BG154" s="35" t="s">
        <v>161</v>
      </c>
      <c r="BH154" s="35" t="s">
        <v>162</v>
      </c>
      <c r="BI154" s="53"/>
      <c r="BJ154" s="38">
        <v>7200</v>
      </c>
      <c r="BK154" s="38">
        <v>1800</v>
      </c>
      <c r="BL154" s="36">
        <f t="shared" si="2"/>
        <v>775</v>
      </c>
      <c r="BM154" s="36">
        <v>8</v>
      </c>
      <c r="BN154" s="35" t="s">
        <v>157</v>
      </c>
      <c r="BO154" s="36" t="s">
        <v>962</v>
      </c>
      <c r="BP154" s="54" t="s">
        <v>157</v>
      </c>
      <c r="BQ154" s="36" t="s">
        <v>792</v>
      </c>
    </row>
    <row r="155" spans="1:69" x14ac:dyDescent="0.45">
      <c r="A155" s="36">
        <v>40812</v>
      </c>
      <c r="B155" s="36" t="s">
        <v>964</v>
      </c>
      <c r="C155" s="36" t="s">
        <v>141</v>
      </c>
      <c r="D155" s="36" t="s">
        <v>142</v>
      </c>
      <c r="E155" s="36" t="s">
        <v>558</v>
      </c>
      <c r="F155" s="36" t="s">
        <v>144</v>
      </c>
      <c r="G155" s="36" t="s">
        <v>145</v>
      </c>
      <c r="H155" s="36" t="s">
        <v>146</v>
      </c>
      <c r="J155" s="36" t="s">
        <v>147</v>
      </c>
      <c r="K155" s="36" t="s">
        <v>788</v>
      </c>
      <c r="L155" s="36" t="s">
        <v>149</v>
      </c>
      <c r="M155" s="38">
        <v>4900000</v>
      </c>
      <c r="N155" s="36">
        <v>1</v>
      </c>
      <c r="O155" s="36" t="s">
        <v>150</v>
      </c>
      <c r="P155" s="38">
        <v>700</v>
      </c>
      <c r="Q155" s="36" t="s">
        <v>834</v>
      </c>
      <c r="R155" s="36" t="s">
        <v>789</v>
      </c>
      <c r="T155" s="36">
        <v>12</v>
      </c>
      <c r="Z155" s="38" t="s">
        <v>807</v>
      </c>
      <c r="AA155" s="38">
        <v>1000</v>
      </c>
      <c r="AB155" s="36">
        <v>5</v>
      </c>
      <c r="AD155" s="38">
        <v>2700000</v>
      </c>
      <c r="AE155" s="38">
        <v>500000</v>
      </c>
      <c r="AF155" s="36">
        <v>500</v>
      </c>
      <c r="AG155" s="36">
        <v>0</v>
      </c>
      <c r="AH155" s="36">
        <v>40813</v>
      </c>
      <c r="AI155" s="38" t="s">
        <v>837</v>
      </c>
      <c r="AJ155" s="38">
        <v>1000</v>
      </c>
      <c r="AK155" s="34">
        <v>129600</v>
      </c>
      <c r="AL155" s="36">
        <v>1000</v>
      </c>
      <c r="AM155" s="36">
        <v>500</v>
      </c>
      <c r="AN155" s="36">
        <v>600</v>
      </c>
      <c r="AO155" s="36">
        <v>2500</v>
      </c>
      <c r="AP155" s="38" t="s">
        <v>155</v>
      </c>
      <c r="AQ155" s="38">
        <v>100</v>
      </c>
      <c r="AR155" s="38" t="s">
        <v>809</v>
      </c>
      <c r="AS155" s="38">
        <v>2000</v>
      </c>
      <c r="AT155" s="38">
        <v>10800</v>
      </c>
      <c r="AU155" s="38">
        <v>2700000</v>
      </c>
      <c r="AV155" s="36">
        <v>200000</v>
      </c>
      <c r="BA155" s="36" t="s">
        <v>157</v>
      </c>
      <c r="BB155" s="36" t="s">
        <v>790</v>
      </c>
      <c r="BC155" s="46"/>
      <c r="BD155" s="39" t="s">
        <v>811</v>
      </c>
      <c r="BE155" s="36">
        <v>1</v>
      </c>
      <c r="BF155" s="36" t="s">
        <v>160</v>
      </c>
      <c r="BG155" s="36" t="s">
        <v>161</v>
      </c>
      <c r="BH155" s="36" t="s">
        <v>162</v>
      </c>
      <c r="BJ155" s="38">
        <v>7200</v>
      </c>
      <c r="BK155" s="38">
        <v>1800</v>
      </c>
      <c r="BL155" s="36">
        <f t="shared" si="2"/>
        <v>840</v>
      </c>
      <c r="BM155" s="36">
        <v>8</v>
      </c>
      <c r="BN155" s="35" t="s">
        <v>157</v>
      </c>
      <c r="BO155" s="36" t="s">
        <v>962</v>
      </c>
      <c r="BP155" s="54" t="s">
        <v>157</v>
      </c>
      <c r="BQ155" s="36" t="s">
        <v>792</v>
      </c>
    </row>
    <row r="156" spans="1:69" x14ac:dyDescent="0.45">
      <c r="A156" s="36">
        <v>40813</v>
      </c>
      <c r="B156" s="36" t="s">
        <v>965</v>
      </c>
      <c r="C156" s="36" t="s">
        <v>141</v>
      </c>
      <c r="D156" s="36" t="s">
        <v>142</v>
      </c>
      <c r="E156" s="36" t="s">
        <v>558</v>
      </c>
      <c r="F156" s="36" t="s">
        <v>144</v>
      </c>
      <c r="G156" s="36" t="s">
        <v>145</v>
      </c>
      <c r="H156" s="36" t="s">
        <v>146</v>
      </c>
      <c r="J156" s="36" t="s">
        <v>147</v>
      </c>
      <c r="K156" s="36" t="s">
        <v>788</v>
      </c>
      <c r="L156" s="36" t="s">
        <v>149</v>
      </c>
      <c r="M156" s="38">
        <v>5100000</v>
      </c>
      <c r="N156" s="36">
        <v>1</v>
      </c>
      <c r="O156" s="36" t="s">
        <v>150</v>
      </c>
      <c r="P156" s="38">
        <v>800</v>
      </c>
      <c r="Q156" s="36" t="s">
        <v>834</v>
      </c>
      <c r="R156" s="36" t="s">
        <v>789</v>
      </c>
      <c r="T156" s="36">
        <v>13</v>
      </c>
      <c r="Z156" s="38" t="s">
        <v>807</v>
      </c>
      <c r="AA156" s="38">
        <v>1000</v>
      </c>
      <c r="AB156" s="36">
        <v>5</v>
      </c>
      <c r="AD156" s="38">
        <v>2700000</v>
      </c>
      <c r="AE156" s="38">
        <v>500000</v>
      </c>
      <c r="AF156" s="36">
        <v>500</v>
      </c>
      <c r="AG156" s="36">
        <v>0</v>
      </c>
      <c r="AH156" s="36">
        <v>40814</v>
      </c>
      <c r="AI156" s="38" t="s">
        <v>839</v>
      </c>
      <c r="AJ156" s="38">
        <v>1000</v>
      </c>
      <c r="AK156" s="34">
        <v>140400</v>
      </c>
      <c r="AL156" s="36">
        <v>1000</v>
      </c>
      <c r="AM156" s="36">
        <v>500</v>
      </c>
      <c r="AN156" s="36">
        <v>600</v>
      </c>
      <c r="AO156" s="36">
        <v>2500</v>
      </c>
      <c r="AP156" s="38" t="s">
        <v>155</v>
      </c>
      <c r="AQ156" s="38">
        <v>100</v>
      </c>
      <c r="AR156" s="38" t="s">
        <v>809</v>
      </c>
      <c r="AS156" s="38">
        <v>2000</v>
      </c>
      <c r="AT156" s="38">
        <v>10800</v>
      </c>
      <c r="AU156" s="38">
        <v>2700000</v>
      </c>
      <c r="AV156" s="36">
        <v>200000</v>
      </c>
      <c r="BA156" s="36" t="s">
        <v>157</v>
      </c>
      <c r="BB156" s="36" t="s">
        <v>790</v>
      </c>
      <c r="BC156" s="46"/>
      <c r="BD156" s="39" t="s">
        <v>811</v>
      </c>
      <c r="BE156" s="36">
        <v>1</v>
      </c>
      <c r="BF156" s="36" t="s">
        <v>160</v>
      </c>
      <c r="BG156" s="36" t="s">
        <v>161</v>
      </c>
      <c r="BH156" s="36" t="s">
        <v>162</v>
      </c>
      <c r="BJ156" s="38">
        <v>7200</v>
      </c>
      <c r="BK156" s="38">
        <v>1800</v>
      </c>
      <c r="BL156" s="36">
        <f t="shared" si="2"/>
        <v>910</v>
      </c>
      <c r="BM156" s="36">
        <v>8</v>
      </c>
      <c r="BN156" s="35" t="s">
        <v>157</v>
      </c>
      <c r="BO156" s="36" t="s">
        <v>962</v>
      </c>
      <c r="BP156" s="54" t="s">
        <v>157</v>
      </c>
      <c r="BQ156" s="36" t="s">
        <v>792</v>
      </c>
    </row>
    <row r="157" spans="1:69" x14ac:dyDescent="0.45">
      <c r="A157" s="36">
        <v>40814</v>
      </c>
      <c r="B157" s="36" t="s">
        <v>966</v>
      </c>
      <c r="C157" s="36" t="s">
        <v>141</v>
      </c>
      <c r="D157" s="36" t="s">
        <v>142</v>
      </c>
      <c r="E157" s="36" t="s">
        <v>558</v>
      </c>
      <c r="F157" s="36" t="s">
        <v>144</v>
      </c>
      <c r="G157" s="36" t="s">
        <v>145</v>
      </c>
      <c r="H157" s="36" t="s">
        <v>146</v>
      </c>
      <c r="J157" s="36" t="s">
        <v>147</v>
      </c>
      <c r="K157" s="36" t="s">
        <v>788</v>
      </c>
      <c r="L157" s="36" t="s">
        <v>149</v>
      </c>
      <c r="M157" s="38">
        <v>5300000</v>
      </c>
      <c r="N157" s="36">
        <v>1</v>
      </c>
      <c r="O157" s="36" t="s">
        <v>150</v>
      </c>
      <c r="P157" s="38">
        <v>900</v>
      </c>
      <c r="Q157" s="36" t="s">
        <v>834</v>
      </c>
      <c r="R157" s="36" t="s">
        <v>789</v>
      </c>
      <c r="T157" s="36">
        <v>14</v>
      </c>
      <c r="Z157" s="38" t="s">
        <v>807</v>
      </c>
      <c r="AA157" s="38">
        <v>1000</v>
      </c>
      <c r="AB157" s="36">
        <v>5</v>
      </c>
      <c r="AD157" s="38">
        <v>2700000</v>
      </c>
      <c r="AE157" s="38">
        <v>500000</v>
      </c>
      <c r="AF157" s="36">
        <v>500</v>
      </c>
      <c r="AG157" s="36">
        <v>0</v>
      </c>
      <c r="AH157" s="36">
        <v>40815</v>
      </c>
      <c r="AI157" s="38" t="s">
        <v>841</v>
      </c>
      <c r="AJ157" s="38">
        <v>1000</v>
      </c>
      <c r="AK157" s="34">
        <v>151200</v>
      </c>
      <c r="AL157" s="36">
        <v>1000</v>
      </c>
      <c r="AM157" s="36">
        <v>500</v>
      </c>
      <c r="AN157" s="36">
        <v>600</v>
      </c>
      <c r="AO157" s="36">
        <v>2500</v>
      </c>
      <c r="AP157" s="38" t="s">
        <v>155</v>
      </c>
      <c r="AQ157" s="38">
        <v>100</v>
      </c>
      <c r="AR157" s="38" t="s">
        <v>809</v>
      </c>
      <c r="AS157" s="38">
        <v>2000</v>
      </c>
      <c r="AT157" s="38">
        <v>10800</v>
      </c>
      <c r="AU157" s="38">
        <v>2700000</v>
      </c>
      <c r="AV157" s="36">
        <v>200000</v>
      </c>
      <c r="BA157" s="36" t="s">
        <v>157</v>
      </c>
      <c r="BB157" s="36" t="s">
        <v>790</v>
      </c>
      <c r="BC157" s="46"/>
      <c r="BD157" s="39" t="s">
        <v>811</v>
      </c>
      <c r="BE157" s="36">
        <v>1</v>
      </c>
      <c r="BF157" s="36" t="s">
        <v>160</v>
      </c>
      <c r="BG157" s="36" t="s">
        <v>161</v>
      </c>
      <c r="BH157" s="36" t="s">
        <v>162</v>
      </c>
      <c r="BJ157" s="38">
        <v>7200</v>
      </c>
      <c r="BK157" s="38">
        <v>1800</v>
      </c>
      <c r="BL157" s="36">
        <f t="shared" si="2"/>
        <v>985</v>
      </c>
      <c r="BM157" s="36">
        <v>8</v>
      </c>
      <c r="BN157" s="35" t="s">
        <v>157</v>
      </c>
      <c r="BO157" s="36" t="s">
        <v>962</v>
      </c>
      <c r="BP157" s="54" t="s">
        <v>157</v>
      </c>
      <c r="BQ157" s="36" t="s">
        <v>792</v>
      </c>
    </row>
    <row r="158" spans="1:69" s="35" customFormat="1" x14ac:dyDescent="0.45">
      <c r="A158" s="36">
        <v>40815</v>
      </c>
      <c r="B158" s="36" t="s">
        <v>967</v>
      </c>
      <c r="C158" s="36" t="s">
        <v>141</v>
      </c>
      <c r="D158" s="36" t="s">
        <v>142</v>
      </c>
      <c r="E158" s="36" t="s">
        <v>558</v>
      </c>
      <c r="F158" s="36" t="s">
        <v>144</v>
      </c>
      <c r="G158" s="36" t="s">
        <v>145</v>
      </c>
      <c r="H158" s="36" t="s">
        <v>146</v>
      </c>
      <c r="I158" s="36"/>
      <c r="J158" s="36" t="s">
        <v>147</v>
      </c>
      <c r="K158" s="36" t="s">
        <v>788</v>
      </c>
      <c r="L158" s="36" t="s">
        <v>149</v>
      </c>
      <c r="M158" s="38">
        <v>5500000</v>
      </c>
      <c r="N158" s="36">
        <v>1</v>
      </c>
      <c r="O158" s="36" t="s">
        <v>150</v>
      </c>
      <c r="P158" s="38">
        <v>1000</v>
      </c>
      <c r="Q158" s="36" t="s">
        <v>834</v>
      </c>
      <c r="R158" s="36" t="s">
        <v>789</v>
      </c>
      <c r="S158" s="36"/>
      <c r="T158" s="36">
        <v>15</v>
      </c>
      <c r="U158" s="36"/>
      <c r="V158" s="36"/>
      <c r="W158" s="36"/>
      <c r="X158" s="36"/>
      <c r="Y158" s="36"/>
      <c r="Z158" s="38" t="s">
        <v>807</v>
      </c>
      <c r="AA158" s="38">
        <v>1000</v>
      </c>
      <c r="AB158" s="36">
        <v>5</v>
      </c>
      <c r="AC158" s="36"/>
      <c r="AD158" s="38">
        <v>2700000</v>
      </c>
      <c r="AE158" s="38">
        <v>500000</v>
      </c>
      <c r="AF158" s="36">
        <v>500</v>
      </c>
      <c r="AG158" s="36">
        <v>0</v>
      </c>
      <c r="AH158" s="36">
        <v>40816</v>
      </c>
      <c r="AI158" s="38" t="s">
        <v>843</v>
      </c>
      <c r="AJ158" s="38">
        <v>1000</v>
      </c>
      <c r="AK158" s="34">
        <v>162000</v>
      </c>
      <c r="AL158" s="36">
        <v>1000</v>
      </c>
      <c r="AM158" s="36">
        <v>500</v>
      </c>
      <c r="AN158" s="36">
        <v>600</v>
      </c>
      <c r="AO158" s="36">
        <v>2500</v>
      </c>
      <c r="AP158" s="38" t="s">
        <v>155</v>
      </c>
      <c r="AQ158" s="38">
        <v>100</v>
      </c>
      <c r="AR158" s="38" t="s">
        <v>809</v>
      </c>
      <c r="AS158" s="38">
        <v>2000</v>
      </c>
      <c r="AT158" s="38">
        <v>10800</v>
      </c>
      <c r="AU158" s="38">
        <v>2700000</v>
      </c>
      <c r="AV158" s="36">
        <v>200000</v>
      </c>
      <c r="AW158" s="36"/>
      <c r="AX158" s="36"/>
      <c r="AY158" s="36"/>
      <c r="AZ158" s="36"/>
      <c r="BA158" s="36" t="s">
        <v>157</v>
      </c>
      <c r="BB158" s="36" t="s">
        <v>790</v>
      </c>
      <c r="BC158" s="46"/>
      <c r="BD158" s="39" t="s">
        <v>811</v>
      </c>
      <c r="BE158" s="36">
        <v>1</v>
      </c>
      <c r="BF158" s="36" t="s">
        <v>160</v>
      </c>
      <c r="BG158" s="36" t="s">
        <v>161</v>
      </c>
      <c r="BH158" s="36" t="s">
        <v>162</v>
      </c>
      <c r="BI158"/>
      <c r="BJ158" s="38">
        <v>7200</v>
      </c>
      <c r="BK158" s="38">
        <v>1800</v>
      </c>
      <c r="BL158" s="36">
        <f t="shared" si="2"/>
        <v>1065</v>
      </c>
      <c r="BM158" s="36">
        <v>8</v>
      </c>
      <c r="BN158" s="35" t="s">
        <v>157</v>
      </c>
      <c r="BO158" s="36" t="s">
        <v>962</v>
      </c>
      <c r="BP158" s="54" t="s">
        <v>157</v>
      </c>
      <c r="BQ158" s="36" t="s">
        <v>792</v>
      </c>
    </row>
    <row r="159" spans="1:69" x14ac:dyDescent="0.45">
      <c r="A159" s="36">
        <v>40816</v>
      </c>
      <c r="B159" s="36" t="s">
        <v>968</v>
      </c>
      <c r="C159" s="36" t="s">
        <v>141</v>
      </c>
      <c r="D159" s="36" t="s">
        <v>142</v>
      </c>
      <c r="E159" s="36" t="s">
        <v>558</v>
      </c>
      <c r="F159" s="36" t="s">
        <v>144</v>
      </c>
      <c r="G159" s="36" t="s">
        <v>145</v>
      </c>
      <c r="H159" s="36" t="s">
        <v>146</v>
      </c>
      <c r="J159" s="36" t="s">
        <v>147</v>
      </c>
      <c r="K159" s="36" t="s">
        <v>788</v>
      </c>
      <c r="L159" s="36" t="s">
        <v>149</v>
      </c>
      <c r="M159" s="38">
        <v>5700000</v>
      </c>
      <c r="N159" s="36">
        <v>1</v>
      </c>
      <c r="O159" s="36" t="s">
        <v>150</v>
      </c>
      <c r="P159" s="38">
        <v>1200</v>
      </c>
      <c r="Q159" s="42" t="s">
        <v>845</v>
      </c>
      <c r="R159" s="36" t="s">
        <v>789</v>
      </c>
      <c r="T159" s="36">
        <v>16</v>
      </c>
      <c r="Z159" s="38" t="s">
        <v>807</v>
      </c>
      <c r="AA159" s="38">
        <v>1000</v>
      </c>
      <c r="AB159" s="36">
        <v>5</v>
      </c>
      <c r="AD159" s="38">
        <v>2700000</v>
      </c>
      <c r="AE159" s="38">
        <v>500000</v>
      </c>
      <c r="AF159" s="36">
        <v>500</v>
      </c>
      <c r="AG159" s="36">
        <v>0</v>
      </c>
      <c r="AH159" s="36">
        <v>40817</v>
      </c>
      <c r="AI159" s="38" t="s">
        <v>846</v>
      </c>
      <c r="AJ159" s="38">
        <v>1000</v>
      </c>
      <c r="AK159" s="36">
        <v>172800</v>
      </c>
      <c r="AL159" s="36">
        <v>1000</v>
      </c>
      <c r="AM159" s="36">
        <v>500</v>
      </c>
      <c r="AN159" s="36">
        <v>600</v>
      </c>
      <c r="AO159" s="36">
        <v>2500</v>
      </c>
      <c r="AP159" s="38" t="s">
        <v>155</v>
      </c>
      <c r="AQ159" s="38">
        <v>100</v>
      </c>
      <c r="AR159" s="38" t="s">
        <v>809</v>
      </c>
      <c r="AS159" s="38">
        <v>2000</v>
      </c>
      <c r="AT159" s="38">
        <v>10800</v>
      </c>
      <c r="AU159" s="38">
        <v>2700000</v>
      </c>
      <c r="AV159" s="36">
        <v>200000</v>
      </c>
      <c r="BA159" s="36" t="s">
        <v>157</v>
      </c>
      <c r="BB159" s="36" t="s">
        <v>790</v>
      </c>
      <c r="BC159" s="46"/>
      <c r="BD159" s="39" t="s">
        <v>811</v>
      </c>
      <c r="BE159" s="36">
        <v>1</v>
      </c>
      <c r="BF159" s="36" t="s">
        <v>160</v>
      </c>
      <c r="BG159" s="36" t="s">
        <v>161</v>
      </c>
      <c r="BH159" s="36" t="s">
        <v>162</v>
      </c>
      <c r="BJ159" s="38">
        <v>7200</v>
      </c>
      <c r="BK159" s="38">
        <v>1800</v>
      </c>
      <c r="BL159" s="36">
        <f t="shared" si="2"/>
        <v>1150</v>
      </c>
      <c r="BM159" s="36">
        <v>8</v>
      </c>
      <c r="BN159" s="35" t="s">
        <v>157</v>
      </c>
      <c r="BO159" s="36" t="s">
        <v>962</v>
      </c>
      <c r="BP159" s="54" t="s">
        <v>157</v>
      </c>
      <c r="BQ159" s="36" t="s">
        <v>792</v>
      </c>
    </row>
    <row r="160" spans="1:69" x14ac:dyDescent="0.45">
      <c r="A160" s="36">
        <v>40817</v>
      </c>
      <c r="B160" s="36" t="s">
        <v>969</v>
      </c>
      <c r="C160" s="36" t="s">
        <v>141</v>
      </c>
      <c r="D160" s="36" t="s">
        <v>142</v>
      </c>
      <c r="E160" s="36" t="s">
        <v>558</v>
      </c>
      <c r="F160" s="36" t="s">
        <v>144</v>
      </c>
      <c r="G160" s="36" t="s">
        <v>145</v>
      </c>
      <c r="H160" s="36" t="s">
        <v>146</v>
      </c>
      <c r="J160" s="36" t="s">
        <v>147</v>
      </c>
      <c r="K160" s="36" t="s">
        <v>788</v>
      </c>
      <c r="L160" s="36" t="s">
        <v>149</v>
      </c>
      <c r="M160" s="38">
        <v>5900000</v>
      </c>
      <c r="N160" s="36">
        <v>1</v>
      </c>
      <c r="O160" s="36" t="s">
        <v>150</v>
      </c>
      <c r="P160" s="38">
        <v>1500</v>
      </c>
      <c r="Q160" s="42" t="s">
        <v>845</v>
      </c>
      <c r="R160" s="36" t="s">
        <v>789</v>
      </c>
      <c r="T160" s="36">
        <v>17</v>
      </c>
      <c r="Z160" s="38" t="s">
        <v>807</v>
      </c>
      <c r="AA160" s="38">
        <v>1000</v>
      </c>
      <c r="AB160" s="36">
        <v>5</v>
      </c>
      <c r="AD160" s="38">
        <v>2700000</v>
      </c>
      <c r="AE160" s="38">
        <v>500000</v>
      </c>
      <c r="AF160" s="36">
        <v>500</v>
      </c>
      <c r="AG160" s="36">
        <v>0</v>
      </c>
      <c r="AH160" s="36">
        <v>40818</v>
      </c>
      <c r="AI160" s="38" t="s">
        <v>848</v>
      </c>
      <c r="AJ160" s="38">
        <v>1000</v>
      </c>
      <c r="AK160" s="36">
        <v>183600</v>
      </c>
      <c r="AL160" s="36">
        <v>1000</v>
      </c>
      <c r="AM160" s="36">
        <v>500</v>
      </c>
      <c r="AN160" s="36">
        <v>600</v>
      </c>
      <c r="AO160" s="36">
        <v>2500</v>
      </c>
      <c r="AP160" s="38" t="s">
        <v>155</v>
      </c>
      <c r="AQ160" s="38">
        <v>100</v>
      </c>
      <c r="AR160" s="38" t="s">
        <v>809</v>
      </c>
      <c r="AS160" s="38">
        <v>2000</v>
      </c>
      <c r="AT160" s="38">
        <v>10800</v>
      </c>
      <c r="AU160" s="38">
        <v>2700000</v>
      </c>
      <c r="AV160" s="36">
        <v>200000</v>
      </c>
      <c r="BA160" s="36" t="s">
        <v>157</v>
      </c>
      <c r="BB160" s="36" t="s">
        <v>790</v>
      </c>
      <c r="BC160" s="46"/>
      <c r="BD160" s="39" t="s">
        <v>811</v>
      </c>
      <c r="BE160" s="36">
        <v>1</v>
      </c>
      <c r="BF160" s="36" t="s">
        <v>160</v>
      </c>
      <c r="BG160" s="36" t="s">
        <v>161</v>
      </c>
      <c r="BH160" s="36" t="s">
        <v>162</v>
      </c>
      <c r="BJ160" s="38">
        <v>7200</v>
      </c>
      <c r="BK160" s="38">
        <v>1800</v>
      </c>
      <c r="BL160" s="36">
        <f t="shared" si="2"/>
        <v>1240</v>
      </c>
      <c r="BM160" s="36">
        <v>8</v>
      </c>
      <c r="BN160" s="35" t="s">
        <v>157</v>
      </c>
      <c r="BO160" s="36" t="s">
        <v>962</v>
      </c>
      <c r="BP160" s="54" t="s">
        <v>157</v>
      </c>
      <c r="BQ160" s="36" t="s">
        <v>792</v>
      </c>
    </row>
    <row r="161" spans="1:69" x14ac:dyDescent="0.45">
      <c r="A161" s="36">
        <v>40818</v>
      </c>
      <c r="B161" s="36" t="s">
        <v>970</v>
      </c>
      <c r="C161" s="36" t="s">
        <v>141</v>
      </c>
      <c r="D161" s="36" t="s">
        <v>142</v>
      </c>
      <c r="E161" s="36" t="s">
        <v>558</v>
      </c>
      <c r="F161" s="36" t="s">
        <v>144</v>
      </c>
      <c r="G161" s="36" t="s">
        <v>145</v>
      </c>
      <c r="H161" s="36" t="s">
        <v>146</v>
      </c>
      <c r="J161" s="36" t="s">
        <v>147</v>
      </c>
      <c r="K161" s="36" t="s">
        <v>788</v>
      </c>
      <c r="L161" s="36" t="s">
        <v>149</v>
      </c>
      <c r="M161" s="38">
        <v>6100000</v>
      </c>
      <c r="N161" s="36">
        <v>1</v>
      </c>
      <c r="O161" s="36" t="s">
        <v>150</v>
      </c>
      <c r="P161" s="38">
        <v>2000</v>
      </c>
      <c r="Q161" s="42" t="s">
        <v>845</v>
      </c>
      <c r="R161" s="36" t="s">
        <v>789</v>
      </c>
      <c r="T161" s="36">
        <v>18</v>
      </c>
      <c r="Z161" s="38" t="s">
        <v>807</v>
      </c>
      <c r="AA161" s="38">
        <v>1000</v>
      </c>
      <c r="AB161" s="36">
        <v>5</v>
      </c>
      <c r="AD161" s="38">
        <v>2700000</v>
      </c>
      <c r="AE161" s="38">
        <v>500000</v>
      </c>
      <c r="AF161" s="36">
        <v>500</v>
      </c>
      <c r="AG161" s="36">
        <v>0</v>
      </c>
      <c r="AH161" s="36">
        <v>40819</v>
      </c>
      <c r="AI161" s="38" t="s">
        <v>850</v>
      </c>
      <c r="AJ161" s="38">
        <v>1000</v>
      </c>
      <c r="AK161" s="36">
        <v>194400</v>
      </c>
      <c r="AL161" s="36">
        <v>1000</v>
      </c>
      <c r="AM161" s="36">
        <v>500</v>
      </c>
      <c r="AN161" s="36">
        <v>600</v>
      </c>
      <c r="AO161" s="36">
        <v>2500</v>
      </c>
      <c r="AP161" s="38" t="s">
        <v>155</v>
      </c>
      <c r="AQ161" s="38">
        <v>100</v>
      </c>
      <c r="AR161" s="38" t="s">
        <v>809</v>
      </c>
      <c r="AS161" s="38">
        <v>2000</v>
      </c>
      <c r="AT161" s="38">
        <v>10800</v>
      </c>
      <c r="AU161" s="38">
        <v>2700000</v>
      </c>
      <c r="AV161" s="36">
        <v>200000</v>
      </c>
      <c r="BA161" s="36" t="s">
        <v>157</v>
      </c>
      <c r="BB161" s="36" t="s">
        <v>790</v>
      </c>
      <c r="BC161" s="46"/>
      <c r="BD161" s="39" t="s">
        <v>811</v>
      </c>
      <c r="BE161" s="36">
        <v>1</v>
      </c>
      <c r="BF161" s="36" t="s">
        <v>160</v>
      </c>
      <c r="BG161" s="36" t="s">
        <v>161</v>
      </c>
      <c r="BH161" s="36" t="s">
        <v>162</v>
      </c>
      <c r="BJ161" s="38">
        <v>7200</v>
      </c>
      <c r="BK161" s="38">
        <v>1800</v>
      </c>
      <c r="BL161" s="36">
        <f t="shared" si="2"/>
        <v>1335</v>
      </c>
      <c r="BM161" s="36">
        <v>8</v>
      </c>
      <c r="BN161" s="35" t="s">
        <v>157</v>
      </c>
      <c r="BO161" s="36" t="s">
        <v>962</v>
      </c>
      <c r="BP161" s="54" t="s">
        <v>157</v>
      </c>
      <c r="BQ161" s="36" t="s">
        <v>792</v>
      </c>
    </row>
    <row r="162" spans="1:69" x14ac:dyDescent="0.45">
      <c r="A162" s="36">
        <v>40819</v>
      </c>
      <c r="B162" s="36" t="s">
        <v>971</v>
      </c>
      <c r="C162" s="36" t="s">
        <v>141</v>
      </c>
      <c r="D162" s="36" t="s">
        <v>142</v>
      </c>
      <c r="E162" s="36" t="s">
        <v>558</v>
      </c>
      <c r="F162" s="36" t="s">
        <v>144</v>
      </c>
      <c r="G162" s="36" t="s">
        <v>145</v>
      </c>
      <c r="H162" s="36" t="s">
        <v>146</v>
      </c>
      <c r="J162" s="36" t="s">
        <v>147</v>
      </c>
      <c r="K162" s="36" t="s">
        <v>788</v>
      </c>
      <c r="L162" s="36" t="s">
        <v>149</v>
      </c>
      <c r="M162" s="38">
        <v>6300000</v>
      </c>
      <c r="N162" s="36">
        <v>1</v>
      </c>
      <c r="O162" s="36" t="s">
        <v>150</v>
      </c>
      <c r="P162" s="38">
        <v>2500</v>
      </c>
      <c r="Q162" s="42" t="s">
        <v>845</v>
      </c>
      <c r="R162" s="36" t="s">
        <v>789</v>
      </c>
      <c r="T162" s="36">
        <v>19</v>
      </c>
      <c r="Z162" s="38" t="s">
        <v>807</v>
      </c>
      <c r="AA162" s="38">
        <v>1000</v>
      </c>
      <c r="AB162" s="36">
        <v>5</v>
      </c>
      <c r="AD162" s="38">
        <v>2700000</v>
      </c>
      <c r="AE162" s="38">
        <v>500000</v>
      </c>
      <c r="AF162" s="36">
        <v>500</v>
      </c>
      <c r="AG162" s="36">
        <v>0</v>
      </c>
      <c r="AH162" s="36">
        <v>40820</v>
      </c>
      <c r="AI162" s="38" t="s">
        <v>852</v>
      </c>
      <c r="AJ162" s="38">
        <v>1000</v>
      </c>
      <c r="AK162" s="36">
        <v>205200</v>
      </c>
      <c r="AL162" s="36">
        <v>1000</v>
      </c>
      <c r="AM162" s="36">
        <v>500</v>
      </c>
      <c r="AN162" s="36">
        <v>600</v>
      </c>
      <c r="AO162" s="36">
        <v>2500</v>
      </c>
      <c r="AP162" s="38" t="s">
        <v>155</v>
      </c>
      <c r="AQ162" s="38">
        <v>100</v>
      </c>
      <c r="AR162" s="38" t="s">
        <v>809</v>
      </c>
      <c r="AS162" s="38">
        <v>2000</v>
      </c>
      <c r="AT162" s="38">
        <v>10800</v>
      </c>
      <c r="AU162" s="38">
        <v>2700000</v>
      </c>
      <c r="AV162" s="36">
        <v>200000</v>
      </c>
      <c r="BA162" s="36" t="s">
        <v>157</v>
      </c>
      <c r="BB162" s="36" t="s">
        <v>790</v>
      </c>
      <c r="BC162" s="46"/>
      <c r="BD162" s="39" t="s">
        <v>811</v>
      </c>
      <c r="BE162" s="36">
        <v>1</v>
      </c>
      <c r="BF162" s="36" t="s">
        <v>160</v>
      </c>
      <c r="BG162" s="36" t="s">
        <v>161</v>
      </c>
      <c r="BH162" s="36" t="s">
        <v>162</v>
      </c>
      <c r="BJ162" s="38">
        <v>7200</v>
      </c>
      <c r="BK162" s="38">
        <v>1800</v>
      </c>
      <c r="BL162" s="36">
        <f t="shared" si="2"/>
        <v>1435</v>
      </c>
      <c r="BM162" s="36">
        <v>8</v>
      </c>
      <c r="BN162" s="35" t="s">
        <v>157</v>
      </c>
      <c r="BO162" s="36" t="s">
        <v>962</v>
      </c>
      <c r="BP162" s="54" t="s">
        <v>157</v>
      </c>
      <c r="BQ162" s="36" t="s">
        <v>792</v>
      </c>
    </row>
    <row r="163" spans="1:69" x14ac:dyDescent="0.45">
      <c r="A163" s="36">
        <v>40820</v>
      </c>
      <c r="B163" s="36" t="s">
        <v>972</v>
      </c>
      <c r="C163" s="36" t="s">
        <v>141</v>
      </c>
      <c r="D163" s="36" t="s">
        <v>142</v>
      </c>
      <c r="E163" s="36" t="s">
        <v>558</v>
      </c>
      <c r="F163" s="36" t="s">
        <v>144</v>
      </c>
      <c r="G163" s="36" t="s">
        <v>145</v>
      </c>
      <c r="H163" s="36" t="s">
        <v>146</v>
      </c>
      <c r="J163" s="36" t="s">
        <v>147</v>
      </c>
      <c r="K163" s="36" t="s">
        <v>788</v>
      </c>
      <c r="L163" s="36" t="s">
        <v>149</v>
      </c>
      <c r="M163" s="38">
        <v>6500000</v>
      </c>
      <c r="N163" s="36">
        <v>1</v>
      </c>
      <c r="O163" s="36" t="s">
        <v>150</v>
      </c>
      <c r="P163" s="38">
        <v>3000</v>
      </c>
      <c r="Q163" s="42" t="s">
        <v>845</v>
      </c>
      <c r="R163" s="36" t="s">
        <v>789</v>
      </c>
      <c r="T163" s="36">
        <v>20</v>
      </c>
      <c r="Z163" s="38" t="s">
        <v>807</v>
      </c>
      <c r="AA163" s="38">
        <v>1000</v>
      </c>
      <c r="AB163" s="36">
        <v>5</v>
      </c>
      <c r="AD163" s="38">
        <v>2700000</v>
      </c>
      <c r="AE163" s="38">
        <v>500000</v>
      </c>
      <c r="AF163" s="36">
        <v>500</v>
      </c>
      <c r="AG163" s="36">
        <v>0</v>
      </c>
      <c r="AH163" s="36">
        <v>-1</v>
      </c>
      <c r="AJ163" s="38">
        <v>1000</v>
      </c>
      <c r="AK163" s="35">
        <v>216000</v>
      </c>
      <c r="AL163" s="36">
        <v>1000</v>
      </c>
      <c r="AM163" s="36">
        <v>500</v>
      </c>
      <c r="AN163" s="36">
        <v>600</v>
      </c>
      <c r="AO163" s="36">
        <v>2500</v>
      </c>
      <c r="AP163" s="38" t="s">
        <v>155</v>
      </c>
      <c r="AQ163" s="38">
        <v>100</v>
      </c>
      <c r="AR163" s="38" t="s">
        <v>809</v>
      </c>
      <c r="AS163" s="38">
        <v>2000</v>
      </c>
      <c r="AT163" s="38">
        <v>10800</v>
      </c>
      <c r="AU163" s="38">
        <v>2700000</v>
      </c>
      <c r="AV163" s="36">
        <v>200000</v>
      </c>
      <c r="BA163" s="36" t="s">
        <v>157</v>
      </c>
      <c r="BB163" s="36" t="s">
        <v>790</v>
      </c>
      <c r="BC163" s="46"/>
      <c r="BD163" s="39" t="s">
        <v>811</v>
      </c>
      <c r="BE163" s="36">
        <v>1</v>
      </c>
      <c r="BF163" s="36" t="s">
        <v>160</v>
      </c>
      <c r="BG163" s="36" t="s">
        <v>161</v>
      </c>
      <c r="BH163" s="36" t="s">
        <v>162</v>
      </c>
      <c r="BJ163" s="38">
        <v>7200</v>
      </c>
      <c r="BK163" s="38">
        <v>1800</v>
      </c>
      <c r="BL163" s="36">
        <f t="shared" si="2"/>
        <v>1540</v>
      </c>
      <c r="BM163" s="36">
        <v>8</v>
      </c>
      <c r="BN163" s="35" t="s">
        <v>157</v>
      </c>
      <c r="BO163" s="36" t="s">
        <v>962</v>
      </c>
      <c r="BP163" s="54" t="s">
        <v>157</v>
      </c>
      <c r="BQ163" s="36" t="s">
        <v>792</v>
      </c>
    </row>
    <row r="164" spans="1:69" x14ac:dyDescent="0.45">
      <c r="A164" s="36">
        <v>40901</v>
      </c>
      <c r="B164" s="36" t="s">
        <v>973</v>
      </c>
      <c r="C164" s="36" t="s">
        <v>141</v>
      </c>
      <c r="D164" s="36" t="s">
        <v>142</v>
      </c>
      <c r="E164" s="36" t="s">
        <v>764</v>
      </c>
      <c r="F164" s="36" t="s">
        <v>144</v>
      </c>
      <c r="G164" s="36" t="s">
        <v>145</v>
      </c>
      <c r="H164" s="36" t="s">
        <v>146</v>
      </c>
      <c r="J164" s="36" t="s">
        <v>147</v>
      </c>
      <c r="K164" s="36" t="s">
        <v>974</v>
      </c>
      <c r="L164" s="36" t="s">
        <v>149</v>
      </c>
      <c r="M164" s="38">
        <v>2700000</v>
      </c>
      <c r="N164" s="36">
        <v>1</v>
      </c>
      <c r="O164" s="36" t="s">
        <v>150</v>
      </c>
      <c r="P164" s="38">
        <v>50</v>
      </c>
      <c r="Q164" s="36" t="s">
        <v>805</v>
      </c>
      <c r="R164" s="36" t="s">
        <v>975</v>
      </c>
      <c r="T164" s="36">
        <v>1</v>
      </c>
      <c r="Z164" s="38" t="s">
        <v>807</v>
      </c>
      <c r="AA164" s="38">
        <v>1000</v>
      </c>
      <c r="AB164" s="36">
        <v>5</v>
      </c>
      <c r="AD164" s="38">
        <v>2700000</v>
      </c>
      <c r="AE164" s="38">
        <v>500000</v>
      </c>
      <c r="AF164" s="36">
        <v>500</v>
      </c>
      <c r="AG164" s="36">
        <v>0</v>
      </c>
      <c r="AH164" s="36">
        <v>40902</v>
      </c>
      <c r="AI164" s="38" t="s">
        <v>808</v>
      </c>
      <c r="AJ164" s="38">
        <v>1000</v>
      </c>
      <c r="AK164" s="36">
        <v>21600</v>
      </c>
      <c r="AL164" s="36">
        <v>1000</v>
      </c>
      <c r="AM164" s="36">
        <v>500</v>
      </c>
      <c r="AN164" s="36">
        <v>600</v>
      </c>
      <c r="AO164" s="36">
        <v>2500</v>
      </c>
      <c r="AP164" s="38" t="s">
        <v>155</v>
      </c>
      <c r="AQ164" s="38">
        <v>100</v>
      </c>
      <c r="AR164" s="38" t="s">
        <v>809</v>
      </c>
      <c r="AS164" s="38">
        <v>2000</v>
      </c>
      <c r="AT164" s="38">
        <v>10800</v>
      </c>
      <c r="AU164" s="38">
        <v>2700000</v>
      </c>
      <c r="AV164" s="36">
        <v>200000</v>
      </c>
      <c r="BA164" s="36" t="s">
        <v>157</v>
      </c>
      <c r="BB164" s="36" t="s">
        <v>976</v>
      </c>
      <c r="BC164" s="46"/>
      <c r="BD164" s="39" t="s">
        <v>811</v>
      </c>
      <c r="BE164" s="36">
        <v>1</v>
      </c>
      <c r="BF164" s="36" t="s">
        <v>160</v>
      </c>
      <c r="BG164" s="36" t="s">
        <v>161</v>
      </c>
      <c r="BH164" s="36" t="s">
        <v>162</v>
      </c>
      <c r="BJ164" s="38">
        <v>7200</v>
      </c>
      <c r="BK164" s="38">
        <v>1800</v>
      </c>
      <c r="BL164" s="36">
        <f t="shared" si="2"/>
        <v>400</v>
      </c>
      <c r="BM164" s="36">
        <v>9</v>
      </c>
      <c r="BN164" s="35" t="s">
        <v>157</v>
      </c>
      <c r="BO164" s="36" t="s">
        <v>977</v>
      </c>
      <c r="BP164" s="54" t="s">
        <v>157</v>
      </c>
      <c r="BQ164" s="36" t="s">
        <v>978</v>
      </c>
    </row>
    <row r="165" spans="1:69" x14ac:dyDescent="0.45">
      <c r="A165" s="36">
        <v>40902</v>
      </c>
      <c r="B165" s="36" t="s">
        <v>979</v>
      </c>
      <c r="C165" s="36" t="s">
        <v>141</v>
      </c>
      <c r="D165" s="36" t="s">
        <v>142</v>
      </c>
      <c r="E165" s="36" t="s">
        <v>764</v>
      </c>
      <c r="F165" s="36" t="s">
        <v>144</v>
      </c>
      <c r="G165" s="36" t="s">
        <v>145</v>
      </c>
      <c r="H165" s="36" t="s">
        <v>146</v>
      </c>
      <c r="J165" s="36" t="s">
        <v>147</v>
      </c>
      <c r="K165" s="36" t="s">
        <v>974</v>
      </c>
      <c r="L165" s="36" t="s">
        <v>149</v>
      </c>
      <c r="M165" s="38">
        <v>2900000</v>
      </c>
      <c r="N165" s="36">
        <v>1</v>
      </c>
      <c r="O165" s="36" t="s">
        <v>150</v>
      </c>
      <c r="P165" s="38">
        <v>100</v>
      </c>
      <c r="Q165" s="36" t="s">
        <v>805</v>
      </c>
      <c r="R165" s="36" t="s">
        <v>975</v>
      </c>
      <c r="T165" s="36">
        <v>2</v>
      </c>
      <c r="Z165" s="38" t="s">
        <v>807</v>
      </c>
      <c r="AA165" s="38">
        <v>1000</v>
      </c>
      <c r="AB165" s="36">
        <v>5</v>
      </c>
      <c r="AD165" s="38">
        <v>2700000</v>
      </c>
      <c r="AE165" s="38">
        <v>500000</v>
      </c>
      <c r="AF165" s="36">
        <v>500</v>
      </c>
      <c r="AG165" s="36">
        <v>0</v>
      </c>
      <c r="AH165" s="36">
        <v>40903</v>
      </c>
      <c r="AI165" s="38" t="s">
        <v>815</v>
      </c>
      <c r="AJ165" s="38">
        <v>1000</v>
      </c>
      <c r="AK165" s="36">
        <v>21600</v>
      </c>
      <c r="AL165" s="36">
        <v>1000</v>
      </c>
      <c r="AM165" s="36">
        <v>500</v>
      </c>
      <c r="AN165" s="36">
        <v>600</v>
      </c>
      <c r="AO165" s="36">
        <v>2500</v>
      </c>
      <c r="AP165" s="38" t="s">
        <v>155</v>
      </c>
      <c r="AQ165" s="38">
        <v>100</v>
      </c>
      <c r="AR165" s="38" t="s">
        <v>809</v>
      </c>
      <c r="AS165" s="38">
        <v>2000</v>
      </c>
      <c r="AT165" s="38">
        <v>10800</v>
      </c>
      <c r="AU165" s="38">
        <v>2700000</v>
      </c>
      <c r="AV165" s="36">
        <v>200000</v>
      </c>
      <c r="BA165" s="36" t="s">
        <v>157</v>
      </c>
      <c r="BB165" s="36" t="s">
        <v>976</v>
      </c>
      <c r="BC165" s="46"/>
      <c r="BD165" s="39" t="s">
        <v>811</v>
      </c>
      <c r="BE165" s="36">
        <v>1</v>
      </c>
      <c r="BF165" s="36" t="s">
        <v>160</v>
      </c>
      <c r="BG165" s="36" t="s">
        <v>161</v>
      </c>
      <c r="BH165" s="36" t="s">
        <v>162</v>
      </c>
      <c r="BJ165" s="38">
        <v>7200</v>
      </c>
      <c r="BK165" s="38">
        <v>1800</v>
      </c>
      <c r="BL165" s="36">
        <f t="shared" si="2"/>
        <v>415</v>
      </c>
      <c r="BM165" s="36">
        <v>9</v>
      </c>
      <c r="BN165" s="35" t="s">
        <v>157</v>
      </c>
      <c r="BO165" s="36" t="s">
        <v>977</v>
      </c>
      <c r="BP165" s="54" t="s">
        <v>157</v>
      </c>
      <c r="BQ165" s="36" t="s">
        <v>978</v>
      </c>
    </row>
    <row r="166" spans="1:69" x14ac:dyDescent="0.45">
      <c r="A166" s="36">
        <v>40903</v>
      </c>
      <c r="B166" s="36" t="s">
        <v>980</v>
      </c>
      <c r="C166" s="36" t="s">
        <v>141</v>
      </c>
      <c r="D166" s="36" t="s">
        <v>142</v>
      </c>
      <c r="E166" s="36" t="s">
        <v>764</v>
      </c>
      <c r="F166" s="36" t="s">
        <v>144</v>
      </c>
      <c r="G166" s="36" t="s">
        <v>145</v>
      </c>
      <c r="H166" s="36" t="s">
        <v>146</v>
      </c>
      <c r="J166" s="36" t="s">
        <v>147</v>
      </c>
      <c r="K166" s="36" t="s">
        <v>974</v>
      </c>
      <c r="L166" s="36" t="s">
        <v>149</v>
      </c>
      <c r="M166" s="38">
        <v>3100000</v>
      </c>
      <c r="N166" s="36">
        <v>1</v>
      </c>
      <c r="O166" s="36" t="s">
        <v>150</v>
      </c>
      <c r="P166" s="38">
        <v>150</v>
      </c>
      <c r="Q166" s="36" t="s">
        <v>805</v>
      </c>
      <c r="R166" s="36" t="s">
        <v>975</v>
      </c>
      <c r="T166" s="36">
        <v>3</v>
      </c>
      <c r="Z166" s="38" t="s">
        <v>807</v>
      </c>
      <c r="AA166" s="38">
        <v>1000</v>
      </c>
      <c r="AB166" s="36">
        <v>5</v>
      </c>
      <c r="AD166" s="38">
        <v>2700000</v>
      </c>
      <c r="AE166" s="38">
        <v>500000</v>
      </c>
      <c r="AF166" s="36">
        <v>500</v>
      </c>
      <c r="AG166" s="36">
        <v>0</v>
      </c>
      <c r="AH166" s="36">
        <v>40904</v>
      </c>
      <c r="AI166" s="38" t="s">
        <v>817</v>
      </c>
      <c r="AJ166" s="38">
        <v>1000</v>
      </c>
      <c r="AK166" s="36">
        <v>32400</v>
      </c>
      <c r="AL166" s="36">
        <v>1000</v>
      </c>
      <c r="AM166" s="36">
        <v>500</v>
      </c>
      <c r="AN166" s="36">
        <v>600</v>
      </c>
      <c r="AO166" s="36">
        <v>2500</v>
      </c>
      <c r="AP166" s="38" t="s">
        <v>155</v>
      </c>
      <c r="AQ166" s="38">
        <v>100</v>
      </c>
      <c r="AR166" s="38" t="s">
        <v>809</v>
      </c>
      <c r="AS166" s="38">
        <v>2000</v>
      </c>
      <c r="AT166" s="38">
        <v>10800</v>
      </c>
      <c r="AU166" s="38">
        <v>2700000</v>
      </c>
      <c r="AV166" s="36">
        <v>200000</v>
      </c>
      <c r="BA166" s="36" t="s">
        <v>157</v>
      </c>
      <c r="BB166" s="36" t="s">
        <v>976</v>
      </c>
      <c r="BC166" s="46"/>
      <c r="BD166" s="39" t="s">
        <v>811</v>
      </c>
      <c r="BE166" s="36">
        <v>1</v>
      </c>
      <c r="BF166" s="36" t="s">
        <v>160</v>
      </c>
      <c r="BG166" s="36" t="s">
        <v>161</v>
      </c>
      <c r="BH166" s="36" t="s">
        <v>162</v>
      </c>
      <c r="BJ166" s="38">
        <v>7200</v>
      </c>
      <c r="BK166" s="38">
        <v>1800</v>
      </c>
      <c r="BL166" s="36">
        <f t="shared" si="2"/>
        <v>435</v>
      </c>
      <c r="BM166" s="36">
        <v>9</v>
      </c>
      <c r="BN166" s="35" t="s">
        <v>157</v>
      </c>
      <c r="BO166" s="36" t="s">
        <v>977</v>
      </c>
      <c r="BP166" s="54" t="s">
        <v>157</v>
      </c>
      <c r="BQ166" s="36" t="s">
        <v>978</v>
      </c>
    </row>
    <row r="167" spans="1:69" s="35" customFormat="1" x14ac:dyDescent="0.45">
      <c r="A167" s="36">
        <v>40904</v>
      </c>
      <c r="B167" s="36" t="s">
        <v>981</v>
      </c>
      <c r="C167" s="36" t="s">
        <v>141</v>
      </c>
      <c r="D167" s="36" t="s">
        <v>142</v>
      </c>
      <c r="E167" s="36" t="s">
        <v>764</v>
      </c>
      <c r="F167" s="36" t="s">
        <v>144</v>
      </c>
      <c r="G167" s="36" t="s">
        <v>145</v>
      </c>
      <c r="H167" s="36" t="s">
        <v>146</v>
      </c>
      <c r="I167" s="36"/>
      <c r="J167" s="36" t="s">
        <v>147</v>
      </c>
      <c r="K167" s="36" t="s">
        <v>974</v>
      </c>
      <c r="L167" s="36" t="s">
        <v>149</v>
      </c>
      <c r="M167" s="38">
        <v>3300000</v>
      </c>
      <c r="N167" s="36">
        <v>1</v>
      </c>
      <c r="O167" s="36" t="s">
        <v>150</v>
      </c>
      <c r="P167" s="38">
        <v>200</v>
      </c>
      <c r="Q167" s="36" t="s">
        <v>805</v>
      </c>
      <c r="R167" s="36" t="s">
        <v>975</v>
      </c>
      <c r="S167" s="36"/>
      <c r="T167" s="36">
        <v>4</v>
      </c>
      <c r="U167" s="36"/>
      <c r="V167" s="36"/>
      <c r="W167" s="36"/>
      <c r="X167" s="36"/>
      <c r="Y167" s="36"/>
      <c r="Z167" s="38" t="s">
        <v>807</v>
      </c>
      <c r="AA167" s="38">
        <v>1000</v>
      </c>
      <c r="AB167" s="36">
        <v>5</v>
      </c>
      <c r="AC167" s="36"/>
      <c r="AD167" s="38">
        <v>2700000</v>
      </c>
      <c r="AE167" s="38">
        <v>500000</v>
      </c>
      <c r="AF167" s="36">
        <v>500</v>
      </c>
      <c r="AG167" s="36">
        <v>0</v>
      </c>
      <c r="AH167" s="36">
        <v>40905</v>
      </c>
      <c r="AI167" s="38" t="s">
        <v>819</v>
      </c>
      <c r="AJ167" s="38">
        <v>1000</v>
      </c>
      <c r="AK167" s="36">
        <v>43200</v>
      </c>
      <c r="AL167" s="36">
        <v>1000</v>
      </c>
      <c r="AM167" s="36">
        <v>500</v>
      </c>
      <c r="AN167" s="36">
        <v>600</v>
      </c>
      <c r="AO167" s="36">
        <v>2500</v>
      </c>
      <c r="AP167" s="38" t="s">
        <v>155</v>
      </c>
      <c r="AQ167" s="38">
        <v>100</v>
      </c>
      <c r="AR167" s="38" t="s">
        <v>809</v>
      </c>
      <c r="AS167" s="38">
        <v>2000</v>
      </c>
      <c r="AT167" s="38">
        <v>10800</v>
      </c>
      <c r="AU167" s="38">
        <v>2700000</v>
      </c>
      <c r="AV167" s="36">
        <v>200000</v>
      </c>
      <c r="AW167" s="36"/>
      <c r="AX167" s="36"/>
      <c r="AY167" s="36"/>
      <c r="AZ167" s="36"/>
      <c r="BA167" s="36" t="s">
        <v>157</v>
      </c>
      <c r="BB167" s="36" t="s">
        <v>976</v>
      </c>
      <c r="BC167" s="46"/>
      <c r="BD167" s="39" t="s">
        <v>811</v>
      </c>
      <c r="BE167" s="36">
        <v>1</v>
      </c>
      <c r="BF167" s="36" t="s">
        <v>160</v>
      </c>
      <c r="BG167" s="36" t="s">
        <v>161</v>
      </c>
      <c r="BH167" s="36" t="s">
        <v>162</v>
      </c>
      <c r="BI167"/>
      <c r="BJ167" s="38">
        <v>7200</v>
      </c>
      <c r="BK167" s="38">
        <v>1800</v>
      </c>
      <c r="BL167" s="36">
        <f t="shared" si="2"/>
        <v>460</v>
      </c>
      <c r="BM167" s="36">
        <v>9</v>
      </c>
      <c r="BN167" s="35" t="s">
        <v>157</v>
      </c>
      <c r="BO167" s="36" t="s">
        <v>977</v>
      </c>
      <c r="BP167" s="54" t="s">
        <v>157</v>
      </c>
      <c r="BQ167" s="36" t="s">
        <v>978</v>
      </c>
    </row>
    <row r="168" spans="1:69" x14ac:dyDescent="0.45">
      <c r="A168" s="36">
        <v>40905</v>
      </c>
      <c r="B168" s="36" t="s">
        <v>982</v>
      </c>
      <c r="C168" s="36" t="s">
        <v>141</v>
      </c>
      <c r="D168" s="36" t="s">
        <v>142</v>
      </c>
      <c r="E168" s="36" t="s">
        <v>764</v>
      </c>
      <c r="F168" s="36" t="s">
        <v>144</v>
      </c>
      <c r="G168" s="36" t="s">
        <v>145</v>
      </c>
      <c r="H168" s="36" t="s">
        <v>146</v>
      </c>
      <c r="J168" s="36" t="s">
        <v>147</v>
      </c>
      <c r="K168" s="36" t="s">
        <v>974</v>
      </c>
      <c r="L168" s="36" t="s">
        <v>149</v>
      </c>
      <c r="M168" s="38">
        <v>3500000</v>
      </c>
      <c r="N168" s="36">
        <v>1</v>
      </c>
      <c r="O168" s="36" t="s">
        <v>150</v>
      </c>
      <c r="P168" s="38">
        <v>250</v>
      </c>
      <c r="Q168" s="36" t="s">
        <v>805</v>
      </c>
      <c r="R168" s="36" t="s">
        <v>975</v>
      </c>
      <c r="T168" s="36">
        <v>5</v>
      </c>
      <c r="Z168" s="38" t="s">
        <v>807</v>
      </c>
      <c r="AA168" s="38">
        <v>1000</v>
      </c>
      <c r="AB168" s="36">
        <v>5</v>
      </c>
      <c r="AD168" s="38">
        <v>2700000</v>
      </c>
      <c r="AE168" s="38">
        <v>500000</v>
      </c>
      <c r="AF168" s="36">
        <v>500</v>
      </c>
      <c r="AG168" s="36">
        <v>0</v>
      </c>
      <c r="AH168" s="36">
        <v>40906</v>
      </c>
      <c r="AI168" s="38" t="s">
        <v>821</v>
      </c>
      <c r="AJ168" s="38">
        <v>1000</v>
      </c>
      <c r="AK168" s="36">
        <v>54000</v>
      </c>
      <c r="AL168" s="36">
        <v>1000</v>
      </c>
      <c r="AM168" s="36">
        <v>500</v>
      </c>
      <c r="AN168" s="36">
        <v>600</v>
      </c>
      <c r="AO168" s="36">
        <v>2500</v>
      </c>
      <c r="AP168" s="38" t="s">
        <v>155</v>
      </c>
      <c r="AQ168" s="38">
        <v>100</v>
      </c>
      <c r="AR168" s="38" t="s">
        <v>809</v>
      </c>
      <c r="AS168" s="38">
        <v>2000</v>
      </c>
      <c r="AT168" s="38">
        <v>10800</v>
      </c>
      <c r="AU168" s="38">
        <v>2700000</v>
      </c>
      <c r="AV168" s="36">
        <v>200000</v>
      </c>
      <c r="BA168" s="36" t="s">
        <v>157</v>
      </c>
      <c r="BB168" s="36" t="s">
        <v>976</v>
      </c>
      <c r="BC168" s="46"/>
      <c r="BD168" s="39" t="s">
        <v>811</v>
      </c>
      <c r="BE168" s="36">
        <v>1</v>
      </c>
      <c r="BF168" s="36" t="s">
        <v>160</v>
      </c>
      <c r="BG168" s="36" t="s">
        <v>161</v>
      </c>
      <c r="BH168" s="36" t="s">
        <v>162</v>
      </c>
      <c r="BJ168" s="38">
        <v>7200</v>
      </c>
      <c r="BK168" s="38">
        <v>1800</v>
      </c>
      <c r="BL168" s="36">
        <f t="shared" si="2"/>
        <v>490</v>
      </c>
      <c r="BM168" s="36">
        <v>9</v>
      </c>
      <c r="BN168" s="35" t="s">
        <v>157</v>
      </c>
      <c r="BO168" s="36" t="s">
        <v>977</v>
      </c>
      <c r="BP168" s="54" t="s">
        <v>157</v>
      </c>
      <c r="BQ168" s="36" t="s">
        <v>978</v>
      </c>
    </row>
    <row r="169" spans="1:69" x14ac:dyDescent="0.45">
      <c r="A169" s="36">
        <v>40906</v>
      </c>
      <c r="B169" s="36" t="s">
        <v>983</v>
      </c>
      <c r="C169" s="36" t="s">
        <v>141</v>
      </c>
      <c r="D169" s="36" t="s">
        <v>142</v>
      </c>
      <c r="E169" s="36" t="s">
        <v>764</v>
      </c>
      <c r="F169" s="36" t="s">
        <v>144</v>
      </c>
      <c r="G169" s="36" t="s">
        <v>145</v>
      </c>
      <c r="H169" s="36" t="s">
        <v>146</v>
      </c>
      <c r="J169" s="36" t="s">
        <v>147</v>
      </c>
      <c r="K169" s="36" t="s">
        <v>974</v>
      </c>
      <c r="L169" s="36" t="s">
        <v>149</v>
      </c>
      <c r="M169" s="38">
        <v>3700000</v>
      </c>
      <c r="N169" s="36">
        <v>1</v>
      </c>
      <c r="O169" s="36" t="s">
        <v>150</v>
      </c>
      <c r="P169" s="38">
        <v>300</v>
      </c>
      <c r="Q169" s="42" t="s">
        <v>823</v>
      </c>
      <c r="R169" s="36" t="s">
        <v>975</v>
      </c>
      <c r="T169" s="36">
        <v>6</v>
      </c>
      <c r="Z169" s="38" t="s">
        <v>807</v>
      </c>
      <c r="AA169" s="38">
        <v>1000</v>
      </c>
      <c r="AB169" s="36">
        <v>5</v>
      </c>
      <c r="AD169" s="38">
        <v>2700000</v>
      </c>
      <c r="AE169" s="38">
        <v>500000</v>
      </c>
      <c r="AF169" s="36">
        <v>500</v>
      </c>
      <c r="AG169" s="36">
        <v>0</v>
      </c>
      <c r="AH169" s="36">
        <v>40907</v>
      </c>
      <c r="AI169" s="38" t="s">
        <v>824</v>
      </c>
      <c r="AJ169" s="38">
        <v>1000</v>
      </c>
      <c r="AK169" s="36">
        <v>64800</v>
      </c>
      <c r="AL169" s="36">
        <v>1000</v>
      </c>
      <c r="AM169" s="36">
        <v>500</v>
      </c>
      <c r="AN169" s="36">
        <v>600</v>
      </c>
      <c r="AO169" s="36">
        <v>2500</v>
      </c>
      <c r="AP169" s="38" t="s">
        <v>155</v>
      </c>
      <c r="AQ169" s="38">
        <v>100</v>
      </c>
      <c r="AR169" s="38" t="s">
        <v>809</v>
      </c>
      <c r="AS169" s="38">
        <v>2000</v>
      </c>
      <c r="AT169" s="38">
        <v>10800</v>
      </c>
      <c r="AU169" s="38">
        <v>2700000</v>
      </c>
      <c r="AV169" s="36">
        <v>200000</v>
      </c>
      <c r="BA169" s="36" t="s">
        <v>157</v>
      </c>
      <c r="BB169" s="36" t="s">
        <v>976</v>
      </c>
      <c r="BC169" s="46"/>
      <c r="BD169" s="39" t="s">
        <v>811</v>
      </c>
      <c r="BE169" s="36">
        <v>1</v>
      </c>
      <c r="BF169" s="36" t="s">
        <v>160</v>
      </c>
      <c r="BG169" s="36" t="s">
        <v>161</v>
      </c>
      <c r="BH169" s="36" t="s">
        <v>162</v>
      </c>
      <c r="BJ169" s="38">
        <v>7200</v>
      </c>
      <c r="BK169" s="38">
        <v>1800</v>
      </c>
      <c r="BL169" s="36">
        <f t="shared" si="2"/>
        <v>525</v>
      </c>
      <c r="BM169" s="36">
        <v>9</v>
      </c>
      <c r="BN169" s="35" t="s">
        <v>157</v>
      </c>
      <c r="BO169" s="36" t="s">
        <v>977</v>
      </c>
      <c r="BP169" s="54" t="s">
        <v>157</v>
      </c>
      <c r="BQ169" s="36" t="s">
        <v>978</v>
      </c>
    </row>
    <row r="170" spans="1:69" x14ac:dyDescent="0.45">
      <c r="A170" s="36">
        <v>40907</v>
      </c>
      <c r="B170" s="36" t="s">
        <v>984</v>
      </c>
      <c r="C170" s="36" t="s">
        <v>141</v>
      </c>
      <c r="D170" s="36" t="s">
        <v>142</v>
      </c>
      <c r="E170" s="36" t="s">
        <v>764</v>
      </c>
      <c r="F170" s="36" t="s">
        <v>144</v>
      </c>
      <c r="G170" s="36" t="s">
        <v>145</v>
      </c>
      <c r="H170" s="36" t="s">
        <v>146</v>
      </c>
      <c r="J170" s="36" t="s">
        <v>147</v>
      </c>
      <c r="K170" s="36" t="s">
        <v>974</v>
      </c>
      <c r="L170" s="36" t="s">
        <v>149</v>
      </c>
      <c r="M170" s="38">
        <v>3900000</v>
      </c>
      <c r="N170" s="36">
        <v>1</v>
      </c>
      <c r="O170" s="36" t="s">
        <v>150</v>
      </c>
      <c r="P170" s="38">
        <v>350</v>
      </c>
      <c r="Q170" s="42" t="s">
        <v>823</v>
      </c>
      <c r="R170" s="36" t="s">
        <v>975</v>
      </c>
      <c r="T170" s="36">
        <v>7</v>
      </c>
      <c r="Z170" s="38" t="s">
        <v>807</v>
      </c>
      <c r="AA170" s="38">
        <v>1000</v>
      </c>
      <c r="AB170" s="36">
        <v>5</v>
      </c>
      <c r="AD170" s="38">
        <v>2700000</v>
      </c>
      <c r="AE170" s="38">
        <v>500000</v>
      </c>
      <c r="AF170" s="36">
        <v>500</v>
      </c>
      <c r="AG170" s="36">
        <v>0</v>
      </c>
      <c r="AH170" s="36">
        <v>40908</v>
      </c>
      <c r="AI170" s="38" t="s">
        <v>826</v>
      </c>
      <c r="AJ170" s="38">
        <v>1000</v>
      </c>
      <c r="AK170" s="36">
        <v>75600</v>
      </c>
      <c r="AL170" s="36">
        <v>1000</v>
      </c>
      <c r="AM170" s="36">
        <v>500</v>
      </c>
      <c r="AN170" s="36">
        <v>600</v>
      </c>
      <c r="AO170" s="36">
        <v>2500</v>
      </c>
      <c r="AP170" s="38" t="s">
        <v>155</v>
      </c>
      <c r="AQ170" s="38">
        <v>100</v>
      </c>
      <c r="AR170" s="38" t="s">
        <v>809</v>
      </c>
      <c r="AS170" s="38">
        <v>2000</v>
      </c>
      <c r="AT170" s="38">
        <v>10800</v>
      </c>
      <c r="AU170" s="38">
        <v>2700000</v>
      </c>
      <c r="AV170" s="36">
        <v>200000</v>
      </c>
      <c r="BA170" s="36" t="s">
        <v>157</v>
      </c>
      <c r="BB170" s="36" t="s">
        <v>976</v>
      </c>
      <c r="BC170" s="46"/>
      <c r="BD170" s="39" t="s">
        <v>811</v>
      </c>
      <c r="BE170" s="36">
        <v>1</v>
      </c>
      <c r="BF170" s="36" t="s">
        <v>160</v>
      </c>
      <c r="BG170" s="36" t="s">
        <v>161</v>
      </c>
      <c r="BH170" s="36" t="s">
        <v>162</v>
      </c>
      <c r="BJ170" s="38">
        <v>7200</v>
      </c>
      <c r="BK170" s="38">
        <v>1800</v>
      </c>
      <c r="BL170" s="36">
        <f t="shared" si="2"/>
        <v>565</v>
      </c>
      <c r="BM170" s="36">
        <v>9</v>
      </c>
      <c r="BN170" s="35" t="s">
        <v>157</v>
      </c>
      <c r="BO170" s="36" t="s">
        <v>977</v>
      </c>
      <c r="BP170" s="54" t="s">
        <v>157</v>
      </c>
      <c r="BQ170" s="36" t="s">
        <v>978</v>
      </c>
    </row>
    <row r="171" spans="1:69" x14ac:dyDescent="0.45">
      <c r="A171" s="36">
        <v>40908</v>
      </c>
      <c r="B171" s="36" t="s">
        <v>985</v>
      </c>
      <c r="C171" s="36" t="s">
        <v>141</v>
      </c>
      <c r="D171" s="36" t="s">
        <v>142</v>
      </c>
      <c r="E171" s="36" t="s">
        <v>764</v>
      </c>
      <c r="F171" s="36" t="s">
        <v>144</v>
      </c>
      <c r="G171" s="36" t="s">
        <v>145</v>
      </c>
      <c r="H171" s="36" t="s">
        <v>146</v>
      </c>
      <c r="J171" s="36" t="s">
        <v>147</v>
      </c>
      <c r="K171" s="36" t="s">
        <v>974</v>
      </c>
      <c r="L171" s="36" t="s">
        <v>149</v>
      </c>
      <c r="M171" s="38">
        <v>4100000</v>
      </c>
      <c r="N171" s="36">
        <v>1</v>
      </c>
      <c r="O171" s="36" t="s">
        <v>150</v>
      </c>
      <c r="P171" s="38">
        <v>400</v>
      </c>
      <c r="Q171" s="42" t="s">
        <v>823</v>
      </c>
      <c r="R171" s="36" t="s">
        <v>975</v>
      </c>
      <c r="T171" s="36">
        <v>8</v>
      </c>
      <c r="Z171" s="38" t="s">
        <v>807</v>
      </c>
      <c r="AA171" s="38">
        <v>1000</v>
      </c>
      <c r="AB171" s="36">
        <v>5</v>
      </c>
      <c r="AD171" s="38">
        <v>2700000</v>
      </c>
      <c r="AE171" s="38">
        <v>500000</v>
      </c>
      <c r="AF171" s="36">
        <v>500</v>
      </c>
      <c r="AG171" s="36">
        <v>0</v>
      </c>
      <c r="AH171" s="36">
        <v>40909</v>
      </c>
      <c r="AI171" s="38" t="s">
        <v>828</v>
      </c>
      <c r="AJ171" s="38">
        <v>1000</v>
      </c>
      <c r="AK171" s="36">
        <v>86400</v>
      </c>
      <c r="AL171" s="36">
        <v>1000</v>
      </c>
      <c r="AM171" s="36">
        <v>500</v>
      </c>
      <c r="AN171" s="36">
        <v>600</v>
      </c>
      <c r="AO171" s="36">
        <v>2500</v>
      </c>
      <c r="AP171" s="38" t="s">
        <v>155</v>
      </c>
      <c r="AQ171" s="38">
        <v>100</v>
      </c>
      <c r="AR171" s="38" t="s">
        <v>809</v>
      </c>
      <c r="AS171" s="38">
        <v>2000</v>
      </c>
      <c r="AT171" s="38">
        <v>10800</v>
      </c>
      <c r="AU171" s="38">
        <v>2700000</v>
      </c>
      <c r="AV171" s="36">
        <v>200000</v>
      </c>
      <c r="BA171" s="36" t="s">
        <v>157</v>
      </c>
      <c r="BB171" s="36" t="s">
        <v>976</v>
      </c>
      <c r="BC171" s="46"/>
      <c r="BD171" s="39" t="s">
        <v>811</v>
      </c>
      <c r="BE171" s="36">
        <v>1</v>
      </c>
      <c r="BF171" s="36" t="s">
        <v>160</v>
      </c>
      <c r="BG171" s="36" t="s">
        <v>161</v>
      </c>
      <c r="BH171" s="36" t="s">
        <v>162</v>
      </c>
      <c r="BJ171" s="38">
        <v>7200</v>
      </c>
      <c r="BK171" s="38">
        <v>1800</v>
      </c>
      <c r="BL171" s="36">
        <f t="shared" si="2"/>
        <v>610</v>
      </c>
      <c r="BM171" s="36">
        <v>9</v>
      </c>
      <c r="BN171" s="35" t="s">
        <v>157</v>
      </c>
      <c r="BO171" s="36" t="s">
        <v>977</v>
      </c>
      <c r="BP171" s="54" t="s">
        <v>157</v>
      </c>
      <c r="BQ171" s="36" t="s">
        <v>978</v>
      </c>
    </row>
    <row r="172" spans="1:69" x14ac:dyDescent="0.45">
      <c r="A172" s="36">
        <v>40909</v>
      </c>
      <c r="B172" s="36" t="s">
        <v>986</v>
      </c>
      <c r="C172" s="36" t="s">
        <v>141</v>
      </c>
      <c r="D172" s="36" t="s">
        <v>142</v>
      </c>
      <c r="E172" s="36" t="s">
        <v>764</v>
      </c>
      <c r="F172" s="36" t="s">
        <v>144</v>
      </c>
      <c r="G172" s="36" t="s">
        <v>145</v>
      </c>
      <c r="H172" s="36" t="s">
        <v>146</v>
      </c>
      <c r="J172" s="36" t="s">
        <v>147</v>
      </c>
      <c r="K172" s="36" t="s">
        <v>974</v>
      </c>
      <c r="L172" s="36" t="s">
        <v>149</v>
      </c>
      <c r="M172" s="38">
        <v>4300000</v>
      </c>
      <c r="N172" s="36">
        <v>1</v>
      </c>
      <c r="O172" s="36" t="s">
        <v>150</v>
      </c>
      <c r="P172" s="38">
        <v>450</v>
      </c>
      <c r="Q172" s="42" t="s">
        <v>823</v>
      </c>
      <c r="R172" s="36" t="s">
        <v>975</v>
      </c>
      <c r="T172" s="36">
        <v>9</v>
      </c>
      <c r="Z172" s="38" t="s">
        <v>807</v>
      </c>
      <c r="AA172" s="38">
        <v>1000</v>
      </c>
      <c r="AB172" s="36">
        <v>5</v>
      </c>
      <c r="AD172" s="38">
        <v>2700000</v>
      </c>
      <c r="AE172" s="38">
        <v>500000</v>
      </c>
      <c r="AF172" s="36">
        <v>500</v>
      </c>
      <c r="AG172" s="36">
        <v>0</v>
      </c>
      <c r="AH172" s="36">
        <v>40910</v>
      </c>
      <c r="AI172" s="38" t="s">
        <v>830</v>
      </c>
      <c r="AJ172" s="38">
        <v>1000</v>
      </c>
      <c r="AK172" s="36">
        <v>97200</v>
      </c>
      <c r="AL172" s="36">
        <v>1000</v>
      </c>
      <c r="AM172" s="36">
        <v>500</v>
      </c>
      <c r="AN172" s="36">
        <v>600</v>
      </c>
      <c r="AO172" s="36">
        <v>2500</v>
      </c>
      <c r="AP172" s="38" t="s">
        <v>155</v>
      </c>
      <c r="AQ172" s="38">
        <v>100</v>
      </c>
      <c r="AR172" s="38" t="s">
        <v>809</v>
      </c>
      <c r="AS172" s="38">
        <v>2000</v>
      </c>
      <c r="AT172" s="38">
        <v>10800</v>
      </c>
      <c r="AU172" s="38">
        <v>2700000</v>
      </c>
      <c r="AV172" s="36">
        <v>200000</v>
      </c>
      <c r="BA172" s="36" t="s">
        <v>157</v>
      </c>
      <c r="BB172" s="36" t="s">
        <v>976</v>
      </c>
      <c r="BC172" s="46"/>
      <c r="BD172" s="39" t="s">
        <v>811</v>
      </c>
      <c r="BE172" s="36">
        <v>1</v>
      </c>
      <c r="BF172" s="36" t="s">
        <v>160</v>
      </c>
      <c r="BG172" s="36" t="s">
        <v>161</v>
      </c>
      <c r="BH172" s="36" t="s">
        <v>162</v>
      </c>
      <c r="BJ172" s="38">
        <v>7200</v>
      </c>
      <c r="BK172" s="38">
        <v>1800</v>
      </c>
      <c r="BL172" s="36">
        <f t="shared" si="2"/>
        <v>660</v>
      </c>
      <c r="BM172" s="36">
        <v>9</v>
      </c>
      <c r="BN172" s="35" t="s">
        <v>157</v>
      </c>
      <c r="BO172" s="36" t="s">
        <v>977</v>
      </c>
      <c r="BP172" s="54" t="s">
        <v>157</v>
      </c>
      <c r="BQ172" s="36" t="s">
        <v>978</v>
      </c>
    </row>
    <row r="173" spans="1:69" x14ac:dyDescent="0.45">
      <c r="A173" s="36">
        <v>40910</v>
      </c>
      <c r="B173" s="36" t="s">
        <v>987</v>
      </c>
      <c r="C173" s="36" t="s">
        <v>141</v>
      </c>
      <c r="D173" s="36" t="s">
        <v>142</v>
      </c>
      <c r="E173" s="36" t="s">
        <v>764</v>
      </c>
      <c r="F173" s="36" t="s">
        <v>144</v>
      </c>
      <c r="G173" s="36" t="s">
        <v>145</v>
      </c>
      <c r="H173" s="36" t="s">
        <v>146</v>
      </c>
      <c r="J173" s="36" t="s">
        <v>147</v>
      </c>
      <c r="K173" s="36" t="s">
        <v>974</v>
      </c>
      <c r="L173" s="36" t="s">
        <v>149</v>
      </c>
      <c r="M173" s="38">
        <v>4500000</v>
      </c>
      <c r="N173" s="36">
        <v>1</v>
      </c>
      <c r="O173" s="36" t="s">
        <v>150</v>
      </c>
      <c r="P173" s="38">
        <v>500</v>
      </c>
      <c r="Q173" s="42" t="s">
        <v>823</v>
      </c>
      <c r="R173" s="36" t="s">
        <v>975</v>
      </c>
      <c r="T173" s="36">
        <v>10</v>
      </c>
      <c r="Z173" s="38" t="s">
        <v>807</v>
      </c>
      <c r="AA173" s="38">
        <v>1000</v>
      </c>
      <c r="AB173" s="36">
        <v>5</v>
      </c>
      <c r="AD173" s="38">
        <v>2700000</v>
      </c>
      <c r="AE173" s="38">
        <v>500000</v>
      </c>
      <c r="AF173" s="36">
        <v>500</v>
      </c>
      <c r="AG173" s="36">
        <v>0</v>
      </c>
      <c r="AH173" s="36">
        <v>40911</v>
      </c>
      <c r="AI173" s="38" t="s">
        <v>832</v>
      </c>
      <c r="AJ173" s="38">
        <v>1000</v>
      </c>
      <c r="AK173" s="36">
        <v>108000</v>
      </c>
      <c r="AL173" s="36">
        <v>1000</v>
      </c>
      <c r="AM173" s="36">
        <v>500</v>
      </c>
      <c r="AN173" s="36">
        <v>600</v>
      </c>
      <c r="AO173" s="36">
        <v>2500</v>
      </c>
      <c r="AP173" s="38" t="s">
        <v>155</v>
      </c>
      <c r="AQ173" s="38">
        <v>100</v>
      </c>
      <c r="AR173" s="38" t="s">
        <v>809</v>
      </c>
      <c r="AS173" s="38">
        <v>2000</v>
      </c>
      <c r="AT173" s="38">
        <v>10800</v>
      </c>
      <c r="AU173" s="38">
        <v>2700000</v>
      </c>
      <c r="AV173" s="36">
        <v>200000</v>
      </c>
      <c r="BA173" s="36" t="s">
        <v>157</v>
      </c>
      <c r="BB173" s="36" t="s">
        <v>976</v>
      </c>
      <c r="BC173" s="46"/>
      <c r="BD173" s="39" t="s">
        <v>811</v>
      </c>
      <c r="BE173" s="36">
        <v>1</v>
      </c>
      <c r="BF173" s="36" t="s">
        <v>160</v>
      </c>
      <c r="BG173" s="36" t="s">
        <v>161</v>
      </c>
      <c r="BH173" s="36" t="s">
        <v>162</v>
      </c>
      <c r="BJ173" s="38">
        <v>7200</v>
      </c>
      <c r="BK173" s="38">
        <v>1800</v>
      </c>
      <c r="BL173" s="36">
        <f t="shared" si="2"/>
        <v>715</v>
      </c>
      <c r="BM173" s="36">
        <v>9</v>
      </c>
      <c r="BN173" s="35" t="s">
        <v>157</v>
      </c>
      <c r="BO173" s="36" t="s">
        <v>977</v>
      </c>
      <c r="BP173" s="54" t="s">
        <v>157</v>
      </c>
      <c r="BQ173" s="36" t="s">
        <v>978</v>
      </c>
    </row>
    <row r="174" spans="1:69" x14ac:dyDescent="0.45">
      <c r="A174" s="35">
        <v>40911</v>
      </c>
      <c r="B174" s="36" t="s">
        <v>988</v>
      </c>
      <c r="C174" s="35" t="s">
        <v>141</v>
      </c>
      <c r="D174" s="35" t="s">
        <v>142</v>
      </c>
      <c r="E174" s="35" t="s">
        <v>764</v>
      </c>
      <c r="F174" s="36" t="s">
        <v>144</v>
      </c>
      <c r="G174" s="35" t="s">
        <v>145</v>
      </c>
      <c r="H174" s="35" t="s">
        <v>146</v>
      </c>
      <c r="I174" s="35"/>
      <c r="J174" s="35" t="s">
        <v>147</v>
      </c>
      <c r="K174" s="35" t="s">
        <v>974</v>
      </c>
      <c r="L174" s="35" t="s">
        <v>149</v>
      </c>
      <c r="M174" s="38">
        <v>4700000</v>
      </c>
      <c r="N174" s="36">
        <v>1</v>
      </c>
      <c r="O174" s="35" t="s">
        <v>150</v>
      </c>
      <c r="P174" s="38">
        <v>600</v>
      </c>
      <c r="Q174" s="36" t="s">
        <v>834</v>
      </c>
      <c r="R174" s="35" t="s">
        <v>975</v>
      </c>
      <c r="S174" s="35"/>
      <c r="T174" s="36">
        <v>11</v>
      </c>
      <c r="X174" s="35"/>
      <c r="Y174" s="35"/>
      <c r="Z174" s="38" t="s">
        <v>807</v>
      </c>
      <c r="AA174" s="38">
        <v>1000</v>
      </c>
      <c r="AB174" s="35">
        <v>5</v>
      </c>
      <c r="AC174" s="35"/>
      <c r="AD174" s="38">
        <v>2700000</v>
      </c>
      <c r="AE174" s="38">
        <v>500000</v>
      </c>
      <c r="AF174" s="35">
        <v>500</v>
      </c>
      <c r="AG174" s="35">
        <v>0</v>
      </c>
      <c r="AH174" s="36">
        <v>40912</v>
      </c>
      <c r="AI174" s="38" t="s">
        <v>835</v>
      </c>
      <c r="AJ174" s="38">
        <v>1000</v>
      </c>
      <c r="AK174" s="34">
        <v>118800</v>
      </c>
      <c r="AL174" s="36">
        <v>1000</v>
      </c>
      <c r="AM174" s="35">
        <v>500</v>
      </c>
      <c r="AN174" s="35">
        <v>600</v>
      </c>
      <c r="AO174" s="35">
        <v>2500</v>
      </c>
      <c r="AP174" s="38" t="s">
        <v>155</v>
      </c>
      <c r="AQ174" s="38">
        <v>100</v>
      </c>
      <c r="AR174" s="38" t="s">
        <v>809</v>
      </c>
      <c r="AS174" s="38">
        <v>2000</v>
      </c>
      <c r="AT174" s="38">
        <v>10800</v>
      </c>
      <c r="AU174" s="38">
        <v>2700000</v>
      </c>
      <c r="AV174" s="35">
        <v>200000</v>
      </c>
      <c r="AW174" s="35"/>
      <c r="AX174" s="35"/>
      <c r="AY174" s="35"/>
      <c r="AZ174" s="35"/>
      <c r="BA174" s="35" t="s">
        <v>157</v>
      </c>
      <c r="BB174" s="36" t="s">
        <v>976</v>
      </c>
      <c r="BC174" s="48"/>
      <c r="BD174" s="39" t="s">
        <v>811</v>
      </c>
      <c r="BE174" s="35">
        <v>1</v>
      </c>
      <c r="BF174" s="35" t="s">
        <v>160</v>
      </c>
      <c r="BG174" s="35" t="s">
        <v>161</v>
      </c>
      <c r="BH174" s="35" t="s">
        <v>162</v>
      </c>
      <c r="BI174" s="53"/>
      <c r="BJ174" s="38">
        <v>7200</v>
      </c>
      <c r="BK174" s="38">
        <v>1800</v>
      </c>
      <c r="BL174" s="36">
        <f t="shared" si="2"/>
        <v>775</v>
      </c>
      <c r="BM174" s="36">
        <v>9</v>
      </c>
      <c r="BN174" s="35" t="s">
        <v>157</v>
      </c>
      <c r="BO174" s="36" t="s">
        <v>977</v>
      </c>
      <c r="BP174" s="54" t="s">
        <v>157</v>
      </c>
      <c r="BQ174" s="36" t="s">
        <v>978</v>
      </c>
    </row>
    <row r="175" spans="1:69" x14ac:dyDescent="0.45">
      <c r="A175" s="36">
        <v>40912</v>
      </c>
      <c r="B175" s="36" t="s">
        <v>989</v>
      </c>
      <c r="C175" s="36" t="s">
        <v>141</v>
      </c>
      <c r="D175" s="36" t="s">
        <v>142</v>
      </c>
      <c r="E175" s="36" t="s">
        <v>764</v>
      </c>
      <c r="F175" s="36" t="s">
        <v>144</v>
      </c>
      <c r="G175" s="36" t="s">
        <v>145</v>
      </c>
      <c r="H175" s="36" t="s">
        <v>146</v>
      </c>
      <c r="J175" s="36" t="s">
        <v>147</v>
      </c>
      <c r="K175" s="36" t="s">
        <v>974</v>
      </c>
      <c r="L175" s="36" t="s">
        <v>149</v>
      </c>
      <c r="M175" s="38">
        <v>4900000</v>
      </c>
      <c r="N175" s="36">
        <v>1</v>
      </c>
      <c r="O175" s="36" t="s">
        <v>150</v>
      </c>
      <c r="P175" s="38">
        <v>700</v>
      </c>
      <c r="Q175" s="36" t="s">
        <v>834</v>
      </c>
      <c r="R175" s="36" t="s">
        <v>975</v>
      </c>
      <c r="T175" s="36">
        <v>12</v>
      </c>
      <c r="Z175" s="38" t="s">
        <v>807</v>
      </c>
      <c r="AA175" s="38">
        <v>1000</v>
      </c>
      <c r="AB175" s="36">
        <v>5</v>
      </c>
      <c r="AD175" s="38">
        <v>2700000</v>
      </c>
      <c r="AE175" s="38">
        <v>500000</v>
      </c>
      <c r="AF175" s="36">
        <v>500</v>
      </c>
      <c r="AG175" s="36">
        <v>0</v>
      </c>
      <c r="AH175" s="36">
        <v>40913</v>
      </c>
      <c r="AI175" s="38" t="s">
        <v>837</v>
      </c>
      <c r="AJ175" s="38">
        <v>1000</v>
      </c>
      <c r="AK175" s="34">
        <v>129600</v>
      </c>
      <c r="AL175" s="36">
        <v>1000</v>
      </c>
      <c r="AM175" s="36">
        <v>500</v>
      </c>
      <c r="AN175" s="36">
        <v>600</v>
      </c>
      <c r="AO175" s="36">
        <v>2500</v>
      </c>
      <c r="AP175" s="38" t="s">
        <v>155</v>
      </c>
      <c r="AQ175" s="38">
        <v>100</v>
      </c>
      <c r="AR175" s="38" t="s">
        <v>809</v>
      </c>
      <c r="AS175" s="38">
        <v>2000</v>
      </c>
      <c r="AT175" s="38">
        <v>10800</v>
      </c>
      <c r="AU175" s="38">
        <v>2700000</v>
      </c>
      <c r="AV175" s="36">
        <v>200000</v>
      </c>
      <c r="BA175" s="36" t="s">
        <v>157</v>
      </c>
      <c r="BB175" s="36" t="s">
        <v>976</v>
      </c>
      <c r="BC175" s="46"/>
      <c r="BD175" s="39" t="s">
        <v>811</v>
      </c>
      <c r="BE175" s="36">
        <v>1</v>
      </c>
      <c r="BF175" s="36" t="s">
        <v>160</v>
      </c>
      <c r="BG175" s="36" t="s">
        <v>161</v>
      </c>
      <c r="BH175" s="36" t="s">
        <v>162</v>
      </c>
      <c r="BJ175" s="38">
        <v>7200</v>
      </c>
      <c r="BK175" s="38">
        <v>1800</v>
      </c>
      <c r="BL175" s="36">
        <f t="shared" si="2"/>
        <v>840</v>
      </c>
      <c r="BM175" s="36">
        <v>9</v>
      </c>
      <c r="BN175" s="35" t="s">
        <v>157</v>
      </c>
      <c r="BO175" s="36" t="s">
        <v>977</v>
      </c>
      <c r="BP175" s="54" t="s">
        <v>157</v>
      </c>
      <c r="BQ175" s="36" t="s">
        <v>978</v>
      </c>
    </row>
    <row r="176" spans="1:69" x14ac:dyDescent="0.45">
      <c r="A176" s="36">
        <v>40913</v>
      </c>
      <c r="B176" s="36" t="s">
        <v>990</v>
      </c>
      <c r="C176" s="36" t="s">
        <v>141</v>
      </c>
      <c r="D176" s="36" t="s">
        <v>142</v>
      </c>
      <c r="E176" s="36" t="s">
        <v>764</v>
      </c>
      <c r="F176" s="36" t="s">
        <v>144</v>
      </c>
      <c r="G176" s="36" t="s">
        <v>145</v>
      </c>
      <c r="H176" s="36" t="s">
        <v>146</v>
      </c>
      <c r="J176" s="36" t="s">
        <v>147</v>
      </c>
      <c r="K176" s="36" t="s">
        <v>974</v>
      </c>
      <c r="L176" s="36" t="s">
        <v>149</v>
      </c>
      <c r="M176" s="38">
        <v>5100000</v>
      </c>
      <c r="N176" s="36">
        <v>1</v>
      </c>
      <c r="O176" s="36" t="s">
        <v>150</v>
      </c>
      <c r="P176" s="38">
        <v>800</v>
      </c>
      <c r="Q176" s="36" t="s">
        <v>834</v>
      </c>
      <c r="R176" s="36" t="s">
        <v>975</v>
      </c>
      <c r="T176" s="36">
        <v>13</v>
      </c>
      <c r="Z176" s="38" t="s">
        <v>807</v>
      </c>
      <c r="AA176" s="38">
        <v>1000</v>
      </c>
      <c r="AB176" s="36">
        <v>5</v>
      </c>
      <c r="AD176" s="38">
        <v>2700000</v>
      </c>
      <c r="AE176" s="38">
        <v>500000</v>
      </c>
      <c r="AF176" s="36">
        <v>500</v>
      </c>
      <c r="AG176" s="36">
        <v>0</v>
      </c>
      <c r="AH176" s="36">
        <v>40914</v>
      </c>
      <c r="AI176" s="38" t="s">
        <v>839</v>
      </c>
      <c r="AJ176" s="38">
        <v>1000</v>
      </c>
      <c r="AK176" s="34">
        <v>140400</v>
      </c>
      <c r="AL176" s="36">
        <v>1000</v>
      </c>
      <c r="AM176" s="36">
        <v>500</v>
      </c>
      <c r="AN176" s="36">
        <v>600</v>
      </c>
      <c r="AO176" s="36">
        <v>2500</v>
      </c>
      <c r="AP176" s="38" t="s">
        <v>155</v>
      </c>
      <c r="AQ176" s="38">
        <v>100</v>
      </c>
      <c r="AR176" s="38" t="s">
        <v>809</v>
      </c>
      <c r="AS176" s="38">
        <v>2000</v>
      </c>
      <c r="AT176" s="38">
        <v>10800</v>
      </c>
      <c r="AU176" s="38">
        <v>2700000</v>
      </c>
      <c r="AV176" s="36">
        <v>200000</v>
      </c>
      <c r="BA176" s="36" t="s">
        <v>157</v>
      </c>
      <c r="BB176" s="36" t="s">
        <v>976</v>
      </c>
      <c r="BC176" s="46"/>
      <c r="BD176" s="39" t="s">
        <v>811</v>
      </c>
      <c r="BE176" s="36">
        <v>1</v>
      </c>
      <c r="BF176" s="36" t="s">
        <v>160</v>
      </c>
      <c r="BG176" s="36" t="s">
        <v>161</v>
      </c>
      <c r="BH176" s="36" t="s">
        <v>162</v>
      </c>
      <c r="BJ176" s="38">
        <v>7200</v>
      </c>
      <c r="BK176" s="38">
        <v>1800</v>
      </c>
      <c r="BL176" s="36">
        <f t="shared" si="2"/>
        <v>910</v>
      </c>
      <c r="BM176" s="36">
        <v>9</v>
      </c>
      <c r="BN176" s="35" t="s">
        <v>157</v>
      </c>
      <c r="BO176" s="36" t="s">
        <v>977</v>
      </c>
      <c r="BP176" s="54" t="s">
        <v>157</v>
      </c>
      <c r="BQ176" s="36" t="s">
        <v>978</v>
      </c>
    </row>
    <row r="177" spans="1:69" x14ac:dyDescent="0.45">
      <c r="A177" s="36">
        <v>40914</v>
      </c>
      <c r="B177" s="36" t="s">
        <v>991</v>
      </c>
      <c r="C177" s="36" t="s">
        <v>141</v>
      </c>
      <c r="D177" s="36" t="s">
        <v>142</v>
      </c>
      <c r="E177" s="36" t="s">
        <v>764</v>
      </c>
      <c r="F177" s="36" t="s">
        <v>144</v>
      </c>
      <c r="G177" s="36" t="s">
        <v>145</v>
      </c>
      <c r="H177" s="36" t="s">
        <v>146</v>
      </c>
      <c r="J177" s="36" t="s">
        <v>147</v>
      </c>
      <c r="K177" s="36" t="s">
        <v>974</v>
      </c>
      <c r="L177" s="36" t="s">
        <v>149</v>
      </c>
      <c r="M177" s="38">
        <v>5300000</v>
      </c>
      <c r="N177" s="36">
        <v>1</v>
      </c>
      <c r="O177" s="36" t="s">
        <v>150</v>
      </c>
      <c r="P177" s="38">
        <v>900</v>
      </c>
      <c r="Q177" s="36" t="s">
        <v>834</v>
      </c>
      <c r="R177" s="36" t="s">
        <v>975</v>
      </c>
      <c r="T177" s="36">
        <v>14</v>
      </c>
      <c r="Z177" s="38" t="s">
        <v>807</v>
      </c>
      <c r="AA177" s="38">
        <v>1000</v>
      </c>
      <c r="AB177" s="36">
        <v>5</v>
      </c>
      <c r="AD177" s="38">
        <v>2700000</v>
      </c>
      <c r="AE177" s="38">
        <v>500000</v>
      </c>
      <c r="AF177" s="36">
        <v>500</v>
      </c>
      <c r="AG177" s="36">
        <v>0</v>
      </c>
      <c r="AH177" s="36">
        <v>40915</v>
      </c>
      <c r="AI177" s="38" t="s">
        <v>841</v>
      </c>
      <c r="AJ177" s="38">
        <v>1000</v>
      </c>
      <c r="AK177" s="34">
        <v>151200</v>
      </c>
      <c r="AL177" s="36">
        <v>1000</v>
      </c>
      <c r="AM177" s="36">
        <v>500</v>
      </c>
      <c r="AN177" s="36">
        <v>600</v>
      </c>
      <c r="AO177" s="36">
        <v>2500</v>
      </c>
      <c r="AP177" s="38" t="s">
        <v>155</v>
      </c>
      <c r="AQ177" s="38">
        <v>100</v>
      </c>
      <c r="AR177" s="38" t="s">
        <v>809</v>
      </c>
      <c r="AS177" s="38">
        <v>2000</v>
      </c>
      <c r="AT177" s="38">
        <v>10800</v>
      </c>
      <c r="AU177" s="38">
        <v>2700000</v>
      </c>
      <c r="AV177" s="36">
        <v>200000</v>
      </c>
      <c r="BA177" s="36" t="s">
        <v>157</v>
      </c>
      <c r="BB177" s="36" t="s">
        <v>976</v>
      </c>
      <c r="BC177" s="46"/>
      <c r="BD177" s="39" t="s">
        <v>811</v>
      </c>
      <c r="BE177" s="36">
        <v>1</v>
      </c>
      <c r="BF177" s="36" t="s">
        <v>160</v>
      </c>
      <c r="BG177" s="36" t="s">
        <v>161</v>
      </c>
      <c r="BH177" s="36" t="s">
        <v>162</v>
      </c>
      <c r="BJ177" s="38">
        <v>7200</v>
      </c>
      <c r="BK177" s="38">
        <v>1800</v>
      </c>
      <c r="BL177" s="36">
        <f t="shared" si="2"/>
        <v>985</v>
      </c>
      <c r="BM177" s="36">
        <v>9</v>
      </c>
      <c r="BN177" s="35" t="s">
        <v>157</v>
      </c>
      <c r="BO177" s="36" t="s">
        <v>977</v>
      </c>
      <c r="BP177" s="54" t="s">
        <v>157</v>
      </c>
      <c r="BQ177" s="36" t="s">
        <v>978</v>
      </c>
    </row>
    <row r="178" spans="1:69" x14ac:dyDescent="0.45">
      <c r="A178" s="36">
        <v>40915</v>
      </c>
      <c r="B178" s="36" t="s">
        <v>992</v>
      </c>
      <c r="C178" s="36" t="s">
        <v>141</v>
      </c>
      <c r="D178" s="36" t="s">
        <v>142</v>
      </c>
      <c r="E178" s="36" t="s">
        <v>764</v>
      </c>
      <c r="F178" s="36" t="s">
        <v>144</v>
      </c>
      <c r="G178" s="36" t="s">
        <v>145</v>
      </c>
      <c r="H178" s="36" t="s">
        <v>146</v>
      </c>
      <c r="J178" s="36" t="s">
        <v>147</v>
      </c>
      <c r="K178" s="36" t="s">
        <v>974</v>
      </c>
      <c r="L178" s="36" t="s">
        <v>149</v>
      </c>
      <c r="M178" s="38">
        <v>5500000</v>
      </c>
      <c r="N178" s="36">
        <v>1</v>
      </c>
      <c r="O178" s="36" t="s">
        <v>150</v>
      </c>
      <c r="P178" s="38">
        <v>1000</v>
      </c>
      <c r="Q178" s="36" t="s">
        <v>834</v>
      </c>
      <c r="R178" s="36" t="s">
        <v>975</v>
      </c>
      <c r="T178" s="36">
        <v>15</v>
      </c>
      <c r="Z178" s="38" t="s">
        <v>807</v>
      </c>
      <c r="AA178" s="38">
        <v>1000</v>
      </c>
      <c r="AB178" s="36">
        <v>5</v>
      </c>
      <c r="AD178" s="38">
        <v>2700000</v>
      </c>
      <c r="AE178" s="38">
        <v>500000</v>
      </c>
      <c r="AF178" s="36">
        <v>500</v>
      </c>
      <c r="AG178" s="36">
        <v>0</v>
      </c>
      <c r="AH178" s="36">
        <v>40916</v>
      </c>
      <c r="AI178" s="38" t="s">
        <v>843</v>
      </c>
      <c r="AJ178" s="38">
        <v>1000</v>
      </c>
      <c r="AK178" s="34">
        <v>162000</v>
      </c>
      <c r="AL178" s="36">
        <v>1000</v>
      </c>
      <c r="AM178" s="36">
        <v>500</v>
      </c>
      <c r="AN178" s="36">
        <v>600</v>
      </c>
      <c r="AO178" s="36">
        <v>2500</v>
      </c>
      <c r="AP178" s="38" t="s">
        <v>155</v>
      </c>
      <c r="AQ178" s="38">
        <v>100</v>
      </c>
      <c r="AR178" s="38" t="s">
        <v>809</v>
      </c>
      <c r="AS178" s="38">
        <v>2000</v>
      </c>
      <c r="AT178" s="38">
        <v>10800</v>
      </c>
      <c r="AU178" s="38">
        <v>2700000</v>
      </c>
      <c r="AV178" s="36">
        <v>200000</v>
      </c>
      <c r="BA178" s="36" t="s">
        <v>157</v>
      </c>
      <c r="BB178" s="36" t="s">
        <v>976</v>
      </c>
      <c r="BC178" s="46"/>
      <c r="BD178" s="39" t="s">
        <v>811</v>
      </c>
      <c r="BE178" s="36">
        <v>1</v>
      </c>
      <c r="BF178" s="36" t="s">
        <v>160</v>
      </c>
      <c r="BG178" s="36" t="s">
        <v>161</v>
      </c>
      <c r="BH178" s="36" t="s">
        <v>162</v>
      </c>
      <c r="BJ178" s="38">
        <v>7200</v>
      </c>
      <c r="BK178" s="38">
        <v>1800</v>
      </c>
      <c r="BL178" s="36">
        <f t="shared" si="2"/>
        <v>1065</v>
      </c>
      <c r="BM178" s="36">
        <v>9</v>
      </c>
      <c r="BN178" s="35" t="s">
        <v>157</v>
      </c>
      <c r="BO178" s="36" t="s">
        <v>977</v>
      </c>
      <c r="BP178" s="54" t="s">
        <v>157</v>
      </c>
      <c r="BQ178" s="36" t="s">
        <v>978</v>
      </c>
    </row>
    <row r="179" spans="1:69" x14ac:dyDescent="0.45">
      <c r="A179" s="36">
        <v>40916</v>
      </c>
      <c r="B179" s="36" t="s">
        <v>993</v>
      </c>
      <c r="C179" s="36" t="s">
        <v>141</v>
      </c>
      <c r="D179" s="36" t="s">
        <v>142</v>
      </c>
      <c r="E179" s="36" t="s">
        <v>764</v>
      </c>
      <c r="F179" s="36" t="s">
        <v>144</v>
      </c>
      <c r="G179" s="36" t="s">
        <v>145</v>
      </c>
      <c r="H179" s="36" t="s">
        <v>146</v>
      </c>
      <c r="J179" s="36" t="s">
        <v>147</v>
      </c>
      <c r="K179" s="36" t="s">
        <v>974</v>
      </c>
      <c r="L179" s="36" t="s">
        <v>149</v>
      </c>
      <c r="M179" s="38">
        <v>5700000</v>
      </c>
      <c r="N179" s="36">
        <v>1</v>
      </c>
      <c r="O179" s="36" t="s">
        <v>150</v>
      </c>
      <c r="P179" s="38">
        <v>1200</v>
      </c>
      <c r="Q179" s="42" t="s">
        <v>845</v>
      </c>
      <c r="R179" s="36" t="s">
        <v>975</v>
      </c>
      <c r="T179" s="36">
        <v>16</v>
      </c>
      <c r="Z179" s="38" t="s">
        <v>807</v>
      </c>
      <c r="AA179" s="38">
        <v>1000</v>
      </c>
      <c r="AB179" s="36">
        <v>5</v>
      </c>
      <c r="AD179" s="38">
        <v>2700000</v>
      </c>
      <c r="AE179" s="38">
        <v>500000</v>
      </c>
      <c r="AF179" s="36">
        <v>500</v>
      </c>
      <c r="AG179" s="36">
        <v>0</v>
      </c>
      <c r="AH179" s="36">
        <v>40917</v>
      </c>
      <c r="AI179" s="38" t="s">
        <v>846</v>
      </c>
      <c r="AJ179" s="38">
        <v>1000</v>
      </c>
      <c r="AK179" s="36">
        <v>172800</v>
      </c>
      <c r="AL179" s="36">
        <v>1000</v>
      </c>
      <c r="AM179" s="36">
        <v>500</v>
      </c>
      <c r="AN179" s="36">
        <v>600</v>
      </c>
      <c r="AO179" s="36">
        <v>2500</v>
      </c>
      <c r="AP179" s="38" t="s">
        <v>155</v>
      </c>
      <c r="AQ179" s="38">
        <v>100</v>
      </c>
      <c r="AR179" s="38" t="s">
        <v>809</v>
      </c>
      <c r="AS179" s="38">
        <v>2000</v>
      </c>
      <c r="AT179" s="38">
        <v>10800</v>
      </c>
      <c r="AU179" s="38">
        <v>2700000</v>
      </c>
      <c r="AV179" s="36">
        <v>200000</v>
      </c>
      <c r="BA179" s="36" t="s">
        <v>157</v>
      </c>
      <c r="BB179" s="36" t="s">
        <v>976</v>
      </c>
      <c r="BC179" s="46"/>
      <c r="BD179" s="39" t="s">
        <v>811</v>
      </c>
      <c r="BE179" s="36">
        <v>1</v>
      </c>
      <c r="BF179" s="36" t="s">
        <v>160</v>
      </c>
      <c r="BG179" s="36" t="s">
        <v>161</v>
      </c>
      <c r="BH179" s="36" t="s">
        <v>162</v>
      </c>
      <c r="BJ179" s="38">
        <v>7200</v>
      </c>
      <c r="BK179" s="38">
        <v>1800</v>
      </c>
      <c r="BL179" s="36">
        <f t="shared" si="2"/>
        <v>1150</v>
      </c>
      <c r="BM179" s="36">
        <v>9</v>
      </c>
      <c r="BN179" s="35" t="s">
        <v>157</v>
      </c>
      <c r="BO179" s="36" t="s">
        <v>977</v>
      </c>
      <c r="BP179" s="54" t="s">
        <v>157</v>
      </c>
      <c r="BQ179" s="36" t="s">
        <v>978</v>
      </c>
    </row>
    <row r="180" spans="1:69" x14ac:dyDescent="0.45">
      <c r="A180" s="36">
        <v>40917</v>
      </c>
      <c r="B180" s="36" t="s">
        <v>994</v>
      </c>
      <c r="C180" s="36" t="s">
        <v>141</v>
      </c>
      <c r="D180" s="36" t="s">
        <v>142</v>
      </c>
      <c r="E180" s="36" t="s">
        <v>764</v>
      </c>
      <c r="F180" s="36" t="s">
        <v>144</v>
      </c>
      <c r="G180" s="36" t="s">
        <v>145</v>
      </c>
      <c r="H180" s="36" t="s">
        <v>146</v>
      </c>
      <c r="J180" s="36" t="s">
        <v>147</v>
      </c>
      <c r="K180" s="36" t="s">
        <v>974</v>
      </c>
      <c r="L180" s="36" t="s">
        <v>149</v>
      </c>
      <c r="M180" s="38">
        <v>5900000</v>
      </c>
      <c r="N180" s="36">
        <v>1</v>
      </c>
      <c r="O180" s="36" t="s">
        <v>150</v>
      </c>
      <c r="P180" s="38">
        <v>1500</v>
      </c>
      <c r="Q180" s="42" t="s">
        <v>845</v>
      </c>
      <c r="R180" s="36" t="s">
        <v>975</v>
      </c>
      <c r="T180" s="36">
        <v>17</v>
      </c>
      <c r="Z180" s="38" t="s">
        <v>807</v>
      </c>
      <c r="AA180" s="38">
        <v>1000</v>
      </c>
      <c r="AB180" s="36">
        <v>5</v>
      </c>
      <c r="AD180" s="38">
        <v>2700000</v>
      </c>
      <c r="AE180" s="38">
        <v>500000</v>
      </c>
      <c r="AF180" s="36">
        <v>500</v>
      </c>
      <c r="AG180" s="36">
        <v>0</v>
      </c>
      <c r="AH180" s="36">
        <v>40918</v>
      </c>
      <c r="AI180" s="38" t="s">
        <v>848</v>
      </c>
      <c r="AJ180" s="38">
        <v>1000</v>
      </c>
      <c r="AK180" s="36">
        <v>183600</v>
      </c>
      <c r="AL180" s="36">
        <v>1000</v>
      </c>
      <c r="AM180" s="36">
        <v>500</v>
      </c>
      <c r="AN180" s="36">
        <v>600</v>
      </c>
      <c r="AO180" s="36">
        <v>2500</v>
      </c>
      <c r="AP180" s="38" t="s">
        <v>155</v>
      </c>
      <c r="AQ180" s="38">
        <v>100</v>
      </c>
      <c r="AR180" s="38" t="s">
        <v>809</v>
      </c>
      <c r="AS180" s="38">
        <v>2000</v>
      </c>
      <c r="AT180" s="38">
        <v>10800</v>
      </c>
      <c r="AU180" s="38">
        <v>2700000</v>
      </c>
      <c r="AV180" s="36">
        <v>200000</v>
      </c>
      <c r="BA180" s="36" t="s">
        <v>157</v>
      </c>
      <c r="BB180" s="36" t="s">
        <v>976</v>
      </c>
      <c r="BC180" s="46"/>
      <c r="BD180" s="39" t="s">
        <v>811</v>
      </c>
      <c r="BE180" s="36">
        <v>1</v>
      </c>
      <c r="BF180" s="36" t="s">
        <v>160</v>
      </c>
      <c r="BG180" s="36" t="s">
        <v>161</v>
      </c>
      <c r="BH180" s="36" t="s">
        <v>162</v>
      </c>
      <c r="BJ180" s="38">
        <v>7200</v>
      </c>
      <c r="BK180" s="38">
        <v>1800</v>
      </c>
      <c r="BL180" s="36">
        <f t="shared" si="2"/>
        <v>1240</v>
      </c>
      <c r="BM180" s="36">
        <v>9</v>
      </c>
      <c r="BN180" s="35" t="s">
        <v>157</v>
      </c>
      <c r="BO180" s="36" t="s">
        <v>977</v>
      </c>
      <c r="BP180" s="54" t="s">
        <v>157</v>
      </c>
      <c r="BQ180" s="36" t="s">
        <v>978</v>
      </c>
    </row>
    <row r="181" spans="1:69" x14ac:dyDescent="0.45">
      <c r="A181" s="36">
        <v>40918</v>
      </c>
      <c r="B181" s="36" t="s">
        <v>995</v>
      </c>
      <c r="C181" s="36" t="s">
        <v>141</v>
      </c>
      <c r="D181" s="36" t="s">
        <v>142</v>
      </c>
      <c r="E181" s="36" t="s">
        <v>764</v>
      </c>
      <c r="F181" s="36" t="s">
        <v>144</v>
      </c>
      <c r="G181" s="36" t="s">
        <v>145</v>
      </c>
      <c r="H181" s="36" t="s">
        <v>146</v>
      </c>
      <c r="J181" s="36" t="s">
        <v>147</v>
      </c>
      <c r="K181" s="36" t="s">
        <v>974</v>
      </c>
      <c r="L181" s="36" t="s">
        <v>149</v>
      </c>
      <c r="M181" s="38">
        <v>6100000</v>
      </c>
      <c r="N181" s="36">
        <v>1</v>
      </c>
      <c r="O181" s="36" t="s">
        <v>150</v>
      </c>
      <c r="P181" s="38">
        <v>2000</v>
      </c>
      <c r="Q181" s="42" t="s">
        <v>845</v>
      </c>
      <c r="R181" s="36" t="s">
        <v>975</v>
      </c>
      <c r="T181" s="36">
        <v>18</v>
      </c>
      <c r="Z181" s="38" t="s">
        <v>807</v>
      </c>
      <c r="AA181" s="38">
        <v>1000</v>
      </c>
      <c r="AB181" s="36">
        <v>5</v>
      </c>
      <c r="AD181" s="38">
        <v>2700000</v>
      </c>
      <c r="AE181" s="38">
        <v>500000</v>
      </c>
      <c r="AF181" s="36">
        <v>500</v>
      </c>
      <c r="AG181" s="36">
        <v>0</v>
      </c>
      <c r="AH181" s="36">
        <v>40919</v>
      </c>
      <c r="AI181" s="38" t="s">
        <v>850</v>
      </c>
      <c r="AJ181" s="38">
        <v>1000</v>
      </c>
      <c r="AK181" s="36">
        <v>194400</v>
      </c>
      <c r="AL181" s="36">
        <v>1000</v>
      </c>
      <c r="AM181" s="36">
        <v>500</v>
      </c>
      <c r="AN181" s="36">
        <v>600</v>
      </c>
      <c r="AO181" s="36">
        <v>2500</v>
      </c>
      <c r="AP181" s="38" t="s">
        <v>155</v>
      </c>
      <c r="AQ181" s="38">
        <v>100</v>
      </c>
      <c r="AR181" s="38" t="s">
        <v>809</v>
      </c>
      <c r="AS181" s="38">
        <v>2000</v>
      </c>
      <c r="AT181" s="38">
        <v>10800</v>
      </c>
      <c r="AU181" s="38">
        <v>2700000</v>
      </c>
      <c r="AV181" s="36">
        <v>200000</v>
      </c>
      <c r="BA181" s="36" t="s">
        <v>157</v>
      </c>
      <c r="BB181" s="36" t="s">
        <v>976</v>
      </c>
      <c r="BC181" s="46"/>
      <c r="BD181" s="39" t="s">
        <v>811</v>
      </c>
      <c r="BE181" s="36">
        <v>1</v>
      </c>
      <c r="BF181" s="36" t="s">
        <v>160</v>
      </c>
      <c r="BG181" s="36" t="s">
        <v>161</v>
      </c>
      <c r="BH181" s="36" t="s">
        <v>162</v>
      </c>
      <c r="BJ181" s="38">
        <v>7200</v>
      </c>
      <c r="BK181" s="38">
        <v>1800</v>
      </c>
      <c r="BL181" s="36">
        <f t="shared" si="2"/>
        <v>1335</v>
      </c>
      <c r="BM181" s="36">
        <v>9</v>
      </c>
      <c r="BN181" s="35" t="s">
        <v>157</v>
      </c>
      <c r="BO181" s="36" t="s">
        <v>977</v>
      </c>
      <c r="BP181" s="54" t="s">
        <v>157</v>
      </c>
      <c r="BQ181" s="36" t="s">
        <v>978</v>
      </c>
    </row>
    <row r="182" spans="1:69" x14ac:dyDescent="0.45">
      <c r="A182" s="36">
        <v>40919</v>
      </c>
      <c r="B182" s="36" t="s">
        <v>996</v>
      </c>
      <c r="C182" s="36" t="s">
        <v>141</v>
      </c>
      <c r="D182" s="36" t="s">
        <v>142</v>
      </c>
      <c r="E182" s="36" t="s">
        <v>764</v>
      </c>
      <c r="F182" s="36" t="s">
        <v>144</v>
      </c>
      <c r="G182" s="36" t="s">
        <v>145</v>
      </c>
      <c r="H182" s="36" t="s">
        <v>146</v>
      </c>
      <c r="J182" s="36" t="s">
        <v>147</v>
      </c>
      <c r="K182" s="36" t="s">
        <v>974</v>
      </c>
      <c r="L182" s="36" t="s">
        <v>149</v>
      </c>
      <c r="M182" s="38">
        <v>6300000</v>
      </c>
      <c r="N182" s="36">
        <v>1</v>
      </c>
      <c r="O182" s="36" t="s">
        <v>150</v>
      </c>
      <c r="P182" s="38">
        <v>2500</v>
      </c>
      <c r="Q182" s="42" t="s">
        <v>845</v>
      </c>
      <c r="R182" s="36" t="s">
        <v>975</v>
      </c>
      <c r="T182" s="36">
        <v>19</v>
      </c>
      <c r="Z182" s="38" t="s">
        <v>807</v>
      </c>
      <c r="AA182" s="38">
        <v>1000</v>
      </c>
      <c r="AB182" s="36">
        <v>5</v>
      </c>
      <c r="AD182" s="38">
        <v>2700000</v>
      </c>
      <c r="AE182" s="38">
        <v>500000</v>
      </c>
      <c r="AF182" s="36">
        <v>500</v>
      </c>
      <c r="AG182" s="36">
        <v>0</v>
      </c>
      <c r="AH182" s="36">
        <v>40920</v>
      </c>
      <c r="AI182" s="38" t="s">
        <v>852</v>
      </c>
      <c r="AJ182" s="38">
        <v>1000</v>
      </c>
      <c r="AK182" s="36">
        <v>205200</v>
      </c>
      <c r="AL182" s="36">
        <v>1000</v>
      </c>
      <c r="AM182" s="36">
        <v>500</v>
      </c>
      <c r="AN182" s="36">
        <v>600</v>
      </c>
      <c r="AO182" s="36">
        <v>2500</v>
      </c>
      <c r="AP182" s="38" t="s">
        <v>155</v>
      </c>
      <c r="AQ182" s="38">
        <v>100</v>
      </c>
      <c r="AR182" s="38" t="s">
        <v>809</v>
      </c>
      <c r="AS182" s="38">
        <v>2000</v>
      </c>
      <c r="AT182" s="38">
        <v>10800</v>
      </c>
      <c r="AU182" s="38">
        <v>2700000</v>
      </c>
      <c r="AV182" s="36">
        <v>200000</v>
      </c>
      <c r="BA182" s="36" t="s">
        <v>157</v>
      </c>
      <c r="BB182" s="36" t="s">
        <v>976</v>
      </c>
      <c r="BC182" s="46"/>
      <c r="BD182" s="39" t="s">
        <v>811</v>
      </c>
      <c r="BE182" s="36">
        <v>1</v>
      </c>
      <c r="BF182" s="36" t="s">
        <v>160</v>
      </c>
      <c r="BG182" s="36" t="s">
        <v>161</v>
      </c>
      <c r="BH182" s="36" t="s">
        <v>162</v>
      </c>
      <c r="BJ182" s="38">
        <v>7200</v>
      </c>
      <c r="BK182" s="38">
        <v>1800</v>
      </c>
      <c r="BL182" s="36">
        <f t="shared" si="2"/>
        <v>1435</v>
      </c>
      <c r="BM182" s="36">
        <v>9</v>
      </c>
      <c r="BN182" s="35" t="s">
        <v>157</v>
      </c>
      <c r="BO182" s="36" t="s">
        <v>977</v>
      </c>
      <c r="BP182" s="54" t="s">
        <v>157</v>
      </c>
      <c r="BQ182" s="36" t="s">
        <v>978</v>
      </c>
    </row>
    <row r="183" spans="1:69" x14ac:dyDescent="0.45">
      <c r="A183" s="36">
        <v>40920</v>
      </c>
      <c r="B183" s="36" t="s">
        <v>997</v>
      </c>
      <c r="C183" s="36" t="s">
        <v>141</v>
      </c>
      <c r="D183" s="36" t="s">
        <v>142</v>
      </c>
      <c r="E183" s="36" t="s">
        <v>764</v>
      </c>
      <c r="F183" s="36" t="s">
        <v>144</v>
      </c>
      <c r="G183" s="36" t="s">
        <v>145</v>
      </c>
      <c r="H183" s="36" t="s">
        <v>146</v>
      </c>
      <c r="J183" s="36" t="s">
        <v>147</v>
      </c>
      <c r="K183" s="36" t="s">
        <v>974</v>
      </c>
      <c r="L183" s="36" t="s">
        <v>149</v>
      </c>
      <c r="M183" s="38">
        <v>6500000</v>
      </c>
      <c r="N183" s="36">
        <v>1</v>
      </c>
      <c r="O183" s="36" t="s">
        <v>150</v>
      </c>
      <c r="P183" s="38">
        <v>3000</v>
      </c>
      <c r="Q183" s="42" t="s">
        <v>845</v>
      </c>
      <c r="R183" s="36" t="s">
        <v>975</v>
      </c>
      <c r="T183" s="36">
        <v>20</v>
      </c>
      <c r="Z183" s="38" t="s">
        <v>807</v>
      </c>
      <c r="AA183" s="38">
        <v>1000</v>
      </c>
      <c r="AB183" s="36">
        <v>5</v>
      </c>
      <c r="AD183" s="38">
        <v>2700000</v>
      </c>
      <c r="AE183" s="38">
        <v>500000</v>
      </c>
      <c r="AF183" s="36">
        <v>500</v>
      </c>
      <c r="AG183" s="36">
        <v>0</v>
      </c>
      <c r="AH183" s="36">
        <v>-1</v>
      </c>
      <c r="AJ183" s="38">
        <v>1000</v>
      </c>
      <c r="AK183" s="35">
        <v>216000</v>
      </c>
      <c r="AL183" s="36">
        <v>1000</v>
      </c>
      <c r="AM183" s="36">
        <v>500</v>
      </c>
      <c r="AN183" s="36">
        <v>600</v>
      </c>
      <c r="AO183" s="36">
        <v>2500</v>
      </c>
      <c r="AP183" s="38" t="s">
        <v>155</v>
      </c>
      <c r="AQ183" s="38">
        <v>100</v>
      </c>
      <c r="AR183" s="38" t="s">
        <v>809</v>
      </c>
      <c r="AS183" s="38">
        <v>2000</v>
      </c>
      <c r="AT183" s="38">
        <v>10800</v>
      </c>
      <c r="AU183" s="38">
        <v>2700000</v>
      </c>
      <c r="AV183" s="36">
        <v>200000</v>
      </c>
      <c r="BA183" s="36" t="s">
        <v>157</v>
      </c>
      <c r="BB183" s="36" t="s">
        <v>976</v>
      </c>
      <c r="BC183" s="46"/>
      <c r="BD183" s="39" t="s">
        <v>811</v>
      </c>
      <c r="BE183" s="36">
        <v>1</v>
      </c>
      <c r="BF183" s="36" t="s">
        <v>160</v>
      </c>
      <c r="BG183" s="36" t="s">
        <v>161</v>
      </c>
      <c r="BH183" s="36" t="s">
        <v>162</v>
      </c>
      <c r="BJ183" s="38">
        <v>7200</v>
      </c>
      <c r="BK183" s="38">
        <v>1800</v>
      </c>
      <c r="BL183" s="36">
        <f t="shared" si="2"/>
        <v>1540</v>
      </c>
      <c r="BM183" s="36">
        <v>9</v>
      </c>
      <c r="BN183" s="35" t="s">
        <v>157</v>
      </c>
      <c r="BO183" s="36" t="s">
        <v>977</v>
      </c>
      <c r="BP183" s="54" t="s">
        <v>157</v>
      </c>
      <c r="BQ183" s="36" t="s">
        <v>978</v>
      </c>
    </row>
  </sheetData>
  <autoFilter ref="A2:BO183" xr:uid="{00000000-0009-0000-0000-000008000000}"/>
  <phoneticPr fontId="14" type="noConversion"/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827"/>
  <sheetViews>
    <sheetView zoomScale="85" zoomScaleNormal="85" workbookViewId="0">
      <pane xSplit="4" ySplit="3" topLeftCell="M500" activePane="bottomRight" state="frozen"/>
      <selection pane="topRight"/>
      <selection pane="bottomLeft"/>
      <selection pane="bottomRight" activeCell="X465" sqref="X465"/>
    </sheetView>
  </sheetViews>
  <sheetFormatPr defaultColWidth="8.90625" defaultRowHeight="16.5" x14ac:dyDescent="0.25"/>
  <cols>
    <col min="1" max="1" width="11.90625" style="4" customWidth="1"/>
    <col min="2" max="2" width="10.453125" style="5" customWidth="1"/>
    <col min="3" max="3" width="20.90625" style="5" customWidth="1"/>
    <col min="4" max="4" width="20.90625" style="6" customWidth="1"/>
    <col min="5" max="5" width="8.90625" style="7"/>
    <col min="6" max="6" width="8.90625" style="5"/>
    <col min="7" max="7" width="14.36328125" style="7" customWidth="1"/>
    <col min="8" max="8" width="18.453125" style="5" customWidth="1"/>
    <col min="9" max="9" width="20.36328125" style="5" customWidth="1"/>
    <col min="10" max="10" width="18.453125" style="5" customWidth="1"/>
    <col min="11" max="11" width="16" style="5" customWidth="1"/>
    <col min="12" max="12" width="15.90625" style="5" customWidth="1"/>
    <col min="13" max="13" width="19.453125" style="5" customWidth="1"/>
    <col min="14" max="14" width="28.453125" style="5" customWidth="1"/>
    <col min="15" max="15" width="22.08984375" style="5" customWidth="1"/>
    <col min="16" max="16" width="28.36328125" style="5" customWidth="1"/>
    <col min="17" max="17" width="26.453125" style="5" customWidth="1"/>
    <col min="18" max="18" width="13.90625" style="5" customWidth="1"/>
    <col min="19" max="19" width="15" style="8" customWidth="1"/>
    <col min="20" max="20" width="12.6328125" style="5" customWidth="1"/>
    <col min="21" max="21" width="11.6328125" style="5" customWidth="1"/>
    <col min="22" max="22" width="32.90625" style="5" customWidth="1"/>
    <col min="23" max="23" width="18.36328125" style="5" customWidth="1"/>
    <col min="24" max="24" width="26.90625" style="5" customWidth="1"/>
    <col min="25" max="25" width="18.36328125" style="5" customWidth="1"/>
    <col min="26" max="26" width="22.6328125" style="5" customWidth="1"/>
    <col min="27" max="27" width="15" style="5" customWidth="1"/>
    <col min="28" max="16384" width="8.90625" style="5"/>
  </cols>
  <sheetData>
    <row r="1" spans="1:29" x14ac:dyDescent="0.25">
      <c r="A1" s="9"/>
      <c r="B1" s="10"/>
    </row>
    <row r="2" spans="1:29" s="1" customFormat="1" ht="23.25" customHeight="1" x14ac:dyDescent="0.25">
      <c r="A2" s="11" t="s">
        <v>349</v>
      </c>
      <c r="B2" s="1" t="s">
        <v>350</v>
      </c>
      <c r="C2" s="1" t="s">
        <v>351</v>
      </c>
      <c r="D2" s="12" t="s">
        <v>352</v>
      </c>
      <c r="E2" s="3" t="s">
        <v>353</v>
      </c>
      <c r="F2" s="1" t="s">
        <v>13</v>
      </c>
      <c r="G2" s="3" t="s">
        <v>354</v>
      </c>
      <c r="H2" s="1" t="s">
        <v>355</v>
      </c>
      <c r="I2" s="1" t="s">
        <v>356</v>
      </c>
      <c r="J2" s="1" t="s">
        <v>357</v>
      </c>
      <c r="K2" s="1" t="s">
        <v>358</v>
      </c>
      <c r="L2" s="1" t="s">
        <v>359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364</v>
      </c>
      <c r="R2" s="1" t="s">
        <v>365</v>
      </c>
      <c r="S2" s="16" t="s">
        <v>366</v>
      </c>
      <c r="T2" s="5" t="s">
        <v>367</v>
      </c>
      <c r="U2" s="1" t="s">
        <v>368</v>
      </c>
      <c r="V2" s="1" t="s">
        <v>369</v>
      </c>
      <c r="W2" s="5" t="s">
        <v>370</v>
      </c>
      <c r="X2" s="1" t="s">
        <v>371</v>
      </c>
      <c r="Y2" s="1" t="s">
        <v>372</v>
      </c>
      <c r="Z2" s="1" t="s">
        <v>373</v>
      </c>
      <c r="AA2" s="1" t="s">
        <v>374</v>
      </c>
    </row>
    <row r="3" spans="1:29" s="1" customFormat="1" ht="22.5" customHeight="1" x14ac:dyDescent="0.25">
      <c r="A3" s="11" t="s">
        <v>2</v>
      </c>
      <c r="B3" s="1" t="s">
        <v>375</v>
      </c>
      <c r="C3" s="1" t="s">
        <v>376</v>
      </c>
      <c r="D3" s="12"/>
      <c r="E3" s="3" t="s">
        <v>88</v>
      </c>
      <c r="F3" s="1" t="s">
        <v>377</v>
      </c>
      <c r="G3" s="3" t="s">
        <v>378</v>
      </c>
      <c r="H3" s="1" t="s">
        <v>379</v>
      </c>
      <c r="I3" s="1" t="s">
        <v>380</v>
      </c>
      <c r="J3" s="1" t="s">
        <v>381</v>
      </c>
      <c r="K3" s="1" t="s">
        <v>382</v>
      </c>
      <c r="L3" s="1" t="s">
        <v>383</v>
      </c>
      <c r="M3" s="1" t="s">
        <v>384</v>
      </c>
      <c r="N3" s="1" t="s">
        <v>385</v>
      </c>
      <c r="O3" s="1" t="s">
        <v>386</v>
      </c>
      <c r="P3" s="1" t="s">
        <v>387</v>
      </c>
      <c r="Q3" s="1" t="s">
        <v>388</v>
      </c>
      <c r="R3" s="1" t="s">
        <v>90</v>
      </c>
      <c r="S3" s="16" t="s">
        <v>91</v>
      </c>
      <c r="T3" s="1" t="s">
        <v>389</v>
      </c>
      <c r="U3" s="1" t="s">
        <v>79</v>
      </c>
      <c r="V3" s="1" t="s">
        <v>86</v>
      </c>
      <c r="W3" s="1" t="s">
        <v>390</v>
      </c>
      <c r="X3" s="1" t="s">
        <v>391</v>
      </c>
      <c r="Y3" s="1" t="s">
        <v>392</v>
      </c>
      <c r="Z3" s="1" t="s">
        <v>393</v>
      </c>
      <c r="AA3" s="1" t="s">
        <v>394</v>
      </c>
    </row>
    <row r="4" spans="1:29" s="1" customFormat="1" ht="49.5" x14ac:dyDescent="0.25">
      <c r="A4" s="13">
        <f t="shared" ref="A4:A67" si="0">B4*100+E4</f>
        <v>111101</v>
      </c>
      <c r="B4" s="14">
        <v>1111</v>
      </c>
      <c r="C4" s="1" t="s">
        <v>701</v>
      </c>
      <c r="D4" s="12" t="s">
        <v>998</v>
      </c>
      <c r="E4" s="3">
        <v>1</v>
      </c>
      <c r="F4" s="5" t="s">
        <v>396</v>
      </c>
      <c r="G4" s="3">
        <v>1</v>
      </c>
      <c r="L4" s="1">
        <v>3600</v>
      </c>
      <c r="M4" s="1">
        <v>2500</v>
      </c>
      <c r="N4" s="1" t="s">
        <v>999</v>
      </c>
      <c r="O4" s="1">
        <v>100</v>
      </c>
      <c r="P4" s="1" t="s">
        <v>398</v>
      </c>
      <c r="Q4" s="1">
        <v>10</v>
      </c>
      <c r="R4" s="1" t="s">
        <v>1000</v>
      </c>
      <c r="S4" s="16" t="s">
        <v>1001</v>
      </c>
      <c r="U4" s="1" t="s">
        <v>1002</v>
      </c>
      <c r="V4" s="17" t="s">
        <v>1003</v>
      </c>
      <c r="W4" s="5"/>
      <c r="X4" s="1" t="s">
        <v>1004</v>
      </c>
      <c r="Y4" s="5" t="s">
        <v>1005</v>
      </c>
      <c r="Z4" s="21" t="s">
        <v>1006</v>
      </c>
      <c r="AA4" s="22" t="s">
        <v>407</v>
      </c>
      <c r="AC4" s="22"/>
    </row>
    <row r="5" spans="1:29" s="1" customFormat="1" ht="49.5" x14ac:dyDescent="0.25">
      <c r="A5" s="13">
        <f t="shared" si="0"/>
        <v>111102</v>
      </c>
      <c r="B5" s="14">
        <v>1111</v>
      </c>
      <c r="C5" s="1" t="s">
        <v>701</v>
      </c>
      <c r="D5" s="12" t="s">
        <v>998</v>
      </c>
      <c r="E5" s="3">
        <v>2</v>
      </c>
      <c r="F5" s="5" t="s">
        <v>396</v>
      </c>
      <c r="G5" s="3">
        <v>1</v>
      </c>
      <c r="L5" s="1">
        <v>3600</v>
      </c>
      <c r="M5" s="1">
        <v>2500</v>
      </c>
      <c r="N5" s="1" t="s">
        <v>999</v>
      </c>
      <c r="O5" s="1">
        <v>100</v>
      </c>
      <c r="P5" s="1" t="s">
        <v>398</v>
      </c>
      <c r="Q5" s="1">
        <v>10</v>
      </c>
      <c r="R5" s="1" t="s">
        <v>1000</v>
      </c>
      <c r="S5" s="16" t="s">
        <v>1001</v>
      </c>
      <c r="U5" s="1" t="s">
        <v>1002</v>
      </c>
      <c r="V5" s="17" t="s">
        <v>1003</v>
      </c>
      <c r="W5" s="5"/>
      <c r="X5" s="1" t="s">
        <v>1004</v>
      </c>
      <c r="Y5" s="5" t="s">
        <v>1005</v>
      </c>
      <c r="Z5" s="21" t="s">
        <v>1006</v>
      </c>
      <c r="AA5" s="22" t="s">
        <v>407</v>
      </c>
      <c r="AC5" s="22"/>
    </row>
    <row r="6" spans="1:29" s="1" customFormat="1" ht="49.5" x14ac:dyDescent="0.25">
      <c r="A6" s="13">
        <f t="shared" si="0"/>
        <v>111103</v>
      </c>
      <c r="B6" s="14">
        <v>1111</v>
      </c>
      <c r="C6" s="1" t="s">
        <v>701</v>
      </c>
      <c r="D6" s="12" t="s">
        <v>998</v>
      </c>
      <c r="E6" s="3">
        <v>3</v>
      </c>
      <c r="F6" s="5" t="s">
        <v>396</v>
      </c>
      <c r="G6" s="3">
        <v>1</v>
      </c>
      <c r="L6" s="1">
        <v>3600</v>
      </c>
      <c r="M6" s="1">
        <v>2500</v>
      </c>
      <c r="N6" s="1" t="s">
        <v>999</v>
      </c>
      <c r="O6" s="1">
        <v>100</v>
      </c>
      <c r="P6" s="1" t="s">
        <v>398</v>
      </c>
      <c r="Q6" s="1">
        <v>10</v>
      </c>
      <c r="R6" s="1" t="s">
        <v>1000</v>
      </c>
      <c r="S6" s="16" t="s">
        <v>1001</v>
      </c>
      <c r="U6" s="1" t="s">
        <v>1002</v>
      </c>
      <c r="V6" s="17" t="s">
        <v>1003</v>
      </c>
      <c r="W6" s="5"/>
      <c r="X6" s="1" t="s">
        <v>1004</v>
      </c>
      <c r="Y6" s="5" t="s">
        <v>1005</v>
      </c>
      <c r="Z6" s="21" t="s">
        <v>1006</v>
      </c>
      <c r="AA6" s="22" t="s">
        <v>407</v>
      </c>
      <c r="AC6" s="22"/>
    </row>
    <row r="7" spans="1:29" s="1" customFormat="1" ht="49.5" x14ac:dyDescent="0.25">
      <c r="A7" s="13">
        <f t="shared" si="0"/>
        <v>111104</v>
      </c>
      <c r="B7" s="14">
        <v>1111</v>
      </c>
      <c r="C7" s="1" t="s">
        <v>701</v>
      </c>
      <c r="D7" s="12" t="s">
        <v>998</v>
      </c>
      <c r="E7" s="3">
        <v>4</v>
      </c>
      <c r="F7" s="5" t="s">
        <v>396</v>
      </c>
      <c r="G7" s="3">
        <v>2</v>
      </c>
      <c r="L7" s="1">
        <v>3600</v>
      </c>
      <c r="M7" s="1">
        <v>2500</v>
      </c>
      <c r="N7" s="1" t="s">
        <v>999</v>
      </c>
      <c r="O7" s="1">
        <v>100</v>
      </c>
      <c r="P7" s="1" t="s">
        <v>398</v>
      </c>
      <c r="Q7" s="1">
        <v>10</v>
      </c>
      <c r="R7" s="1" t="s">
        <v>1000</v>
      </c>
      <c r="S7" s="16" t="s">
        <v>1001</v>
      </c>
      <c r="U7" s="1" t="s">
        <v>1002</v>
      </c>
      <c r="V7" s="17" t="s">
        <v>1003</v>
      </c>
      <c r="W7" s="5"/>
      <c r="X7" s="1" t="s">
        <v>1004</v>
      </c>
      <c r="Y7" s="5" t="s">
        <v>1005</v>
      </c>
      <c r="Z7" s="21" t="s">
        <v>1006</v>
      </c>
      <c r="AA7" s="22" t="s">
        <v>407</v>
      </c>
      <c r="AC7" s="22"/>
    </row>
    <row r="8" spans="1:29" s="1" customFormat="1" ht="49.5" x14ac:dyDescent="0.25">
      <c r="A8" s="13">
        <f t="shared" si="0"/>
        <v>111105</v>
      </c>
      <c r="B8" s="14">
        <v>1111</v>
      </c>
      <c r="C8" s="1" t="s">
        <v>701</v>
      </c>
      <c r="D8" s="12" t="s">
        <v>998</v>
      </c>
      <c r="E8" s="3">
        <v>5</v>
      </c>
      <c r="F8" s="5" t="s">
        <v>396</v>
      </c>
      <c r="G8" s="3">
        <v>2</v>
      </c>
      <c r="L8" s="1">
        <v>3600</v>
      </c>
      <c r="M8" s="1">
        <v>2500</v>
      </c>
      <c r="N8" s="1" t="s">
        <v>999</v>
      </c>
      <c r="O8" s="1">
        <v>100</v>
      </c>
      <c r="P8" s="1" t="s">
        <v>398</v>
      </c>
      <c r="Q8" s="1">
        <v>10</v>
      </c>
      <c r="R8" s="1" t="s">
        <v>1000</v>
      </c>
      <c r="S8" s="16" t="s">
        <v>1001</v>
      </c>
      <c r="U8" s="1" t="s">
        <v>1002</v>
      </c>
      <c r="V8" s="17" t="s">
        <v>1003</v>
      </c>
      <c r="W8" s="5"/>
      <c r="X8" s="1" t="s">
        <v>1004</v>
      </c>
      <c r="Y8" s="5" t="s">
        <v>1005</v>
      </c>
      <c r="Z8" s="21" t="s">
        <v>1006</v>
      </c>
      <c r="AA8" s="22" t="s">
        <v>407</v>
      </c>
      <c r="AC8" s="22"/>
    </row>
    <row r="9" spans="1:29" s="1" customFormat="1" ht="49.5" x14ac:dyDescent="0.25">
      <c r="A9" s="13">
        <f t="shared" si="0"/>
        <v>112101</v>
      </c>
      <c r="B9" s="14">
        <v>1121</v>
      </c>
      <c r="C9" s="1" t="s">
        <v>701</v>
      </c>
      <c r="D9" s="15" t="s">
        <v>1007</v>
      </c>
      <c r="E9" s="3">
        <v>1</v>
      </c>
      <c r="F9" s="5" t="s">
        <v>396</v>
      </c>
      <c r="G9" s="3">
        <v>5</v>
      </c>
      <c r="K9" s="1">
        <v>1111</v>
      </c>
      <c r="L9" s="1">
        <v>5400</v>
      </c>
      <c r="M9" s="1">
        <v>2650</v>
      </c>
      <c r="N9" s="1" t="s">
        <v>1008</v>
      </c>
      <c r="O9" s="1">
        <v>100</v>
      </c>
      <c r="P9" s="1" t="s">
        <v>398</v>
      </c>
      <c r="Q9" s="1">
        <v>10</v>
      </c>
      <c r="R9" s="1">
        <v>1060</v>
      </c>
      <c r="S9" s="16">
        <v>8.0000000000000002E-3</v>
      </c>
      <c r="U9" s="1" t="s">
        <v>601</v>
      </c>
      <c r="V9" s="17" t="s">
        <v>402</v>
      </c>
      <c r="W9" s="5"/>
      <c r="X9" s="17" t="s">
        <v>404</v>
      </c>
      <c r="Y9" s="5" t="s">
        <v>1005</v>
      </c>
      <c r="Z9" s="21" t="s">
        <v>1009</v>
      </c>
      <c r="AA9" s="22" t="s">
        <v>420</v>
      </c>
      <c r="AC9" s="22"/>
    </row>
    <row r="10" spans="1:29" s="1" customFormat="1" ht="49.5" x14ac:dyDescent="0.25">
      <c r="A10" s="13">
        <f t="shared" si="0"/>
        <v>112102</v>
      </c>
      <c r="B10" s="14">
        <v>1121</v>
      </c>
      <c r="C10" s="1" t="s">
        <v>701</v>
      </c>
      <c r="D10" s="15" t="s">
        <v>1007</v>
      </c>
      <c r="E10" s="3">
        <v>2</v>
      </c>
      <c r="F10" s="5" t="s">
        <v>396</v>
      </c>
      <c r="G10" s="3">
        <v>6</v>
      </c>
      <c r="K10" s="1">
        <v>1111</v>
      </c>
      <c r="L10" s="1">
        <v>5400</v>
      </c>
      <c r="M10" s="1">
        <v>2650</v>
      </c>
      <c r="N10" s="1" t="s">
        <v>1008</v>
      </c>
      <c r="O10" s="1">
        <v>100</v>
      </c>
      <c r="P10" s="1" t="s">
        <v>398</v>
      </c>
      <c r="Q10" s="1">
        <v>10</v>
      </c>
      <c r="R10" s="1">
        <v>1060</v>
      </c>
      <c r="S10" s="16">
        <v>8.0000000000000002E-3</v>
      </c>
      <c r="U10" s="1" t="s">
        <v>601</v>
      </c>
      <c r="V10" s="17" t="s">
        <v>402</v>
      </c>
      <c r="W10" s="5"/>
      <c r="X10" s="17" t="s">
        <v>404</v>
      </c>
      <c r="Y10" s="5" t="s">
        <v>1005</v>
      </c>
      <c r="Z10" s="21" t="s">
        <v>1009</v>
      </c>
      <c r="AA10" s="22" t="s">
        <v>420</v>
      </c>
      <c r="AC10" s="22"/>
    </row>
    <row r="11" spans="1:29" s="1" customFormat="1" ht="49.5" x14ac:dyDescent="0.25">
      <c r="A11" s="13">
        <f t="shared" si="0"/>
        <v>112103</v>
      </c>
      <c r="B11" s="14">
        <v>1121</v>
      </c>
      <c r="C11" s="1" t="s">
        <v>701</v>
      </c>
      <c r="D11" s="15" t="s">
        <v>1007</v>
      </c>
      <c r="E11" s="3">
        <v>3</v>
      </c>
      <c r="F11" s="5" t="s">
        <v>396</v>
      </c>
      <c r="G11" s="3">
        <v>7</v>
      </c>
      <c r="K11" s="1">
        <v>1111</v>
      </c>
      <c r="L11" s="1">
        <v>5400</v>
      </c>
      <c r="M11" s="1">
        <v>2650</v>
      </c>
      <c r="N11" s="1" t="s">
        <v>1008</v>
      </c>
      <c r="O11" s="1">
        <v>100</v>
      </c>
      <c r="P11" s="1" t="s">
        <v>398</v>
      </c>
      <c r="Q11" s="1">
        <v>10</v>
      </c>
      <c r="R11" s="1">
        <v>1060</v>
      </c>
      <c r="S11" s="16">
        <v>8.0000000000000002E-3</v>
      </c>
      <c r="U11" s="1" t="s">
        <v>601</v>
      </c>
      <c r="V11" s="17" t="s">
        <v>402</v>
      </c>
      <c r="W11" s="5"/>
      <c r="X11" s="17" t="s">
        <v>404</v>
      </c>
      <c r="Y11" s="5" t="s">
        <v>1005</v>
      </c>
      <c r="Z11" s="21" t="s">
        <v>1009</v>
      </c>
      <c r="AA11" s="22" t="s">
        <v>420</v>
      </c>
      <c r="AC11" s="22"/>
    </row>
    <row r="12" spans="1:29" s="1" customFormat="1" ht="49.5" x14ac:dyDescent="0.25">
      <c r="A12" s="13">
        <f t="shared" si="0"/>
        <v>112104</v>
      </c>
      <c r="B12" s="14">
        <v>1121</v>
      </c>
      <c r="C12" s="1" t="s">
        <v>701</v>
      </c>
      <c r="D12" s="15" t="s">
        <v>1007</v>
      </c>
      <c r="E12" s="3">
        <v>4</v>
      </c>
      <c r="F12" s="5" t="s">
        <v>396</v>
      </c>
      <c r="G12" s="3">
        <v>8</v>
      </c>
      <c r="K12" s="1">
        <v>1111</v>
      </c>
      <c r="L12" s="1">
        <v>5400</v>
      </c>
      <c r="M12" s="1">
        <v>2650</v>
      </c>
      <c r="N12" s="1" t="s">
        <v>1008</v>
      </c>
      <c r="O12" s="1">
        <v>100</v>
      </c>
      <c r="P12" s="1" t="s">
        <v>398</v>
      </c>
      <c r="Q12" s="1">
        <v>10</v>
      </c>
      <c r="R12" s="1">
        <v>1060</v>
      </c>
      <c r="S12" s="16">
        <v>8.0000000000000002E-3</v>
      </c>
      <c r="U12" s="1" t="s">
        <v>601</v>
      </c>
      <c r="V12" s="17" t="s">
        <v>402</v>
      </c>
      <c r="W12" s="5"/>
      <c r="X12" s="17" t="s">
        <v>404</v>
      </c>
      <c r="Y12" s="5" t="s">
        <v>1005</v>
      </c>
      <c r="Z12" s="21" t="s">
        <v>1009</v>
      </c>
      <c r="AA12" s="22" t="s">
        <v>420</v>
      </c>
      <c r="AC12" s="22"/>
    </row>
    <row r="13" spans="1:29" s="1" customFormat="1" ht="49.5" x14ac:dyDescent="0.25">
      <c r="A13" s="13">
        <f t="shared" si="0"/>
        <v>112105</v>
      </c>
      <c r="B13" s="14">
        <v>1121</v>
      </c>
      <c r="C13" s="1" t="s">
        <v>701</v>
      </c>
      <c r="D13" s="15" t="s">
        <v>1007</v>
      </c>
      <c r="E13" s="3">
        <v>5</v>
      </c>
      <c r="F13" s="5" t="s">
        <v>396</v>
      </c>
      <c r="G13" s="3">
        <v>9</v>
      </c>
      <c r="K13" s="1">
        <v>1111</v>
      </c>
      <c r="L13" s="1">
        <v>5400</v>
      </c>
      <c r="M13" s="1">
        <v>2650</v>
      </c>
      <c r="N13" s="1" t="s">
        <v>1008</v>
      </c>
      <c r="O13" s="1">
        <v>100</v>
      </c>
      <c r="P13" s="1" t="s">
        <v>398</v>
      </c>
      <c r="Q13" s="1">
        <v>10</v>
      </c>
      <c r="R13" s="1">
        <v>1060</v>
      </c>
      <c r="S13" s="16">
        <v>8.0000000000000002E-3</v>
      </c>
      <c r="U13" s="1" t="s">
        <v>601</v>
      </c>
      <c r="V13" s="17" t="s">
        <v>402</v>
      </c>
      <c r="W13" s="5"/>
      <c r="X13" s="17" t="s">
        <v>404</v>
      </c>
      <c r="Y13" s="5" t="s">
        <v>1005</v>
      </c>
      <c r="Z13" s="21" t="s">
        <v>1009</v>
      </c>
      <c r="AA13" s="22" t="s">
        <v>420</v>
      </c>
      <c r="AC13" s="22"/>
    </row>
    <row r="14" spans="1:29" s="1" customFormat="1" ht="49.5" x14ac:dyDescent="0.25">
      <c r="A14" s="13">
        <f t="shared" si="0"/>
        <v>112201</v>
      </c>
      <c r="B14" s="14">
        <v>1122</v>
      </c>
      <c r="C14" s="1" t="s">
        <v>701</v>
      </c>
      <c r="D14" s="12" t="s">
        <v>998</v>
      </c>
      <c r="E14" s="3">
        <v>1</v>
      </c>
      <c r="F14" s="5" t="s">
        <v>396</v>
      </c>
      <c r="G14" s="3">
        <v>5</v>
      </c>
      <c r="K14" s="1">
        <v>1111</v>
      </c>
      <c r="L14" s="1">
        <v>5400</v>
      </c>
      <c r="M14" s="1">
        <v>2650</v>
      </c>
      <c r="N14" s="1" t="s">
        <v>1008</v>
      </c>
      <c r="O14" s="1">
        <v>100</v>
      </c>
      <c r="P14" s="1" t="s">
        <v>398</v>
      </c>
      <c r="Q14" s="1">
        <v>10</v>
      </c>
      <c r="R14" s="1" t="s">
        <v>1000</v>
      </c>
      <c r="S14" s="16" t="s">
        <v>1001</v>
      </c>
      <c r="U14" s="1" t="s">
        <v>1002</v>
      </c>
      <c r="V14" s="17" t="s">
        <v>1003</v>
      </c>
      <c r="W14" s="5"/>
      <c r="X14" s="1" t="s">
        <v>1004</v>
      </c>
      <c r="Y14" s="5" t="s">
        <v>1005</v>
      </c>
      <c r="Z14" s="21" t="s">
        <v>1006</v>
      </c>
      <c r="AA14" s="22" t="s">
        <v>433</v>
      </c>
      <c r="AC14" s="22"/>
    </row>
    <row r="15" spans="1:29" s="1" customFormat="1" ht="49.5" x14ac:dyDescent="0.25">
      <c r="A15" s="13">
        <f t="shared" si="0"/>
        <v>112202</v>
      </c>
      <c r="B15" s="14">
        <v>1122</v>
      </c>
      <c r="C15" s="1" t="s">
        <v>701</v>
      </c>
      <c r="D15" s="12" t="s">
        <v>998</v>
      </c>
      <c r="E15" s="3">
        <v>2</v>
      </c>
      <c r="F15" s="5" t="s">
        <v>396</v>
      </c>
      <c r="G15" s="3">
        <v>6</v>
      </c>
      <c r="K15" s="1">
        <v>1111</v>
      </c>
      <c r="L15" s="1">
        <v>5400</v>
      </c>
      <c r="M15" s="1">
        <v>2650</v>
      </c>
      <c r="N15" s="1" t="s">
        <v>1008</v>
      </c>
      <c r="O15" s="1">
        <v>100</v>
      </c>
      <c r="P15" s="1" t="s">
        <v>398</v>
      </c>
      <c r="Q15" s="1">
        <v>10</v>
      </c>
      <c r="R15" s="1" t="s">
        <v>1000</v>
      </c>
      <c r="S15" s="16" t="s">
        <v>1001</v>
      </c>
      <c r="U15" s="1" t="s">
        <v>1002</v>
      </c>
      <c r="V15" s="17" t="s">
        <v>1003</v>
      </c>
      <c r="W15" s="5"/>
      <c r="X15" s="1" t="s">
        <v>1004</v>
      </c>
      <c r="Y15" s="5" t="s">
        <v>1005</v>
      </c>
      <c r="Z15" s="21" t="s">
        <v>1006</v>
      </c>
      <c r="AA15" s="22" t="s">
        <v>433</v>
      </c>
      <c r="AC15" s="22"/>
    </row>
    <row r="16" spans="1:29" s="1" customFormat="1" ht="49.5" x14ac:dyDescent="0.25">
      <c r="A16" s="13">
        <f t="shared" si="0"/>
        <v>112203</v>
      </c>
      <c r="B16" s="14">
        <v>1122</v>
      </c>
      <c r="C16" s="1" t="s">
        <v>701</v>
      </c>
      <c r="D16" s="12" t="s">
        <v>998</v>
      </c>
      <c r="E16" s="3">
        <v>3</v>
      </c>
      <c r="F16" s="5" t="s">
        <v>396</v>
      </c>
      <c r="G16" s="3">
        <v>7</v>
      </c>
      <c r="K16" s="1">
        <v>1111</v>
      </c>
      <c r="L16" s="1">
        <v>5400</v>
      </c>
      <c r="M16" s="1">
        <v>2650</v>
      </c>
      <c r="N16" s="1" t="s">
        <v>1008</v>
      </c>
      <c r="O16" s="1">
        <v>100</v>
      </c>
      <c r="P16" s="1" t="s">
        <v>398</v>
      </c>
      <c r="Q16" s="1">
        <v>10</v>
      </c>
      <c r="R16" s="1" t="s">
        <v>1000</v>
      </c>
      <c r="S16" s="16" t="s">
        <v>1001</v>
      </c>
      <c r="U16" s="1" t="s">
        <v>1002</v>
      </c>
      <c r="V16" s="17" t="s">
        <v>1003</v>
      </c>
      <c r="W16" s="5"/>
      <c r="X16" s="1" t="s">
        <v>1004</v>
      </c>
      <c r="Y16" s="5" t="s">
        <v>1005</v>
      </c>
      <c r="Z16" s="21" t="s">
        <v>1006</v>
      </c>
      <c r="AA16" s="22" t="s">
        <v>433</v>
      </c>
      <c r="AC16" s="22"/>
    </row>
    <row r="17" spans="1:29" s="1" customFormat="1" ht="49.5" x14ac:dyDescent="0.25">
      <c r="A17" s="13">
        <f t="shared" si="0"/>
        <v>112204</v>
      </c>
      <c r="B17" s="14">
        <v>1122</v>
      </c>
      <c r="C17" s="1" t="s">
        <v>701</v>
      </c>
      <c r="D17" s="12" t="s">
        <v>998</v>
      </c>
      <c r="E17" s="3">
        <v>4</v>
      </c>
      <c r="F17" s="5" t="s">
        <v>396</v>
      </c>
      <c r="G17" s="3">
        <v>8</v>
      </c>
      <c r="K17" s="1">
        <v>1111</v>
      </c>
      <c r="L17" s="1">
        <v>5400</v>
      </c>
      <c r="M17" s="1">
        <v>2650</v>
      </c>
      <c r="N17" s="1" t="s">
        <v>1008</v>
      </c>
      <c r="O17" s="1">
        <v>100</v>
      </c>
      <c r="P17" s="1" t="s">
        <v>398</v>
      </c>
      <c r="Q17" s="1">
        <v>10</v>
      </c>
      <c r="R17" s="1" t="s">
        <v>1000</v>
      </c>
      <c r="S17" s="16" t="s">
        <v>1001</v>
      </c>
      <c r="U17" s="1" t="s">
        <v>1002</v>
      </c>
      <c r="V17" s="17" t="s">
        <v>1003</v>
      </c>
      <c r="W17" s="5"/>
      <c r="X17" s="1" t="s">
        <v>1004</v>
      </c>
      <c r="Y17" s="5" t="s">
        <v>1005</v>
      </c>
      <c r="Z17" s="21" t="s">
        <v>1006</v>
      </c>
      <c r="AA17" s="22" t="s">
        <v>433</v>
      </c>
      <c r="AC17" s="22"/>
    </row>
    <row r="18" spans="1:29" s="1" customFormat="1" ht="49.5" x14ac:dyDescent="0.25">
      <c r="A18" s="13">
        <f t="shared" si="0"/>
        <v>112205</v>
      </c>
      <c r="B18" s="14">
        <v>1122</v>
      </c>
      <c r="C18" s="1" t="s">
        <v>701</v>
      </c>
      <c r="D18" s="12" t="s">
        <v>998</v>
      </c>
      <c r="E18" s="3">
        <v>5</v>
      </c>
      <c r="F18" s="5" t="s">
        <v>396</v>
      </c>
      <c r="G18" s="3">
        <v>9</v>
      </c>
      <c r="K18" s="1">
        <v>1111</v>
      </c>
      <c r="L18" s="1">
        <v>5400</v>
      </c>
      <c r="M18" s="1">
        <v>2650</v>
      </c>
      <c r="N18" s="1" t="s">
        <v>1008</v>
      </c>
      <c r="O18" s="1">
        <v>100</v>
      </c>
      <c r="P18" s="1" t="s">
        <v>398</v>
      </c>
      <c r="Q18" s="1">
        <v>10</v>
      </c>
      <c r="R18" s="1" t="s">
        <v>1000</v>
      </c>
      <c r="S18" s="16" t="s">
        <v>1001</v>
      </c>
      <c r="U18" s="1" t="s">
        <v>1002</v>
      </c>
      <c r="V18" s="17" t="s">
        <v>1003</v>
      </c>
      <c r="W18" s="5"/>
      <c r="X18" s="1" t="s">
        <v>1004</v>
      </c>
      <c r="Y18" s="5" t="s">
        <v>1005</v>
      </c>
      <c r="Z18" s="21" t="s">
        <v>1006</v>
      </c>
      <c r="AA18" s="22" t="s">
        <v>433</v>
      </c>
      <c r="AC18" s="22"/>
    </row>
    <row r="19" spans="1:29" s="1" customFormat="1" ht="49.5" x14ac:dyDescent="0.25">
      <c r="A19" s="13">
        <f t="shared" si="0"/>
        <v>112301</v>
      </c>
      <c r="B19" s="14">
        <v>1123</v>
      </c>
      <c r="C19" s="1" t="s">
        <v>701</v>
      </c>
      <c r="D19" s="15" t="s">
        <v>1010</v>
      </c>
      <c r="E19" s="3">
        <v>1</v>
      </c>
      <c r="F19" s="5" t="s">
        <v>396</v>
      </c>
      <c r="G19" s="3">
        <v>5</v>
      </c>
      <c r="K19" s="1">
        <v>1111</v>
      </c>
      <c r="L19" s="1">
        <v>5400</v>
      </c>
      <c r="M19" s="1">
        <v>2650</v>
      </c>
      <c r="N19" s="1" t="s">
        <v>1008</v>
      </c>
      <c r="O19" s="1">
        <v>100</v>
      </c>
      <c r="P19" s="1" t="s">
        <v>398</v>
      </c>
      <c r="Q19" s="1">
        <v>10</v>
      </c>
      <c r="R19" s="1">
        <v>1065</v>
      </c>
      <c r="S19" s="16">
        <v>4.0000000000000001E-3</v>
      </c>
      <c r="U19" s="1" t="s">
        <v>1011</v>
      </c>
      <c r="V19" s="17" t="s">
        <v>1012</v>
      </c>
      <c r="W19" s="5"/>
      <c r="X19" s="17" t="s">
        <v>1013</v>
      </c>
      <c r="Y19" s="5" t="s">
        <v>1005</v>
      </c>
      <c r="Z19" s="21" t="s">
        <v>1009</v>
      </c>
      <c r="AA19" s="22" t="s">
        <v>445</v>
      </c>
      <c r="AC19" s="22"/>
    </row>
    <row r="20" spans="1:29" s="1" customFormat="1" ht="49.5" x14ac:dyDescent="0.25">
      <c r="A20" s="13">
        <f t="shared" si="0"/>
        <v>112302</v>
      </c>
      <c r="B20" s="14">
        <v>1123</v>
      </c>
      <c r="C20" s="1" t="s">
        <v>701</v>
      </c>
      <c r="D20" s="15" t="s">
        <v>1010</v>
      </c>
      <c r="E20" s="3">
        <v>2</v>
      </c>
      <c r="F20" s="5" t="s">
        <v>396</v>
      </c>
      <c r="G20" s="3">
        <v>6</v>
      </c>
      <c r="K20" s="1">
        <v>1111</v>
      </c>
      <c r="L20" s="1">
        <v>5400</v>
      </c>
      <c r="M20" s="1">
        <v>2650</v>
      </c>
      <c r="N20" s="1" t="s">
        <v>1008</v>
      </c>
      <c r="O20" s="1">
        <v>100</v>
      </c>
      <c r="P20" s="1" t="s">
        <v>398</v>
      </c>
      <c r="Q20" s="1">
        <v>10</v>
      </c>
      <c r="R20" s="1">
        <v>1065</v>
      </c>
      <c r="S20" s="16">
        <v>4.0000000000000001E-3</v>
      </c>
      <c r="U20" s="1" t="s">
        <v>1011</v>
      </c>
      <c r="V20" s="17" t="s">
        <v>1012</v>
      </c>
      <c r="W20" s="5"/>
      <c r="X20" s="17" t="s">
        <v>1013</v>
      </c>
      <c r="Y20" s="5" t="s">
        <v>1005</v>
      </c>
      <c r="Z20" s="21" t="s">
        <v>1009</v>
      </c>
      <c r="AA20" s="22" t="s">
        <v>445</v>
      </c>
      <c r="AC20" s="22"/>
    </row>
    <row r="21" spans="1:29" s="1" customFormat="1" ht="49.5" x14ac:dyDescent="0.25">
      <c r="A21" s="13">
        <f t="shared" si="0"/>
        <v>112303</v>
      </c>
      <c r="B21" s="14">
        <v>1123</v>
      </c>
      <c r="C21" s="1" t="s">
        <v>701</v>
      </c>
      <c r="D21" s="15" t="s">
        <v>1010</v>
      </c>
      <c r="E21" s="3">
        <v>3</v>
      </c>
      <c r="F21" s="5" t="s">
        <v>396</v>
      </c>
      <c r="G21" s="3">
        <v>7</v>
      </c>
      <c r="K21" s="1">
        <v>1111</v>
      </c>
      <c r="L21" s="1">
        <v>5400</v>
      </c>
      <c r="M21" s="1">
        <v>2650</v>
      </c>
      <c r="N21" s="1" t="s">
        <v>1008</v>
      </c>
      <c r="O21" s="1">
        <v>100</v>
      </c>
      <c r="P21" s="1" t="s">
        <v>398</v>
      </c>
      <c r="Q21" s="1">
        <v>10</v>
      </c>
      <c r="R21" s="1">
        <v>1065</v>
      </c>
      <c r="S21" s="16">
        <v>4.0000000000000001E-3</v>
      </c>
      <c r="U21" s="1" t="s">
        <v>1011</v>
      </c>
      <c r="V21" s="17" t="s">
        <v>1012</v>
      </c>
      <c r="W21" s="5"/>
      <c r="X21" s="17" t="s">
        <v>1013</v>
      </c>
      <c r="Y21" s="5" t="s">
        <v>1005</v>
      </c>
      <c r="Z21" s="21" t="s">
        <v>1009</v>
      </c>
      <c r="AA21" s="22" t="s">
        <v>445</v>
      </c>
      <c r="AC21" s="22"/>
    </row>
    <row r="22" spans="1:29" s="1" customFormat="1" ht="49.5" x14ac:dyDescent="0.25">
      <c r="A22" s="13">
        <f t="shared" si="0"/>
        <v>112304</v>
      </c>
      <c r="B22" s="14">
        <v>1123</v>
      </c>
      <c r="C22" s="1" t="s">
        <v>701</v>
      </c>
      <c r="D22" s="15" t="s">
        <v>1010</v>
      </c>
      <c r="E22" s="3">
        <v>4</v>
      </c>
      <c r="F22" s="5" t="s">
        <v>396</v>
      </c>
      <c r="G22" s="3">
        <v>8</v>
      </c>
      <c r="K22" s="1">
        <v>1111</v>
      </c>
      <c r="L22" s="1">
        <v>5400</v>
      </c>
      <c r="M22" s="1">
        <v>2650</v>
      </c>
      <c r="N22" s="1" t="s">
        <v>1008</v>
      </c>
      <c r="O22" s="1">
        <v>100</v>
      </c>
      <c r="P22" s="1" t="s">
        <v>398</v>
      </c>
      <c r="Q22" s="1">
        <v>10</v>
      </c>
      <c r="R22" s="1">
        <v>1065</v>
      </c>
      <c r="S22" s="16">
        <v>4.0000000000000001E-3</v>
      </c>
      <c r="U22" s="1" t="s">
        <v>1011</v>
      </c>
      <c r="V22" s="17" t="s">
        <v>1012</v>
      </c>
      <c r="W22" s="5"/>
      <c r="X22" s="17" t="s">
        <v>1013</v>
      </c>
      <c r="Y22" s="5" t="s">
        <v>1005</v>
      </c>
      <c r="Z22" s="21" t="s">
        <v>1009</v>
      </c>
      <c r="AA22" s="22" t="s">
        <v>445</v>
      </c>
      <c r="AC22" s="22"/>
    </row>
    <row r="23" spans="1:29" s="1" customFormat="1" ht="49.5" x14ac:dyDescent="0.25">
      <c r="A23" s="13">
        <f t="shared" si="0"/>
        <v>112305</v>
      </c>
      <c r="B23" s="14">
        <v>1123</v>
      </c>
      <c r="C23" s="1" t="s">
        <v>701</v>
      </c>
      <c r="D23" s="15" t="s">
        <v>1010</v>
      </c>
      <c r="E23" s="3">
        <v>5</v>
      </c>
      <c r="F23" s="5" t="s">
        <v>396</v>
      </c>
      <c r="G23" s="3">
        <v>9</v>
      </c>
      <c r="K23" s="1">
        <v>1111</v>
      </c>
      <c r="L23" s="1">
        <v>5400</v>
      </c>
      <c r="M23" s="1">
        <v>2650</v>
      </c>
      <c r="N23" s="1" t="s">
        <v>1008</v>
      </c>
      <c r="O23" s="1">
        <v>100</v>
      </c>
      <c r="P23" s="1" t="s">
        <v>398</v>
      </c>
      <c r="Q23" s="1">
        <v>10</v>
      </c>
      <c r="R23" s="1">
        <v>1065</v>
      </c>
      <c r="S23" s="16">
        <v>4.0000000000000001E-3</v>
      </c>
      <c r="U23" s="1" t="s">
        <v>1011</v>
      </c>
      <c r="V23" s="17" t="s">
        <v>1012</v>
      </c>
      <c r="W23" s="5"/>
      <c r="X23" s="17" t="s">
        <v>1013</v>
      </c>
      <c r="Y23" s="5" t="s">
        <v>1005</v>
      </c>
      <c r="Z23" s="21" t="s">
        <v>1009</v>
      </c>
      <c r="AA23" s="22" t="s">
        <v>445</v>
      </c>
      <c r="AC23" s="22"/>
    </row>
    <row r="24" spans="1:29" s="1" customFormat="1" ht="49.5" x14ac:dyDescent="0.25">
      <c r="A24" s="13">
        <f t="shared" si="0"/>
        <v>113101</v>
      </c>
      <c r="B24" s="14">
        <v>1131</v>
      </c>
      <c r="C24" s="1" t="s">
        <v>701</v>
      </c>
      <c r="D24" s="15" t="s">
        <v>1014</v>
      </c>
      <c r="E24" s="3">
        <v>1</v>
      </c>
      <c r="F24" s="5" t="s">
        <v>396</v>
      </c>
      <c r="G24" s="3">
        <v>10</v>
      </c>
      <c r="K24" s="1">
        <v>1121</v>
      </c>
      <c r="L24" s="1">
        <v>7200</v>
      </c>
      <c r="M24" s="1">
        <v>2750</v>
      </c>
      <c r="N24" s="1" t="s">
        <v>1015</v>
      </c>
      <c r="O24" s="1">
        <v>100</v>
      </c>
      <c r="P24" s="1" t="s">
        <v>398</v>
      </c>
      <c r="Q24" s="1">
        <v>10</v>
      </c>
      <c r="R24" s="1">
        <v>1092</v>
      </c>
      <c r="S24" s="16">
        <v>500</v>
      </c>
      <c r="U24" s="1" t="s">
        <v>1016</v>
      </c>
      <c r="V24" s="17" t="s">
        <v>1017</v>
      </c>
      <c r="W24" s="5"/>
      <c r="X24" s="17" t="s">
        <v>1018</v>
      </c>
      <c r="Y24" s="5" t="s">
        <v>1005</v>
      </c>
      <c r="Z24" s="21" t="s">
        <v>1009</v>
      </c>
      <c r="AA24" s="22" t="s">
        <v>453</v>
      </c>
      <c r="AC24" s="22"/>
    </row>
    <row r="25" spans="1:29" s="1" customFormat="1" ht="49.5" x14ac:dyDescent="0.25">
      <c r="A25" s="13">
        <f t="shared" si="0"/>
        <v>113102</v>
      </c>
      <c r="B25" s="14">
        <v>1131</v>
      </c>
      <c r="C25" s="1" t="s">
        <v>701</v>
      </c>
      <c r="D25" s="15" t="s">
        <v>1014</v>
      </c>
      <c r="E25" s="3">
        <v>2</v>
      </c>
      <c r="F25" s="5" t="s">
        <v>396</v>
      </c>
      <c r="G25" s="3">
        <v>11</v>
      </c>
      <c r="K25" s="1">
        <v>1121</v>
      </c>
      <c r="L25" s="1">
        <v>7200</v>
      </c>
      <c r="M25" s="1">
        <v>2750</v>
      </c>
      <c r="N25" s="1" t="s">
        <v>1015</v>
      </c>
      <c r="O25" s="1">
        <v>100</v>
      </c>
      <c r="P25" s="1" t="s">
        <v>398</v>
      </c>
      <c r="Q25" s="1">
        <v>10</v>
      </c>
      <c r="R25" s="1">
        <v>1092</v>
      </c>
      <c r="S25" s="16">
        <v>500</v>
      </c>
      <c r="U25" s="1" t="s">
        <v>1016</v>
      </c>
      <c r="V25" s="17" t="s">
        <v>1017</v>
      </c>
      <c r="W25" s="5"/>
      <c r="X25" s="17" t="s">
        <v>1018</v>
      </c>
      <c r="Y25" s="5" t="s">
        <v>1005</v>
      </c>
      <c r="Z25" s="21" t="s">
        <v>1009</v>
      </c>
      <c r="AA25" s="22" t="s">
        <v>453</v>
      </c>
      <c r="AC25" s="22"/>
    </row>
    <row r="26" spans="1:29" s="1" customFormat="1" ht="49.5" x14ac:dyDescent="0.25">
      <c r="A26" s="13">
        <f t="shared" si="0"/>
        <v>113103</v>
      </c>
      <c r="B26" s="14">
        <v>1131</v>
      </c>
      <c r="C26" s="1" t="s">
        <v>701</v>
      </c>
      <c r="D26" s="15" t="s">
        <v>1014</v>
      </c>
      <c r="E26" s="3">
        <v>3</v>
      </c>
      <c r="F26" s="5" t="s">
        <v>396</v>
      </c>
      <c r="G26" s="3">
        <v>13</v>
      </c>
      <c r="K26" s="1">
        <v>1121</v>
      </c>
      <c r="L26" s="1">
        <v>7200</v>
      </c>
      <c r="M26" s="1">
        <v>2750</v>
      </c>
      <c r="N26" s="1" t="s">
        <v>1015</v>
      </c>
      <c r="O26" s="1">
        <v>100</v>
      </c>
      <c r="P26" s="1" t="s">
        <v>398</v>
      </c>
      <c r="Q26" s="1">
        <v>10</v>
      </c>
      <c r="R26" s="1">
        <v>1092</v>
      </c>
      <c r="S26" s="16">
        <v>500</v>
      </c>
      <c r="U26" s="1" t="s">
        <v>1016</v>
      </c>
      <c r="V26" s="17" t="s">
        <v>1017</v>
      </c>
      <c r="W26" s="5"/>
      <c r="X26" s="17" t="s">
        <v>1018</v>
      </c>
      <c r="Y26" s="5" t="s">
        <v>1005</v>
      </c>
      <c r="Z26" s="21" t="s">
        <v>1009</v>
      </c>
      <c r="AA26" s="22" t="s">
        <v>453</v>
      </c>
      <c r="AC26" s="22"/>
    </row>
    <row r="27" spans="1:29" s="1" customFormat="1" ht="49.5" x14ac:dyDescent="0.25">
      <c r="A27" s="13">
        <f t="shared" si="0"/>
        <v>113201</v>
      </c>
      <c r="B27" s="14">
        <v>1132</v>
      </c>
      <c r="C27" s="1" t="s">
        <v>701</v>
      </c>
      <c r="D27" s="15" t="s">
        <v>1019</v>
      </c>
      <c r="E27" s="3">
        <v>1</v>
      </c>
      <c r="F27" s="5" t="s">
        <v>396</v>
      </c>
      <c r="G27" s="3">
        <v>10</v>
      </c>
      <c r="K27" s="1">
        <v>1121</v>
      </c>
      <c r="L27" s="1">
        <v>7200</v>
      </c>
      <c r="M27" s="1">
        <v>2750</v>
      </c>
      <c r="N27" s="1" t="s">
        <v>1015</v>
      </c>
      <c r="O27" s="1">
        <v>100</v>
      </c>
      <c r="P27" s="1" t="s">
        <v>398</v>
      </c>
      <c r="Q27" s="1">
        <v>10</v>
      </c>
      <c r="R27" s="1">
        <v>1055</v>
      </c>
      <c r="S27" s="18">
        <v>0.01</v>
      </c>
      <c r="U27" s="1" t="s">
        <v>602</v>
      </c>
      <c r="V27" s="17" t="s">
        <v>1020</v>
      </c>
      <c r="W27" s="5"/>
      <c r="X27" s="17" t="s">
        <v>1021</v>
      </c>
      <c r="Y27" s="5" t="s">
        <v>1005</v>
      </c>
      <c r="Z27" s="21" t="s">
        <v>1009</v>
      </c>
      <c r="AA27" s="22" t="s">
        <v>457</v>
      </c>
      <c r="AC27" s="22"/>
    </row>
    <row r="28" spans="1:29" s="1" customFormat="1" ht="49.5" x14ac:dyDescent="0.25">
      <c r="A28" s="13">
        <f t="shared" si="0"/>
        <v>113202</v>
      </c>
      <c r="B28" s="14">
        <v>1132</v>
      </c>
      <c r="C28" s="1" t="s">
        <v>701</v>
      </c>
      <c r="D28" s="15" t="s">
        <v>1019</v>
      </c>
      <c r="E28" s="3">
        <v>2</v>
      </c>
      <c r="F28" s="5" t="s">
        <v>396</v>
      </c>
      <c r="G28" s="3">
        <v>11</v>
      </c>
      <c r="K28" s="1">
        <v>1121</v>
      </c>
      <c r="L28" s="1">
        <v>7200</v>
      </c>
      <c r="M28" s="1">
        <v>2750</v>
      </c>
      <c r="N28" s="1" t="s">
        <v>1015</v>
      </c>
      <c r="O28" s="1">
        <v>100</v>
      </c>
      <c r="P28" s="1" t="s">
        <v>398</v>
      </c>
      <c r="Q28" s="1">
        <v>10</v>
      </c>
      <c r="R28" s="1">
        <v>1055</v>
      </c>
      <c r="S28" s="18">
        <v>0.01</v>
      </c>
      <c r="U28" s="1" t="s">
        <v>602</v>
      </c>
      <c r="V28" s="17" t="s">
        <v>1020</v>
      </c>
      <c r="W28" s="5"/>
      <c r="X28" s="17" t="s">
        <v>1021</v>
      </c>
      <c r="Y28" s="5" t="s">
        <v>1005</v>
      </c>
      <c r="Z28" s="21" t="s">
        <v>1009</v>
      </c>
      <c r="AA28" s="22" t="s">
        <v>457</v>
      </c>
      <c r="AC28" s="22"/>
    </row>
    <row r="29" spans="1:29" s="1" customFormat="1" ht="49.5" x14ac:dyDescent="0.25">
      <c r="A29" s="13">
        <f t="shared" si="0"/>
        <v>113203</v>
      </c>
      <c r="B29" s="14">
        <v>1132</v>
      </c>
      <c r="C29" s="1" t="s">
        <v>701</v>
      </c>
      <c r="D29" s="15" t="s">
        <v>1019</v>
      </c>
      <c r="E29" s="3">
        <v>3</v>
      </c>
      <c r="F29" s="5" t="s">
        <v>396</v>
      </c>
      <c r="G29" s="3">
        <v>13</v>
      </c>
      <c r="K29" s="1">
        <v>1121</v>
      </c>
      <c r="L29" s="1">
        <v>7200</v>
      </c>
      <c r="M29" s="1">
        <v>2750</v>
      </c>
      <c r="N29" s="1" t="s">
        <v>1015</v>
      </c>
      <c r="O29" s="1">
        <v>100</v>
      </c>
      <c r="P29" s="1" t="s">
        <v>398</v>
      </c>
      <c r="Q29" s="1">
        <v>10</v>
      </c>
      <c r="R29" s="1">
        <v>1055</v>
      </c>
      <c r="S29" s="18">
        <v>0.01</v>
      </c>
      <c r="U29" s="1" t="s">
        <v>602</v>
      </c>
      <c r="V29" s="17" t="s">
        <v>1020</v>
      </c>
      <c r="W29" s="5"/>
      <c r="X29" s="17" t="s">
        <v>1021</v>
      </c>
      <c r="Y29" s="5" t="s">
        <v>1005</v>
      </c>
      <c r="Z29" s="21" t="s">
        <v>1009</v>
      </c>
      <c r="AA29" s="22" t="s">
        <v>457</v>
      </c>
      <c r="AC29" s="22"/>
    </row>
    <row r="30" spans="1:29" s="1" customFormat="1" ht="49.5" x14ac:dyDescent="0.25">
      <c r="A30" s="13">
        <f t="shared" si="0"/>
        <v>113301</v>
      </c>
      <c r="B30" s="14">
        <v>1133</v>
      </c>
      <c r="C30" s="1" t="s">
        <v>701</v>
      </c>
      <c r="D30" s="15" t="s">
        <v>1022</v>
      </c>
      <c r="E30" s="3">
        <v>1</v>
      </c>
      <c r="F30" s="5" t="s">
        <v>396</v>
      </c>
      <c r="G30" s="3">
        <v>10</v>
      </c>
      <c r="K30" s="1">
        <v>1122</v>
      </c>
      <c r="L30" s="1">
        <v>7200</v>
      </c>
      <c r="M30" s="1">
        <v>2750</v>
      </c>
      <c r="N30" s="1" t="s">
        <v>1015</v>
      </c>
      <c r="O30" s="1">
        <v>100</v>
      </c>
      <c r="P30" s="1" t="s">
        <v>398</v>
      </c>
      <c r="Q30" s="1">
        <v>10</v>
      </c>
      <c r="S30" s="16"/>
      <c r="U30" s="1" t="s">
        <v>1023</v>
      </c>
      <c r="V30" s="17" t="s">
        <v>1024</v>
      </c>
      <c r="W30" s="5"/>
      <c r="X30" s="17"/>
      <c r="Y30" s="5" t="s">
        <v>1005</v>
      </c>
      <c r="Z30" s="21" t="s">
        <v>1025</v>
      </c>
      <c r="AA30" s="22" t="s">
        <v>1026</v>
      </c>
      <c r="AC30" s="22"/>
    </row>
    <row r="31" spans="1:29" s="1" customFormat="1" ht="49.5" x14ac:dyDescent="0.25">
      <c r="A31" s="13">
        <f t="shared" si="0"/>
        <v>113401</v>
      </c>
      <c r="B31" s="14">
        <v>1134</v>
      </c>
      <c r="C31" s="1" t="s">
        <v>701</v>
      </c>
      <c r="D31" s="15" t="s">
        <v>1027</v>
      </c>
      <c r="E31" s="3">
        <v>1</v>
      </c>
      <c r="F31" s="5" t="s">
        <v>396</v>
      </c>
      <c r="G31" s="3">
        <v>10</v>
      </c>
      <c r="K31" s="1">
        <v>1123</v>
      </c>
      <c r="L31" s="1">
        <v>7200</v>
      </c>
      <c r="M31" s="1">
        <v>2750</v>
      </c>
      <c r="N31" s="1" t="s">
        <v>1015</v>
      </c>
      <c r="O31" s="1">
        <v>100</v>
      </c>
      <c r="P31" s="1" t="s">
        <v>398</v>
      </c>
      <c r="Q31" s="1">
        <v>10</v>
      </c>
      <c r="R31" s="1">
        <v>1314</v>
      </c>
      <c r="S31" s="18">
        <v>0.01</v>
      </c>
      <c r="U31" s="1" t="s">
        <v>602</v>
      </c>
      <c r="V31" s="17" t="s">
        <v>603</v>
      </c>
      <c r="W31" s="5"/>
      <c r="X31" s="17" t="s">
        <v>604</v>
      </c>
      <c r="Y31" s="5" t="s">
        <v>1005</v>
      </c>
      <c r="Z31" s="21" t="s">
        <v>1009</v>
      </c>
      <c r="AA31" s="22" t="s">
        <v>462</v>
      </c>
      <c r="AC31" s="22"/>
    </row>
    <row r="32" spans="1:29" s="1" customFormat="1" ht="49.5" x14ac:dyDescent="0.25">
      <c r="A32" s="13">
        <f t="shared" si="0"/>
        <v>113402</v>
      </c>
      <c r="B32" s="14">
        <v>1134</v>
      </c>
      <c r="C32" s="1" t="s">
        <v>701</v>
      </c>
      <c r="D32" s="15" t="s">
        <v>1027</v>
      </c>
      <c r="E32" s="3">
        <v>2</v>
      </c>
      <c r="F32" s="5" t="s">
        <v>396</v>
      </c>
      <c r="G32" s="3">
        <v>11</v>
      </c>
      <c r="K32" s="1">
        <v>1123</v>
      </c>
      <c r="L32" s="1">
        <v>7200</v>
      </c>
      <c r="M32" s="1">
        <v>2750</v>
      </c>
      <c r="N32" s="1" t="s">
        <v>1015</v>
      </c>
      <c r="O32" s="1">
        <v>100</v>
      </c>
      <c r="P32" s="1" t="s">
        <v>398</v>
      </c>
      <c r="Q32" s="1">
        <v>10</v>
      </c>
      <c r="R32" s="1">
        <v>1314</v>
      </c>
      <c r="S32" s="18">
        <v>0.01</v>
      </c>
      <c r="U32" s="1" t="s">
        <v>602</v>
      </c>
      <c r="V32" s="17" t="s">
        <v>603</v>
      </c>
      <c r="W32" s="5"/>
      <c r="X32" s="17" t="s">
        <v>604</v>
      </c>
      <c r="Y32" s="5" t="s">
        <v>1005</v>
      </c>
      <c r="Z32" s="21" t="s">
        <v>1009</v>
      </c>
      <c r="AA32" s="22" t="s">
        <v>462</v>
      </c>
      <c r="AC32" s="22"/>
    </row>
    <row r="33" spans="1:29" s="1" customFormat="1" ht="49.5" x14ac:dyDescent="0.25">
      <c r="A33" s="13">
        <f t="shared" si="0"/>
        <v>113403</v>
      </c>
      <c r="B33" s="14">
        <v>1134</v>
      </c>
      <c r="C33" s="1" t="s">
        <v>701</v>
      </c>
      <c r="D33" s="15" t="s">
        <v>1027</v>
      </c>
      <c r="E33" s="3">
        <v>3</v>
      </c>
      <c r="F33" s="5" t="s">
        <v>396</v>
      </c>
      <c r="G33" s="3">
        <v>13</v>
      </c>
      <c r="K33" s="1">
        <v>1123</v>
      </c>
      <c r="L33" s="1">
        <v>7200</v>
      </c>
      <c r="M33" s="1">
        <v>2750</v>
      </c>
      <c r="N33" s="1" t="s">
        <v>1015</v>
      </c>
      <c r="O33" s="1">
        <v>100</v>
      </c>
      <c r="P33" s="1" t="s">
        <v>398</v>
      </c>
      <c r="Q33" s="1">
        <v>10</v>
      </c>
      <c r="R33" s="1">
        <v>1314</v>
      </c>
      <c r="S33" s="18">
        <v>0.01</v>
      </c>
      <c r="U33" s="1" t="s">
        <v>602</v>
      </c>
      <c r="V33" s="17" t="s">
        <v>603</v>
      </c>
      <c r="W33" s="5"/>
      <c r="X33" s="17" t="s">
        <v>604</v>
      </c>
      <c r="Y33" s="5" t="s">
        <v>1005</v>
      </c>
      <c r="Z33" s="21" t="s">
        <v>1009</v>
      </c>
      <c r="AA33" s="22" t="s">
        <v>462</v>
      </c>
      <c r="AC33" s="22"/>
    </row>
    <row r="34" spans="1:29" s="1" customFormat="1" ht="49.5" x14ac:dyDescent="0.25">
      <c r="A34" s="13">
        <f t="shared" si="0"/>
        <v>113501</v>
      </c>
      <c r="B34" s="14">
        <v>1135</v>
      </c>
      <c r="C34" s="1" t="s">
        <v>701</v>
      </c>
      <c r="D34" s="15" t="s">
        <v>1028</v>
      </c>
      <c r="E34" s="3">
        <v>1</v>
      </c>
      <c r="F34" s="5" t="s">
        <v>396</v>
      </c>
      <c r="G34" s="3">
        <v>10</v>
      </c>
      <c r="K34" s="1">
        <v>1123</v>
      </c>
      <c r="L34" s="1">
        <v>7200</v>
      </c>
      <c r="M34" s="1">
        <v>2750</v>
      </c>
      <c r="N34" s="1" t="s">
        <v>1015</v>
      </c>
      <c r="O34" s="1">
        <v>100</v>
      </c>
      <c r="P34" s="1" t="s">
        <v>398</v>
      </c>
      <c r="Q34" s="1">
        <v>10</v>
      </c>
      <c r="R34" s="1">
        <v>1319</v>
      </c>
      <c r="S34" s="18">
        <v>0.01</v>
      </c>
      <c r="U34" s="19" t="s">
        <v>1029</v>
      </c>
      <c r="V34" s="17" t="s">
        <v>1030</v>
      </c>
      <c r="X34" s="17" t="s">
        <v>1031</v>
      </c>
      <c r="Y34" s="5" t="s">
        <v>1005</v>
      </c>
      <c r="Z34" s="21" t="s">
        <v>1006</v>
      </c>
      <c r="AA34" s="22" t="s">
        <v>467</v>
      </c>
      <c r="AC34" s="22"/>
    </row>
    <row r="35" spans="1:29" s="1" customFormat="1" ht="49.5" x14ac:dyDescent="0.25">
      <c r="A35" s="13">
        <f t="shared" si="0"/>
        <v>113502</v>
      </c>
      <c r="B35" s="14">
        <v>1135</v>
      </c>
      <c r="C35" s="1" t="s">
        <v>701</v>
      </c>
      <c r="D35" s="15" t="s">
        <v>1028</v>
      </c>
      <c r="E35" s="3">
        <v>2</v>
      </c>
      <c r="F35" s="5" t="s">
        <v>396</v>
      </c>
      <c r="G35" s="3">
        <v>11</v>
      </c>
      <c r="K35" s="1">
        <v>1123</v>
      </c>
      <c r="L35" s="1">
        <v>7200</v>
      </c>
      <c r="M35" s="1">
        <v>2750</v>
      </c>
      <c r="N35" s="1" t="s">
        <v>1015</v>
      </c>
      <c r="O35" s="1">
        <v>100</v>
      </c>
      <c r="P35" s="1" t="s">
        <v>398</v>
      </c>
      <c r="Q35" s="1">
        <v>10</v>
      </c>
      <c r="R35" s="1">
        <v>1319</v>
      </c>
      <c r="S35" s="18">
        <v>0.01</v>
      </c>
      <c r="U35" s="19" t="s">
        <v>1029</v>
      </c>
      <c r="V35" s="17" t="s">
        <v>1030</v>
      </c>
      <c r="X35" s="17" t="s">
        <v>1031</v>
      </c>
      <c r="Y35" s="5" t="s">
        <v>1005</v>
      </c>
      <c r="Z35" s="21" t="s">
        <v>1006</v>
      </c>
      <c r="AA35" s="22" t="s">
        <v>467</v>
      </c>
      <c r="AC35" s="22"/>
    </row>
    <row r="36" spans="1:29" s="1" customFormat="1" ht="49.5" x14ac:dyDescent="0.25">
      <c r="A36" s="13">
        <f t="shared" si="0"/>
        <v>113503</v>
      </c>
      <c r="B36" s="14">
        <v>1135</v>
      </c>
      <c r="C36" s="1" t="s">
        <v>701</v>
      </c>
      <c r="D36" s="15" t="s">
        <v>1028</v>
      </c>
      <c r="E36" s="3">
        <v>3</v>
      </c>
      <c r="F36" s="5" t="s">
        <v>396</v>
      </c>
      <c r="G36" s="3">
        <v>13</v>
      </c>
      <c r="K36" s="1">
        <v>1123</v>
      </c>
      <c r="L36" s="1">
        <v>7200</v>
      </c>
      <c r="M36" s="1">
        <v>2750</v>
      </c>
      <c r="N36" s="1" t="s">
        <v>1015</v>
      </c>
      <c r="O36" s="1">
        <v>100</v>
      </c>
      <c r="P36" s="1" t="s">
        <v>398</v>
      </c>
      <c r="Q36" s="1">
        <v>10</v>
      </c>
      <c r="R36" s="1">
        <v>1319</v>
      </c>
      <c r="S36" s="18">
        <v>0.01</v>
      </c>
      <c r="U36" s="19" t="s">
        <v>1029</v>
      </c>
      <c r="V36" s="17" t="s">
        <v>1030</v>
      </c>
      <c r="X36" s="17" t="s">
        <v>1031</v>
      </c>
      <c r="Y36" s="5" t="s">
        <v>1005</v>
      </c>
      <c r="Z36" s="21" t="s">
        <v>1006</v>
      </c>
      <c r="AA36" s="22" t="s">
        <v>467</v>
      </c>
      <c r="AC36" s="22"/>
    </row>
    <row r="37" spans="1:29" s="1" customFormat="1" ht="49.5" x14ac:dyDescent="0.25">
      <c r="A37" s="13">
        <f t="shared" si="0"/>
        <v>114101</v>
      </c>
      <c r="B37" s="14">
        <v>1141</v>
      </c>
      <c r="C37" s="1" t="s">
        <v>701</v>
      </c>
      <c r="D37" s="15" t="s">
        <v>1007</v>
      </c>
      <c r="E37" s="3">
        <v>1</v>
      </c>
      <c r="F37" s="5" t="s">
        <v>396</v>
      </c>
      <c r="G37" s="3">
        <v>15</v>
      </c>
      <c r="K37" s="1">
        <v>1131</v>
      </c>
      <c r="L37" s="1">
        <v>9000</v>
      </c>
      <c r="M37" s="1">
        <v>2900</v>
      </c>
      <c r="N37" s="1" t="s">
        <v>1032</v>
      </c>
      <c r="O37" s="1">
        <v>100</v>
      </c>
      <c r="P37" s="1" t="s">
        <v>398</v>
      </c>
      <c r="Q37" s="1">
        <v>10</v>
      </c>
      <c r="R37" s="1">
        <v>1060</v>
      </c>
      <c r="S37" s="16">
        <v>0.02</v>
      </c>
      <c r="U37" s="1" t="s">
        <v>601</v>
      </c>
      <c r="V37" s="17" t="s">
        <v>402</v>
      </c>
      <c r="W37" s="5"/>
      <c r="X37" s="17" t="s">
        <v>404</v>
      </c>
      <c r="Y37" s="5" t="s">
        <v>1005</v>
      </c>
      <c r="Z37" s="21" t="s">
        <v>1009</v>
      </c>
      <c r="AA37" s="22" t="s">
        <v>471</v>
      </c>
      <c r="AC37" s="22"/>
    </row>
    <row r="38" spans="1:29" s="1" customFormat="1" ht="49.5" x14ac:dyDescent="0.25">
      <c r="A38" s="13">
        <f t="shared" si="0"/>
        <v>114201</v>
      </c>
      <c r="B38" s="14">
        <v>1142</v>
      </c>
      <c r="C38" s="1" t="s">
        <v>701</v>
      </c>
      <c r="D38" s="15" t="s">
        <v>1014</v>
      </c>
      <c r="E38" s="3">
        <v>1</v>
      </c>
      <c r="F38" s="5" t="s">
        <v>396</v>
      </c>
      <c r="G38" s="3">
        <v>15</v>
      </c>
      <c r="K38" s="1">
        <v>1131</v>
      </c>
      <c r="L38" s="1">
        <v>9000</v>
      </c>
      <c r="M38" s="1">
        <v>2900</v>
      </c>
      <c r="N38" s="1" t="s">
        <v>1032</v>
      </c>
      <c r="O38" s="1">
        <v>100</v>
      </c>
      <c r="P38" s="1" t="s">
        <v>398</v>
      </c>
      <c r="Q38" s="1">
        <v>10</v>
      </c>
      <c r="R38" s="1">
        <v>1092</v>
      </c>
      <c r="S38" s="16">
        <v>1000</v>
      </c>
      <c r="U38" s="1" t="s">
        <v>1016</v>
      </c>
      <c r="V38" s="17" t="s">
        <v>1017</v>
      </c>
      <c r="W38" s="5"/>
      <c r="X38" s="17" t="s">
        <v>1018</v>
      </c>
      <c r="Y38" s="5" t="s">
        <v>1005</v>
      </c>
      <c r="Z38" s="21" t="s">
        <v>1009</v>
      </c>
      <c r="AA38" s="22" t="s">
        <v>472</v>
      </c>
      <c r="AC38" s="22"/>
    </row>
    <row r="39" spans="1:29" s="1" customFormat="1" ht="49.5" x14ac:dyDescent="0.25">
      <c r="A39" s="13">
        <f t="shared" si="0"/>
        <v>114301</v>
      </c>
      <c r="B39" s="14">
        <v>1143</v>
      </c>
      <c r="C39" s="1" t="s">
        <v>701</v>
      </c>
      <c r="D39" s="15" t="s">
        <v>1019</v>
      </c>
      <c r="E39" s="3">
        <v>1</v>
      </c>
      <c r="F39" s="5" t="s">
        <v>396</v>
      </c>
      <c r="G39" s="3">
        <v>18</v>
      </c>
      <c r="K39" s="1">
        <v>1132</v>
      </c>
      <c r="L39" s="1">
        <v>9000</v>
      </c>
      <c r="M39" s="1">
        <v>3000</v>
      </c>
      <c r="N39" s="1" t="s">
        <v>1033</v>
      </c>
      <c r="O39" s="1">
        <v>100</v>
      </c>
      <c r="P39" s="1" t="s">
        <v>398</v>
      </c>
      <c r="Q39" s="1">
        <v>10</v>
      </c>
      <c r="R39" s="1">
        <v>1055</v>
      </c>
      <c r="S39" s="16">
        <v>0.02</v>
      </c>
      <c r="U39" s="1" t="s">
        <v>602</v>
      </c>
      <c r="V39" s="17" t="s">
        <v>1020</v>
      </c>
      <c r="W39" s="5"/>
      <c r="X39" s="17" t="s">
        <v>1021</v>
      </c>
      <c r="Y39" s="5" t="s">
        <v>1005</v>
      </c>
      <c r="Z39" s="21" t="s">
        <v>1009</v>
      </c>
      <c r="AA39" s="22" t="s">
        <v>1034</v>
      </c>
      <c r="AC39" s="22"/>
    </row>
    <row r="40" spans="1:29" s="1" customFormat="1" ht="49.5" x14ac:dyDescent="0.25">
      <c r="A40" s="13">
        <f t="shared" si="0"/>
        <v>114401</v>
      </c>
      <c r="B40" s="14">
        <v>1144</v>
      </c>
      <c r="C40" s="1" t="s">
        <v>701</v>
      </c>
      <c r="D40" s="12" t="s">
        <v>998</v>
      </c>
      <c r="E40" s="3">
        <v>1</v>
      </c>
      <c r="F40" s="5" t="s">
        <v>396</v>
      </c>
      <c r="G40" s="3">
        <v>20</v>
      </c>
      <c r="K40" s="1">
        <v>1133</v>
      </c>
      <c r="L40" s="1">
        <v>10800</v>
      </c>
      <c r="M40" s="1">
        <v>3150</v>
      </c>
      <c r="N40" s="1" t="s">
        <v>397</v>
      </c>
      <c r="O40" s="1">
        <v>100</v>
      </c>
      <c r="P40" s="1" t="s">
        <v>398</v>
      </c>
      <c r="Q40" s="1">
        <v>10</v>
      </c>
      <c r="R40" s="1" t="s">
        <v>1000</v>
      </c>
      <c r="S40" s="16" t="s">
        <v>1035</v>
      </c>
      <c r="U40" s="1" t="s">
        <v>1002</v>
      </c>
      <c r="V40" s="17" t="s">
        <v>1003</v>
      </c>
      <c r="W40" s="5"/>
      <c r="X40" s="1" t="s">
        <v>1004</v>
      </c>
      <c r="Y40" s="5" t="s">
        <v>1005</v>
      </c>
      <c r="Z40" s="21" t="s">
        <v>1006</v>
      </c>
      <c r="AA40" s="22" t="s">
        <v>1036</v>
      </c>
      <c r="AC40" s="22"/>
    </row>
    <row r="41" spans="1:29" s="1" customFormat="1" ht="49.5" x14ac:dyDescent="0.25">
      <c r="A41" s="13">
        <f t="shared" si="0"/>
        <v>114501</v>
      </c>
      <c r="B41" s="14">
        <v>1145</v>
      </c>
      <c r="C41" s="1" t="s">
        <v>701</v>
      </c>
      <c r="D41" s="15" t="s">
        <v>1027</v>
      </c>
      <c r="E41" s="3">
        <v>1</v>
      </c>
      <c r="F41" s="5" t="s">
        <v>396</v>
      </c>
      <c r="G41" s="3">
        <v>18</v>
      </c>
      <c r="K41" s="1">
        <v>1134</v>
      </c>
      <c r="L41" s="1">
        <v>9000</v>
      </c>
      <c r="M41" s="1">
        <v>3000</v>
      </c>
      <c r="N41" s="1" t="s">
        <v>1033</v>
      </c>
      <c r="O41" s="1">
        <v>100</v>
      </c>
      <c r="P41" s="1" t="s">
        <v>398</v>
      </c>
      <c r="Q41" s="1">
        <v>10</v>
      </c>
      <c r="R41" s="1">
        <v>1314</v>
      </c>
      <c r="S41" s="16">
        <v>0.02</v>
      </c>
      <c r="U41" s="1" t="s">
        <v>602</v>
      </c>
      <c r="V41" s="17" t="s">
        <v>603</v>
      </c>
      <c r="W41" s="5"/>
      <c r="X41" s="17" t="s">
        <v>604</v>
      </c>
      <c r="Y41" s="5" t="s">
        <v>1005</v>
      </c>
      <c r="Z41" s="21" t="s">
        <v>1009</v>
      </c>
      <c r="AA41" s="22" t="s">
        <v>1037</v>
      </c>
      <c r="AC41" s="22"/>
    </row>
    <row r="42" spans="1:29" s="1" customFormat="1" ht="49.5" x14ac:dyDescent="0.25">
      <c r="A42" s="13">
        <f t="shared" si="0"/>
        <v>114601</v>
      </c>
      <c r="B42" s="14">
        <v>1146</v>
      </c>
      <c r="C42" s="1" t="s">
        <v>701</v>
      </c>
      <c r="D42" s="15" t="s">
        <v>1028</v>
      </c>
      <c r="E42" s="3">
        <v>1</v>
      </c>
      <c r="F42" s="5" t="s">
        <v>396</v>
      </c>
      <c r="G42" s="3">
        <v>15</v>
      </c>
      <c r="K42" s="1">
        <v>1135</v>
      </c>
      <c r="L42" s="1">
        <v>9000</v>
      </c>
      <c r="M42" s="1">
        <v>2900</v>
      </c>
      <c r="N42" s="1" t="s">
        <v>1032</v>
      </c>
      <c r="O42" s="1">
        <v>100</v>
      </c>
      <c r="P42" s="1" t="s">
        <v>398</v>
      </c>
      <c r="Q42" s="1">
        <v>10</v>
      </c>
      <c r="R42" s="1">
        <v>1319</v>
      </c>
      <c r="S42" s="16">
        <v>0.02</v>
      </c>
      <c r="U42" s="19" t="s">
        <v>1029</v>
      </c>
      <c r="V42" s="17" t="s">
        <v>1030</v>
      </c>
      <c r="X42" s="17" t="s">
        <v>1031</v>
      </c>
      <c r="Y42" s="5" t="s">
        <v>1005</v>
      </c>
      <c r="Z42" s="21" t="s">
        <v>1006</v>
      </c>
      <c r="AA42" s="22" t="s">
        <v>1038</v>
      </c>
      <c r="AC42" s="22"/>
    </row>
    <row r="43" spans="1:29" s="1" customFormat="1" ht="49.5" x14ac:dyDescent="0.25">
      <c r="A43" s="13">
        <f t="shared" si="0"/>
        <v>114701</v>
      </c>
      <c r="B43" s="14">
        <v>1147</v>
      </c>
      <c r="C43" s="1" t="s">
        <v>701</v>
      </c>
      <c r="D43" s="15" t="s">
        <v>1010</v>
      </c>
      <c r="E43" s="3">
        <v>1</v>
      </c>
      <c r="F43" s="5" t="s">
        <v>396</v>
      </c>
      <c r="G43" s="3">
        <v>15</v>
      </c>
      <c r="K43" s="1">
        <v>1135</v>
      </c>
      <c r="L43" s="1">
        <v>9000</v>
      </c>
      <c r="M43" s="1">
        <v>2900</v>
      </c>
      <c r="N43" s="1" t="s">
        <v>1032</v>
      </c>
      <c r="O43" s="1">
        <v>100</v>
      </c>
      <c r="P43" s="1" t="s">
        <v>398</v>
      </c>
      <c r="Q43" s="1">
        <v>10</v>
      </c>
      <c r="R43" s="1">
        <v>1065</v>
      </c>
      <c r="S43" s="16">
        <v>1.4999999999999999E-2</v>
      </c>
      <c r="U43" s="1" t="s">
        <v>1011</v>
      </c>
      <c r="V43" s="17" t="s">
        <v>1012</v>
      </c>
      <c r="W43" s="5"/>
      <c r="X43" s="17" t="s">
        <v>1013</v>
      </c>
      <c r="Y43" s="5" t="s">
        <v>1005</v>
      </c>
      <c r="Z43" s="21" t="s">
        <v>1009</v>
      </c>
      <c r="AA43" s="22" t="s">
        <v>1039</v>
      </c>
      <c r="AC43" s="22"/>
    </row>
    <row r="44" spans="1:29" s="1" customFormat="1" ht="49.5" x14ac:dyDescent="0.25">
      <c r="A44" s="13">
        <f t="shared" si="0"/>
        <v>121101</v>
      </c>
      <c r="B44" s="14">
        <v>1211</v>
      </c>
      <c r="C44" s="1" t="s">
        <v>701</v>
      </c>
      <c r="D44" s="12" t="s">
        <v>1040</v>
      </c>
      <c r="E44" s="3">
        <v>1</v>
      </c>
      <c r="F44" s="5" t="s">
        <v>708</v>
      </c>
      <c r="G44" s="3">
        <v>1</v>
      </c>
      <c r="K44" s="1">
        <v>1133</v>
      </c>
      <c r="L44" s="1">
        <v>3600</v>
      </c>
      <c r="M44" s="1">
        <v>6050</v>
      </c>
      <c r="N44" s="1" t="s">
        <v>999</v>
      </c>
      <c r="O44" s="1">
        <v>100</v>
      </c>
      <c r="P44" s="1" t="s">
        <v>398</v>
      </c>
      <c r="Q44" s="1">
        <v>10</v>
      </c>
      <c r="R44" s="1" t="s">
        <v>1041</v>
      </c>
      <c r="S44" s="16" t="s">
        <v>1042</v>
      </c>
      <c r="U44" s="19" t="s">
        <v>1043</v>
      </c>
      <c r="V44" s="17" t="s">
        <v>1044</v>
      </c>
      <c r="X44" s="17" t="s">
        <v>1045</v>
      </c>
      <c r="Y44" s="5" t="s">
        <v>1005</v>
      </c>
      <c r="Z44" s="21" t="s">
        <v>1046</v>
      </c>
      <c r="AA44" s="22" t="s">
        <v>1047</v>
      </c>
      <c r="AC44" s="22"/>
    </row>
    <row r="45" spans="1:29" s="1" customFormat="1" ht="49.5" x14ac:dyDescent="0.25">
      <c r="A45" s="13">
        <f t="shared" si="0"/>
        <v>122101</v>
      </c>
      <c r="B45" s="14">
        <v>1221</v>
      </c>
      <c r="C45" s="1" t="s">
        <v>701</v>
      </c>
      <c r="D45" s="12" t="s">
        <v>1048</v>
      </c>
      <c r="E45" s="3">
        <v>1</v>
      </c>
      <c r="F45" s="5" t="s">
        <v>708</v>
      </c>
      <c r="G45" s="3">
        <v>5</v>
      </c>
      <c r="K45" s="1">
        <v>1211</v>
      </c>
      <c r="L45" s="1">
        <v>5400</v>
      </c>
      <c r="M45" s="1">
        <v>6350</v>
      </c>
      <c r="N45" s="1" t="s">
        <v>1008</v>
      </c>
      <c r="O45" s="1">
        <v>100</v>
      </c>
      <c r="P45" s="1" t="s">
        <v>398</v>
      </c>
      <c r="Q45" s="1">
        <v>10</v>
      </c>
      <c r="R45" s="1">
        <v>20004</v>
      </c>
      <c r="S45" s="16">
        <v>0.01</v>
      </c>
      <c r="U45" s="19" t="s">
        <v>1048</v>
      </c>
      <c r="V45" s="17" t="s">
        <v>1049</v>
      </c>
      <c r="X45" s="17" t="s">
        <v>1050</v>
      </c>
      <c r="Y45" s="5" t="s">
        <v>1005</v>
      </c>
      <c r="Z45" s="21" t="s">
        <v>1051</v>
      </c>
      <c r="AA45" s="22" t="s">
        <v>1052</v>
      </c>
      <c r="AC45" s="22"/>
    </row>
    <row r="46" spans="1:29" s="1" customFormat="1" ht="49.5" x14ac:dyDescent="0.25">
      <c r="A46" s="13">
        <f t="shared" si="0"/>
        <v>122201</v>
      </c>
      <c r="B46" s="14">
        <v>1222</v>
      </c>
      <c r="C46" s="1" t="s">
        <v>701</v>
      </c>
      <c r="D46" s="12" t="s">
        <v>1053</v>
      </c>
      <c r="E46" s="3">
        <v>1</v>
      </c>
      <c r="F46" s="5" t="s">
        <v>708</v>
      </c>
      <c r="G46" s="3">
        <v>5</v>
      </c>
      <c r="K46" s="1">
        <v>1211</v>
      </c>
      <c r="L46" s="1">
        <v>5400</v>
      </c>
      <c r="M46" s="1">
        <v>6350</v>
      </c>
      <c r="N46" s="1" t="s">
        <v>1008</v>
      </c>
      <c r="O46" s="1">
        <v>100</v>
      </c>
      <c r="P46" s="1" t="s">
        <v>398</v>
      </c>
      <c r="Q46" s="1">
        <v>10</v>
      </c>
      <c r="R46" s="1">
        <v>20064</v>
      </c>
      <c r="S46" s="16">
        <v>5.0000000000000001E-3</v>
      </c>
      <c r="U46" s="19" t="s">
        <v>1053</v>
      </c>
      <c r="V46" s="17" t="s">
        <v>1054</v>
      </c>
      <c r="X46" s="17" t="s">
        <v>1055</v>
      </c>
      <c r="Y46" s="5" t="s">
        <v>1005</v>
      </c>
      <c r="Z46" s="21" t="s">
        <v>1046</v>
      </c>
      <c r="AA46" s="22" t="s">
        <v>1056</v>
      </c>
      <c r="AC46" s="22"/>
    </row>
    <row r="47" spans="1:29" s="1" customFormat="1" ht="49.5" x14ac:dyDescent="0.25">
      <c r="A47" s="13">
        <f t="shared" si="0"/>
        <v>122301</v>
      </c>
      <c r="B47" s="14">
        <v>1223</v>
      </c>
      <c r="C47" s="1" t="s">
        <v>701</v>
      </c>
      <c r="D47" s="12" t="s">
        <v>1057</v>
      </c>
      <c r="E47" s="3">
        <v>1</v>
      </c>
      <c r="F47" s="5" t="s">
        <v>708</v>
      </c>
      <c r="G47" s="3">
        <v>5</v>
      </c>
      <c r="K47" s="1">
        <v>1211</v>
      </c>
      <c r="L47" s="1">
        <v>5400</v>
      </c>
      <c r="M47" s="1">
        <v>6350</v>
      </c>
      <c r="N47" s="1" t="s">
        <v>1008</v>
      </c>
      <c r="O47" s="1">
        <v>100</v>
      </c>
      <c r="P47" s="1" t="s">
        <v>398</v>
      </c>
      <c r="Q47" s="1">
        <v>10</v>
      </c>
      <c r="R47" s="1">
        <v>20034</v>
      </c>
      <c r="S47" s="16">
        <v>0.01</v>
      </c>
      <c r="U47" s="19" t="s">
        <v>1057</v>
      </c>
      <c r="V47" s="17" t="s">
        <v>1058</v>
      </c>
      <c r="X47" s="17" t="s">
        <v>1059</v>
      </c>
      <c r="Y47" s="5" t="s">
        <v>1005</v>
      </c>
      <c r="Z47" s="21" t="s">
        <v>1060</v>
      </c>
      <c r="AA47" s="22" t="s">
        <v>1061</v>
      </c>
      <c r="AC47" s="22"/>
    </row>
    <row r="48" spans="1:29" s="1" customFormat="1" ht="49.5" x14ac:dyDescent="0.25">
      <c r="A48" s="13">
        <f t="shared" si="0"/>
        <v>123101</v>
      </c>
      <c r="B48" s="14">
        <v>1231</v>
      </c>
      <c r="C48" s="1" t="s">
        <v>701</v>
      </c>
      <c r="D48" s="12" t="s">
        <v>1062</v>
      </c>
      <c r="E48" s="3">
        <v>1</v>
      </c>
      <c r="F48" s="5" t="s">
        <v>708</v>
      </c>
      <c r="G48" s="3">
        <v>10</v>
      </c>
      <c r="K48" s="1">
        <v>1221</v>
      </c>
      <c r="L48" s="1">
        <v>7200</v>
      </c>
      <c r="M48" s="1">
        <v>6650</v>
      </c>
      <c r="N48" s="1" t="s">
        <v>1015</v>
      </c>
      <c r="O48" s="1">
        <v>100</v>
      </c>
      <c r="P48" s="1" t="s">
        <v>398</v>
      </c>
      <c r="Q48" s="1">
        <v>10</v>
      </c>
      <c r="R48" s="1">
        <v>20204</v>
      </c>
      <c r="S48" s="16">
        <v>0.01</v>
      </c>
      <c r="U48" s="1" t="s">
        <v>1062</v>
      </c>
      <c r="V48" s="17" t="s">
        <v>1063</v>
      </c>
      <c r="X48" s="17" t="s">
        <v>1064</v>
      </c>
      <c r="Y48" s="5" t="s">
        <v>1005</v>
      </c>
      <c r="Z48" s="21" t="s">
        <v>1051</v>
      </c>
      <c r="AA48" s="22" t="s">
        <v>1065</v>
      </c>
      <c r="AC48" s="22"/>
    </row>
    <row r="49" spans="1:29" s="1" customFormat="1" ht="49.5" x14ac:dyDescent="0.25">
      <c r="A49" s="13">
        <f t="shared" si="0"/>
        <v>123102</v>
      </c>
      <c r="B49" s="14">
        <v>1231</v>
      </c>
      <c r="C49" s="1" t="s">
        <v>701</v>
      </c>
      <c r="D49" s="12" t="s">
        <v>1062</v>
      </c>
      <c r="E49" s="3">
        <v>2</v>
      </c>
      <c r="F49" s="5" t="s">
        <v>708</v>
      </c>
      <c r="G49" s="3">
        <v>12</v>
      </c>
      <c r="K49" s="1">
        <v>1221</v>
      </c>
      <c r="L49" s="1">
        <v>7200</v>
      </c>
      <c r="M49" s="1">
        <v>6650</v>
      </c>
      <c r="N49" s="1" t="s">
        <v>1015</v>
      </c>
      <c r="O49" s="1">
        <v>100</v>
      </c>
      <c r="P49" s="1" t="s">
        <v>398</v>
      </c>
      <c r="Q49" s="1">
        <v>10</v>
      </c>
      <c r="R49" s="1">
        <v>20204</v>
      </c>
      <c r="S49" s="16">
        <v>0.01</v>
      </c>
      <c r="U49" s="1" t="s">
        <v>1062</v>
      </c>
      <c r="V49" s="17" t="s">
        <v>1063</v>
      </c>
      <c r="X49" s="17" t="s">
        <v>1064</v>
      </c>
      <c r="Y49" s="5" t="s">
        <v>1005</v>
      </c>
      <c r="Z49" s="21" t="s">
        <v>1051</v>
      </c>
      <c r="AA49" s="22" t="s">
        <v>1065</v>
      </c>
      <c r="AC49" s="22"/>
    </row>
    <row r="50" spans="1:29" s="1" customFormat="1" ht="49.5" x14ac:dyDescent="0.25">
      <c r="A50" s="13">
        <f t="shared" si="0"/>
        <v>123201</v>
      </c>
      <c r="B50" s="14">
        <v>1232</v>
      </c>
      <c r="C50" s="1" t="s">
        <v>701</v>
      </c>
      <c r="D50" s="12" t="s">
        <v>1066</v>
      </c>
      <c r="E50" s="3">
        <v>1</v>
      </c>
      <c r="F50" s="5" t="s">
        <v>708</v>
      </c>
      <c r="G50" s="3">
        <v>10</v>
      </c>
      <c r="K50" s="1">
        <v>1221</v>
      </c>
      <c r="L50" s="1">
        <v>7200</v>
      </c>
      <c r="M50" s="1">
        <v>6650</v>
      </c>
      <c r="N50" s="1" t="s">
        <v>1015</v>
      </c>
      <c r="O50" s="1">
        <v>100</v>
      </c>
      <c r="P50" s="1" t="s">
        <v>398</v>
      </c>
      <c r="Q50" s="1">
        <v>10</v>
      </c>
      <c r="R50" s="20">
        <v>20404</v>
      </c>
      <c r="S50" s="16">
        <v>0.01</v>
      </c>
      <c r="U50" s="1" t="s">
        <v>1066</v>
      </c>
      <c r="V50" s="17" t="s">
        <v>1067</v>
      </c>
      <c r="X50" s="17" t="s">
        <v>1068</v>
      </c>
      <c r="Y50" s="5" t="s">
        <v>1005</v>
      </c>
      <c r="Z50" s="21" t="s">
        <v>1051</v>
      </c>
      <c r="AA50" s="22" t="s">
        <v>1069</v>
      </c>
      <c r="AC50" s="22"/>
    </row>
    <row r="51" spans="1:29" s="1" customFormat="1" ht="49.5" x14ac:dyDescent="0.25">
      <c r="A51" s="13">
        <f t="shared" si="0"/>
        <v>123202</v>
      </c>
      <c r="B51" s="14">
        <v>1232</v>
      </c>
      <c r="C51" s="1" t="s">
        <v>701</v>
      </c>
      <c r="D51" s="12" t="s">
        <v>1066</v>
      </c>
      <c r="E51" s="3">
        <v>2</v>
      </c>
      <c r="F51" s="5" t="s">
        <v>708</v>
      </c>
      <c r="G51" s="3">
        <v>12</v>
      </c>
      <c r="K51" s="1">
        <v>1221</v>
      </c>
      <c r="L51" s="1">
        <v>7200</v>
      </c>
      <c r="M51" s="1">
        <v>6650</v>
      </c>
      <c r="N51" s="1" t="s">
        <v>1015</v>
      </c>
      <c r="O51" s="1">
        <v>100</v>
      </c>
      <c r="P51" s="1" t="s">
        <v>398</v>
      </c>
      <c r="Q51" s="1">
        <v>10</v>
      </c>
      <c r="R51" s="20">
        <v>20404</v>
      </c>
      <c r="S51" s="16">
        <v>0.01</v>
      </c>
      <c r="U51" s="1" t="s">
        <v>1066</v>
      </c>
      <c r="V51" s="17" t="s">
        <v>1067</v>
      </c>
      <c r="X51" s="17" t="s">
        <v>1068</v>
      </c>
      <c r="Y51" s="5" t="s">
        <v>1005</v>
      </c>
      <c r="Z51" s="21" t="s">
        <v>1051</v>
      </c>
      <c r="AA51" s="22" t="s">
        <v>1069</v>
      </c>
      <c r="AC51" s="22"/>
    </row>
    <row r="52" spans="1:29" s="1" customFormat="1" ht="49.5" x14ac:dyDescent="0.25">
      <c r="A52" s="13">
        <f t="shared" si="0"/>
        <v>123301</v>
      </c>
      <c r="B52" s="14">
        <v>1233</v>
      </c>
      <c r="C52" s="1" t="s">
        <v>701</v>
      </c>
      <c r="D52" s="12" t="s">
        <v>1022</v>
      </c>
      <c r="E52" s="3">
        <v>1</v>
      </c>
      <c r="F52" s="5" t="s">
        <v>708</v>
      </c>
      <c r="G52" s="3">
        <v>10</v>
      </c>
      <c r="K52" s="1">
        <v>1222</v>
      </c>
      <c r="L52" s="1">
        <v>7200</v>
      </c>
      <c r="M52" s="1">
        <v>6650</v>
      </c>
      <c r="N52" s="1" t="s">
        <v>1015</v>
      </c>
      <c r="O52" s="1">
        <v>100</v>
      </c>
      <c r="P52" s="1" t="s">
        <v>398</v>
      </c>
      <c r="Q52" s="1">
        <v>10</v>
      </c>
      <c r="S52" s="16"/>
      <c r="U52" s="1" t="s">
        <v>1070</v>
      </c>
      <c r="V52" s="17" t="s">
        <v>1071</v>
      </c>
      <c r="X52" s="17"/>
      <c r="Y52" s="5" t="s">
        <v>1005</v>
      </c>
      <c r="Z52" s="21" t="s">
        <v>1025</v>
      </c>
      <c r="AA52" s="22" t="s">
        <v>277</v>
      </c>
      <c r="AC52" s="22"/>
    </row>
    <row r="53" spans="1:29" s="1" customFormat="1" ht="49.5" x14ac:dyDescent="0.25">
      <c r="A53" s="13">
        <f t="shared" si="0"/>
        <v>123401</v>
      </c>
      <c r="B53" s="14">
        <v>1234</v>
      </c>
      <c r="C53" s="1" t="s">
        <v>701</v>
      </c>
      <c r="D53" s="12" t="s">
        <v>1072</v>
      </c>
      <c r="E53" s="3">
        <v>1</v>
      </c>
      <c r="F53" s="5" t="s">
        <v>708</v>
      </c>
      <c r="G53" s="3">
        <v>10</v>
      </c>
      <c r="K53" s="1">
        <v>1223</v>
      </c>
      <c r="L53" s="1">
        <v>7200</v>
      </c>
      <c r="M53" s="1">
        <v>6650</v>
      </c>
      <c r="N53" s="1" t="s">
        <v>1015</v>
      </c>
      <c r="O53" s="1">
        <v>100</v>
      </c>
      <c r="P53" s="1" t="s">
        <v>398</v>
      </c>
      <c r="Q53" s="1">
        <v>10</v>
      </c>
      <c r="R53" s="20">
        <v>20434</v>
      </c>
      <c r="S53" s="16">
        <v>0.01</v>
      </c>
      <c r="U53" s="1" t="s">
        <v>1072</v>
      </c>
      <c r="V53" s="17" t="s">
        <v>1073</v>
      </c>
      <c r="X53" s="17" t="s">
        <v>1074</v>
      </c>
      <c r="Y53" s="5" t="s">
        <v>1005</v>
      </c>
      <c r="Z53" s="21" t="s">
        <v>1060</v>
      </c>
      <c r="AA53" s="22" t="s">
        <v>1075</v>
      </c>
      <c r="AC53" s="22"/>
    </row>
    <row r="54" spans="1:29" s="1" customFormat="1" ht="49.5" x14ac:dyDescent="0.25">
      <c r="A54" s="13">
        <f t="shared" si="0"/>
        <v>123402</v>
      </c>
      <c r="B54" s="14">
        <v>1234</v>
      </c>
      <c r="C54" s="1" t="s">
        <v>701</v>
      </c>
      <c r="D54" s="12" t="s">
        <v>1072</v>
      </c>
      <c r="E54" s="3">
        <v>2</v>
      </c>
      <c r="F54" s="5" t="s">
        <v>708</v>
      </c>
      <c r="G54" s="3">
        <v>12</v>
      </c>
      <c r="K54" s="1">
        <v>1223</v>
      </c>
      <c r="L54" s="1">
        <v>7200</v>
      </c>
      <c r="M54" s="1">
        <v>6650</v>
      </c>
      <c r="N54" s="1" t="s">
        <v>1015</v>
      </c>
      <c r="O54" s="1">
        <v>100</v>
      </c>
      <c r="P54" s="1" t="s">
        <v>398</v>
      </c>
      <c r="Q54" s="1">
        <v>10</v>
      </c>
      <c r="R54" s="20">
        <v>20434</v>
      </c>
      <c r="S54" s="16">
        <v>0.01</v>
      </c>
      <c r="U54" s="1" t="s">
        <v>1072</v>
      </c>
      <c r="V54" s="17" t="s">
        <v>1073</v>
      </c>
      <c r="X54" s="17" t="s">
        <v>1074</v>
      </c>
      <c r="Y54" s="5" t="s">
        <v>1005</v>
      </c>
      <c r="Z54" s="21" t="s">
        <v>1060</v>
      </c>
      <c r="AA54" s="22" t="s">
        <v>1075</v>
      </c>
      <c r="AC54" s="22"/>
    </row>
    <row r="55" spans="1:29" s="1" customFormat="1" ht="49.5" x14ac:dyDescent="0.25">
      <c r="A55" s="13">
        <f t="shared" si="0"/>
        <v>123501</v>
      </c>
      <c r="B55" s="14">
        <v>1235</v>
      </c>
      <c r="C55" s="1" t="s">
        <v>701</v>
      </c>
      <c r="D55" s="12" t="s">
        <v>1076</v>
      </c>
      <c r="E55" s="3">
        <v>1</v>
      </c>
      <c r="F55" s="5" t="s">
        <v>708</v>
      </c>
      <c r="G55" s="3">
        <v>10</v>
      </c>
      <c r="K55" s="1">
        <v>1223</v>
      </c>
      <c r="L55" s="1">
        <v>7200</v>
      </c>
      <c r="M55" s="1">
        <v>6650</v>
      </c>
      <c r="N55" s="1" t="s">
        <v>1015</v>
      </c>
      <c r="O55" s="1">
        <v>100</v>
      </c>
      <c r="P55" s="1" t="s">
        <v>398</v>
      </c>
      <c r="Q55" s="1">
        <v>10</v>
      </c>
      <c r="R55" s="1">
        <v>20234</v>
      </c>
      <c r="S55" s="16">
        <v>0.01</v>
      </c>
      <c r="U55" s="1" t="s">
        <v>1076</v>
      </c>
      <c r="V55" s="17" t="s">
        <v>1077</v>
      </c>
      <c r="X55" s="17" t="s">
        <v>1078</v>
      </c>
      <c r="Y55" s="5" t="s">
        <v>1005</v>
      </c>
      <c r="Z55" s="21" t="s">
        <v>1060</v>
      </c>
      <c r="AA55" s="22" t="s">
        <v>1079</v>
      </c>
      <c r="AC55" s="22"/>
    </row>
    <row r="56" spans="1:29" s="1" customFormat="1" ht="49.5" x14ac:dyDescent="0.25">
      <c r="A56" s="13">
        <f t="shared" si="0"/>
        <v>123502</v>
      </c>
      <c r="B56" s="14">
        <v>1235</v>
      </c>
      <c r="C56" s="1" t="s">
        <v>701</v>
      </c>
      <c r="D56" s="12" t="s">
        <v>1076</v>
      </c>
      <c r="E56" s="3">
        <v>2</v>
      </c>
      <c r="F56" s="5" t="s">
        <v>708</v>
      </c>
      <c r="G56" s="3">
        <v>12</v>
      </c>
      <c r="K56" s="1">
        <v>1223</v>
      </c>
      <c r="L56" s="1">
        <v>7200</v>
      </c>
      <c r="M56" s="1">
        <v>6650</v>
      </c>
      <c r="N56" s="1" t="s">
        <v>1015</v>
      </c>
      <c r="O56" s="1">
        <v>100</v>
      </c>
      <c r="P56" s="1" t="s">
        <v>398</v>
      </c>
      <c r="Q56" s="1">
        <v>10</v>
      </c>
      <c r="R56" s="1">
        <v>20234</v>
      </c>
      <c r="S56" s="16">
        <v>0.01</v>
      </c>
      <c r="U56" s="1" t="s">
        <v>1076</v>
      </c>
      <c r="V56" s="17" t="s">
        <v>1077</v>
      </c>
      <c r="X56" s="17" t="s">
        <v>1078</v>
      </c>
      <c r="Y56" s="5" t="s">
        <v>1005</v>
      </c>
      <c r="Z56" s="21" t="s">
        <v>1060</v>
      </c>
      <c r="AA56" s="22" t="s">
        <v>1079</v>
      </c>
      <c r="AC56" s="22"/>
    </row>
    <row r="57" spans="1:29" s="1" customFormat="1" ht="49.5" x14ac:dyDescent="0.25">
      <c r="A57" s="13">
        <f t="shared" si="0"/>
        <v>124101</v>
      </c>
      <c r="B57" s="14">
        <v>1241</v>
      </c>
      <c r="C57" s="1" t="s">
        <v>701</v>
      </c>
      <c r="D57" s="12" t="s">
        <v>1080</v>
      </c>
      <c r="E57" s="3">
        <v>1</v>
      </c>
      <c r="F57" s="5" t="s">
        <v>708</v>
      </c>
      <c r="G57" s="3">
        <v>15</v>
      </c>
      <c r="K57" s="1">
        <v>1231</v>
      </c>
      <c r="L57" s="1">
        <v>9000</v>
      </c>
      <c r="M57" s="1">
        <v>6950</v>
      </c>
      <c r="N57" s="1" t="s">
        <v>1032</v>
      </c>
      <c r="O57" s="1">
        <v>100</v>
      </c>
      <c r="P57" s="1" t="s">
        <v>398</v>
      </c>
      <c r="Q57" s="1">
        <v>10</v>
      </c>
      <c r="R57" s="20">
        <v>6034</v>
      </c>
      <c r="S57" s="16">
        <v>0.01</v>
      </c>
      <c r="U57" s="1" t="s">
        <v>1080</v>
      </c>
      <c r="V57" s="17" t="s">
        <v>1081</v>
      </c>
      <c r="X57" s="17" t="s">
        <v>1082</v>
      </c>
      <c r="Y57" s="5" t="s">
        <v>1005</v>
      </c>
      <c r="Z57" s="21" t="s">
        <v>1051</v>
      </c>
      <c r="AA57" s="22" t="s">
        <v>1083</v>
      </c>
      <c r="AC57" s="22"/>
    </row>
    <row r="58" spans="1:29" s="1" customFormat="1" ht="49.5" x14ac:dyDescent="0.25">
      <c r="A58" s="13">
        <f t="shared" si="0"/>
        <v>124102</v>
      </c>
      <c r="B58" s="14">
        <v>1241</v>
      </c>
      <c r="C58" s="1" t="s">
        <v>701</v>
      </c>
      <c r="D58" s="12" t="s">
        <v>1080</v>
      </c>
      <c r="E58" s="3">
        <v>2</v>
      </c>
      <c r="F58" s="5" t="s">
        <v>708</v>
      </c>
      <c r="G58" s="3">
        <v>16</v>
      </c>
      <c r="K58" s="1">
        <v>1231</v>
      </c>
      <c r="L58" s="1">
        <v>9000</v>
      </c>
      <c r="M58" s="1">
        <v>6950</v>
      </c>
      <c r="N58" s="1" t="s">
        <v>1032</v>
      </c>
      <c r="O58" s="1">
        <v>100</v>
      </c>
      <c r="P58" s="1" t="s">
        <v>398</v>
      </c>
      <c r="Q58" s="1">
        <v>10</v>
      </c>
      <c r="R58" s="20">
        <v>6034</v>
      </c>
      <c r="S58" s="16">
        <v>0.01</v>
      </c>
      <c r="U58" s="1" t="s">
        <v>1080</v>
      </c>
      <c r="V58" s="17" t="s">
        <v>1081</v>
      </c>
      <c r="X58" s="17" t="s">
        <v>1082</v>
      </c>
      <c r="Y58" s="5" t="s">
        <v>1005</v>
      </c>
      <c r="Z58" s="21" t="s">
        <v>1051</v>
      </c>
      <c r="AA58" s="22" t="s">
        <v>1083</v>
      </c>
      <c r="AC58" s="22"/>
    </row>
    <row r="59" spans="1:29" s="1" customFormat="1" ht="49.5" x14ac:dyDescent="0.25">
      <c r="A59" s="13">
        <f t="shared" si="0"/>
        <v>124201</v>
      </c>
      <c r="B59" s="14">
        <v>1242</v>
      </c>
      <c r="C59" s="1" t="s">
        <v>701</v>
      </c>
      <c r="D59" s="12" t="s">
        <v>1084</v>
      </c>
      <c r="E59" s="3">
        <v>1</v>
      </c>
      <c r="F59" s="5" t="s">
        <v>708</v>
      </c>
      <c r="G59" s="3">
        <v>15</v>
      </c>
      <c r="K59" s="1">
        <v>1231</v>
      </c>
      <c r="L59" s="1">
        <v>9000</v>
      </c>
      <c r="M59" s="1">
        <v>6950</v>
      </c>
      <c r="N59" s="1" t="s">
        <v>1032</v>
      </c>
      <c r="O59" s="1">
        <v>100</v>
      </c>
      <c r="P59" s="1" t="s">
        <v>398</v>
      </c>
      <c r="Q59" s="1">
        <v>10</v>
      </c>
      <c r="R59" s="20">
        <v>20264</v>
      </c>
      <c r="S59" s="16">
        <v>5.0000000000000001E-3</v>
      </c>
      <c r="U59" s="1" t="s">
        <v>1084</v>
      </c>
      <c r="V59" s="17" t="s">
        <v>1085</v>
      </c>
      <c r="X59" s="17" t="s">
        <v>1086</v>
      </c>
      <c r="Y59" s="5" t="s">
        <v>1005</v>
      </c>
      <c r="Z59" s="21" t="s">
        <v>1046</v>
      </c>
      <c r="AA59" s="22" t="s">
        <v>1087</v>
      </c>
      <c r="AC59" s="22"/>
    </row>
    <row r="60" spans="1:29" s="1" customFormat="1" ht="49.5" x14ac:dyDescent="0.25">
      <c r="A60" s="13">
        <f t="shared" si="0"/>
        <v>124202</v>
      </c>
      <c r="B60" s="14">
        <v>1242</v>
      </c>
      <c r="C60" s="1" t="s">
        <v>701</v>
      </c>
      <c r="D60" s="12" t="s">
        <v>1084</v>
      </c>
      <c r="E60" s="3">
        <v>2</v>
      </c>
      <c r="F60" s="5" t="s">
        <v>708</v>
      </c>
      <c r="G60" s="3">
        <v>16</v>
      </c>
      <c r="K60" s="1">
        <v>1231</v>
      </c>
      <c r="L60" s="1">
        <v>9000</v>
      </c>
      <c r="M60" s="1">
        <v>6950</v>
      </c>
      <c r="N60" s="1" t="s">
        <v>1032</v>
      </c>
      <c r="O60" s="1">
        <v>100</v>
      </c>
      <c r="P60" s="1" t="s">
        <v>398</v>
      </c>
      <c r="Q60" s="1">
        <v>10</v>
      </c>
      <c r="R60" s="20">
        <v>20264</v>
      </c>
      <c r="S60" s="16">
        <v>5.0000000000000001E-3</v>
      </c>
      <c r="U60" s="1" t="s">
        <v>1084</v>
      </c>
      <c r="V60" s="17" t="s">
        <v>1085</v>
      </c>
      <c r="X60" s="17" t="s">
        <v>1086</v>
      </c>
      <c r="Y60" s="5" t="s">
        <v>1005</v>
      </c>
      <c r="Z60" s="21" t="s">
        <v>1046</v>
      </c>
      <c r="AA60" s="22" t="s">
        <v>1087</v>
      </c>
      <c r="AC60" s="22"/>
    </row>
    <row r="61" spans="1:29" s="1" customFormat="1" ht="49.5" x14ac:dyDescent="0.25">
      <c r="A61" s="13">
        <f t="shared" si="0"/>
        <v>124301</v>
      </c>
      <c r="B61" s="14">
        <v>1243</v>
      </c>
      <c r="C61" s="1" t="s">
        <v>701</v>
      </c>
      <c r="D61" s="12" t="s">
        <v>1088</v>
      </c>
      <c r="E61" s="3">
        <v>1</v>
      </c>
      <c r="F61" s="5" t="s">
        <v>708</v>
      </c>
      <c r="G61" s="3">
        <v>18</v>
      </c>
      <c r="K61" s="1">
        <v>1232</v>
      </c>
      <c r="L61" s="1">
        <v>9000</v>
      </c>
      <c r="M61" s="1">
        <v>7250</v>
      </c>
      <c r="N61" s="1" t="s">
        <v>1033</v>
      </c>
      <c r="O61" s="1">
        <v>100</v>
      </c>
      <c r="P61" s="1" t="s">
        <v>398</v>
      </c>
      <c r="Q61" s="1">
        <v>10</v>
      </c>
      <c r="R61" s="20">
        <v>20464</v>
      </c>
      <c r="S61" s="16">
        <v>5.0000000000000001E-3</v>
      </c>
      <c r="U61" s="1" t="s">
        <v>1088</v>
      </c>
      <c r="V61" s="17" t="s">
        <v>1089</v>
      </c>
      <c r="X61" s="17" t="s">
        <v>1090</v>
      </c>
      <c r="Y61" s="5" t="s">
        <v>1005</v>
      </c>
      <c r="Z61" s="21" t="s">
        <v>1046</v>
      </c>
      <c r="AA61" s="22" t="s">
        <v>1091</v>
      </c>
      <c r="AC61" s="22"/>
    </row>
    <row r="62" spans="1:29" s="1" customFormat="1" ht="49.5" x14ac:dyDescent="0.25">
      <c r="A62" s="13">
        <f t="shared" si="0"/>
        <v>124401</v>
      </c>
      <c r="B62" s="14">
        <v>1244</v>
      </c>
      <c r="C62" s="1" t="s">
        <v>701</v>
      </c>
      <c r="D62" s="12" t="s">
        <v>1053</v>
      </c>
      <c r="E62" s="3">
        <v>1</v>
      </c>
      <c r="F62" s="5" t="s">
        <v>708</v>
      </c>
      <c r="G62" s="3">
        <v>20</v>
      </c>
      <c r="K62" s="1" t="s">
        <v>1092</v>
      </c>
      <c r="L62" s="1">
        <v>10800</v>
      </c>
      <c r="M62" s="1">
        <v>7550</v>
      </c>
      <c r="N62" s="1" t="s">
        <v>397</v>
      </c>
      <c r="O62" s="1">
        <v>100</v>
      </c>
      <c r="P62" s="1" t="s">
        <v>398</v>
      </c>
      <c r="Q62" s="1">
        <v>10</v>
      </c>
      <c r="R62" s="1">
        <v>20064</v>
      </c>
      <c r="S62" s="16">
        <v>5.0000000000000001E-3</v>
      </c>
      <c r="U62" s="1" t="s">
        <v>1053</v>
      </c>
      <c r="V62" s="17" t="s">
        <v>1054</v>
      </c>
      <c r="X62" s="17" t="s">
        <v>1055</v>
      </c>
      <c r="Y62" s="5" t="s">
        <v>1005</v>
      </c>
      <c r="Z62" s="21" t="s">
        <v>1046</v>
      </c>
      <c r="AA62" s="22" t="s">
        <v>1093</v>
      </c>
      <c r="AC62" s="22"/>
    </row>
    <row r="63" spans="1:29" s="1" customFormat="1" ht="49.5" x14ac:dyDescent="0.25">
      <c r="A63" s="13">
        <f t="shared" si="0"/>
        <v>124501</v>
      </c>
      <c r="B63" s="14">
        <v>1245</v>
      </c>
      <c r="C63" s="1" t="s">
        <v>701</v>
      </c>
      <c r="D63" s="12" t="s">
        <v>1088</v>
      </c>
      <c r="E63" s="3">
        <v>1</v>
      </c>
      <c r="F63" s="5" t="s">
        <v>708</v>
      </c>
      <c r="G63" s="3">
        <v>18</v>
      </c>
      <c r="K63" s="1">
        <v>1234</v>
      </c>
      <c r="L63" s="1">
        <v>9000</v>
      </c>
      <c r="M63" s="1">
        <v>7250</v>
      </c>
      <c r="N63" s="1" t="s">
        <v>1033</v>
      </c>
      <c r="O63" s="1">
        <v>100</v>
      </c>
      <c r="P63" s="1" t="s">
        <v>398</v>
      </c>
      <c r="Q63" s="1">
        <v>10</v>
      </c>
      <c r="R63" s="20">
        <v>20464</v>
      </c>
      <c r="S63" s="16">
        <v>5.0000000000000001E-3</v>
      </c>
      <c r="U63" s="1" t="s">
        <v>1088</v>
      </c>
      <c r="V63" s="17" t="s">
        <v>1089</v>
      </c>
      <c r="X63" s="17" t="s">
        <v>1090</v>
      </c>
      <c r="Y63" s="5" t="s">
        <v>1005</v>
      </c>
      <c r="Z63" s="21" t="s">
        <v>1046</v>
      </c>
      <c r="AA63" s="22" t="s">
        <v>1094</v>
      </c>
    </row>
    <row r="64" spans="1:29" s="1" customFormat="1" ht="49.5" x14ac:dyDescent="0.25">
      <c r="A64" s="13">
        <f t="shared" si="0"/>
        <v>124601</v>
      </c>
      <c r="B64" s="14">
        <v>1246</v>
      </c>
      <c r="C64" s="1" t="s">
        <v>701</v>
      </c>
      <c r="D64" s="12" t="s">
        <v>1084</v>
      </c>
      <c r="E64" s="3">
        <v>1</v>
      </c>
      <c r="F64" s="5" t="s">
        <v>708</v>
      </c>
      <c r="G64" s="3">
        <v>15</v>
      </c>
      <c r="K64" s="1">
        <v>1235</v>
      </c>
      <c r="L64" s="1">
        <v>9000</v>
      </c>
      <c r="M64" s="1">
        <v>6950</v>
      </c>
      <c r="N64" s="1" t="s">
        <v>1032</v>
      </c>
      <c r="O64" s="1">
        <v>100</v>
      </c>
      <c r="P64" s="1" t="s">
        <v>398</v>
      </c>
      <c r="Q64" s="1">
        <v>10</v>
      </c>
      <c r="R64" s="20">
        <v>20264</v>
      </c>
      <c r="S64" s="16">
        <v>5.0000000000000001E-3</v>
      </c>
      <c r="U64" s="1" t="s">
        <v>1084</v>
      </c>
      <c r="V64" s="17" t="s">
        <v>1085</v>
      </c>
      <c r="X64" s="17" t="s">
        <v>1086</v>
      </c>
      <c r="Y64" s="5" t="s">
        <v>1005</v>
      </c>
      <c r="Z64" s="21" t="s">
        <v>1046</v>
      </c>
      <c r="AA64" s="22" t="s">
        <v>1095</v>
      </c>
    </row>
    <row r="65" spans="1:27" s="2" customFormat="1" ht="49.5" x14ac:dyDescent="0.25">
      <c r="A65" s="13">
        <f t="shared" si="0"/>
        <v>124602</v>
      </c>
      <c r="B65" s="23">
        <v>1246</v>
      </c>
      <c r="C65" s="2" t="s">
        <v>701</v>
      </c>
      <c r="D65" s="24" t="s">
        <v>1084</v>
      </c>
      <c r="E65" s="3">
        <v>2</v>
      </c>
      <c r="F65" s="25" t="s">
        <v>708</v>
      </c>
      <c r="G65" s="3">
        <v>16</v>
      </c>
      <c r="K65" s="2">
        <v>1235</v>
      </c>
      <c r="L65" s="2">
        <v>9000</v>
      </c>
      <c r="M65" s="2">
        <v>6950</v>
      </c>
      <c r="N65" s="2" t="s">
        <v>1032</v>
      </c>
      <c r="O65" s="1">
        <v>100</v>
      </c>
      <c r="P65" s="2" t="s">
        <v>398</v>
      </c>
      <c r="Q65" s="2">
        <v>10</v>
      </c>
      <c r="R65" s="20">
        <v>20264</v>
      </c>
      <c r="S65" s="2">
        <v>5.0000000000000001E-3</v>
      </c>
      <c r="U65" s="2" t="s">
        <v>1084</v>
      </c>
      <c r="V65" s="28" t="s">
        <v>1085</v>
      </c>
      <c r="X65" s="28" t="s">
        <v>1086</v>
      </c>
      <c r="Y65" s="25" t="s">
        <v>1005</v>
      </c>
      <c r="Z65" s="30" t="s">
        <v>1046</v>
      </c>
      <c r="AA65" s="31" t="s">
        <v>1095</v>
      </c>
    </row>
    <row r="66" spans="1:27" s="1" customFormat="1" ht="49.5" x14ac:dyDescent="0.25">
      <c r="A66" s="13">
        <f t="shared" si="0"/>
        <v>124701</v>
      </c>
      <c r="B66" s="14">
        <v>1247</v>
      </c>
      <c r="C66" s="1" t="s">
        <v>701</v>
      </c>
      <c r="D66" s="12" t="s">
        <v>1080</v>
      </c>
      <c r="E66" s="3">
        <v>1</v>
      </c>
      <c r="F66" s="5" t="s">
        <v>708</v>
      </c>
      <c r="G66" s="3">
        <v>15</v>
      </c>
      <c r="K66" s="1">
        <v>1235</v>
      </c>
      <c r="L66" s="1">
        <v>9000</v>
      </c>
      <c r="M66" s="1">
        <v>6950</v>
      </c>
      <c r="N66" s="1" t="s">
        <v>1032</v>
      </c>
      <c r="O66" s="1">
        <v>100</v>
      </c>
      <c r="P66" s="1" t="s">
        <v>398</v>
      </c>
      <c r="Q66" s="1">
        <v>10</v>
      </c>
      <c r="R66" s="20">
        <v>6034</v>
      </c>
      <c r="S66" s="16">
        <v>0.01</v>
      </c>
      <c r="U66" s="1" t="s">
        <v>1080</v>
      </c>
      <c r="V66" s="17" t="s">
        <v>1081</v>
      </c>
      <c r="X66" s="17" t="s">
        <v>1082</v>
      </c>
      <c r="Y66" s="5" t="s">
        <v>1005</v>
      </c>
      <c r="Z66" s="21" t="s">
        <v>1051</v>
      </c>
      <c r="AA66" s="22" t="s">
        <v>1096</v>
      </c>
    </row>
    <row r="67" spans="1:27" s="1" customFormat="1" ht="49.5" x14ac:dyDescent="0.25">
      <c r="A67" s="13">
        <f t="shared" si="0"/>
        <v>124702</v>
      </c>
      <c r="B67" s="14">
        <v>1247</v>
      </c>
      <c r="C67" s="1" t="s">
        <v>701</v>
      </c>
      <c r="D67" s="12" t="s">
        <v>1080</v>
      </c>
      <c r="E67" s="3">
        <v>2</v>
      </c>
      <c r="F67" s="5" t="s">
        <v>708</v>
      </c>
      <c r="G67" s="3">
        <v>16</v>
      </c>
      <c r="K67" s="1">
        <v>1235</v>
      </c>
      <c r="L67" s="1">
        <v>9000</v>
      </c>
      <c r="M67" s="1">
        <v>6950</v>
      </c>
      <c r="N67" s="1" t="s">
        <v>1032</v>
      </c>
      <c r="O67" s="1">
        <v>100</v>
      </c>
      <c r="P67" s="1" t="s">
        <v>398</v>
      </c>
      <c r="Q67" s="1">
        <v>10</v>
      </c>
      <c r="R67" s="20">
        <v>6034</v>
      </c>
      <c r="S67" s="16">
        <v>0.01</v>
      </c>
      <c r="U67" s="1" t="s">
        <v>1080</v>
      </c>
      <c r="V67" s="17" t="s">
        <v>1081</v>
      </c>
      <c r="X67" s="17" t="s">
        <v>1082</v>
      </c>
      <c r="Y67" s="5" t="s">
        <v>1005</v>
      </c>
      <c r="Z67" s="21" t="s">
        <v>1051</v>
      </c>
      <c r="AA67" s="22" t="s">
        <v>1096</v>
      </c>
    </row>
    <row r="68" spans="1:27" s="1" customFormat="1" ht="49.5" x14ac:dyDescent="0.25">
      <c r="A68" s="13">
        <f t="shared" ref="A68:A131" si="1">B68*100+E68</f>
        <v>131101</v>
      </c>
      <c r="B68" s="14">
        <v>1311</v>
      </c>
      <c r="C68" s="1" t="s">
        <v>701</v>
      </c>
      <c r="D68" s="12" t="s">
        <v>1097</v>
      </c>
      <c r="E68" s="3">
        <v>1</v>
      </c>
      <c r="F68" s="5" t="s">
        <v>712</v>
      </c>
      <c r="G68" s="3">
        <v>1</v>
      </c>
      <c r="K68" s="1">
        <v>1233</v>
      </c>
      <c r="L68" s="1">
        <v>3600</v>
      </c>
      <c r="M68" s="1">
        <v>6300</v>
      </c>
      <c r="N68" s="1" t="s">
        <v>999</v>
      </c>
      <c r="O68" s="1">
        <v>100</v>
      </c>
      <c r="P68" s="1" t="s">
        <v>398</v>
      </c>
      <c r="Q68" s="1">
        <v>10</v>
      </c>
      <c r="R68" s="1" t="s">
        <v>1098</v>
      </c>
      <c r="S68" s="16" t="s">
        <v>1099</v>
      </c>
      <c r="U68" s="1" t="s">
        <v>1100</v>
      </c>
      <c r="V68" s="17" t="s">
        <v>1101</v>
      </c>
      <c r="X68" s="17" t="s">
        <v>1102</v>
      </c>
      <c r="Y68" s="5" t="s">
        <v>1005</v>
      </c>
      <c r="Z68" s="21" t="s">
        <v>1046</v>
      </c>
      <c r="AA68" s="22" t="s">
        <v>1103</v>
      </c>
    </row>
    <row r="69" spans="1:27" s="1" customFormat="1" ht="49.5" x14ac:dyDescent="0.25">
      <c r="A69" s="13">
        <f t="shared" si="1"/>
        <v>132101</v>
      </c>
      <c r="B69" s="14">
        <v>1321</v>
      </c>
      <c r="C69" s="1" t="s">
        <v>701</v>
      </c>
      <c r="D69" s="12" t="s">
        <v>1104</v>
      </c>
      <c r="E69" s="3">
        <v>1</v>
      </c>
      <c r="F69" s="5" t="s">
        <v>712</v>
      </c>
      <c r="G69" s="3">
        <v>5</v>
      </c>
      <c r="K69" s="1">
        <v>1311</v>
      </c>
      <c r="L69" s="1">
        <v>5400</v>
      </c>
      <c r="M69" s="1">
        <v>6650</v>
      </c>
      <c r="N69" s="1" t="s">
        <v>1008</v>
      </c>
      <c r="O69" s="1">
        <v>100</v>
      </c>
      <c r="P69" s="1" t="s">
        <v>398</v>
      </c>
      <c r="Q69" s="1">
        <v>10</v>
      </c>
      <c r="R69" s="1">
        <v>20008</v>
      </c>
      <c r="S69" s="16">
        <v>1.4999999999999999E-2</v>
      </c>
      <c r="U69" s="1" t="s">
        <v>1104</v>
      </c>
      <c r="V69" s="17" t="s">
        <v>1105</v>
      </c>
      <c r="X69" s="17" t="s">
        <v>1106</v>
      </c>
      <c r="Y69" s="5" t="s">
        <v>1005</v>
      </c>
      <c r="Z69" s="21" t="s">
        <v>1051</v>
      </c>
      <c r="AA69" s="22" t="s">
        <v>1107</v>
      </c>
    </row>
    <row r="70" spans="1:27" s="1" customFormat="1" ht="49.5" x14ac:dyDescent="0.25">
      <c r="A70" s="13">
        <f t="shared" si="1"/>
        <v>132201</v>
      </c>
      <c r="B70" s="14">
        <v>1322</v>
      </c>
      <c r="C70" s="1" t="s">
        <v>701</v>
      </c>
      <c r="D70" s="12" t="s">
        <v>1108</v>
      </c>
      <c r="E70" s="3">
        <v>1</v>
      </c>
      <c r="F70" s="5" t="s">
        <v>712</v>
      </c>
      <c r="G70" s="3">
        <v>5</v>
      </c>
      <c r="K70" s="1">
        <v>1311</v>
      </c>
      <c r="L70" s="1">
        <v>5400</v>
      </c>
      <c r="M70" s="1">
        <v>6650</v>
      </c>
      <c r="N70" s="1" t="s">
        <v>1008</v>
      </c>
      <c r="O70" s="1">
        <v>100</v>
      </c>
      <c r="P70" s="1" t="s">
        <v>398</v>
      </c>
      <c r="Q70" s="1">
        <v>10</v>
      </c>
      <c r="R70" s="1" t="s">
        <v>1109</v>
      </c>
      <c r="S70" s="16" t="s">
        <v>222</v>
      </c>
      <c r="U70" s="1" t="s">
        <v>1110</v>
      </c>
      <c r="V70" s="17" t="s">
        <v>1111</v>
      </c>
      <c r="X70" s="17" t="s">
        <v>1112</v>
      </c>
      <c r="Y70" s="5" t="s">
        <v>1005</v>
      </c>
      <c r="Z70" s="21" t="s">
        <v>1113</v>
      </c>
      <c r="AA70" s="22" t="s">
        <v>1114</v>
      </c>
    </row>
    <row r="71" spans="1:27" s="1" customFormat="1" ht="49.5" x14ac:dyDescent="0.25">
      <c r="A71" s="13">
        <f t="shared" si="1"/>
        <v>132301</v>
      </c>
      <c r="B71" s="14">
        <v>1323</v>
      </c>
      <c r="C71" s="1" t="s">
        <v>701</v>
      </c>
      <c r="D71" s="12" t="s">
        <v>1115</v>
      </c>
      <c r="E71" s="3">
        <v>1</v>
      </c>
      <c r="F71" s="5" t="s">
        <v>712</v>
      </c>
      <c r="G71" s="3">
        <v>5</v>
      </c>
      <c r="K71" s="1">
        <v>1311</v>
      </c>
      <c r="L71" s="1">
        <v>5400</v>
      </c>
      <c r="M71" s="1">
        <v>6650</v>
      </c>
      <c r="N71" s="1" t="s">
        <v>1008</v>
      </c>
      <c r="O71" s="1">
        <v>100</v>
      </c>
      <c r="P71" s="1" t="s">
        <v>398</v>
      </c>
      <c r="Q71" s="1">
        <v>10</v>
      </c>
      <c r="R71" s="1">
        <v>20038</v>
      </c>
      <c r="S71" s="16">
        <v>1.4999999999999999E-2</v>
      </c>
      <c r="U71" s="1" t="s">
        <v>1115</v>
      </c>
      <c r="V71" s="17" t="s">
        <v>1116</v>
      </c>
      <c r="X71" s="17" t="s">
        <v>1117</v>
      </c>
      <c r="Y71" s="5" t="s">
        <v>1005</v>
      </c>
      <c r="Z71" s="21" t="s">
        <v>1060</v>
      </c>
      <c r="AA71" s="22" t="s">
        <v>1118</v>
      </c>
    </row>
    <row r="72" spans="1:27" s="1" customFormat="1" ht="49.5" x14ac:dyDescent="0.25">
      <c r="A72" s="13">
        <f t="shared" si="1"/>
        <v>133101</v>
      </c>
      <c r="B72" s="14">
        <v>1331</v>
      </c>
      <c r="C72" s="1" t="s">
        <v>701</v>
      </c>
      <c r="D72" s="12" t="s">
        <v>1104</v>
      </c>
      <c r="E72" s="3">
        <v>1</v>
      </c>
      <c r="F72" s="5" t="s">
        <v>712</v>
      </c>
      <c r="G72" s="3">
        <v>10</v>
      </c>
      <c r="K72" s="1">
        <v>1321</v>
      </c>
      <c r="L72" s="1">
        <v>7200</v>
      </c>
      <c r="M72" s="1">
        <v>6950</v>
      </c>
      <c r="N72" s="1" t="s">
        <v>1015</v>
      </c>
      <c r="O72" s="1">
        <v>100</v>
      </c>
      <c r="P72" s="1" t="s">
        <v>398</v>
      </c>
      <c r="Q72" s="1">
        <v>10</v>
      </c>
      <c r="R72" s="1">
        <v>20008</v>
      </c>
      <c r="S72" s="16">
        <v>1.4999999999999999E-2</v>
      </c>
      <c r="U72" s="1" t="s">
        <v>1104</v>
      </c>
      <c r="V72" s="17" t="s">
        <v>1105</v>
      </c>
      <c r="X72" s="17" t="s">
        <v>1106</v>
      </c>
      <c r="Y72" s="5" t="s">
        <v>1005</v>
      </c>
      <c r="Z72" s="21" t="s">
        <v>1051</v>
      </c>
      <c r="AA72" s="22" t="s">
        <v>1119</v>
      </c>
    </row>
    <row r="73" spans="1:27" s="1" customFormat="1" ht="49.5" x14ac:dyDescent="0.25">
      <c r="A73" s="13">
        <f t="shared" si="1"/>
        <v>133102</v>
      </c>
      <c r="B73" s="14">
        <v>1331</v>
      </c>
      <c r="C73" s="1" t="s">
        <v>701</v>
      </c>
      <c r="D73" s="12" t="s">
        <v>1104</v>
      </c>
      <c r="E73" s="3">
        <v>2</v>
      </c>
      <c r="F73" s="5" t="s">
        <v>712</v>
      </c>
      <c r="G73" s="3">
        <v>14</v>
      </c>
      <c r="K73" s="1">
        <v>1321</v>
      </c>
      <c r="L73" s="1">
        <v>7200</v>
      </c>
      <c r="M73" s="1">
        <v>6950</v>
      </c>
      <c r="N73" s="1" t="s">
        <v>1015</v>
      </c>
      <c r="O73" s="1">
        <v>100</v>
      </c>
      <c r="P73" s="1" t="s">
        <v>398</v>
      </c>
      <c r="Q73" s="1">
        <v>10</v>
      </c>
      <c r="R73" s="1">
        <v>20008</v>
      </c>
      <c r="S73" s="16">
        <v>1.4999999999999999E-2</v>
      </c>
      <c r="U73" s="1" t="s">
        <v>1104</v>
      </c>
      <c r="V73" s="17" t="s">
        <v>1105</v>
      </c>
      <c r="X73" s="17" t="s">
        <v>1106</v>
      </c>
      <c r="Y73" s="5" t="s">
        <v>1005</v>
      </c>
      <c r="Z73" s="21" t="s">
        <v>1051</v>
      </c>
      <c r="AA73" s="22" t="s">
        <v>1119</v>
      </c>
    </row>
    <row r="74" spans="1:27" s="1" customFormat="1" ht="49.5" x14ac:dyDescent="0.25">
      <c r="A74" s="13">
        <f t="shared" si="1"/>
        <v>133201</v>
      </c>
      <c r="B74" s="14">
        <v>1332</v>
      </c>
      <c r="C74" s="1" t="s">
        <v>701</v>
      </c>
      <c r="D74" s="12" t="s">
        <v>1120</v>
      </c>
      <c r="E74" s="3">
        <v>1</v>
      </c>
      <c r="F74" s="5" t="s">
        <v>712</v>
      </c>
      <c r="G74" s="3">
        <v>10</v>
      </c>
      <c r="K74" s="1" t="s">
        <v>1121</v>
      </c>
      <c r="L74" s="1">
        <v>7200</v>
      </c>
      <c r="M74" s="1">
        <v>6950</v>
      </c>
      <c r="N74" s="1" t="s">
        <v>1015</v>
      </c>
      <c r="O74" s="1">
        <v>100</v>
      </c>
      <c r="P74" s="1" t="s">
        <v>398</v>
      </c>
      <c r="Q74" s="1">
        <v>10</v>
      </c>
      <c r="R74" s="1">
        <v>30243</v>
      </c>
      <c r="S74" s="16">
        <v>1</v>
      </c>
      <c r="U74" s="1" t="s">
        <v>1110</v>
      </c>
      <c r="V74" s="17" t="s">
        <v>1122</v>
      </c>
      <c r="X74" s="17" t="s">
        <v>1123</v>
      </c>
      <c r="Y74" s="5" t="s">
        <v>1005</v>
      </c>
      <c r="Z74" s="21" t="s">
        <v>1124</v>
      </c>
      <c r="AA74" s="22" t="s">
        <v>1125</v>
      </c>
    </row>
    <row r="75" spans="1:27" s="1" customFormat="1" ht="49.5" x14ac:dyDescent="0.25">
      <c r="A75" s="13">
        <f t="shared" si="1"/>
        <v>133202</v>
      </c>
      <c r="B75" s="14">
        <v>1332</v>
      </c>
      <c r="C75" s="1" t="s">
        <v>701</v>
      </c>
      <c r="D75" s="12" t="s">
        <v>1120</v>
      </c>
      <c r="E75" s="3">
        <v>2</v>
      </c>
      <c r="F75" s="5" t="s">
        <v>712</v>
      </c>
      <c r="G75" s="3">
        <v>14</v>
      </c>
      <c r="K75" s="1" t="s">
        <v>1121</v>
      </c>
      <c r="L75" s="1">
        <v>7200</v>
      </c>
      <c r="M75" s="1">
        <v>6950</v>
      </c>
      <c r="N75" s="1" t="s">
        <v>1015</v>
      </c>
      <c r="O75" s="1">
        <v>100</v>
      </c>
      <c r="P75" s="1" t="s">
        <v>398</v>
      </c>
      <c r="Q75" s="1">
        <v>10</v>
      </c>
      <c r="R75" s="1">
        <v>30243</v>
      </c>
      <c r="S75" s="16">
        <v>1</v>
      </c>
      <c r="U75" s="1" t="s">
        <v>1110</v>
      </c>
      <c r="V75" s="17" t="s">
        <v>1122</v>
      </c>
      <c r="X75" s="17" t="s">
        <v>1123</v>
      </c>
      <c r="Y75" s="5" t="s">
        <v>1005</v>
      </c>
      <c r="Z75" s="21" t="s">
        <v>1124</v>
      </c>
      <c r="AA75" s="22" t="s">
        <v>1125</v>
      </c>
    </row>
    <row r="76" spans="1:27" s="1" customFormat="1" ht="49.5" x14ac:dyDescent="0.25">
      <c r="A76" s="13">
        <f t="shared" si="1"/>
        <v>133301</v>
      </c>
      <c r="B76" s="14">
        <v>1333</v>
      </c>
      <c r="C76" s="1" t="s">
        <v>701</v>
      </c>
      <c r="D76" s="12" t="s">
        <v>1126</v>
      </c>
      <c r="E76" s="3">
        <v>1</v>
      </c>
      <c r="F76" s="5" t="s">
        <v>712</v>
      </c>
      <c r="G76" s="3">
        <v>10</v>
      </c>
      <c r="K76" s="1">
        <v>1322</v>
      </c>
      <c r="L76" s="1">
        <v>7200</v>
      </c>
      <c r="M76" s="1">
        <v>6950</v>
      </c>
      <c r="N76" s="1" t="s">
        <v>1015</v>
      </c>
      <c r="O76" s="1">
        <v>100</v>
      </c>
      <c r="P76" s="1" t="s">
        <v>398</v>
      </c>
      <c r="Q76" s="1">
        <v>10</v>
      </c>
      <c r="R76" s="1">
        <v>30223</v>
      </c>
      <c r="S76" s="16">
        <v>1</v>
      </c>
      <c r="U76" s="1" t="s">
        <v>1110</v>
      </c>
      <c r="V76" s="17" t="s">
        <v>1127</v>
      </c>
      <c r="X76" s="17" t="s">
        <v>1128</v>
      </c>
      <c r="Y76" s="5" t="s">
        <v>1005</v>
      </c>
      <c r="Z76" s="21" t="s">
        <v>1129</v>
      </c>
      <c r="AA76" s="22" t="s">
        <v>1130</v>
      </c>
    </row>
    <row r="77" spans="1:27" s="1" customFormat="1" ht="49.5" x14ac:dyDescent="0.25">
      <c r="A77" s="13">
        <f t="shared" si="1"/>
        <v>133302</v>
      </c>
      <c r="B77" s="14">
        <v>1333</v>
      </c>
      <c r="C77" s="1" t="s">
        <v>701</v>
      </c>
      <c r="D77" s="12" t="s">
        <v>1126</v>
      </c>
      <c r="E77" s="3">
        <v>2</v>
      </c>
      <c r="F77" s="5" t="s">
        <v>712</v>
      </c>
      <c r="G77" s="3">
        <v>14</v>
      </c>
      <c r="K77" s="1">
        <v>1322</v>
      </c>
      <c r="L77" s="1">
        <v>7200</v>
      </c>
      <c r="M77" s="1">
        <v>6950</v>
      </c>
      <c r="N77" s="1" t="s">
        <v>1015</v>
      </c>
      <c r="O77" s="1">
        <v>100</v>
      </c>
      <c r="P77" s="1" t="s">
        <v>398</v>
      </c>
      <c r="Q77" s="1">
        <v>10</v>
      </c>
      <c r="R77" s="1">
        <v>30223</v>
      </c>
      <c r="S77" s="16">
        <v>1</v>
      </c>
      <c r="U77" s="1" t="s">
        <v>1110</v>
      </c>
      <c r="V77" s="17" t="s">
        <v>1127</v>
      </c>
      <c r="X77" s="17" t="s">
        <v>1128</v>
      </c>
      <c r="Y77" s="5" t="s">
        <v>1005</v>
      </c>
      <c r="Z77" s="21" t="s">
        <v>1129</v>
      </c>
      <c r="AA77" s="22" t="s">
        <v>1130</v>
      </c>
    </row>
    <row r="78" spans="1:27" s="1" customFormat="1" ht="49.5" x14ac:dyDescent="0.25">
      <c r="A78" s="13">
        <f t="shared" si="1"/>
        <v>133401</v>
      </c>
      <c r="B78" s="14">
        <v>1334</v>
      </c>
      <c r="C78" s="1" t="s">
        <v>701</v>
      </c>
      <c r="D78" s="12" t="s">
        <v>1131</v>
      </c>
      <c r="E78" s="3">
        <v>1</v>
      </c>
      <c r="F78" s="5" t="s">
        <v>712</v>
      </c>
      <c r="G78" s="3">
        <v>10</v>
      </c>
      <c r="K78" s="1" t="s">
        <v>1132</v>
      </c>
      <c r="L78" s="1">
        <v>7200</v>
      </c>
      <c r="M78" s="1">
        <v>6950</v>
      </c>
      <c r="N78" s="1" t="s">
        <v>1015</v>
      </c>
      <c r="O78" s="1">
        <v>100</v>
      </c>
      <c r="P78" s="1" t="s">
        <v>398</v>
      </c>
      <c r="Q78" s="1">
        <v>10</v>
      </c>
      <c r="R78" s="1">
        <v>30233</v>
      </c>
      <c r="S78" s="16">
        <v>1</v>
      </c>
      <c r="U78" s="1" t="s">
        <v>1110</v>
      </c>
      <c r="V78" s="17" t="s">
        <v>1133</v>
      </c>
      <c r="X78" s="17" t="s">
        <v>1134</v>
      </c>
      <c r="Y78" s="5" t="s">
        <v>1005</v>
      </c>
      <c r="Z78" s="21" t="s">
        <v>1135</v>
      </c>
      <c r="AA78" s="22" t="s">
        <v>1136</v>
      </c>
    </row>
    <row r="79" spans="1:27" s="1" customFormat="1" ht="49.5" x14ac:dyDescent="0.25">
      <c r="A79" s="13">
        <f t="shared" si="1"/>
        <v>133402</v>
      </c>
      <c r="B79" s="14">
        <v>1334</v>
      </c>
      <c r="C79" s="1" t="s">
        <v>701</v>
      </c>
      <c r="D79" s="12" t="s">
        <v>1131</v>
      </c>
      <c r="E79" s="3">
        <v>2</v>
      </c>
      <c r="F79" s="5" t="s">
        <v>712</v>
      </c>
      <c r="G79" s="3">
        <v>14</v>
      </c>
      <c r="K79" s="1" t="s">
        <v>1132</v>
      </c>
      <c r="L79" s="1">
        <v>7200</v>
      </c>
      <c r="M79" s="1">
        <v>6950</v>
      </c>
      <c r="N79" s="1" t="s">
        <v>1015</v>
      </c>
      <c r="O79" s="1">
        <v>100</v>
      </c>
      <c r="P79" s="1" t="s">
        <v>398</v>
      </c>
      <c r="Q79" s="1">
        <v>10</v>
      </c>
      <c r="R79" s="1">
        <v>30233</v>
      </c>
      <c r="S79" s="16">
        <v>1</v>
      </c>
      <c r="U79" s="1" t="s">
        <v>1110</v>
      </c>
      <c r="V79" s="17" t="s">
        <v>1133</v>
      </c>
      <c r="X79" s="17" t="s">
        <v>1134</v>
      </c>
      <c r="Y79" s="5" t="s">
        <v>1005</v>
      </c>
      <c r="Z79" s="21" t="s">
        <v>1135</v>
      </c>
      <c r="AA79" s="22" t="s">
        <v>1136</v>
      </c>
    </row>
    <row r="80" spans="1:27" s="1" customFormat="1" ht="49.5" x14ac:dyDescent="0.25">
      <c r="A80" s="13">
        <f t="shared" si="1"/>
        <v>133501</v>
      </c>
      <c r="B80" s="14">
        <v>1335</v>
      </c>
      <c r="C80" s="1" t="s">
        <v>701</v>
      </c>
      <c r="D80" s="12" t="s">
        <v>1115</v>
      </c>
      <c r="E80" s="3">
        <v>1</v>
      </c>
      <c r="F80" s="5" t="s">
        <v>712</v>
      </c>
      <c r="G80" s="3">
        <v>10</v>
      </c>
      <c r="K80" s="1">
        <v>1323</v>
      </c>
      <c r="L80" s="1">
        <v>7200</v>
      </c>
      <c r="M80" s="1">
        <v>6950</v>
      </c>
      <c r="N80" s="1" t="s">
        <v>1015</v>
      </c>
      <c r="O80" s="1">
        <v>100</v>
      </c>
      <c r="P80" s="1" t="s">
        <v>398</v>
      </c>
      <c r="Q80" s="1">
        <v>10</v>
      </c>
      <c r="R80" s="1">
        <v>20038</v>
      </c>
      <c r="S80" s="16">
        <v>1.4999999999999999E-2</v>
      </c>
      <c r="U80" s="1" t="s">
        <v>1115</v>
      </c>
      <c r="V80" s="17" t="s">
        <v>1116</v>
      </c>
      <c r="X80" s="17" t="s">
        <v>1117</v>
      </c>
      <c r="Y80" s="5" t="s">
        <v>1005</v>
      </c>
      <c r="Z80" s="21" t="s">
        <v>1060</v>
      </c>
      <c r="AA80" s="22" t="s">
        <v>1137</v>
      </c>
    </row>
    <row r="81" spans="1:29" s="1" customFormat="1" ht="49.5" x14ac:dyDescent="0.25">
      <c r="A81" s="13">
        <f t="shared" si="1"/>
        <v>133502</v>
      </c>
      <c r="B81" s="14">
        <v>1335</v>
      </c>
      <c r="C81" s="1" t="s">
        <v>701</v>
      </c>
      <c r="D81" s="12" t="s">
        <v>1115</v>
      </c>
      <c r="E81" s="3">
        <v>2</v>
      </c>
      <c r="F81" s="5" t="s">
        <v>712</v>
      </c>
      <c r="G81" s="3">
        <v>14</v>
      </c>
      <c r="K81" s="1">
        <v>1323</v>
      </c>
      <c r="L81" s="1">
        <v>7200</v>
      </c>
      <c r="M81" s="1">
        <v>6950</v>
      </c>
      <c r="N81" s="1" t="s">
        <v>1015</v>
      </c>
      <c r="O81" s="1">
        <v>100</v>
      </c>
      <c r="P81" s="1" t="s">
        <v>398</v>
      </c>
      <c r="Q81" s="1">
        <v>10</v>
      </c>
      <c r="R81" s="1">
        <v>20038</v>
      </c>
      <c r="S81" s="16">
        <v>1.4999999999999999E-2</v>
      </c>
      <c r="U81" s="1" t="s">
        <v>1115</v>
      </c>
      <c r="V81" s="17" t="s">
        <v>1116</v>
      </c>
      <c r="X81" s="17" t="s">
        <v>1117</v>
      </c>
      <c r="Y81" s="5" t="s">
        <v>1005</v>
      </c>
      <c r="Z81" s="21" t="s">
        <v>1060</v>
      </c>
      <c r="AA81" s="22" t="s">
        <v>1137</v>
      </c>
    </row>
    <row r="82" spans="1:29" s="1" customFormat="1" ht="49.5" x14ac:dyDescent="0.25">
      <c r="A82" s="13">
        <f t="shared" si="1"/>
        <v>134101</v>
      </c>
      <c r="B82" s="14">
        <v>1341</v>
      </c>
      <c r="C82" s="1" t="s">
        <v>701</v>
      </c>
      <c r="D82" s="12" t="s">
        <v>1104</v>
      </c>
      <c r="E82" s="3">
        <v>1</v>
      </c>
      <c r="F82" s="5" t="s">
        <v>712</v>
      </c>
      <c r="G82" s="3">
        <v>15</v>
      </c>
      <c r="K82" s="1">
        <v>1331</v>
      </c>
      <c r="L82" s="1">
        <v>9000</v>
      </c>
      <c r="M82" s="1">
        <v>7250</v>
      </c>
      <c r="N82" s="1" t="s">
        <v>1032</v>
      </c>
      <c r="O82" s="1">
        <v>100</v>
      </c>
      <c r="P82" s="1" t="s">
        <v>398</v>
      </c>
      <c r="Q82" s="1">
        <v>10</v>
      </c>
      <c r="R82" s="1">
        <v>20008</v>
      </c>
      <c r="S82" s="16">
        <v>1.4999999999999999E-2</v>
      </c>
      <c r="U82" s="1" t="s">
        <v>1104</v>
      </c>
      <c r="V82" s="17" t="s">
        <v>1105</v>
      </c>
      <c r="X82" s="17" t="s">
        <v>1106</v>
      </c>
      <c r="Y82" s="5" t="s">
        <v>1005</v>
      </c>
      <c r="Z82" s="21" t="s">
        <v>1051</v>
      </c>
      <c r="AA82" s="22" t="s">
        <v>1138</v>
      </c>
    </row>
    <row r="83" spans="1:29" s="1" customFormat="1" ht="49.5" x14ac:dyDescent="0.25">
      <c r="A83" s="13">
        <f t="shared" si="1"/>
        <v>134102</v>
      </c>
      <c r="B83" s="14">
        <v>1341</v>
      </c>
      <c r="C83" s="1" t="s">
        <v>701</v>
      </c>
      <c r="D83" s="12" t="s">
        <v>1104</v>
      </c>
      <c r="E83" s="3">
        <v>2</v>
      </c>
      <c r="F83" s="5" t="s">
        <v>712</v>
      </c>
      <c r="G83" s="3">
        <v>17</v>
      </c>
      <c r="K83" s="1">
        <v>1331</v>
      </c>
      <c r="L83" s="1">
        <v>9000</v>
      </c>
      <c r="M83" s="1">
        <v>7250</v>
      </c>
      <c r="N83" s="1" t="s">
        <v>1032</v>
      </c>
      <c r="O83" s="1">
        <v>100</v>
      </c>
      <c r="P83" s="1" t="s">
        <v>398</v>
      </c>
      <c r="Q83" s="1">
        <v>10</v>
      </c>
      <c r="R83" s="1">
        <v>20008</v>
      </c>
      <c r="S83" s="16">
        <v>1.4999999999999999E-2</v>
      </c>
      <c r="U83" s="1" t="s">
        <v>1104</v>
      </c>
      <c r="V83" s="17" t="s">
        <v>1105</v>
      </c>
      <c r="X83" s="17" t="s">
        <v>1106</v>
      </c>
      <c r="Y83" s="5" t="s">
        <v>1005</v>
      </c>
      <c r="Z83" s="21" t="s">
        <v>1051</v>
      </c>
      <c r="AA83" s="22" t="s">
        <v>1138</v>
      </c>
    </row>
    <row r="84" spans="1:29" s="1" customFormat="1" ht="49.5" x14ac:dyDescent="0.25">
      <c r="A84" s="13">
        <f t="shared" si="1"/>
        <v>134201</v>
      </c>
      <c r="B84" s="14">
        <v>1342</v>
      </c>
      <c r="C84" s="1" t="s">
        <v>701</v>
      </c>
      <c r="D84" s="12" t="s">
        <v>1139</v>
      </c>
      <c r="E84" s="3">
        <v>1</v>
      </c>
      <c r="F84" s="5" t="s">
        <v>712</v>
      </c>
      <c r="G84" s="3">
        <v>15</v>
      </c>
      <c r="K84" s="1">
        <v>1331</v>
      </c>
      <c r="L84" s="1">
        <v>9000</v>
      </c>
      <c r="M84" s="1">
        <v>7250</v>
      </c>
      <c r="N84" s="1" t="s">
        <v>1032</v>
      </c>
      <c r="O84" s="1">
        <v>100</v>
      </c>
      <c r="P84" s="1" t="s">
        <v>398</v>
      </c>
      <c r="Q84" s="1">
        <v>10</v>
      </c>
      <c r="R84" s="1">
        <v>20068</v>
      </c>
      <c r="S84" s="16">
        <v>7.4999999999999997E-3</v>
      </c>
      <c r="U84" s="1" t="s">
        <v>1139</v>
      </c>
      <c r="V84" s="17" t="s">
        <v>1140</v>
      </c>
      <c r="X84" s="17" t="s">
        <v>1141</v>
      </c>
      <c r="Y84" s="5" t="s">
        <v>1005</v>
      </c>
      <c r="Z84" s="21" t="s">
        <v>1046</v>
      </c>
      <c r="AA84" s="22" t="s">
        <v>1142</v>
      </c>
    </row>
    <row r="85" spans="1:29" s="1" customFormat="1" ht="49.5" x14ac:dyDescent="0.25">
      <c r="A85" s="13">
        <f t="shared" si="1"/>
        <v>134202</v>
      </c>
      <c r="B85" s="14">
        <v>1342</v>
      </c>
      <c r="C85" s="1" t="s">
        <v>701</v>
      </c>
      <c r="D85" s="12" t="s">
        <v>1139</v>
      </c>
      <c r="E85" s="3">
        <v>2</v>
      </c>
      <c r="F85" s="5" t="s">
        <v>712</v>
      </c>
      <c r="G85" s="3">
        <v>17</v>
      </c>
      <c r="K85" s="1">
        <v>1331</v>
      </c>
      <c r="L85" s="1">
        <v>9000</v>
      </c>
      <c r="M85" s="1">
        <v>7250</v>
      </c>
      <c r="N85" s="1" t="s">
        <v>1032</v>
      </c>
      <c r="O85" s="1">
        <v>100</v>
      </c>
      <c r="P85" s="1" t="s">
        <v>398</v>
      </c>
      <c r="Q85" s="1">
        <v>10</v>
      </c>
      <c r="R85" s="1">
        <v>20068</v>
      </c>
      <c r="S85" s="16">
        <v>7.4999999999999997E-3</v>
      </c>
      <c r="U85" s="1" t="s">
        <v>1139</v>
      </c>
      <c r="V85" s="17" t="s">
        <v>1140</v>
      </c>
      <c r="X85" s="17" t="s">
        <v>1141</v>
      </c>
      <c r="Y85" s="5" t="s">
        <v>1005</v>
      </c>
      <c r="Z85" s="21" t="s">
        <v>1046</v>
      </c>
      <c r="AA85" s="22" t="s">
        <v>1142</v>
      </c>
    </row>
    <row r="86" spans="1:29" s="1" customFormat="1" ht="49.5" x14ac:dyDescent="0.25">
      <c r="A86" s="13">
        <f t="shared" si="1"/>
        <v>134301</v>
      </c>
      <c r="B86" s="14">
        <v>1343</v>
      </c>
      <c r="C86" s="1" t="s">
        <v>701</v>
      </c>
      <c r="D86" s="12" t="s">
        <v>1143</v>
      </c>
      <c r="E86" s="3">
        <v>1</v>
      </c>
      <c r="F86" s="5" t="s">
        <v>712</v>
      </c>
      <c r="G86" s="3">
        <v>18</v>
      </c>
      <c r="K86" s="1" t="s">
        <v>1144</v>
      </c>
      <c r="L86" s="1">
        <v>9000</v>
      </c>
      <c r="M86" s="1">
        <v>7600</v>
      </c>
      <c r="N86" s="1" t="s">
        <v>1033</v>
      </c>
      <c r="O86" s="1">
        <v>100</v>
      </c>
      <c r="P86" s="1" t="s">
        <v>398</v>
      </c>
      <c r="Q86" s="1">
        <v>10</v>
      </c>
      <c r="R86" s="1" t="s">
        <v>1145</v>
      </c>
      <c r="S86" s="16" t="s">
        <v>1146</v>
      </c>
      <c r="U86" s="1" t="s">
        <v>1110</v>
      </c>
      <c r="V86" s="17" t="s">
        <v>1147</v>
      </c>
      <c r="X86" s="17" t="s">
        <v>1148</v>
      </c>
      <c r="Y86" s="5" t="s">
        <v>1005</v>
      </c>
      <c r="Z86" s="21" t="s">
        <v>1129</v>
      </c>
      <c r="AA86" s="22" t="s">
        <v>1149</v>
      </c>
    </row>
    <row r="87" spans="1:29" s="1" customFormat="1" ht="49.5" x14ac:dyDescent="0.25">
      <c r="A87" s="13">
        <f t="shared" si="1"/>
        <v>134401</v>
      </c>
      <c r="B87" s="14">
        <v>1344</v>
      </c>
      <c r="C87" s="1" t="s">
        <v>701</v>
      </c>
      <c r="D87" s="12" t="s">
        <v>1108</v>
      </c>
      <c r="E87" s="3">
        <v>1</v>
      </c>
      <c r="F87" s="5" t="s">
        <v>712</v>
      </c>
      <c r="G87" s="3">
        <v>20</v>
      </c>
      <c r="K87" s="1" t="s">
        <v>1150</v>
      </c>
      <c r="L87" s="1">
        <v>10800</v>
      </c>
      <c r="M87" s="1">
        <v>7900</v>
      </c>
      <c r="N87" s="1" t="s">
        <v>397</v>
      </c>
      <c r="O87" s="1">
        <v>100</v>
      </c>
      <c r="P87" s="1" t="s">
        <v>398</v>
      </c>
      <c r="Q87" s="1">
        <v>10</v>
      </c>
      <c r="R87" s="1" t="s">
        <v>1109</v>
      </c>
      <c r="S87" s="16" t="s">
        <v>222</v>
      </c>
      <c r="U87" s="1" t="s">
        <v>1110</v>
      </c>
      <c r="V87" s="17" t="s">
        <v>1111</v>
      </c>
      <c r="X87" s="17" t="s">
        <v>1112</v>
      </c>
      <c r="Y87" s="5" t="s">
        <v>1005</v>
      </c>
      <c r="Z87" s="21" t="s">
        <v>1113</v>
      </c>
      <c r="AA87" s="22" t="s">
        <v>1151</v>
      </c>
    </row>
    <row r="88" spans="1:29" s="1" customFormat="1" ht="49.5" x14ac:dyDescent="0.25">
      <c r="A88" s="13">
        <f t="shared" si="1"/>
        <v>134501</v>
      </c>
      <c r="B88" s="14">
        <v>1345</v>
      </c>
      <c r="C88" s="1" t="s">
        <v>701</v>
      </c>
      <c r="D88" s="12" t="s">
        <v>1152</v>
      </c>
      <c r="E88" s="3">
        <v>1</v>
      </c>
      <c r="F88" s="5" t="s">
        <v>712</v>
      </c>
      <c r="G88" s="3">
        <v>18</v>
      </c>
      <c r="K88" s="1" t="s">
        <v>1153</v>
      </c>
      <c r="L88" s="1">
        <v>9000</v>
      </c>
      <c r="M88" s="1">
        <v>7600</v>
      </c>
      <c r="N88" s="1" t="s">
        <v>1033</v>
      </c>
      <c r="O88" s="1">
        <v>100</v>
      </c>
      <c r="P88" s="1" t="s">
        <v>398</v>
      </c>
      <c r="Q88" s="1">
        <v>10</v>
      </c>
      <c r="R88" s="1" t="s">
        <v>1154</v>
      </c>
      <c r="S88" s="16" t="s">
        <v>1146</v>
      </c>
      <c r="U88" s="1" t="s">
        <v>1110</v>
      </c>
      <c r="V88" s="17" t="s">
        <v>1155</v>
      </c>
      <c r="X88" s="17" t="s">
        <v>1156</v>
      </c>
      <c r="Y88" s="5" t="s">
        <v>1005</v>
      </c>
      <c r="Z88" s="21" t="s">
        <v>1129</v>
      </c>
      <c r="AA88" s="22" t="s">
        <v>1157</v>
      </c>
    </row>
    <row r="89" spans="1:29" s="1" customFormat="1" ht="49.5" x14ac:dyDescent="0.25">
      <c r="A89" s="13">
        <f t="shared" si="1"/>
        <v>134601</v>
      </c>
      <c r="B89" s="14">
        <v>1346</v>
      </c>
      <c r="C89" s="1" t="s">
        <v>701</v>
      </c>
      <c r="D89" s="12" t="s">
        <v>1139</v>
      </c>
      <c r="E89" s="3">
        <v>1</v>
      </c>
      <c r="F89" s="5" t="s">
        <v>712</v>
      </c>
      <c r="G89" s="3">
        <v>15</v>
      </c>
      <c r="K89" s="1">
        <v>1335</v>
      </c>
      <c r="L89" s="1">
        <v>9000</v>
      </c>
      <c r="M89" s="1">
        <v>7250</v>
      </c>
      <c r="N89" s="1" t="s">
        <v>1032</v>
      </c>
      <c r="O89" s="1">
        <v>100</v>
      </c>
      <c r="P89" s="1" t="s">
        <v>398</v>
      </c>
      <c r="Q89" s="1">
        <v>10</v>
      </c>
      <c r="R89" s="1">
        <v>20068</v>
      </c>
      <c r="S89" s="16">
        <v>7.4999999999999997E-3</v>
      </c>
      <c r="U89" s="1" t="s">
        <v>1139</v>
      </c>
      <c r="V89" s="17" t="s">
        <v>1140</v>
      </c>
      <c r="X89" s="17" t="s">
        <v>1141</v>
      </c>
      <c r="Y89" s="5" t="s">
        <v>1005</v>
      </c>
      <c r="Z89" s="21" t="s">
        <v>1046</v>
      </c>
      <c r="AA89" s="22" t="s">
        <v>1158</v>
      </c>
    </row>
    <row r="90" spans="1:29" s="1" customFormat="1" ht="49.5" x14ac:dyDescent="0.25">
      <c r="A90" s="13">
        <f t="shared" si="1"/>
        <v>134602</v>
      </c>
      <c r="B90" s="14">
        <v>1346</v>
      </c>
      <c r="C90" s="1" t="s">
        <v>701</v>
      </c>
      <c r="D90" s="12" t="s">
        <v>1139</v>
      </c>
      <c r="E90" s="3">
        <v>2</v>
      </c>
      <c r="F90" s="5" t="s">
        <v>712</v>
      </c>
      <c r="G90" s="3">
        <v>17</v>
      </c>
      <c r="K90" s="1">
        <v>1335</v>
      </c>
      <c r="L90" s="1">
        <v>9000</v>
      </c>
      <c r="M90" s="1">
        <v>7250</v>
      </c>
      <c r="N90" s="1" t="s">
        <v>1032</v>
      </c>
      <c r="O90" s="1">
        <v>100</v>
      </c>
      <c r="P90" s="1" t="s">
        <v>398</v>
      </c>
      <c r="Q90" s="1">
        <v>10</v>
      </c>
      <c r="R90" s="1">
        <v>20068</v>
      </c>
      <c r="S90" s="16">
        <v>7.4999999999999997E-3</v>
      </c>
      <c r="U90" s="1" t="s">
        <v>1139</v>
      </c>
      <c r="V90" s="17" t="s">
        <v>1140</v>
      </c>
      <c r="X90" s="17" t="s">
        <v>1141</v>
      </c>
      <c r="Y90" s="5" t="s">
        <v>1005</v>
      </c>
      <c r="Z90" s="21" t="s">
        <v>1046</v>
      </c>
      <c r="AA90" s="22" t="s">
        <v>1158</v>
      </c>
    </row>
    <row r="91" spans="1:29" s="1" customFormat="1" ht="49.5" x14ac:dyDescent="0.25">
      <c r="A91" s="13">
        <f t="shared" si="1"/>
        <v>134701</v>
      </c>
      <c r="B91" s="14">
        <v>1347</v>
      </c>
      <c r="C91" s="1" t="s">
        <v>701</v>
      </c>
      <c r="D91" s="12" t="s">
        <v>1115</v>
      </c>
      <c r="E91" s="3">
        <v>1</v>
      </c>
      <c r="F91" s="5" t="s">
        <v>712</v>
      </c>
      <c r="G91" s="3">
        <v>15</v>
      </c>
      <c r="K91" s="1">
        <v>1335</v>
      </c>
      <c r="L91" s="1">
        <v>9000</v>
      </c>
      <c r="M91" s="1">
        <v>7250</v>
      </c>
      <c r="N91" s="1" t="s">
        <v>1032</v>
      </c>
      <c r="O91" s="1">
        <v>100</v>
      </c>
      <c r="P91" s="1" t="s">
        <v>398</v>
      </c>
      <c r="Q91" s="1">
        <v>10</v>
      </c>
      <c r="R91" s="1">
        <v>20038</v>
      </c>
      <c r="S91" s="16">
        <v>1.4999999999999999E-2</v>
      </c>
      <c r="U91" s="1" t="s">
        <v>1115</v>
      </c>
      <c r="V91" s="17" t="s">
        <v>1116</v>
      </c>
      <c r="X91" s="17" t="s">
        <v>1117</v>
      </c>
      <c r="Y91" s="5" t="s">
        <v>1005</v>
      </c>
      <c r="Z91" s="21" t="s">
        <v>1060</v>
      </c>
      <c r="AA91" s="22" t="s">
        <v>1159</v>
      </c>
    </row>
    <row r="92" spans="1:29" s="1" customFormat="1" ht="49.5" x14ac:dyDescent="0.25">
      <c r="A92" s="13">
        <f t="shared" si="1"/>
        <v>134702</v>
      </c>
      <c r="B92" s="14">
        <v>1347</v>
      </c>
      <c r="C92" s="1" t="s">
        <v>701</v>
      </c>
      <c r="D92" s="12" t="s">
        <v>1115</v>
      </c>
      <c r="E92" s="3">
        <v>2</v>
      </c>
      <c r="F92" s="5" t="s">
        <v>712</v>
      </c>
      <c r="G92" s="3">
        <v>15</v>
      </c>
      <c r="K92" s="1">
        <v>1335</v>
      </c>
      <c r="L92" s="1">
        <v>9000</v>
      </c>
      <c r="M92" s="1">
        <v>7250</v>
      </c>
      <c r="N92" s="1" t="s">
        <v>1032</v>
      </c>
      <c r="O92" s="1">
        <v>100</v>
      </c>
      <c r="P92" s="1" t="s">
        <v>398</v>
      </c>
      <c r="Q92" s="1">
        <v>10</v>
      </c>
      <c r="R92" s="1">
        <v>20038</v>
      </c>
      <c r="S92" s="16">
        <v>1.4999999999999999E-2</v>
      </c>
      <c r="U92" s="1" t="s">
        <v>1115</v>
      </c>
      <c r="V92" s="17" t="s">
        <v>1116</v>
      </c>
      <c r="X92" s="17" t="s">
        <v>1117</v>
      </c>
      <c r="Y92" s="5" t="s">
        <v>1005</v>
      </c>
      <c r="Z92" s="21" t="s">
        <v>1060</v>
      </c>
      <c r="AA92" s="22" t="s">
        <v>1159</v>
      </c>
    </row>
    <row r="93" spans="1:29" s="1" customFormat="1" ht="49.5" x14ac:dyDescent="0.25">
      <c r="A93" s="13">
        <f t="shared" si="1"/>
        <v>211101</v>
      </c>
      <c r="B93" s="14">
        <v>2111</v>
      </c>
      <c r="C93" s="1" t="s">
        <v>716</v>
      </c>
      <c r="D93" s="12" t="s">
        <v>1160</v>
      </c>
      <c r="E93" s="3">
        <v>1</v>
      </c>
      <c r="F93" s="5" t="s">
        <v>396</v>
      </c>
      <c r="G93" s="3">
        <v>1</v>
      </c>
      <c r="L93" s="1">
        <v>3600</v>
      </c>
      <c r="M93" s="1">
        <v>2500</v>
      </c>
      <c r="N93" s="1" t="s">
        <v>999</v>
      </c>
      <c r="O93" s="1">
        <v>100</v>
      </c>
      <c r="P93" s="1" t="s">
        <v>398</v>
      </c>
      <c r="Q93" s="1">
        <v>10</v>
      </c>
      <c r="R93" s="1" t="s">
        <v>1161</v>
      </c>
      <c r="S93" s="16" t="s">
        <v>1001</v>
      </c>
      <c r="U93" s="1" t="s">
        <v>1162</v>
      </c>
      <c r="V93" s="17" t="s">
        <v>1163</v>
      </c>
      <c r="W93" s="5"/>
      <c r="X93" s="1" t="s">
        <v>1164</v>
      </c>
      <c r="Y93" s="5" t="s">
        <v>1005</v>
      </c>
      <c r="Z93" s="21" t="s">
        <v>1165</v>
      </c>
      <c r="AA93" s="22" t="s">
        <v>407</v>
      </c>
      <c r="AC93" s="22"/>
    </row>
    <row r="94" spans="1:29" s="1" customFormat="1" ht="49.5" x14ac:dyDescent="0.25">
      <c r="A94" s="13">
        <f t="shared" si="1"/>
        <v>211102</v>
      </c>
      <c r="B94" s="14">
        <v>2111</v>
      </c>
      <c r="C94" s="1" t="s">
        <v>716</v>
      </c>
      <c r="D94" s="12" t="s">
        <v>1160</v>
      </c>
      <c r="E94" s="3">
        <v>2</v>
      </c>
      <c r="F94" s="5" t="s">
        <v>396</v>
      </c>
      <c r="G94" s="3">
        <v>1</v>
      </c>
      <c r="L94" s="1">
        <v>3600</v>
      </c>
      <c r="M94" s="1">
        <v>2500</v>
      </c>
      <c r="N94" s="1" t="s">
        <v>999</v>
      </c>
      <c r="O94" s="1">
        <v>100</v>
      </c>
      <c r="P94" s="1" t="s">
        <v>398</v>
      </c>
      <c r="Q94" s="1">
        <v>10</v>
      </c>
      <c r="R94" s="1" t="s">
        <v>1161</v>
      </c>
      <c r="S94" s="16" t="s">
        <v>1001</v>
      </c>
      <c r="U94" s="1" t="s">
        <v>1162</v>
      </c>
      <c r="V94" s="17" t="s">
        <v>1163</v>
      </c>
      <c r="W94" s="5"/>
      <c r="X94" s="1" t="s">
        <v>1164</v>
      </c>
      <c r="Y94" s="5" t="s">
        <v>1005</v>
      </c>
      <c r="Z94" s="21" t="s">
        <v>1165</v>
      </c>
      <c r="AA94" s="22" t="s">
        <v>407</v>
      </c>
      <c r="AC94" s="22"/>
    </row>
    <row r="95" spans="1:29" s="1" customFormat="1" ht="49.5" x14ac:dyDescent="0.25">
      <c r="A95" s="13">
        <f t="shared" si="1"/>
        <v>211103</v>
      </c>
      <c r="B95" s="14">
        <v>2111</v>
      </c>
      <c r="C95" s="1" t="s">
        <v>716</v>
      </c>
      <c r="D95" s="12" t="s">
        <v>1160</v>
      </c>
      <c r="E95" s="3">
        <v>3</v>
      </c>
      <c r="F95" s="5" t="s">
        <v>396</v>
      </c>
      <c r="G95" s="3">
        <v>1</v>
      </c>
      <c r="L95" s="1">
        <v>3600</v>
      </c>
      <c r="M95" s="1">
        <v>2500</v>
      </c>
      <c r="N95" s="1" t="s">
        <v>999</v>
      </c>
      <c r="O95" s="1">
        <v>100</v>
      </c>
      <c r="P95" s="1" t="s">
        <v>398</v>
      </c>
      <c r="Q95" s="1">
        <v>10</v>
      </c>
      <c r="R95" s="1" t="s">
        <v>1161</v>
      </c>
      <c r="S95" s="16" t="s">
        <v>1001</v>
      </c>
      <c r="U95" s="1" t="s">
        <v>1162</v>
      </c>
      <c r="V95" s="17" t="s">
        <v>1163</v>
      </c>
      <c r="W95" s="5"/>
      <c r="X95" s="1" t="s">
        <v>1164</v>
      </c>
      <c r="Y95" s="5" t="s">
        <v>1005</v>
      </c>
      <c r="Z95" s="21" t="s">
        <v>1165</v>
      </c>
      <c r="AA95" s="22" t="s">
        <v>407</v>
      </c>
      <c r="AC95" s="22"/>
    </row>
    <row r="96" spans="1:29" s="1" customFormat="1" ht="49.5" x14ac:dyDescent="0.25">
      <c r="A96" s="13">
        <f t="shared" si="1"/>
        <v>211104</v>
      </c>
      <c r="B96" s="14">
        <v>2111</v>
      </c>
      <c r="C96" s="1" t="s">
        <v>716</v>
      </c>
      <c r="D96" s="12" t="s">
        <v>1160</v>
      </c>
      <c r="E96" s="3">
        <v>4</v>
      </c>
      <c r="F96" s="5" t="s">
        <v>396</v>
      </c>
      <c r="G96" s="3">
        <v>2</v>
      </c>
      <c r="L96" s="1">
        <v>3600</v>
      </c>
      <c r="M96" s="1">
        <v>2500</v>
      </c>
      <c r="N96" s="1" t="s">
        <v>999</v>
      </c>
      <c r="O96" s="1">
        <v>100</v>
      </c>
      <c r="P96" s="1" t="s">
        <v>398</v>
      </c>
      <c r="Q96" s="1">
        <v>10</v>
      </c>
      <c r="R96" s="1" t="s">
        <v>1161</v>
      </c>
      <c r="S96" s="16" t="s">
        <v>1001</v>
      </c>
      <c r="U96" s="1" t="s">
        <v>1162</v>
      </c>
      <c r="V96" s="17" t="s">
        <v>1163</v>
      </c>
      <c r="W96" s="5"/>
      <c r="X96" s="1" t="s">
        <v>1164</v>
      </c>
      <c r="Y96" s="5" t="s">
        <v>1005</v>
      </c>
      <c r="Z96" s="21" t="s">
        <v>1165</v>
      </c>
      <c r="AA96" s="22" t="s">
        <v>407</v>
      </c>
      <c r="AC96" s="22"/>
    </row>
    <row r="97" spans="1:29" s="1" customFormat="1" ht="49.5" x14ac:dyDescent="0.25">
      <c r="A97" s="13">
        <f t="shared" si="1"/>
        <v>211105</v>
      </c>
      <c r="B97" s="14">
        <v>2111</v>
      </c>
      <c r="C97" s="1" t="s">
        <v>716</v>
      </c>
      <c r="D97" s="12" t="s">
        <v>1160</v>
      </c>
      <c r="E97" s="3">
        <v>5</v>
      </c>
      <c r="F97" s="5" t="s">
        <v>396</v>
      </c>
      <c r="G97" s="3">
        <v>2</v>
      </c>
      <c r="L97" s="1">
        <v>3600</v>
      </c>
      <c r="M97" s="1">
        <v>2500</v>
      </c>
      <c r="N97" s="1" t="s">
        <v>999</v>
      </c>
      <c r="O97" s="1">
        <v>100</v>
      </c>
      <c r="P97" s="1" t="s">
        <v>398</v>
      </c>
      <c r="Q97" s="1">
        <v>10</v>
      </c>
      <c r="R97" s="1" t="s">
        <v>1161</v>
      </c>
      <c r="S97" s="16" t="s">
        <v>1001</v>
      </c>
      <c r="U97" s="1" t="s">
        <v>1162</v>
      </c>
      <c r="V97" s="17" t="s">
        <v>1163</v>
      </c>
      <c r="W97" s="5"/>
      <c r="X97" s="1" t="s">
        <v>1164</v>
      </c>
      <c r="Y97" s="5" t="s">
        <v>1005</v>
      </c>
      <c r="Z97" s="21" t="s">
        <v>1165</v>
      </c>
      <c r="AA97" s="22" t="s">
        <v>407</v>
      </c>
      <c r="AC97" s="22"/>
    </row>
    <row r="98" spans="1:29" s="1" customFormat="1" ht="49.5" x14ac:dyDescent="0.25">
      <c r="A98" s="13">
        <f t="shared" si="1"/>
        <v>212101</v>
      </c>
      <c r="B98" s="14">
        <v>2121</v>
      </c>
      <c r="C98" s="1" t="s">
        <v>716</v>
      </c>
      <c r="D98" s="15" t="s">
        <v>1166</v>
      </c>
      <c r="E98" s="3">
        <v>1</v>
      </c>
      <c r="F98" s="5" t="s">
        <v>396</v>
      </c>
      <c r="G98" s="3">
        <v>5</v>
      </c>
      <c r="K98" s="1">
        <v>2111</v>
      </c>
      <c r="L98" s="1">
        <v>5400</v>
      </c>
      <c r="M98" s="1">
        <v>2650</v>
      </c>
      <c r="N98" s="1" t="s">
        <v>1008</v>
      </c>
      <c r="O98" s="1">
        <v>100</v>
      </c>
      <c r="P98" s="1" t="s">
        <v>398</v>
      </c>
      <c r="Q98" s="1">
        <v>10</v>
      </c>
      <c r="R98" s="1">
        <v>1057</v>
      </c>
      <c r="S98" s="16">
        <v>8.0000000000000002E-3</v>
      </c>
      <c r="U98" s="1" t="s">
        <v>1167</v>
      </c>
      <c r="V98" s="17" t="s">
        <v>477</v>
      </c>
      <c r="W98" s="5"/>
      <c r="X98" s="17" t="s">
        <v>479</v>
      </c>
      <c r="Y98" s="5" t="s">
        <v>1005</v>
      </c>
      <c r="Z98" s="21" t="s">
        <v>1168</v>
      </c>
      <c r="AA98" s="22" t="s">
        <v>420</v>
      </c>
      <c r="AC98" s="22"/>
    </row>
    <row r="99" spans="1:29" s="1" customFormat="1" ht="49.5" x14ac:dyDescent="0.25">
      <c r="A99" s="13">
        <f t="shared" si="1"/>
        <v>212102</v>
      </c>
      <c r="B99" s="14">
        <v>2121</v>
      </c>
      <c r="C99" s="1" t="s">
        <v>716</v>
      </c>
      <c r="D99" s="15" t="s">
        <v>1166</v>
      </c>
      <c r="E99" s="3">
        <v>2</v>
      </c>
      <c r="F99" s="5" t="s">
        <v>396</v>
      </c>
      <c r="G99" s="3">
        <v>6</v>
      </c>
      <c r="K99" s="1">
        <v>2111</v>
      </c>
      <c r="L99" s="1">
        <v>5400</v>
      </c>
      <c r="M99" s="1">
        <v>2650</v>
      </c>
      <c r="N99" s="1" t="s">
        <v>1008</v>
      </c>
      <c r="O99" s="1">
        <v>100</v>
      </c>
      <c r="P99" s="1" t="s">
        <v>398</v>
      </c>
      <c r="Q99" s="1">
        <v>10</v>
      </c>
      <c r="R99" s="1">
        <v>1057</v>
      </c>
      <c r="S99" s="16">
        <v>8.0000000000000002E-3</v>
      </c>
      <c r="U99" s="1" t="s">
        <v>1167</v>
      </c>
      <c r="V99" s="17" t="s">
        <v>477</v>
      </c>
      <c r="W99" s="5"/>
      <c r="X99" s="17" t="s">
        <v>479</v>
      </c>
      <c r="Y99" s="5" t="s">
        <v>1005</v>
      </c>
      <c r="Z99" s="21" t="s">
        <v>1168</v>
      </c>
      <c r="AA99" s="22" t="s">
        <v>420</v>
      </c>
      <c r="AC99" s="22"/>
    </row>
    <row r="100" spans="1:29" s="1" customFormat="1" ht="49.5" x14ac:dyDescent="0.25">
      <c r="A100" s="13">
        <f t="shared" si="1"/>
        <v>212103</v>
      </c>
      <c r="B100" s="14">
        <v>2121</v>
      </c>
      <c r="C100" s="1" t="s">
        <v>716</v>
      </c>
      <c r="D100" s="15" t="s">
        <v>1166</v>
      </c>
      <c r="E100" s="3">
        <v>3</v>
      </c>
      <c r="F100" s="5" t="s">
        <v>396</v>
      </c>
      <c r="G100" s="3">
        <v>7</v>
      </c>
      <c r="K100" s="1">
        <v>2111</v>
      </c>
      <c r="L100" s="1">
        <v>5400</v>
      </c>
      <c r="M100" s="1">
        <v>2650</v>
      </c>
      <c r="N100" s="1" t="s">
        <v>1008</v>
      </c>
      <c r="O100" s="1">
        <v>100</v>
      </c>
      <c r="P100" s="1" t="s">
        <v>398</v>
      </c>
      <c r="Q100" s="1">
        <v>10</v>
      </c>
      <c r="R100" s="1">
        <v>1057</v>
      </c>
      <c r="S100" s="16">
        <v>8.0000000000000002E-3</v>
      </c>
      <c r="U100" s="1" t="s">
        <v>1167</v>
      </c>
      <c r="V100" s="17" t="s">
        <v>477</v>
      </c>
      <c r="W100" s="5"/>
      <c r="X100" s="17" t="s">
        <v>479</v>
      </c>
      <c r="Y100" s="5" t="s">
        <v>1005</v>
      </c>
      <c r="Z100" s="21" t="s">
        <v>1168</v>
      </c>
      <c r="AA100" s="22" t="s">
        <v>420</v>
      </c>
      <c r="AC100" s="22"/>
    </row>
    <row r="101" spans="1:29" s="1" customFormat="1" ht="49.5" x14ac:dyDescent="0.25">
      <c r="A101" s="13">
        <f t="shared" si="1"/>
        <v>212104</v>
      </c>
      <c r="B101" s="14">
        <v>2121</v>
      </c>
      <c r="C101" s="1" t="s">
        <v>716</v>
      </c>
      <c r="D101" s="15" t="s">
        <v>1166</v>
      </c>
      <c r="E101" s="3">
        <v>4</v>
      </c>
      <c r="F101" s="5" t="s">
        <v>396</v>
      </c>
      <c r="G101" s="3">
        <v>8</v>
      </c>
      <c r="K101" s="1">
        <v>2111</v>
      </c>
      <c r="L101" s="1">
        <v>5400</v>
      </c>
      <c r="M101" s="1">
        <v>2650</v>
      </c>
      <c r="N101" s="1" t="s">
        <v>1008</v>
      </c>
      <c r="O101" s="1">
        <v>100</v>
      </c>
      <c r="P101" s="1" t="s">
        <v>398</v>
      </c>
      <c r="Q101" s="1">
        <v>10</v>
      </c>
      <c r="R101" s="1">
        <v>1057</v>
      </c>
      <c r="S101" s="16">
        <v>8.0000000000000002E-3</v>
      </c>
      <c r="U101" s="1" t="s">
        <v>1167</v>
      </c>
      <c r="V101" s="17" t="s">
        <v>477</v>
      </c>
      <c r="W101" s="5"/>
      <c r="X101" s="17" t="s">
        <v>479</v>
      </c>
      <c r="Y101" s="5" t="s">
        <v>1005</v>
      </c>
      <c r="Z101" s="21" t="s">
        <v>1168</v>
      </c>
      <c r="AA101" s="22" t="s">
        <v>420</v>
      </c>
      <c r="AC101" s="22"/>
    </row>
    <row r="102" spans="1:29" s="1" customFormat="1" ht="49.5" x14ac:dyDescent="0.25">
      <c r="A102" s="13">
        <f t="shared" si="1"/>
        <v>212105</v>
      </c>
      <c r="B102" s="14">
        <v>2121</v>
      </c>
      <c r="C102" s="1" t="s">
        <v>716</v>
      </c>
      <c r="D102" s="15" t="s">
        <v>1166</v>
      </c>
      <c r="E102" s="3">
        <v>5</v>
      </c>
      <c r="F102" s="5" t="s">
        <v>396</v>
      </c>
      <c r="G102" s="3">
        <v>9</v>
      </c>
      <c r="K102" s="1">
        <v>2111</v>
      </c>
      <c r="L102" s="1">
        <v>5400</v>
      </c>
      <c r="M102" s="1">
        <v>2650</v>
      </c>
      <c r="N102" s="1" t="s">
        <v>1008</v>
      </c>
      <c r="O102" s="1">
        <v>100</v>
      </c>
      <c r="P102" s="1" t="s">
        <v>398</v>
      </c>
      <c r="Q102" s="1">
        <v>10</v>
      </c>
      <c r="R102" s="1">
        <v>1057</v>
      </c>
      <c r="S102" s="16">
        <v>8.0000000000000002E-3</v>
      </c>
      <c r="U102" s="1" t="s">
        <v>1167</v>
      </c>
      <c r="V102" s="17" t="s">
        <v>477</v>
      </c>
      <c r="W102" s="5"/>
      <c r="X102" s="17" t="s">
        <v>479</v>
      </c>
      <c r="Y102" s="5" t="s">
        <v>1005</v>
      </c>
      <c r="Z102" s="21" t="s">
        <v>1168</v>
      </c>
      <c r="AA102" s="22" t="s">
        <v>420</v>
      </c>
      <c r="AC102" s="22"/>
    </row>
    <row r="103" spans="1:29" s="3" customFormat="1" ht="49.5" x14ac:dyDescent="0.25">
      <c r="A103" s="13">
        <f t="shared" si="1"/>
        <v>212201</v>
      </c>
      <c r="B103" s="26">
        <v>2122</v>
      </c>
      <c r="C103" s="3" t="s">
        <v>716</v>
      </c>
      <c r="D103" s="27" t="s">
        <v>1169</v>
      </c>
      <c r="E103" s="3">
        <v>1</v>
      </c>
      <c r="F103" s="7" t="s">
        <v>396</v>
      </c>
      <c r="G103" s="3">
        <v>5</v>
      </c>
      <c r="K103" s="3">
        <v>2111</v>
      </c>
      <c r="L103" s="3">
        <v>5400</v>
      </c>
      <c r="M103" s="3">
        <v>2650</v>
      </c>
      <c r="N103" s="3" t="s">
        <v>1008</v>
      </c>
      <c r="O103" s="1">
        <v>100</v>
      </c>
      <c r="P103" s="3" t="s">
        <v>398</v>
      </c>
      <c r="Q103" s="3">
        <v>10</v>
      </c>
      <c r="R103" s="3" t="s">
        <v>1161</v>
      </c>
      <c r="S103" s="16" t="s">
        <v>1001</v>
      </c>
      <c r="U103" s="3" t="s">
        <v>1162</v>
      </c>
      <c r="V103" s="29" t="s">
        <v>1163</v>
      </c>
      <c r="W103" s="7"/>
      <c r="X103" s="1" t="s">
        <v>1164</v>
      </c>
      <c r="Y103" s="7" t="s">
        <v>1005</v>
      </c>
      <c r="Z103" s="32" t="s">
        <v>1165</v>
      </c>
      <c r="AA103" s="33" t="s">
        <v>433</v>
      </c>
      <c r="AC103" s="33"/>
    </row>
    <row r="104" spans="1:29" s="3" customFormat="1" ht="49.5" x14ac:dyDescent="0.25">
      <c r="A104" s="13">
        <f t="shared" si="1"/>
        <v>212202</v>
      </c>
      <c r="B104" s="26">
        <v>2122</v>
      </c>
      <c r="C104" s="3" t="s">
        <v>716</v>
      </c>
      <c r="D104" s="27" t="s">
        <v>1169</v>
      </c>
      <c r="E104" s="3">
        <v>2</v>
      </c>
      <c r="F104" s="7" t="s">
        <v>396</v>
      </c>
      <c r="G104" s="3">
        <v>6</v>
      </c>
      <c r="K104" s="3">
        <v>2111</v>
      </c>
      <c r="L104" s="3">
        <v>5400</v>
      </c>
      <c r="M104" s="3">
        <v>2650</v>
      </c>
      <c r="N104" s="3" t="s">
        <v>1008</v>
      </c>
      <c r="O104" s="1">
        <v>100</v>
      </c>
      <c r="P104" s="3" t="s">
        <v>398</v>
      </c>
      <c r="Q104" s="3">
        <v>10</v>
      </c>
      <c r="R104" s="3" t="s">
        <v>1161</v>
      </c>
      <c r="S104" s="16" t="s">
        <v>1001</v>
      </c>
      <c r="U104" s="3" t="s">
        <v>1162</v>
      </c>
      <c r="V104" s="29" t="s">
        <v>1163</v>
      </c>
      <c r="W104" s="7"/>
      <c r="X104" s="1" t="s">
        <v>1164</v>
      </c>
      <c r="Y104" s="7" t="s">
        <v>1005</v>
      </c>
      <c r="Z104" s="32" t="s">
        <v>1165</v>
      </c>
      <c r="AA104" s="33" t="s">
        <v>433</v>
      </c>
      <c r="AC104" s="33"/>
    </row>
    <row r="105" spans="1:29" s="3" customFormat="1" ht="49.5" x14ac:dyDescent="0.25">
      <c r="A105" s="13">
        <f t="shared" si="1"/>
        <v>212203</v>
      </c>
      <c r="B105" s="26">
        <v>2122</v>
      </c>
      <c r="C105" s="3" t="s">
        <v>716</v>
      </c>
      <c r="D105" s="27" t="s">
        <v>1169</v>
      </c>
      <c r="E105" s="3">
        <v>3</v>
      </c>
      <c r="F105" s="7" t="s">
        <v>396</v>
      </c>
      <c r="G105" s="3">
        <v>7</v>
      </c>
      <c r="K105" s="3">
        <v>2111</v>
      </c>
      <c r="L105" s="3">
        <v>5400</v>
      </c>
      <c r="M105" s="3">
        <v>2650</v>
      </c>
      <c r="N105" s="3" t="s">
        <v>1008</v>
      </c>
      <c r="O105" s="1">
        <v>100</v>
      </c>
      <c r="P105" s="3" t="s">
        <v>398</v>
      </c>
      <c r="Q105" s="3">
        <v>10</v>
      </c>
      <c r="R105" s="3" t="s">
        <v>1161</v>
      </c>
      <c r="S105" s="16" t="s">
        <v>1001</v>
      </c>
      <c r="U105" s="3" t="s">
        <v>1162</v>
      </c>
      <c r="V105" s="29" t="s">
        <v>1163</v>
      </c>
      <c r="W105" s="7"/>
      <c r="X105" s="1" t="s">
        <v>1164</v>
      </c>
      <c r="Y105" s="7" t="s">
        <v>1005</v>
      </c>
      <c r="Z105" s="32" t="s">
        <v>1165</v>
      </c>
      <c r="AA105" s="33" t="s">
        <v>433</v>
      </c>
      <c r="AC105" s="33"/>
    </row>
    <row r="106" spans="1:29" s="3" customFormat="1" ht="49.5" x14ac:dyDescent="0.25">
      <c r="A106" s="13">
        <f t="shared" si="1"/>
        <v>212204</v>
      </c>
      <c r="B106" s="26">
        <v>2122</v>
      </c>
      <c r="C106" s="3" t="s">
        <v>716</v>
      </c>
      <c r="D106" s="27" t="s">
        <v>1169</v>
      </c>
      <c r="E106" s="3">
        <v>4</v>
      </c>
      <c r="F106" s="7" t="s">
        <v>396</v>
      </c>
      <c r="G106" s="3">
        <v>8</v>
      </c>
      <c r="K106" s="3">
        <v>2111</v>
      </c>
      <c r="L106" s="3">
        <v>5400</v>
      </c>
      <c r="M106" s="3">
        <v>2650</v>
      </c>
      <c r="N106" s="3" t="s">
        <v>1008</v>
      </c>
      <c r="O106" s="1">
        <v>100</v>
      </c>
      <c r="P106" s="3" t="s">
        <v>398</v>
      </c>
      <c r="Q106" s="3">
        <v>10</v>
      </c>
      <c r="R106" s="3" t="s">
        <v>1161</v>
      </c>
      <c r="S106" s="16" t="s">
        <v>1001</v>
      </c>
      <c r="U106" s="3" t="s">
        <v>1162</v>
      </c>
      <c r="V106" s="29" t="s">
        <v>1163</v>
      </c>
      <c r="W106" s="7"/>
      <c r="X106" s="1" t="s">
        <v>1164</v>
      </c>
      <c r="Y106" s="7" t="s">
        <v>1005</v>
      </c>
      <c r="Z106" s="32" t="s">
        <v>1165</v>
      </c>
      <c r="AA106" s="33" t="s">
        <v>433</v>
      </c>
      <c r="AC106" s="33"/>
    </row>
    <row r="107" spans="1:29" s="3" customFormat="1" ht="49.5" x14ac:dyDescent="0.25">
      <c r="A107" s="13">
        <f t="shared" si="1"/>
        <v>212205</v>
      </c>
      <c r="B107" s="26">
        <v>2122</v>
      </c>
      <c r="C107" s="3" t="s">
        <v>716</v>
      </c>
      <c r="D107" s="27" t="s">
        <v>1169</v>
      </c>
      <c r="E107" s="3">
        <v>5</v>
      </c>
      <c r="F107" s="7" t="s">
        <v>396</v>
      </c>
      <c r="G107" s="3">
        <v>9</v>
      </c>
      <c r="K107" s="3">
        <v>2111</v>
      </c>
      <c r="L107" s="3">
        <v>5400</v>
      </c>
      <c r="M107" s="3">
        <v>2650</v>
      </c>
      <c r="N107" s="3" t="s">
        <v>1008</v>
      </c>
      <c r="O107" s="1">
        <v>100</v>
      </c>
      <c r="P107" s="3" t="s">
        <v>398</v>
      </c>
      <c r="Q107" s="3">
        <v>10</v>
      </c>
      <c r="R107" s="3" t="s">
        <v>1161</v>
      </c>
      <c r="S107" s="16" t="s">
        <v>1001</v>
      </c>
      <c r="U107" s="3" t="s">
        <v>1162</v>
      </c>
      <c r="V107" s="29" t="s">
        <v>1163</v>
      </c>
      <c r="W107" s="7"/>
      <c r="X107" s="1" t="s">
        <v>1164</v>
      </c>
      <c r="Y107" s="7" t="s">
        <v>1005</v>
      </c>
      <c r="Z107" s="32" t="s">
        <v>1165</v>
      </c>
      <c r="AA107" s="33" t="s">
        <v>433</v>
      </c>
      <c r="AC107" s="33"/>
    </row>
    <row r="108" spans="1:29" s="1" customFormat="1" ht="49.5" x14ac:dyDescent="0.25">
      <c r="A108" s="13">
        <f t="shared" si="1"/>
        <v>212301</v>
      </c>
      <c r="B108" s="14">
        <v>2123</v>
      </c>
      <c r="C108" s="1" t="s">
        <v>716</v>
      </c>
      <c r="D108" s="15" t="s">
        <v>1170</v>
      </c>
      <c r="E108" s="3">
        <v>1</v>
      </c>
      <c r="F108" s="5" t="s">
        <v>396</v>
      </c>
      <c r="G108" s="3">
        <v>5</v>
      </c>
      <c r="K108" s="1">
        <v>2111</v>
      </c>
      <c r="L108" s="1">
        <v>5400</v>
      </c>
      <c r="M108" s="1">
        <v>2650</v>
      </c>
      <c r="N108" s="1" t="s">
        <v>1008</v>
      </c>
      <c r="O108" s="1">
        <v>100</v>
      </c>
      <c r="P108" s="1" t="s">
        <v>398</v>
      </c>
      <c r="Q108" s="1">
        <v>10</v>
      </c>
      <c r="R108" s="1">
        <v>1062</v>
      </c>
      <c r="S108" s="16">
        <v>4.0000000000000001E-3</v>
      </c>
      <c r="U108" s="1" t="s">
        <v>1171</v>
      </c>
      <c r="V108" s="17" t="s">
        <v>1172</v>
      </c>
      <c r="W108" s="5"/>
      <c r="X108" s="17" t="s">
        <v>1173</v>
      </c>
      <c r="Y108" s="5" t="s">
        <v>1005</v>
      </c>
      <c r="Z108" s="21" t="s">
        <v>1168</v>
      </c>
      <c r="AA108" s="22" t="s">
        <v>445</v>
      </c>
      <c r="AC108" s="22"/>
    </row>
    <row r="109" spans="1:29" s="1" customFormat="1" ht="49.5" x14ac:dyDescent="0.25">
      <c r="A109" s="13">
        <f t="shared" si="1"/>
        <v>212302</v>
      </c>
      <c r="B109" s="14">
        <v>2123</v>
      </c>
      <c r="C109" s="1" t="s">
        <v>716</v>
      </c>
      <c r="D109" s="15" t="s">
        <v>1170</v>
      </c>
      <c r="E109" s="3">
        <v>2</v>
      </c>
      <c r="F109" s="5" t="s">
        <v>396</v>
      </c>
      <c r="G109" s="3">
        <v>6</v>
      </c>
      <c r="K109" s="1">
        <v>2111</v>
      </c>
      <c r="L109" s="1">
        <v>5400</v>
      </c>
      <c r="M109" s="1">
        <v>2650</v>
      </c>
      <c r="N109" s="1" t="s">
        <v>1008</v>
      </c>
      <c r="O109" s="1">
        <v>100</v>
      </c>
      <c r="P109" s="1" t="s">
        <v>398</v>
      </c>
      <c r="Q109" s="1">
        <v>10</v>
      </c>
      <c r="R109" s="1">
        <v>1062</v>
      </c>
      <c r="S109" s="16">
        <v>4.0000000000000001E-3</v>
      </c>
      <c r="U109" s="1" t="s">
        <v>1171</v>
      </c>
      <c r="V109" s="17" t="s">
        <v>1172</v>
      </c>
      <c r="W109" s="5"/>
      <c r="X109" s="17" t="s">
        <v>1173</v>
      </c>
      <c r="Y109" s="5" t="s">
        <v>1005</v>
      </c>
      <c r="Z109" s="21" t="s">
        <v>1168</v>
      </c>
      <c r="AA109" s="22" t="s">
        <v>445</v>
      </c>
      <c r="AC109" s="22"/>
    </row>
    <row r="110" spans="1:29" s="1" customFormat="1" ht="49.5" x14ac:dyDescent="0.25">
      <c r="A110" s="13">
        <f t="shared" si="1"/>
        <v>212303</v>
      </c>
      <c r="B110" s="14">
        <v>2123</v>
      </c>
      <c r="C110" s="1" t="s">
        <v>716</v>
      </c>
      <c r="D110" s="15" t="s">
        <v>1170</v>
      </c>
      <c r="E110" s="3">
        <v>3</v>
      </c>
      <c r="F110" s="5" t="s">
        <v>396</v>
      </c>
      <c r="G110" s="3">
        <v>7</v>
      </c>
      <c r="K110" s="1">
        <v>2111</v>
      </c>
      <c r="L110" s="1">
        <v>5400</v>
      </c>
      <c r="M110" s="1">
        <v>2650</v>
      </c>
      <c r="N110" s="1" t="s">
        <v>1008</v>
      </c>
      <c r="O110" s="1">
        <v>100</v>
      </c>
      <c r="P110" s="1" t="s">
        <v>398</v>
      </c>
      <c r="Q110" s="1">
        <v>10</v>
      </c>
      <c r="R110" s="1">
        <v>1062</v>
      </c>
      <c r="S110" s="16">
        <v>4.0000000000000001E-3</v>
      </c>
      <c r="U110" s="1" t="s">
        <v>1171</v>
      </c>
      <c r="V110" s="17" t="s">
        <v>1172</v>
      </c>
      <c r="W110" s="5"/>
      <c r="X110" s="17" t="s">
        <v>1173</v>
      </c>
      <c r="Y110" s="5" t="s">
        <v>1005</v>
      </c>
      <c r="Z110" s="21" t="s">
        <v>1168</v>
      </c>
      <c r="AA110" s="22" t="s">
        <v>445</v>
      </c>
      <c r="AC110" s="22"/>
    </row>
    <row r="111" spans="1:29" s="1" customFormat="1" ht="49.5" x14ac:dyDescent="0.25">
      <c r="A111" s="13">
        <f t="shared" si="1"/>
        <v>212304</v>
      </c>
      <c r="B111" s="14">
        <v>2123</v>
      </c>
      <c r="C111" s="1" t="s">
        <v>716</v>
      </c>
      <c r="D111" s="15" t="s">
        <v>1170</v>
      </c>
      <c r="E111" s="3">
        <v>4</v>
      </c>
      <c r="F111" s="5" t="s">
        <v>396</v>
      </c>
      <c r="G111" s="3">
        <v>8</v>
      </c>
      <c r="K111" s="1">
        <v>2111</v>
      </c>
      <c r="L111" s="1">
        <v>5400</v>
      </c>
      <c r="M111" s="1">
        <v>2650</v>
      </c>
      <c r="N111" s="1" t="s">
        <v>1008</v>
      </c>
      <c r="O111" s="1">
        <v>100</v>
      </c>
      <c r="P111" s="1" t="s">
        <v>398</v>
      </c>
      <c r="Q111" s="1">
        <v>10</v>
      </c>
      <c r="R111" s="1">
        <v>1062</v>
      </c>
      <c r="S111" s="16">
        <v>4.0000000000000001E-3</v>
      </c>
      <c r="U111" s="1" t="s">
        <v>1171</v>
      </c>
      <c r="V111" s="17" t="s">
        <v>1172</v>
      </c>
      <c r="W111" s="5"/>
      <c r="X111" s="17" t="s">
        <v>1173</v>
      </c>
      <c r="Y111" s="5" t="s">
        <v>1005</v>
      </c>
      <c r="Z111" s="21" t="s">
        <v>1168</v>
      </c>
      <c r="AA111" s="22" t="s">
        <v>445</v>
      </c>
      <c r="AC111" s="22"/>
    </row>
    <row r="112" spans="1:29" s="1" customFormat="1" ht="49.5" x14ac:dyDescent="0.25">
      <c r="A112" s="13">
        <f t="shared" si="1"/>
        <v>212305</v>
      </c>
      <c r="B112" s="14">
        <v>2123</v>
      </c>
      <c r="C112" s="1" t="s">
        <v>716</v>
      </c>
      <c r="D112" s="15" t="s">
        <v>1170</v>
      </c>
      <c r="E112" s="3">
        <v>5</v>
      </c>
      <c r="F112" s="5" t="s">
        <v>396</v>
      </c>
      <c r="G112" s="3">
        <v>9</v>
      </c>
      <c r="K112" s="1">
        <v>2111</v>
      </c>
      <c r="L112" s="1">
        <v>5400</v>
      </c>
      <c r="M112" s="1">
        <v>2650</v>
      </c>
      <c r="N112" s="1" t="s">
        <v>1008</v>
      </c>
      <c r="O112" s="1">
        <v>100</v>
      </c>
      <c r="P112" s="1" t="s">
        <v>398</v>
      </c>
      <c r="Q112" s="1">
        <v>10</v>
      </c>
      <c r="R112" s="1">
        <v>1062</v>
      </c>
      <c r="S112" s="16">
        <v>4.0000000000000001E-3</v>
      </c>
      <c r="U112" s="1" t="s">
        <v>1171</v>
      </c>
      <c r="V112" s="17" t="s">
        <v>1172</v>
      </c>
      <c r="W112" s="5"/>
      <c r="X112" s="17" t="s">
        <v>1173</v>
      </c>
      <c r="Y112" s="5" t="s">
        <v>1005</v>
      </c>
      <c r="Z112" s="21" t="s">
        <v>1168</v>
      </c>
      <c r="AA112" s="22" t="s">
        <v>445</v>
      </c>
      <c r="AC112" s="22"/>
    </row>
    <row r="113" spans="1:29" s="1" customFormat="1" ht="49.5" x14ac:dyDescent="0.25">
      <c r="A113" s="13">
        <f t="shared" si="1"/>
        <v>213101</v>
      </c>
      <c r="B113" s="14">
        <v>2131</v>
      </c>
      <c r="C113" s="1" t="s">
        <v>716</v>
      </c>
      <c r="D113" s="15" t="s">
        <v>1174</v>
      </c>
      <c r="E113" s="3">
        <v>1</v>
      </c>
      <c r="F113" s="5" t="s">
        <v>396</v>
      </c>
      <c r="G113" s="3">
        <v>10</v>
      </c>
      <c r="K113" s="1">
        <v>2121</v>
      </c>
      <c r="L113" s="1">
        <v>7200</v>
      </c>
      <c r="M113" s="1">
        <v>2750</v>
      </c>
      <c r="N113" s="1" t="s">
        <v>1015</v>
      </c>
      <c r="O113" s="1">
        <v>100</v>
      </c>
      <c r="P113" s="1" t="s">
        <v>398</v>
      </c>
      <c r="Q113" s="1">
        <v>10</v>
      </c>
      <c r="R113" s="1">
        <v>1089</v>
      </c>
      <c r="S113" s="16">
        <v>500</v>
      </c>
      <c r="U113" s="1" t="s">
        <v>1175</v>
      </c>
      <c r="V113" s="17" t="s">
        <v>1176</v>
      </c>
      <c r="W113" s="5"/>
      <c r="X113" s="17" t="s">
        <v>1177</v>
      </c>
      <c r="Y113" s="5" t="s">
        <v>1005</v>
      </c>
      <c r="Z113" s="21" t="s">
        <v>1168</v>
      </c>
      <c r="AA113" s="22" t="s">
        <v>453</v>
      </c>
      <c r="AC113" s="22"/>
    </row>
    <row r="114" spans="1:29" s="1" customFormat="1" ht="49.5" x14ac:dyDescent="0.25">
      <c r="A114" s="13">
        <f t="shared" si="1"/>
        <v>213102</v>
      </c>
      <c r="B114" s="14">
        <v>2131</v>
      </c>
      <c r="C114" s="1" t="s">
        <v>716</v>
      </c>
      <c r="D114" s="15" t="s">
        <v>1174</v>
      </c>
      <c r="E114" s="3">
        <v>2</v>
      </c>
      <c r="F114" s="5" t="s">
        <v>396</v>
      </c>
      <c r="G114" s="3">
        <v>11</v>
      </c>
      <c r="K114" s="1">
        <v>2121</v>
      </c>
      <c r="L114" s="1">
        <v>7200</v>
      </c>
      <c r="M114" s="1">
        <v>2750</v>
      </c>
      <c r="N114" s="1" t="s">
        <v>1015</v>
      </c>
      <c r="O114" s="1">
        <v>100</v>
      </c>
      <c r="P114" s="1" t="s">
        <v>398</v>
      </c>
      <c r="Q114" s="1">
        <v>10</v>
      </c>
      <c r="R114" s="1">
        <v>1089</v>
      </c>
      <c r="S114" s="16">
        <v>500</v>
      </c>
      <c r="U114" s="1" t="s">
        <v>1175</v>
      </c>
      <c r="V114" s="17" t="s">
        <v>1176</v>
      </c>
      <c r="W114" s="5"/>
      <c r="X114" s="17" t="s">
        <v>1177</v>
      </c>
      <c r="Y114" s="5" t="s">
        <v>1005</v>
      </c>
      <c r="Z114" s="21" t="s">
        <v>1168</v>
      </c>
      <c r="AA114" s="22" t="s">
        <v>453</v>
      </c>
      <c r="AC114" s="22"/>
    </row>
    <row r="115" spans="1:29" s="1" customFormat="1" ht="49.5" x14ac:dyDescent="0.25">
      <c r="A115" s="13">
        <f t="shared" si="1"/>
        <v>213103</v>
      </c>
      <c r="B115" s="14">
        <v>2131</v>
      </c>
      <c r="C115" s="1" t="s">
        <v>716</v>
      </c>
      <c r="D115" s="15" t="s">
        <v>1174</v>
      </c>
      <c r="E115" s="3">
        <v>3</v>
      </c>
      <c r="F115" s="5" t="s">
        <v>396</v>
      </c>
      <c r="G115" s="3">
        <v>13</v>
      </c>
      <c r="K115" s="1">
        <v>2121</v>
      </c>
      <c r="L115" s="1">
        <v>7200</v>
      </c>
      <c r="M115" s="1">
        <v>2750</v>
      </c>
      <c r="N115" s="1" t="s">
        <v>1015</v>
      </c>
      <c r="O115" s="1">
        <v>100</v>
      </c>
      <c r="P115" s="1" t="s">
        <v>398</v>
      </c>
      <c r="Q115" s="1">
        <v>10</v>
      </c>
      <c r="R115" s="1">
        <v>1089</v>
      </c>
      <c r="S115" s="16">
        <v>500</v>
      </c>
      <c r="U115" s="1" t="s">
        <v>1175</v>
      </c>
      <c r="V115" s="17" t="s">
        <v>1176</v>
      </c>
      <c r="W115" s="5"/>
      <c r="X115" s="17" t="s">
        <v>1177</v>
      </c>
      <c r="Y115" s="5" t="s">
        <v>1005</v>
      </c>
      <c r="Z115" s="21" t="s">
        <v>1168</v>
      </c>
      <c r="AA115" s="22" t="s">
        <v>453</v>
      </c>
      <c r="AC115" s="22"/>
    </row>
    <row r="116" spans="1:29" s="1" customFormat="1" ht="49.5" x14ac:dyDescent="0.25">
      <c r="A116" s="13">
        <f t="shared" si="1"/>
        <v>213201</v>
      </c>
      <c r="B116" s="14">
        <v>2132</v>
      </c>
      <c r="C116" s="1" t="s">
        <v>716</v>
      </c>
      <c r="D116" s="15" t="s">
        <v>1178</v>
      </c>
      <c r="E116" s="3">
        <v>1</v>
      </c>
      <c r="F116" s="5" t="s">
        <v>396</v>
      </c>
      <c r="G116" s="3">
        <v>10</v>
      </c>
      <c r="K116" s="1">
        <v>2121</v>
      </c>
      <c r="L116" s="1">
        <v>7200</v>
      </c>
      <c r="M116" s="1">
        <v>2750</v>
      </c>
      <c r="N116" s="1" t="s">
        <v>1015</v>
      </c>
      <c r="O116" s="1">
        <v>100</v>
      </c>
      <c r="P116" s="1" t="s">
        <v>398</v>
      </c>
      <c r="Q116" s="1">
        <v>10</v>
      </c>
      <c r="R116" s="1">
        <v>1052</v>
      </c>
      <c r="S116" s="18">
        <v>0.01</v>
      </c>
      <c r="U116" s="1" t="s">
        <v>1179</v>
      </c>
      <c r="V116" s="17" t="s">
        <v>1180</v>
      </c>
      <c r="W116" s="5"/>
      <c r="X116" s="17" t="s">
        <v>1181</v>
      </c>
      <c r="Y116" s="5" t="s">
        <v>1005</v>
      </c>
      <c r="Z116" s="21" t="s">
        <v>1168</v>
      </c>
      <c r="AA116" s="22" t="s">
        <v>457</v>
      </c>
      <c r="AC116" s="22"/>
    </row>
    <row r="117" spans="1:29" s="1" customFormat="1" ht="49.5" x14ac:dyDescent="0.25">
      <c r="A117" s="13">
        <f t="shared" si="1"/>
        <v>213202</v>
      </c>
      <c r="B117" s="14">
        <v>2132</v>
      </c>
      <c r="C117" s="1" t="s">
        <v>716</v>
      </c>
      <c r="D117" s="15" t="s">
        <v>1178</v>
      </c>
      <c r="E117" s="3">
        <v>2</v>
      </c>
      <c r="F117" s="5" t="s">
        <v>396</v>
      </c>
      <c r="G117" s="3">
        <v>11</v>
      </c>
      <c r="K117" s="1">
        <v>2121</v>
      </c>
      <c r="L117" s="1">
        <v>7200</v>
      </c>
      <c r="M117" s="1">
        <v>2750</v>
      </c>
      <c r="N117" s="1" t="s">
        <v>1015</v>
      </c>
      <c r="O117" s="1">
        <v>100</v>
      </c>
      <c r="P117" s="1" t="s">
        <v>398</v>
      </c>
      <c r="Q117" s="1">
        <v>10</v>
      </c>
      <c r="R117" s="1">
        <v>1052</v>
      </c>
      <c r="S117" s="18">
        <v>0.01</v>
      </c>
      <c r="U117" s="1" t="s">
        <v>1179</v>
      </c>
      <c r="V117" s="17" t="s">
        <v>1180</v>
      </c>
      <c r="W117" s="5"/>
      <c r="X117" s="17" t="s">
        <v>1181</v>
      </c>
      <c r="Y117" s="5" t="s">
        <v>1005</v>
      </c>
      <c r="Z117" s="21" t="s">
        <v>1168</v>
      </c>
      <c r="AA117" s="22" t="s">
        <v>457</v>
      </c>
      <c r="AC117" s="22"/>
    </row>
    <row r="118" spans="1:29" s="1" customFormat="1" ht="49.5" x14ac:dyDescent="0.25">
      <c r="A118" s="13">
        <f t="shared" si="1"/>
        <v>213203</v>
      </c>
      <c r="B118" s="14">
        <v>2132</v>
      </c>
      <c r="C118" s="1" t="s">
        <v>716</v>
      </c>
      <c r="D118" s="15" t="s">
        <v>1178</v>
      </c>
      <c r="E118" s="3">
        <v>3</v>
      </c>
      <c r="F118" s="5" t="s">
        <v>396</v>
      </c>
      <c r="G118" s="3">
        <v>13</v>
      </c>
      <c r="K118" s="1">
        <v>2121</v>
      </c>
      <c r="L118" s="1">
        <v>7200</v>
      </c>
      <c r="M118" s="1">
        <v>2750</v>
      </c>
      <c r="N118" s="1" t="s">
        <v>1015</v>
      </c>
      <c r="O118" s="1">
        <v>100</v>
      </c>
      <c r="P118" s="1" t="s">
        <v>398</v>
      </c>
      <c r="Q118" s="1">
        <v>10</v>
      </c>
      <c r="R118" s="1">
        <v>1052</v>
      </c>
      <c r="S118" s="18">
        <v>0.01</v>
      </c>
      <c r="U118" s="1" t="s">
        <v>1179</v>
      </c>
      <c r="V118" s="17" t="s">
        <v>1180</v>
      </c>
      <c r="W118" s="5"/>
      <c r="X118" s="17" t="s">
        <v>1181</v>
      </c>
      <c r="Y118" s="5" t="s">
        <v>1005</v>
      </c>
      <c r="Z118" s="21" t="s">
        <v>1168</v>
      </c>
      <c r="AA118" s="22" t="s">
        <v>457</v>
      </c>
      <c r="AC118" s="22"/>
    </row>
    <row r="119" spans="1:29" s="1" customFormat="1" ht="49.5" x14ac:dyDescent="0.25">
      <c r="A119" s="13">
        <f t="shared" si="1"/>
        <v>213301</v>
      </c>
      <c r="B119" s="14">
        <v>2133</v>
      </c>
      <c r="C119" s="1" t="s">
        <v>716</v>
      </c>
      <c r="D119" s="15" t="s">
        <v>1022</v>
      </c>
      <c r="E119" s="3">
        <v>1</v>
      </c>
      <c r="F119" s="5" t="s">
        <v>396</v>
      </c>
      <c r="G119" s="3">
        <v>10</v>
      </c>
      <c r="K119" s="1">
        <v>2122</v>
      </c>
      <c r="L119" s="1">
        <v>7200</v>
      </c>
      <c r="M119" s="1">
        <v>2750</v>
      </c>
      <c r="N119" s="1" t="s">
        <v>1015</v>
      </c>
      <c r="O119" s="1">
        <v>100</v>
      </c>
      <c r="P119" s="1" t="s">
        <v>398</v>
      </c>
      <c r="Q119" s="1">
        <v>10</v>
      </c>
      <c r="S119" s="16"/>
      <c r="U119" s="1" t="s">
        <v>1182</v>
      </c>
      <c r="V119" s="17" t="s">
        <v>1024</v>
      </c>
      <c r="W119" s="5"/>
      <c r="X119" s="17"/>
      <c r="Y119" s="5" t="s">
        <v>1005</v>
      </c>
      <c r="Z119" s="21" t="s">
        <v>1025</v>
      </c>
      <c r="AA119" s="22" t="s">
        <v>1026</v>
      </c>
      <c r="AC119" s="22"/>
    </row>
    <row r="120" spans="1:29" s="1" customFormat="1" ht="49.5" x14ac:dyDescent="0.25">
      <c r="A120" s="13">
        <f t="shared" si="1"/>
        <v>213401</v>
      </c>
      <c r="B120" s="14">
        <v>2134</v>
      </c>
      <c r="C120" s="1" t="s">
        <v>716</v>
      </c>
      <c r="D120" s="15" t="s">
        <v>1183</v>
      </c>
      <c r="E120" s="3">
        <v>1</v>
      </c>
      <c r="F120" s="5" t="s">
        <v>396</v>
      </c>
      <c r="G120" s="3">
        <v>10</v>
      </c>
      <c r="K120" s="1">
        <v>2123</v>
      </c>
      <c r="L120" s="1">
        <v>7200</v>
      </c>
      <c r="M120" s="1">
        <v>2750</v>
      </c>
      <c r="N120" s="1" t="s">
        <v>1015</v>
      </c>
      <c r="O120" s="1">
        <v>100</v>
      </c>
      <c r="P120" s="1" t="s">
        <v>398</v>
      </c>
      <c r="Q120" s="1">
        <v>10</v>
      </c>
      <c r="R120" s="1">
        <v>1311</v>
      </c>
      <c r="S120" s="18">
        <v>0.01</v>
      </c>
      <c r="U120" s="1" t="s">
        <v>1179</v>
      </c>
      <c r="V120" s="17" t="s">
        <v>1184</v>
      </c>
      <c r="W120" s="5"/>
      <c r="X120" s="17" t="s">
        <v>1185</v>
      </c>
      <c r="Y120" s="5" t="s">
        <v>1005</v>
      </c>
      <c r="Z120" s="21" t="s">
        <v>1168</v>
      </c>
      <c r="AA120" s="22" t="s">
        <v>462</v>
      </c>
      <c r="AC120" s="22"/>
    </row>
    <row r="121" spans="1:29" s="1" customFormat="1" ht="49.5" x14ac:dyDescent="0.25">
      <c r="A121" s="13">
        <f t="shared" si="1"/>
        <v>213402</v>
      </c>
      <c r="B121" s="14">
        <v>2134</v>
      </c>
      <c r="C121" s="1" t="s">
        <v>716</v>
      </c>
      <c r="D121" s="15" t="s">
        <v>1183</v>
      </c>
      <c r="E121" s="3">
        <v>2</v>
      </c>
      <c r="F121" s="5" t="s">
        <v>396</v>
      </c>
      <c r="G121" s="3">
        <v>11</v>
      </c>
      <c r="K121" s="1">
        <v>2123</v>
      </c>
      <c r="L121" s="1">
        <v>7200</v>
      </c>
      <c r="M121" s="1">
        <v>2750</v>
      </c>
      <c r="N121" s="1" t="s">
        <v>1015</v>
      </c>
      <c r="O121" s="1">
        <v>100</v>
      </c>
      <c r="P121" s="1" t="s">
        <v>398</v>
      </c>
      <c r="Q121" s="1">
        <v>10</v>
      </c>
      <c r="R121" s="1">
        <v>1311</v>
      </c>
      <c r="S121" s="18">
        <v>0.01</v>
      </c>
      <c r="U121" s="1" t="s">
        <v>1179</v>
      </c>
      <c r="V121" s="17" t="s">
        <v>1184</v>
      </c>
      <c r="W121" s="5"/>
      <c r="X121" s="17" t="s">
        <v>1185</v>
      </c>
      <c r="Y121" s="5" t="s">
        <v>1005</v>
      </c>
      <c r="Z121" s="21" t="s">
        <v>1168</v>
      </c>
      <c r="AA121" s="22" t="s">
        <v>462</v>
      </c>
      <c r="AC121" s="22"/>
    </row>
    <row r="122" spans="1:29" s="1" customFormat="1" ht="49.5" x14ac:dyDescent="0.25">
      <c r="A122" s="13">
        <f t="shared" si="1"/>
        <v>213403</v>
      </c>
      <c r="B122" s="14">
        <v>2134</v>
      </c>
      <c r="C122" s="1" t="s">
        <v>716</v>
      </c>
      <c r="D122" s="15" t="s">
        <v>1183</v>
      </c>
      <c r="E122" s="3">
        <v>3</v>
      </c>
      <c r="F122" s="5" t="s">
        <v>396</v>
      </c>
      <c r="G122" s="3">
        <v>13</v>
      </c>
      <c r="K122" s="1">
        <v>2123</v>
      </c>
      <c r="L122" s="1">
        <v>7200</v>
      </c>
      <c r="M122" s="1">
        <v>2750</v>
      </c>
      <c r="N122" s="1" t="s">
        <v>1015</v>
      </c>
      <c r="O122" s="1">
        <v>100</v>
      </c>
      <c r="P122" s="1" t="s">
        <v>398</v>
      </c>
      <c r="Q122" s="1">
        <v>10</v>
      </c>
      <c r="R122" s="1">
        <v>1311</v>
      </c>
      <c r="S122" s="18">
        <v>0.01</v>
      </c>
      <c r="U122" s="1" t="s">
        <v>1179</v>
      </c>
      <c r="V122" s="17" t="s">
        <v>1184</v>
      </c>
      <c r="W122" s="5"/>
      <c r="X122" s="17" t="s">
        <v>1185</v>
      </c>
      <c r="Y122" s="5" t="s">
        <v>1005</v>
      </c>
      <c r="Z122" s="21" t="s">
        <v>1168</v>
      </c>
      <c r="AA122" s="22" t="s">
        <v>462</v>
      </c>
      <c r="AC122" s="22"/>
    </row>
    <row r="123" spans="1:29" s="1" customFormat="1" ht="49.5" x14ac:dyDescent="0.25">
      <c r="A123" s="13">
        <f t="shared" si="1"/>
        <v>213501</v>
      </c>
      <c r="B123" s="14">
        <v>2135</v>
      </c>
      <c r="C123" s="1" t="s">
        <v>716</v>
      </c>
      <c r="D123" s="15" t="s">
        <v>1186</v>
      </c>
      <c r="E123" s="3">
        <v>1</v>
      </c>
      <c r="F123" s="5" t="s">
        <v>396</v>
      </c>
      <c r="G123" s="3">
        <v>10</v>
      </c>
      <c r="K123" s="1">
        <v>2123</v>
      </c>
      <c r="L123" s="1">
        <v>7200</v>
      </c>
      <c r="M123" s="1">
        <v>2750</v>
      </c>
      <c r="N123" s="1" t="s">
        <v>1015</v>
      </c>
      <c r="O123" s="1">
        <v>100</v>
      </c>
      <c r="P123" s="1" t="s">
        <v>398</v>
      </c>
      <c r="Q123" s="1">
        <v>10</v>
      </c>
      <c r="R123" s="1">
        <v>1316</v>
      </c>
      <c r="S123" s="18">
        <v>0.01</v>
      </c>
      <c r="U123" s="19" t="s">
        <v>1187</v>
      </c>
      <c r="V123" s="17" t="s">
        <v>1188</v>
      </c>
      <c r="X123" s="17" t="s">
        <v>1189</v>
      </c>
      <c r="Y123" s="5" t="s">
        <v>1005</v>
      </c>
      <c r="Z123" s="21" t="s">
        <v>1165</v>
      </c>
      <c r="AA123" s="22" t="s">
        <v>467</v>
      </c>
      <c r="AC123" s="22"/>
    </row>
    <row r="124" spans="1:29" s="1" customFormat="1" ht="49.5" x14ac:dyDescent="0.25">
      <c r="A124" s="13">
        <f t="shared" si="1"/>
        <v>213502</v>
      </c>
      <c r="B124" s="14">
        <v>2135</v>
      </c>
      <c r="C124" s="1" t="s">
        <v>716</v>
      </c>
      <c r="D124" s="15" t="s">
        <v>1186</v>
      </c>
      <c r="E124" s="3">
        <v>2</v>
      </c>
      <c r="F124" s="5" t="s">
        <v>396</v>
      </c>
      <c r="G124" s="3">
        <v>11</v>
      </c>
      <c r="K124" s="1">
        <v>2123</v>
      </c>
      <c r="L124" s="1">
        <v>7200</v>
      </c>
      <c r="M124" s="1">
        <v>2750</v>
      </c>
      <c r="N124" s="1" t="s">
        <v>1015</v>
      </c>
      <c r="O124" s="1">
        <v>100</v>
      </c>
      <c r="P124" s="1" t="s">
        <v>398</v>
      </c>
      <c r="Q124" s="1">
        <v>10</v>
      </c>
      <c r="R124" s="1">
        <v>1316</v>
      </c>
      <c r="S124" s="18">
        <v>0.01</v>
      </c>
      <c r="U124" s="19" t="s">
        <v>1187</v>
      </c>
      <c r="V124" s="17" t="s">
        <v>1188</v>
      </c>
      <c r="X124" s="17" t="s">
        <v>1189</v>
      </c>
      <c r="Y124" s="5" t="s">
        <v>1005</v>
      </c>
      <c r="Z124" s="21" t="s">
        <v>1165</v>
      </c>
      <c r="AA124" s="22" t="s">
        <v>467</v>
      </c>
      <c r="AC124" s="22"/>
    </row>
    <row r="125" spans="1:29" s="1" customFormat="1" ht="49.5" x14ac:dyDescent="0.25">
      <c r="A125" s="13">
        <f t="shared" si="1"/>
        <v>213503</v>
      </c>
      <c r="B125" s="14">
        <v>2135</v>
      </c>
      <c r="C125" s="1" t="s">
        <v>716</v>
      </c>
      <c r="D125" s="15" t="s">
        <v>1186</v>
      </c>
      <c r="E125" s="3">
        <v>3</v>
      </c>
      <c r="F125" s="5" t="s">
        <v>396</v>
      </c>
      <c r="G125" s="3">
        <v>13</v>
      </c>
      <c r="K125" s="1">
        <v>2123</v>
      </c>
      <c r="L125" s="1">
        <v>7200</v>
      </c>
      <c r="M125" s="1">
        <v>2750</v>
      </c>
      <c r="N125" s="1" t="s">
        <v>1015</v>
      </c>
      <c r="O125" s="1">
        <v>100</v>
      </c>
      <c r="P125" s="1" t="s">
        <v>398</v>
      </c>
      <c r="Q125" s="1">
        <v>10</v>
      </c>
      <c r="R125" s="1">
        <v>1316</v>
      </c>
      <c r="S125" s="18">
        <v>0.01</v>
      </c>
      <c r="U125" s="19" t="s">
        <v>1187</v>
      </c>
      <c r="V125" s="17" t="s">
        <v>1188</v>
      </c>
      <c r="X125" s="17" t="s">
        <v>1189</v>
      </c>
      <c r="Y125" s="5" t="s">
        <v>1005</v>
      </c>
      <c r="Z125" s="21" t="s">
        <v>1165</v>
      </c>
      <c r="AA125" s="22" t="s">
        <v>467</v>
      </c>
      <c r="AC125" s="22"/>
    </row>
    <row r="126" spans="1:29" s="1" customFormat="1" ht="49.5" x14ac:dyDescent="0.25">
      <c r="A126" s="13">
        <f t="shared" si="1"/>
        <v>214101</v>
      </c>
      <c r="B126" s="14">
        <v>2141</v>
      </c>
      <c r="C126" s="1" t="s">
        <v>716</v>
      </c>
      <c r="D126" s="15" t="s">
        <v>1166</v>
      </c>
      <c r="E126" s="3">
        <v>1</v>
      </c>
      <c r="F126" s="5" t="s">
        <v>396</v>
      </c>
      <c r="G126" s="3">
        <v>15</v>
      </c>
      <c r="K126" s="1">
        <v>2131</v>
      </c>
      <c r="L126" s="1">
        <v>9000</v>
      </c>
      <c r="M126" s="1">
        <v>2900</v>
      </c>
      <c r="N126" s="1" t="s">
        <v>1032</v>
      </c>
      <c r="O126" s="1">
        <v>100</v>
      </c>
      <c r="P126" s="1" t="s">
        <v>398</v>
      </c>
      <c r="Q126" s="1">
        <v>10</v>
      </c>
      <c r="R126" s="1">
        <v>1057</v>
      </c>
      <c r="S126" s="16">
        <v>0.02</v>
      </c>
      <c r="U126" s="1" t="s">
        <v>1167</v>
      </c>
      <c r="V126" s="17" t="s">
        <v>477</v>
      </c>
      <c r="W126" s="5"/>
      <c r="X126" s="17" t="s">
        <v>479</v>
      </c>
      <c r="Y126" s="5" t="s">
        <v>1005</v>
      </c>
      <c r="Z126" s="21" t="s">
        <v>1168</v>
      </c>
      <c r="AA126" s="22" t="s">
        <v>471</v>
      </c>
      <c r="AC126" s="22"/>
    </row>
    <row r="127" spans="1:29" s="1" customFormat="1" ht="49.5" x14ac:dyDescent="0.25">
      <c r="A127" s="13">
        <f t="shared" si="1"/>
        <v>214201</v>
      </c>
      <c r="B127" s="14">
        <v>2142</v>
      </c>
      <c r="C127" s="1" t="s">
        <v>716</v>
      </c>
      <c r="D127" s="15" t="s">
        <v>1174</v>
      </c>
      <c r="E127" s="3">
        <v>1</v>
      </c>
      <c r="F127" s="5" t="s">
        <v>396</v>
      </c>
      <c r="G127" s="3">
        <v>15</v>
      </c>
      <c r="K127" s="1">
        <v>2131</v>
      </c>
      <c r="L127" s="1">
        <v>9000</v>
      </c>
      <c r="M127" s="1">
        <v>2900</v>
      </c>
      <c r="N127" s="1" t="s">
        <v>1032</v>
      </c>
      <c r="O127" s="1">
        <v>100</v>
      </c>
      <c r="P127" s="1" t="s">
        <v>398</v>
      </c>
      <c r="Q127" s="1">
        <v>10</v>
      </c>
      <c r="R127" s="1">
        <v>1089</v>
      </c>
      <c r="S127" s="16">
        <v>1000</v>
      </c>
      <c r="U127" s="1" t="s">
        <v>1175</v>
      </c>
      <c r="V127" s="17" t="s">
        <v>1176</v>
      </c>
      <c r="W127" s="5"/>
      <c r="X127" s="17" t="s">
        <v>1177</v>
      </c>
      <c r="Y127" s="5" t="s">
        <v>1005</v>
      </c>
      <c r="Z127" s="21" t="s">
        <v>1168</v>
      </c>
      <c r="AA127" s="22" t="s">
        <v>472</v>
      </c>
      <c r="AC127" s="22"/>
    </row>
    <row r="128" spans="1:29" s="1" customFormat="1" ht="49.5" x14ac:dyDescent="0.25">
      <c r="A128" s="13">
        <f t="shared" si="1"/>
        <v>214301</v>
      </c>
      <c r="B128" s="14">
        <v>2143</v>
      </c>
      <c r="C128" s="1" t="s">
        <v>716</v>
      </c>
      <c r="D128" s="15" t="s">
        <v>1178</v>
      </c>
      <c r="E128" s="3">
        <v>1</v>
      </c>
      <c r="F128" s="5" t="s">
        <v>396</v>
      </c>
      <c r="G128" s="3">
        <v>18</v>
      </c>
      <c r="K128" s="1">
        <v>2132</v>
      </c>
      <c r="L128" s="1">
        <v>9000</v>
      </c>
      <c r="M128" s="1">
        <v>3000</v>
      </c>
      <c r="N128" s="1" t="s">
        <v>1033</v>
      </c>
      <c r="O128" s="1">
        <v>100</v>
      </c>
      <c r="P128" s="1" t="s">
        <v>398</v>
      </c>
      <c r="Q128" s="1">
        <v>10</v>
      </c>
      <c r="R128" s="1">
        <v>1052</v>
      </c>
      <c r="S128" s="16">
        <v>0.02</v>
      </c>
      <c r="U128" s="1" t="s">
        <v>1179</v>
      </c>
      <c r="V128" s="17" t="s">
        <v>1180</v>
      </c>
      <c r="W128" s="5"/>
      <c r="X128" s="17" t="s">
        <v>1181</v>
      </c>
      <c r="Y128" s="5" t="s">
        <v>1005</v>
      </c>
      <c r="Z128" s="21" t="s">
        <v>1168</v>
      </c>
      <c r="AA128" s="22" t="s">
        <v>1034</v>
      </c>
      <c r="AC128" s="22"/>
    </row>
    <row r="129" spans="1:29" s="1" customFormat="1" ht="49.5" x14ac:dyDescent="0.25">
      <c r="A129" s="13">
        <f t="shared" si="1"/>
        <v>214401</v>
      </c>
      <c r="B129" s="14">
        <v>2144</v>
      </c>
      <c r="C129" s="1" t="s">
        <v>716</v>
      </c>
      <c r="D129" s="12" t="s">
        <v>1169</v>
      </c>
      <c r="E129" s="3">
        <v>1</v>
      </c>
      <c r="F129" s="5" t="s">
        <v>396</v>
      </c>
      <c r="G129" s="3">
        <v>20</v>
      </c>
      <c r="K129" s="1">
        <v>2133</v>
      </c>
      <c r="L129" s="1">
        <v>10800</v>
      </c>
      <c r="M129" s="1">
        <v>3150</v>
      </c>
      <c r="N129" s="1" t="s">
        <v>397</v>
      </c>
      <c r="O129" s="1">
        <v>100</v>
      </c>
      <c r="P129" s="1" t="s">
        <v>398</v>
      </c>
      <c r="Q129" s="1">
        <v>10</v>
      </c>
      <c r="R129" s="1" t="s">
        <v>1161</v>
      </c>
      <c r="S129" s="16" t="s">
        <v>1035</v>
      </c>
      <c r="U129" s="1" t="s">
        <v>1162</v>
      </c>
      <c r="V129" s="17" t="s">
        <v>1163</v>
      </c>
      <c r="W129" s="5"/>
      <c r="X129" s="1" t="s">
        <v>1190</v>
      </c>
      <c r="Y129" s="5" t="s">
        <v>1005</v>
      </c>
      <c r="Z129" s="21" t="s">
        <v>1165</v>
      </c>
      <c r="AA129" s="22" t="s">
        <v>1036</v>
      </c>
      <c r="AC129" s="22"/>
    </row>
    <row r="130" spans="1:29" s="1" customFormat="1" ht="49.5" x14ac:dyDescent="0.25">
      <c r="A130" s="13">
        <f t="shared" si="1"/>
        <v>214501</v>
      </c>
      <c r="B130" s="14">
        <v>2145</v>
      </c>
      <c r="C130" s="1" t="s">
        <v>716</v>
      </c>
      <c r="D130" s="15" t="s">
        <v>1183</v>
      </c>
      <c r="E130" s="3">
        <v>1</v>
      </c>
      <c r="F130" s="5" t="s">
        <v>396</v>
      </c>
      <c r="G130" s="3">
        <v>18</v>
      </c>
      <c r="K130" s="1">
        <v>2134</v>
      </c>
      <c r="L130" s="1">
        <v>9000</v>
      </c>
      <c r="M130" s="1">
        <v>3000</v>
      </c>
      <c r="N130" s="1" t="s">
        <v>1033</v>
      </c>
      <c r="O130" s="1">
        <v>100</v>
      </c>
      <c r="P130" s="1" t="s">
        <v>398</v>
      </c>
      <c r="Q130" s="1">
        <v>10</v>
      </c>
      <c r="R130" s="1">
        <v>1311</v>
      </c>
      <c r="S130" s="16">
        <v>0.02</v>
      </c>
      <c r="U130" s="1" t="s">
        <v>1179</v>
      </c>
      <c r="V130" s="17" t="s">
        <v>1184</v>
      </c>
      <c r="W130" s="5"/>
      <c r="X130" s="17" t="s">
        <v>1185</v>
      </c>
      <c r="Y130" s="5" t="s">
        <v>1005</v>
      </c>
      <c r="Z130" s="21" t="s">
        <v>1168</v>
      </c>
      <c r="AA130" s="22" t="s">
        <v>1037</v>
      </c>
      <c r="AC130" s="22"/>
    </row>
    <row r="131" spans="1:29" s="1" customFormat="1" ht="49.5" x14ac:dyDescent="0.25">
      <c r="A131" s="13">
        <f t="shared" si="1"/>
        <v>214601</v>
      </c>
      <c r="B131" s="14">
        <v>2146</v>
      </c>
      <c r="C131" s="1" t="s">
        <v>716</v>
      </c>
      <c r="D131" s="15" t="s">
        <v>1186</v>
      </c>
      <c r="E131" s="3">
        <v>1</v>
      </c>
      <c r="F131" s="5" t="s">
        <v>396</v>
      </c>
      <c r="G131" s="3">
        <v>15</v>
      </c>
      <c r="K131" s="1">
        <v>2135</v>
      </c>
      <c r="L131" s="1">
        <v>9000</v>
      </c>
      <c r="M131" s="1">
        <v>2900</v>
      </c>
      <c r="N131" s="1" t="s">
        <v>1032</v>
      </c>
      <c r="O131" s="1">
        <v>100</v>
      </c>
      <c r="P131" s="1" t="s">
        <v>398</v>
      </c>
      <c r="Q131" s="1">
        <v>10</v>
      </c>
      <c r="R131" s="1">
        <v>1316</v>
      </c>
      <c r="S131" s="16">
        <v>0.02</v>
      </c>
      <c r="U131" s="19" t="s">
        <v>1187</v>
      </c>
      <c r="V131" s="17" t="s">
        <v>1188</v>
      </c>
      <c r="X131" s="17" t="s">
        <v>1189</v>
      </c>
      <c r="Y131" s="5" t="s">
        <v>1005</v>
      </c>
      <c r="Z131" s="21" t="s">
        <v>1165</v>
      </c>
      <c r="AA131" s="22" t="s">
        <v>1038</v>
      </c>
      <c r="AC131" s="22"/>
    </row>
    <row r="132" spans="1:29" s="1" customFormat="1" ht="49.5" x14ac:dyDescent="0.25">
      <c r="A132" s="13">
        <f t="shared" ref="A132:A195" si="2">B132*100+E132</f>
        <v>214701</v>
      </c>
      <c r="B132" s="14">
        <v>2147</v>
      </c>
      <c r="C132" s="1" t="s">
        <v>716</v>
      </c>
      <c r="D132" s="15" t="s">
        <v>1170</v>
      </c>
      <c r="E132" s="3">
        <v>1</v>
      </c>
      <c r="F132" s="5" t="s">
        <v>396</v>
      </c>
      <c r="G132" s="3">
        <v>15</v>
      </c>
      <c r="K132" s="1">
        <v>2135</v>
      </c>
      <c r="L132" s="1">
        <v>9000</v>
      </c>
      <c r="M132" s="1">
        <v>2900</v>
      </c>
      <c r="N132" s="1" t="s">
        <v>1032</v>
      </c>
      <c r="O132" s="1">
        <v>100</v>
      </c>
      <c r="P132" s="1" t="s">
        <v>398</v>
      </c>
      <c r="Q132" s="1">
        <v>10</v>
      </c>
      <c r="R132" s="1">
        <v>1062</v>
      </c>
      <c r="S132" s="16">
        <v>1.4999999999999999E-2</v>
      </c>
      <c r="U132" s="1" t="s">
        <v>1171</v>
      </c>
      <c r="V132" s="17" t="s">
        <v>1172</v>
      </c>
      <c r="W132" s="5"/>
      <c r="X132" s="17" t="s">
        <v>1173</v>
      </c>
      <c r="Y132" s="5" t="s">
        <v>1005</v>
      </c>
      <c r="Z132" s="21" t="s">
        <v>1168</v>
      </c>
      <c r="AA132" s="22" t="s">
        <v>1039</v>
      </c>
      <c r="AC132" s="22"/>
    </row>
    <row r="133" spans="1:29" s="1" customFormat="1" ht="49.5" x14ac:dyDescent="0.25">
      <c r="A133" s="13">
        <f t="shared" si="2"/>
        <v>221101</v>
      </c>
      <c r="B133" s="14">
        <v>2211</v>
      </c>
      <c r="C133" s="1" t="s">
        <v>716</v>
      </c>
      <c r="D133" s="12" t="s">
        <v>1191</v>
      </c>
      <c r="E133" s="3">
        <v>1</v>
      </c>
      <c r="F133" s="5" t="s">
        <v>708</v>
      </c>
      <c r="G133" s="3">
        <v>1</v>
      </c>
      <c r="K133" s="1">
        <v>2133</v>
      </c>
      <c r="L133" s="1">
        <v>3600</v>
      </c>
      <c r="M133" s="1">
        <v>6050</v>
      </c>
      <c r="N133" s="1" t="s">
        <v>999</v>
      </c>
      <c r="O133" s="1">
        <v>100</v>
      </c>
      <c r="P133" s="1" t="s">
        <v>398</v>
      </c>
      <c r="Q133" s="1">
        <v>10</v>
      </c>
      <c r="R133" s="1" t="s">
        <v>1192</v>
      </c>
      <c r="S133" s="16" t="s">
        <v>1042</v>
      </c>
      <c r="U133" s="19" t="s">
        <v>1193</v>
      </c>
      <c r="V133" s="17" t="s">
        <v>1194</v>
      </c>
      <c r="X133" s="17" t="s">
        <v>1195</v>
      </c>
      <c r="Y133" s="5" t="s">
        <v>1005</v>
      </c>
      <c r="Z133" s="21" t="s">
        <v>1196</v>
      </c>
      <c r="AA133" s="22" t="s">
        <v>1047</v>
      </c>
      <c r="AC133" s="22"/>
    </row>
    <row r="134" spans="1:29" s="1" customFormat="1" ht="49.5" x14ac:dyDescent="0.25">
      <c r="A134" s="13">
        <f t="shared" si="2"/>
        <v>222101</v>
      </c>
      <c r="B134" s="14">
        <v>2221</v>
      </c>
      <c r="C134" s="1" t="s">
        <v>716</v>
      </c>
      <c r="D134" s="12" t="s">
        <v>1197</v>
      </c>
      <c r="E134" s="3">
        <v>1</v>
      </c>
      <c r="F134" s="5" t="s">
        <v>708</v>
      </c>
      <c r="G134" s="3">
        <v>5</v>
      </c>
      <c r="K134" s="1">
        <v>2211</v>
      </c>
      <c r="L134" s="1">
        <v>5400</v>
      </c>
      <c r="M134" s="1">
        <v>6350</v>
      </c>
      <c r="N134" s="1" t="s">
        <v>1008</v>
      </c>
      <c r="O134" s="1">
        <v>100</v>
      </c>
      <c r="P134" s="1" t="s">
        <v>398</v>
      </c>
      <c r="Q134" s="1">
        <v>10</v>
      </c>
      <c r="R134" s="1">
        <v>20002</v>
      </c>
      <c r="S134" s="16">
        <v>0.01</v>
      </c>
      <c r="U134" s="19" t="s">
        <v>1197</v>
      </c>
      <c r="V134" s="17" t="s">
        <v>1198</v>
      </c>
      <c r="X134" s="17" t="s">
        <v>1199</v>
      </c>
      <c r="Y134" s="5" t="s">
        <v>1005</v>
      </c>
      <c r="Z134" s="21" t="s">
        <v>1200</v>
      </c>
      <c r="AA134" s="22" t="s">
        <v>1052</v>
      </c>
      <c r="AC134" s="22"/>
    </row>
    <row r="135" spans="1:29" s="1" customFormat="1" ht="49.5" x14ac:dyDescent="0.25">
      <c r="A135" s="13">
        <f t="shared" si="2"/>
        <v>222201</v>
      </c>
      <c r="B135" s="14">
        <v>2222</v>
      </c>
      <c r="C135" s="1" t="s">
        <v>716</v>
      </c>
      <c r="D135" s="12" t="s">
        <v>1201</v>
      </c>
      <c r="E135" s="3">
        <v>1</v>
      </c>
      <c r="F135" s="5" t="s">
        <v>708</v>
      </c>
      <c r="G135" s="3">
        <v>5</v>
      </c>
      <c r="K135" s="1">
        <v>2211</v>
      </c>
      <c r="L135" s="1">
        <v>5400</v>
      </c>
      <c r="M135" s="1">
        <v>6350</v>
      </c>
      <c r="N135" s="1" t="s">
        <v>1008</v>
      </c>
      <c r="O135" s="1">
        <v>100</v>
      </c>
      <c r="P135" s="1" t="s">
        <v>398</v>
      </c>
      <c r="Q135" s="1">
        <v>10</v>
      </c>
      <c r="R135" s="1">
        <v>20062</v>
      </c>
      <c r="S135" s="16">
        <v>5.0000000000000001E-3</v>
      </c>
      <c r="U135" s="19" t="s">
        <v>1201</v>
      </c>
      <c r="V135" s="17" t="s">
        <v>1202</v>
      </c>
      <c r="X135" s="17" t="s">
        <v>1203</v>
      </c>
      <c r="Y135" s="5" t="s">
        <v>1005</v>
      </c>
      <c r="Z135" s="21" t="s">
        <v>1196</v>
      </c>
      <c r="AA135" s="22" t="s">
        <v>1056</v>
      </c>
      <c r="AC135" s="22"/>
    </row>
    <row r="136" spans="1:29" s="1" customFormat="1" ht="49.5" x14ac:dyDescent="0.25">
      <c r="A136" s="13">
        <f t="shared" si="2"/>
        <v>222301</v>
      </c>
      <c r="B136" s="14">
        <v>2223</v>
      </c>
      <c r="C136" s="1" t="s">
        <v>716</v>
      </c>
      <c r="D136" s="12" t="s">
        <v>1204</v>
      </c>
      <c r="E136" s="3">
        <v>1</v>
      </c>
      <c r="F136" s="5" t="s">
        <v>708</v>
      </c>
      <c r="G136" s="3">
        <v>5</v>
      </c>
      <c r="K136" s="1">
        <v>2211</v>
      </c>
      <c r="L136" s="1">
        <v>5400</v>
      </c>
      <c r="M136" s="1">
        <v>6350</v>
      </c>
      <c r="N136" s="1" t="s">
        <v>1008</v>
      </c>
      <c r="O136" s="1">
        <v>100</v>
      </c>
      <c r="P136" s="1" t="s">
        <v>398</v>
      </c>
      <c r="Q136" s="1">
        <v>10</v>
      </c>
      <c r="R136" s="1">
        <v>20032</v>
      </c>
      <c r="S136" s="16">
        <v>0.01</v>
      </c>
      <c r="U136" s="19" t="s">
        <v>1204</v>
      </c>
      <c r="V136" s="17" t="s">
        <v>1205</v>
      </c>
      <c r="X136" s="17" t="s">
        <v>1206</v>
      </c>
      <c r="Y136" s="5" t="s">
        <v>1005</v>
      </c>
      <c r="Z136" s="21" t="s">
        <v>1207</v>
      </c>
      <c r="AA136" s="22" t="s">
        <v>1061</v>
      </c>
      <c r="AC136" s="22"/>
    </row>
    <row r="137" spans="1:29" s="1" customFormat="1" ht="49.5" x14ac:dyDescent="0.25">
      <c r="A137" s="13">
        <f t="shared" si="2"/>
        <v>223101</v>
      </c>
      <c r="B137" s="14">
        <v>2231</v>
      </c>
      <c r="C137" s="1" t="s">
        <v>716</v>
      </c>
      <c r="D137" s="12" t="s">
        <v>1208</v>
      </c>
      <c r="E137" s="3">
        <v>1</v>
      </c>
      <c r="F137" s="5" t="s">
        <v>708</v>
      </c>
      <c r="G137" s="3">
        <v>10</v>
      </c>
      <c r="K137" s="1">
        <v>2221</v>
      </c>
      <c r="L137" s="1">
        <v>7200</v>
      </c>
      <c r="M137" s="1">
        <v>6650</v>
      </c>
      <c r="N137" s="1" t="s">
        <v>1015</v>
      </c>
      <c r="O137" s="1">
        <v>100</v>
      </c>
      <c r="P137" s="1" t="s">
        <v>398</v>
      </c>
      <c r="Q137" s="1">
        <v>10</v>
      </c>
      <c r="R137" s="1">
        <v>20202</v>
      </c>
      <c r="S137" s="16">
        <v>0.01</v>
      </c>
      <c r="U137" s="1" t="s">
        <v>1208</v>
      </c>
      <c r="V137" s="17" t="s">
        <v>1209</v>
      </c>
      <c r="X137" s="17" t="s">
        <v>1210</v>
      </c>
      <c r="Y137" s="5" t="s">
        <v>1005</v>
      </c>
      <c r="Z137" s="21" t="s">
        <v>1200</v>
      </c>
      <c r="AA137" s="22" t="s">
        <v>1065</v>
      </c>
      <c r="AC137" s="22"/>
    </row>
    <row r="138" spans="1:29" s="1" customFormat="1" ht="49.5" x14ac:dyDescent="0.25">
      <c r="A138" s="13">
        <f t="shared" si="2"/>
        <v>223102</v>
      </c>
      <c r="B138" s="14">
        <v>2231</v>
      </c>
      <c r="C138" s="1" t="s">
        <v>716</v>
      </c>
      <c r="D138" s="12" t="s">
        <v>1208</v>
      </c>
      <c r="E138" s="3">
        <v>2</v>
      </c>
      <c r="F138" s="5" t="s">
        <v>708</v>
      </c>
      <c r="G138" s="3">
        <v>12</v>
      </c>
      <c r="K138" s="1">
        <v>2221</v>
      </c>
      <c r="L138" s="1">
        <v>7200</v>
      </c>
      <c r="M138" s="1">
        <v>6650</v>
      </c>
      <c r="N138" s="1" t="s">
        <v>1015</v>
      </c>
      <c r="O138" s="1">
        <v>100</v>
      </c>
      <c r="P138" s="1" t="s">
        <v>398</v>
      </c>
      <c r="Q138" s="1">
        <v>10</v>
      </c>
      <c r="R138" s="1">
        <v>20202</v>
      </c>
      <c r="S138" s="16">
        <v>0.01</v>
      </c>
      <c r="U138" s="1" t="s">
        <v>1208</v>
      </c>
      <c r="V138" s="17" t="s">
        <v>1209</v>
      </c>
      <c r="X138" s="17" t="s">
        <v>1210</v>
      </c>
      <c r="Y138" s="5" t="s">
        <v>1005</v>
      </c>
      <c r="Z138" s="21" t="s">
        <v>1200</v>
      </c>
      <c r="AA138" s="22" t="s">
        <v>1065</v>
      </c>
      <c r="AC138" s="22"/>
    </row>
    <row r="139" spans="1:29" s="1" customFormat="1" ht="49.5" x14ac:dyDescent="0.25">
      <c r="A139" s="13">
        <f t="shared" si="2"/>
        <v>223201</v>
      </c>
      <c r="B139" s="14">
        <v>2232</v>
      </c>
      <c r="C139" s="1" t="s">
        <v>716</v>
      </c>
      <c r="D139" s="12" t="s">
        <v>1211</v>
      </c>
      <c r="E139" s="3">
        <v>1</v>
      </c>
      <c r="F139" s="5" t="s">
        <v>708</v>
      </c>
      <c r="G139" s="3">
        <v>10</v>
      </c>
      <c r="K139" s="1">
        <v>2221</v>
      </c>
      <c r="L139" s="1">
        <v>7200</v>
      </c>
      <c r="M139" s="1">
        <v>6650</v>
      </c>
      <c r="N139" s="1" t="s">
        <v>1015</v>
      </c>
      <c r="O139" s="1">
        <v>100</v>
      </c>
      <c r="P139" s="1" t="s">
        <v>398</v>
      </c>
      <c r="Q139" s="1">
        <v>10</v>
      </c>
      <c r="R139" s="20">
        <v>20402</v>
      </c>
      <c r="S139" s="16">
        <v>0.01</v>
      </c>
      <c r="U139" s="1" t="s">
        <v>1211</v>
      </c>
      <c r="V139" s="17" t="s">
        <v>1212</v>
      </c>
      <c r="X139" s="17" t="s">
        <v>1213</v>
      </c>
      <c r="Y139" s="5" t="s">
        <v>1005</v>
      </c>
      <c r="Z139" s="21" t="s">
        <v>1200</v>
      </c>
      <c r="AA139" s="22" t="s">
        <v>1069</v>
      </c>
      <c r="AC139" s="22"/>
    </row>
    <row r="140" spans="1:29" s="1" customFormat="1" ht="49.5" x14ac:dyDescent="0.25">
      <c r="A140" s="13">
        <f t="shared" si="2"/>
        <v>223202</v>
      </c>
      <c r="B140" s="14">
        <v>2232</v>
      </c>
      <c r="C140" s="1" t="s">
        <v>716</v>
      </c>
      <c r="D140" s="12" t="s">
        <v>1211</v>
      </c>
      <c r="E140" s="3">
        <v>2</v>
      </c>
      <c r="F140" s="5" t="s">
        <v>708</v>
      </c>
      <c r="G140" s="3">
        <v>12</v>
      </c>
      <c r="K140" s="1">
        <v>2221</v>
      </c>
      <c r="L140" s="1">
        <v>7200</v>
      </c>
      <c r="M140" s="1">
        <v>6650</v>
      </c>
      <c r="N140" s="1" t="s">
        <v>1015</v>
      </c>
      <c r="O140" s="1">
        <v>100</v>
      </c>
      <c r="P140" s="1" t="s">
        <v>398</v>
      </c>
      <c r="Q140" s="1">
        <v>10</v>
      </c>
      <c r="R140" s="20">
        <v>20402</v>
      </c>
      <c r="S140" s="16">
        <v>0.01</v>
      </c>
      <c r="U140" s="1" t="s">
        <v>1211</v>
      </c>
      <c r="V140" s="17" t="s">
        <v>1212</v>
      </c>
      <c r="X140" s="17" t="s">
        <v>1213</v>
      </c>
      <c r="Y140" s="5" t="s">
        <v>1005</v>
      </c>
      <c r="Z140" s="21" t="s">
        <v>1200</v>
      </c>
      <c r="AA140" s="22" t="s">
        <v>1069</v>
      </c>
      <c r="AC140" s="22"/>
    </row>
    <row r="141" spans="1:29" s="1" customFormat="1" ht="49.5" x14ac:dyDescent="0.25">
      <c r="A141" s="13">
        <f t="shared" si="2"/>
        <v>223301</v>
      </c>
      <c r="B141" s="14">
        <v>2233</v>
      </c>
      <c r="C141" s="1" t="s">
        <v>716</v>
      </c>
      <c r="D141" s="12" t="s">
        <v>1022</v>
      </c>
      <c r="E141" s="3">
        <v>1</v>
      </c>
      <c r="F141" s="5" t="s">
        <v>708</v>
      </c>
      <c r="G141" s="3">
        <v>10</v>
      </c>
      <c r="K141" s="1">
        <v>2222</v>
      </c>
      <c r="L141" s="1">
        <v>7200</v>
      </c>
      <c r="M141" s="1">
        <v>6650</v>
      </c>
      <c r="N141" s="1" t="s">
        <v>1015</v>
      </c>
      <c r="O141" s="1">
        <v>100</v>
      </c>
      <c r="P141" s="1" t="s">
        <v>398</v>
      </c>
      <c r="Q141" s="1">
        <v>10</v>
      </c>
      <c r="S141" s="16"/>
      <c r="U141" s="1" t="s">
        <v>1214</v>
      </c>
      <c r="V141" s="17" t="s">
        <v>1071</v>
      </c>
      <c r="X141" s="17"/>
      <c r="Y141" s="5" t="s">
        <v>1005</v>
      </c>
      <c r="Z141" s="21" t="s">
        <v>1025</v>
      </c>
      <c r="AA141" s="22" t="s">
        <v>277</v>
      </c>
      <c r="AC141" s="22"/>
    </row>
    <row r="142" spans="1:29" s="1" customFormat="1" ht="49.5" x14ac:dyDescent="0.25">
      <c r="A142" s="13">
        <f t="shared" si="2"/>
        <v>223401</v>
      </c>
      <c r="B142" s="14">
        <v>2234</v>
      </c>
      <c r="C142" s="1" t="s">
        <v>716</v>
      </c>
      <c r="D142" s="12" t="s">
        <v>1215</v>
      </c>
      <c r="E142" s="3">
        <v>1</v>
      </c>
      <c r="F142" s="5" t="s">
        <v>708</v>
      </c>
      <c r="G142" s="3">
        <v>10</v>
      </c>
      <c r="K142" s="1">
        <v>2223</v>
      </c>
      <c r="L142" s="1">
        <v>7200</v>
      </c>
      <c r="M142" s="1">
        <v>6650</v>
      </c>
      <c r="N142" s="1" t="s">
        <v>1015</v>
      </c>
      <c r="O142" s="1">
        <v>100</v>
      </c>
      <c r="P142" s="1" t="s">
        <v>398</v>
      </c>
      <c r="Q142" s="1">
        <v>10</v>
      </c>
      <c r="R142" s="20">
        <v>20432</v>
      </c>
      <c r="S142" s="16">
        <v>0.01</v>
      </c>
      <c r="U142" s="1" t="s">
        <v>1215</v>
      </c>
      <c r="V142" s="17" t="s">
        <v>1216</v>
      </c>
      <c r="X142" s="17" t="s">
        <v>1217</v>
      </c>
      <c r="Y142" s="5" t="s">
        <v>1005</v>
      </c>
      <c r="Z142" s="21" t="s">
        <v>1207</v>
      </c>
      <c r="AA142" s="22" t="s">
        <v>1075</v>
      </c>
      <c r="AC142" s="22"/>
    </row>
    <row r="143" spans="1:29" s="1" customFormat="1" ht="49.5" x14ac:dyDescent="0.25">
      <c r="A143" s="13">
        <f t="shared" si="2"/>
        <v>223402</v>
      </c>
      <c r="B143" s="14">
        <v>2234</v>
      </c>
      <c r="C143" s="1" t="s">
        <v>716</v>
      </c>
      <c r="D143" s="12" t="s">
        <v>1215</v>
      </c>
      <c r="E143" s="3">
        <v>2</v>
      </c>
      <c r="F143" s="5" t="s">
        <v>708</v>
      </c>
      <c r="G143" s="3">
        <v>12</v>
      </c>
      <c r="K143" s="1">
        <v>2223</v>
      </c>
      <c r="L143" s="1">
        <v>7200</v>
      </c>
      <c r="M143" s="1">
        <v>6650</v>
      </c>
      <c r="N143" s="1" t="s">
        <v>1015</v>
      </c>
      <c r="O143" s="1">
        <v>100</v>
      </c>
      <c r="P143" s="1" t="s">
        <v>398</v>
      </c>
      <c r="Q143" s="1">
        <v>10</v>
      </c>
      <c r="R143" s="20">
        <v>20432</v>
      </c>
      <c r="S143" s="16">
        <v>0.01</v>
      </c>
      <c r="U143" s="1" t="s">
        <v>1215</v>
      </c>
      <c r="V143" s="17" t="s">
        <v>1216</v>
      </c>
      <c r="X143" s="17" t="s">
        <v>1217</v>
      </c>
      <c r="Y143" s="5" t="s">
        <v>1005</v>
      </c>
      <c r="Z143" s="21" t="s">
        <v>1207</v>
      </c>
      <c r="AA143" s="22" t="s">
        <v>1075</v>
      </c>
      <c r="AC143" s="22"/>
    </row>
    <row r="144" spans="1:29" s="1" customFormat="1" ht="49.5" x14ac:dyDescent="0.25">
      <c r="A144" s="13">
        <f t="shared" si="2"/>
        <v>223501</v>
      </c>
      <c r="B144" s="14">
        <v>2235</v>
      </c>
      <c r="C144" s="1" t="s">
        <v>716</v>
      </c>
      <c r="D144" s="12" t="s">
        <v>1218</v>
      </c>
      <c r="E144" s="3">
        <v>1</v>
      </c>
      <c r="F144" s="5" t="s">
        <v>708</v>
      </c>
      <c r="G144" s="3">
        <v>10</v>
      </c>
      <c r="K144" s="1">
        <v>2223</v>
      </c>
      <c r="L144" s="1">
        <v>7200</v>
      </c>
      <c r="M144" s="1">
        <v>6650</v>
      </c>
      <c r="N144" s="1" t="s">
        <v>1015</v>
      </c>
      <c r="O144" s="1">
        <v>100</v>
      </c>
      <c r="P144" s="1" t="s">
        <v>398</v>
      </c>
      <c r="Q144" s="1">
        <v>10</v>
      </c>
      <c r="R144" s="1">
        <v>20232</v>
      </c>
      <c r="S144" s="16">
        <v>0.01</v>
      </c>
      <c r="U144" s="1" t="s">
        <v>1218</v>
      </c>
      <c r="V144" s="17" t="s">
        <v>1219</v>
      </c>
      <c r="X144" s="17" t="s">
        <v>1220</v>
      </c>
      <c r="Y144" s="5" t="s">
        <v>1005</v>
      </c>
      <c r="Z144" s="21" t="s">
        <v>1207</v>
      </c>
      <c r="AA144" s="22" t="s">
        <v>1079</v>
      </c>
      <c r="AC144" s="22"/>
    </row>
    <row r="145" spans="1:29" s="1" customFormat="1" ht="49.5" x14ac:dyDescent="0.25">
      <c r="A145" s="13">
        <f t="shared" si="2"/>
        <v>223502</v>
      </c>
      <c r="B145" s="14">
        <v>2235</v>
      </c>
      <c r="C145" s="1" t="s">
        <v>716</v>
      </c>
      <c r="D145" s="12" t="s">
        <v>1218</v>
      </c>
      <c r="E145" s="3">
        <v>2</v>
      </c>
      <c r="F145" s="5" t="s">
        <v>708</v>
      </c>
      <c r="G145" s="3">
        <v>12</v>
      </c>
      <c r="K145" s="1">
        <v>2223</v>
      </c>
      <c r="L145" s="1">
        <v>7200</v>
      </c>
      <c r="M145" s="1">
        <v>6650</v>
      </c>
      <c r="N145" s="1" t="s">
        <v>1015</v>
      </c>
      <c r="O145" s="1">
        <v>100</v>
      </c>
      <c r="P145" s="1" t="s">
        <v>398</v>
      </c>
      <c r="Q145" s="1">
        <v>10</v>
      </c>
      <c r="R145" s="1">
        <v>20232</v>
      </c>
      <c r="S145" s="16">
        <v>0.01</v>
      </c>
      <c r="U145" s="1" t="s">
        <v>1218</v>
      </c>
      <c r="V145" s="17" t="s">
        <v>1219</v>
      </c>
      <c r="X145" s="17" t="s">
        <v>1220</v>
      </c>
      <c r="Y145" s="5" t="s">
        <v>1005</v>
      </c>
      <c r="Z145" s="21" t="s">
        <v>1207</v>
      </c>
      <c r="AA145" s="22" t="s">
        <v>1079</v>
      </c>
      <c r="AC145" s="22"/>
    </row>
    <row r="146" spans="1:29" s="1" customFormat="1" ht="49.5" x14ac:dyDescent="0.25">
      <c r="A146" s="13">
        <f t="shared" si="2"/>
        <v>224101</v>
      </c>
      <c r="B146" s="14">
        <v>2241</v>
      </c>
      <c r="C146" s="1" t="s">
        <v>716</v>
      </c>
      <c r="D146" s="12" t="s">
        <v>1221</v>
      </c>
      <c r="E146" s="3">
        <v>1</v>
      </c>
      <c r="F146" s="5" t="s">
        <v>708</v>
      </c>
      <c r="G146" s="3">
        <v>15</v>
      </c>
      <c r="K146" s="1">
        <v>2231</v>
      </c>
      <c r="L146" s="1">
        <v>9000</v>
      </c>
      <c r="M146" s="1">
        <v>6950</v>
      </c>
      <c r="N146" s="1" t="s">
        <v>1032</v>
      </c>
      <c r="O146" s="1">
        <v>100</v>
      </c>
      <c r="P146" s="1" t="s">
        <v>398</v>
      </c>
      <c r="Q146" s="1">
        <v>10</v>
      </c>
      <c r="R146" s="20">
        <v>6032</v>
      </c>
      <c r="S146" s="16">
        <v>0.01</v>
      </c>
      <c r="U146" s="1" t="s">
        <v>1221</v>
      </c>
      <c r="V146" s="17" t="s">
        <v>1222</v>
      </c>
      <c r="X146" s="17" t="s">
        <v>1223</v>
      </c>
      <c r="Y146" s="5" t="s">
        <v>1005</v>
      </c>
      <c r="Z146" s="21" t="s">
        <v>1200</v>
      </c>
      <c r="AA146" s="22" t="s">
        <v>1083</v>
      </c>
      <c r="AC146" s="22"/>
    </row>
    <row r="147" spans="1:29" s="1" customFormat="1" ht="49.5" x14ac:dyDescent="0.25">
      <c r="A147" s="13">
        <f t="shared" si="2"/>
        <v>224102</v>
      </c>
      <c r="B147" s="14">
        <v>2241</v>
      </c>
      <c r="C147" s="1" t="s">
        <v>716</v>
      </c>
      <c r="D147" s="12" t="s">
        <v>1221</v>
      </c>
      <c r="E147" s="3">
        <v>2</v>
      </c>
      <c r="F147" s="5" t="s">
        <v>708</v>
      </c>
      <c r="G147" s="3">
        <v>16</v>
      </c>
      <c r="K147" s="1">
        <v>2231</v>
      </c>
      <c r="L147" s="1">
        <v>9000</v>
      </c>
      <c r="M147" s="1">
        <v>6950</v>
      </c>
      <c r="N147" s="1" t="s">
        <v>1032</v>
      </c>
      <c r="O147" s="1">
        <v>100</v>
      </c>
      <c r="P147" s="1" t="s">
        <v>398</v>
      </c>
      <c r="Q147" s="1">
        <v>10</v>
      </c>
      <c r="R147" s="20">
        <v>6032</v>
      </c>
      <c r="S147" s="16">
        <v>0.01</v>
      </c>
      <c r="U147" s="1" t="s">
        <v>1221</v>
      </c>
      <c r="V147" s="17" t="s">
        <v>1222</v>
      </c>
      <c r="X147" s="17" t="s">
        <v>1223</v>
      </c>
      <c r="Y147" s="5" t="s">
        <v>1005</v>
      </c>
      <c r="Z147" s="21" t="s">
        <v>1200</v>
      </c>
      <c r="AA147" s="22" t="s">
        <v>1083</v>
      </c>
      <c r="AC147" s="22"/>
    </row>
    <row r="148" spans="1:29" s="1" customFormat="1" ht="49.5" x14ac:dyDescent="0.25">
      <c r="A148" s="13">
        <f t="shared" si="2"/>
        <v>224201</v>
      </c>
      <c r="B148" s="14">
        <v>2242</v>
      </c>
      <c r="C148" s="1" t="s">
        <v>716</v>
      </c>
      <c r="D148" s="12" t="s">
        <v>1224</v>
      </c>
      <c r="E148" s="3">
        <v>1</v>
      </c>
      <c r="F148" s="5" t="s">
        <v>708</v>
      </c>
      <c r="G148" s="3">
        <v>15</v>
      </c>
      <c r="K148" s="1">
        <v>2231</v>
      </c>
      <c r="L148" s="1">
        <v>9000</v>
      </c>
      <c r="M148" s="1">
        <v>6950</v>
      </c>
      <c r="N148" s="1" t="s">
        <v>1032</v>
      </c>
      <c r="O148" s="1">
        <v>100</v>
      </c>
      <c r="P148" s="1" t="s">
        <v>398</v>
      </c>
      <c r="Q148" s="1">
        <v>10</v>
      </c>
      <c r="R148" s="20">
        <v>20262</v>
      </c>
      <c r="S148" s="16">
        <v>5.0000000000000001E-3</v>
      </c>
      <c r="U148" s="1" t="s">
        <v>1224</v>
      </c>
      <c r="V148" s="17" t="s">
        <v>1225</v>
      </c>
      <c r="X148" s="17" t="s">
        <v>1226</v>
      </c>
      <c r="Y148" s="5" t="s">
        <v>1005</v>
      </c>
      <c r="Z148" s="21" t="s">
        <v>1196</v>
      </c>
      <c r="AA148" s="22" t="s">
        <v>1087</v>
      </c>
      <c r="AC148" s="22"/>
    </row>
    <row r="149" spans="1:29" s="1" customFormat="1" ht="49.5" x14ac:dyDescent="0.25">
      <c r="A149" s="13">
        <f t="shared" si="2"/>
        <v>224202</v>
      </c>
      <c r="B149" s="14">
        <v>2242</v>
      </c>
      <c r="C149" s="1" t="s">
        <v>716</v>
      </c>
      <c r="D149" s="12" t="s">
        <v>1224</v>
      </c>
      <c r="E149" s="3">
        <v>2</v>
      </c>
      <c r="F149" s="5" t="s">
        <v>708</v>
      </c>
      <c r="G149" s="3">
        <v>16</v>
      </c>
      <c r="K149" s="1">
        <v>2231</v>
      </c>
      <c r="L149" s="1">
        <v>9000</v>
      </c>
      <c r="M149" s="1">
        <v>6950</v>
      </c>
      <c r="N149" s="1" t="s">
        <v>1032</v>
      </c>
      <c r="O149" s="1">
        <v>100</v>
      </c>
      <c r="P149" s="1" t="s">
        <v>398</v>
      </c>
      <c r="Q149" s="1">
        <v>10</v>
      </c>
      <c r="R149" s="20">
        <v>20262</v>
      </c>
      <c r="S149" s="16">
        <v>5.0000000000000001E-3</v>
      </c>
      <c r="U149" s="1" t="s">
        <v>1224</v>
      </c>
      <c r="V149" s="17" t="s">
        <v>1225</v>
      </c>
      <c r="X149" s="17" t="s">
        <v>1226</v>
      </c>
      <c r="Y149" s="5" t="s">
        <v>1005</v>
      </c>
      <c r="Z149" s="21" t="s">
        <v>1196</v>
      </c>
      <c r="AA149" s="22" t="s">
        <v>1087</v>
      </c>
      <c r="AC149" s="22"/>
    </row>
    <row r="150" spans="1:29" s="1" customFormat="1" ht="49.5" x14ac:dyDescent="0.25">
      <c r="A150" s="13">
        <f t="shared" si="2"/>
        <v>224301</v>
      </c>
      <c r="B150" s="14">
        <v>2243</v>
      </c>
      <c r="C150" s="1" t="s">
        <v>716</v>
      </c>
      <c r="D150" s="12" t="s">
        <v>1227</v>
      </c>
      <c r="E150" s="3">
        <v>1</v>
      </c>
      <c r="F150" s="5" t="s">
        <v>708</v>
      </c>
      <c r="G150" s="3">
        <v>18</v>
      </c>
      <c r="K150" s="1">
        <v>2232</v>
      </c>
      <c r="L150" s="1">
        <v>9000</v>
      </c>
      <c r="M150" s="1">
        <v>7250</v>
      </c>
      <c r="N150" s="1" t="s">
        <v>1033</v>
      </c>
      <c r="O150" s="1">
        <v>100</v>
      </c>
      <c r="P150" s="1" t="s">
        <v>398</v>
      </c>
      <c r="Q150" s="1">
        <v>10</v>
      </c>
      <c r="R150" s="20">
        <v>20462</v>
      </c>
      <c r="S150" s="16">
        <v>5.0000000000000001E-3</v>
      </c>
      <c r="U150" s="1" t="s">
        <v>1227</v>
      </c>
      <c r="V150" s="17" t="s">
        <v>1228</v>
      </c>
      <c r="X150" s="17" t="s">
        <v>1229</v>
      </c>
      <c r="Y150" s="5" t="s">
        <v>1005</v>
      </c>
      <c r="Z150" s="21" t="s">
        <v>1196</v>
      </c>
      <c r="AA150" s="22" t="s">
        <v>1091</v>
      </c>
      <c r="AC150" s="22"/>
    </row>
    <row r="151" spans="1:29" s="1" customFormat="1" ht="49.5" x14ac:dyDescent="0.25">
      <c r="A151" s="13">
        <f t="shared" si="2"/>
        <v>224401</v>
      </c>
      <c r="B151" s="14">
        <v>2244</v>
      </c>
      <c r="C151" s="1" t="s">
        <v>716</v>
      </c>
      <c r="D151" s="12" t="s">
        <v>1201</v>
      </c>
      <c r="E151" s="3">
        <v>1</v>
      </c>
      <c r="F151" s="5" t="s">
        <v>708</v>
      </c>
      <c r="G151" s="3">
        <v>20</v>
      </c>
      <c r="K151" s="1" t="s">
        <v>1230</v>
      </c>
      <c r="L151" s="1">
        <v>10800</v>
      </c>
      <c r="M151" s="1">
        <v>7550</v>
      </c>
      <c r="N151" s="1" t="s">
        <v>397</v>
      </c>
      <c r="O151" s="1">
        <v>100</v>
      </c>
      <c r="P151" s="1" t="s">
        <v>398</v>
      </c>
      <c r="Q151" s="1">
        <v>10</v>
      </c>
      <c r="R151" s="1">
        <v>20062</v>
      </c>
      <c r="S151" s="16">
        <v>5.0000000000000001E-3</v>
      </c>
      <c r="U151" s="1" t="s">
        <v>1201</v>
      </c>
      <c r="V151" s="17" t="s">
        <v>1202</v>
      </c>
      <c r="X151" s="17" t="s">
        <v>1203</v>
      </c>
      <c r="Y151" s="5" t="s">
        <v>1005</v>
      </c>
      <c r="Z151" s="21" t="s">
        <v>1196</v>
      </c>
      <c r="AA151" s="22" t="s">
        <v>1093</v>
      </c>
      <c r="AC151" s="22"/>
    </row>
    <row r="152" spans="1:29" s="1" customFormat="1" ht="49.5" x14ac:dyDescent="0.25">
      <c r="A152" s="13">
        <f t="shared" si="2"/>
        <v>224501</v>
      </c>
      <c r="B152" s="14">
        <v>2245</v>
      </c>
      <c r="C152" s="1" t="s">
        <v>716</v>
      </c>
      <c r="D152" s="12" t="s">
        <v>1227</v>
      </c>
      <c r="E152" s="3">
        <v>1</v>
      </c>
      <c r="F152" s="5" t="s">
        <v>708</v>
      </c>
      <c r="G152" s="3">
        <v>18</v>
      </c>
      <c r="K152" s="1">
        <v>2234</v>
      </c>
      <c r="L152" s="1">
        <v>9000</v>
      </c>
      <c r="M152" s="1">
        <v>7250</v>
      </c>
      <c r="N152" s="1" t="s">
        <v>1033</v>
      </c>
      <c r="O152" s="1">
        <v>100</v>
      </c>
      <c r="P152" s="1" t="s">
        <v>398</v>
      </c>
      <c r="Q152" s="1">
        <v>10</v>
      </c>
      <c r="R152" s="20">
        <v>20462</v>
      </c>
      <c r="S152" s="16">
        <v>5.0000000000000001E-3</v>
      </c>
      <c r="U152" s="1" t="s">
        <v>1227</v>
      </c>
      <c r="V152" s="17" t="s">
        <v>1228</v>
      </c>
      <c r="X152" s="17" t="s">
        <v>1229</v>
      </c>
      <c r="Y152" s="5" t="s">
        <v>1005</v>
      </c>
      <c r="Z152" s="21" t="s">
        <v>1196</v>
      </c>
      <c r="AA152" s="22" t="s">
        <v>1094</v>
      </c>
    </row>
    <row r="153" spans="1:29" s="1" customFormat="1" ht="49.5" x14ac:dyDescent="0.25">
      <c r="A153" s="13">
        <f t="shared" si="2"/>
        <v>224601</v>
      </c>
      <c r="B153" s="14">
        <v>2246</v>
      </c>
      <c r="C153" s="1" t="s">
        <v>716</v>
      </c>
      <c r="D153" s="12" t="s">
        <v>1224</v>
      </c>
      <c r="E153" s="3">
        <v>1</v>
      </c>
      <c r="F153" s="5" t="s">
        <v>708</v>
      </c>
      <c r="G153" s="3">
        <v>15</v>
      </c>
      <c r="K153" s="1">
        <v>2235</v>
      </c>
      <c r="L153" s="1">
        <v>9000</v>
      </c>
      <c r="M153" s="1">
        <v>6950</v>
      </c>
      <c r="N153" s="1" t="s">
        <v>1032</v>
      </c>
      <c r="O153" s="1">
        <v>100</v>
      </c>
      <c r="P153" s="1" t="s">
        <v>398</v>
      </c>
      <c r="Q153" s="1">
        <v>10</v>
      </c>
      <c r="R153" s="20">
        <v>20262</v>
      </c>
      <c r="S153" s="16">
        <v>5.0000000000000001E-3</v>
      </c>
      <c r="U153" s="1" t="s">
        <v>1224</v>
      </c>
      <c r="V153" s="17" t="s">
        <v>1225</v>
      </c>
      <c r="X153" s="17" t="s">
        <v>1226</v>
      </c>
      <c r="Y153" s="5" t="s">
        <v>1005</v>
      </c>
      <c r="Z153" s="21" t="s">
        <v>1196</v>
      </c>
      <c r="AA153" s="22" t="s">
        <v>1095</v>
      </c>
    </row>
    <row r="154" spans="1:29" s="1" customFormat="1" ht="49.5" x14ac:dyDescent="0.25">
      <c r="A154" s="13">
        <f t="shared" si="2"/>
        <v>224602</v>
      </c>
      <c r="B154" s="14">
        <v>2246</v>
      </c>
      <c r="C154" s="1" t="s">
        <v>716</v>
      </c>
      <c r="D154" s="12" t="s">
        <v>1224</v>
      </c>
      <c r="E154" s="3">
        <v>2</v>
      </c>
      <c r="F154" s="5" t="s">
        <v>708</v>
      </c>
      <c r="G154" s="3">
        <v>16</v>
      </c>
      <c r="K154" s="1">
        <v>2235</v>
      </c>
      <c r="L154" s="1">
        <v>9000</v>
      </c>
      <c r="M154" s="1">
        <v>6950</v>
      </c>
      <c r="N154" s="1" t="s">
        <v>1032</v>
      </c>
      <c r="O154" s="1">
        <v>100</v>
      </c>
      <c r="P154" s="1" t="s">
        <v>398</v>
      </c>
      <c r="Q154" s="1">
        <v>10</v>
      </c>
      <c r="R154" s="20">
        <v>20262</v>
      </c>
      <c r="S154" s="2">
        <v>5.0000000000000001E-3</v>
      </c>
      <c r="U154" s="1" t="s">
        <v>1224</v>
      </c>
      <c r="V154" s="17" t="s">
        <v>1225</v>
      </c>
      <c r="X154" s="17" t="s">
        <v>1226</v>
      </c>
      <c r="Y154" s="5" t="s">
        <v>1005</v>
      </c>
      <c r="Z154" s="21" t="s">
        <v>1196</v>
      </c>
      <c r="AA154" s="22" t="s">
        <v>1095</v>
      </c>
    </row>
    <row r="155" spans="1:29" s="1" customFormat="1" ht="49.5" x14ac:dyDescent="0.25">
      <c r="A155" s="13">
        <f t="shared" si="2"/>
        <v>224701</v>
      </c>
      <c r="B155" s="14">
        <v>2247</v>
      </c>
      <c r="C155" s="1" t="s">
        <v>716</v>
      </c>
      <c r="D155" s="12" t="s">
        <v>1221</v>
      </c>
      <c r="E155" s="3">
        <v>1</v>
      </c>
      <c r="F155" s="5" t="s">
        <v>708</v>
      </c>
      <c r="G155" s="3">
        <v>15</v>
      </c>
      <c r="K155" s="1">
        <v>2235</v>
      </c>
      <c r="L155" s="1">
        <v>9000</v>
      </c>
      <c r="M155" s="1">
        <v>6950</v>
      </c>
      <c r="N155" s="1" t="s">
        <v>1032</v>
      </c>
      <c r="O155" s="1">
        <v>100</v>
      </c>
      <c r="P155" s="1" t="s">
        <v>398</v>
      </c>
      <c r="Q155" s="1">
        <v>10</v>
      </c>
      <c r="R155" s="20">
        <v>6032</v>
      </c>
      <c r="S155" s="16">
        <v>0.01</v>
      </c>
      <c r="U155" s="1" t="s">
        <v>1221</v>
      </c>
      <c r="V155" s="17" t="s">
        <v>1222</v>
      </c>
      <c r="X155" s="17" t="s">
        <v>1223</v>
      </c>
      <c r="Y155" s="5" t="s">
        <v>1005</v>
      </c>
      <c r="Z155" s="21" t="s">
        <v>1200</v>
      </c>
      <c r="AA155" s="22" t="s">
        <v>1096</v>
      </c>
    </row>
    <row r="156" spans="1:29" s="1" customFormat="1" ht="49.5" x14ac:dyDescent="0.25">
      <c r="A156" s="13">
        <f t="shared" si="2"/>
        <v>224702</v>
      </c>
      <c r="B156" s="14">
        <v>2247</v>
      </c>
      <c r="C156" s="1" t="s">
        <v>716</v>
      </c>
      <c r="D156" s="12" t="s">
        <v>1221</v>
      </c>
      <c r="E156" s="3">
        <v>2</v>
      </c>
      <c r="F156" s="5" t="s">
        <v>708</v>
      </c>
      <c r="G156" s="3">
        <v>16</v>
      </c>
      <c r="K156" s="1">
        <v>2235</v>
      </c>
      <c r="L156" s="1">
        <v>9000</v>
      </c>
      <c r="M156" s="1">
        <v>6950</v>
      </c>
      <c r="N156" s="1" t="s">
        <v>1032</v>
      </c>
      <c r="O156" s="1">
        <v>100</v>
      </c>
      <c r="P156" s="1" t="s">
        <v>398</v>
      </c>
      <c r="Q156" s="1">
        <v>10</v>
      </c>
      <c r="R156" s="20">
        <v>6032</v>
      </c>
      <c r="S156" s="16">
        <v>0.01</v>
      </c>
      <c r="U156" s="1" t="s">
        <v>1221</v>
      </c>
      <c r="V156" s="17" t="s">
        <v>1222</v>
      </c>
      <c r="X156" s="17" t="s">
        <v>1223</v>
      </c>
      <c r="Y156" s="5" t="s">
        <v>1005</v>
      </c>
      <c r="Z156" s="21" t="s">
        <v>1200</v>
      </c>
      <c r="AA156" s="22" t="s">
        <v>1096</v>
      </c>
    </row>
    <row r="157" spans="1:29" s="1" customFormat="1" ht="49.5" x14ac:dyDescent="0.25">
      <c r="A157" s="13">
        <f t="shared" si="2"/>
        <v>231101</v>
      </c>
      <c r="B157" s="14">
        <v>2311</v>
      </c>
      <c r="C157" s="1" t="s">
        <v>716</v>
      </c>
      <c r="D157" s="12" t="s">
        <v>1231</v>
      </c>
      <c r="E157" s="3">
        <v>1</v>
      </c>
      <c r="F157" s="5" t="s">
        <v>712</v>
      </c>
      <c r="G157" s="3">
        <v>1</v>
      </c>
      <c r="K157" s="1">
        <v>2233</v>
      </c>
      <c r="L157" s="1">
        <v>3600</v>
      </c>
      <c r="M157" s="1">
        <v>6300</v>
      </c>
      <c r="N157" s="1" t="s">
        <v>999</v>
      </c>
      <c r="O157" s="1">
        <v>100</v>
      </c>
      <c r="P157" s="1" t="s">
        <v>398</v>
      </c>
      <c r="Q157" s="1">
        <v>10</v>
      </c>
      <c r="R157" s="1" t="s">
        <v>1232</v>
      </c>
      <c r="S157" s="16" t="s">
        <v>1099</v>
      </c>
      <c r="U157" s="1" t="s">
        <v>1233</v>
      </c>
      <c r="V157" s="17" t="s">
        <v>1234</v>
      </c>
      <c r="X157" s="17" t="s">
        <v>1235</v>
      </c>
      <c r="Y157" s="5" t="s">
        <v>1005</v>
      </c>
      <c r="Z157" s="21" t="s">
        <v>1196</v>
      </c>
      <c r="AA157" s="22" t="s">
        <v>1103</v>
      </c>
    </row>
    <row r="158" spans="1:29" s="1" customFormat="1" ht="49.5" x14ac:dyDescent="0.25">
      <c r="A158" s="13">
        <f t="shared" si="2"/>
        <v>232101</v>
      </c>
      <c r="B158" s="14">
        <v>2321</v>
      </c>
      <c r="C158" s="1" t="s">
        <v>716</v>
      </c>
      <c r="D158" s="12" t="s">
        <v>1236</v>
      </c>
      <c r="E158" s="3">
        <v>1</v>
      </c>
      <c r="F158" s="5" t="s">
        <v>712</v>
      </c>
      <c r="G158" s="3">
        <v>5</v>
      </c>
      <c r="K158" s="1">
        <v>2311</v>
      </c>
      <c r="L158" s="1">
        <v>5400</v>
      </c>
      <c r="M158" s="1">
        <v>6650</v>
      </c>
      <c r="N158" s="1" t="s">
        <v>1008</v>
      </c>
      <c r="O158" s="1">
        <v>100</v>
      </c>
      <c r="P158" s="1" t="s">
        <v>398</v>
      </c>
      <c r="Q158" s="1">
        <v>10</v>
      </c>
      <c r="R158" s="1">
        <v>20006</v>
      </c>
      <c r="S158" s="16">
        <v>1.4999999999999999E-2</v>
      </c>
      <c r="U158" s="1" t="s">
        <v>1236</v>
      </c>
      <c r="V158" s="17" t="s">
        <v>1237</v>
      </c>
      <c r="X158" s="17" t="s">
        <v>1238</v>
      </c>
      <c r="Y158" s="5" t="s">
        <v>1005</v>
      </c>
      <c r="Z158" s="21" t="s">
        <v>1200</v>
      </c>
      <c r="AA158" s="22" t="s">
        <v>1107</v>
      </c>
    </row>
    <row r="159" spans="1:29" s="1" customFormat="1" ht="49.5" x14ac:dyDescent="0.25">
      <c r="A159" s="13">
        <f t="shared" si="2"/>
        <v>232201</v>
      </c>
      <c r="B159" s="14">
        <v>2322</v>
      </c>
      <c r="C159" s="1" t="s">
        <v>716</v>
      </c>
      <c r="D159" s="12" t="s">
        <v>1239</v>
      </c>
      <c r="E159" s="3">
        <v>1</v>
      </c>
      <c r="F159" s="5" t="s">
        <v>712</v>
      </c>
      <c r="G159" s="3">
        <v>5</v>
      </c>
      <c r="K159" s="1">
        <v>2311</v>
      </c>
      <c r="L159" s="1">
        <v>5400</v>
      </c>
      <c r="M159" s="1">
        <v>6650</v>
      </c>
      <c r="N159" s="1" t="s">
        <v>1008</v>
      </c>
      <c r="O159" s="1">
        <v>100</v>
      </c>
      <c r="P159" s="1" t="s">
        <v>398</v>
      </c>
      <c r="Q159" s="1">
        <v>10</v>
      </c>
      <c r="R159" s="1" t="s">
        <v>1240</v>
      </c>
      <c r="S159" s="16" t="s">
        <v>222</v>
      </c>
      <c r="U159" s="1" t="s">
        <v>1241</v>
      </c>
      <c r="V159" s="17" t="s">
        <v>1242</v>
      </c>
      <c r="X159" s="17" t="s">
        <v>1243</v>
      </c>
      <c r="Y159" s="5" t="s">
        <v>1005</v>
      </c>
      <c r="Z159" s="21" t="s">
        <v>1113</v>
      </c>
      <c r="AA159" s="22" t="s">
        <v>1114</v>
      </c>
    </row>
    <row r="160" spans="1:29" s="1" customFormat="1" ht="49.5" x14ac:dyDescent="0.25">
      <c r="A160" s="13">
        <f t="shared" si="2"/>
        <v>232301</v>
      </c>
      <c r="B160" s="14">
        <v>2323</v>
      </c>
      <c r="C160" s="1" t="s">
        <v>716</v>
      </c>
      <c r="D160" s="12" t="s">
        <v>1244</v>
      </c>
      <c r="E160" s="3">
        <v>1</v>
      </c>
      <c r="F160" s="5" t="s">
        <v>712</v>
      </c>
      <c r="G160" s="3">
        <v>5</v>
      </c>
      <c r="K160" s="1">
        <v>2311</v>
      </c>
      <c r="L160" s="1">
        <v>5400</v>
      </c>
      <c r="M160" s="1">
        <v>6650</v>
      </c>
      <c r="N160" s="1" t="s">
        <v>1008</v>
      </c>
      <c r="O160" s="1">
        <v>100</v>
      </c>
      <c r="P160" s="1" t="s">
        <v>398</v>
      </c>
      <c r="Q160" s="1">
        <v>10</v>
      </c>
      <c r="R160" s="1">
        <v>20036</v>
      </c>
      <c r="S160" s="16">
        <v>1.4999999999999999E-2</v>
      </c>
      <c r="U160" s="1" t="s">
        <v>1244</v>
      </c>
      <c r="V160" s="17" t="s">
        <v>1245</v>
      </c>
      <c r="X160" s="17" t="s">
        <v>1246</v>
      </c>
      <c r="Y160" s="5" t="s">
        <v>1005</v>
      </c>
      <c r="Z160" s="21" t="s">
        <v>1207</v>
      </c>
      <c r="AA160" s="22" t="s">
        <v>1118</v>
      </c>
    </row>
    <row r="161" spans="1:27" s="1" customFormat="1" ht="49.5" x14ac:dyDescent="0.25">
      <c r="A161" s="13">
        <f t="shared" si="2"/>
        <v>233101</v>
      </c>
      <c r="B161" s="14">
        <v>2331</v>
      </c>
      <c r="C161" s="1" t="s">
        <v>716</v>
      </c>
      <c r="D161" s="12" t="s">
        <v>1236</v>
      </c>
      <c r="E161" s="3">
        <v>1</v>
      </c>
      <c r="F161" s="5" t="s">
        <v>712</v>
      </c>
      <c r="G161" s="3">
        <v>10</v>
      </c>
      <c r="K161" s="1">
        <v>2321</v>
      </c>
      <c r="L161" s="1">
        <v>7200</v>
      </c>
      <c r="M161" s="1">
        <v>6950</v>
      </c>
      <c r="N161" s="1" t="s">
        <v>1015</v>
      </c>
      <c r="O161" s="1">
        <v>100</v>
      </c>
      <c r="P161" s="1" t="s">
        <v>398</v>
      </c>
      <c r="Q161" s="1">
        <v>10</v>
      </c>
      <c r="R161" s="1">
        <v>20006</v>
      </c>
      <c r="S161" s="16">
        <v>1.4999999999999999E-2</v>
      </c>
      <c r="U161" s="1" t="s">
        <v>1236</v>
      </c>
      <c r="V161" s="17" t="s">
        <v>1237</v>
      </c>
      <c r="X161" s="17" t="s">
        <v>1238</v>
      </c>
      <c r="Y161" s="5" t="s">
        <v>1005</v>
      </c>
      <c r="Z161" s="21" t="s">
        <v>1200</v>
      </c>
      <c r="AA161" s="22" t="s">
        <v>1119</v>
      </c>
    </row>
    <row r="162" spans="1:27" s="1" customFormat="1" ht="49.5" x14ac:dyDescent="0.25">
      <c r="A162" s="13">
        <f t="shared" si="2"/>
        <v>233102</v>
      </c>
      <c r="B162" s="14">
        <v>2331</v>
      </c>
      <c r="C162" s="1" t="s">
        <v>716</v>
      </c>
      <c r="D162" s="12" t="s">
        <v>1236</v>
      </c>
      <c r="E162" s="3">
        <v>2</v>
      </c>
      <c r="F162" s="5" t="s">
        <v>712</v>
      </c>
      <c r="G162" s="3">
        <v>14</v>
      </c>
      <c r="K162" s="1">
        <v>2321</v>
      </c>
      <c r="L162" s="1">
        <v>7200</v>
      </c>
      <c r="M162" s="1">
        <v>6950</v>
      </c>
      <c r="N162" s="1" t="s">
        <v>1015</v>
      </c>
      <c r="O162" s="1">
        <v>100</v>
      </c>
      <c r="P162" s="1" t="s">
        <v>398</v>
      </c>
      <c r="Q162" s="1">
        <v>10</v>
      </c>
      <c r="R162" s="1">
        <v>20006</v>
      </c>
      <c r="S162" s="16">
        <v>1.4999999999999999E-2</v>
      </c>
      <c r="U162" s="1" t="s">
        <v>1236</v>
      </c>
      <c r="V162" s="17" t="s">
        <v>1237</v>
      </c>
      <c r="X162" s="17" t="s">
        <v>1238</v>
      </c>
      <c r="Y162" s="5" t="s">
        <v>1005</v>
      </c>
      <c r="Z162" s="21" t="s">
        <v>1200</v>
      </c>
      <c r="AA162" s="22" t="s">
        <v>1119</v>
      </c>
    </row>
    <row r="163" spans="1:27" s="1" customFormat="1" ht="49.5" x14ac:dyDescent="0.25">
      <c r="A163" s="13">
        <f t="shared" si="2"/>
        <v>233201</v>
      </c>
      <c r="B163" s="14">
        <v>2332</v>
      </c>
      <c r="C163" s="1" t="s">
        <v>716</v>
      </c>
      <c r="D163" s="12" t="s">
        <v>1247</v>
      </c>
      <c r="E163" s="3">
        <v>1</v>
      </c>
      <c r="F163" s="5" t="s">
        <v>712</v>
      </c>
      <c r="G163" s="3">
        <v>10</v>
      </c>
      <c r="K163" s="1" t="s">
        <v>1248</v>
      </c>
      <c r="L163" s="1">
        <v>7200</v>
      </c>
      <c r="M163" s="1">
        <v>6950</v>
      </c>
      <c r="N163" s="1" t="s">
        <v>1015</v>
      </c>
      <c r="O163" s="1">
        <v>100</v>
      </c>
      <c r="P163" s="1" t="s">
        <v>398</v>
      </c>
      <c r="Q163" s="1">
        <v>10</v>
      </c>
      <c r="R163" s="1">
        <v>30241</v>
      </c>
      <c r="S163" s="16">
        <v>1</v>
      </c>
      <c r="U163" s="1" t="s">
        <v>1241</v>
      </c>
      <c r="V163" s="17" t="s">
        <v>1249</v>
      </c>
      <c r="X163" s="17" t="s">
        <v>1250</v>
      </c>
      <c r="Y163" s="5" t="s">
        <v>1005</v>
      </c>
      <c r="Z163" s="21" t="s">
        <v>1124</v>
      </c>
      <c r="AA163" s="22" t="s">
        <v>1125</v>
      </c>
    </row>
    <row r="164" spans="1:27" s="1" customFormat="1" ht="49.5" x14ac:dyDescent="0.25">
      <c r="A164" s="13">
        <f t="shared" si="2"/>
        <v>233202</v>
      </c>
      <c r="B164" s="14">
        <v>2332</v>
      </c>
      <c r="C164" s="1" t="s">
        <v>716</v>
      </c>
      <c r="D164" s="12" t="s">
        <v>1247</v>
      </c>
      <c r="E164" s="3">
        <v>2</v>
      </c>
      <c r="F164" s="5" t="s">
        <v>712</v>
      </c>
      <c r="G164" s="3">
        <v>14</v>
      </c>
      <c r="K164" s="1" t="s">
        <v>1248</v>
      </c>
      <c r="L164" s="1">
        <v>7200</v>
      </c>
      <c r="M164" s="1">
        <v>6950</v>
      </c>
      <c r="N164" s="1" t="s">
        <v>1015</v>
      </c>
      <c r="O164" s="1">
        <v>100</v>
      </c>
      <c r="P164" s="1" t="s">
        <v>398</v>
      </c>
      <c r="Q164" s="1">
        <v>10</v>
      </c>
      <c r="R164" s="1">
        <v>30241</v>
      </c>
      <c r="S164" s="16">
        <v>1</v>
      </c>
      <c r="U164" s="1" t="s">
        <v>1241</v>
      </c>
      <c r="V164" s="17" t="s">
        <v>1249</v>
      </c>
      <c r="X164" s="17" t="s">
        <v>1250</v>
      </c>
      <c r="Y164" s="5" t="s">
        <v>1005</v>
      </c>
      <c r="Z164" s="21" t="s">
        <v>1124</v>
      </c>
      <c r="AA164" s="22" t="s">
        <v>1125</v>
      </c>
    </row>
    <row r="165" spans="1:27" s="1" customFormat="1" ht="49.5" x14ac:dyDescent="0.25">
      <c r="A165" s="13">
        <f t="shared" si="2"/>
        <v>233301</v>
      </c>
      <c r="B165" s="14">
        <v>2333</v>
      </c>
      <c r="C165" s="1" t="s">
        <v>716</v>
      </c>
      <c r="D165" s="12" t="s">
        <v>1251</v>
      </c>
      <c r="E165" s="3">
        <v>1</v>
      </c>
      <c r="F165" s="5" t="s">
        <v>712</v>
      </c>
      <c r="G165" s="3">
        <v>10</v>
      </c>
      <c r="K165" s="1">
        <v>2322</v>
      </c>
      <c r="L165" s="1">
        <v>7200</v>
      </c>
      <c r="M165" s="1">
        <v>6950</v>
      </c>
      <c r="N165" s="1" t="s">
        <v>1015</v>
      </c>
      <c r="O165" s="1">
        <v>100</v>
      </c>
      <c r="P165" s="1" t="s">
        <v>398</v>
      </c>
      <c r="Q165" s="1">
        <v>10</v>
      </c>
      <c r="R165" s="1">
        <v>30221</v>
      </c>
      <c r="S165" s="16">
        <v>1</v>
      </c>
      <c r="U165" s="1" t="s">
        <v>1241</v>
      </c>
      <c r="V165" s="17" t="s">
        <v>1252</v>
      </c>
      <c r="X165" s="17" t="s">
        <v>1253</v>
      </c>
      <c r="Y165" s="5" t="s">
        <v>1005</v>
      </c>
      <c r="Z165" s="21" t="s">
        <v>1129</v>
      </c>
      <c r="AA165" s="22" t="s">
        <v>1130</v>
      </c>
    </row>
    <row r="166" spans="1:27" s="1" customFormat="1" ht="49.5" x14ac:dyDescent="0.25">
      <c r="A166" s="13">
        <f t="shared" si="2"/>
        <v>233302</v>
      </c>
      <c r="B166" s="14">
        <v>2333</v>
      </c>
      <c r="C166" s="1" t="s">
        <v>716</v>
      </c>
      <c r="D166" s="12" t="s">
        <v>1251</v>
      </c>
      <c r="E166" s="3">
        <v>2</v>
      </c>
      <c r="F166" s="5" t="s">
        <v>712</v>
      </c>
      <c r="G166" s="3">
        <v>14</v>
      </c>
      <c r="K166" s="1">
        <v>2322</v>
      </c>
      <c r="L166" s="1">
        <v>7200</v>
      </c>
      <c r="M166" s="1">
        <v>6950</v>
      </c>
      <c r="N166" s="1" t="s">
        <v>1015</v>
      </c>
      <c r="O166" s="1">
        <v>100</v>
      </c>
      <c r="P166" s="1" t="s">
        <v>398</v>
      </c>
      <c r="Q166" s="1">
        <v>10</v>
      </c>
      <c r="R166" s="1">
        <v>30221</v>
      </c>
      <c r="S166" s="16">
        <v>1</v>
      </c>
      <c r="U166" s="1" t="s">
        <v>1241</v>
      </c>
      <c r="V166" s="17" t="s">
        <v>1252</v>
      </c>
      <c r="X166" s="17" t="s">
        <v>1253</v>
      </c>
      <c r="Y166" s="5" t="s">
        <v>1005</v>
      </c>
      <c r="Z166" s="21" t="s">
        <v>1129</v>
      </c>
      <c r="AA166" s="22" t="s">
        <v>1130</v>
      </c>
    </row>
    <row r="167" spans="1:27" s="1" customFormat="1" ht="49.5" x14ac:dyDescent="0.25">
      <c r="A167" s="13">
        <f t="shared" si="2"/>
        <v>233401</v>
      </c>
      <c r="B167" s="14">
        <v>2334</v>
      </c>
      <c r="C167" s="1" t="s">
        <v>716</v>
      </c>
      <c r="D167" s="12" t="s">
        <v>1254</v>
      </c>
      <c r="E167" s="3">
        <v>1</v>
      </c>
      <c r="F167" s="5" t="s">
        <v>712</v>
      </c>
      <c r="G167" s="3">
        <v>10</v>
      </c>
      <c r="K167" s="1" t="s">
        <v>1255</v>
      </c>
      <c r="L167" s="1">
        <v>7200</v>
      </c>
      <c r="M167" s="1">
        <v>6950</v>
      </c>
      <c r="N167" s="1" t="s">
        <v>1015</v>
      </c>
      <c r="O167" s="1">
        <v>100</v>
      </c>
      <c r="P167" s="1" t="s">
        <v>398</v>
      </c>
      <c r="Q167" s="1">
        <v>10</v>
      </c>
      <c r="R167" s="1">
        <v>30231</v>
      </c>
      <c r="S167" s="16">
        <v>1</v>
      </c>
      <c r="U167" s="1" t="s">
        <v>1241</v>
      </c>
      <c r="V167" s="17" t="s">
        <v>1256</v>
      </c>
      <c r="X167" s="17" t="s">
        <v>1257</v>
      </c>
      <c r="Y167" s="5" t="s">
        <v>1005</v>
      </c>
      <c r="Z167" s="21" t="s">
        <v>1135</v>
      </c>
      <c r="AA167" s="22" t="s">
        <v>1136</v>
      </c>
    </row>
    <row r="168" spans="1:27" s="1" customFormat="1" ht="49.5" x14ac:dyDescent="0.25">
      <c r="A168" s="13">
        <f t="shared" si="2"/>
        <v>233402</v>
      </c>
      <c r="B168" s="14">
        <v>2334</v>
      </c>
      <c r="C168" s="1" t="s">
        <v>716</v>
      </c>
      <c r="D168" s="12" t="s">
        <v>1254</v>
      </c>
      <c r="E168" s="3">
        <v>2</v>
      </c>
      <c r="F168" s="5" t="s">
        <v>712</v>
      </c>
      <c r="G168" s="3">
        <v>14</v>
      </c>
      <c r="K168" s="1" t="s">
        <v>1255</v>
      </c>
      <c r="L168" s="1">
        <v>7200</v>
      </c>
      <c r="M168" s="1">
        <v>6950</v>
      </c>
      <c r="N168" s="1" t="s">
        <v>1015</v>
      </c>
      <c r="O168" s="1">
        <v>100</v>
      </c>
      <c r="P168" s="1" t="s">
        <v>398</v>
      </c>
      <c r="Q168" s="1">
        <v>10</v>
      </c>
      <c r="R168" s="1">
        <v>30231</v>
      </c>
      <c r="S168" s="16">
        <v>1</v>
      </c>
      <c r="U168" s="1" t="s">
        <v>1241</v>
      </c>
      <c r="V168" s="17" t="s">
        <v>1256</v>
      </c>
      <c r="X168" s="17" t="s">
        <v>1257</v>
      </c>
      <c r="Y168" s="5" t="s">
        <v>1005</v>
      </c>
      <c r="Z168" s="21" t="s">
        <v>1135</v>
      </c>
      <c r="AA168" s="22" t="s">
        <v>1136</v>
      </c>
    </row>
    <row r="169" spans="1:27" s="1" customFormat="1" ht="49.5" x14ac:dyDescent="0.25">
      <c r="A169" s="13">
        <f t="shared" si="2"/>
        <v>233501</v>
      </c>
      <c r="B169" s="14">
        <v>2335</v>
      </c>
      <c r="C169" s="1" t="s">
        <v>716</v>
      </c>
      <c r="D169" s="12" t="s">
        <v>1244</v>
      </c>
      <c r="E169" s="3">
        <v>1</v>
      </c>
      <c r="F169" s="5" t="s">
        <v>712</v>
      </c>
      <c r="G169" s="3">
        <v>10</v>
      </c>
      <c r="K169" s="1">
        <v>2323</v>
      </c>
      <c r="L169" s="1">
        <v>7200</v>
      </c>
      <c r="M169" s="1">
        <v>6950</v>
      </c>
      <c r="N169" s="1" t="s">
        <v>1015</v>
      </c>
      <c r="O169" s="1">
        <v>100</v>
      </c>
      <c r="P169" s="1" t="s">
        <v>398</v>
      </c>
      <c r="Q169" s="1">
        <v>10</v>
      </c>
      <c r="R169" s="1">
        <v>20036</v>
      </c>
      <c r="S169" s="16">
        <v>1.4999999999999999E-2</v>
      </c>
      <c r="U169" s="1" t="s">
        <v>1244</v>
      </c>
      <c r="V169" s="17" t="s">
        <v>1245</v>
      </c>
      <c r="X169" s="17" t="s">
        <v>1246</v>
      </c>
      <c r="Y169" s="5" t="s">
        <v>1005</v>
      </c>
      <c r="Z169" s="21" t="s">
        <v>1207</v>
      </c>
      <c r="AA169" s="22" t="s">
        <v>1137</v>
      </c>
    </row>
    <row r="170" spans="1:27" s="1" customFormat="1" ht="49.5" x14ac:dyDescent="0.25">
      <c r="A170" s="13">
        <f t="shared" si="2"/>
        <v>233502</v>
      </c>
      <c r="B170" s="14">
        <v>2335</v>
      </c>
      <c r="C170" s="1" t="s">
        <v>716</v>
      </c>
      <c r="D170" s="12" t="s">
        <v>1244</v>
      </c>
      <c r="E170" s="3">
        <v>2</v>
      </c>
      <c r="F170" s="5" t="s">
        <v>712</v>
      </c>
      <c r="G170" s="3">
        <v>14</v>
      </c>
      <c r="K170" s="1">
        <v>2323</v>
      </c>
      <c r="L170" s="1">
        <v>7200</v>
      </c>
      <c r="M170" s="1">
        <v>6950</v>
      </c>
      <c r="N170" s="1" t="s">
        <v>1015</v>
      </c>
      <c r="O170" s="1">
        <v>100</v>
      </c>
      <c r="P170" s="1" t="s">
        <v>398</v>
      </c>
      <c r="Q170" s="1">
        <v>10</v>
      </c>
      <c r="R170" s="1">
        <v>20036</v>
      </c>
      <c r="S170" s="16">
        <v>1.4999999999999999E-2</v>
      </c>
      <c r="U170" s="1" t="s">
        <v>1244</v>
      </c>
      <c r="V170" s="17" t="s">
        <v>1245</v>
      </c>
      <c r="X170" s="17" t="s">
        <v>1246</v>
      </c>
      <c r="Y170" s="5" t="s">
        <v>1005</v>
      </c>
      <c r="Z170" s="21" t="s">
        <v>1207</v>
      </c>
      <c r="AA170" s="22" t="s">
        <v>1137</v>
      </c>
    </row>
    <row r="171" spans="1:27" s="1" customFormat="1" ht="49.5" x14ac:dyDescent="0.25">
      <c r="A171" s="13">
        <f t="shared" si="2"/>
        <v>234101</v>
      </c>
      <c r="B171" s="14">
        <v>2341</v>
      </c>
      <c r="C171" s="1" t="s">
        <v>716</v>
      </c>
      <c r="D171" s="12" t="s">
        <v>1236</v>
      </c>
      <c r="E171" s="3">
        <v>1</v>
      </c>
      <c r="F171" s="5" t="s">
        <v>712</v>
      </c>
      <c r="G171" s="3">
        <v>15</v>
      </c>
      <c r="K171" s="1">
        <v>2331</v>
      </c>
      <c r="L171" s="1">
        <v>9000</v>
      </c>
      <c r="M171" s="1">
        <v>7250</v>
      </c>
      <c r="N171" s="1" t="s">
        <v>1032</v>
      </c>
      <c r="O171" s="1">
        <v>100</v>
      </c>
      <c r="P171" s="1" t="s">
        <v>398</v>
      </c>
      <c r="Q171" s="1">
        <v>10</v>
      </c>
      <c r="R171" s="1">
        <v>20006</v>
      </c>
      <c r="S171" s="16">
        <v>1.4999999999999999E-2</v>
      </c>
      <c r="U171" s="1" t="s">
        <v>1236</v>
      </c>
      <c r="V171" s="17" t="s">
        <v>1237</v>
      </c>
      <c r="X171" s="17" t="s">
        <v>1238</v>
      </c>
      <c r="Y171" s="5" t="s">
        <v>1005</v>
      </c>
      <c r="Z171" s="21" t="s">
        <v>1200</v>
      </c>
      <c r="AA171" s="22" t="s">
        <v>1138</v>
      </c>
    </row>
    <row r="172" spans="1:27" s="1" customFormat="1" ht="49.5" x14ac:dyDescent="0.25">
      <c r="A172" s="13">
        <f t="shared" si="2"/>
        <v>234102</v>
      </c>
      <c r="B172" s="14">
        <v>2341</v>
      </c>
      <c r="C172" s="1" t="s">
        <v>716</v>
      </c>
      <c r="D172" s="12" t="s">
        <v>1236</v>
      </c>
      <c r="E172" s="3">
        <v>2</v>
      </c>
      <c r="F172" s="5" t="s">
        <v>712</v>
      </c>
      <c r="G172" s="3">
        <v>17</v>
      </c>
      <c r="K172" s="1">
        <v>2331</v>
      </c>
      <c r="L172" s="1">
        <v>9000</v>
      </c>
      <c r="M172" s="1">
        <v>7250</v>
      </c>
      <c r="N172" s="1" t="s">
        <v>1032</v>
      </c>
      <c r="O172" s="1">
        <v>100</v>
      </c>
      <c r="P172" s="1" t="s">
        <v>398</v>
      </c>
      <c r="Q172" s="1">
        <v>10</v>
      </c>
      <c r="R172" s="1">
        <v>20006</v>
      </c>
      <c r="S172" s="16">
        <v>1.4999999999999999E-2</v>
      </c>
      <c r="U172" s="1" t="s">
        <v>1236</v>
      </c>
      <c r="V172" s="17" t="s">
        <v>1237</v>
      </c>
      <c r="X172" s="17" t="s">
        <v>1238</v>
      </c>
      <c r="Y172" s="5" t="s">
        <v>1005</v>
      </c>
      <c r="Z172" s="21" t="s">
        <v>1200</v>
      </c>
      <c r="AA172" s="22" t="s">
        <v>1138</v>
      </c>
    </row>
    <row r="173" spans="1:27" s="1" customFormat="1" ht="49.5" x14ac:dyDescent="0.25">
      <c r="A173" s="13">
        <f t="shared" si="2"/>
        <v>234201</v>
      </c>
      <c r="B173" s="14">
        <v>2342</v>
      </c>
      <c r="C173" s="1" t="s">
        <v>716</v>
      </c>
      <c r="D173" s="12" t="s">
        <v>1258</v>
      </c>
      <c r="E173" s="3">
        <v>1</v>
      </c>
      <c r="F173" s="5" t="s">
        <v>712</v>
      </c>
      <c r="G173" s="3">
        <v>15</v>
      </c>
      <c r="K173" s="1">
        <v>2331</v>
      </c>
      <c r="L173" s="1">
        <v>9000</v>
      </c>
      <c r="M173" s="1">
        <v>7250</v>
      </c>
      <c r="N173" s="1" t="s">
        <v>1032</v>
      </c>
      <c r="O173" s="1">
        <v>100</v>
      </c>
      <c r="P173" s="1" t="s">
        <v>398</v>
      </c>
      <c r="Q173" s="1">
        <v>10</v>
      </c>
      <c r="R173" s="1">
        <v>20066</v>
      </c>
      <c r="S173" s="16">
        <v>7.4999999999999997E-3</v>
      </c>
      <c r="U173" s="1" t="s">
        <v>1258</v>
      </c>
      <c r="V173" s="17" t="s">
        <v>1259</v>
      </c>
      <c r="X173" s="17" t="s">
        <v>1260</v>
      </c>
      <c r="Y173" s="5" t="s">
        <v>1005</v>
      </c>
      <c r="Z173" s="21" t="s">
        <v>1196</v>
      </c>
      <c r="AA173" s="22" t="s">
        <v>1142</v>
      </c>
    </row>
    <row r="174" spans="1:27" s="1" customFormat="1" ht="49.5" x14ac:dyDescent="0.25">
      <c r="A174" s="13">
        <f t="shared" si="2"/>
        <v>234202</v>
      </c>
      <c r="B174" s="14">
        <v>2342</v>
      </c>
      <c r="C174" s="1" t="s">
        <v>716</v>
      </c>
      <c r="D174" s="12" t="s">
        <v>1258</v>
      </c>
      <c r="E174" s="3">
        <v>2</v>
      </c>
      <c r="F174" s="5" t="s">
        <v>712</v>
      </c>
      <c r="G174" s="3">
        <v>17</v>
      </c>
      <c r="K174" s="1">
        <v>2331</v>
      </c>
      <c r="L174" s="1">
        <v>9000</v>
      </c>
      <c r="M174" s="1">
        <v>7250</v>
      </c>
      <c r="N174" s="1" t="s">
        <v>1032</v>
      </c>
      <c r="O174" s="1">
        <v>100</v>
      </c>
      <c r="P174" s="1" t="s">
        <v>398</v>
      </c>
      <c r="Q174" s="1">
        <v>10</v>
      </c>
      <c r="R174" s="1">
        <v>20066</v>
      </c>
      <c r="S174" s="16">
        <v>7.4999999999999997E-3</v>
      </c>
      <c r="U174" s="1" t="s">
        <v>1258</v>
      </c>
      <c r="V174" s="17" t="s">
        <v>1259</v>
      </c>
      <c r="X174" s="17" t="s">
        <v>1260</v>
      </c>
      <c r="Y174" s="5" t="s">
        <v>1005</v>
      </c>
      <c r="Z174" s="21" t="s">
        <v>1196</v>
      </c>
      <c r="AA174" s="22" t="s">
        <v>1142</v>
      </c>
    </row>
    <row r="175" spans="1:27" s="1" customFormat="1" ht="49.5" x14ac:dyDescent="0.25">
      <c r="A175" s="13">
        <f t="shared" si="2"/>
        <v>234301</v>
      </c>
      <c r="B175" s="14">
        <v>2343</v>
      </c>
      <c r="C175" s="1" t="s">
        <v>716</v>
      </c>
      <c r="D175" s="12" t="s">
        <v>1261</v>
      </c>
      <c r="E175" s="3">
        <v>1</v>
      </c>
      <c r="F175" s="5" t="s">
        <v>712</v>
      </c>
      <c r="G175" s="3">
        <v>18</v>
      </c>
      <c r="K175" s="1" t="s">
        <v>1262</v>
      </c>
      <c r="L175" s="1">
        <v>9000</v>
      </c>
      <c r="M175" s="1">
        <v>7600</v>
      </c>
      <c r="N175" s="1" t="s">
        <v>1033</v>
      </c>
      <c r="O175" s="1">
        <v>100</v>
      </c>
      <c r="P175" s="1" t="s">
        <v>398</v>
      </c>
      <c r="Q175" s="1">
        <v>10</v>
      </c>
      <c r="R175" s="1" t="s">
        <v>1263</v>
      </c>
      <c r="S175" s="16" t="s">
        <v>1146</v>
      </c>
      <c r="U175" s="1" t="s">
        <v>1241</v>
      </c>
      <c r="V175" s="17" t="s">
        <v>1264</v>
      </c>
      <c r="X175" s="17" t="s">
        <v>1265</v>
      </c>
      <c r="Y175" s="5" t="s">
        <v>1005</v>
      </c>
      <c r="Z175" s="21" t="s">
        <v>1129</v>
      </c>
      <c r="AA175" s="22" t="s">
        <v>1149</v>
      </c>
    </row>
    <row r="176" spans="1:27" s="1" customFormat="1" ht="49.5" x14ac:dyDescent="0.25">
      <c r="A176" s="13">
        <f t="shared" si="2"/>
        <v>234401</v>
      </c>
      <c r="B176" s="14">
        <v>2344</v>
      </c>
      <c r="C176" s="1" t="s">
        <v>716</v>
      </c>
      <c r="D176" s="12" t="s">
        <v>1239</v>
      </c>
      <c r="E176" s="3">
        <v>1</v>
      </c>
      <c r="F176" s="5" t="s">
        <v>712</v>
      </c>
      <c r="G176" s="3">
        <v>20</v>
      </c>
      <c r="K176" s="1" t="s">
        <v>1266</v>
      </c>
      <c r="L176" s="1">
        <v>10800</v>
      </c>
      <c r="M176" s="1">
        <v>7900</v>
      </c>
      <c r="N176" s="1" t="s">
        <v>397</v>
      </c>
      <c r="O176" s="1">
        <v>100</v>
      </c>
      <c r="P176" s="1" t="s">
        <v>398</v>
      </c>
      <c r="Q176" s="1">
        <v>10</v>
      </c>
      <c r="R176" s="1" t="s">
        <v>1240</v>
      </c>
      <c r="S176" s="16" t="s">
        <v>222</v>
      </c>
      <c r="U176" s="1" t="s">
        <v>1241</v>
      </c>
      <c r="V176" s="17" t="s">
        <v>1242</v>
      </c>
      <c r="X176" s="17" t="s">
        <v>1243</v>
      </c>
      <c r="Y176" s="5" t="s">
        <v>1005</v>
      </c>
      <c r="Z176" s="21" t="s">
        <v>1113</v>
      </c>
      <c r="AA176" s="22" t="s">
        <v>1151</v>
      </c>
    </row>
    <row r="177" spans="1:29" s="1" customFormat="1" ht="49.5" x14ac:dyDescent="0.25">
      <c r="A177" s="13">
        <f t="shared" si="2"/>
        <v>234501</v>
      </c>
      <c r="B177" s="14">
        <v>2345</v>
      </c>
      <c r="C177" s="1" t="s">
        <v>716</v>
      </c>
      <c r="D177" s="12" t="s">
        <v>1267</v>
      </c>
      <c r="E177" s="3">
        <v>1</v>
      </c>
      <c r="F177" s="5" t="s">
        <v>712</v>
      </c>
      <c r="G177" s="3">
        <v>18</v>
      </c>
      <c r="K177" s="1" t="s">
        <v>1268</v>
      </c>
      <c r="L177" s="1">
        <v>9000</v>
      </c>
      <c r="M177" s="1">
        <v>7600</v>
      </c>
      <c r="N177" s="1" t="s">
        <v>1033</v>
      </c>
      <c r="O177" s="1">
        <v>100</v>
      </c>
      <c r="P177" s="1" t="s">
        <v>398</v>
      </c>
      <c r="Q177" s="1">
        <v>10</v>
      </c>
      <c r="R177" s="1" t="s">
        <v>1269</v>
      </c>
      <c r="S177" s="16" t="s">
        <v>1146</v>
      </c>
      <c r="U177" s="1" t="s">
        <v>1241</v>
      </c>
      <c r="V177" s="17" t="s">
        <v>1270</v>
      </c>
      <c r="X177" s="17" t="s">
        <v>1271</v>
      </c>
      <c r="Y177" s="5" t="s">
        <v>1005</v>
      </c>
      <c r="Z177" s="21" t="s">
        <v>1129</v>
      </c>
      <c r="AA177" s="22" t="s">
        <v>1157</v>
      </c>
    </row>
    <row r="178" spans="1:29" s="1" customFormat="1" ht="49.5" x14ac:dyDescent="0.25">
      <c r="A178" s="13">
        <f t="shared" si="2"/>
        <v>234601</v>
      </c>
      <c r="B178" s="14">
        <v>2346</v>
      </c>
      <c r="C178" s="1" t="s">
        <v>716</v>
      </c>
      <c r="D178" s="12" t="s">
        <v>1258</v>
      </c>
      <c r="E178" s="3">
        <v>1</v>
      </c>
      <c r="F178" s="5" t="s">
        <v>712</v>
      </c>
      <c r="G178" s="3">
        <v>15</v>
      </c>
      <c r="K178" s="1">
        <v>2335</v>
      </c>
      <c r="L178" s="1">
        <v>9000</v>
      </c>
      <c r="M178" s="1">
        <v>7250</v>
      </c>
      <c r="N178" s="1" t="s">
        <v>1032</v>
      </c>
      <c r="O178" s="1">
        <v>100</v>
      </c>
      <c r="P178" s="1" t="s">
        <v>398</v>
      </c>
      <c r="Q178" s="1">
        <v>10</v>
      </c>
      <c r="R178" s="1">
        <v>20066</v>
      </c>
      <c r="S178" s="16">
        <v>7.4999999999999997E-3</v>
      </c>
      <c r="U178" s="1" t="s">
        <v>1258</v>
      </c>
      <c r="V178" s="17" t="s">
        <v>1259</v>
      </c>
      <c r="X178" s="17" t="s">
        <v>1260</v>
      </c>
      <c r="Y178" s="5" t="s">
        <v>1005</v>
      </c>
      <c r="Z178" s="21" t="s">
        <v>1196</v>
      </c>
      <c r="AA178" s="22" t="s">
        <v>1158</v>
      </c>
    </row>
    <row r="179" spans="1:29" s="1" customFormat="1" ht="49.5" x14ac:dyDescent="0.25">
      <c r="A179" s="13">
        <f t="shared" si="2"/>
        <v>234602</v>
      </c>
      <c r="B179" s="14">
        <v>2346</v>
      </c>
      <c r="C179" s="1" t="s">
        <v>716</v>
      </c>
      <c r="D179" s="12" t="s">
        <v>1258</v>
      </c>
      <c r="E179" s="3">
        <v>2</v>
      </c>
      <c r="F179" s="5" t="s">
        <v>712</v>
      </c>
      <c r="G179" s="3">
        <v>17</v>
      </c>
      <c r="K179" s="1">
        <v>2335</v>
      </c>
      <c r="L179" s="1">
        <v>9000</v>
      </c>
      <c r="M179" s="1">
        <v>7250</v>
      </c>
      <c r="N179" s="1" t="s">
        <v>1032</v>
      </c>
      <c r="O179" s="1">
        <v>100</v>
      </c>
      <c r="P179" s="1" t="s">
        <v>398</v>
      </c>
      <c r="Q179" s="1">
        <v>10</v>
      </c>
      <c r="R179" s="1">
        <v>20066</v>
      </c>
      <c r="S179" s="16">
        <v>7.4999999999999997E-3</v>
      </c>
      <c r="U179" s="1" t="s">
        <v>1258</v>
      </c>
      <c r="V179" s="17" t="s">
        <v>1259</v>
      </c>
      <c r="X179" s="17" t="s">
        <v>1260</v>
      </c>
      <c r="Y179" s="5" t="s">
        <v>1005</v>
      </c>
      <c r="Z179" s="21" t="s">
        <v>1196</v>
      </c>
      <c r="AA179" s="22" t="s">
        <v>1158</v>
      </c>
    </row>
    <row r="180" spans="1:29" s="1" customFormat="1" ht="49.5" x14ac:dyDescent="0.25">
      <c r="A180" s="13">
        <f t="shared" si="2"/>
        <v>234701</v>
      </c>
      <c r="B180" s="14">
        <v>2347</v>
      </c>
      <c r="C180" s="1" t="s">
        <v>716</v>
      </c>
      <c r="D180" s="12" t="s">
        <v>1244</v>
      </c>
      <c r="E180" s="3">
        <v>1</v>
      </c>
      <c r="F180" s="5" t="s">
        <v>712</v>
      </c>
      <c r="G180" s="3">
        <v>15</v>
      </c>
      <c r="K180" s="1">
        <v>2335</v>
      </c>
      <c r="L180" s="1">
        <v>9000</v>
      </c>
      <c r="M180" s="1">
        <v>7250</v>
      </c>
      <c r="N180" s="1" t="s">
        <v>1032</v>
      </c>
      <c r="O180" s="1">
        <v>100</v>
      </c>
      <c r="P180" s="1" t="s">
        <v>398</v>
      </c>
      <c r="Q180" s="1">
        <v>10</v>
      </c>
      <c r="R180" s="1">
        <v>20036</v>
      </c>
      <c r="S180" s="16">
        <v>1.4999999999999999E-2</v>
      </c>
      <c r="U180" s="1" t="s">
        <v>1244</v>
      </c>
      <c r="V180" s="17" t="s">
        <v>1245</v>
      </c>
      <c r="X180" s="17" t="s">
        <v>1246</v>
      </c>
      <c r="Y180" s="5" t="s">
        <v>1005</v>
      </c>
      <c r="Z180" s="21" t="s">
        <v>1207</v>
      </c>
      <c r="AA180" s="22" t="s">
        <v>1159</v>
      </c>
    </row>
    <row r="181" spans="1:29" s="1" customFormat="1" ht="49.5" x14ac:dyDescent="0.25">
      <c r="A181" s="13">
        <f t="shared" si="2"/>
        <v>234702</v>
      </c>
      <c r="B181" s="14">
        <v>2347</v>
      </c>
      <c r="C181" s="1" t="s">
        <v>716</v>
      </c>
      <c r="D181" s="12" t="s">
        <v>1244</v>
      </c>
      <c r="E181" s="3">
        <v>2</v>
      </c>
      <c r="F181" s="5" t="s">
        <v>712</v>
      </c>
      <c r="G181" s="3">
        <v>15</v>
      </c>
      <c r="K181" s="1">
        <v>2335</v>
      </c>
      <c r="L181" s="1">
        <v>9000</v>
      </c>
      <c r="M181" s="1">
        <v>7250</v>
      </c>
      <c r="N181" s="1" t="s">
        <v>1032</v>
      </c>
      <c r="O181" s="1">
        <v>100</v>
      </c>
      <c r="P181" s="1" t="s">
        <v>398</v>
      </c>
      <c r="Q181" s="1">
        <v>10</v>
      </c>
      <c r="R181" s="1">
        <v>20036</v>
      </c>
      <c r="S181" s="16">
        <v>1.4999999999999999E-2</v>
      </c>
      <c r="U181" s="1" t="s">
        <v>1244</v>
      </c>
      <c r="V181" s="17" t="s">
        <v>1245</v>
      </c>
      <c r="X181" s="17" t="s">
        <v>1246</v>
      </c>
      <c r="Y181" s="5" t="s">
        <v>1005</v>
      </c>
      <c r="Z181" s="21" t="s">
        <v>1207</v>
      </c>
      <c r="AA181" s="22" t="s">
        <v>1159</v>
      </c>
    </row>
    <row r="182" spans="1:29" s="1" customFormat="1" ht="49.5" x14ac:dyDescent="0.25">
      <c r="A182" s="13">
        <f t="shared" si="2"/>
        <v>311101</v>
      </c>
      <c r="B182" s="14">
        <v>3111</v>
      </c>
      <c r="C182" s="1" t="s">
        <v>143</v>
      </c>
      <c r="D182" s="12" t="s">
        <v>1169</v>
      </c>
      <c r="E182" s="3">
        <v>1</v>
      </c>
      <c r="F182" s="5" t="s">
        <v>396</v>
      </c>
      <c r="G182" s="3">
        <v>1</v>
      </c>
      <c r="H182" s="1">
        <v>3</v>
      </c>
      <c r="I182" s="1">
        <v>1</v>
      </c>
      <c r="L182" s="1">
        <v>3600</v>
      </c>
      <c r="M182" s="1">
        <v>2500</v>
      </c>
      <c r="N182" s="1" t="s">
        <v>999</v>
      </c>
      <c r="O182" s="1">
        <v>100</v>
      </c>
      <c r="P182" s="1" t="s">
        <v>398</v>
      </c>
      <c r="Q182" s="1">
        <v>10</v>
      </c>
      <c r="R182" s="1" t="s">
        <v>1272</v>
      </c>
      <c r="S182" s="16" t="s">
        <v>1001</v>
      </c>
      <c r="U182" s="1" t="s">
        <v>1273</v>
      </c>
      <c r="V182" s="17" t="s">
        <v>1274</v>
      </c>
      <c r="W182" s="5"/>
      <c r="X182" s="1" t="s">
        <v>1275</v>
      </c>
      <c r="Y182" s="5" t="s">
        <v>1005</v>
      </c>
      <c r="Z182" s="21" t="s">
        <v>1276</v>
      </c>
      <c r="AA182" s="22" t="s">
        <v>407</v>
      </c>
      <c r="AC182" s="22"/>
    </row>
    <row r="183" spans="1:29" s="1" customFormat="1" ht="49.5" x14ac:dyDescent="0.25">
      <c r="A183" s="13">
        <f t="shared" si="2"/>
        <v>311102</v>
      </c>
      <c r="B183" s="14">
        <v>3111</v>
      </c>
      <c r="C183" s="1" t="s">
        <v>143</v>
      </c>
      <c r="D183" s="12" t="s">
        <v>1169</v>
      </c>
      <c r="E183" s="3">
        <v>2</v>
      </c>
      <c r="F183" s="5" t="s">
        <v>396</v>
      </c>
      <c r="G183" s="3">
        <v>1</v>
      </c>
      <c r="H183" s="1">
        <v>3</v>
      </c>
      <c r="I183" s="1">
        <v>1</v>
      </c>
      <c r="L183" s="1">
        <v>3600</v>
      </c>
      <c r="M183" s="1">
        <v>2500</v>
      </c>
      <c r="N183" s="1" t="s">
        <v>999</v>
      </c>
      <c r="O183" s="1">
        <v>100</v>
      </c>
      <c r="P183" s="1" t="s">
        <v>398</v>
      </c>
      <c r="Q183" s="1">
        <v>10</v>
      </c>
      <c r="R183" s="1" t="s">
        <v>1272</v>
      </c>
      <c r="S183" s="16" t="s">
        <v>1001</v>
      </c>
      <c r="U183" s="1" t="s">
        <v>1273</v>
      </c>
      <c r="V183" s="17" t="s">
        <v>1274</v>
      </c>
      <c r="W183" s="5"/>
      <c r="X183" s="1" t="s">
        <v>1275</v>
      </c>
      <c r="Y183" s="5" t="s">
        <v>1005</v>
      </c>
      <c r="Z183" s="21" t="s">
        <v>1276</v>
      </c>
      <c r="AA183" s="22" t="s">
        <v>407</v>
      </c>
      <c r="AC183" s="22"/>
    </row>
    <row r="184" spans="1:29" s="1" customFormat="1" ht="49.5" x14ac:dyDescent="0.25">
      <c r="A184" s="13">
        <f t="shared" si="2"/>
        <v>311103</v>
      </c>
      <c r="B184" s="14">
        <v>3111</v>
      </c>
      <c r="C184" s="1" t="s">
        <v>143</v>
      </c>
      <c r="D184" s="12" t="s">
        <v>1169</v>
      </c>
      <c r="E184" s="3">
        <v>3</v>
      </c>
      <c r="F184" s="5" t="s">
        <v>396</v>
      </c>
      <c r="G184" s="3">
        <v>1</v>
      </c>
      <c r="H184" s="1">
        <v>3</v>
      </c>
      <c r="I184" s="1">
        <v>1</v>
      </c>
      <c r="L184" s="1">
        <v>3600</v>
      </c>
      <c r="M184" s="1">
        <v>2500</v>
      </c>
      <c r="N184" s="1" t="s">
        <v>999</v>
      </c>
      <c r="O184" s="1">
        <v>100</v>
      </c>
      <c r="P184" s="1" t="s">
        <v>398</v>
      </c>
      <c r="Q184" s="1">
        <v>10</v>
      </c>
      <c r="R184" s="1" t="s">
        <v>1272</v>
      </c>
      <c r="S184" s="16" t="s">
        <v>1001</v>
      </c>
      <c r="U184" s="1" t="s">
        <v>1273</v>
      </c>
      <c r="V184" s="17" t="s">
        <v>1274</v>
      </c>
      <c r="W184" s="5"/>
      <c r="X184" s="1" t="s">
        <v>1275</v>
      </c>
      <c r="Y184" s="5" t="s">
        <v>1005</v>
      </c>
      <c r="Z184" s="21" t="s">
        <v>1276</v>
      </c>
      <c r="AA184" s="22" t="s">
        <v>407</v>
      </c>
      <c r="AC184" s="22"/>
    </row>
    <row r="185" spans="1:29" s="1" customFormat="1" ht="49.5" x14ac:dyDescent="0.25">
      <c r="A185" s="13">
        <f t="shared" si="2"/>
        <v>311104</v>
      </c>
      <c r="B185" s="14">
        <v>3111</v>
      </c>
      <c r="C185" s="1" t="s">
        <v>143</v>
      </c>
      <c r="D185" s="12" t="s">
        <v>1169</v>
      </c>
      <c r="E185" s="3">
        <v>4</v>
      </c>
      <c r="F185" s="5" t="s">
        <v>396</v>
      </c>
      <c r="G185" s="3">
        <v>2</v>
      </c>
      <c r="H185" s="1">
        <v>3</v>
      </c>
      <c r="I185" s="1">
        <v>1</v>
      </c>
      <c r="L185" s="1">
        <v>3600</v>
      </c>
      <c r="M185" s="1">
        <v>2500</v>
      </c>
      <c r="N185" s="1" t="s">
        <v>999</v>
      </c>
      <c r="O185" s="1">
        <v>100</v>
      </c>
      <c r="P185" s="1" t="s">
        <v>398</v>
      </c>
      <c r="Q185" s="1">
        <v>10</v>
      </c>
      <c r="R185" s="1" t="s">
        <v>1272</v>
      </c>
      <c r="S185" s="16" t="s">
        <v>1001</v>
      </c>
      <c r="U185" s="1" t="s">
        <v>1273</v>
      </c>
      <c r="V185" s="17" t="s">
        <v>1274</v>
      </c>
      <c r="W185" s="5"/>
      <c r="X185" s="1" t="s">
        <v>1275</v>
      </c>
      <c r="Y185" s="5" t="s">
        <v>1005</v>
      </c>
      <c r="Z185" s="21" t="s">
        <v>1276</v>
      </c>
      <c r="AA185" s="22" t="s">
        <v>407</v>
      </c>
      <c r="AC185" s="22"/>
    </row>
    <row r="186" spans="1:29" s="1" customFormat="1" ht="49.5" x14ac:dyDescent="0.25">
      <c r="A186" s="13">
        <f t="shared" si="2"/>
        <v>311105</v>
      </c>
      <c r="B186" s="14">
        <v>3111</v>
      </c>
      <c r="C186" s="1" t="s">
        <v>143</v>
      </c>
      <c r="D186" s="12" t="s">
        <v>1169</v>
      </c>
      <c r="E186" s="3">
        <v>5</v>
      </c>
      <c r="F186" s="5" t="s">
        <v>396</v>
      </c>
      <c r="G186" s="3">
        <v>2</v>
      </c>
      <c r="H186" s="1">
        <v>3</v>
      </c>
      <c r="I186" s="1">
        <v>1</v>
      </c>
      <c r="L186" s="1">
        <v>3600</v>
      </c>
      <c r="M186" s="1">
        <v>2500</v>
      </c>
      <c r="N186" s="1" t="s">
        <v>999</v>
      </c>
      <c r="O186" s="1">
        <v>100</v>
      </c>
      <c r="P186" s="1" t="s">
        <v>398</v>
      </c>
      <c r="Q186" s="1">
        <v>10</v>
      </c>
      <c r="R186" s="1" t="s">
        <v>1272</v>
      </c>
      <c r="S186" s="16" t="s">
        <v>1001</v>
      </c>
      <c r="U186" s="1" t="s">
        <v>1273</v>
      </c>
      <c r="V186" s="17" t="s">
        <v>1274</v>
      </c>
      <c r="W186" s="5"/>
      <c r="X186" s="1" t="s">
        <v>1275</v>
      </c>
      <c r="Y186" s="5" t="s">
        <v>1005</v>
      </c>
      <c r="Z186" s="21" t="s">
        <v>1276</v>
      </c>
      <c r="AA186" s="22" t="s">
        <v>407</v>
      </c>
      <c r="AC186" s="22"/>
    </row>
    <row r="187" spans="1:29" s="1" customFormat="1" ht="49.5" x14ac:dyDescent="0.25">
      <c r="A187" s="13">
        <f t="shared" si="2"/>
        <v>312101</v>
      </c>
      <c r="B187" s="14">
        <v>3121</v>
      </c>
      <c r="C187" s="1" t="s">
        <v>143</v>
      </c>
      <c r="D187" s="15" t="s">
        <v>1277</v>
      </c>
      <c r="E187" s="3">
        <v>1</v>
      </c>
      <c r="F187" s="5" t="s">
        <v>396</v>
      </c>
      <c r="G187" s="3">
        <v>5</v>
      </c>
      <c r="H187" s="1">
        <v>3</v>
      </c>
      <c r="I187" s="1">
        <v>1</v>
      </c>
      <c r="L187" s="1">
        <v>5400</v>
      </c>
      <c r="M187" s="1">
        <v>2650</v>
      </c>
      <c r="N187" s="1" t="s">
        <v>1008</v>
      </c>
      <c r="O187" s="1">
        <v>100</v>
      </c>
      <c r="P187" s="1" t="s">
        <v>398</v>
      </c>
      <c r="Q187" s="1">
        <v>10</v>
      </c>
      <c r="R187" s="1">
        <v>1059</v>
      </c>
      <c r="S187" s="16">
        <v>8.0000000000000002E-3</v>
      </c>
      <c r="U187" s="1" t="s">
        <v>1278</v>
      </c>
      <c r="V187" s="17" t="s">
        <v>563</v>
      </c>
      <c r="W187" s="5"/>
      <c r="X187" s="17" t="s">
        <v>565</v>
      </c>
      <c r="Y187" s="5" t="s">
        <v>1005</v>
      </c>
      <c r="Z187" s="21" t="s">
        <v>1279</v>
      </c>
      <c r="AA187" s="22" t="s">
        <v>420</v>
      </c>
      <c r="AC187" s="22"/>
    </row>
    <row r="188" spans="1:29" s="1" customFormat="1" ht="49.5" x14ac:dyDescent="0.25">
      <c r="A188" s="13">
        <f t="shared" si="2"/>
        <v>312102</v>
      </c>
      <c r="B188" s="14">
        <v>3121</v>
      </c>
      <c r="C188" s="1" t="s">
        <v>143</v>
      </c>
      <c r="D188" s="15" t="s">
        <v>1277</v>
      </c>
      <c r="E188" s="3">
        <v>2</v>
      </c>
      <c r="F188" s="5" t="s">
        <v>396</v>
      </c>
      <c r="G188" s="3">
        <v>6</v>
      </c>
      <c r="H188" s="1">
        <v>3</v>
      </c>
      <c r="I188" s="1">
        <v>1</v>
      </c>
      <c r="L188" s="1">
        <v>5400</v>
      </c>
      <c r="M188" s="1">
        <v>2650</v>
      </c>
      <c r="N188" s="1" t="s">
        <v>1008</v>
      </c>
      <c r="O188" s="1">
        <v>100</v>
      </c>
      <c r="P188" s="1" t="s">
        <v>398</v>
      </c>
      <c r="Q188" s="1">
        <v>10</v>
      </c>
      <c r="R188" s="1">
        <v>1059</v>
      </c>
      <c r="S188" s="16">
        <v>8.0000000000000002E-3</v>
      </c>
      <c r="U188" s="1" t="s">
        <v>1278</v>
      </c>
      <c r="V188" s="17" t="s">
        <v>563</v>
      </c>
      <c r="W188" s="5"/>
      <c r="X188" s="17" t="s">
        <v>565</v>
      </c>
      <c r="Y188" s="5" t="s">
        <v>1005</v>
      </c>
      <c r="Z188" s="21" t="s">
        <v>1279</v>
      </c>
      <c r="AA188" s="22" t="s">
        <v>420</v>
      </c>
      <c r="AC188" s="22"/>
    </row>
    <row r="189" spans="1:29" s="1" customFormat="1" ht="49.5" x14ac:dyDescent="0.25">
      <c r="A189" s="13">
        <f t="shared" si="2"/>
        <v>312103</v>
      </c>
      <c r="B189" s="14">
        <v>3121</v>
      </c>
      <c r="C189" s="1" t="s">
        <v>143</v>
      </c>
      <c r="D189" s="15" t="s">
        <v>1277</v>
      </c>
      <c r="E189" s="3">
        <v>3</v>
      </c>
      <c r="F189" s="5" t="s">
        <v>396</v>
      </c>
      <c r="G189" s="3">
        <v>7</v>
      </c>
      <c r="H189" s="1">
        <v>3</v>
      </c>
      <c r="I189" s="1">
        <v>1</v>
      </c>
      <c r="L189" s="1">
        <v>5400</v>
      </c>
      <c r="M189" s="1">
        <v>2650</v>
      </c>
      <c r="N189" s="1" t="s">
        <v>1008</v>
      </c>
      <c r="O189" s="1">
        <v>100</v>
      </c>
      <c r="P189" s="1" t="s">
        <v>398</v>
      </c>
      <c r="Q189" s="1">
        <v>10</v>
      </c>
      <c r="R189" s="1">
        <v>1059</v>
      </c>
      <c r="S189" s="16">
        <v>8.0000000000000002E-3</v>
      </c>
      <c r="U189" s="1" t="s">
        <v>1278</v>
      </c>
      <c r="V189" s="17" t="s">
        <v>563</v>
      </c>
      <c r="W189" s="5"/>
      <c r="X189" s="17" t="s">
        <v>565</v>
      </c>
      <c r="Y189" s="5" t="s">
        <v>1005</v>
      </c>
      <c r="Z189" s="21" t="s">
        <v>1279</v>
      </c>
      <c r="AA189" s="22" t="s">
        <v>420</v>
      </c>
      <c r="AC189" s="22"/>
    </row>
    <row r="190" spans="1:29" s="1" customFormat="1" ht="49.5" x14ac:dyDescent="0.25">
      <c r="A190" s="13">
        <f t="shared" si="2"/>
        <v>312104</v>
      </c>
      <c r="B190" s="14">
        <v>3121</v>
      </c>
      <c r="C190" s="1" t="s">
        <v>143</v>
      </c>
      <c r="D190" s="15" t="s">
        <v>1277</v>
      </c>
      <c r="E190" s="3">
        <v>4</v>
      </c>
      <c r="F190" s="5" t="s">
        <v>396</v>
      </c>
      <c r="G190" s="3">
        <v>8</v>
      </c>
      <c r="H190" s="1">
        <v>3</v>
      </c>
      <c r="I190" s="1">
        <v>1</v>
      </c>
      <c r="L190" s="1">
        <v>5400</v>
      </c>
      <c r="M190" s="1">
        <v>2650</v>
      </c>
      <c r="N190" s="1" t="s">
        <v>1008</v>
      </c>
      <c r="O190" s="1">
        <v>100</v>
      </c>
      <c r="P190" s="1" t="s">
        <v>398</v>
      </c>
      <c r="Q190" s="1">
        <v>10</v>
      </c>
      <c r="R190" s="1">
        <v>1059</v>
      </c>
      <c r="S190" s="16">
        <v>8.0000000000000002E-3</v>
      </c>
      <c r="U190" s="1" t="s">
        <v>1278</v>
      </c>
      <c r="V190" s="17" t="s">
        <v>563</v>
      </c>
      <c r="W190" s="5"/>
      <c r="X190" s="17" t="s">
        <v>565</v>
      </c>
      <c r="Y190" s="5" t="s">
        <v>1005</v>
      </c>
      <c r="Z190" s="21" t="s">
        <v>1279</v>
      </c>
      <c r="AA190" s="22" t="s">
        <v>420</v>
      </c>
      <c r="AC190" s="22"/>
    </row>
    <row r="191" spans="1:29" s="1" customFormat="1" ht="49.5" x14ac:dyDescent="0.25">
      <c r="A191" s="13">
        <f t="shared" si="2"/>
        <v>312105</v>
      </c>
      <c r="B191" s="14">
        <v>3121</v>
      </c>
      <c r="C191" s="1" t="s">
        <v>143</v>
      </c>
      <c r="D191" s="15" t="s">
        <v>1277</v>
      </c>
      <c r="E191" s="3">
        <v>5</v>
      </c>
      <c r="F191" s="5" t="s">
        <v>396</v>
      </c>
      <c r="G191" s="3">
        <v>9</v>
      </c>
      <c r="H191" s="1">
        <v>3</v>
      </c>
      <c r="I191" s="1">
        <v>1</v>
      </c>
      <c r="L191" s="1">
        <v>5400</v>
      </c>
      <c r="M191" s="1">
        <v>2650</v>
      </c>
      <c r="N191" s="1" t="s">
        <v>1008</v>
      </c>
      <c r="O191" s="1">
        <v>100</v>
      </c>
      <c r="P191" s="1" t="s">
        <v>398</v>
      </c>
      <c r="Q191" s="1">
        <v>10</v>
      </c>
      <c r="R191" s="1">
        <v>1059</v>
      </c>
      <c r="S191" s="16">
        <v>8.0000000000000002E-3</v>
      </c>
      <c r="U191" s="1" t="s">
        <v>1278</v>
      </c>
      <c r="V191" s="17" t="s">
        <v>563</v>
      </c>
      <c r="W191" s="5"/>
      <c r="X191" s="17" t="s">
        <v>565</v>
      </c>
      <c r="Y191" s="5" t="s">
        <v>1005</v>
      </c>
      <c r="Z191" s="21" t="s">
        <v>1279</v>
      </c>
      <c r="AA191" s="22" t="s">
        <v>420</v>
      </c>
      <c r="AC191" s="22"/>
    </row>
    <row r="192" spans="1:29" s="1" customFormat="1" ht="49.5" x14ac:dyDescent="0.25">
      <c r="A192" s="13">
        <f t="shared" si="2"/>
        <v>312201</v>
      </c>
      <c r="B192" s="14">
        <v>3122</v>
      </c>
      <c r="C192" s="1" t="s">
        <v>143</v>
      </c>
      <c r="D192" s="12" t="s">
        <v>1169</v>
      </c>
      <c r="E192" s="3">
        <v>1</v>
      </c>
      <c r="F192" s="5" t="s">
        <v>396</v>
      </c>
      <c r="G192" s="3">
        <v>5</v>
      </c>
      <c r="H192" s="1">
        <v>3</v>
      </c>
      <c r="I192" s="1">
        <v>1</v>
      </c>
      <c r="L192" s="1">
        <v>5400</v>
      </c>
      <c r="M192" s="1">
        <v>2650</v>
      </c>
      <c r="N192" s="1" t="s">
        <v>1008</v>
      </c>
      <c r="O192" s="1">
        <v>100</v>
      </c>
      <c r="P192" s="1" t="s">
        <v>398</v>
      </c>
      <c r="Q192" s="1">
        <v>10</v>
      </c>
      <c r="R192" s="1" t="s">
        <v>1272</v>
      </c>
      <c r="S192" s="16" t="s">
        <v>1001</v>
      </c>
      <c r="U192" s="1" t="s">
        <v>1273</v>
      </c>
      <c r="V192" s="17" t="s">
        <v>1274</v>
      </c>
      <c r="W192" s="5"/>
      <c r="X192" s="1" t="s">
        <v>1275</v>
      </c>
      <c r="Y192" s="5" t="s">
        <v>1005</v>
      </c>
      <c r="Z192" s="21" t="s">
        <v>1276</v>
      </c>
      <c r="AA192" s="22" t="s">
        <v>433</v>
      </c>
      <c r="AC192" s="22"/>
    </row>
    <row r="193" spans="1:29" s="1" customFormat="1" ht="49.5" x14ac:dyDescent="0.25">
      <c r="A193" s="13">
        <f t="shared" si="2"/>
        <v>312202</v>
      </c>
      <c r="B193" s="14">
        <v>3122</v>
      </c>
      <c r="C193" s="1" t="s">
        <v>143</v>
      </c>
      <c r="D193" s="12" t="s">
        <v>1169</v>
      </c>
      <c r="E193" s="3">
        <v>2</v>
      </c>
      <c r="F193" s="5" t="s">
        <v>396</v>
      </c>
      <c r="G193" s="3">
        <v>6</v>
      </c>
      <c r="H193" s="1">
        <v>3</v>
      </c>
      <c r="I193" s="1">
        <v>1</v>
      </c>
      <c r="L193" s="1">
        <v>5400</v>
      </c>
      <c r="M193" s="1">
        <v>2650</v>
      </c>
      <c r="N193" s="1" t="s">
        <v>1008</v>
      </c>
      <c r="O193" s="1">
        <v>100</v>
      </c>
      <c r="P193" s="1" t="s">
        <v>398</v>
      </c>
      <c r="Q193" s="1">
        <v>10</v>
      </c>
      <c r="R193" s="1" t="s">
        <v>1272</v>
      </c>
      <c r="S193" s="16" t="s">
        <v>1001</v>
      </c>
      <c r="U193" s="1" t="s">
        <v>1273</v>
      </c>
      <c r="V193" s="17" t="s">
        <v>1274</v>
      </c>
      <c r="W193" s="5"/>
      <c r="X193" s="1" t="s">
        <v>1275</v>
      </c>
      <c r="Y193" s="5" t="s">
        <v>1005</v>
      </c>
      <c r="Z193" s="21" t="s">
        <v>1276</v>
      </c>
      <c r="AA193" s="22" t="s">
        <v>433</v>
      </c>
      <c r="AC193" s="22"/>
    </row>
    <row r="194" spans="1:29" s="1" customFormat="1" ht="49.5" x14ac:dyDescent="0.25">
      <c r="A194" s="13">
        <f t="shared" si="2"/>
        <v>312203</v>
      </c>
      <c r="B194" s="14">
        <v>3122</v>
      </c>
      <c r="C194" s="1" t="s">
        <v>143</v>
      </c>
      <c r="D194" s="12" t="s">
        <v>1169</v>
      </c>
      <c r="E194" s="3">
        <v>3</v>
      </c>
      <c r="F194" s="5" t="s">
        <v>396</v>
      </c>
      <c r="G194" s="3">
        <v>7</v>
      </c>
      <c r="H194" s="1">
        <v>3</v>
      </c>
      <c r="I194" s="1">
        <v>1</v>
      </c>
      <c r="L194" s="1">
        <v>5400</v>
      </c>
      <c r="M194" s="1">
        <v>2650</v>
      </c>
      <c r="N194" s="1" t="s">
        <v>1008</v>
      </c>
      <c r="O194" s="1">
        <v>100</v>
      </c>
      <c r="P194" s="1" t="s">
        <v>398</v>
      </c>
      <c r="Q194" s="1">
        <v>10</v>
      </c>
      <c r="R194" s="1" t="s">
        <v>1272</v>
      </c>
      <c r="S194" s="16" t="s">
        <v>1001</v>
      </c>
      <c r="U194" s="1" t="s">
        <v>1273</v>
      </c>
      <c r="V194" s="17" t="s">
        <v>1274</v>
      </c>
      <c r="W194" s="5"/>
      <c r="X194" s="1" t="s">
        <v>1275</v>
      </c>
      <c r="Y194" s="5" t="s">
        <v>1005</v>
      </c>
      <c r="Z194" s="21" t="s">
        <v>1276</v>
      </c>
      <c r="AA194" s="22" t="s">
        <v>433</v>
      </c>
      <c r="AC194" s="22"/>
    </row>
    <row r="195" spans="1:29" s="1" customFormat="1" ht="49.5" x14ac:dyDescent="0.25">
      <c r="A195" s="13">
        <f t="shared" si="2"/>
        <v>312204</v>
      </c>
      <c r="B195" s="14">
        <v>3122</v>
      </c>
      <c r="C195" s="1" t="s">
        <v>143</v>
      </c>
      <c r="D195" s="12" t="s">
        <v>1169</v>
      </c>
      <c r="E195" s="3">
        <v>4</v>
      </c>
      <c r="F195" s="5" t="s">
        <v>396</v>
      </c>
      <c r="G195" s="3">
        <v>8</v>
      </c>
      <c r="H195" s="1">
        <v>3</v>
      </c>
      <c r="I195" s="1">
        <v>1</v>
      </c>
      <c r="L195" s="1">
        <v>5400</v>
      </c>
      <c r="M195" s="1">
        <v>2650</v>
      </c>
      <c r="N195" s="1" t="s">
        <v>1008</v>
      </c>
      <c r="O195" s="1">
        <v>100</v>
      </c>
      <c r="P195" s="1" t="s">
        <v>398</v>
      </c>
      <c r="Q195" s="1">
        <v>10</v>
      </c>
      <c r="R195" s="1" t="s">
        <v>1272</v>
      </c>
      <c r="S195" s="16" t="s">
        <v>1001</v>
      </c>
      <c r="U195" s="1" t="s">
        <v>1273</v>
      </c>
      <c r="V195" s="17" t="s">
        <v>1274</v>
      </c>
      <c r="W195" s="5"/>
      <c r="X195" s="1" t="s">
        <v>1275</v>
      </c>
      <c r="Y195" s="5" t="s">
        <v>1005</v>
      </c>
      <c r="Z195" s="21" t="s">
        <v>1276</v>
      </c>
      <c r="AA195" s="22" t="s">
        <v>433</v>
      </c>
      <c r="AC195" s="22"/>
    </row>
    <row r="196" spans="1:29" s="1" customFormat="1" ht="49.5" x14ac:dyDescent="0.25">
      <c r="A196" s="13">
        <f t="shared" ref="A196:A259" si="3">B196*100+E196</f>
        <v>312205</v>
      </c>
      <c r="B196" s="14">
        <v>3122</v>
      </c>
      <c r="C196" s="1" t="s">
        <v>143</v>
      </c>
      <c r="D196" s="12" t="s">
        <v>1169</v>
      </c>
      <c r="E196" s="3">
        <v>5</v>
      </c>
      <c r="F196" s="5" t="s">
        <v>396</v>
      </c>
      <c r="G196" s="3">
        <v>9</v>
      </c>
      <c r="H196" s="1">
        <v>3</v>
      </c>
      <c r="I196" s="1">
        <v>1</v>
      </c>
      <c r="L196" s="1">
        <v>5400</v>
      </c>
      <c r="M196" s="1">
        <v>2650</v>
      </c>
      <c r="N196" s="1" t="s">
        <v>1008</v>
      </c>
      <c r="O196" s="1">
        <v>100</v>
      </c>
      <c r="P196" s="1" t="s">
        <v>398</v>
      </c>
      <c r="Q196" s="1">
        <v>10</v>
      </c>
      <c r="R196" s="1" t="s">
        <v>1272</v>
      </c>
      <c r="S196" s="16" t="s">
        <v>1001</v>
      </c>
      <c r="U196" s="1" t="s">
        <v>1273</v>
      </c>
      <c r="V196" s="17" t="s">
        <v>1274</v>
      </c>
      <c r="W196" s="5"/>
      <c r="X196" s="1" t="s">
        <v>1275</v>
      </c>
      <c r="Y196" s="5" t="s">
        <v>1005</v>
      </c>
      <c r="Z196" s="21" t="s">
        <v>1276</v>
      </c>
      <c r="AA196" s="22" t="s">
        <v>433</v>
      </c>
      <c r="AC196" s="22"/>
    </row>
    <row r="197" spans="1:29" s="1" customFormat="1" ht="49.5" x14ac:dyDescent="0.25">
      <c r="A197" s="13">
        <f t="shared" si="3"/>
        <v>312301</v>
      </c>
      <c r="B197" s="14">
        <v>3123</v>
      </c>
      <c r="C197" s="1" t="s">
        <v>143</v>
      </c>
      <c r="D197" s="15" t="s">
        <v>1280</v>
      </c>
      <c r="E197" s="3">
        <v>1</v>
      </c>
      <c r="F197" s="5" t="s">
        <v>396</v>
      </c>
      <c r="G197" s="3">
        <v>5</v>
      </c>
      <c r="H197" s="1">
        <v>3</v>
      </c>
      <c r="I197" s="1">
        <v>2</v>
      </c>
      <c r="J197" s="1" t="s">
        <v>1281</v>
      </c>
      <c r="K197" s="1" t="s">
        <v>1282</v>
      </c>
      <c r="L197" s="1">
        <v>5400</v>
      </c>
      <c r="M197" s="1">
        <v>2650</v>
      </c>
      <c r="N197" s="1" t="s">
        <v>1008</v>
      </c>
      <c r="O197" s="1">
        <v>100</v>
      </c>
      <c r="P197" s="1" t="s">
        <v>398</v>
      </c>
      <c r="Q197" s="1">
        <v>10</v>
      </c>
      <c r="R197" s="1">
        <v>1064</v>
      </c>
      <c r="S197" s="16">
        <v>4.0000000000000001E-3</v>
      </c>
      <c r="U197" s="1" t="s">
        <v>569</v>
      </c>
      <c r="V197" s="17" t="s">
        <v>1283</v>
      </c>
      <c r="W197" s="5"/>
      <c r="X197" s="17" t="s">
        <v>1284</v>
      </c>
      <c r="Y197" s="5" t="s">
        <v>1005</v>
      </c>
      <c r="Z197" s="21" t="s">
        <v>1279</v>
      </c>
      <c r="AA197" s="22" t="s">
        <v>445</v>
      </c>
      <c r="AC197" s="22"/>
    </row>
    <row r="198" spans="1:29" s="1" customFormat="1" ht="49.5" x14ac:dyDescent="0.25">
      <c r="A198" s="13">
        <f t="shared" si="3"/>
        <v>312302</v>
      </c>
      <c r="B198" s="14">
        <v>3123</v>
      </c>
      <c r="C198" s="1" t="s">
        <v>143</v>
      </c>
      <c r="D198" s="15" t="s">
        <v>1280</v>
      </c>
      <c r="E198" s="3">
        <v>2</v>
      </c>
      <c r="F198" s="5" t="s">
        <v>396</v>
      </c>
      <c r="G198" s="3">
        <v>6</v>
      </c>
      <c r="H198" s="1">
        <v>3</v>
      </c>
      <c r="I198" s="1">
        <v>2</v>
      </c>
      <c r="J198" s="1" t="s">
        <v>1281</v>
      </c>
      <c r="K198" s="1" t="s">
        <v>1282</v>
      </c>
      <c r="L198" s="1">
        <v>5400</v>
      </c>
      <c r="M198" s="1">
        <v>2650</v>
      </c>
      <c r="N198" s="1" t="s">
        <v>1008</v>
      </c>
      <c r="O198" s="1">
        <v>100</v>
      </c>
      <c r="P198" s="1" t="s">
        <v>398</v>
      </c>
      <c r="Q198" s="1">
        <v>10</v>
      </c>
      <c r="R198" s="1">
        <v>1064</v>
      </c>
      <c r="S198" s="16">
        <v>4.0000000000000001E-3</v>
      </c>
      <c r="U198" s="1" t="s">
        <v>569</v>
      </c>
      <c r="V198" s="17" t="s">
        <v>1283</v>
      </c>
      <c r="W198" s="5"/>
      <c r="X198" s="17" t="s">
        <v>1284</v>
      </c>
      <c r="Y198" s="5" t="s">
        <v>1005</v>
      </c>
      <c r="Z198" s="21" t="s">
        <v>1279</v>
      </c>
      <c r="AA198" s="22" t="s">
        <v>445</v>
      </c>
      <c r="AC198" s="22"/>
    </row>
    <row r="199" spans="1:29" s="1" customFormat="1" ht="49.5" x14ac:dyDescent="0.25">
      <c r="A199" s="13">
        <f t="shared" si="3"/>
        <v>312303</v>
      </c>
      <c r="B199" s="14">
        <v>3123</v>
      </c>
      <c r="C199" s="1" t="s">
        <v>143</v>
      </c>
      <c r="D199" s="15" t="s">
        <v>1280</v>
      </c>
      <c r="E199" s="3">
        <v>3</v>
      </c>
      <c r="F199" s="5" t="s">
        <v>396</v>
      </c>
      <c r="G199" s="3">
        <v>7</v>
      </c>
      <c r="H199" s="1">
        <v>3</v>
      </c>
      <c r="I199" s="1">
        <v>2</v>
      </c>
      <c r="J199" s="1" t="s">
        <v>1281</v>
      </c>
      <c r="K199" s="1" t="s">
        <v>1282</v>
      </c>
      <c r="L199" s="1">
        <v>5400</v>
      </c>
      <c r="M199" s="1">
        <v>2650</v>
      </c>
      <c r="N199" s="1" t="s">
        <v>1008</v>
      </c>
      <c r="O199" s="1">
        <v>100</v>
      </c>
      <c r="P199" s="1" t="s">
        <v>398</v>
      </c>
      <c r="Q199" s="1">
        <v>10</v>
      </c>
      <c r="R199" s="1">
        <v>1064</v>
      </c>
      <c r="S199" s="16">
        <v>4.0000000000000001E-3</v>
      </c>
      <c r="U199" s="1" t="s">
        <v>569</v>
      </c>
      <c r="V199" s="17" t="s">
        <v>1283</v>
      </c>
      <c r="W199" s="5"/>
      <c r="X199" s="17" t="s">
        <v>1284</v>
      </c>
      <c r="Y199" s="5" t="s">
        <v>1005</v>
      </c>
      <c r="Z199" s="21" t="s">
        <v>1279</v>
      </c>
      <c r="AA199" s="22" t="s">
        <v>445</v>
      </c>
      <c r="AC199" s="22"/>
    </row>
    <row r="200" spans="1:29" s="1" customFormat="1" ht="49.5" x14ac:dyDescent="0.25">
      <c r="A200" s="13">
        <f t="shared" si="3"/>
        <v>312304</v>
      </c>
      <c r="B200" s="14">
        <v>3123</v>
      </c>
      <c r="C200" s="1" t="s">
        <v>143</v>
      </c>
      <c r="D200" s="15" t="s">
        <v>1280</v>
      </c>
      <c r="E200" s="3">
        <v>4</v>
      </c>
      <c r="F200" s="5" t="s">
        <v>396</v>
      </c>
      <c r="G200" s="3">
        <v>8</v>
      </c>
      <c r="H200" s="1">
        <v>3</v>
      </c>
      <c r="I200" s="1">
        <v>2</v>
      </c>
      <c r="J200" s="1" t="s">
        <v>1281</v>
      </c>
      <c r="K200" s="1" t="s">
        <v>1282</v>
      </c>
      <c r="L200" s="1">
        <v>5400</v>
      </c>
      <c r="M200" s="1">
        <v>2650</v>
      </c>
      <c r="N200" s="1" t="s">
        <v>1008</v>
      </c>
      <c r="O200" s="1">
        <v>100</v>
      </c>
      <c r="P200" s="1" t="s">
        <v>398</v>
      </c>
      <c r="Q200" s="1">
        <v>10</v>
      </c>
      <c r="R200" s="1">
        <v>1064</v>
      </c>
      <c r="S200" s="16">
        <v>4.0000000000000001E-3</v>
      </c>
      <c r="U200" s="1" t="s">
        <v>569</v>
      </c>
      <c r="V200" s="17" t="s">
        <v>1283</v>
      </c>
      <c r="W200" s="5"/>
      <c r="X200" s="17" t="s">
        <v>1284</v>
      </c>
      <c r="Y200" s="5" t="s">
        <v>1005</v>
      </c>
      <c r="Z200" s="21" t="s">
        <v>1279</v>
      </c>
      <c r="AA200" s="22" t="s">
        <v>445</v>
      </c>
      <c r="AC200" s="22"/>
    </row>
    <row r="201" spans="1:29" s="1" customFormat="1" ht="49.5" x14ac:dyDescent="0.25">
      <c r="A201" s="13">
        <f t="shared" si="3"/>
        <v>312305</v>
      </c>
      <c r="B201" s="14">
        <v>3123</v>
      </c>
      <c r="C201" s="1" t="s">
        <v>143</v>
      </c>
      <c r="D201" s="15" t="s">
        <v>1280</v>
      </c>
      <c r="E201" s="3">
        <v>5</v>
      </c>
      <c r="F201" s="5" t="s">
        <v>396</v>
      </c>
      <c r="G201" s="3">
        <v>9</v>
      </c>
      <c r="H201" s="1">
        <v>3</v>
      </c>
      <c r="I201" s="1">
        <v>2</v>
      </c>
      <c r="J201" s="1" t="s">
        <v>1281</v>
      </c>
      <c r="K201" s="1" t="s">
        <v>1282</v>
      </c>
      <c r="L201" s="1">
        <v>5400</v>
      </c>
      <c r="M201" s="1">
        <v>2650</v>
      </c>
      <c r="N201" s="1" t="s">
        <v>1008</v>
      </c>
      <c r="O201" s="1">
        <v>100</v>
      </c>
      <c r="P201" s="1" t="s">
        <v>398</v>
      </c>
      <c r="Q201" s="1">
        <v>10</v>
      </c>
      <c r="R201" s="1">
        <v>1064</v>
      </c>
      <c r="S201" s="16">
        <v>4.0000000000000001E-3</v>
      </c>
      <c r="U201" s="1" t="s">
        <v>569</v>
      </c>
      <c r="V201" s="17" t="s">
        <v>1283</v>
      </c>
      <c r="W201" s="5"/>
      <c r="X201" s="17" t="s">
        <v>1284</v>
      </c>
      <c r="Y201" s="5" t="s">
        <v>1005</v>
      </c>
      <c r="Z201" s="21" t="s">
        <v>1279</v>
      </c>
      <c r="AA201" s="22" t="s">
        <v>445</v>
      </c>
      <c r="AC201" s="22"/>
    </row>
    <row r="202" spans="1:29" s="1" customFormat="1" ht="49.5" x14ac:dyDescent="0.25">
      <c r="A202" s="13">
        <f t="shared" si="3"/>
        <v>313101</v>
      </c>
      <c r="B202" s="14">
        <v>3131</v>
      </c>
      <c r="C202" s="1" t="s">
        <v>143</v>
      </c>
      <c r="D202" s="15" t="s">
        <v>1285</v>
      </c>
      <c r="E202" s="3">
        <v>1</v>
      </c>
      <c r="F202" s="5" t="s">
        <v>396</v>
      </c>
      <c r="G202" s="3">
        <v>10</v>
      </c>
      <c r="H202" s="1">
        <v>3</v>
      </c>
      <c r="I202" s="1">
        <v>2</v>
      </c>
      <c r="J202" s="1" t="s">
        <v>1281</v>
      </c>
      <c r="K202" s="1" t="s">
        <v>1282</v>
      </c>
      <c r="L202" s="1">
        <v>7200</v>
      </c>
      <c r="M202" s="1">
        <v>2750</v>
      </c>
      <c r="N202" s="1" t="s">
        <v>1015</v>
      </c>
      <c r="O202" s="1">
        <v>100</v>
      </c>
      <c r="P202" s="1" t="s">
        <v>398</v>
      </c>
      <c r="Q202" s="1">
        <v>10</v>
      </c>
      <c r="R202" s="1">
        <v>1091</v>
      </c>
      <c r="S202" s="16">
        <v>500</v>
      </c>
      <c r="U202" s="1" t="s">
        <v>1286</v>
      </c>
      <c r="V202" s="17" t="s">
        <v>1287</v>
      </c>
      <c r="W202" s="5"/>
      <c r="X202" s="17" t="s">
        <v>1288</v>
      </c>
      <c r="Y202" s="5" t="s">
        <v>1005</v>
      </c>
      <c r="Z202" s="21" t="s">
        <v>1279</v>
      </c>
      <c r="AA202" s="22" t="s">
        <v>453</v>
      </c>
      <c r="AC202" s="22"/>
    </row>
    <row r="203" spans="1:29" s="1" customFormat="1" ht="49.5" x14ac:dyDescent="0.25">
      <c r="A203" s="13">
        <f t="shared" si="3"/>
        <v>313102</v>
      </c>
      <c r="B203" s="14">
        <v>3131</v>
      </c>
      <c r="C203" s="1" t="s">
        <v>143</v>
      </c>
      <c r="D203" s="15" t="s">
        <v>1285</v>
      </c>
      <c r="E203" s="3">
        <v>2</v>
      </c>
      <c r="F203" s="5" t="s">
        <v>396</v>
      </c>
      <c r="G203" s="3">
        <v>11</v>
      </c>
      <c r="H203" s="1">
        <v>3</v>
      </c>
      <c r="I203" s="1">
        <v>2</v>
      </c>
      <c r="J203" s="1" t="s">
        <v>1281</v>
      </c>
      <c r="K203" s="1" t="s">
        <v>1282</v>
      </c>
      <c r="L203" s="1">
        <v>7200</v>
      </c>
      <c r="M203" s="1">
        <v>2750</v>
      </c>
      <c r="N203" s="1" t="s">
        <v>1015</v>
      </c>
      <c r="O203" s="1">
        <v>100</v>
      </c>
      <c r="P203" s="1" t="s">
        <v>398</v>
      </c>
      <c r="Q203" s="1">
        <v>10</v>
      </c>
      <c r="R203" s="1">
        <v>1091</v>
      </c>
      <c r="S203" s="16">
        <v>500</v>
      </c>
      <c r="U203" s="1" t="s">
        <v>1286</v>
      </c>
      <c r="V203" s="17" t="s">
        <v>1287</v>
      </c>
      <c r="W203" s="5"/>
      <c r="X203" s="17" t="s">
        <v>1288</v>
      </c>
      <c r="Y203" s="5" t="s">
        <v>1005</v>
      </c>
      <c r="Z203" s="21" t="s">
        <v>1279</v>
      </c>
      <c r="AA203" s="22" t="s">
        <v>453</v>
      </c>
      <c r="AC203" s="22"/>
    </row>
    <row r="204" spans="1:29" s="1" customFormat="1" ht="49.5" x14ac:dyDescent="0.25">
      <c r="A204" s="13">
        <f t="shared" si="3"/>
        <v>313103</v>
      </c>
      <c r="B204" s="14">
        <v>3131</v>
      </c>
      <c r="C204" s="1" t="s">
        <v>143</v>
      </c>
      <c r="D204" s="15" t="s">
        <v>1285</v>
      </c>
      <c r="E204" s="3">
        <v>3</v>
      </c>
      <c r="F204" s="5" t="s">
        <v>396</v>
      </c>
      <c r="G204" s="3">
        <v>13</v>
      </c>
      <c r="H204" s="1">
        <v>3</v>
      </c>
      <c r="I204" s="1">
        <v>2</v>
      </c>
      <c r="J204" s="1" t="s">
        <v>1281</v>
      </c>
      <c r="K204" s="1" t="s">
        <v>1282</v>
      </c>
      <c r="L204" s="1">
        <v>7200</v>
      </c>
      <c r="M204" s="1">
        <v>2750</v>
      </c>
      <c r="N204" s="1" t="s">
        <v>1015</v>
      </c>
      <c r="O204" s="1">
        <v>100</v>
      </c>
      <c r="P204" s="1" t="s">
        <v>398</v>
      </c>
      <c r="Q204" s="1">
        <v>10</v>
      </c>
      <c r="R204" s="1">
        <v>1091</v>
      </c>
      <c r="S204" s="16">
        <v>500</v>
      </c>
      <c r="U204" s="1" t="s">
        <v>1286</v>
      </c>
      <c r="V204" s="17" t="s">
        <v>1287</v>
      </c>
      <c r="W204" s="5"/>
      <c r="X204" s="17" t="s">
        <v>1288</v>
      </c>
      <c r="Y204" s="5" t="s">
        <v>1005</v>
      </c>
      <c r="Z204" s="21" t="s">
        <v>1279</v>
      </c>
      <c r="AA204" s="22" t="s">
        <v>453</v>
      </c>
      <c r="AC204" s="22"/>
    </row>
    <row r="205" spans="1:29" s="1" customFormat="1" ht="49.5" x14ac:dyDescent="0.25">
      <c r="A205" s="13">
        <f t="shared" si="3"/>
        <v>313201</v>
      </c>
      <c r="B205" s="14">
        <v>3132</v>
      </c>
      <c r="C205" s="1" t="s">
        <v>143</v>
      </c>
      <c r="D205" s="15" t="s">
        <v>1289</v>
      </c>
      <c r="E205" s="3">
        <v>1</v>
      </c>
      <c r="F205" s="5" t="s">
        <v>396</v>
      </c>
      <c r="G205" s="3">
        <v>10</v>
      </c>
      <c r="H205" s="1">
        <v>3</v>
      </c>
      <c r="I205" s="1">
        <v>3</v>
      </c>
      <c r="J205" s="1" t="s">
        <v>1290</v>
      </c>
      <c r="K205" s="1" t="s">
        <v>1291</v>
      </c>
      <c r="L205" s="1">
        <v>7200</v>
      </c>
      <c r="M205" s="1">
        <v>2750</v>
      </c>
      <c r="N205" s="1" t="s">
        <v>1015</v>
      </c>
      <c r="O205" s="1">
        <v>100</v>
      </c>
      <c r="P205" s="1" t="s">
        <v>398</v>
      </c>
      <c r="Q205" s="1">
        <v>10</v>
      </c>
      <c r="R205" s="1">
        <v>1054</v>
      </c>
      <c r="S205" s="18">
        <v>0.01</v>
      </c>
      <c r="U205" s="1" t="s">
        <v>1292</v>
      </c>
      <c r="V205" s="17" t="s">
        <v>1293</v>
      </c>
      <c r="W205" s="5"/>
      <c r="X205" s="17" t="s">
        <v>1294</v>
      </c>
      <c r="Y205" s="5" t="s">
        <v>1005</v>
      </c>
      <c r="Z205" s="21" t="s">
        <v>1279</v>
      </c>
      <c r="AA205" s="22" t="s">
        <v>457</v>
      </c>
      <c r="AC205" s="22"/>
    </row>
    <row r="206" spans="1:29" s="1" customFormat="1" ht="49.5" x14ac:dyDescent="0.25">
      <c r="A206" s="13">
        <f t="shared" si="3"/>
        <v>313202</v>
      </c>
      <c r="B206" s="14">
        <v>3132</v>
      </c>
      <c r="C206" s="1" t="s">
        <v>143</v>
      </c>
      <c r="D206" s="15" t="s">
        <v>1289</v>
      </c>
      <c r="E206" s="3">
        <v>2</v>
      </c>
      <c r="F206" s="5" t="s">
        <v>396</v>
      </c>
      <c r="G206" s="3">
        <v>11</v>
      </c>
      <c r="H206" s="1">
        <v>3</v>
      </c>
      <c r="I206" s="1">
        <v>3</v>
      </c>
      <c r="J206" s="1" t="s">
        <v>1290</v>
      </c>
      <c r="K206" s="1" t="s">
        <v>1291</v>
      </c>
      <c r="L206" s="1">
        <v>7200</v>
      </c>
      <c r="M206" s="1">
        <v>2750</v>
      </c>
      <c r="N206" s="1" t="s">
        <v>1015</v>
      </c>
      <c r="O206" s="1">
        <v>100</v>
      </c>
      <c r="P206" s="1" t="s">
        <v>398</v>
      </c>
      <c r="Q206" s="1">
        <v>10</v>
      </c>
      <c r="R206" s="1">
        <v>1054</v>
      </c>
      <c r="S206" s="18">
        <v>0.01</v>
      </c>
      <c r="U206" s="1" t="s">
        <v>1292</v>
      </c>
      <c r="V206" s="17" t="s">
        <v>1293</v>
      </c>
      <c r="W206" s="5"/>
      <c r="X206" s="17" t="s">
        <v>1294</v>
      </c>
      <c r="Y206" s="5" t="s">
        <v>1005</v>
      </c>
      <c r="Z206" s="21" t="s">
        <v>1279</v>
      </c>
      <c r="AA206" s="22" t="s">
        <v>457</v>
      </c>
      <c r="AC206" s="22"/>
    </row>
    <row r="207" spans="1:29" s="1" customFormat="1" ht="49.5" x14ac:dyDescent="0.25">
      <c r="A207" s="13">
        <f t="shared" si="3"/>
        <v>313203</v>
      </c>
      <c r="B207" s="14">
        <v>3132</v>
      </c>
      <c r="C207" s="1" t="s">
        <v>143</v>
      </c>
      <c r="D207" s="15" t="s">
        <v>1289</v>
      </c>
      <c r="E207" s="3">
        <v>3</v>
      </c>
      <c r="F207" s="5" t="s">
        <v>396</v>
      </c>
      <c r="G207" s="3">
        <v>13</v>
      </c>
      <c r="H207" s="1">
        <v>3</v>
      </c>
      <c r="I207" s="1">
        <v>3</v>
      </c>
      <c r="J207" s="1" t="s">
        <v>1290</v>
      </c>
      <c r="K207" s="1" t="s">
        <v>1291</v>
      </c>
      <c r="L207" s="1">
        <v>7200</v>
      </c>
      <c r="M207" s="1">
        <v>2750</v>
      </c>
      <c r="N207" s="1" t="s">
        <v>1015</v>
      </c>
      <c r="O207" s="1">
        <v>100</v>
      </c>
      <c r="P207" s="1" t="s">
        <v>398</v>
      </c>
      <c r="Q207" s="1">
        <v>10</v>
      </c>
      <c r="R207" s="1">
        <v>1054</v>
      </c>
      <c r="S207" s="18">
        <v>0.01</v>
      </c>
      <c r="U207" s="1" t="s">
        <v>1292</v>
      </c>
      <c r="V207" s="17" t="s">
        <v>1293</v>
      </c>
      <c r="W207" s="5"/>
      <c r="X207" s="17" t="s">
        <v>1294</v>
      </c>
      <c r="Y207" s="5" t="s">
        <v>1005</v>
      </c>
      <c r="Z207" s="21" t="s">
        <v>1279</v>
      </c>
      <c r="AA207" s="22" t="s">
        <v>457</v>
      </c>
      <c r="AC207" s="22"/>
    </row>
    <row r="208" spans="1:29" s="1" customFormat="1" ht="49.5" x14ac:dyDescent="0.25">
      <c r="A208" s="13">
        <f t="shared" si="3"/>
        <v>313301</v>
      </c>
      <c r="B208" s="14">
        <v>3133</v>
      </c>
      <c r="C208" s="1" t="s">
        <v>143</v>
      </c>
      <c r="D208" s="15" t="s">
        <v>1022</v>
      </c>
      <c r="E208" s="3">
        <v>1</v>
      </c>
      <c r="F208" s="5" t="s">
        <v>396</v>
      </c>
      <c r="G208" s="3">
        <v>10</v>
      </c>
      <c r="H208" s="1">
        <v>3</v>
      </c>
      <c r="I208" s="1">
        <v>3</v>
      </c>
      <c r="J208" s="1" t="s">
        <v>1290</v>
      </c>
      <c r="K208" s="1" t="s">
        <v>1291</v>
      </c>
      <c r="L208" s="1">
        <v>7200</v>
      </c>
      <c r="M208" s="1">
        <v>2750</v>
      </c>
      <c r="N208" s="1" t="s">
        <v>1015</v>
      </c>
      <c r="O208" s="1">
        <v>100</v>
      </c>
      <c r="P208" s="1" t="s">
        <v>398</v>
      </c>
      <c r="Q208" s="1">
        <v>10</v>
      </c>
      <c r="S208" s="16"/>
      <c r="U208" s="1" t="s">
        <v>1295</v>
      </c>
      <c r="V208" s="17" t="s">
        <v>1024</v>
      </c>
      <c r="W208" s="5"/>
      <c r="X208" s="17"/>
      <c r="Y208" s="5" t="s">
        <v>1005</v>
      </c>
      <c r="Z208" s="21" t="s">
        <v>1025</v>
      </c>
      <c r="AA208" s="22" t="s">
        <v>1026</v>
      </c>
      <c r="AC208" s="22"/>
    </row>
    <row r="209" spans="1:29" s="1" customFormat="1" ht="49.5" x14ac:dyDescent="0.25">
      <c r="A209" s="13">
        <f t="shared" si="3"/>
        <v>313401</v>
      </c>
      <c r="B209" s="14">
        <v>3134</v>
      </c>
      <c r="C209" s="1" t="s">
        <v>143</v>
      </c>
      <c r="D209" s="15" t="s">
        <v>1296</v>
      </c>
      <c r="E209" s="3">
        <v>1</v>
      </c>
      <c r="F209" s="5" t="s">
        <v>396</v>
      </c>
      <c r="G209" s="3">
        <v>10</v>
      </c>
      <c r="H209" s="1">
        <v>3</v>
      </c>
      <c r="I209" s="1">
        <v>3</v>
      </c>
      <c r="J209" s="1" t="s">
        <v>1290</v>
      </c>
      <c r="K209" s="1" t="s">
        <v>1291</v>
      </c>
      <c r="L209" s="1">
        <v>7200</v>
      </c>
      <c r="M209" s="1">
        <v>2750</v>
      </c>
      <c r="N209" s="1" t="s">
        <v>1015</v>
      </c>
      <c r="O209" s="1">
        <v>100</v>
      </c>
      <c r="P209" s="1" t="s">
        <v>398</v>
      </c>
      <c r="Q209" s="1">
        <v>10</v>
      </c>
      <c r="R209" s="1">
        <v>1313</v>
      </c>
      <c r="S209" s="18">
        <v>0.01</v>
      </c>
      <c r="U209" s="1" t="s">
        <v>1292</v>
      </c>
      <c r="V209" s="17" t="s">
        <v>1297</v>
      </c>
      <c r="W209" s="5"/>
      <c r="X209" s="17" t="s">
        <v>1298</v>
      </c>
      <c r="Y209" s="5" t="s">
        <v>1005</v>
      </c>
      <c r="Z209" s="21" t="s">
        <v>1279</v>
      </c>
      <c r="AA209" s="22" t="s">
        <v>462</v>
      </c>
      <c r="AC209" s="22"/>
    </row>
    <row r="210" spans="1:29" s="1" customFormat="1" ht="49.5" x14ac:dyDescent="0.25">
      <c r="A210" s="13">
        <f t="shared" si="3"/>
        <v>313402</v>
      </c>
      <c r="B210" s="14">
        <v>3134</v>
      </c>
      <c r="C210" s="1" t="s">
        <v>143</v>
      </c>
      <c r="D210" s="15" t="s">
        <v>1296</v>
      </c>
      <c r="E210" s="3">
        <v>2</v>
      </c>
      <c r="F210" s="5" t="s">
        <v>396</v>
      </c>
      <c r="G210" s="3">
        <v>11</v>
      </c>
      <c r="H210" s="1">
        <v>3</v>
      </c>
      <c r="I210" s="1">
        <v>3</v>
      </c>
      <c r="J210" s="1" t="s">
        <v>1290</v>
      </c>
      <c r="K210" s="1" t="s">
        <v>1291</v>
      </c>
      <c r="L210" s="1">
        <v>7200</v>
      </c>
      <c r="M210" s="1">
        <v>2750</v>
      </c>
      <c r="N210" s="1" t="s">
        <v>1015</v>
      </c>
      <c r="O210" s="1">
        <v>100</v>
      </c>
      <c r="P210" s="1" t="s">
        <v>398</v>
      </c>
      <c r="Q210" s="1">
        <v>10</v>
      </c>
      <c r="R210" s="1">
        <v>1313</v>
      </c>
      <c r="S210" s="18">
        <v>0.01</v>
      </c>
      <c r="U210" s="1" t="s">
        <v>1292</v>
      </c>
      <c r="V210" s="17" t="s">
        <v>1297</v>
      </c>
      <c r="W210" s="5"/>
      <c r="X210" s="17" t="s">
        <v>1298</v>
      </c>
      <c r="Y210" s="5" t="s">
        <v>1005</v>
      </c>
      <c r="Z210" s="21" t="s">
        <v>1279</v>
      </c>
      <c r="AA210" s="22" t="s">
        <v>462</v>
      </c>
      <c r="AC210" s="22"/>
    </row>
    <row r="211" spans="1:29" s="1" customFormat="1" ht="49.5" x14ac:dyDescent="0.25">
      <c r="A211" s="13">
        <f t="shared" si="3"/>
        <v>313403</v>
      </c>
      <c r="B211" s="14">
        <v>3134</v>
      </c>
      <c r="C211" s="1" t="s">
        <v>143</v>
      </c>
      <c r="D211" s="15" t="s">
        <v>1296</v>
      </c>
      <c r="E211" s="3">
        <v>3</v>
      </c>
      <c r="F211" s="5" t="s">
        <v>396</v>
      </c>
      <c r="G211" s="3">
        <v>13</v>
      </c>
      <c r="H211" s="1">
        <v>3</v>
      </c>
      <c r="I211" s="1">
        <v>3</v>
      </c>
      <c r="J211" s="1" t="s">
        <v>1290</v>
      </c>
      <c r="K211" s="1" t="s">
        <v>1291</v>
      </c>
      <c r="L211" s="1">
        <v>7200</v>
      </c>
      <c r="M211" s="1">
        <v>2750</v>
      </c>
      <c r="N211" s="1" t="s">
        <v>1015</v>
      </c>
      <c r="O211" s="1">
        <v>100</v>
      </c>
      <c r="P211" s="1" t="s">
        <v>398</v>
      </c>
      <c r="Q211" s="1">
        <v>10</v>
      </c>
      <c r="R211" s="1">
        <v>1313</v>
      </c>
      <c r="S211" s="18">
        <v>0.01</v>
      </c>
      <c r="U211" s="1" t="s">
        <v>1292</v>
      </c>
      <c r="V211" s="17" t="s">
        <v>1297</v>
      </c>
      <c r="W211" s="5"/>
      <c r="X211" s="17" t="s">
        <v>1298</v>
      </c>
      <c r="Y211" s="5" t="s">
        <v>1005</v>
      </c>
      <c r="Z211" s="21" t="s">
        <v>1279</v>
      </c>
      <c r="AA211" s="22" t="s">
        <v>462</v>
      </c>
      <c r="AC211" s="22"/>
    </row>
    <row r="212" spans="1:29" s="1" customFormat="1" ht="49.5" x14ac:dyDescent="0.25">
      <c r="A212" s="13">
        <f t="shared" si="3"/>
        <v>313501</v>
      </c>
      <c r="B212" s="14">
        <v>3135</v>
      </c>
      <c r="C212" s="1" t="s">
        <v>143</v>
      </c>
      <c r="D212" s="15" t="s">
        <v>1299</v>
      </c>
      <c r="E212" s="3">
        <v>1</v>
      </c>
      <c r="F212" s="5" t="s">
        <v>396</v>
      </c>
      <c r="G212" s="3">
        <v>10</v>
      </c>
      <c r="H212" s="1">
        <v>3</v>
      </c>
      <c r="I212" s="1">
        <v>3</v>
      </c>
      <c r="J212" s="1" t="s">
        <v>1290</v>
      </c>
      <c r="K212" s="1" t="s">
        <v>1291</v>
      </c>
      <c r="L212" s="1">
        <v>7200</v>
      </c>
      <c r="M212" s="1">
        <v>2750</v>
      </c>
      <c r="N212" s="1" t="s">
        <v>1015</v>
      </c>
      <c r="O212" s="1">
        <v>100</v>
      </c>
      <c r="P212" s="1" t="s">
        <v>398</v>
      </c>
      <c r="Q212" s="1">
        <v>10</v>
      </c>
      <c r="R212" s="1">
        <v>1318</v>
      </c>
      <c r="S212" s="18">
        <v>0.01</v>
      </c>
      <c r="U212" s="19" t="s">
        <v>561</v>
      </c>
      <c r="V212" s="17" t="s">
        <v>1300</v>
      </c>
      <c r="X212" s="17" t="s">
        <v>1301</v>
      </c>
      <c r="Y212" s="5" t="s">
        <v>1005</v>
      </c>
      <c r="Z212" s="21" t="s">
        <v>1276</v>
      </c>
      <c r="AA212" s="22" t="s">
        <v>467</v>
      </c>
      <c r="AC212" s="22"/>
    </row>
    <row r="213" spans="1:29" s="1" customFormat="1" ht="49.5" x14ac:dyDescent="0.25">
      <c r="A213" s="13">
        <f t="shared" si="3"/>
        <v>313502</v>
      </c>
      <c r="B213" s="14">
        <v>3135</v>
      </c>
      <c r="C213" s="1" t="s">
        <v>143</v>
      </c>
      <c r="D213" s="15" t="s">
        <v>1299</v>
      </c>
      <c r="E213" s="3">
        <v>2</v>
      </c>
      <c r="F213" s="5" t="s">
        <v>396</v>
      </c>
      <c r="G213" s="3">
        <v>11</v>
      </c>
      <c r="H213" s="1">
        <v>3</v>
      </c>
      <c r="I213" s="1">
        <v>3</v>
      </c>
      <c r="J213" s="1" t="s">
        <v>1290</v>
      </c>
      <c r="K213" s="1" t="s">
        <v>1291</v>
      </c>
      <c r="L213" s="1">
        <v>7200</v>
      </c>
      <c r="M213" s="1">
        <v>2750</v>
      </c>
      <c r="N213" s="1" t="s">
        <v>1015</v>
      </c>
      <c r="O213" s="1">
        <v>100</v>
      </c>
      <c r="P213" s="1" t="s">
        <v>398</v>
      </c>
      <c r="Q213" s="1">
        <v>10</v>
      </c>
      <c r="R213" s="1">
        <v>1318</v>
      </c>
      <c r="S213" s="18">
        <v>0.01</v>
      </c>
      <c r="U213" s="19" t="s">
        <v>561</v>
      </c>
      <c r="V213" s="17" t="s">
        <v>1300</v>
      </c>
      <c r="X213" s="17" t="s">
        <v>1301</v>
      </c>
      <c r="Y213" s="5" t="s">
        <v>1005</v>
      </c>
      <c r="Z213" s="21" t="s">
        <v>1276</v>
      </c>
      <c r="AA213" s="22" t="s">
        <v>467</v>
      </c>
      <c r="AC213" s="22"/>
    </row>
    <row r="214" spans="1:29" s="1" customFormat="1" ht="49.5" x14ac:dyDescent="0.25">
      <c r="A214" s="13">
        <f t="shared" si="3"/>
        <v>313503</v>
      </c>
      <c r="B214" s="14">
        <v>3135</v>
      </c>
      <c r="C214" s="1" t="s">
        <v>143</v>
      </c>
      <c r="D214" s="15" t="s">
        <v>1299</v>
      </c>
      <c r="E214" s="3">
        <v>3</v>
      </c>
      <c r="F214" s="5" t="s">
        <v>396</v>
      </c>
      <c r="G214" s="3">
        <v>13</v>
      </c>
      <c r="H214" s="1">
        <v>3</v>
      </c>
      <c r="I214" s="1">
        <v>3</v>
      </c>
      <c r="J214" s="1" t="s">
        <v>1290</v>
      </c>
      <c r="K214" s="1" t="s">
        <v>1291</v>
      </c>
      <c r="L214" s="1">
        <v>7200</v>
      </c>
      <c r="M214" s="1">
        <v>2750</v>
      </c>
      <c r="N214" s="1" t="s">
        <v>1015</v>
      </c>
      <c r="O214" s="1">
        <v>100</v>
      </c>
      <c r="P214" s="1" t="s">
        <v>398</v>
      </c>
      <c r="Q214" s="1">
        <v>10</v>
      </c>
      <c r="R214" s="1">
        <v>1318</v>
      </c>
      <c r="S214" s="18">
        <v>0.01</v>
      </c>
      <c r="U214" s="19" t="s">
        <v>561</v>
      </c>
      <c r="V214" s="17" t="s">
        <v>1300</v>
      </c>
      <c r="X214" s="17" t="s">
        <v>1301</v>
      </c>
      <c r="Y214" s="5" t="s">
        <v>1005</v>
      </c>
      <c r="Z214" s="21" t="s">
        <v>1276</v>
      </c>
      <c r="AA214" s="22" t="s">
        <v>467</v>
      </c>
      <c r="AC214" s="22"/>
    </row>
    <row r="215" spans="1:29" s="1" customFormat="1" ht="49.5" x14ac:dyDescent="0.25">
      <c r="A215" s="13">
        <f t="shared" si="3"/>
        <v>314101</v>
      </c>
      <c r="B215" s="14">
        <v>3141</v>
      </c>
      <c r="C215" s="1" t="s">
        <v>143</v>
      </c>
      <c r="D215" s="15" t="s">
        <v>1277</v>
      </c>
      <c r="E215" s="3">
        <v>1</v>
      </c>
      <c r="F215" s="5" t="s">
        <v>396</v>
      </c>
      <c r="G215" s="3">
        <v>15</v>
      </c>
      <c r="H215" s="1">
        <v>3</v>
      </c>
      <c r="I215" s="1">
        <v>4</v>
      </c>
      <c r="J215" s="1" t="s">
        <v>1302</v>
      </c>
      <c r="K215" s="1" t="s">
        <v>1303</v>
      </c>
      <c r="L215" s="1">
        <v>9000</v>
      </c>
      <c r="M215" s="1">
        <v>2900</v>
      </c>
      <c r="N215" s="1" t="s">
        <v>1032</v>
      </c>
      <c r="O215" s="1">
        <v>100</v>
      </c>
      <c r="P215" s="1" t="s">
        <v>398</v>
      </c>
      <c r="Q215" s="1">
        <v>10</v>
      </c>
      <c r="R215" s="1">
        <v>1059</v>
      </c>
      <c r="S215" s="16">
        <v>0.02</v>
      </c>
      <c r="U215" s="1" t="s">
        <v>1278</v>
      </c>
      <c r="V215" s="17" t="s">
        <v>563</v>
      </c>
      <c r="W215" s="5"/>
      <c r="X215" s="17" t="s">
        <v>565</v>
      </c>
      <c r="Y215" s="5" t="s">
        <v>1005</v>
      </c>
      <c r="Z215" s="21" t="s">
        <v>1279</v>
      </c>
      <c r="AA215" s="22" t="s">
        <v>471</v>
      </c>
      <c r="AC215" s="22"/>
    </row>
    <row r="216" spans="1:29" s="1" customFormat="1" ht="49.5" x14ac:dyDescent="0.25">
      <c r="A216" s="13">
        <f t="shared" si="3"/>
        <v>314201</v>
      </c>
      <c r="B216" s="14">
        <v>3142</v>
      </c>
      <c r="C216" s="1" t="s">
        <v>143</v>
      </c>
      <c r="D216" s="15" t="s">
        <v>1285</v>
      </c>
      <c r="E216" s="3">
        <v>1</v>
      </c>
      <c r="F216" s="5" t="s">
        <v>396</v>
      </c>
      <c r="G216" s="3">
        <v>15</v>
      </c>
      <c r="H216" s="1">
        <v>3</v>
      </c>
      <c r="I216" s="1">
        <v>4</v>
      </c>
      <c r="J216" s="1" t="s">
        <v>1302</v>
      </c>
      <c r="K216" s="1" t="s">
        <v>1303</v>
      </c>
      <c r="L216" s="1">
        <v>9000</v>
      </c>
      <c r="M216" s="1">
        <v>2900</v>
      </c>
      <c r="N216" s="1" t="s">
        <v>1032</v>
      </c>
      <c r="O216" s="1">
        <v>100</v>
      </c>
      <c r="P216" s="1" t="s">
        <v>398</v>
      </c>
      <c r="Q216" s="1">
        <v>10</v>
      </c>
      <c r="R216" s="1">
        <v>1091</v>
      </c>
      <c r="S216" s="16">
        <v>1000</v>
      </c>
      <c r="U216" s="1" t="s">
        <v>1286</v>
      </c>
      <c r="V216" s="17" t="s">
        <v>1287</v>
      </c>
      <c r="W216" s="5"/>
      <c r="X216" s="17" t="s">
        <v>1288</v>
      </c>
      <c r="Y216" s="5" t="s">
        <v>1005</v>
      </c>
      <c r="Z216" s="21" t="s">
        <v>1279</v>
      </c>
      <c r="AA216" s="22" t="s">
        <v>472</v>
      </c>
      <c r="AC216" s="22"/>
    </row>
    <row r="217" spans="1:29" s="1" customFormat="1" ht="49.5" x14ac:dyDescent="0.25">
      <c r="A217" s="13">
        <f t="shared" si="3"/>
        <v>314301</v>
      </c>
      <c r="B217" s="14">
        <v>3143</v>
      </c>
      <c r="C217" s="1" t="s">
        <v>143</v>
      </c>
      <c r="D217" s="15" t="s">
        <v>1289</v>
      </c>
      <c r="E217" s="3">
        <v>1</v>
      </c>
      <c r="F217" s="5" t="s">
        <v>396</v>
      </c>
      <c r="G217" s="3">
        <v>18</v>
      </c>
      <c r="H217" s="1">
        <v>3</v>
      </c>
      <c r="I217" s="1">
        <v>5</v>
      </c>
      <c r="J217" s="1" t="s">
        <v>1304</v>
      </c>
      <c r="K217" s="1" t="s">
        <v>1305</v>
      </c>
      <c r="L217" s="1">
        <v>9000</v>
      </c>
      <c r="M217" s="1">
        <v>3000</v>
      </c>
      <c r="N217" s="1" t="s">
        <v>1033</v>
      </c>
      <c r="O217" s="1">
        <v>100</v>
      </c>
      <c r="P217" s="1" t="s">
        <v>398</v>
      </c>
      <c r="Q217" s="1">
        <v>10</v>
      </c>
      <c r="R217" s="1">
        <v>1054</v>
      </c>
      <c r="S217" s="16">
        <v>0.02</v>
      </c>
      <c r="U217" s="1" t="s">
        <v>1292</v>
      </c>
      <c r="V217" s="17" t="s">
        <v>1293</v>
      </c>
      <c r="W217" s="5"/>
      <c r="X217" s="17" t="s">
        <v>1294</v>
      </c>
      <c r="Y217" s="5" t="s">
        <v>1005</v>
      </c>
      <c r="Z217" s="21" t="s">
        <v>1279</v>
      </c>
      <c r="AA217" s="22" t="s">
        <v>1034</v>
      </c>
      <c r="AC217" s="22"/>
    </row>
    <row r="218" spans="1:29" s="1" customFormat="1" ht="49.5" x14ac:dyDescent="0.25">
      <c r="A218" s="13">
        <f t="shared" si="3"/>
        <v>314401</v>
      </c>
      <c r="B218" s="14">
        <v>3144</v>
      </c>
      <c r="C218" s="1" t="s">
        <v>143</v>
      </c>
      <c r="D218" s="12" t="s">
        <v>1169</v>
      </c>
      <c r="E218" s="3">
        <v>1</v>
      </c>
      <c r="F218" s="5" t="s">
        <v>396</v>
      </c>
      <c r="G218" s="3">
        <v>20</v>
      </c>
      <c r="H218" s="1">
        <v>3</v>
      </c>
      <c r="I218" s="1">
        <v>5</v>
      </c>
      <c r="J218" s="1" t="s">
        <v>1304</v>
      </c>
      <c r="K218" s="1" t="s">
        <v>1305</v>
      </c>
      <c r="L218" s="1">
        <v>10800</v>
      </c>
      <c r="M218" s="1">
        <v>3150</v>
      </c>
      <c r="N218" s="1" t="s">
        <v>397</v>
      </c>
      <c r="O218" s="1">
        <v>100</v>
      </c>
      <c r="P218" s="1" t="s">
        <v>398</v>
      </c>
      <c r="Q218" s="1">
        <v>10</v>
      </c>
      <c r="R218" s="1" t="s">
        <v>1272</v>
      </c>
      <c r="S218" s="16" t="s">
        <v>1035</v>
      </c>
      <c r="U218" s="1" t="s">
        <v>1273</v>
      </c>
      <c r="V218" s="17" t="s">
        <v>1274</v>
      </c>
      <c r="W218" s="5"/>
      <c r="X218" s="1" t="s">
        <v>1275</v>
      </c>
      <c r="Y218" s="5" t="s">
        <v>1005</v>
      </c>
      <c r="Z218" s="21" t="s">
        <v>1276</v>
      </c>
      <c r="AA218" s="22" t="s">
        <v>1036</v>
      </c>
      <c r="AC218" s="22"/>
    </row>
    <row r="219" spans="1:29" s="1" customFormat="1" ht="49.5" x14ac:dyDescent="0.25">
      <c r="A219" s="13">
        <f t="shared" si="3"/>
        <v>314501</v>
      </c>
      <c r="B219" s="14">
        <v>3145</v>
      </c>
      <c r="C219" s="1" t="s">
        <v>143</v>
      </c>
      <c r="D219" s="15" t="s">
        <v>1296</v>
      </c>
      <c r="E219" s="3">
        <v>1</v>
      </c>
      <c r="F219" s="5" t="s">
        <v>396</v>
      </c>
      <c r="G219" s="3">
        <v>18</v>
      </c>
      <c r="H219" s="1">
        <v>3</v>
      </c>
      <c r="I219" s="1">
        <v>5</v>
      </c>
      <c r="J219" s="1" t="s">
        <v>1304</v>
      </c>
      <c r="K219" s="1" t="s">
        <v>1305</v>
      </c>
      <c r="L219" s="1">
        <v>9000</v>
      </c>
      <c r="M219" s="1">
        <v>3000</v>
      </c>
      <c r="N219" s="1" t="s">
        <v>1033</v>
      </c>
      <c r="O219" s="1">
        <v>100</v>
      </c>
      <c r="P219" s="1" t="s">
        <v>398</v>
      </c>
      <c r="Q219" s="1">
        <v>10</v>
      </c>
      <c r="R219" s="1">
        <v>1313</v>
      </c>
      <c r="S219" s="16">
        <v>0.02</v>
      </c>
      <c r="U219" s="1" t="s">
        <v>1292</v>
      </c>
      <c r="V219" s="17" t="s">
        <v>1297</v>
      </c>
      <c r="W219" s="5"/>
      <c r="X219" s="17" t="s">
        <v>1298</v>
      </c>
      <c r="Y219" s="5" t="s">
        <v>1005</v>
      </c>
      <c r="Z219" s="21" t="s">
        <v>1279</v>
      </c>
      <c r="AA219" s="22" t="s">
        <v>1037</v>
      </c>
      <c r="AC219" s="22"/>
    </row>
    <row r="220" spans="1:29" s="1" customFormat="1" ht="49.5" x14ac:dyDescent="0.25">
      <c r="A220" s="13">
        <f t="shared" si="3"/>
        <v>314601</v>
      </c>
      <c r="B220" s="14">
        <v>3146</v>
      </c>
      <c r="C220" s="1" t="s">
        <v>143</v>
      </c>
      <c r="D220" s="15" t="s">
        <v>1299</v>
      </c>
      <c r="E220" s="3">
        <v>1</v>
      </c>
      <c r="F220" s="5" t="s">
        <v>396</v>
      </c>
      <c r="G220" s="3">
        <v>15</v>
      </c>
      <c r="K220" s="1">
        <v>3135</v>
      </c>
      <c r="L220" s="1">
        <v>9000</v>
      </c>
      <c r="M220" s="1">
        <v>2900</v>
      </c>
      <c r="N220" s="1" t="s">
        <v>1032</v>
      </c>
      <c r="O220" s="1">
        <v>100</v>
      </c>
      <c r="P220" s="1" t="s">
        <v>398</v>
      </c>
      <c r="Q220" s="1">
        <v>10</v>
      </c>
      <c r="R220" s="1">
        <v>1318</v>
      </c>
      <c r="S220" s="16">
        <v>0.02</v>
      </c>
      <c r="U220" s="19" t="s">
        <v>561</v>
      </c>
      <c r="V220" s="17" t="s">
        <v>1300</v>
      </c>
      <c r="X220" s="17" t="s">
        <v>1301</v>
      </c>
      <c r="Y220" s="5" t="s">
        <v>1005</v>
      </c>
      <c r="Z220" s="21" t="s">
        <v>1276</v>
      </c>
      <c r="AA220" s="22" t="s">
        <v>1038</v>
      </c>
      <c r="AC220" s="22"/>
    </row>
    <row r="221" spans="1:29" s="1" customFormat="1" ht="49.5" x14ac:dyDescent="0.25">
      <c r="A221" s="13">
        <f t="shared" si="3"/>
        <v>314701</v>
      </c>
      <c r="B221" s="14">
        <v>3147</v>
      </c>
      <c r="C221" s="1" t="s">
        <v>143</v>
      </c>
      <c r="D221" s="15" t="s">
        <v>1280</v>
      </c>
      <c r="E221" s="3">
        <v>1</v>
      </c>
      <c r="F221" s="5" t="s">
        <v>396</v>
      </c>
      <c r="G221" s="3">
        <v>15</v>
      </c>
      <c r="K221" s="1">
        <v>3135</v>
      </c>
      <c r="L221" s="1">
        <v>9000</v>
      </c>
      <c r="M221" s="1">
        <v>2900</v>
      </c>
      <c r="N221" s="1" t="s">
        <v>1032</v>
      </c>
      <c r="O221" s="1">
        <v>100</v>
      </c>
      <c r="P221" s="1" t="s">
        <v>398</v>
      </c>
      <c r="Q221" s="1">
        <v>10</v>
      </c>
      <c r="R221" s="1">
        <v>1064</v>
      </c>
      <c r="S221" s="16">
        <v>1.4999999999999999E-2</v>
      </c>
      <c r="U221" s="1" t="s">
        <v>569</v>
      </c>
      <c r="V221" s="17" t="s">
        <v>1283</v>
      </c>
      <c r="W221" s="5"/>
      <c r="X221" s="17" t="s">
        <v>1284</v>
      </c>
      <c r="Y221" s="5" t="s">
        <v>1005</v>
      </c>
      <c r="Z221" s="21" t="s">
        <v>1279</v>
      </c>
      <c r="AA221" s="22" t="s">
        <v>1039</v>
      </c>
      <c r="AC221" s="22"/>
    </row>
    <row r="222" spans="1:29" s="1" customFormat="1" ht="49.5" x14ac:dyDescent="0.25">
      <c r="A222" s="13">
        <f t="shared" si="3"/>
        <v>321101</v>
      </c>
      <c r="B222" s="14">
        <v>3211</v>
      </c>
      <c r="C222" s="1" t="s">
        <v>143</v>
      </c>
      <c r="D222" s="12" t="s">
        <v>1306</v>
      </c>
      <c r="E222" s="3">
        <v>1</v>
      </c>
      <c r="F222" s="5" t="s">
        <v>708</v>
      </c>
      <c r="G222" s="3">
        <v>1</v>
      </c>
      <c r="K222" s="1">
        <v>3133</v>
      </c>
      <c r="L222" s="1">
        <v>3600</v>
      </c>
      <c r="M222" s="1">
        <v>6050</v>
      </c>
      <c r="N222" s="1" t="s">
        <v>999</v>
      </c>
      <c r="O222" s="1">
        <v>100</v>
      </c>
      <c r="P222" s="1" t="s">
        <v>398</v>
      </c>
      <c r="Q222" s="1">
        <v>10</v>
      </c>
      <c r="R222" s="1" t="s">
        <v>1307</v>
      </c>
      <c r="S222" s="16" t="s">
        <v>1042</v>
      </c>
      <c r="U222" s="19" t="s">
        <v>1308</v>
      </c>
      <c r="V222" s="17" t="s">
        <v>1309</v>
      </c>
      <c r="X222" s="17" t="s">
        <v>1310</v>
      </c>
      <c r="Y222" s="5" t="s">
        <v>1005</v>
      </c>
      <c r="Z222" s="21" t="s">
        <v>1311</v>
      </c>
      <c r="AA222" s="22" t="s">
        <v>1047</v>
      </c>
      <c r="AC222" s="22"/>
    </row>
    <row r="223" spans="1:29" s="1" customFormat="1" ht="49.5" x14ac:dyDescent="0.25">
      <c r="A223" s="13">
        <f t="shared" si="3"/>
        <v>322101</v>
      </c>
      <c r="B223" s="14">
        <v>3221</v>
      </c>
      <c r="C223" s="1" t="s">
        <v>143</v>
      </c>
      <c r="D223" s="12" t="s">
        <v>1312</v>
      </c>
      <c r="E223" s="3">
        <v>1</v>
      </c>
      <c r="F223" s="5" t="s">
        <v>708</v>
      </c>
      <c r="G223" s="3">
        <v>5</v>
      </c>
      <c r="K223" s="1">
        <v>3211</v>
      </c>
      <c r="L223" s="1">
        <v>5400</v>
      </c>
      <c r="M223" s="1">
        <v>6350</v>
      </c>
      <c r="N223" s="1" t="s">
        <v>1008</v>
      </c>
      <c r="O223" s="1">
        <v>100</v>
      </c>
      <c r="P223" s="1" t="s">
        <v>398</v>
      </c>
      <c r="Q223" s="1">
        <v>10</v>
      </c>
      <c r="R223" s="1">
        <v>20001</v>
      </c>
      <c r="S223" s="16">
        <v>0.01</v>
      </c>
      <c r="U223" s="19" t="s">
        <v>1312</v>
      </c>
      <c r="V223" s="17" t="s">
        <v>1313</v>
      </c>
      <c r="X223" s="17" t="s">
        <v>1314</v>
      </c>
      <c r="Y223" s="5" t="s">
        <v>1005</v>
      </c>
      <c r="Z223" s="21" t="s">
        <v>1315</v>
      </c>
      <c r="AA223" s="22" t="s">
        <v>1052</v>
      </c>
      <c r="AC223" s="22"/>
    </row>
    <row r="224" spans="1:29" s="1" customFormat="1" ht="49.5" x14ac:dyDescent="0.25">
      <c r="A224" s="13">
        <f t="shared" si="3"/>
        <v>322201</v>
      </c>
      <c r="B224" s="14">
        <v>3222</v>
      </c>
      <c r="C224" s="1" t="s">
        <v>143</v>
      </c>
      <c r="D224" s="12" t="s">
        <v>1316</v>
      </c>
      <c r="E224" s="3">
        <v>1</v>
      </c>
      <c r="F224" s="5" t="s">
        <v>708</v>
      </c>
      <c r="G224" s="3">
        <v>5</v>
      </c>
      <c r="K224" s="1">
        <v>3211</v>
      </c>
      <c r="L224" s="1">
        <v>5400</v>
      </c>
      <c r="M224" s="1">
        <v>6350</v>
      </c>
      <c r="N224" s="1" t="s">
        <v>1008</v>
      </c>
      <c r="O224" s="1">
        <v>100</v>
      </c>
      <c r="P224" s="1" t="s">
        <v>398</v>
      </c>
      <c r="Q224" s="1">
        <v>10</v>
      </c>
      <c r="R224" s="1">
        <v>20061</v>
      </c>
      <c r="S224" s="16">
        <v>5.0000000000000001E-3</v>
      </c>
      <c r="U224" s="19" t="s">
        <v>1316</v>
      </c>
      <c r="V224" s="17" t="s">
        <v>1317</v>
      </c>
      <c r="X224" s="17" t="s">
        <v>1318</v>
      </c>
      <c r="Y224" s="5" t="s">
        <v>1005</v>
      </c>
      <c r="Z224" s="21" t="s">
        <v>1311</v>
      </c>
      <c r="AA224" s="22" t="s">
        <v>1056</v>
      </c>
      <c r="AC224" s="22"/>
    </row>
    <row r="225" spans="1:29" s="1" customFormat="1" ht="49.5" x14ac:dyDescent="0.25">
      <c r="A225" s="13">
        <f t="shared" si="3"/>
        <v>322301</v>
      </c>
      <c r="B225" s="14">
        <v>3223</v>
      </c>
      <c r="C225" s="1" t="s">
        <v>143</v>
      </c>
      <c r="D225" s="12" t="s">
        <v>1319</v>
      </c>
      <c r="E225" s="3">
        <v>1</v>
      </c>
      <c r="F225" s="5" t="s">
        <v>708</v>
      </c>
      <c r="G225" s="3">
        <v>5</v>
      </c>
      <c r="K225" s="1">
        <v>3211</v>
      </c>
      <c r="L225" s="1">
        <v>5400</v>
      </c>
      <c r="M225" s="1">
        <v>6350</v>
      </c>
      <c r="N225" s="1" t="s">
        <v>1008</v>
      </c>
      <c r="O225" s="1">
        <v>100</v>
      </c>
      <c r="P225" s="1" t="s">
        <v>398</v>
      </c>
      <c r="Q225" s="1">
        <v>10</v>
      </c>
      <c r="R225" s="1">
        <v>20031</v>
      </c>
      <c r="S225" s="16">
        <v>0.01</v>
      </c>
      <c r="U225" s="19" t="s">
        <v>1319</v>
      </c>
      <c r="V225" s="17" t="s">
        <v>1320</v>
      </c>
      <c r="X225" s="17" t="s">
        <v>1321</v>
      </c>
      <c r="Y225" s="5" t="s">
        <v>1005</v>
      </c>
      <c r="Z225" s="21" t="s">
        <v>1322</v>
      </c>
      <c r="AA225" s="22" t="s">
        <v>1061</v>
      </c>
      <c r="AC225" s="22"/>
    </row>
    <row r="226" spans="1:29" s="1" customFormat="1" ht="49.5" x14ac:dyDescent="0.25">
      <c r="A226" s="13">
        <f t="shared" si="3"/>
        <v>323101</v>
      </c>
      <c r="B226" s="14">
        <v>3231</v>
      </c>
      <c r="C226" s="1" t="s">
        <v>143</v>
      </c>
      <c r="D226" s="12" t="s">
        <v>1323</v>
      </c>
      <c r="E226" s="3">
        <v>1</v>
      </c>
      <c r="F226" s="5" t="s">
        <v>708</v>
      </c>
      <c r="G226" s="3">
        <v>10</v>
      </c>
      <c r="K226" s="1">
        <v>3221</v>
      </c>
      <c r="L226" s="1">
        <v>7200</v>
      </c>
      <c r="M226" s="1">
        <v>6650</v>
      </c>
      <c r="N226" s="1" t="s">
        <v>1015</v>
      </c>
      <c r="O226" s="1">
        <v>100</v>
      </c>
      <c r="P226" s="1" t="s">
        <v>398</v>
      </c>
      <c r="Q226" s="1">
        <v>10</v>
      </c>
      <c r="R226" s="1">
        <v>20201</v>
      </c>
      <c r="S226" s="16">
        <v>0.01</v>
      </c>
      <c r="U226" s="1" t="s">
        <v>1323</v>
      </c>
      <c r="V226" s="17" t="s">
        <v>1324</v>
      </c>
      <c r="X226" s="17" t="s">
        <v>1325</v>
      </c>
      <c r="Y226" s="5" t="s">
        <v>1005</v>
      </c>
      <c r="Z226" s="21" t="s">
        <v>1315</v>
      </c>
      <c r="AA226" s="22" t="s">
        <v>1065</v>
      </c>
      <c r="AC226" s="22"/>
    </row>
    <row r="227" spans="1:29" s="1" customFormat="1" ht="49.5" x14ac:dyDescent="0.25">
      <c r="A227" s="13">
        <f t="shared" si="3"/>
        <v>323102</v>
      </c>
      <c r="B227" s="14">
        <v>3231</v>
      </c>
      <c r="C227" s="1" t="s">
        <v>143</v>
      </c>
      <c r="D227" s="12" t="s">
        <v>1323</v>
      </c>
      <c r="E227" s="3">
        <v>2</v>
      </c>
      <c r="F227" s="5" t="s">
        <v>708</v>
      </c>
      <c r="G227" s="3">
        <v>12</v>
      </c>
      <c r="K227" s="1">
        <v>3221</v>
      </c>
      <c r="L227" s="1">
        <v>7200</v>
      </c>
      <c r="M227" s="1">
        <v>6650</v>
      </c>
      <c r="N227" s="1" t="s">
        <v>1015</v>
      </c>
      <c r="O227" s="1">
        <v>100</v>
      </c>
      <c r="P227" s="1" t="s">
        <v>398</v>
      </c>
      <c r="Q227" s="1">
        <v>10</v>
      </c>
      <c r="R227" s="1">
        <v>20201</v>
      </c>
      <c r="S227" s="16">
        <v>0.01</v>
      </c>
      <c r="U227" s="1" t="s">
        <v>1323</v>
      </c>
      <c r="V227" s="17" t="s">
        <v>1324</v>
      </c>
      <c r="X227" s="17" t="s">
        <v>1325</v>
      </c>
      <c r="Y227" s="5" t="s">
        <v>1005</v>
      </c>
      <c r="Z227" s="21" t="s">
        <v>1315</v>
      </c>
      <c r="AA227" s="22" t="s">
        <v>1065</v>
      </c>
      <c r="AC227" s="22"/>
    </row>
    <row r="228" spans="1:29" s="1" customFormat="1" ht="49.5" x14ac:dyDescent="0.25">
      <c r="A228" s="13">
        <f t="shared" si="3"/>
        <v>323201</v>
      </c>
      <c r="B228" s="14">
        <v>3232</v>
      </c>
      <c r="C228" s="1" t="s">
        <v>143</v>
      </c>
      <c r="D228" s="12" t="s">
        <v>1326</v>
      </c>
      <c r="E228" s="3">
        <v>1</v>
      </c>
      <c r="F228" s="5" t="s">
        <v>708</v>
      </c>
      <c r="G228" s="3">
        <v>10</v>
      </c>
      <c r="K228" s="1">
        <v>3221</v>
      </c>
      <c r="L228" s="1">
        <v>7200</v>
      </c>
      <c r="M228" s="1">
        <v>6650</v>
      </c>
      <c r="N228" s="1" t="s">
        <v>1015</v>
      </c>
      <c r="O228" s="1">
        <v>100</v>
      </c>
      <c r="P228" s="1" t="s">
        <v>398</v>
      </c>
      <c r="Q228" s="1">
        <v>10</v>
      </c>
      <c r="R228" s="20">
        <v>20401</v>
      </c>
      <c r="S228" s="16">
        <v>0.01</v>
      </c>
      <c r="U228" s="1" t="s">
        <v>1326</v>
      </c>
      <c r="V228" s="17" t="s">
        <v>1327</v>
      </c>
      <c r="X228" s="17" t="s">
        <v>1328</v>
      </c>
      <c r="Y228" s="5" t="s">
        <v>1005</v>
      </c>
      <c r="Z228" s="21" t="s">
        <v>1315</v>
      </c>
      <c r="AA228" s="22" t="s">
        <v>1069</v>
      </c>
      <c r="AC228" s="22"/>
    </row>
    <row r="229" spans="1:29" s="1" customFormat="1" ht="49.5" x14ac:dyDescent="0.25">
      <c r="A229" s="13">
        <f t="shared" si="3"/>
        <v>323202</v>
      </c>
      <c r="B229" s="14">
        <v>3232</v>
      </c>
      <c r="C229" s="1" t="s">
        <v>143</v>
      </c>
      <c r="D229" s="12" t="s">
        <v>1326</v>
      </c>
      <c r="E229" s="3">
        <v>2</v>
      </c>
      <c r="F229" s="5" t="s">
        <v>708</v>
      </c>
      <c r="G229" s="3">
        <v>12</v>
      </c>
      <c r="K229" s="1">
        <v>3221</v>
      </c>
      <c r="L229" s="1">
        <v>7200</v>
      </c>
      <c r="M229" s="1">
        <v>6650</v>
      </c>
      <c r="N229" s="1" t="s">
        <v>1015</v>
      </c>
      <c r="O229" s="1">
        <v>100</v>
      </c>
      <c r="P229" s="1" t="s">
        <v>398</v>
      </c>
      <c r="Q229" s="1">
        <v>10</v>
      </c>
      <c r="R229" s="20">
        <v>20401</v>
      </c>
      <c r="S229" s="16">
        <v>0.01</v>
      </c>
      <c r="U229" s="1" t="s">
        <v>1326</v>
      </c>
      <c r="V229" s="17" t="s">
        <v>1327</v>
      </c>
      <c r="X229" s="17" t="s">
        <v>1328</v>
      </c>
      <c r="Y229" s="5" t="s">
        <v>1005</v>
      </c>
      <c r="Z229" s="21" t="s">
        <v>1315</v>
      </c>
      <c r="AA229" s="22" t="s">
        <v>1069</v>
      </c>
      <c r="AC229" s="22"/>
    </row>
    <row r="230" spans="1:29" s="1" customFormat="1" ht="49.5" x14ac:dyDescent="0.25">
      <c r="A230" s="13">
        <f t="shared" si="3"/>
        <v>323301</v>
      </c>
      <c r="B230" s="14">
        <v>3233</v>
      </c>
      <c r="C230" s="1" t="s">
        <v>143</v>
      </c>
      <c r="D230" s="12" t="s">
        <v>1022</v>
      </c>
      <c r="E230" s="3">
        <v>1</v>
      </c>
      <c r="F230" s="5" t="s">
        <v>708</v>
      </c>
      <c r="G230" s="3">
        <v>10</v>
      </c>
      <c r="K230" s="1">
        <v>3222</v>
      </c>
      <c r="L230" s="1">
        <v>7200</v>
      </c>
      <c r="M230" s="1">
        <v>6650</v>
      </c>
      <c r="N230" s="1" t="s">
        <v>1015</v>
      </c>
      <c r="O230" s="1">
        <v>100</v>
      </c>
      <c r="P230" s="1" t="s">
        <v>398</v>
      </c>
      <c r="Q230" s="1">
        <v>10</v>
      </c>
      <c r="S230" s="16"/>
      <c r="U230" s="1" t="s">
        <v>1329</v>
      </c>
      <c r="V230" s="17" t="s">
        <v>1071</v>
      </c>
      <c r="X230" s="17"/>
      <c r="Y230" s="5" t="s">
        <v>1005</v>
      </c>
      <c r="Z230" s="21" t="s">
        <v>1025</v>
      </c>
      <c r="AA230" s="22" t="s">
        <v>277</v>
      </c>
      <c r="AC230" s="22"/>
    </row>
    <row r="231" spans="1:29" s="1" customFormat="1" ht="49.5" x14ac:dyDescent="0.25">
      <c r="A231" s="13">
        <f t="shared" si="3"/>
        <v>323401</v>
      </c>
      <c r="B231" s="14">
        <v>3234</v>
      </c>
      <c r="C231" s="1" t="s">
        <v>143</v>
      </c>
      <c r="D231" s="12" t="s">
        <v>1330</v>
      </c>
      <c r="E231" s="3">
        <v>1</v>
      </c>
      <c r="F231" s="5" t="s">
        <v>708</v>
      </c>
      <c r="G231" s="3">
        <v>10</v>
      </c>
      <c r="K231" s="1">
        <v>3223</v>
      </c>
      <c r="L231" s="1">
        <v>7200</v>
      </c>
      <c r="M231" s="1">
        <v>6650</v>
      </c>
      <c r="N231" s="1" t="s">
        <v>1015</v>
      </c>
      <c r="O231" s="1">
        <v>100</v>
      </c>
      <c r="P231" s="1" t="s">
        <v>398</v>
      </c>
      <c r="Q231" s="1">
        <v>10</v>
      </c>
      <c r="R231" s="20">
        <v>20431</v>
      </c>
      <c r="S231" s="16">
        <v>0.01</v>
      </c>
      <c r="U231" s="1" t="s">
        <v>1330</v>
      </c>
      <c r="V231" s="17" t="s">
        <v>1331</v>
      </c>
      <c r="X231" s="17" t="s">
        <v>1332</v>
      </c>
      <c r="Y231" s="5" t="s">
        <v>1005</v>
      </c>
      <c r="Z231" s="21" t="s">
        <v>1322</v>
      </c>
      <c r="AA231" s="22" t="s">
        <v>1075</v>
      </c>
      <c r="AC231" s="22"/>
    </row>
    <row r="232" spans="1:29" s="1" customFormat="1" ht="49.5" x14ac:dyDescent="0.25">
      <c r="A232" s="13">
        <f t="shared" si="3"/>
        <v>323402</v>
      </c>
      <c r="B232" s="14">
        <v>3234</v>
      </c>
      <c r="C232" s="1" t="s">
        <v>143</v>
      </c>
      <c r="D232" s="12" t="s">
        <v>1330</v>
      </c>
      <c r="E232" s="3">
        <v>2</v>
      </c>
      <c r="F232" s="5" t="s">
        <v>708</v>
      </c>
      <c r="G232" s="3">
        <v>12</v>
      </c>
      <c r="K232" s="1">
        <v>3223</v>
      </c>
      <c r="L232" s="1">
        <v>7200</v>
      </c>
      <c r="M232" s="1">
        <v>6650</v>
      </c>
      <c r="N232" s="1" t="s">
        <v>1015</v>
      </c>
      <c r="O232" s="1">
        <v>100</v>
      </c>
      <c r="P232" s="1" t="s">
        <v>398</v>
      </c>
      <c r="Q232" s="1">
        <v>10</v>
      </c>
      <c r="R232" s="20">
        <v>20431</v>
      </c>
      <c r="S232" s="16">
        <v>0.01</v>
      </c>
      <c r="U232" s="1" t="s">
        <v>1330</v>
      </c>
      <c r="V232" s="17" t="s">
        <v>1331</v>
      </c>
      <c r="X232" s="17" t="s">
        <v>1332</v>
      </c>
      <c r="Y232" s="5" t="s">
        <v>1005</v>
      </c>
      <c r="Z232" s="21" t="s">
        <v>1322</v>
      </c>
      <c r="AA232" s="22" t="s">
        <v>1075</v>
      </c>
      <c r="AC232" s="22"/>
    </row>
    <row r="233" spans="1:29" s="1" customFormat="1" ht="49.5" x14ac:dyDescent="0.25">
      <c r="A233" s="13">
        <f t="shared" si="3"/>
        <v>323501</v>
      </c>
      <c r="B233" s="14">
        <v>3235</v>
      </c>
      <c r="C233" s="1" t="s">
        <v>143</v>
      </c>
      <c r="D233" s="12" t="s">
        <v>1333</v>
      </c>
      <c r="E233" s="3">
        <v>1</v>
      </c>
      <c r="F233" s="5" t="s">
        <v>708</v>
      </c>
      <c r="G233" s="3">
        <v>10</v>
      </c>
      <c r="K233" s="1">
        <v>3223</v>
      </c>
      <c r="L233" s="1">
        <v>7200</v>
      </c>
      <c r="M233" s="1">
        <v>6650</v>
      </c>
      <c r="N233" s="1" t="s">
        <v>1015</v>
      </c>
      <c r="O233" s="1">
        <v>100</v>
      </c>
      <c r="P233" s="1" t="s">
        <v>398</v>
      </c>
      <c r="Q233" s="1">
        <v>10</v>
      </c>
      <c r="R233" s="1">
        <v>20231</v>
      </c>
      <c r="S233" s="16">
        <v>0.01</v>
      </c>
      <c r="U233" s="1" t="s">
        <v>1333</v>
      </c>
      <c r="V233" s="17" t="s">
        <v>1334</v>
      </c>
      <c r="X233" s="17" t="s">
        <v>1335</v>
      </c>
      <c r="Y233" s="5" t="s">
        <v>1005</v>
      </c>
      <c r="Z233" s="21" t="s">
        <v>1322</v>
      </c>
      <c r="AA233" s="22" t="s">
        <v>1079</v>
      </c>
      <c r="AC233" s="22"/>
    </row>
    <row r="234" spans="1:29" s="1" customFormat="1" ht="49.5" x14ac:dyDescent="0.25">
      <c r="A234" s="13">
        <f t="shared" si="3"/>
        <v>323502</v>
      </c>
      <c r="B234" s="14">
        <v>3235</v>
      </c>
      <c r="C234" s="1" t="s">
        <v>143</v>
      </c>
      <c r="D234" s="12" t="s">
        <v>1333</v>
      </c>
      <c r="E234" s="3">
        <v>2</v>
      </c>
      <c r="F234" s="5" t="s">
        <v>708</v>
      </c>
      <c r="G234" s="3">
        <v>12</v>
      </c>
      <c r="K234" s="1">
        <v>3223</v>
      </c>
      <c r="L234" s="1">
        <v>7200</v>
      </c>
      <c r="M234" s="1">
        <v>6650</v>
      </c>
      <c r="N234" s="1" t="s">
        <v>1015</v>
      </c>
      <c r="O234" s="1">
        <v>100</v>
      </c>
      <c r="P234" s="1" t="s">
        <v>398</v>
      </c>
      <c r="Q234" s="1">
        <v>10</v>
      </c>
      <c r="R234" s="1">
        <v>20231</v>
      </c>
      <c r="S234" s="16">
        <v>0.01</v>
      </c>
      <c r="U234" s="1" t="s">
        <v>1333</v>
      </c>
      <c r="V234" s="17" t="s">
        <v>1334</v>
      </c>
      <c r="X234" s="17" t="s">
        <v>1335</v>
      </c>
      <c r="Y234" s="5" t="s">
        <v>1005</v>
      </c>
      <c r="Z234" s="21" t="s">
        <v>1322</v>
      </c>
      <c r="AA234" s="22" t="s">
        <v>1079</v>
      </c>
      <c r="AC234" s="22"/>
    </row>
    <row r="235" spans="1:29" s="1" customFormat="1" ht="49.5" x14ac:dyDescent="0.25">
      <c r="A235" s="13">
        <f t="shared" si="3"/>
        <v>324101</v>
      </c>
      <c r="B235" s="14">
        <v>3241</v>
      </c>
      <c r="C235" s="1" t="s">
        <v>143</v>
      </c>
      <c r="D235" s="12" t="s">
        <v>1336</v>
      </c>
      <c r="E235" s="3">
        <v>1</v>
      </c>
      <c r="F235" s="5" t="s">
        <v>708</v>
      </c>
      <c r="G235" s="3">
        <v>15</v>
      </c>
      <c r="K235" s="1">
        <v>3231</v>
      </c>
      <c r="L235" s="1">
        <v>9000</v>
      </c>
      <c r="M235" s="1">
        <v>6950</v>
      </c>
      <c r="N235" s="1" t="s">
        <v>1032</v>
      </c>
      <c r="O235" s="1">
        <v>100</v>
      </c>
      <c r="P235" s="1" t="s">
        <v>398</v>
      </c>
      <c r="Q235" s="1">
        <v>10</v>
      </c>
      <c r="R235" s="20">
        <v>6031</v>
      </c>
      <c r="S235" s="16">
        <v>0.01</v>
      </c>
      <c r="U235" s="1" t="s">
        <v>1336</v>
      </c>
      <c r="V235" s="17" t="s">
        <v>1337</v>
      </c>
      <c r="X235" s="17" t="s">
        <v>1338</v>
      </c>
      <c r="Y235" s="5" t="s">
        <v>1005</v>
      </c>
      <c r="Z235" s="21" t="s">
        <v>1315</v>
      </c>
      <c r="AA235" s="22" t="s">
        <v>1083</v>
      </c>
      <c r="AC235" s="22"/>
    </row>
    <row r="236" spans="1:29" s="1" customFormat="1" ht="49.5" x14ac:dyDescent="0.25">
      <c r="A236" s="13">
        <f t="shared" si="3"/>
        <v>324102</v>
      </c>
      <c r="B236" s="14">
        <v>3241</v>
      </c>
      <c r="C236" s="1" t="s">
        <v>143</v>
      </c>
      <c r="D236" s="12" t="s">
        <v>1336</v>
      </c>
      <c r="E236" s="3">
        <v>2</v>
      </c>
      <c r="F236" s="5" t="s">
        <v>708</v>
      </c>
      <c r="G236" s="3">
        <v>16</v>
      </c>
      <c r="K236" s="1">
        <v>3231</v>
      </c>
      <c r="L236" s="1">
        <v>9000</v>
      </c>
      <c r="M236" s="1">
        <v>6950</v>
      </c>
      <c r="N236" s="1" t="s">
        <v>1032</v>
      </c>
      <c r="O236" s="1">
        <v>100</v>
      </c>
      <c r="P236" s="1" t="s">
        <v>398</v>
      </c>
      <c r="Q236" s="1">
        <v>10</v>
      </c>
      <c r="R236" s="20">
        <v>6031</v>
      </c>
      <c r="S236" s="16">
        <v>0.01</v>
      </c>
      <c r="U236" s="1" t="s">
        <v>1336</v>
      </c>
      <c r="V236" s="17" t="s">
        <v>1337</v>
      </c>
      <c r="X236" s="17" t="s">
        <v>1338</v>
      </c>
      <c r="Y236" s="5" t="s">
        <v>1005</v>
      </c>
      <c r="Z236" s="21" t="s">
        <v>1315</v>
      </c>
      <c r="AA236" s="22" t="s">
        <v>1083</v>
      </c>
      <c r="AC236" s="22"/>
    </row>
    <row r="237" spans="1:29" s="1" customFormat="1" ht="49.5" x14ac:dyDescent="0.25">
      <c r="A237" s="13">
        <f t="shared" si="3"/>
        <v>324201</v>
      </c>
      <c r="B237" s="14">
        <v>3242</v>
      </c>
      <c r="C237" s="1" t="s">
        <v>143</v>
      </c>
      <c r="D237" s="12" t="s">
        <v>1339</v>
      </c>
      <c r="E237" s="3">
        <v>1</v>
      </c>
      <c r="F237" s="5" t="s">
        <v>708</v>
      </c>
      <c r="G237" s="3">
        <v>15</v>
      </c>
      <c r="K237" s="1">
        <v>3231</v>
      </c>
      <c r="L237" s="1">
        <v>9000</v>
      </c>
      <c r="M237" s="1">
        <v>6950</v>
      </c>
      <c r="N237" s="1" t="s">
        <v>1032</v>
      </c>
      <c r="O237" s="1">
        <v>100</v>
      </c>
      <c r="P237" s="1" t="s">
        <v>398</v>
      </c>
      <c r="Q237" s="1">
        <v>10</v>
      </c>
      <c r="R237" s="20">
        <v>20261</v>
      </c>
      <c r="S237" s="16">
        <v>5.0000000000000001E-3</v>
      </c>
      <c r="U237" s="1" t="s">
        <v>1339</v>
      </c>
      <c r="V237" s="17" t="s">
        <v>1340</v>
      </c>
      <c r="X237" s="17" t="s">
        <v>1341</v>
      </c>
      <c r="Y237" s="5" t="s">
        <v>1005</v>
      </c>
      <c r="Z237" s="21" t="s">
        <v>1311</v>
      </c>
      <c r="AA237" s="22" t="s">
        <v>1087</v>
      </c>
      <c r="AC237" s="22"/>
    </row>
    <row r="238" spans="1:29" s="1" customFormat="1" ht="49.5" x14ac:dyDescent="0.25">
      <c r="A238" s="13">
        <f t="shared" si="3"/>
        <v>324202</v>
      </c>
      <c r="B238" s="14">
        <v>3242</v>
      </c>
      <c r="C238" s="1" t="s">
        <v>143</v>
      </c>
      <c r="D238" s="12" t="s">
        <v>1339</v>
      </c>
      <c r="E238" s="3">
        <v>2</v>
      </c>
      <c r="F238" s="5" t="s">
        <v>708</v>
      </c>
      <c r="G238" s="3">
        <v>16</v>
      </c>
      <c r="K238" s="1">
        <v>3231</v>
      </c>
      <c r="L238" s="1">
        <v>9000</v>
      </c>
      <c r="M238" s="1">
        <v>6950</v>
      </c>
      <c r="N238" s="1" t="s">
        <v>1032</v>
      </c>
      <c r="O238" s="1">
        <v>100</v>
      </c>
      <c r="P238" s="1" t="s">
        <v>398</v>
      </c>
      <c r="Q238" s="1">
        <v>10</v>
      </c>
      <c r="R238" s="20">
        <v>20261</v>
      </c>
      <c r="S238" s="16">
        <v>5.0000000000000001E-3</v>
      </c>
      <c r="U238" s="1" t="s">
        <v>1339</v>
      </c>
      <c r="V238" s="17" t="s">
        <v>1340</v>
      </c>
      <c r="X238" s="17" t="s">
        <v>1341</v>
      </c>
      <c r="Y238" s="5" t="s">
        <v>1005</v>
      </c>
      <c r="Z238" s="21" t="s">
        <v>1311</v>
      </c>
      <c r="AA238" s="22" t="s">
        <v>1087</v>
      </c>
      <c r="AC238" s="22"/>
    </row>
    <row r="239" spans="1:29" s="1" customFormat="1" ht="49.5" x14ac:dyDescent="0.25">
      <c r="A239" s="13">
        <f t="shared" si="3"/>
        <v>324301</v>
      </c>
      <c r="B239" s="14">
        <v>3243</v>
      </c>
      <c r="C239" s="1" t="s">
        <v>143</v>
      </c>
      <c r="D239" s="12" t="s">
        <v>1342</v>
      </c>
      <c r="E239" s="3">
        <v>1</v>
      </c>
      <c r="F239" s="5" t="s">
        <v>708</v>
      </c>
      <c r="G239" s="3">
        <v>18</v>
      </c>
      <c r="K239" s="1">
        <v>3232</v>
      </c>
      <c r="L239" s="1">
        <v>9000</v>
      </c>
      <c r="M239" s="1">
        <v>7250</v>
      </c>
      <c r="N239" s="1" t="s">
        <v>1033</v>
      </c>
      <c r="O239" s="1">
        <v>100</v>
      </c>
      <c r="P239" s="1" t="s">
        <v>398</v>
      </c>
      <c r="Q239" s="1">
        <v>10</v>
      </c>
      <c r="R239" s="20">
        <v>20461</v>
      </c>
      <c r="S239" s="16">
        <v>5.0000000000000001E-3</v>
      </c>
      <c r="U239" s="1" t="s">
        <v>1342</v>
      </c>
      <c r="V239" s="17" t="s">
        <v>1343</v>
      </c>
      <c r="X239" s="17" t="s">
        <v>1344</v>
      </c>
      <c r="Y239" s="5" t="s">
        <v>1005</v>
      </c>
      <c r="Z239" s="21" t="s">
        <v>1311</v>
      </c>
      <c r="AA239" s="22" t="s">
        <v>1091</v>
      </c>
      <c r="AC239" s="22"/>
    </row>
    <row r="240" spans="1:29" s="1" customFormat="1" ht="49.5" x14ac:dyDescent="0.25">
      <c r="A240" s="13">
        <f t="shared" si="3"/>
        <v>324401</v>
      </c>
      <c r="B240" s="14">
        <v>3244</v>
      </c>
      <c r="C240" s="1" t="s">
        <v>143</v>
      </c>
      <c r="D240" s="12" t="s">
        <v>1316</v>
      </c>
      <c r="E240" s="3">
        <v>1</v>
      </c>
      <c r="F240" s="5" t="s">
        <v>708</v>
      </c>
      <c r="G240" s="3">
        <v>20</v>
      </c>
      <c r="K240" s="1" t="s">
        <v>1345</v>
      </c>
      <c r="L240" s="1">
        <v>10800</v>
      </c>
      <c r="M240" s="1">
        <v>7550</v>
      </c>
      <c r="N240" s="1" t="s">
        <v>397</v>
      </c>
      <c r="O240" s="1">
        <v>100</v>
      </c>
      <c r="P240" s="1" t="s">
        <v>398</v>
      </c>
      <c r="Q240" s="1">
        <v>10</v>
      </c>
      <c r="R240" s="1">
        <v>20061</v>
      </c>
      <c r="S240" s="16">
        <v>5.0000000000000001E-3</v>
      </c>
      <c r="U240" s="1" t="s">
        <v>1316</v>
      </c>
      <c r="V240" s="17" t="s">
        <v>1317</v>
      </c>
      <c r="X240" s="17" t="s">
        <v>1318</v>
      </c>
      <c r="Y240" s="5" t="s">
        <v>1005</v>
      </c>
      <c r="Z240" s="21" t="s">
        <v>1311</v>
      </c>
      <c r="AA240" s="22" t="s">
        <v>1093</v>
      </c>
      <c r="AC240" s="22"/>
    </row>
    <row r="241" spans="1:27" s="1" customFormat="1" ht="49.5" x14ac:dyDescent="0.25">
      <c r="A241" s="13">
        <f t="shared" si="3"/>
        <v>324501</v>
      </c>
      <c r="B241" s="14">
        <v>3245</v>
      </c>
      <c r="C241" s="1" t="s">
        <v>143</v>
      </c>
      <c r="D241" s="12" t="s">
        <v>1342</v>
      </c>
      <c r="E241" s="3">
        <v>1</v>
      </c>
      <c r="F241" s="5" t="s">
        <v>708</v>
      </c>
      <c r="G241" s="3">
        <v>18</v>
      </c>
      <c r="K241" s="1">
        <v>3234</v>
      </c>
      <c r="L241" s="1">
        <v>9000</v>
      </c>
      <c r="M241" s="1">
        <v>7250</v>
      </c>
      <c r="N241" s="1" t="s">
        <v>1033</v>
      </c>
      <c r="O241" s="1">
        <v>100</v>
      </c>
      <c r="P241" s="1" t="s">
        <v>398</v>
      </c>
      <c r="Q241" s="1">
        <v>10</v>
      </c>
      <c r="R241" s="20">
        <v>20461</v>
      </c>
      <c r="S241" s="16">
        <v>5.0000000000000001E-3</v>
      </c>
      <c r="U241" s="1" t="s">
        <v>1342</v>
      </c>
      <c r="V241" s="17" t="s">
        <v>1343</v>
      </c>
      <c r="X241" s="17" t="s">
        <v>1344</v>
      </c>
      <c r="Y241" s="5" t="s">
        <v>1005</v>
      </c>
      <c r="Z241" s="21" t="s">
        <v>1311</v>
      </c>
      <c r="AA241" s="22" t="s">
        <v>1094</v>
      </c>
    </row>
    <row r="242" spans="1:27" s="1" customFormat="1" ht="49.5" x14ac:dyDescent="0.25">
      <c r="A242" s="13">
        <f t="shared" si="3"/>
        <v>324601</v>
      </c>
      <c r="B242" s="14">
        <v>3246</v>
      </c>
      <c r="C242" s="1" t="s">
        <v>143</v>
      </c>
      <c r="D242" s="12" t="s">
        <v>1339</v>
      </c>
      <c r="E242" s="3">
        <v>1</v>
      </c>
      <c r="F242" s="5" t="s">
        <v>708</v>
      </c>
      <c r="G242" s="3">
        <v>15</v>
      </c>
      <c r="K242" s="1">
        <v>3235</v>
      </c>
      <c r="L242" s="1">
        <v>9000</v>
      </c>
      <c r="M242" s="1">
        <v>6950</v>
      </c>
      <c r="N242" s="1" t="s">
        <v>1032</v>
      </c>
      <c r="O242" s="1">
        <v>100</v>
      </c>
      <c r="P242" s="1" t="s">
        <v>398</v>
      </c>
      <c r="Q242" s="1">
        <v>10</v>
      </c>
      <c r="R242" s="20">
        <v>20261</v>
      </c>
      <c r="S242" s="16">
        <v>5.0000000000000001E-3</v>
      </c>
      <c r="U242" s="1" t="s">
        <v>1339</v>
      </c>
      <c r="V242" s="17" t="s">
        <v>1340</v>
      </c>
      <c r="X242" s="17" t="s">
        <v>1341</v>
      </c>
      <c r="Y242" s="5" t="s">
        <v>1005</v>
      </c>
      <c r="Z242" s="21" t="s">
        <v>1311</v>
      </c>
      <c r="AA242" s="22" t="s">
        <v>1095</v>
      </c>
    </row>
    <row r="243" spans="1:27" s="1" customFormat="1" ht="49.5" x14ac:dyDescent="0.25">
      <c r="A243" s="13">
        <f t="shared" si="3"/>
        <v>324602</v>
      </c>
      <c r="B243" s="14">
        <v>3246</v>
      </c>
      <c r="C243" s="1" t="s">
        <v>143</v>
      </c>
      <c r="D243" s="12" t="s">
        <v>1339</v>
      </c>
      <c r="E243" s="3">
        <v>2</v>
      </c>
      <c r="F243" s="5" t="s">
        <v>708</v>
      </c>
      <c r="G243" s="3">
        <v>16</v>
      </c>
      <c r="K243" s="1">
        <v>3235</v>
      </c>
      <c r="L243" s="1">
        <v>9000</v>
      </c>
      <c r="M243" s="1">
        <v>6950</v>
      </c>
      <c r="N243" s="1" t="s">
        <v>1032</v>
      </c>
      <c r="O243" s="1">
        <v>100</v>
      </c>
      <c r="P243" s="1" t="s">
        <v>398</v>
      </c>
      <c r="Q243" s="1">
        <v>10</v>
      </c>
      <c r="R243" s="20">
        <v>20261</v>
      </c>
      <c r="S243" s="2">
        <v>5.0000000000000001E-3</v>
      </c>
      <c r="U243" s="1" t="s">
        <v>1339</v>
      </c>
      <c r="V243" s="17" t="s">
        <v>1340</v>
      </c>
      <c r="X243" s="17" t="s">
        <v>1341</v>
      </c>
      <c r="Y243" s="5" t="s">
        <v>1005</v>
      </c>
      <c r="Z243" s="21" t="s">
        <v>1311</v>
      </c>
      <c r="AA243" s="22" t="s">
        <v>1095</v>
      </c>
    </row>
    <row r="244" spans="1:27" s="1" customFormat="1" ht="49.5" x14ac:dyDescent="0.25">
      <c r="A244" s="13">
        <f t="shared" si="3"/>
        <v>324701</v>
      </c>
      <c r="B244" s="14">
        <v>3247</v>
      </c>
      <c r="C244" s="1" t="s">
        <v>143</v>
      </c>
      <c r="D244" s="12" t="s">
        <v>1336</v>
      </c>
      <c r="E244" s="3">
        <v>1</v>
      </c>
      <c r="F244" s="5" t="s">
        <v>708</v>
      </c>
      <c r="G244" s="3">
        <v>15</v>
      </c>
      <c r="K244" s="1">
        <v>3235</v>
      </c>
      <c r="L244" s="1">
        <v>9000</v>
      </c>
      <c r="M244" s="1">
        <v>6950</v>
      </c>
      <c r="N244" s="1" t="s">
        <v>1032</v>
      </c>
      <c r="O244" s="1">
        <v>100</v>
      </c>
      <c r="P244" s="1" t="s">
        <v>398</v>
      </c>
      <c r="Q244" s="1">
        <v>10</v>
      </c>
      <c r="R244" s="20">
        <v>6031</v>
      </c>
      <c r="S244" s="16">
        <v>0.01</v>
      </c>
      <c r="U244" s="1" t="s">
        <v>1336</v>
      </c>
      <c r="V244" s="17" t="s">
        <v>1337</v>
      </c>
      <c r="X244" s="17" t="s">
        <v>1338</v>
      </c>
      <c r="Y244" s="5" t="s">
        <v>1005</v>
      </c>
      <c r="Z244" s="21" t="s">
        <v>1315</v>
      </c>
      <c r="AA244" s="22" t="s">
        <v>1096</v>
      </c>
    </row>
    <row r="245" spans="1:27" s="1" customFormat="1" ht="49.5" x14ac:dyDescent="0.25">
      <c r="A245" s="13">
        <f t="shared" si="3"/>
        <v>324702</v>
      </c>
      <c r="B245" s="14">
        <v>3247</v>
      </c>
      <c r="C245" s="1" t="s">
        <v>143</v>
      </c>
      <c r="D245" s="12" t="s">
        <v>1336</v>
      </c>
      <c r="E245" s="3">
        <v>2</v>
      </c>
      <c r="F245" s="5" t="s">
        <v>708</v>
      </c>
      <c r="G245" s="3">
        <v>16</v>
      </c>
      <c r="K245" s="1">
        <v>3235</v>
      </c>
      <c r="L245" s="1">
        <v>9000</v>
      </c>
      <c r="M245" s="1">
        <v>6950</v>
      </c>
      <c r="N245" s="1" t="s">
        <v>1032</v>
      </c>
      <c r="O245" s="1">
        <v>100</v>
      </c>
      <c r="P245" s="1" t="s">
        <v>398</v>
      </c>
      <c r="Q245" s="1">
        <v>10</v>
      </c>
      <c r="R245" s="20">
        <v>6031</v>
      </c>
      <c r="S245" s="16">
        <v>0.01</v>
      </c>
      <c r="U245" s="1" t="s">
        <v>1336</v>
      </c>
      <c r="V245" s="17" t="s">
        <v>1337</v>
      </c>
      <c r="X245" s="17" t="s">
        <v>1338</v>
      </c>
      <c r="Y245" s="5" t="s">
        <v>1005</v>
      </c>
      <c r="Z245" s="21" t="s">
        <v>1315</v>
      </c>
      <c r="AA245" s="22" t="s">
        <v>1096</v>
      </c>
    </row>
    <row r="246" spans="1:27" s="1" customFormat="1" ht="49.5" x14ac:dyDescent="0.25">
      <c r="A246" s="13">
        <f t="shared" si="3"/>
        <v>331101</v>
      </c>
      <c r="B246" s="14">
        <v>3311</v>
      </c>
      <c r="C246" s="1" t="s">
        <v>143</v>
      </c>
      <c r="D246" s="12" t="s">
        <v>1346</v>
      </c>
      <c r="E246" s="3">
        <v>1</v>
      </c>
      <c r="F246" s="5" t="s">
        <v>712</v>
      </c>
      <c r="G246" s="3">
        <v>1</v>
      </c>
      <c r="K246" s="1">
        <v>3233</v>
      </c>
      <c r="L246" s="1">
        <v>3600</v>
      </c>
      <c r="M246" s="1">
        <v>6300</v>
      </c>
      <c r="N246" s="1" t="s">
        <v>999</v>
      </c>
      <c r="O246" s="1">
        <v>100</v>
      </c>
      <c r="P246" s="1" t="s">
        <v>398</v>
      </c>
      <c r="Q246" s="1">
        <v>10</v>
      </c>
      <c r="R246" s="1" t="s">
        <v>1347</v>
      </c>
      <c r="S246" s="16" t="s">
        <v>1099</v>
      </c>
      <c r="U246" s="1" t="s">
        <v>1348</v>
      </c>
      <c r="V246" s="17" t="s">
        <v>1349</v>
      </c>
      <c r="X246" s="17" t="s">
        <v>1350</v>
      </c>
      <c r="Y246" s="5" t="s">
        <v>1005</v>
      </c>
      <c r="Z246" s="21" t="s">
        <v>1311</v>
      </c>
      <c r="AA246" s="22" t="s">
        <v>1103</v>
      </c>
    </row>
    <row r="247" spans="1:27" s="1" customFormat="1" ht="49.5" x14ac:dyDescent="0.25">
      <c r="A247" s="13">
        <f t="shared" si="3"/>
        <v>332101</v>
      </c>
      <c r="B247" s="14">
        <v>3321</v>
      </c>
      <c r="C247" s="1" t="s">
        <v>143</v>
      </c>
      <c r="D247" s="12" t="s">
        <v>1351</v>
      </c>
      <c r="E247" s="3">
        <v>1</v>
      </c>
      <c r="F247" s="5" t="s">
        <v>712</v>
      </c>
      <c r="G247" s="3">
        <v>5</v>
      </c>
      <c r="K247" s="1">
        <v>3311</v>
      </c>
      <c r="L247" s="1">
        <v>5400</v>
      </c>
      <c r="M247" s="1">
        <v>6650</v>
      </c>
      <c r="N247" s="1" t="s">
        <v>1008</v>
      </c>
      <c r="O247" s="1">
        <v>100</v>
      </c>
      <c r="P247" s="1" t="s">
        <v>398</v>
      </c>
      <c r="Q247" s="1">
        <v>10</v>
      </c>
      <c r="R247" s="1">
        <v>20005</v>
      </c>
      <c r="S247" s="16">
        <v>1.4999999999999999E-2</v>
      </c>
      <c r="U247" s="1" t="s">
        <v>1351</v>
      </c>
      <c r="V247" s="17" t="s">
        <v>1352</v>
      </c>
      <c r="X247" s="17" t="s">
        <v>1353</v>
      </c>
      <c r="Y247" s="5" t="s">
        <v>1005</v>
      </c>
      <c r="Z247" s="21" t="s">
        <v>1315</v>
      </c>
      <c r="AA247" s="22" t="s">
        <v>1107</v>
      </c>
    </row>
    <row r="248" spans="1:27" s="1" customFormat="1" ht="49.5" x14ac:dyDescent="0.25">
      <c r="A248" s="13">
        <f t="shared" si="3"/>
        <v>332201</v>
      </c>
      <c r="B248" s="14">
        <v>3322</v>
      </c>
      <c r="C248" s="1" t="s">
        <v>143</v>
      </c>
      <c r="D248" s="12" t="s">
        <v>1108</v>
      </c>
      <c r="E248" s="3">
        <v>1</v>
      </c>
      <c r="F248" s="5" t="s">
        <v>712</v>
      </c>
      <c r="G248" s="3">
        <v>5</v>
      </c>
      <c r="K248" s="1">
        <v>3311</v>
      </c>
      <c r="L248" s="1">
        <v>5400</v>
      </c>
      <c r="M248" s="1">
        <v>6650</v>
      </c>
      <c r="N248" s="1" t="s">
        <v>1008</v>
      </c>
      <c r="O248" s="1">
        <v>100</v>
      </c>
      <c r="P248" s="1" t="s">
        <v>398</v>
      </c>
      <c r="Q248" s="1">
        <v>10</v>
      </c>
      <c r="R248" s="1" t="s">
        <v>1109</v>
      </c>
      <c r="S248" s="16" t="s">
        <v>222</v>
      </c>
      <c r="U248" s="1" t="s">
        <v>1110</v>
      </c>
      <c r="V248" s="17" t="s">
        <v>1111</v>
      </c>
      <c r="X248" s="17" t="s">
        <v>1112</v>
      </c>
      <c r="Y248" s="5" t="s">
        <v>1005</v>
      </c>
      <c r="Z248" s="21" t="s">
        <v>1113</v>
      </c>
      <c r="AA248" s="22" t="s">
        <v>1114</v>
      </c>
    </row>
    <row r="249" spans="1:27" s="1" customFormat="1" ht="49.5" x14ac:dyDescent="0.25">
      <c r="A249" s="13">
        <f t="shared" si="3"/>
        <v>332301</v>
      </c>
      <c r="B249" s="14">
        <v>3323</v>
      </c>
      <c r="C249" s="1" t="s">
        <v>143</v>
      </c>
      <c r="D249" s="12" t="s">
        <v>1354</v>
      </c>
      <c r="E249" s="3">
        <v>1</v>
      </c>
      <c r="F249" s="5" t="s">
        <v>712</v>
      </c>
      <c r="G249" s="3">
        <v>5</v>
      </c>
      <c r="K249" s="1">
        <v>3311</v>
      </c>
      <c r="L249" s="1">
        <v>5400</v>
      </c>
      <c r="M249" s="1">
        <v>6650</v>
      </c>
      <c r="N249" s="1" t="s">
        <v>1008</v>
      </c>
      <c r="O249" s="1">
        <v>100</v>
      </c>
      <c r="P249" s="1" t="s">
        <v>398</v>
      </c>
      <c r="Q249" s="1">
        <v>10</v>
      </c>
      <c r="R249" s="1">
        <v>20035</v>
      </c>
      <c r="S249" s="16">
        <v>1.4999999999999999E-2</v>
      </c>
      <c r="U249" s="1" t="s">
        <v>1354</v>
      </c>
      <c r="V249" s="17" t="s">
        <v>1355</v>
      </c>
      <c r="X249" s="17" t="s">
        <v>1356</v>
      </c>
      <c r="Y249" s="5" t="s">
        <v>1005</v>
      </c>
      <c r="Z249" s="21" t="s">
        <v>1322</v>
      </c>
      <c r="AA249" s="22" t="s">
        <v>1118</v>
      </c>
    </row>
    <row r="250" spans="1:27" s="1" customFormat="1" ht="49.5" x14ac:dyDescent="0.25">
      <c r="A250" s="13">
        <f t="shared" si="3"/>
        <v>333101</v>
      </c>
      <c r="B250" s="14">
        <v>3331</v>
      </c>
      <c r="C250" s="1" t="s">
        <v>143</v>
      </c>
      <c r="D250" s="12" t="s">
        <v>1351</v>
      </c>
      <c r="E250" s="3">
        <v>1</v>
      </c>
      <c r="F250" s="5" t="s">
        <v>712</v>
      </c>
      <c r="G250" s="3">
        <v>10</v>
      </c>
      <c r="K250" s="1">
        <v>3321</v>
      </c>
      <c r="L250" s="1">
        <v>7200</v>
      </c>
      <c r="M250" s="1">
        <v>6950</v>
      </c>
      <c r="N250" s="1" t="s">
        <v>1015</v>
      </c>
      <c r="O250" s="1">
        <v>100</v>
      </c>
      <c r="P250" s="1" t="s">
        <v>398</v>
      </c>
      <c r="Q250" s="1">
        <v>10</v>
      </c>
      <c r="R250" s="1">
        <v>20005</v>
      </c>
      <c r="S250" s="16">
        <v>1.4999999999999999E-2</v>
      </c>
      <c r="U250" s="1" t="s">
        <v>1351</v>
      </c>
      <c r="V250" s="17" t="s">
        <v>1352</v>
      </c>
      <c r="X250" s="17" t="s">
        <v>1353</v>
      </c>
      <c r="Y250" s="5" t="s">
        <v>1005</v>
      </c>
      <c r="Z250" s="21" t="s">
        <v>1315</v>
      </c>
      <c r="AA250" s="22" t="s">
        <v>1119</v>
      </c>
    </row>
    <row r="251" spans="1:27" s="1" customFormat="1" ht="49.5" x14ac:dyDescent="0.25">
      <c r="A251" s="13">
        <f t="shared" si="3"/>
        <v>333102</v>
      </c>
      <c r="B251" s="14">
        <v>3331</v>
      </c>
      <c r="C251" s="1" t="s">
        <v>143</v>
      </c>
      <c r="D251" s="12" t="s">
        <v>1351</v>
      </c>
      <c r="E251" s="3">
        <v>2</v>
      </c>
      <c r="F251" s="5" t="s">
        <v>712</v>
      </c>
      <c r="G251" s="3">
        <v>14</v>
      </c>
      <c r="K251" s="1">
        <v>3321</v>
      </c>
      <c r="L251" s="1">
        <v>7200</v>
      </c>
      <c r="M251" s="1">
        <v>6950</v>
      </c>
      <c r="N251" s="1" t="s">
        <v>1015</v>
      </c>
      <c r="O251" s="1">
        <v>100</v>
      </c>
      <c r="P251" s="1" t="s">
        <v>398</v>
      </c>
      <c r="Q251" s="1">
        <v>10</v>
      </c>
      <c r="R251" s="1">
        <v>20005</v>
      </c>
      <c r="S251" s="16">
        <v>1.4999999999999999E-2</v>
      </c>
      <c r="U251" s="1" t="s">
        <v>1351</v>
      </c>
      <c r="V251" s="17" t="s">
        <v>1352</v>
      </c>
      <c r="X251" s="17" t="s">
        <v>1353</v>
      </c>
      <c r="Y251" s="5" t="s">
        <v>1005</v>
      </c>
      <c r="Z251" s="21" t="s">
        <v>1315</v>
      </c>
      <c r="AA251" s="22" t="s">
        <v>1119</v>
      </c>
    </row>
    <row r="252" spans="1:27" s="1" customFormat="1" ht="49.5" x14ac:dyDescent="0.25">
      <c r="A252" s="13">
        <f t="shared" si="3"/>
        <v>333201</v>
      </c>
      <c r="B252" s="14">
        <v>3332</v>
      </c>
      <c r="C252" s="1" t="s">
        <v>143</v>
      </c>
      <c r="D252" s="12" t="s">
        <v>1120</v>
      </c>
      <c r="E252" s="3">
        <v>1</v>
      </c>
      <c r="F252" s="5" t="s">
        <v>712</v>
      </c>
      <c r="G252" s="3">
        <v>10</v>
      </c>
      <c r="K252" s="1" t="s">
        <v>1357</v>
      </c>
      <c r="L252" s="1">
        <v>7200</v>
      </c>
      <c r="M252" s="1">
        <v>6950</v>
      </c>
      <c r="N252" s="1" t="s">
        <v>1015</v>
      </c>
      <c r="O252" s="1">
        <v>100</v>
      </c>
      <c r="P252" s="1" t="s">
        <v>398</v>
      </c>
      <c r="Q252" s="1">
        <v>10</v>
      </c>
      <c r="R252" s="1">
        <v>30243</v>
      </c>
      <c r="S252" s="16">
        <v>1</v>
      </c>
      <c r="U252" s="1" t="s">
        <v>1110</v>
      </c>
      <c r="V252" s="17" t="s">
        <v>1122</v>
      </c>
      <c r="X252" s="17" t="s">
        <v>1123</v>
      </c>
      <c r="Y252" s="5" t="s">
        <v>1005</v>
      </c>
      <c r="Z252" s="21" t="s">
        <v>1124</v>
      </c>
      <c r="AA252" s="22" t="s">
        <v>1125</v>
      </c>
    </row>
    <row r="253" spans="1:27" s="1" customFormat="1" ht="49.5" x14ac:dyDescent="0.25">
      <c r="A253" s="13">
        <f t="shared" si="3"/>
        <v>333202</v>
      </c>
      <c r="B253" s="14">
        <v>3332</v>
      </c>
      <c r="C253" s="1" t="s">
        <v>143</v>
      </c>
      <c r="D253" s="12" t="s">
        <v>1120</v>
      </c>
      <c r="E253" s="3">
        <v>2</v>
      </c>
      <c r="F253" s="5" t="s">
        <v>712</v>
      </c>
      <c r="G253" s="3">
        <v>14</v>
      </c>
      <c r="K253" s="1" t="s">
        <v>1357</v>
      </c>
      <c r="L253" s="1">
        <v>7200</v>
      </c>
      <c r="M253" s="1">
        <v>6950</v>
      </c>
      <c r="N253" s="1" t="s">
        <v>1015</v>
      </c>
      <c r="O253" s="1">
        <v>100</v>
      </c>
      <c r="P253" s="1" t="s">
        <v>398</v>
      </c>
      <c r="Q253" s="1">
        <v>10</v>
      </c>
      <c r="R253" s="1">
        <v>30243</v>
      </c>
      <c r="S253" s="16">
        <v>1</v>
      </c>
      <c r="U253" s="1" t="s">
        <v>1110</v>
      </c>
      <c r="V253" s="17" t="s">
        <v>1122</v>
      </c>
      <c r="X253" s="17" t="s">
        <v>1123</v>
      </c>
      <c r="Y253" s="5" t="s">
        <v>1005</v>
      </c>
      <c r="Z253" s="21" t="s">
        <v>1124</v>
      </c>
      <c r="AA253" s="22" t="s">
        <v>1125</v>
      </c>
    </row>
    <row r="254" spans="1:27" s="1" customFormat="1" ht="49.5" x14ac:dyDescent="0.25">
      <c r="A254" s="13">
        <f t="shared" si="3"/>
        <v>333301</v>
      </c>
      <c r="B254" s="14">
        <v>3333</v>
      </c>
      <c r="C254" s="1" t="s">
        <v>143</v>
      </c>
      <c r="D254" s="12" t="s">
        <v>1126</v>
      </c>
      <c r="E254" s="3">
        <v>1</v>
      </c>
      <c r="F254" s="5" t="s">
        <v>712</v>
      </c>
      <c r="G254" s="3">
        <v>10</v>
      </c>
      <c r="K254" s="1">
        <v>3322</v>
      </c>
      <c r="L254" s="1">
        <v>7200</v>
      </c>
      <c r="M254" s="1">
        <v>6950</v>
      </c>
      <c r="N254" s="1" t="s">
        <v>1015</v>
      </c>
      <c r="O254" s="1">
        <v>100</v>
      </c>
      <c r="P254" s="1" t="s">
        <v>398</v>
      </c>
      <c r="Q254" s="1">
        <v>10</v>
      </c>
      <c r="R254" s="1">
        <v>30223</v>
      </c>
      <c r="S254" s="16">
        <v>1</v>
      </c>
      <c r="U254" s="1" t="s">
        <v>1110</v>
      </c>
      <c r="V254" s="17" t="s">
        <v>1127</v>
      </c>
      <c r="X254" s="17" t="s">
        <v>1128</v>
      </c>
      <c r="Y254" s="5" t="s">
        <v>1005</v>
      </c>
      <c r="Z254" s="21" t="s">
        <v>1129</v>
      </c>
      <c r="AA254" s="22" t="s">
        <v>1130</v>
      </c>
    </row>
    <row r="255" spans="1:27" s="1" customFormat="1" ht="49.5" x14ac:dyDescent="0.25">
      <c r="A255" s="13">
        <f t="shared" si="3"/>
        <v>333302</v>
      </c>
      <c r="B255" s="14">
        <v>3333</v>
      </c>
      <c r="C255" s="1" t="s">
        <v>143</v>
      </c>
      <c r="D255" s="12" t="s">
        <v>1126</v>
      </c>
      <c r="E255" s="3">
        <v>2</v>
      </c>
      <c r="F255" s="5" t="s">
        <v>712</v>
      </c>
      <c r="G255" s="3">
        <v>14</v>
      </c>
      <c r="K255" s="1">
        <v>3322</v>
      </c>
      <c r="L255" s="1">
        <v>7200</v>
      </c>
      <c r="M255" s="1">
        <v>6950</v>
      </c>
      <c r="N255" s="1" t="s">
        <v>1015</v>
      </c>
      <c r="O255" s="1">
        <v>100</v>
      </c>
      <c r="P255" s="1" t="s">
        <v>398</v>
      </c>
      <c r="Q255" s="1">
        <v>10</v>
      </c>
      <c r="R255" s="1">
        <v>30223</v>
      </c>
      <c r="S255" s="16">
        <v>1</v>
      </c>
      <c r="U255" s="1" t="s">
        <v>1110</v>
      </c>
      <c r="V255" s="17" t="s">
        <v>1127</v>
      </c>
      <c r="X255" s="17" t="s">
        <v>1128</v>
      </c>
      <c r="Y255" s="5" t="s">
        <v>1005</v>
      </c>
      <c r="Z255" s="21" t="s">
        <v>1129</v>
      </c>
      <c r="AA255" s="22" t="s">
        <v>1130</v>
      </c>
    </row>
    <row r="256" spans="1:27" s="1" customFormat="1" ht="49.5" x14ac:dyDescent="0.25">
      <c r="A256" s="13">
        <f t="shared" si="3"/>
        <v>333401</v>
      </c>
      <c r="B256" s="14">
        <v>3334</v>
      </c>
      <c r="C256" s="1" t="s">
        <v>143</v>
      </c>
      <c r="D256" s="12" t="s">
        <v>1131</v>
      </c>
      <c r="E256" s="3">
        <v>1</v>
      </c>
      <c r="F256" s="5" t="s">
        <v>712</v>
      </c>
      <c r="G256" s="3">
        <v>10</v>
      </c>
      <c r="K256" s="1" t="s">
        <v>1358</v>
      </c>
      <c r="L256" s="1">
        <v>7200</v>
      </c>
      <c r="M256" s="1">
        <v>6950</v>
      </c>
      <c r="N256" s="1" t="s">
        <v>1015</v>
      </c>
      <c r="O256" s="1">
        <v>100</v>
      </c>
      <c r="P256" s="1" t="s">
        <v>398</v>
      </c>
      <c r="Q256" s="1">
        <v>10</v>
      </c>
      <c r="R256" s="1">
        <v>30233</v>
      </c>
      <c r="S256" s="16">
        <v>1</v>
      </c>
      <c r="U256" s="1" t="s">
        <v>1110</v>
      </c>
      <c r="V256" s="17" t="s">
        <v>1133</v>
      </c>
      <c r="X256" s="17" t="s">
        <v>1134</v>
      </c>
      <c r="Y256" s="5" t="s">
        <v>1005</v>
      </c>
      <c r="Z256" s="21" t="s">
        <v>1135</v>
      </c>
      <c r="AA256" s="22" t="s">
        <v>1136</v>
      </c>
    </row>
    <row r="257" spans="1:29" s="1" customFormat="1" ht="49.5" x14ac:dyDescent="0.25">
      <c r="A257" s="13">
        <f t="shared" si="3"/>
        <v>333402</v>
      </c>
      <c r="B257" s="14">
        <v>3334</v>
      </c>
      <c r="C257" s="1" t="s">
        <v>143</v>
      </c>
      <c r="D257" s="12" t="s">
        <v>1131</v>
      </c>
      <c r="E257" s="3">
        <v>2</v>
      </c>
      <c r="F257" s="5" t="s">
        <v>712</v>
      </c>
      <c r="G257" s="3">
        <v>14</v>
      </c>
      <c r="K257" s="1" t="s">
        <v>1358</v>
      </c>
      <c r="L257" s="1">
        <v>7200</v>
      </c>
      <c r="M257" s="1">
        <v>6950</v>
      </c>
      <c r="N257" s="1" t="s">
        <v>1015</v>
      </c>
      <c r="O257" s="1">
        <v>100</v>
      </c>
      <c r="P257" s="1" t="s">
        <v>398</v>
      </c>
      <c r="Q257" s="1">
        <v>10</v>
      </c>
      <c r="R257" s="1">
        <v>30233</v>
      </c>
      <c r="S257" s="16">
        <v>1</v>
      </c>
      <c r="U257" s="1" t="s">
        <v>1110</v>
      </c>
      <c r="V257" s="17" t="s">
        <v>1133</v>
      </c>
      <c r="X257" s="17" t="s">
        <v>1134</v>
      </c>
      <c r="Y257" s="5" t="s">
        <v>1005</v>
      </c>
      <c r="Z257" s="21" t="s">
        <v>1135</v>
      </c>
      <c r="AA257" s="22" t="s">
        <v>1136</v>
      </c>
    </row>
    <row r="258" spans="1:29" s="1" customFormat="1" ht="49.5" x14ac:dyDescent="0.25">
      <c r="A258" s="13">
        <f t="shared" si="3"/>
        <v>333501</v>
      </c>
      <c r="B258" s="14">
        <v>3335</v>
      </c>
      <c r="C258" s="1" t="s">
        <v>143</v>
      </c>
      <c r="D258" s="12" t="s">
        <v>1354</v>
      </c>
      <c r="E258" s="3">
        <v>1</v>
      </c>
      <c r="F258" s="5" t="s">
        <v>712</v>
      </c>
      <c r="G258" s="3">
        <v>10</v>
      </c>
      <c r="K258" s="1">
        <v>3323</v>
      </c>
      <c r="L258" s="1">
        <v>7200</v>
      </c>
      <c r="M258" s="1">
        <v>6950</v>
      </c>
      <c r="N258" s="1" t="s">
        <v>1015</v>
      </c>
      <c r="O258" s="1">
        <v>100</v>
      </c>
      <c r="P258" s="1" t="s">
        <v>398</v>
      </c>
      <c r="Q258" s="1">
        <v>10</v>
      </c>
      <c r="R258" s="1">
        <v>20035</v>
      </c>
      <c r="S258" s="16">
        <v>1.4999999999999999E-2</v>
      </c>
      <c r="U258" s="1" t="s">
        <v>1354</v>
      </c>
      <c r="V258" s="17" t="s">
        <v>1355</v>
      </c>
      <c r="X258" s="17" t="s">
        <v>1356</v>
      </c>
      <c r="Y258" s="5" t="s">
        <v>1005</v>
      </c>
      <c r="Z258" s="21" t="s">
        <v>1322</v>
      </c>
      <c r="AA258" s="22" t="s">
        <v>1137</v>
      </c>
    </row>
    <row r="259" spans="1:29" s="1" customFormat="1" ht="49.5" x14ac:dyDescent="0.25">
      <c r="A259" s="13">
        <f t="shared" si="3"/>
        <v>333502</v>
      </c>
      <c r="B259" s="14">
        <v>3335</v>
      </c>
      <c r="C259" s="1" t="s">
        <v>143</v>
      </c>
      <c r="D259" s="12" t="s">
        <v>1354</v>
      </c>
      <c r="E259" s="3">
        <v>2</v>
      </c>
      <c r="F259" s="5" t="s">
        <v>712</v>
      </c>
      <c r="G259" s="3">
        <v>14</v>
      </c>
      <c r="K259" s="1">
        <v>3323</v>
      </c>
      <c r="L259" s="1">
        <v>7200</v>
      </c>
      <c r="M259" s="1">
        <v>6950</v>
      </c>
      <c r="N259" s="1" t="s">
        <v>1015</v>
      </c>
      <c r="O259" s="1">
        <v>100</v>
      </c>
      <c r="P259" s="1" t="s">
        <v>398</v>
      </c>
      <c r="Q259" s="1">
        <v>10</v>
      </c>
      <c r="R259" s="1">
        <v>20035</v>
      </c>
      <c r="S259" s="16">
        <v>1.4999999999999999E-2</v>
      </c>
      <c r="U259" s="1" t="s">
        <v>1354</v>
      </c>
      <c r="V259" s="17" t="s">
        <v>1355</v>
      </c>
      <c r="X259" s="17" t="s">
        <v>1356</v>
      </c>
      <c r="Y259" s="5" t="s">
        <v>1005</v>
      </c>
      <c r="Z259" s="21" t="s">
        <v>1322</v>
      </c>
      <c r="AA259" s="22" t="s">
        <v>1137</v>
      </c>
    </row>
    <row r="260" spans="1:29" s="1" customFormat="1" ht="49.5" x14ac:dyDescent="0.25">
      <c r="A260" s="13">
        <f t="shared" ref="A260:A323" si="4">B260*100+E260</f>
        <v>334101</v>
      </c>
      <c r="B260" s="14">
        <v>3341</v>
      </c>
      <c r="C260" s="1" t="s">
        <v>143</v>
      </c>
      <c r="D260" s="12" t="s">
        <v>1351</v>
      </c>
      <c r="E260" s="3">
        <v>1</v>
      </c>
      <c r="F260" s="5" t="s">
        <v>712</v>
      </c>
      <c r="G260" s="3">
        <v>15</v>
      </c>
      <c r="K260" s="1">
        <v>3331</v>
      </c>
      <c r="L260" s="1">
        <v>9000</v>
      </c>
      <c r="M260" s="1">
        <v>7250</v>
      </c>
      <c r="N260" s="1" t="s">
        <v>1032</v>
      </c>
      <c r="O260" s="1">
        <v>100</v>
      </c>
      <c r="P260" s="1" t="s">
        <v>398</v>
      </c>
      <c r="Q260" s="1">
        <v>10</v>
      </c>
      <c r="R260" s="1">
        <v>20005</v>
      </c>
      <c r="S260" s="16">
        <v>1.4999999999999999E-2</v>
      </c>
      <c r="U260" s="1" t="s">
        <v>1351</v>
      </c>
      <c r="V260" s="17" t="s">
        <v>1352</v>
      </c>
      <c r="X260" s="17" t="s">
        <v>1353</v>
      </c>
      <c r="Y260" s="5" t="s">
        <v>1005</v>
      </c>
      <c r="Z260" s="21" t="s">
        <v>1315</v>
      </c>
      <c r="AA260" s="22" t="s">
        <v>1138</v>
      </c>
    </row>
    <row r="261" spans="1:29" s="1" customFormat="1" ht="49.5" x14ac:dyDescent="0.25">
      <c r="A261" s="13">
        <f t="shared" si="4"/>
        <v>334102</v>
      </c>
      <c r="B261" s="14">
        <v>3341</v>
      </c>
      <c r="C261" s="1" t="s">
        <v>143</v>
      </c>
      <c r="D261" s="12" t="s">
        <v>1351</v>
      </c>
      <c r="E261" s="3">
        <v>2</v>
      </c>
      <c r="F261" s="5" t="s">
        <v>712</v>
      </c>
      <c r="G261" s="3">
        <v>17</v>
      </c>
      <c r="K261" s="1">
        <v>3331</v>
      </c>
      <c r="L261" s="1">
        <v>9000</v>
      </c>
      <c r="M261" s="1">
        <v>7250</v>
      </c>
      <c r="N261" s="1" t="s">
        <v>1032</v>
      </c>
      <c r="O261" s="1">
        <v>100</v>
      </c>
      <c r="P261" s="1" t="s">
        <v>398</v>
      </c>
      <c r="Q261" s="1">
        <v>10</v>
      </c>
      <c r="R261" s="1">
        <v>20005</v>
      </c>
      <c r="S261" s="16">
        <v>1.4999999999999999E-2</v>
      </c>
      <c r="U261" s="1" t="s">
        <v>1351</v>
      </c>
      <c r="V261" s="17" t="s">
        <v>1352</v>
      </c>
      <c r="X261" s="17" t="s">
        <v>1353</v>
      </c>
      <c r="Y261" s="5" t="s">
        <v>1005</v>
      </c>
      <c r="Z261" s="21" t="s">
        <v>1315</v>
      </c>
      <c r="AA261" s="22" t="s">
        <v>1138</v>
      </c>
    </row>
    <row r="262" spans="1:29" s="1" customFormat="1" ht="49.5" x14ac:dyDescent="0.25">
      <c r="A262" s="13">
        <f t="shared" si="4"/>
        <v>334201</v>
      </c>
      <c r="B262" s="14">
        <v>3342</v>
      </c>
      <c r="C262" s="1" t="s">
        <v>143</v>
      </c>
      <c r="D262" s="12" t="s">
        <v>1359</v>
      </c>
      <c r="E262" s="3">
        <v>1</v>
      </c>
      <c r="F262" s="5" t="s">
        <v>712</v>
      </c>
      <c r="G262" s="3">
        <v>15</v>
      </c>
      <c r="K262" s="1">
        <v>3331</v>
      </c>
      <c r="L262" s="1">
        <v>9000</v>
      </c>
      <c r="M262" s="1">
        <v>7250</v>
      </c>
      <c r="N262" s="1" t="s">
        <v>1032</v>
      </c>
      <c r="O262" s="1">
        <v>100</v>
      </c>
      <c r="P262" s="1" t="s">
        <v>398</v>
      </c>
      <c r="Q262" s="1">
        <v>10</v>
      </c>
      <c r="R262" s="1">
        <v>20065</v>
      </c>
      <c r="S262" s="16">
        <v>7.4999999999999997E-3</v>
      </c>
      <c r="U262" s="1" t="s">
        <v>1359</v>
      </c>
      <c r="V262" s="17" t="s">
        <v>1360</v>
      </c>
      <c r="X262" s="17" t="s">
        <v>1361</v>
      </c>
      <c r="Y262" s="5" t="s">
        <v>1005</v>
      </c>
      <c r="Z262" s="21" t="s">
        <v>1311</v>
      </c>
      <c r="AA262" s="22" t="s">
        <v>1142</v>
      </c>
    </row>
    <row r="263" spans="1:29" s="1" customFormat="1" ht="49.5" x14ac:dyDescent="0.25">
      <c r="A263" s="13">
        <f t="shared" si="4"/>
        <v>334202</v>
      </c>
      <c r="B263" s="14">
        <v>3342</v>
      </c>
      <c r="C263" s="1" t="s">
        <v>143</v>
      </c>
      <c r="D263" s="12" t="s">
        <v>1359</v>
      </c>
      <c r="E263" s="3">
        <v>2</v>
      </c>
      <c r="F263" s="5" t="s">
        <v>712</v>
      </c>
      <c r="G263" s="3">
        <v>17</v>
      </c>
      <c r="K263" s="1">
        <v>3331</v>
      </c>
      <c r="L263" s="1">
        <v>9000</v>
      </c>
      <c r="M263" s="1">
        <v>7250</v>
      </c>
      <c r="N263" s="1" t="s">
        <v>1032</v>
      </c>
      <c r="O263" s="1">
        <v>100</v>
      </c>
      <c r="P263" s="1" t="s">
        <v>398</v>
      </c>
      <c r="Q263" s="1">
        <v>10</v>
      </c>
      <c r="R263" s="1">
        <v>20065</v>
      </c>
      <c r="S263" s="16">
        <v>7.4999999999999997E-3</v>
      </c>
      <c r="U263" s="1" t="s">
        <v>1359</v>
      </c>
      <c r="V263" s="17" t="s">
        <v>1360</v>
      </c>
      <c r="X263" s="17" t="s">
        <v>1361</v>
      </c>
      <c r="Y263" s="5" t="s">
        <v>1005</v>
      </c>
      <c r="Z263" s="21" t="s">
        <v>1311</v>
      </c>
      <c r="AA263" s="22" t="s">
        <v>1142</v>
      </c>
    </row>
    <row r="264" spans="1:29" s="1" customFormat="1" ht="49.5" x14ac:dyDescent="0.25">
      <c r="A264" s="13">
        <f t="shared" si="4"/>
        <v>334301</v>
      </c>
      <c r="B264" s="14">
        <v>3343</v>
      </c>
      <c r="C264" s="1" t="s">
        <v>143</v>
      </c>
      <c r="D264" s="12" t="s">
        <v>1143</v>
      </c>
      <c r="E264" s="3">
        <v>1</v>
      </c>
      <c r="F264" s="5" t="s">
        <v>712</v>
      </c>
      <c r="G264" s="3">
        <v>18</v>
      </c>
      <c r="K264" s="1" t="s">
        <v>1362</v>
      </c>
      <c r="L264" s="1">
        <v>9000</v>
      </c>
      <c r="M264" s="1">
        <v>7600</v>
      </c>
      <c r="N264" s="1" t="s">
        <v>1033</v>
      </c>
      <c r="O264" s="1">
        <v>100</v>
      </c>
      <c r="P264" s="1" t="s">
        <v>398</v>
      </c>
      <c r="Q264" s="1">
        <v>10</v>
      </c>
      <c r="R264" s="1" t="s">
        <v>1145</v>
      </c>
      <c r="S264" s="16" t="s">
        <v>1146</v>
      </c>
      <c r="U264" s="1" t="s">
        <v>1110</v>
      </c>
      <c r="V264" s="17" t="s">
        <v>1147</v>
      </c>
      <c r="X264" s="17" t="s">
        <v>1148</v>
      </c>
      <c r="Y264" s="5" t="s">
        <v>1005</v>
      </c>
      <c r="Z264" s="21" t="s">
        <v>1129</v>
      </c>
      <c r="AA264" s="22" t="s">
        <v>1149</v>
      </c>
    </row>
    <row r="265" spans="1:29" s="1" customFormat="1" ht="49.5" x14ac:dyDescent="0.25">
      <c r="A265" s="13">
        <f t="shared" si="4"/>
        <v>334401</v>
      </c>
      <c r="B265" s="14">
        <v>3344</v>
      </c>
      <c r="C265" s="1" t="s">
        <v>143</v>
      </c>
      <c r="D265" s="12" t="s">
        <v>1108</v>
      </c>
      <c r="E265" s="3">
        <v>1</v>
      </c>
      <c r="F265" s="5" t="s">
        <v>712</v>
      </c>
      <c r="G265" s="3">
        <v>20</v>
      </c>
      <c r="K265" s="1" t="s">
        <v>1363</v>
      </c>
      <c r="L265" s="1">
        <v>10800</v>
      </c>
      <c r="M265" s="1">
        <v>7900</v>
      </c>
      <c r="N265" s="1" t="s">
        <v>397</v>
      </c>
      <c r="O265" s="1">
        <v>100</v>
      </c>
      <c r="P265" s="1" t="s">
        <v>398</v>
      </c>
      <c r="Q265" s="1">
        <v>10</v>
      </c>
      <c r="R265" s="1" t="s">
        <v>1109</v>
      </c>
      <c r="S265" s="16" t="s">
        <v>222</v>
      </c>
      <c r="U265" s="1" t="s">
        <v>1110</v>
      </c>
      <c r="V265" s="17" t="s">
        <v>1111</v>
      </c>
      <c r="X265" s="17" t="s">
        <v>1112</v>
      </c>
      <c r="Y265" s="5" t="s">
        <v>1005</v>
      </c>
      <c r="Z265" s="21" t="s">
        <v>1113</v>
      </c>
      <c r="AA265" s="22" t="s">
        <v>1151</v>
      </c>
    </row>
    <row r="266" spans="1:29" s="1" customFormat="1" ht="49.5" x14ac:dyDescent="0.25">
      <c r="A266" s="13">
        <f t="shared" si="4"/>
        <v>334501</v>
      </c>
      <c r="B266" s="14">
        <v>3345</v>
      </c>
      <c r="C266" s="1" t="s">
        <v>143</v>
      </c>
      <c r="D266" s="12" t="s">
        <v>1152</v>
      </c>
      <c r="E266" s="3">
        <v>1</v>
      </c>
      <c r="F266" s="5" t="s">
        <v>712</v>
      </c>
      <c r="G266" s="3">
        <v>18</v>
      </c>
      <c r="K266" s="1" t="s">
        <v>1364</v>
      </c>
      <c r="L266" s="1">
        <v>9000</v>
      </c>
      <c r="M266" s="1">
        <v>7600</v>
      </c>
      <c r="N266" s="1" t="s">
        <v>1033</v>
      </c>
      <c r="O266" s="1">
        <v>100</v>
      </c>
      <c r="P266" s="1" t="s">
        <v>398</v>
      </c>
      <c r="Q266" s="1">
        <v>10</v>
      </c>
      <c r="R266" s="1" t="s">
        <v>1154</v>
      </c>
      <c r="S266" s="16" t="s">
        <v>1146</v>
      </c>
      <c r="U266" s="1" t="s">
        <v>1110</v>
      </c>
      <c r="V266" s="17" t="s">
        <v>1155</v>
      </c>
      <c r="X266" s="17" t="s">
        <v>1156</v>
      </c>
      <c r="Y266" s="5" t="s">
        <v>1005</v>
      </c>
      <c r="Z266" s="21" t="s">
        <v>1129</v>
      </c>
      <c r="AA266" s="22" t="s">
        <v>1157</v>
      </c>
    </row>
    <row r="267" spans="1:29" s="1" customFormat="1" ht="49.5" x14ac:dyDescent="0.25">
      <c r="A267" s="13">
        <f t="shared" si="4"/>
        <v>334601</v>
      </c>
      <c r="B267" s="14">
        <v>3346</v>
      </c>
      <c r="C267" s="1" t="s">
        <v>143</v>
      </c>
      <c r="D267" s="12" t="s">
        <v>1359</v>
      </c>
      <c r="E267" s="3">
        <v>1</v>
      </c>
      <c r="F267" s="5" t="s">
        <v>712</v>
      </c>
      <c r="G267" s="3">
        <v>15</v>
      </c>
      <c r="K267" s="1">
        <v>3335</v>
      </c>
      <c r="L267" s="1">
        <v>9000</v>
      </c>
      <c r="M267" s="1">
        <v>7250</v>
      </c>
      <c r="N267" s="1" t="s">
        <v>1032</v>
      </c>
      <c r="O267" s="1">
        <v>100</v>
      </c>
      <c r="P267" s="1" t="s">
        <v>398</v>
      </c>
      <c r="Q267" s="1">
        <v>10</v>
      </c>
      <c r="R267" s="1">
        <v>20065</v>
      </c>
      <c r="S267" s="16">
        <v>7.4999999999999997E-3</v>
      </c>
      <c r="U267" s="1" t="s">
        <v>1359</v>
      </c>
      <c r="V267" s="17" t="s">
        <v>1360</v>
      </c>
      <c r="X267" s="17" t="s">
        <v>1361</v>
      </c>
      <c r="Y267" s="5" t="s">
        <v>1005</v>
      </c>
      <c r="Z267" s="21" t="s">
        <v>1311</v>
      </c>
      <c r="AA267" s="22" t="s">
        <v>1158</v>
      </c>
    </row>
    <row r="268" spans="1:29" s="1" customFormat="1" ht="49.5" x14ac:dyDescent="0.25">
      <c r="A268" s="13">
        <f t="shared" si="4"/>
        <v>334602</v>
      </c>
      <c r="B268" s="14">
        <v>3346</v>
      </c>
      <c r="C268" s="1" t="s">
        <v>143</v>
      </c>
      <c r="D268" s="12" t="s">
        <v>1359</v>
      </c>
      <c r="E268" s="3">
        <v>2</v>
      </c>
      <c r="F268" s="5" t="s">
        <v>712</v>
      </c>
      <c r="G268" s="3">
        <v>17</v>
      </c>
      <c r="K268" s="1">
        <v>3335</v>
      </c>
      <c r="L268" s="1">
        <v>9000</v>
      </c>
      <c r="M268" s="1">
        <v>7250</v>
      </c>
      <c r="N268" s="1" t="s">
        <v>1032</v>
      </c>
      <c r="O268" s="1">
        <v>100</v>
      </c>
      <c r="P268" s="1" t="s">
        <v>398</v>
      </c>
      <c r="Q268" s="1">
        <v>10</v>
      </c>
      <c r="R268" s="1">
        <v>20065</v>
      </c>
      <c r="S268" s="16">
        <v>7.4999999999999997E-3</v>
      </c>
      <c r="U268" s="1" t="s">
        <v>1359</v>
      </c>
      <c r="V268" s="17" t="s">
        <v>1360</v>
      </c>
      <c r="X268" s="17" t="s">
        <v>1361</v>
      </c>
      <c r="Y268" s="5" t="s">
        <v>1005</v>
      </c>
      <c r="Z268" s="21" t="s">
        <v>1311</v>
      </c>
      <c r="AA268" s="22" t="s">
        <v>1158</v>
      </c>
    </row>
    <row r="269" spans="1:29" s="1" customFormat="1" ht="49.5" x14ac:dyDescent="0.25">
      <c r="A269" s="13">
        <f t="shared" si="4"/>
        <v>334701</v>
      </c>
      <c r="B269" s="14">
        <v>3347</v>
      </c>
      <c r="C269" s="1" t="s">
        <v>143</v>
      </c>
      <c r="D269" s="12" t="s">
        <v>1354</v>
      </c>
      <c r="E269" s="3">
        <v>1</v>
      </c>
      <c r="F269" s="5" t="s">
        <v>712</v>
      </c>
      <c r="G269" s="3">
        <v>15</v>
      </c>
      <c r="K269" s="1">
        <v>3335</v>
      </c>
      <c r="L269" s="1">
        <v>9000</v>
      </c>
      <c r="M269" s="1">
        <v>7250</v>
      </c>
      <c r="N269" s="1" t="s">
        <v>1032</v>
      </c>
      <c r="O269" s="1">
        <v>100</v>
      </c>
      <c r="P269" s="1" t="s">
        <v>398</v>
      </c>
      <c r="Q269" s="1">
        <v>10</v>
      </c>
      <c r="R269" s="1">
        <v>20035</v>
      </c>
      <c r="S269" s="16">
        <v>1.4999999999999999E-2</v>
      </c>
      <c r="U269" s="1" t="s">
        <v>1354</v>
      </c>
      <c r="V269" s="17" t="s">
        <v>1355</v>
      </c>
      <c r="X269" s="17" t="s">
        <v>1356</v>
      </c>
      <c r="Y269" s="5" t="s">
        <v>1005</v>
      </c>
      <c r="Z269" s="21" t="s">
        <v>1322</v>
      </c>
      <c r="AA269" s="22" t="s">
        <v>1159</v>
      </c>
    </row>
    <row r="270" spans="1:29" s="1" customFormat="1" ht="49.5" x14ac:dyDescent="0.25">
      <c r="A270" s="13">
        <f t="shared" si="4"/>
        <v>334702</v>
      </c>
      <c r="B270" s="14">
        <v>3347</v>
      </c>
      <c r="C270" s="1" t="s">
        <v>143</v>
      </c>
      <c r="D270" s="12" t="s">
        <v>1354</v>
      </c>
      <c r="E270" s="3">
        <v>2</v>
      </c>
      <c r="F270" s="5" t="s">
        <v>712</v>
      </c>
      <c r="G270" s="3">
        <v>15</v>
      </c>
      <c r="K270" s="1">
        <v>3335</v>
      </c>
      <c r="L270" s="1">
        <v>9000</v>
      </c>
      <c r="M270" s="1">
        <v>7250</v>
      </c>
      <c r="N270" s="1" t="s">
        <v>1032</v>
      </c>
      <c r="O270" s="1">
        <v>100</v>
      </c>
      <c r="P270" s="1" t="s">
        <v>398</v>
      </c>
      <c r="Q270" s="1">
        <v>10</v>
      </c>
      <c r="R270" s="1">
        <v>20035</v>
      </c>
      <c r="S270" s="16">
        <v>1.4999999999999999E-2</v>
      </c>
      <c r="U270" s="1" t="s">
        <v>1354</v>
      </c>
      <c r="V270" s="17" t="s">
        <v>1355</v>
      </c>
      <c r="X270" s="17" t="s">
        <v>1356</v>
      </c>
      <c r="Y270" s="5" t="s">
        <v>1005</v>
      </c>
      <c r="Z270" s="21" t="s">
        <v>1322</v>
      </c>
      <c r="AA270" s="22" t="s">
        <v>1159</v>
      </c>
    </row>
    <row r="271" spans="1:29" s="1" customFormat="1" ht="49.5" x14ac:dyDescent="0.25">
      <c r="A271" s="13">
        <f t="shared" si="4"/>
        <v>411101</v>
      </c>
      <c r="B271" s="14">
        <v>4111</v>
      </c>
      <c r="C271" s="1" t="s">
        <v>729</v>
      </c>
      <c r="D271" s="12" t="s">
        <v>1169</v>
      </c>
      <c r="E271" s="3">
        <v>1</v>
      </c>
      <c r="F271" s="5" t="s">
        <v>396</v>
      </c>
      <c r="G271" s="3">
        <v>1</v>
      </c>
      <c r="L271" s="1">
        <v>3600</v>
      </c>
      <c r="M271" s="1">
        <v>2500</v>
      </c>
      <c r="N271" s="1" t="s">
        <v>999</v>
      </c>
      <c r="O271" s="1">
        <v>100</v>
      </c>
      <c r="P271" s="1" t="s">
        <v>398</v>
      </c>
      <c r="Q271" s="1">
        <v>10</v>
      </c>
      <c r="R271" s="1" t="s">
        <v>1272</v>
      </c>
      <c r="S271" s="16" t="s">
        <v>1001</v>
      </c>
      <c r="U271" s="1" t="s">
        <v>1273</v>
      </c>
      <c r="V271" s="17" t="s">
        <v>1274</v>
      </c>
      <c r="W271" s="5"/>
      <c r="X271" s="1" t="s">
        <v>1275</v>
      </c>
      <c r="Y271" s="5" t="s">
        <v>1005</v>
      </c>
      <c r="Z271" s="21" t="s">
        <v>1276</v>
      </c>
      <c r="AA271" s="22" t="s">
        <v>407</v>
      </c>
      <c r="AC271" s="22"/>
    </row>
    <row r="272" spans="1:29" s="1" customFormat="1" ht="49.5" x14ac:dyDescent="0.25">
      <c r="A272" s="13">
        <f t="shared" si="4"/>
        <v>411102</v>
      </c>
      <c r="B272" s="14">
        <v>4111</v>
      </c>
      <c r="C272" s="1" t="s">
        <v>729</v>
      </c>
      <c r="D272" s="12" t="s">
        <v>1169</v>
      </c>
      <c r="E272" s="3">
        <v>2</v>
      </c>
      <c r="F272" s="5" t="s">
        <v>396</v>
      </c>
      <c r="G272" s="3">
        <v>1</v>
      </c>
      <c r="L272" s="1">
        <v>3600</v>
      </c>
      <c r="M272" s="1">
        <v>2500</v>
      </c>
      <c r="N272" s="1" t="s">
        <v>999</v>
      </c>
      <c r="O272" s="1">
        <v>100</v>
      </c>
      <c r="P272" s="1" t="s">
        <v>398</v>
      </c>
      <c r="Q272" s="1">
        <v>10</v>
      </c>
      <c r="R272" s="1" t="s">
        <v>1272</v>
      </c>
      <c r="S272" s="16" t="s">
        <v>1001</v>
      </c>
      <c r="U272" s="1" t="s">
        <v>1273</v>
      </c>
      <c r="V272" s="17" t="s">
        <v>1274</v>
      </c>
      <c r="W272" s="5"/>
      <c r="X272" s="1" t="s">
        <v>1275</v>
      </c>
      <c r="Y272" s="5" t="s">
        <v>1005</v>
      </c>
      <c r="Z272" s="21" t="s">
        <v>1276</v>
      </c>
      <c r="AA272" s="22" t="s">
        <v>407</v>
      </c>
      <c r="AC272" s="22"/>
    </row>
    <row r="273" spans="1:29" s="1" customFormat="1" ht="49.5" x14ac:dyDescent="0.25">
      <c r="A273" s="13">
        <f t="shared" si="4"/>
        <v>411103</v>
      </c>
      <c r="B273" s="14">
        <v>4111</v>
      </c>
      <c r="C273" s="1" t="s">
        <v>729</v>
      </c>
      <c r="D273" s="12" t="s">
        <v>1169</v>
      </c>
      <c r="E273" s="3">
        <v>3</v>
      </c>
      <c r="F273" s="5" t="s">
        <v>396</v>
      </c>
      <c r="G273" s="3">
        <v>1</v>
      </c>
      <c r="L273" s="1">
        <v>3600</v>
      </c>
      <c r="M273" s="1">
        <v>2500</v>
      </c>
      <c r="N273" s="1" t="s">
        <v>999</v>
      </c>
      <c r="O273" s="1">
        <v>100</v>
      </c>
      <c r="P273" s="1" t="s">
        <v>398</v>
      </c>
      <c r="Q273" s="1">
        <v>10</v>
      </c>
      <c r="R273" s="1" t="s">
        <v>1272</v>
      </c>
      <c r="S273" s="16" t="s">
        <v>1001</v>
      </c>
      <c r="U273" s="1" t="s">
        <v>1273</v>
      </c>
      <c r="V273" s="17" t="s">
        <v>1274</v>
      </c>
      <c r="W273" s="5"/>
      <c r="X273" s="1" t="s">
        <v>1275</v>
      </c>
      <c r="Y273" s="5" t="s">
        <v>1005</v>
      </c>
      <c r="Z273" s="21" t="s">
        <v>1276</v>
      </c>
      <c r="AA273" s="22" t="s">
        <v>407</v>
      </c>
      <c r="AC273" s="22"/>
    </row>
    <row r="274" spans="1:29" s="1" customFormat="1" ht="49.5" x14ac:dyDescent="0.25">
      <c r="A274" s="13">
        <f t="shared" si="4"/>
        <v>411104</v>
      </c>
      <c r="B274" s="14">
        <v>4111</v>
      </c>
      <c r="C274" s="1" t="s">
        <v>729</v>
      </c>
      <c r="D274" s="12" t="s">
        <v>1169</v>
      </c>
      <c r="E274" s="3">
        <v>4</v>
      </c>
      <c r="F274" s="5" t="s">
        <v>396</v>
      </c>
      <c r="G274" s="3">
        <v>2</v>
      </c>
      <c r="L274" s="1">
        <v>3600</v>
      </c>
      <c r="M274" s="1">
        <v>2500</v>
      </c>
      <c r="N274" s="1" t="s">
        <v>999</v>
      </c>
      <c r="O274" s="1">
        <v>100</v>
      </c>
      <c r="P274" s="1" t="s">
        <v>398</v>
      </c>
      <c r="Q274" s="1">
        <v>10</v>
      </c>
      <c r="R274" s="1" t="s">
        <v>1272</v>
      </c>
      <c r="S274" s="16" t="s">
        <v>1001</v>
      </c>
      <c r="U274" s="1" t="s">
        <v>1273</v>
      </c>
      <c r="V274" s="17" t="s">
        <v>1274</v>
      </c>
      <c r="W274" s="5"/>
      <c r="X274" s="1" t="s">
        <v>1275</v>
      </c>
      <c r="Y274" s="5" t="s">
        <v>1005</v>
      </c>
      <c r="Z274" s="21" t="s">
        <v>1276</v>
      </c>
      <c r="AA274" s="22" t="s">
        <v>407</v>
      </c>
      <c r="AC274" s="22"/>
    </row>
    <row r="275" spans="1:29" s="1" customFormat="1" ht="49.5" x14ac:dyDescent="0.25">
      <c r="A275" s="13">
        <f t="shared" si="4"/>
        <v>411105</v>
      </c>
      <c r="B275" s="14">
        <v>4111</v>
      </c>
      <c r="C275" s="1" t="s">
        <v>729</v>
      </c>
      <c r="D275" s="12" t="s">
        <v>1169</v>
      </c>
      <c r="E275" s="3">
        <v>5</v>
      </c>
      <c r="F275" s="5" t="s">
        <v>396</v>
      </c>
      <c r="G275" s="3">
        <v>2</v>
      </c>
      <c r="L275" s="1">
        <v>3600</v>
      </c>
      <c r="M275" s="1">
        <v>2500</v>
      </c>
      <c r="N275" s="1" t="s">
        <v>999</v>
      </c>
      <c r="O275" s="1">
        <v>100</v>
      </c>
      <c r="P275" s="1" t="s">
        <v>398</v>
      </c>
      <c r="Q275" s="1">
        <v>10</v>
      </c>
      <c r="R275" s="1" t="s">
        <v>1272</v>
      </c>
      <c r="S275" s="16" t="s">
        <v>1001</v>
      </c>
      <c r="U275" s="1" t="s">
        <v>1273</v>
      </c>
      <c r="V275" s="17" t="s">
        <v>1274</v>
      </c>
      <c r="W275" s="5"/>
      <c r="X275" s="1" t="s">
        <v>1275</v>
      </c>
      <c r="Y275" s="5" t="s">
        <v>1005</v>
      </c>
      <c r="Z275" s="21" t="s">
        <v>1276</v>
      </c>
      <c r="AA275" s="22" t="s">
        <v>407</v>
      </c>
      <c r="AC275" s="22"/>
    </row>
    <row r="276" spans="1:29" s="1" customFormat="1" ht="49.5" x14ac:dyDescent="0.25">
      <c r="A276" s="13">
        <f t="shared" si="4"/>
        <v>412101</v>
      </c>
      <c r="B276" s="14">
        <v>4121</v>
      </c>
      <c r="C276" s="1" t="s">
        <v>729</v>
      </c>
      <c r="D276" s="15" t="s">
        <v>1277</v>
      </c>
      <c r="E276" s="3">
        <v>1</v>
      </c>
      <c r="F276" s="5" t="s">
        <v>396</v>
      </c>
      <c r="G276" s="3">
        <v>5</v>
      </c>
      <c r="K276" s="1">
        <v>4111</v>
      </c>
      <c r="L276" s="1">
        <v>5400</v>
      </c>
      <c r="M276" s="1">
        <v>2650</v>
      </c>
      <c r="N276" s="1" t="s">
        <v>1008</v>
      </c>
      <c r="O276" s="1">
        <v>100</v>
      </c>
      <c r="P276" s="1" t="s">
        <v>398</v>
      </c>
      <c r="Q276" s="1">
        <v>10</v>
      </c>
      <c r="R276" s="1">
        <v>1059</v>
      </c>
      <c r="S276" s="16">
        <v>8.0000000000000002E-3</v>
      </c>
      <c r="U276" s="1" t="s">
        <v>1278</v>
      </c>
      <c r="V276" s="17" t="s">
        <v>563</v>
      </c>
      <c r="W276" s="5"/>
      <c r="X276" s="17" t="s">
        <v>565</v>
      </c>
      <c r="Y276" s="5" t="s">
        <v>1005</v>
      </c>
      <c r="Z276" s="21" t="s">
        <v>1279</v>
      </c>
      <c r="AA276" s="22" t="s">
        <v>420</v>
      </c>
      <c r="AC276" s="22"/>
    </row>
    <row r="277" spans="1:29" s="1" customFormat="1" ht="49.5" x14ac:dyDescent="0.25">
      <c r="A277" s="13">
        <f t="shared" si="4"/>
        <v>412102</v>
      </c>
      <c r="B277" s="14">
        <v>4121</v>
      </c>
      <c r="C277" s="1" t="s">
        <v>729</v>
      </c>
      <c r="D277" s="15" t="s">
        <v>1277</v>
      </c>
      <c r="E277" s="3">
        <v>2</v>
      </c>
      <c r="F277" s="5" t="s">
        <v>396</v>
      </c>
      <c r="G277" s="3">
        <v>6</v>
      </c>
      <c r="K277" s="1">
        <v>4111</v>
      </c>
      <c r="L277" s="1">
        <v>5400</v>
      </c>
      <c r="M277" s="1">
        <v>2650</v>
      </c>
      <c r="N277" s="1" t="s">
        <v>1008</v>
      </c>
      <c r="O277" s="1">
        <v>100</v>
      </c>
      <c r="P277" s="1" t="s">
        <v>398</v>
      </c>
      <c r="Q277" s="1">
        <v>10</v>
      </c>
      <c r="R277" s="1">
        <v>1059</v>
      </c>
      <c r="S277" s="16">
        <v>8.0000000000000002E-3</v>
      </c>
      <c r="U277" s="1" t="s">
        <v>1278</v>
      </c>
      <c r="V277" s="17" t="s">
        <v>563</v>
      </c>
      <c r="W277" s="5"/>
      <c r="X277" s="17" t="s">
        <v>565</v>
      </c>
      <c r="Y277" s="5" t="s">
        <v>1005</v>
      </c>
      <c r="Z277" s="21" t="s">
        <v>1279</v>
      </c>
      <c r="AA277" s="22" t="s">
        <v>420</v>
      </c>
      <c r="AC277" s="22"/>
    </row>
    <row r="278" spans="1:29" s="1" customFormat="1" ht="49.5" x14ac:dyDescent="0.25">
      <c r="A278" s="13">
        <f t="shared" si="4"/>
        <v>412103</v>
      </c>
      <c r="B278" s="14">
        <v>4121</v>
      </c>
      <c r="C278" s="1" t="s">
        <v>729</v>
      </c>
      <c r="D278" s="15" t="s">
        <v>1277</v>
      </c>
      <c r="E278" s="3">
        <v>3</v>
      </c>
      <c r="F278" s="5" t="s">
        <v>396</v>
      </c>
      <c r="G278" s="3">
        <v>7</v>
      </c>
      <c r="K278" s="1">
        <v>4111</v>
      </c>
      <c r="L278" s="1">
        <v>5400</v>
      </c>
      <c r="M278" s="1">
        <v>2650</v>
      </c>
      <c r="N278" s="1" t="s">
        <v>1008</v>
      </c>
      <c r="O278" s="1">
        <v>100</v>
      </c>
      <c r="P278" s="1" t="s">
        <v>398</v>
      </c>
      <c r="Q278" s="1">
        <v>10</v>
      </c>
      <c r="R278" s="1">
        <v>1059</v>
      </c>
      <c r="S278" s="16">
        <v>8.0000000000000002E-3</v>
      </c>
      <c r="U278" s="1" t="s">
        <v>1278</v>
      </c>
      <c r="V278" s="17" t="s">
        <v>563</v>
      </c>
      <c r="W278" s="5"/>
      <c r="X278" s="17" t="s">
        <v>565</v>
      </c>
      <c r="Y278" s="5" t="s">
        <v>1005</v>
      </c>
      <c r="Z278" s="21" t="s">
        <v>1279</v>
      </c>
      <c r="AA278" s="22" t="s">
        <v>420</v>
      </c>
      <c r="AC278" s="22"/>
    </row>
    <row r="279" spans="1:29" s="1" customFormat="1" ht="49.5" x14ac:dyDescent="0.25">
      <c r="A279" s="13">
        <f t="shared" si="4"/>
        <v>412104</v>
      </c>
      <c r="B279" s="14">
        <v>4121</v>
      </c>
      <c r="C279" s="1" t="s">
        <v>729</v>
      </c>
      <c r="D279" s="15" t="s">
        <v>1277</v>
      </c>
      <c r="E279" s="3">
        <v>4</v>
      </c>
      <c r="F279" s="5" t="s">
        <v>396</v>
      </c>
      <c r="G279" s="3">
        <v>8</v>
      </c>
      <c r="K279" s="1">
        <v>4111</v>
      </c>
      <c r="L279" s="1">
        <v>5400</v>
      </c>
      <c r="M279" s="1">
        <v>2650</v>
      </c>
      <c r="N279" s="1" t="s">
        <v>1008</v>
      </c>
      <c r="O279" s="1">
        <v>100</v>
      </c>
      <c r="P279" s="1" t="s">
        <v>398</v>
      </c>
      <c r="Q279" s="1">
        <v>10</v>
      </c>
      <c r="R279" s="1">
        <v>1059</v>
      </c>
      <c r="S279" s="16">
        <v>8.0000000000000002E-3</v>
      </c>
      <c r="U279" s="1" t="s">
        <v>1278</v>
      </c>
      <c r="V279" s="17" t="s">
        <v>563</v>
      </c>
      <c r="W279" s="5"/>
      <c r="X279" s="17" t="s">
        <v>565</v>
      </c>
      <c r="Y279" s="5" t="s">
        <v>1005</v>
      </c>
      <c r="Z279" s="21" t="s">
        <v>1279</v>
      </c>
      <c r="AA279" s="22" t="s">
        <v>420</v>
      </c>
      <c r="AC279" s="22"/>
    </row>
    <row r="280" spans="1:29" s="1" customFormat="1" ht="49.5" x14ac:dyDescent="0.25">
      <c r="A280" s="13">
        <f t="shared" si="4"/>
        <v>412105</v>
      </c>
      <c r="B280" s="14">
        <v>4121</v>
      </c>
      <c r="C280" s="1" t="s">
        <v>729</v>
      </c>
      <c r="D280" s="15" t="s">
        <v>1277</v>
      </c>
      <c r="E280" s="3">
        <v>5</v>
      </c>
      <c r="F280" s="5" t="s">
        <v>396</v>
      </c>
      <c r="G280" s="3">
        <v>9</v>
      </c>
      <c r="K280" s="1">
        <v>4111</v>
      </c>
      <c r="L280" s="1">
        <v>5400</v>
      </c>
      <c r="M280" s="1">
        <v>2650</v>
      </c>
      <c r="N280" s="1" t="s">
        <v>1008</v>
      </c>
      <c r="O280" s="1">
        <v>100</v>
      </c>
      <c r="P280" s="1" t="s">
        <v>398</v>
      </c>
      <c r="Q280" s="1">
        <v>10</v>
      </c>
      <c r="R280" s="1">
        <v>1059</v>
      </c>
      <c r="S280" s="16">
        <v>8.0000000000000002E-3</v>
      </c>
      <c r="U280" s="1" t="s">
        <v>1278</v>
      </c>
      <c r="V280" s="17" t="s">
        <v>563</v>
      </c>
      <c r="W280" s="5"/>
      <c r="X280" s="17" t="s">
        <v>565</v>
      </c>
      <c r="Y280" s="5" t="s">
        <v>1005</v>
      </c>
      <c r="Z280" s="21" t="s">
        <v>1279</v>
      </c>
      <c r="AA280" s="22" t="s">
        <v>420</v>
      </c>
      <c r="AC280" s="22"/>
    </row>
    <row r="281" spans="1:29" s="1" customFormat="1" ht="49.5" x14ac:dyDescent="0.25">
      <c r="A281" s="13">
        <f t="shared" si="4"/>
        <v>412201</v>
      </c>
      <c r="B281" s="14">
        <v>4122</v>
      </c>
      <c r="C281" s="1" t="s">
        <v>729</v>
      </c>
      <c r="D281" s="12" t="s">
        <v>1169</v>
      </c>
      <c r="E281" s="3">
        <v>1</v>
      </c>
      <c r="F281" s="5" t="s">
        <v>396</v>
      </c>
      <c r="G281" s="3">
        <v>5</v>
      </c>
      <c r="K281" s="1">
        <v>4111</v>
      </c>
      <c r="L281" s="1">
        <v>5400</v>
      </c>
      <c r="M281" s="1">
        <v>2650</v>
      </c>
      <c r="N281" s="1" t="s">
        <v>1008</v>
      </c>
      <c r="O281" s="1">
        <v>100</v>
      </c>
      <c r="P281" s="1" t="s">
        <v>398</v>
      </c>
      <c r="Q281" s="1">
        <v>10</v>
      </c>
      <c r="R281" s="1" t="s">
        <v>1272</v>
      </c>
      <c r="S281" s="16" t="s">
        <v>1001</v>
      </c>
      <c r="U281" s="1" t="s">
        <v>1273</v>
      </c>
      <c r="V281" s="17" t="s">
        <v>1274</v>
      </c>
      <c r="W281" s="5"/>
      <c r="X281" s="1" t="s">
        <v>1275</v>
      </c>
      <c r="Y281" s="5" t="s">
        <v>1005</v>
      </c>
      <c r="Z281" s="21" t="s">
        <v>1276</v>
      </c>
      <c r="AA281" s="22" t="s">
        <v>433</v>
      </c>
      <c r="AC281" s="22"/>
    </row>
    <row r="282" spans="1:29" s="1" customFormat="1" ht="49.5" x14ac:dyDescent="0.25">
      <c r="A282" s="13">
        <f t="shared" si="4"/>
        <v>412202</v>
      </c>
      <c r="B282" s="14">
        <v>4122</v>
      </c>
      <c r="C282" s="1" t="s">
        <v>729</v>
      </c>
      <c r="D282" s="12" t="s">
        <v>1169</v>
      </c>
      <c r="E282" s="3">
        <v>2</v>
      </c>
      <c r="F282" s="5" t="s">
        <v>396</v>
      </c>
      <c r="G282" s="3">
        <v>6</v>
      </c>
      <c r="K282" s="1">
        <v>4111</v>
      </c>
      <c r="L282" s="1">
        <v>5400</v>
      </c>
      <c r="M282" s="1">
        <v>2650</v>
      </c>
      <c r="N282" s="1" t="s">
        <v>1008</v>
      </c>
      <c r="O282" s="1">
        <v>100</v>
      </c>
      <c r="P282" s="1" t="s">
        <v>398</v>
      </c>
      <c r="Q282" s="1">
        <v>10</v>
      </c>
      <c r="R282" s="1" t="s">
        <v>1272</v>
      </c>
      <c r="S282" s="16" t="s">
        <v>1001</v>
      </c>
      <c r="U282" s="1" t="s">
        <v>1273</v>
      </c>
      <c r="V282" s="17" t="s">
        <v>1274</v>
      </c>
      <c r="W282" s="5"/>
      <c r="X282" s="1" t="s">
        <v>1275</v>
      </c>
      <c r="Y282" s="5" t="s">
        <v>1005</v>
      </c>
      <c r="Z282" s="21" t="s">
        <v>1276</v>
      </c>
      <c r="AA282" s="22" t="s">
        <v>433</v>
      </c>
      <c r="AC282" s="22"/>
    </row>
    <row r="283" spans="1:29" s="1" customFormat="1" ht="49.5" x14ac:dyDescent="0.25">
      <c r="A283" s="13">
        <f t="shared" si="4"/>
        <v>412203</v>
      </c>
      <c r="B283" s="14">
        <v>4122</v>
      </c>
      <c r="C283" s="1" t="s">
        <v>729</v>
      </c>
      <c r="D283" s="12" t="s">
        <v>1169</v>
      </c>
      <c r="E283" s="3">
        <v>3</v>
      </c>
      <c r="F283" s="5" t="s">
        <v>396</v>
      </c>
      <c r="G283" s="3">
        <v>7</v>
      </c>
      <c r="K283" s="1">
        <v>4111</v>
      </c>
      <c r="L283" s="1">
        <v>5400</v>
      </c>
      <c r="M283" s="1">
        <v>2650</v>
      </c>
      <c r="N283" s="1" t="s">
        <v>1008</v>
      </c>
      <c r="O283" s="1">
        <v>100</v>
      </c>
      <c r="P283" s="1" t="s">
        <v>398</v>
      </c>
      <c r="Q283" s="1">
        <v>10</v>
      </c>
      <c r="R283" s="1" t="s">
        <v>1272</v>
      </c>
      <c r="S283" s="16" t="s">
        <v>1001</v>
      </c>
      <c r="U283" s="1" t="s">
        <v>1273</v>
      </c>
      <c r="V283" s="17" t="s">
        <v>1274</v>
      </c>
      <c r="W283" s="5"/>
      <c r="X283" s="1" t="s">
        <v>1275</v>
      </c>
      <c r="Y283" s="5" t="s">
        <v>1005</v>
      </c>
      <c r="Z283" s="21" t="s">
        <v>1276</v>
      </c>
      <c r="AA283" s="22" t="s">
        <v>433</v>
      </c>
      <c r="AC283" s="22"/>
    </row>
    <row r="284" spans="1:29" s="1" customFormat="1" ht="49.5" x14ac:dyDescent="0.25">
      <c r="A284" s="13">
        <f t="shared" si="4"/>
        <v>412204</v>
      </c>
      <c r="B284" s="14">
        <v>4122</v>
      </c>
      <c r="C284" s="1" t="s">
        <v>729</v>
      </c>
      <c r="D284" s="12" t="s">
        <v>1169</v>
      </c>
      <c r="E284" s="3">
        <v>4</v>
      </c>
      <c r="F284" s="5" t="s">
        <v>396</v>
      </c>
      <c r="G284" s="3">
        <v>8</v>
      </c>
      <c r="K284" s="1">
        <v>4111</v>
      </c>
      <c r="L284" s="1">
        <v>5400</v>
      </c>
      <c r="M284" s="1">
        <v>2650</v>
      </c>
      <c r="N284" s="1" t="s">
        <v>1008</v>
      </c>
      <c r="O284" s="1">
        <v>100</v>
      </c>
      <c r="P284" s="1" t="s">
        <v>398</v>
      </c>
      <c r="Q284" s="1">
        <v>10</v>
      </c>
      <c r="R284" s="1" t="s">
        <v>1272</v>
      </c>
      <c r="S284" s="16" t="s">
        <v>1001</v>
      </c>
      <c r="U284" s="1" t="s">
        <v>1273</v>
      </c>
      <c r="V284" s="17" t="s">
        <v>1274</v>
      </c>
      <c r="W284" s="5"/>
      <c r="X284" s="1" t="s">
        <v>1275</v>
      </c>
      <c r="Y284" s="5" t="s">
        <v>1005</v>
      </c>
      <c r="Z284" s="21" t="s">
        <v>1276</v>
      </c>
      <c r="AA284" s="22" t="s">
        <v>433</v>
      </c>
      <c r="AC284" s="22"/>
    </row>
    <row r="285" spans="1:29" s="1" customFormat="1" ht="49.5" x14ac:dyDescent="0.25">
      <c r="A285" s="13">
        <f t="shared" si="4"/>
        <v>412205</v>
      </c>
      <c r="B285" s="14">
        <v>4122</v>
      </c>
      <c r="C285" s="1" t="s">
        <v>729</v>
      </c>
      <c r="D285" s="12" t="s">
        <v>1169</v>
      </c>
      <c r="E285" s="3">
        <v>5</v>
      </c>
      <c r="F285" s="5" t="s">
        <v>396</v>
      </c>
      <c r="G285" s="3">
        <v>9</v>
      </c>
      <c r="K285" s="1">
        <v>4111</v>
      </c>
      <c r="L285" s="1">
        <v>5400</v>
      </c>
      <c r="M285" s="1">
        <v>2650</v>
      </c>
      <c r="N285" s="1" t="s">
        <v>1008</v>
      </c>
      <c r="O285" s="1">
        <v>100</v>
      </c>
      <c r="P285" s="1" t="s">
        <v>398</v>
      </c>
      <c r="Q285" s="1">
        <v>10</v>
      </c>
      <c r="R285" s="1" t="s">
        <v>1272</v>
      </c>
      <c r="S285" s="16" t="s">
        <v>1001</v>
      </c>
      <c r="U285" s="1" t="s">
        <v>1273</v>
      </c>
      <c r="V285" s="17" t="s">
        <v>1274</v>
      </c>
      <c r="W285" s="5"/>
      <c r="X285" s="1" t="s">
        <v>1275</v>
      </c>
      <c r="Y285" s="5" t="s">
        <v>1005</v>
      </c>
      <c r="Z285" s="21" t="s">
        <v>1276</v>
      </c>
      <c r="AA285" s="22" t="s">
        <v>433</v>
      </c>
      <c r="AC285" s="22"/>
    </row>
    <row r="286" spans="1:29" s="1" customFormat="1" ht="49.5" x14ac:dyDescent="0.25">
      <c r="A286" s="13">
        <f t="shared" si="4"/>
        <v>412301</v>
      </c>
      <c r="B286" s="14">
        <v>4123</v>
      </c>
      <c r="C286" s="1" t="s">
        <v>729</v>
      </c>
      <c r="D286" s="15" t="s">
        <v>1280</v>
      </c>
      <c r="E286" s="3">
        <v>1</v>
      </c>
      <c r="F286" s="5" t="s">
        <v>396</v>
      </c>
      <c r="G286" s="3">
        <v>5</v>
      </c>
      <c r="K286" s="1">
        <v>4111</v>
      </c>
      <c r="L286" s="1">
        <v>5400</v>
      </c>
      <c r="M286" s="1">
        <v>2650</v>
      </c>
      <c r="N286" s="1" t="s">
        <v>1008</v>
      </c>
      <c r="O286" s="1">
        <v>100</v>
      </c>
      <c r="P286" s="1" t="s">
        <v>398</v>
      </c>
      <c r="Q286" s="1">
        <v>10</v>
      </c>
      <c r="R286" s="1">
        <v>1064</v>
      </c>
      <c r="S286" s="16">
        <v>4.0000000000000001E-3</v>
      </c>
      <c r="U286" s="1" t="s">
        <v>569</v>
      </c>
      <c r="V286" s="17" t="s">
        <v>1283</v>
      </c>
      <c r="W286" s="5"/>
      <c r="X286" s="17" t="s">
        <v>1284</v>
      </c>
      <c r="Y286" s="5" t="s">
        <v>1005</v>
      </c>
      <c r="Z286" s="21" t="s">
        <v>1279</v>
      </c>
      <c r="AA286" s="22" t="s">
        <v>445</v>
      </c>
      <c r="AC286" s="22"/>
    </row>
    <row r="287" spans="1:29" s="1" customFormat="1" ht="49.5" x14ac:dyDescent="0.25">
      <c r="A287" s="13">
        <f t="shared" si="4"/>
        <v>412302</v>
      </c>
      <c r="B287" s="14">
        <v>4123</v>
      </c>
      <c r="C287" s="1" t="s">
        <v>729</v>
      </c>
      <c r="D287" s="15" t="s">
        <v>1280</v>
      </c>
      <c r="E287" s="3">
        <v>2</v>
      </c>
      <c r="F287" s="5" t="s">
        <v>396</v>
      </c>
      <c r="G287" s="3">
        <v>6</v>
      </c>
      <c r="K287" s="1">
        <v>4111</v>
      </c>
      <c r="L287" s="1">
        <v>5400</v>
      </c>
      <c r="M287" s="1">
        <v>2650</v>
      </c>
      <c r="N287" s="1" t="s">
        <v>1008</v>
      </c>
      <c r="O287" s="1">
        <v>100</v>
      </c>
      <c r="P287" s="1" t="s">
        <v>398</v>
      </c>
      <c r="Q287" s="1">
        <v>10</v>
      </c>
      <c r="R287" s="1">
        <v>1064</v>
      </c>
      <c r="S287" s="16">
        <v>4.0000000000000001E-3</v>
      </c>
      <c r="U287" s="1" t="s">
        <v>569</v>
      </c>
      <c r="V287" s="17" t="s">
        <v>1283</v>
      </c>
      <c r="W287" s="5"/>
      <c r="X287" s="17" t="s">
        <v>1284</v>
      </c>
      <c r="Y287" s="5" t="s">
        <v>1005</v>
      </c>
      <c r="Z287" s="21" t="s">
        <v>1279</v>
      </c>
      <c r="AA287" s="22" t="s">
        <v>445</v>
      </c>
      <c r="AC287" s="22"/>
    </row>
    <row r="288" spans="1:29" s="1" customFormat="1" ht="49.5" x14ac:dyDescent="0.25">
      <c r="A288" s="13">
        <f t="shared" si="4"/>
        <v>412303</v>
      </c>
      <c r="B288" s="14">
        <v>4123</v>
      </c>
      <c r="C288" s="1" t="s">
        <v>729</v>
      </c>
      <c r="D288" s="15" t="s">
        <v>1280</v>
      </c>
      <c r="E288" s="3">
        <v>3</v>
      </c>
      <c r="F288" s="5" t="s">
        <v>396</v>
      </c>
      <c r="G288" s="3">
        <v>7</v>
      </c>
      <c r="K288" s="1">
        <v>4111</v>
      </c>
      <c r="L288" s="1">
        <v>5400</v>
      </c>
      <c r="M288" s="1">
        <v>2650</v>
      </c>
      <c r="N288" s="1" t="s">
        <v>1008</v>
      </c>
      <c r="O288" s="1">
        <v>100</v>
      </c>
      <c r="P288" s="1" t="s">
        <v>398</v>
      </c>
      <c r="Q288" s="1">
        <v>10</v>
      </c>
      <c r="R288" s="1">
        <v>1064</v>
      </c>
      <c r="S288" s="16">
        <v>4.0000000000000001E-3</v>
      </c>
      <c r="U288" s="1" t="s">
        <v>569</v>
      </c>
      <c r="V288" s="17" t="s">
        <v>1283</v>
      </c>
      <c r="W288" s="5"/>
      <c r="X288" s="17" t="s">
        <v>1284</v>
      </c>
      <c r="Y288" s="5" t="s">
        <v>1005</v>
      </c>
      <c r="Z288" s="21" t="s">
        <v>1279</v>
      </c>
      <c r="AA288" s="22" t="s">
        <v>445</v>
      </c>
      <c r="AC288" s="22"/>
    </row>
    <row r="289" spans="1:29" s="1" customFormat="1" ht="49.5" x14ac:dyDescent="0.25">
      <c r="A289" s="13">
        <f t="shared" si="4"/>
        <v>412304</v>
      </c>
      <c r="B289" s="14">
        <v>4123</v>
      </c>
      <c r="C289" s="1" t="s">
        <v>729</v>
      </c>
      <c r="D289" s="15" t="s">
        <v>1280</v>
      </c>
      <c r="E289" s="3">
        <v>4</v>
      </c>
      <c r="F289" s="5" t="s">
        <v>396</v>
      </c>
      <c r="G289" s="3">
        <v>8</v>
      </c>
      <c r="K289" s="1">
        <v>4111</v>
      </c>
      <c r="L289" s="1">
        <v>5400</v>
      </c>
      <c r="M289" s="1">
        <v>2650</v>
      </c>
      <c r="N289" s="1" t="s">
        <v>1008</v>
      </c>
      <c r="O289" s="1">
        <v>100</v>
      </c>
      <c r="P289" s="1" t="s">
        <v>398</v>
      </c>
      <c r="Q289" s="1">
        <v>10</v>
      </c>
      <c r="R289" s="1">
        <v>1064</v>
      </c>
      <c r="S289" s="16">
        <v>4.0000000000000001E-3</v>
      </c>
      <c r="U289" s="1" t="s">
        <v>569</v>
      </c>
      <c r="V289" s="17" t="s">
        <v>1283</v>
      </c>
      <c r="W289" s="5"/>
      <c r="X289" s="17" t="s">
        <v>1284</v>
      </c>
      <c r="Y289" s="5" t="s">
        <v>1005</v>
      </c>
      <c r="Z289" s="21" t="s">
        <v>1279</v>
      </c>
      <c r="AA289" s="22" t="s">
        <v>445</v>
      </c>
      <c r="AC289" s="22"/>
    </row>
    <row r="290" spans="1:29" s="1" customFormat="1" ht="49.5" x14ac:dyDescent="0.25">
      <c r="A290" s="13">
        <f t="shared" si="4"/>
        <v>412305</v>
      </c>
      <c r="B290" s="14">
        <v>4123</v>
      </c>
      <c r="C290" s="1" t="s">
        <v>729</v>
      </c>
      <c r="D290" s="15" t="s">
        <v>1280</v>
      </c>
      <c r="E290" s="3">
        <v>5</v>
      </c>
      <c r="F290" s="5" t="s">
        <v>396</v>
      </c>
      <c r="G290" s="3">
        <v>9</v>
      </c>
      <c r="K290" s="1">
        <v>4111</v>
      </c>
      <c r="L290" s="1">
        <v>5400</v>
      </c>
      <c r="M290" s="1">
        <v>2650</v>
      </c>
      <c r="N290" s="1" t="s">
        <v>1008</v>
      </c>
      <c r="O290" s="1">
        <v>100</v>
      </c>
      <c r="P290" s="1" t="s">
        <v>398</v>
      </c>
      <c r="Q290" s="1">
        <v>10</v>
      </c>
      <c r="R290" s="1">
        <v>1064</v>
      </c>
      <c r="S290" s="16">
        <v>4.0000000000000001E-3</v>
      </c>
      <c r="U290" s="1" t="s">
        <v>569</v>
      </c>
      <c r="V290" s="17" t="s">
        <v>1283</v>
      </c>
      <c r="W290" s="5"/>
      <c r="X290" s="17" t="s">
        <v>1284</v>
      </c>
      <c r="Y290" s="5" t="s">
        <v>1005</v>
      </c>
      <c r="Z290" s="21" t="s">
        <v>1279</v>
      </c>
      <c r="AA290" s="22" t="s">
        <v>445</v>
      </c>
      <c r="AC290" s="22"/>
    </row>
    <row r="291" spans="1:29" s="1" customFormat="1" ht="49.5" x14ac:dyDescent="0.25">
      <c r="A291" s="13">
        <f t="shared" si="4"/>
        <v>413101</v>
      </c>
      <c r="B291" s="14">
        <v>4131</v>
      </c>
      <c r="C291" s="1" t="s">
        <v>729</v>
      </c>
      <c r="D291" s="15" t="s">
        <v>1285</v>
      </c>
      <c r="E291" s="3">
        <v>1</v>
      </c>
      <c r="F291" s="5" t="s">
        <v>396</v>
      </c>
      <c r="G291" s="3">
        <v>10</v>
      </c>
      <c r="K291" s="1">
        <v>4121</v>
      </c>
      <c r="L291" s="1">
        <v>7200</v>
      </c>
      <c r="M291" s="1">
        <v>2750</v>
      </c>
      <c r="N291" s="1" t="s">
        <v>1015</v>
      </c>
      <c r="O291" s="1">
        <v>100</v>
      </c>
      <c r="P291" s="1" t="s">
        <v>398</v>
      </c>
      <c r="Q291" s="1">
        <v>10</v>
      </c>
      <c r="R291" s="1">
        <v>1091</v>
      </c>
      <c r="S291" s="16">
        <v>500</v>
      </c>
      <c r="U291" s="1" t="s">
        <v>1286</v>
      </c>
      <c r="V291" s="17" t="s">
        <v>1287</v>
      </c>
      <c r="W291" s="5"/>
      <c r="X291" s="17" t="s">
        <v>1288</v>
      </c>
      <c r="Y291" s="5" t="s">
        <v>1005</v>
      </c>
      <c r="Z291" s="21" t="s">
        <v>1279</v>
      </c>
      <c r="AA291" s="22" t="s">
        <v>453</v>
      </c>
      <c r="AC291" s="22"/>
    </row>
    <row r="292" spans="1:29" s="1" customFormat="1" ht="49.5" x14ac:dyDescent="0.25">
      <c r="A292" s="13">
        <f t="shared" si="4"/>
        <v>413102</v>
      </c>
      <c r="B292" s="14">
        <v>4131</v>
      </c>
      <c r="C292" s="1" t="s">
        <v>729</v>
      </c>
      <c r="D292" s="15" t="s">
        <v>1285</v>
      </c>
      <c r="E292" s="3">
        <v>2</v>
      </c>
      <c r="F292" s="5" t="s">
        <v>396</v>
      </c>
      <c r="G292" s="3">
        <v>11</v>
      </c>
      <c r="K292" s="1">
        <v>4121</v>
      </c>
      <c r="L292" s="1">
        <v>7200</v>
      </c>
      <c r="M292" s="1">
        <v>2750</v>
      </c>
      <c r="N292" s="1" t="s">
        <v>1015</v>
      </c>
      <c r="O292" s="1">
        <v>100</v>
      </c>
      <c r="P292" s="1" t="s">
        <v>398</v>
      </c>
      <c r="Q292" s="1">
        <v>10</v>
      </c>
      <c r="R292" s="1">
        <v>1091</v>
      </c>
      <c r="S292" s="16">
        <v>500</v>
      </c>
      <c r="U292" s="1" t="s">
        <v>1286</v>
      </c>
      <c r="V292" s="17" t="s">
        <v>1287</v>
      </c>
      <c r="W292" s="5"/>
      <c r="X292" s="17" t="s">
        <v>1288</v>
      </c>
      <c r="Y292" s="5" t="s">
        <v>1005</v>
      </c>
      <c r="Z292" s="21" t="s">
        <v>1279</v>
      </c>
      <c r="AA292" s="22" t="s">
        <v>453</v>
      </c>
      <c r="AC292" s="22"/>
    </row>
    <row r="293" spans="1:29" s="1" customFormat="1" ht="49.5" x14ac:dyDescent="0.25">
      <c r="A293" s="13">
        <f t="shared" si="4"/>
        <v>413103</v>
      </c>
      <c r="B293" s="14">
        <v>4131</v>
      </c>
      <c r="C293" s="1" t="s">
        <v>729</v>
      </c>
      <c r="D293" s="15" t="s">
        <v>1285</v>
      </c>
      <c r="E293" s="3">
        <v>3</v>
      </c>
      <c r="F293" s="5" t="s">
        <v>396</v>
      </c>
      <c r="G293" s="3">
        <v>13</v>
      </c>
      <c r="K293" s="1">
        <v>4121</v>
      </c>
      <c r="L293" s="1">
        <v>7200</v>
      </c>
      <c r="M293" s="1">
        <v>2750</v>
      </c>
      <c r="N293" s="1" t="s">
        <v>1015</v>
      </c>
      <c r="O293" s="1">
        <v>100</v>
      </c>
      <c r="P293" s="1" t="s">
        <v>398</v>
      </c>
      <c r="Q293" s="1">
        <v>10</v>
      </c>
      <c r="R293" s="1">
        <v>1091</v>
      </c>
      <c r="S293" s="16">
        <v>500</v>
      </c>
      <c r="U293" s="1" t="s">
        <v>1286</v>
      </c>
      <c r="V293" s="17" t="s">
        <v>1287</v>
      </c>
      <c r="W293" s="5"/>
      <c r="X293" s="17" t="s">
        <v>1288</v>
      </c>
      <c r="Y293" s="5" t="s">
        <v>1005</v>
      </c>
      <c r="Z293" s="21" t="s">
        <v>1279</v>
      </c>
      <c r="AA293" s="22" t="s">
        <v>453</v>
      </c>
      <c r="AC293" s="22"/>
    </row>
    <row r="294" spans="1:29" s="1" customFormat="1" ht="49.5" x14ac:dyDescent="0.25">
      <c r="A294" s="13">
        <f t="shared" si="4"/>
        <v>413201</v>
      </c>
      <c r="B294" s="14">
        <v>4132</v>
      </c>
      <c r="C294" s="1" t="s">
        <v>729</v>
      </c>
      <c r="D294" s="15" t="s">
        <v>1289</v>
      </c>
      <c r="E294" s="3">
        <v>1</v>
      </c>
      <c r="F294" s="5" t="s">
        <v>396</v>
      </c>
      <c r="G294" s="3">
        <v>10</v>
      </c>
      <c r="K294" s="1">
        <v>4121</v>
      </c>
      <c r="L294" s="1">
        <v>7200</v>
      </c>
      <c r="M294" s="1">
        <v>2750</v>
      </c>
      <c r="N294" s="1" t="s">
        <v>1015</v>
      </c>
      <c r="O294" s="1">
        <v>100</v>
      </c>
      <c r="P294" s="1" t="s">
        <v>398</v>
      </c>
      <c r="Q294" s="1">
        <v>10</v>
      </c>
      <c r="R294" s="1">
        <v>1054</v>
      </c>
      <c r="S294" s="18">
        <v>0.01</v>
      </c>
      <c r="U294" s="1" t="s">
        <v>1292</v>
      </c>
      <c r="V294" s="17" t="s">
        <v>1293</v>
      </c>
      <c r="W294" s="5"/>
      <c r="X294" s="17" t="s">
        <v>1294</v>
      </c>
      <c r="Y294" s="5" t="s">
        <v>1005</v>
      </c>
      <c r="Z294" s="21" t="s">
        <v>1279</v>
      </c>
      <c r="AA294" s="22" t="s">
        <v>457</v>
      </c>
      <c r="AC294" s="22"/>
    </row>
    <row r="295" spans="1:29" s="1" customFormat="1" ht="49.5" x14ac:dyDescent="0.25">
      <c r="A295" s="13">
        <f t="shared" si="4"/>
        <v>413202</v>
      </c>
      <c r="B295" s="14">
        <v>4132</v>
      </c>
      <c r="C295" s="1" t="s">
        <v>729</v>
      </c>
      <c r="D295" s="15" t="s">
        <v>1289</v>
      </c>
      <c r="E295" s="3">
        <v>2</v>
      </c>
      <c r="F295" s="5" t="s">
        <v>396</v>
      </c>
      <c r="G295" s="3">
        <v>11</v>
      </c>
      <c r="K295" s="1">
        <v>4121</v>
      </c>
      <c r="L295" s="1">
        <v>7200</v>
      </c>
      <c r="M295" s="1">
        <v>2750</v>
      </c>
      <c r="N295" s="1" t="s">
        <v>1015</v>
      </c>
      <c r="O295" s="1">
        <v>100</v>
      </c>
      <c r="P295" s="1" t="s">
        <v>398</v>
      </c>
      <c r="Q295" s="1">
        <v>10</v>
      </c>
      <c r="R295" s="1">
        <v>1054</v>
      </c>
      <c r="S295" s="18">
        <v>0.01</v>
      </c>
      <c r="U295" s="1" t="s">
        <v>1292</v>
      </c>
      <c r="V295" s="17" t="s">
        <v>1293</v>
      </c>
      <c r="W295" s="5"/>
      <c r="X295" s="17" t="s">
        <v>1294</v>
      </c>
      <c r="Y295" s="5" t="s">
        <v>1005</v>
      </c>
      <c r="Z295" s="21" t="s">
        <v>1279</v>
      </c>
      <c r="AA295" s="22" t="s">
        <v>457</v>
      </c>
      <c r="AC295" s="22"/>
    </row>
    <row r="296" spans="1:29" s="1" customFormat="1" ht="49.5" x14ac:dyDescent="0.25">
      <c r="A296" s="13">
        <f t="shared" si="4"/>
        <v>413203</v>
      </c>
      <c r="B296" s="14">
        <v>4132</v>
      </c>
      <c r="C296" s="1" t="s">
        <v>729</v>
      </c>
      <c r="D296" s="15" t="s">
        <v>1289</v>
      </c>
      <c r="E296" s="3">
        <v>3</v>
      </c>
      <c r="F296" s="5" t="s">
        <v>396</v>
      </c>
      <c r="G296" s="3">
        <v>13</v>
      </c>
      <c r="K296" s="1">
        <v>4121</v>
      </c>
      <c r="L296" s="1">
        <v>7200</v>
      </c>
      <c r="M296" s="1">
        <v>2750</v>
      </c>
      <c r="N296" s="1" t="s">
        <v>1015</v>
      </c>
      <c r="O296" s="1">
        <v>100</v>
      </c>
      <c r="P296" s="1" t="s">
        <v>398</v>
      </c>
      <c r="Q296" s="1">
        <v>10</v>
      </c>
      <c r="R296" s="1">
        <v>1054</v>
      </c>
      <c r="S296" s="18">
        <v>0.01</v>
      </c>
      <c r="U296" s="1" t="s">
        <v>1292</v>
      </c>
      <c r="V296" s="17" t="s">
        <v>1293</v>
      </c>
      <c r="W296" s="5"/>
      <c r="X296" s="17" t="s">
        <v>1294</v>
      </c>
      <c r="Y296" s="5" t="s">
        <v>1005</v>
      </c>
      <c r="Z296" s="21" t="s">
        <v>1279</v>
      </c>
      <c r="AA296" s="22" t="s">
        <v>457</v>
      </c>
      <c r="AC296" s="22"/>
    </row>
    <row r="297" spans="1:29" s="1" customFormat="1" ht="49.5" x14ac:dyDescent="0.25">
      <c r="A297" s="13">
        <f t="shared" si="4"/>
        <v>413301</v>
      </c>
      <c r="B297" s="14">
        <v>4133</v>
      </c>
      <c r="C297" s="1" t="s">
        <v>729</v>
      </c>
      <c r="D297" s="15" t="s">
        <v>1022</v>
      </c>
      <c r="E297" s="3">
        <v>1</v>
      </c>
      <c r="F297" s="5" t="s">
        <v>396</v>
      </c>
      <c r="G297" s="3">
        <v>10</v>
      </c>
      <c r="K297" s="1">
        <v>4122</v>
      </c>
      <c r="L297" s="1">
        <v>7200</v>
      </c>
      <c r="M297" s="1">
        <v>2750</v>
      </c>
      <c r="N297" s="1" t="s">
        <v>1015</v>
      </c>
      <c r="O297" s="1">
        <v>100</v>
      </c>
      <c r="P297" s="1" t="s">
        <v>398</v>
      </c>
      <c r="Q297" s="1">
        <v>10</v>
      </c>
      <c r="S297" s="16"/>
      <c r="U297" s="1" t="s">
        <v>1365</v>
      </c>
      <c r="V297" s="17" t="s">
        <v>1024</v>
      </c>
      <c r="W297" s="5"/>
      <c r="X297" s="17"/>
      <c r="Y297" s="5" t="s">
        <v>1005</v>
      </c>
      <c r="Z297" s="21" t="s">
        <v>1025</v>
      </c>
      <c r="AA297" s="22" t="s">
        <v>1026</v>
      </c>
      <c r="AC297" s="22"/>
    </row>
    <row r="298" spans="1:29" s="1" customFormat="1" ht="49.5" x14ac:dyDescent="0.25">
      <c r="A298" s="13">
        <f t="shared" si="4"/>
        <v>413401</v>
      </c>
      <c r="B298" s="14">
        <v>4134</v>
      </c>
      <c r="C298" s="1" t="s">
        <v>729</v>
      </c>
      <c r="D298" s="15" t="s">
        <v>1296</v>
      </c>
      <c r="E298" s="3">
        <v>1</v>
      </c>
      <c r="F298" s="5" t="s">
        <v>396</v>
      </c>
      <c r="G298" s="3">
        <v>10</v>
      </c>
      <c r="K298" s="1">
        <v>4123</v>
      </c>
      <c r="L298" s="1">
        <v>7200</v>
      </c>
      <c r="M298" s="1">
        <v>2750</v>
      </c>
      <c r="N298" s="1" t="s">
        <v>1015</v>
      </c>
      <c r="O298" s="1">
        <v>100</v>
      </c>
      <c r="P298" s="1" t="s">
        <v>398</v>
      </c>
      <c r="Q298" s="1">
        <v>10</v>
      </c>
      <c r="R298" s="1">
        <v>1313</v>
      </c>
      <c r="S298" s="18">
        <v>0.01</v>
      </c>
      <c r="U298" s="1" t="s">
        <v>1292</v>
      </c>
      <c r="V298" s="17" t="s">
        <v>1297</v>
      </c>
      <c r="W298" s="5"/>
      <c r="X298" s="17" t="s">
        <v>1298</v>
      </c>
      <c r="Y298" s="5" t="s">
        <v>1005</v>
      </c>
      <c r="Z298" s="21" t="s">
        <v>1279</v>
      </c>
      <c r="AA298" s="22" t="s">
        <v>462</v>
      </c>
      <c r="AC298" s="22"/>
    </row>
    <row r="299" spans="1:29" s="1" customFormat="1" ht="49.5" x14ac:dyDescent="0.25">
      <c r="A299" s="13">
        <f t="shared" si="4"/>
        <v>413402</v>
      </c>
      <c r="B299" s="14">
        <v>4134</v>
      </c>
      <c r="C299" s="1" t="s">
        <v>729</v>
      </c>
      <c r="D299" s="15" t="s">
        <v>1296</v>
      </c>
      <c r="E299" s="3">
        <v>2</v>
      </c>
      <c r="F299" s="5" t="s">
        <v>396</v>
      </c>
      <c r="G299" s="3">
        <v>11</v>
      </c>
      <c r="K299" s="1">
        <v>4123</v>
      </c>
      <c r="L299" s="1">
        <v>7200</v>
      </c>
      <c r="M299" s="1">
        <v>2750</v>
      </c>
      <c r="N299" s="1" t="s">
        <v>1015</v>
      </c>
      <c r="O299" s="1">
        <v>100</v>
      </c>
      <c r="P299" s="1" t="s">
        <v>398</v>
      </c>
      <c r="Q299" s="1">
        <v>10</v>
      </c>
      <c r="R299" s="1">
        <v>1313</v>
      </c>
      <c r="S299" s="18">
        <v>0.01</v>
      </c>
      <c r="U299" s="1" t="s">
        <v>1292</v>
      </c>
      <c r="V299" s="17" t="s">
        <v>1297</v>
      </c>
      <c r="W299" s="5"/>
      <c r="X299" s="17" t="s">
        <v>1298</v>
      </c>
      <c r="Y299" s="5" t="s">
        <v>1005</v>
      </c>
      <c r="Z299" s="21" t="s">
        <v>1279</v>
      </c>
      <c r="AA299" s="22" t="s">
        <v>462</v>
      </c>
      <c r="AC299" s="22"/>
    </row>
    <row r="300" spans="1:29" s="1" customFormat="1" ht="49.5" x14ac:dyDescent="0.25">
      <c r="A300" s="13">
        <f t="shared" si="4"/>
        <v>413403</v>
      </c>
      <c r="B300" s="14">
        <v>4134</v>
      </c>
      <c r="C300" s="1" t="s">
        <v>729</v>
      </c>
      <c r="D300" s="15" t="s">
        <v>1296</v>
      </c>
      <c r="E300" s="3">
        <v>3</v>
      </c>
      <c r="F300" s="5" t="s">
        <v>396</v>
      </c>
      <c r="G300" s="3">
        <v>13</v>
      </c>
      <c r="K300" s="1">
        <v>4123</v>
      </c>
      <c r="L300" s="1">
        <v>7200</v>
      </c>
      <c r="M300" s="1">
        <v>2750</v>
      </c>
      <c r="N300" s="1" t="s">
        <v>1015</v>
      </c>
      <c r="O300" s="1">
        <v>100</v>
      </c>
      <c r="P300" s="1" t="s">
        <v>398</v>
      </c>
      <c r="Q300" s="1">
        <v>10</v>
      </c>
      <c r="R300" s="1">
        <v>1313</v>
      </c>
      <c r="S300" s="18">
        <v>0.01</v>
      </c>
      <c r="U300" s="1" t="s">
        <v>1292</v>
      </c>
      <c r="V300" s="17" t="s">
        <v>1297</v>
      </c>
      <c r="W300" s="5"/>
      <c r="X300" s="17" t="s">
        <v>1298</v>
      </c>
      <c r="Y300" s="5" t="s">
        <v>1005</v>
      </c>
      <c r="Z300" s="21" t="s">
        <v>1279</v>
      </c>
      <c r="AA300" s="22" t="s">
        <v>462</v>
      </c>
      <c r="AC300" s="22"/>
    </row>
    <row r="301" spans="1:29" s="1" customFormat="1" ht="49.5" x14ac:dyDescent="0.25">
      <c r="A301" s="13">
        <f t="shared" si="4"/>
        <v>413501</v>
      </c>
      <c r="B301" s="14">
        <v>4135</v>
      </c>
      <c r="C301" s="1" t="s">
        <v>729</v>
      </c>
      <c r="D301" s="15" t="s">
        <v>1299</v>
      </c>
      <c r="E301" s="3">
        <v>1</v>
      </c>
      <c r="F301" s="5" t="s">
        <v>396</v>
      </c>
      <c r="G301" s="3">
        <v>10</v>
      </c>
      <c r="K301" s="1">
        <v>4123</v>
      </c>
      <c r="L301" s="1">
        <v>7200</v>
      </c>
      <c r="M301" s="1">
        <v>2750</v>
      </c>
      <c r="N301" s="1" t="s">
        <v>1015</v>
      </c>
      <c r="O301" s="1">
        <v>100</v>
      </c>
      <c r="P301" s="1" t="s">
        <v>398</v>
      </c>
      <c r="Q301" s="1">
        <v>10</v>
      </c>
      <c r="R301" s="1">
        <v>1318</v>
      </c>
      <c r="S301" s="18">
        <v>0.01</v>
      </c>
      <c r="U301" s="19" t="s">
        <v>561</v>
      </c>
      <c r="V301" s="17" t="s">
        <v>1300</v>
      </c>
      <c r="X301" s="17" t="s">
        <v>1301</v>
      </c>
      <c r="Y301" s="5" t="s">
        <v>1005</v>
      </c>
      <c r="Z301" s="21" t="s">
        <v>1276</v>
      </c>
      <c r="AA301" s="22" t="s">
        <v>467</v>
      </c>
      <c r="AC301" s="22"/>
    </row>
    <row r="302" spans="1:29" s="1" customFormat="1" ht="49.5" x14ac:dyDescent="0.25">
      <c r="A302" s="13">
        <f t="shared" si="4"/>
        <v>413502</v>
      </c>
      <c r="B302" s="14">
        <v>4135</v>
      </c>
      <c r="C302" s="1" t="s">
        <v>729</v>
      </c>
      <c r="D302" s="15" t="s">
        <v>1299</v>
      </c>
      <c r="E302" s="3">
        <v>2</v>
      </c>
      <c r="F302" s="5" t="s">
        <v>396</v>
      </c>
      <c r="G302" s="3">
        <v>11</v>
      </c>
      <c r="K302" s="1">
        <v>4123</v>
      </c>
      <c r="L302" s="1">
        <v>7200</v>
      </c>
      <c r="M302" s="1">
        <v>2750</v>
      </c>
      <c r="N302" s="1" t="s">
        <v>1015</v>
      </c>
      <c r="O302" s="1">
        <v>100</v>
      </c>
      <c r="P302" s="1" t="s">
        <v>398</v>
      </c>
      <c r="Q302" s="1">
        <v>10</v>
      </c>
      <c r="R302" s="1">
        <v>1318</v>
      </c>
      <c r="S302" s="18">
        <v>0.01</v>
      </c>
      <c r="U302" s="19" t="s">
        <v>561</v>
      </c>
      <c r="V302" s="17" t="s">
        <v>1300</v>
      </c>
      <c r="X302" s="17" t="s">
        <v>1301</v>
      </c>
      <c r="Y302" s="5" t="s">
        <v>1005</v>
      </c>
      <c r="Z302" s="21" t="s">
        <v>1276</v>
      </c>
      <c r="AA302" s="22" t="s">
        <v>467</v>
      </c>
      <c r="AC302" s="22"/>
    </row>
    <row r="303" spans="1:29" s="1" customFormat="1" ht="49.5" x14ac:dyDescent="0.25">
      <c r="A303" s="13">
        <f t="shared" si="4"/>
        <v>413503</v>
      </c>
      <c r="B303" s="14">
        <v>4135</v>
      </c>
      <c r="C303" s="1" t="s">
        <v>729</v>
      </c>
      <c r="D303" s="15" t="s">
        <v>1299</v>
      </c>
      <c r="E303" s="3">
        <v>3</v>
      </c>
      <c r="F303" s="5" t="s">
        <v>396</v>
      </c>
      <c r="G303" s="3">
        <v>13</v>
      </c>
      <c r="K303" s="1">
        <v>4123</v>
      </c>
      <c r="L303" s="1">
        <v>7200</v>
      </c>
      <c r="M303" s="1">
        <v>2750</v>
      </c>
      <c r="N303" s="1" t="s">
        <v>1015</v>
      </c>
      <c r="O303" s="1">
        <v>100</v>
      </c>
      <c r="P303" s="1" t="s">
        <v>398</v>
      </c>
      <c r="Q303" s="1">
        <v>10</v>
      </c>
      <c r="R303" s="1">
        <v>1318</v>
      </c>
      <c r="S303" s="18">
        <v>0.01</v>
      </c>
      <c r="U303" s="19" t="s">
        <v>561</v>
      </c>
      <c r="V303" s="17" t="s">
        <v>1300</v>
      </c>
      <c r="X303" s="17" t="s">
        <v>1301</v>
      </c>
      <c r="Y303" s="5" t="s">
        <v>1005</v>
      </c>
      <c r="Z303" s="21" t="s">
        <v>1276</v>
      </c>
      <c r="AA303" s="22" t="s">
        <v>467</v>
      </c>
      <c r="AC303" s="22"/>
    </row>
    <row r="304" spans="1:29" s="1" customFormat="1" ht="49.5" x14ac:dyDescent="0.25">
      <c r="A304" s="13">
        <f t="shared" si="4"/>
        <v>414101</v>
      </c>
      <c r="B304" s="14">
        <v>4141</v>
      </c>
      <c r="C304" s="1" t="s">
        <v>729</v>
      </c>
      <c r="D304" s="15" t="s">
        <v>1277</v>
      </c>
      <c r="E304" s="3">
        <v>1</v>
      </c>
      <c r="F304" s="5" t="s">
        <v>396</v>
      </c>
      <c r="G304" s="3">
        <v>15</v>
      </c>
      <c r="K304" s="1">
        <v>4131</v>
      </c>
      <c r="L304" s="1">
        <v>9000</v>
      </c>
      <c r="M304" s="1">
        <v>2900</v>
      </c>
      <c r="N304" s="1" t="s">
        <v>1032</v>
      </c>
      <c r="O304" s="1">
        <v>100</v>
      </c>
      <c r="P304" s="1" t="s">
        <v>398</v>
      </c>
      <c r="Q304" s="1">
        <v>10</v>
      </c>
      <c r="R304" s="1">
        <v>1059</v>
      </c>
      <c r="S304" s="16">
        <v>0.02</v>
      </c>
      <c r="U304" s="1" t="s">
        <v>1278</v>
      </c>
      <c r="V304" s="17" t="s">
        <v>563</v>
      </c>
      <c r="W304" s="5"/>
      <c r="X304" s="17" t="s">
        <v>565</v>
      </c>
      <c r="Y304" s="5" t="s">
        <v>1005</v>
      </c>
      <c r="Z304" s="21" t="s">
        <v>1279</v>
      </c>
      <c r="AA304" s="22" t="s">
        <v>471</v>
      </c>
      <c r="AC304" s="22"/>
    </row>
    <row r="305" spans="1:29" s="1" customFormat="1" ht="49.5" x14ac:dyDescent="0.25">
      <c r="A305" s="13">
        <f t="shared" si="4"/>
        <v>414201</v>
      </c>
      <c r="B305" s="14">
        <v>4142</v>
      </c>
      <c r="C305" s="1" t="s">
        <v>729</v>
      </c>
      <c r="D305" s="15" t="s">
        <v>1285</v>
      </c>
      <c r="E305" s="3">
        <v>1</v>
      </c>
      <c r="F305" s="5" t="s">
        <v>396</v>
      </c>
      <c r="G305" s="3">
        <v>15</v>
      </c>
      <c r="K305" s="1">
        <v>4131</v>
      </c>
      <c r="L305" s="1">
        <v>9000</v>
      </c>
      <c r="M305" s="1">
        <v>2900</v>
      </c>
      <c r="N305" s="1" t="s">
        <v>1032</v>
      </c>
      <c r="O305" s="1">
        <v>100</v>
      </c>
      <c r="P305" s="1" t="s">
        <v>398</v>
      </c>
      <c r="Q305" s="1">
        <v>10</v>
      </c>
      <c r="R305" s="1">
        <v>1091</v>
      </c>
      <c r="S305" s="16">
        <v>1000</v>
      </c>
      <c r="U305" s="1" t="s">
        <v>1286</v>
      </c>
      <c r="V305" s="17" t="s">
        <v>1287</v>
      </c>
      <c r="W305" s="5"/>
      <c r="X305" s="17" t="s">
        <v>1288</v>
      </c>
      <c r="Y305" s="5" t="s">
        <v>1005</v>
      </c>
      <c r="Z305" s="21" t="s">
        <v>1279</v>
      </c>
      <c r="AA305" s="22" t="s">
        <v>472</v>
      </c>
      <c r="AC305" s="22"/>
    </row>
    <row r="306" spans="1:29" s="1" customFormat="1" ht="49.5" x14ac:dyDescent="0.25">
      <c r="A306" s="13">
        <f t="shared" si="4"/>
        <v>414301</v>
      </c>
      <c r="B306" s="14">
        <v>4143</v>
      </c>
      <c r="C306" s="1" t="s">
        <v>729</v>
      </c>
      <c r="D306" s="15" t="s">
        <v>1289</v>
      </c>
      <c r="E306" s="3">
        <v>1</v>
      </c>
      <c r="F306" s="5" t="s">
        <v>396</v>
      </c>
      <c r="G306" s="3">
        <v>18</v>
      </c>
      <c r="K306" s="1">
        <v>4132</v>
      </c>
      <c r="L306" s="1">
        <v>9000</v>
      </c>
      <c r="M306" s="1">
        <v>3000</v>
      </c>
      <c r="N306" s="1" t="s">
        <v>1033</v>
      </c>
      <c r="O306" s="1">
        <v>100</v>
      </c>
      <c r="P306" s="1" t="s">
        <v>398</v>
      </c>
      <c r="Q306" s="1">
        <v>10</v>
      </c>
      <c r="R306" s="1">
        <v>1054</v>
      </c>
      <c r="S306" s="16">
        <v>0.02</v>
      </c>
      <c r="U306" s="1" t="s">
        <v>1292</v>
      </c>
      <c r="V306" s="17" t="s">
        <v>1293</v>
      </c>
      <c r="W306" s="5"/>
      <c r="X306" s="17" t="s">
        <v>1294</v>
      </c>
      <c r="Y306" s="5" t="s">
        <v>1005</v>
      </c>
      <c r="Z306" s="21" t="s">
        <v>1279</v>
      </c>
      <c r="AA306" s="22" t="s">
        <v>1034</v>
      </c>
      <c r="AC306" s="22"/>
    </row>
    <row r="307" spans="1:29" s="1" customFormat="1" ht="49.5" x14ac:dyDescent="0.25">
      <c r="A307" s="13">
        <f t="shared" si="4"/>
        <v>414401</v>
      </c>
      <c r="B307" s="14">
        <v>4144</v>
      </c>
      <c r="C307" s="1" t="s">
        <v>729</v>
      </c>
      <c r="D307" s="12" t="s">
        <v>1169</v>
      </c>
      <c r="E307" s="3">
        <v>1</v>
      </c>
      <c r="F307" s="5" t="s">
        <v>396</v>
      </c>
      <c r="G307" s="3">
        <v>20</v>
      </c>
      <c r="K307" s="1">
        <v>4133</v>
      </c>
      <c r="L307" s="1">
        <v>10800</v>
      </c>
      <c r="M307" s="1">
        <v>3150</v>
      </c>
      <c r="N307" s="1" t="s">
        <v>397</v>
      </c>
      <c r="O307" s="1">
        <v>100</v>
      </c>
      <c r="P307" s="1" t="s">
        <v>398</v>
      </c>
      <c r="Q307" s="1">
        <v>10</v>
      </c>
      <c r="R307" s="1" t="s">
        <v>1272</v>
      </c>
      <c r="S307" s="16" t="s">
        <v>1035</v>
      </c>
      <c r="U307" s="1" t="s">
        <v>1273</v>
      </c>
      <c r="V307" s="17" t="s">
        <v>1274</v>
      </c>
      <c r="W307" s="5"/>
      <c r="X307" s="1" t="s">
        <v>1275</v>
      </c>
      <c r="Y307" s="5" t="s">
        <v>1005</v>
      </c>
      <c r="Z307" s="21" t="s">
        <v>1276</v>
      </c>
      <c r="AA307" s="22" t="s">
        <v>1036</v>
      </c>
      <c r="AC307" s="22"/>
    </row>
    <row r="308" spans="1:29" s="1" customFormat="1" ht="49.5" x14ac:dyDescent="0.25">
      <c r="A308" s="13">
        <f t="shared" si="4"/>
        <v>414501</v>
      </c>
      <c r="B308" s="14">
        <v>4145</v>
      </c>
      <c r="C308" s="1" t="s">
        <v>729</v>
      </c>
      <c r="D308" s="15" t="s">
        <v>1296</v>
      </c>
      <c r="E308" s="3">
        <v>1</v>
      </c>
      <c r="F308" s="5" t="s">
        <v>396</v>
      </c>
      <c r="G308" s="3">
        <v>18</v>
      </c>
      <c r="K308" s="1">
        <v>4134</v>
      </c>
      <c r="L308" s="1">
        <v>9000</v>
      </c>
      <c r="M308" s="1">
        <v>3000</v>
      </c>
      <c r="N308" s="1" t="s">
        <v>1033</v>
      </c>
      <c r="O308" s="1">
        <v>100</v>
      </c>
      <c r="P308" s="1" t="s">
        <v>398</v>
      </c>
      <c r="Q308" s="1">
        <v>10</v>
      </c>
      <c r="R308" s="1">
        <v>1313</v>
      </c>
      <c r="S308" s="16">
        <v>0.02</v>
      </c>
      <c r="U308" s="1" t="s">
        <v>1292</v>
      </c>
      <c r="V308" s="17" t="s">
        <v>1297</v>
      </c>
      <c r="W308" s="5"/>
      <c r="X308" s="17" t="s">
        <v>1298</v>
      </c>
      <c r="Y308" s="5" t="s">
        <v>1005</v>
      </c>
      <c r="Z308" s="21" t="s">
        <v>1279</v>
      </c>
      <c r="AA308" s="22" t="s">
        <v>1037</v>
      </c>
      <c r="AC308" s="22"/>
    </row>
    <row r="309" spans="1:29" s="1" customFormat="1" ht="49.5" x14ac:dyDescent="0.25">
      <c r="A309" s="13">
        <f t="shared" si="4"/>
        <v>414601</v>
      </c>
      <c r="B309" s="14">
        <v>4146</v>
      </c>
      <c r="C309" s="1" t="s">
        <v>729</v>
      </c>
      <c r="D309" s="15" t="s">
        <v>1299</v>
      </c>
      <c r="E309" s="3">
        <v>1</v>
      </c>
      <c r="F309" s="5" t="s">
        <v>396</v>
      </c>
      <c r="G309" s="3">
        <v>15</v>
      </c>
      <c r="K309" s="1">
        <v>4135</v>
      </c>
      <c r="L309" s="1">
        <v>9000</v>
      </c>
      <c r="M309" s="1">
        <v>2900</v>
      </c>
      <c r="N309" s="1" t="s">
        <v>1032</v>
      </c>
      <c r="O309" s="1">
        <v>100</v>
      </c>
      <c r="P309" s="1" t="s">
        <v>398</v>
      </c>
      <c r="Q309" s="1">
        <v>10</v>
      </c>
      <c r="R309" s="1">
        <v>1318</v>
      </c>
      <c r="S309" s="16">
        <v>0.02</v>
      </c>
      <c r="U309" s="19" t="s">
        <v>561</v>
      </c>
      <c r="V309" s="17" t="s">
        <v>1300</v>
      </c>
      <c r="X309" s="17" t="s">
        <v>1301</v>
      </c>
      <c r="Y309" s="5" t="s">
        <v>1005</v>
      </c>
      <c r="Z309" s="21" t="s">
        <v>1276</v>
      </c>
      <c r="AA309" s="22" t="s">
        <v>1038</v>
      </c>
      <c r="AC309" s="22"/>
    </row>
    <row r="310" spans="1:29" s="1" customFormat="1" ht="49.5" x14ac:dyDescent="0.25">
      <c r="A310" s="13">
        <f t="shared" si="4"/>
        <v>414701</v>
      </c>
      <c r="B310" s="14">
        <v>4147</v>
      </c>
      <c r="C310" s="1" t="s">
        <v>729</v>
      </c>
      <c r="D310" s="15" t="s">
        <v>1280</v>
      </c>
      <c r="E310" s="3">
        <v>1</v>
      </c>
      <c r="F310" s="5" t="s">
        <v>396</v>
      </c>
      <c r="G310" s="3">
        <v>15</v>
      </c>
      <c r="K310" s="1">
        <v>4135</v>
      </c>
      <c r="L310" s="1">
        <v>9000</v>
      </c>
      <c r="M310" s="1">
        <v>2900</v>
      </c>
      <c r="N310" s="1" t="s">
        <v>1032</v>
      </c>
      <c r="O310" s="1">
        <v>100</v>
      </c>
      <c r="P310" s="1" t="s">
        <v>398</v>
      </c>
      <c r="Q310" s="1">
        <v>10</v>
      </c>
      <c r="R310" s="1">
        <v>1064</v>
      </c>
      <c r="S310" s="16">
        <v>1.4999999999999999E-2</v>
      </c>
      <c r="U310" s="1" t="s">
        <v>569</v>
      </c>
      <c r="V310" s="17" t="s">
        <v>1283</v>
      </c>
      <c r="W310" s="5"/>
      <c r="X310" s="17" t="s">
        <v>1284</v>
      </c>
      <c r="Y310" s="5" t="s">
        <v>1005</v>
      </c>
      <c r="Z310" s="21" t="s">
        <v>1279</v>
      </c>
      <c r="AA310" s="22" t="s">
        <v>1039</v>
      </c>
      <c r="AC310" s="22"/>
    </row>
    <row r="311" spans="1:29" s="1" customFormat="1" ht="49.5" x14ac:dyDescent="0.25">
      <c r="A311" s="13">
        <f t="shared" si="4"/>
        <v>421101</v>
      </c>
      <c r="B311" s="14">
        <v>4211</v>
      </c>
      <c r="C311" s="1" t="s">
        <v>729</v>
      </c>
      <c r="D311" s="12" t="s">
        <v>1191</v>
      </c>
      <c r="E311" s="3">
        <v>1</v>
      </c>
      <c r="F311" s="5" t="s">
        <v>708</v>
      </c>
      <c r="G311" s="3">
        <v>1</v>
      </c>
      <c r="K311" s="1">
        <v>4133</v>
      </c>
      <c r="L311" s="1">
        <v>3600</v>
      </c>
      <c r="M311" s="1">
        <v>6050</v>
      </c>
      <c r="N311" s="1" t="s">
        <v>999</v>
      </c>
      <c r="O311" s="1">
        <v>100</v>
      </c>
      <c r="P311" s="1" t="s">
        <v>398</v>
      </c>
      <c r="Q311" s="1">
        <v>10</v>
      </c>
      <c r="R311" s="1" t="s">
        <v>1192</v>
      </c>
      <c r="S311" s="16" t="s">
        <v>1042</v>
      </c>
      <c r="U311" s="19" t="s">
        <v>1193</v>
      </c>
      <c r="V311" s="17" t="s">
        <v>1194</v>
      </c>
      <c r="X311" s="17" t="s">
        <v>1195</v>
      </c>
      <c r="Y311" s="5" t="s">
        <v>1005</v>
      </c>
      <c r="Z311" s="21" t="s">
        <v>1196</v>
      </c>
      <c r="AA311" s="22" t="s">
        <v>1047</v>
      </c>
      <c r="AC311" s="22"/>
    </row>
    <row r="312" spans="1:29" s="1" customFormat="1" ht="49.5" x14ac:dyDescent="0.25">
      <c r="A312" s="13">
        <f t="shared" si="4"/>
        <v>422101</v>
      </c>
      <c r="B312" s="14">
        <v>4221</v>
      </c>
      <c r="C312" s="1" t="s">
        <v>729</v>
      </c>
      <c r="D312" s="12" t="s">
        <v>1197</v>
      </c>
      <c r="E312" s="3">
        <v>1</v>
      </c>
      <c r="F312" s="5" t="s">
        <v>708</v>
      </c>
      <c r="G312" s="3">
        <v>5</v>
      </c>
      <c r="K312" s="1">
        <v>4211</v>
      </c>
      <c r="L312" s="1">
        <v>5400</v>
      </c>
      <c r="M312" s="1">
        <v>6350</v>
      </c>
      <c r="N312" s="1" t="s">
        <v>1008</v>
      </c>
      <c r="O312" s="1">
        <v>100</v>
      </c>
      <c r="P312" s="1" t="s">
        <v>398</v>
      </c>
      <c r="Q312" s="1">
        <v>10</v>
      </c>
      <c r="R312" s="1">
        <v>20002</v>
      </c>
      <c r="S312" s="16">
        <v>0.01</v>
      </c>
      <c r="U312" s="19" t="s">
        <v>1197</v>
      </c>
      <c r="V312" s="17" t="s">
        <v>1198</v>
      </c>
      <c r="X312" s="17" t="s">
        <v>1199</v>
      </c>
      <c r="Y312" s="5" t="s">
        <v>1005</v>
      </c>
      <c r="Z312" s="21" t="s">
        <v>1200</v>
      </c>
      <c r="AA312" s="22" t="s">
        <v>1052</v>
      </c>
      <c r="AC312" s="22"/>
    </row>
    <row r="313" spans="1:29" s="1" customFormat="1" ht="49.5" x14ac:dyDescent="0.25">
      <c r="A313" s="13">
        <f t="shared" si="4"/>
        <v>422201</v>
      </c>
      <c r="B313" s="14">
        <v>4222</v>
      </c>
      <c r="C313" s="1" t="s">
        <v>729</v>
      </c>
      <c r="D313" s="12" t="s">
        <v>1201</v>
      </c>
      <c r="E313" s="3">
        <v>1</v>
      </c>
      <c r="F313" s="5" t="s">
        <v>708</v>
      </c>
      <c r="G313" s="3">
        <v>5</v>
      </c>
      <c r="K313" s="1">
        <v>4211</v>
      </c>
      <c r="L313" s="1">
        <v>5400</v>
      </c>
      <c r="M313" s="1">
        <v>6350</v>
      </c>
      <c r="N313" s="1" t="s">
        <v>1008</v>
      </c>
      <c r="O313" s="1">
        <v>100</v>
      </c>
      <c r="P313" s="1" t="s">
        <v>398</v>
      </c>
      <c r="Q313" s="1">
        <v>10</v>
      </c>
      <c r="R313" s="1">
        <v>20062</v>
      </c>
      <c r="S313" s="16">
        <v>5.0000000000000001E-3</v>
      </c>
      <c r="U313" s="19" t="s">
        <v>1201</v>
      </c>
      <c r="V313" s="17" t="s">
        <v>1202</v>
      </c>
      <c r="X313" s="17" t="s">
        <v>1203</v>
      </c>
      <c r="Y313" s="5" t="s">
        <v>1005</v>
      </c>
      <c r="Z313" s="21" t="s">
        <v>1196</v>
      </c>
      <c r="AA313" s="22" t="s">
        <v>1056</v>
      </c>
      <c r="AC313" s="22"/>
    </row>
    <row r="314" spans="1:29" s="1" customFormat="1" ht="49.5" x14ac:dyDescent="0.25">
      <c r="A314" s="13">
        <f t="shared" si="4"/>
        <v>422301</v>
      </c>
      <c r="B314" s="14">
        <v>4223</v>
      </c>
      <c r="C314" s="1" t="s">
        <v>729</v>
      </c>
      <c r="D314" s="12" t="s">
        <v>1204</v>
      </c>
      <c r="E314" s="3">
        <v>1</v>
      </c>
      <c r="F314" s="5" t="s">
        <v>708</v>
      </c>
      <c r="G314" s="3">
        <v>5</v>
      </c>
      <c r="K314" s="1">
        <v>4211</v>
      </c>
      <c r="L314" s="1">
        <v>5400</v>
      </c>
      <c r="M314" s="1">
        <v>6350</v>
      </c>
      <c r="N314" s="1" t="s">
        <v>1008</v>
      </c>
      <c r="O314" s="1">
        <v>100</v>
      </c>
      <c r="P314" s="1" t="s">
        <v>398</v>
      </c>
      <c r="Q314" s="1">
        <v>10</v>
      </c>
      <c r="R314" s="1">
        <v>20032</v>
      </c>
      <c r="S314" s="16">
        <v>0.01</v>
      </c>
      <c r="U314" s="19" t="s">
        <v>1204</v>
      </c>
      <c r="V314" s="17" t="s">
        <v>1205</v>
      </c>
      <c r="X314" s="17" t="s">
        <v>1206</v>
      </c>
      <c r="Y314" s="5" t="s">
        <v>1005</v>
      </c>
      <c r="Z314" s="21" t="s">
        <v>1207</v>
      </c>
      <c r="AA314" s="22" t="s">
        <v>1061</v>
      </c>
      <c r="AC314" s="22"/>
    </row>
    <row r="315" spans="1:29" s="1" customFormat="1" ht="49.5" x14ac:dyDescent="0.25">
      <c r="A315" s="13">
        <f t="shared" si="4"/>
        <v>423101</v>
      </c>
      <c r="B315" s="14">
        <v>4231</v>
      </c>
      <c r="C315" s="1" t="s">
        <v>729</v>
      </c>
      <c r="D315" s="12" t="s">
        <v>1208</v>
      </c>
      <c r="E315" s="3">
        <v>1</v>
      </c>
      <c r="F315" s="5" t="s">
        <v>708</v>
      </c>
      <c r="G315" s="3">
        <v>10</v>
      </c>
      <c r="K315" s="1">
        <v>4221</v>
      </c>
      <c r="L315" s="1">
        <v>7200</v>
      </c>
      <c r="M315" s="1">
        <v>6650</v>
      </c>
      <c r="N315" s="1" t="s">
        <v>1015</v>
      </c>
      <c r="O315" s="1">
        <v>100</v>
      </c>
      <c r="P315" s="1" t="s">
        <v>398</v>
      </c>
      <c r="Q315" s="1">
        <v>10</v>
      </c>
      <c r="R315" s="1">
        <v>20202</v>
      </c>
      <c r="S315" s="16">
        <v>0.01</v>
      </c>
      <c r="U315" s="1" t="s">
        <v>1208</v>
      </c>
      <c r="V315" s="17" t="s">
        <v>1209</v>
      </c>
      <c r="X315" s="17" t="s">
        <v>1210</v>
      </c>
      <c r="Y315" s="5" t="s">
        <v>1005</v>
      </c>
      <c r="Z315" s="21" t="s">
        <v>1200</v>
      </c>
      <c r="AA315" s="22" t="s">
        <v>1065</v>
      </c>
      <c r="AC315" s="22"/>
    </row>
    <row r="316" spans="1:29" s="1" customFormat="1" ht="49.5" x14ac:dyDescent="0.25">
      <c r="A316" s="13">
        <f t="shared" si="4"/>
        <v>423102</v>
      </c>
      <c r="B316" s="14">
        <v>4231</v>
      </c>
      <c r="C316" s="1" t="s">
        <v>729</v>
      </c>
      <c r="D316" s="12" t="s">
        <v>1208</v>
      </c>
      <c r="E316" s="3">
        <v>2</v>
      </c>
      <c r="F316" s="5" t="s">
        <v>708</v>
      </c>
      <c r="G316" s="3">
        <v>12</v>
      </c>
      <c r="K316" s="1">
        <v>4221</v>
      </c>
      <c r="L316" s="1">
        <v>7200</v>
      </c>
      <c r="M316" s="1">
        <v>6650</v>
      </c>
      <c r="N316" s="1" t="s">
        <v>1015</v>
      </c>
      <c r="O316" s="1">
        <v>100</v>
      </c>
      <c r="P316" s="1" t="s">
        <v>398</v>
      </c>
      <c r="Q316" s="1">
        <v>10</v>
      </c>
      <c r="R316" s="1">
        <v>20202</v>
      </c>
      <c r="S316" s="16">
        <v>0.01</v>
      </c>
      <c r="U316" s="1" t="s">
        <v>1208</v>
      </c>
      <c r="V316" s="17" t="s">
        <v>1209</v>
      </c>
      <c r="X316" s="17" t="s">
        <v>1210</v>
      </c>
      <c r="Y316" s="5" t="s">
        <v>1005</v>
      </c>
      <c r="Z316" s="21" t="s">
        <v>1200</v>
      </c>
      <c r="AA316" s="22" t="s">
        <v>1065</v>
      </c>
      <c r="AC316" s="22"/>
    </row>
    <row r="317" spans="1:29" s="1" customFormat="1" ht="49.5" x14ac:dyDescent="0.25">
      <c r="A317" s="13">
        <f t="shared" si="4"/>
        <v>423201</v>
      </c>
      <c r="B317" s="14">
        <v>4232</v>
      </c>
      <c r="C317" s="1" t="s">
        <v>729</v>
      </c>
      <c r="D317" s="12" t="s">
        <v>1211</v>
      </c>
      <c r="E317" s="3">
        <v>1</v>
      </c>
      <c r="F317" s="5" t="s">
        <v>708</v>
      </c>
      <c r="G317" s="3">
        <v>10</v>
      </c>
      <c r="K317" s="1">
        <v>4221</v>
      </c>
      <c r="L317" s="1">
        <v>7200</v>
      </c>
      <c r="M317" s="1">
        <v>6650</v>
      </c>
      <c r="N317" s="1" t="s">
        <v>1015</v>
      </c>
      <c r="O317" s="1">
        <v>100</v>
      </c>
      <c r="P317" s="1" t="s">
        <v>398</v>
      </c>
      <c r="Q317" s="1">
        <v>10</v>
      </c>
      <c r="R317" s="20">
        <v>20402</v>
      </c>
      <c r="S317" s="16">
        <v>0.01</v>
      </c>
      <c r="U317" s="1" t="s">
        <v>1211</v>
      </c>
      <c r="V317" s="17" t="s">
        <v>1212</v>
      </c>
      <c r="X317" s="17" t="s">
        <v>1213</v>
      </c>
      <c r="Y317" s="5" t="s">
        <v>1005</v>
      </c>
      <c r="Z317" s="21" t="s">
        <v>1200</v>
      </c>
      <c r="AA317" s="22" t="s">
        <v>1069</v>
      </c>
      <c r="AC317" s="22"/>
    </row>
    <row r="318" spans="1:29" s="1" customFormat="1" ht="49.5" x14ac:dyDescent="0.25">
      <c r="A318" s="13">
        <f t="shared" si="4"/>
        <v>423202</v>
      </c>
      <c r="B318" s="14">
        <v>4232</v>
      </c>
      <c r="C318" s="1" t="s">
        <v>729</v>
      </c>
      <c r="D318" s="12" t="s">
        <v>1211</v>
      </c>
      <c r="E318" s="3">
        <v>2</v>
      </c>
      <c r="F318" s="5" t="s">
        <v>708</v>
      </c>
      <c r="G318" s="3">
        <v>12</v>
      </c>
      <c r="K318" s="1">
        <v>4221</v>
      </c>
      <c r="L318" s="1">
        <v>7200</v>
      </c>
      <c r="M318" s="1">
        <v>6650</v>
      </c>
      <c r="N318" s="1" t="s">
        <v>1015</v>
      </c>
      <c r="O318" s="1">
        <v>100</v>
      </c>
      <c r="P318" s="1" t="s">
        <v>398</v>
      </c>
      <c r="Q318" s="1">
        <v>10</v>
      </c>
      <c r="R318" s="20">
        <v>20402</v>
      </c>
      <c r="S318" s="16">
        <v>0.01</v>
      </c>
      <c r="U318" s="1" t="s">
        <v>1211</v>
      </c>
      <c r="V318" s="17" t="s">
        <v>1212</v>
      </c>
      <c r="X318" s="17" t="s">
        <v>1213</v>
      </c>
      <c r="Y318" s="5" t="s">
        <v>1005</v>
      </c>
      <c r="Z318" s="21" t="s">
        <v>1200</v>
      </c>
      <c r="AA318" s="22" t="s">
        <v>1069</v>
      </c>
      <c r="AC318" s="22"/>
    </row>
    <row r="319" spans="1:29" s="1" customFormat="1" ht="49.5" x14ac:dyDescent="0.25">
      <c r="A319" s="13">
        <f t="shared" si="4"/>
        <v>423301</v>
      </c>
      <c r="B319" s="14">
        <v>4233</v>
      </c>
      <c r="C319" s="1" t="s">
        <v>729</v>
      </c>
      <c r="D319" s="12" t="s">
        <v>1022</v>
      </c>
      <c r="E319" s="3">
        <v>1</v>
      </c>
      <c r="F319" s="5" t="s">
        <v>708</v>
      </c>
      <c r="G319" s="3">
        <v>10</v>
      </c>
      <c r="K319" s="1">
        <v>4222</v>
      </c>
      <c r="L319" s="1">
        <v>7200</v>
      </c>
      <c r="M319" s="1">
        <v>6650</v>
      </c>
      <c r="N319" s="1" t="s">
        <v>1015</v>
      </c>
      <c r="O319" s="1">
        <v>100</v>
      </c>
      <c r="P319" s="1" t="s">
        <v>398</v>
      </c>
      <c r="Q319" s="1">
        <v>10</v>
      </c>
      <c r="S319" s="16"/>
      <c r="U319" s="1" t="s">
        <v>1366</v>
      </c>
      <c r="V319" s="17" t="s">
        <v>1071</v>
      </c>
      <c r="X319" s="17"/>
      <c r="Y319" s="5" t="s">
        <v>1005</v>
      </c>
      <c r="Z319" s="21" t="s">
        <v>1025</v>
      </c>
      <c r="AA319" s="22" t="s">
        <v>277</v>
      </c>
      <c r="AC319" s="22"/>
    </row>
    <row r="320" spans="1:29" s="1" customFormat="1" ht="49.5" x14ac:dyDescent="0.25">
      <c r="A320" s="13">
        <f t="shared" si="4"/>
        <v>423401</v>
      </c>
      <c r="B320" s="14">
        <v>4234</v>
      </c>
      <c r="C320" s="1" t="s">
        <v>729</v>
      </c>
      <c r="D320" s="12" t="s">
        <v>1215</v>
      </c>
      <c r="E320" s="3">
        <v>1</v>
      </c>
      <c r="F320" s="5" t="s">
        <v>708</v>
      </c>
      <c r="G320" s="3">
        <v>10</v>
      </c>
      <c r="K320" s="1">
        <v>4223</v>
      </c>
      <c r="L320" s="1">
        <v>7200</v>
      </c>
      <c r="M320" s="1">
        <v>6650</v>
      </c>
      <c r="N320" s="1" t="s">
        <v>1015</v>
      </c>
      <c r="O320" s="1">
        <v>100</v>
      </c>
      <c r="P320" s="1" t="s">
        <v>398</v>
      </c>
      <c r="Q320" s="1">
        <v>10</v>
      </c>
      <c r="R320" s="20">
        <v>20432</v>
      </c>
      <c r="S320" s="16">
        <v>0.01</v>
      </c>
      <c r="U320" s="1" t="s">
        <v>1215</v>
      </c>
      <c r="V320" s="17" t="s">
        <v>1216</v>
      </c>
      <c r="X320" s="17" t="s">
        <v>1217</v>
      </c>
      <c r="Y320" s="5" t="s">
        <v>1005</v>
      </c>
      <c r="Z320" s="21" t="s">
        <v>1207</v>
      </c>
      <c r="AA320" s="22" t="s">
        <v>1075</v>
      </c>
      <c r="AC320" s="22"/>
    </row>
    <row r="321" spans="1:29" s="1" customFormat="1" ht="49.5" x14ac:dyDescent="0.25">
      <c r="A321" s="13">
        <f t="shared" si="4"/>
        <v>423402</v>
      </c>
      <c r="B321" s="14">
        <v>4234</v>
      </c>
      <c r="C321" s="1" t="s">
        <v>729</v>
      </c>
      <c r="D321" s="12" t="s">
        <v>1215</v>
      </c>
      <c r="E321" s="3">
        <v>2</v>
      </c>
      <c r="F321" s="5" t="s">
        <v>708</v>
      </c>
      <c r="G321" s="3">
        <v>12</v>
      </c>
      <c r="K321" s="1">
        <v>4223</v>
      </c>
      <c r="L321" s="1">
        <v>7200</v>
      </c>
      <c r="M321" s="1">
        <v>6650</v>
      </c>
      <c r="N321" s="1" t="s">
        <v>1015</v>
      </c>
      <c r="O321" s="1">
        <v>100</v>
      </c>
      <c r="P321" s="1" t="s">
        <v>398</v>
      </c>
      <c r="Q321" s="1">
        <v>10</v>
      </c>
      <c r="R321" s="20">
        <v>20432</v>
      </c>
      <c r="S321" s="16">
        <v>0.01</v>
      </c>
      <c r="U321" s="1" t="s">
        <v>1215</v>
      </c>
      <c r="V321" s="17" t="s">
        <v>1216</v>
      </c>
      <c r="X321" s="17" t="s">
        <v>1217</v>
      </c>
      <c r="Y321" s="5" t="s">
        <v>1005</v>
      </c>
      <c r="Z321" s="21" t="s">
        <v>1207</v>
      </c>
      <c r="AA321" s="22" t="s">
        <v>1075</v>
      </c>
      <c r="AC321" s="22"/>
    </row>
    <row r="322" spans="1:29" s="1" customFormat="1" ht="49.5" x14ac:dyDescent="0.25">
      <c r="A322" s="13">
        <f t="shared" si="4"/>
        <v>423501</v>
      </c>
      <c r="B322" s="14">
        <v>4235</v>
      </c>
      <c r="C322" s="1" t="s">
        <v>729</v>
      </c>
      <c r="D322" s="12" t="s">
        <v>1218</v>
      </c>
      <c r="E322" s="3">
        <v>1</v>
      </c>
      <c r="F322" s="5" t="s">
        <v>708</v>
      </c>
      <c r="G322" s="3">
        <v>10</v>
      </c>
      <c r="K322" s="1">
        <v>4223</v>
      </c>
      <c r="L322" s="1">
        <v>7200</v>
      </c>
      <c r="M322" s="1">
        <v>6650</v>
      </c>
      <c r="N322" s="1" t="s">
        <v>1015</v>
      </c>
      <c r="O322" s="1">
        <v>100</v>
      </c>
      <c r="P322" s="1" t="s">
        <v>398</v>
      </c>
      <c r="Q322" s="1">
        <v>10</v>
      </c>
      <c r="R322" s="1">
        <v>20232</v>
      </c>
      <c r="S322" s="16">
        <v>0.01</v>
      </c>
      <c r="U322" s="1" t="s">
        <v>1218</v>
      </c>
      <c r="V322" s="17" t="s">
        <v>1219</v>
      </c>
      <c r="X322" s="17" t="s">
        <v>1220</v>
      </c>
      <c r="Y322" s="5" t="s">
        <v>1005</v>
      </c>
      <c r="Z322" s="21" t="s">
        <v>1207</v>
      </c>
      <c r="AA322" s="22" t="s">
        <v>1079</v>
      </c>
      <c r="AC322" s="22"/>
    </row>
    <row r="323" spans="1:29" s="1" customFormat="1" ht="49.5" x14ac:dyDescent="0.25">
      <c r="A323" s="13">
        <f t="shared" si="4"/>
        <v>423502</v>
      </c>
      <c r="B323" s="14">
        <v>4235</v>
      </c>
      <c r="C323" s="1" t="s">
        <v>729</v>
      </c>
      <c r="D323" s="12" t="s">
        <v>1218</v>
      </c>
      <c r="E323" s="3">
        <v>2</v>
      </c>
      <c r="F323" s="5" t="s">
        <v>708</v>
      </c>
      <c r="G323" s="3">
        <v>12</v>
      </c>
      <c r="K323" s="1">
        <v>4223</v>
      </c>
      <c r="L323" s="1">
        <v>7200</v>
      </c>
      <c r="M323" s="1">
        <v>6650</v>
      </c>
      <c r="N323" s="1" t="s">
        <v>1015</v>
      </c>
      <c r="O323" s="1">
        <v>100</v>
      </c>
      <c r="P323" s="1" t="s">
        <v>398</v>
      </c>
      <c r="Q323" s="1">
        <v>10</v>
      </c>
      <c r="R323" s="1">
        <v>20232</v>
      </c>
      <c r="S323" s="16">
        <v>0.01</v>
      </c>
      <c r="U323" s="1" t="s">
        <v>1218</v>
      </c>
      <c r="V323" s="17" t="s">
        <v>1219</v>
      </c>
      <c r="X323" s="17" t="s">
        <v>1220</v>
      </c>
      <c r="Y323" s="5" t="s">
        <v>1005</v>
      </c>
      <c r="Z323" s="21" t="s">
        <v>1207</v>
      </c>
      <c r="AA323" s="22" t="s">
        <v>1079</v>
      </c>
      <c r="AC323" s="22"/>
    </row>
    <row r="324" spans="1:29" s="1" customFormat="1" ht="49.5" x14ac:dyDescent="0.25">
      <c r="A324" s="13">
        <f t="shared" ref="A324:A411" si="5">B324*100+E324</f>
        <v>424101</v>
      </c>
      <c r="B324" s="14">
        <v>4241</v>
      </c>
      <c r="C324" s="1" t="s">
        <v>729</v>
      </c>
      <c r="D324" s="12" t="s">
        <v>1221</v>
      </c>
      <c r="E324" s="3">
        <v>1</v>
      </c>
      <c r="F324" s="5" t="s">
        <v>708</v>
      </c>
      <c r="G324" s="3">
        <v>15</v>
      </c>
      <c r="K324" s="1">
        <v>4231</v>
      </c>
      <c r="L324" s="1">
        <v>9000</v>
      </c>
      <c r="M324" s="1">
        <v>6950</v>
      </c>
      <c r="N324" s="1" t="s">
        <v>1032</v>
      </c>
      <c r="O324" s="1">
        <v>100</v>
      </c>
      <c r="P324" s="1" t="s">
        <v>398</v>
      </c>
      <c r="Q324" s="1">
        <v>10</v>
      </c>
      <c r="R324" s="20">
        <v>6032</v>
      </c>
      <c r="S324" s="16">
        <v>0.01</v>
      </c>
      <c r="U324" s="1" t="s">
        <v>1221</v>
      </c>
      <c r="V324" s="17" t="s">
        <v>1222</v>
      </c>
      <c r="X324" s="17" t="s">
        <v>1223</v>
      </c>
      <c r="Y324" s="5" t="s">
        <v>1005</v>
      </c>
      <c r="Z324" s="21" t="s">
        <v>1200</v>
      </c>
      <c r="AA324" s="22" t="s">
        <v>1083</v>
      </c>
      <c r="AC324" s="22"/>
    </row>
    <row r="325" spans="1:29" s="1" customFormat="1" ht="49.5" x14ac:dyDescent="0.25">
      <c r="A325" s="13">
        <f t="shared" si="5"/>
        <v>424102</v>
      </c>
      <c r="B325" s="14">
        <v>4241</v>
      </c>
      <c r="C325" s="1" t="s">
        <v>729</v>
      </c>
      <c r="D325" s="12" t="s">
        <v>1221</v>
      </c>
      <c r="E325" s="3">
        <v>2</v>
      </c>
      <c r="F325" s="5" t="s">
        <v>708</v>
      </c>
      <c r="G325" s="3">
        <v>16</v>
      </c>
      <c r="K325" s="1">
        <v>4231</v>
      </c>
      <c r="L325" s="1">
        <v>9000</v>
      </c>
      <c r="M325" s="1">
        <v>6950</v>
      </c>
      <c r="N325" s="1" t="s">
        <v>1032</v>
      </c>
      <c r="O325" s="1">
        <v>100</v>
      </c>
      <c r="P325" s="1" t="s">
        <v>398</v>
      </c>
      <c r="Q325" s="1">
        <v>10</v>
      </c>
      <c r="R325" s="20">
        <v>6032</v>
      </c>
      <c r="S325" s="16">
        <v>0.01</v>
      </c>
      <c r="U325" s="1" t="s">
        <v>1221</v>
      </c>
      <c r="V325" s="17" t="s">
        <v>1222</v>
      </c>
      <c r="X325" s="17" t="s">
        <v>1223</v>
      </c>
      <c r="Y325" s="5" t="s">
        <v>1005</v>
      </c>
      <c r="Z325" s="21" t="s">
        <v>1200</v>
      </c>
      <c r="AA325" s="22" t="s">
        <v>1083</v>
      </c>
      <c r="AC325" s="22"/>
    </row>
    <row r="326" spans="1:29" s="1" customFormat="1" ht="49.5" x14ac:dyDescent="0.25">
      <c r="A326" s="13">
        <f t="shared" si="5"/>
        <v>424201</v>
      </c>
      <c r="B326" s="14">
        <v>4242</v>
      </c>
      <c r="C326" s="1" t="s">
        <v>729</v>
      </c>
      <c r="D326" s="12" t="s">
        <v>1224</v>
      </c>
      <c r="E326" s="3">
        <v>1</v>
      </c>
      <c r="F326" s="5" t="s">
        <v>708</v>
      </c>
      <c r="G326" s="3">
        <v>15</v>
      </c>
      <c r="K326" s="1">
        <v>4231</v>
      </c>
      <c r="L326" s="1">
        <v>9000</v>
      </c>
      <c r="M326" s="1">
        <v>6950</v>
      </c>
      <c r="N326" s="1" t="s">
        <v>1032</v>
      </c>
      <c r="O326" s="1">
        <v>100</v>
      </c>
      <c r="P326" s="1" t="s">
        <v>398</v>
      </c>
      <c r="Q326" s="1">
        <v>10</v>
      </c>
      <c r="R326" s="20">
        <v>20262</v>
      </c>
      <c r="S326" s="16">
        <v>5.0000000000000001E-3</v>
      </c>
      <c r="U326" s="1" t="s">
        <v>1224</v>
      </c>
      <c r="V326" s="17" t="s">
        <v>1225</v>
      </c>
      <c r="X326" s="17" t="s">
        <v>1226</v>
      </c>
      <c r="Y326" s="5" t="s">
        <v>1005</v>
      </c>
      <c r="Z326" s="21" t="s">
        <v>1196</v>
      </c>
      <c r="AA326" s="22" t="s">
        <v>1087</v>
      </c>
      <c r="AC326" s="22"/>
    </row>
    <row r="327" spans="1:29" s="1" customFormat="1" ht="49.5" x14ac:dyDescent="0.25">
      <c r="A327" s="13">
        <f t="shared" si="5"/>
        <v>424202</v>
      </c>
      <c r="B327" s="14">
        <v>4242</v>
      </c>
      <c r="C327" s="1" t="s">
        <v>729</v>
      </c>
      <c r="D327" s="12" t="s">
        <v>1224</v>
      </c>
      <c r="E327" s="3">
        <v>2</v>
      </c>
      <c r="F327" s="5" t="s">
        <v>708</v>
      </c>
      <c r="G327" s="3">
        <v>16</v>
      </c>
      <c r="K327" s="1">
        <v>4231</v>
      </c>
      <c r="L327" s="1">
        <v>9000</v>
      </c>
      <c r="M327" s="1">
        <v>6950</v>
      </c>
      <c r="N327" s="1" t="s">
        <v>1032</v>
      </c>
      <c r="O327" s="1">
        <v>100</v>
      </c>
      <c r="P327" s="1" t="s">
        <v>398</v>
      </c>
      <c r="Q327" s="1">
        <v>10</v>
      </c>
      <c r="R327" s="20">
        <v>20262</v>
      </c>
      <c r="S327" s="16">
        <v>5.0000000000000001E-3</v>
      </c>
      <c r="U327" s="1" t="s">
        <v>1224</v>
      </c>
      <c r="V327" s="17" t="s">
        <v>1225</v>
      </c>
      <c r="X327" s="17" t="s">
        <v>1226</v>
      </c>
      <c r="Y327" s="5" t="s">
        <v>1005</v>
      </c>
      <c r="Z327" s="21" t="s">
        <v>1196</v>
      </c>
      <c r="AA327" s="22" t="s">
        <v>1087</v>
      </c>
      <c r="AC327" s="22"/>
    </row>
    <row r="328" spans="1:29" s="1" customFormat="1" ht="49.5" x14ac:dyDescent="0.25">
      <c r="A328" s="13">
        <f t="shared" si="5"/>
        <v>424301</v>
      </c>
      <c r="B328" s="14">
        <v>4243</v>
      </c>
      <c r="C328" s="1" t="s">
        <v>729</v>
      </c>
      <c r="D328" s="12" t="s">
        <v>1227</v>
      </c>
      <c r="E328" s="3">
        <v>1</v>
      </c>
      <c r="F328" s="5" t="s">
        <v>708</v>
      </c>
      <c r="G328" s="3">
        <v>18</v>
      </c>
      <c r="K328" s="1">
        <v>4232</v>
      </c>
      <c r="L328" s="1">
        <v>9000</v>
      </c>
      <c r="M328" s="1">
        <v>7250</v>
      </c>
      <c r="N328" s="1" t="s">
        <v>1033</v>
      </c>
      <c r="O328" s="1">
        <v>100</v>
      </c>
      <c r="P328" s="1" t="s">
        <v>398</v>
      </c>
      <c r="Q328" s="1">
        <v>10</v>
      </c>
      <c r="R328" s="20">
        <v>20462</v>
      </c>
      <c r="S328" s="16">
        <v>5.0000000000000001E-3</v>
      </c>
      <c r="U328" s="1" t="s">
        <v>1227</v>
      </c>
      <c r="V328" s="17" t="s">
        <v>1228</v>
      </c>
      <c r="X328" s="17" t="s">
        <v>1229</v>
      </c>
      <c r="Y328" s="5" t="s">
        <v>1005</v>
      </c>
      <c r="Z328" s="21" t="s">
        <v>1196</v>
      </c>
      <c r="AA328" s="22" t="s">
        <v>1091</v>
      </c>
      <c r="AC328" s="22"/>
    </row>
    <row r="329" spans="1:29" s="1" customFormat="1" ht="49.5" x14ac:dyDescent="0.25">
      <c r="A329" s="13">
        <f t="shared" si="5"/>
        <v>424401</v>
      </c>
      <c r="B329" s="14">
        <v>4244</v>
      </c>
      <c r="C329" s="1" t="s">
        <v>729</v>
      </c>
      <c r="D329" s="12" t="s">
        <v>1201</v>
      </c>
      <c r="E329" s="3">
        <v>1</v>
      </c>
      <c r="F329" s="5" t="s">
        <v>708</v>
      </c>
      <c r="G329" s="3">
        <v>20</v>
      </c>
      <c r="K329" s="1" t="s">
        <v>1367</v>
      </c>
      <c r="L329" s="1">
        <v>10800</v>
      </c>
      <c r="M329" s="1">
        <v>7550</v>
      </c>
      <c r="N329" s="1" t="s">
        <v>397</v>
      </c>
      <c r="O329" s="1">
        <v>100</v>
      </c>
      <c r="P329" s="1" t="s">
        <v>398</v>
      </c>
      <c r="Q329" s="1">
        <v>10</v>
      </c>
      <c r="R329" s="1">
        <v>20062</v>
      </c>
      <c r="S329" s="16">
        <v>5.0000000000000001E-3</v>
      </c>
      <c r="U329" s="1" t="s">
        <v>1201</v>
      </c>
      <c r="V329" s="17" t="s">
        <v>1202</v>
      </c>
      <c r="X329" s="17" t="s">
        <v>1203</v>
      </c>
      <c r="Y329" s="5" t="s">
        <v>1005</v>
      </c>
      <c r="Z329" s="21" t="s">
        <v>1196</v>
      </c>
      <c r="AA329" s="22" t="s">
        <v>1093</v>
      </c>
      <c r="AC329" s="22"/>
    </row>
    <row r="330" spans="1:29" s="1" customFormat="1" ht="49.5" x14ac:dyDescent="0.25">
      <c r="A330" s="13">
        <f t="shared" si="5"/>
        <v>424501</v>
      </c>
      <c r="B330" s="14">
        <v>4245</v>
      </c>
      <c r="C330" s="1" t="s">
        <v>729</v>
      </c>
      <c r="D330" s="12" t="s">
        <v>1227</v>
      </c>
      <c r="E330" s="3">
        <v>1</v>
      </c>
      <c r="F330" s="5" t="s">
        <v>708</v>
      </c>
      <c r="G330" s="3">
        <v>18</v>
      </c>
      <c r="K330" s="1">
        <v>4234</v>
      </c>
      <c r="L330" s="1">
        <v>9000</v>
      </c>
      <c r="M330" s="1">
        <v>7250</v>
      </c>
      <c r="N330" s="1" t="s">
        <v>1033</v>
      </c>
      <c r="O330" s="1">
        <v>100</v>
      </c>
      <c r="P330" s="1" t="s">
        <v>398</v>
      </c>
      <c r="Q330" s="1">
        <v>10</v>
      </c>
      <c r="R330" s="20">
        <v>20462</v>
      </c>
      <c r="S330" s="16">
        <v>5.0000000000000001E-3</v>
      </c>
      <c r="U330" s="1" t="s">
        <v>1227</v>
      </c>
      <c r="V330" s="17" t="s">
        <v>1228</v>
      </c>
      <c r="X330" s="17" t="s">
        <v>1229</v>
      </c>
      <c r="Y330" s="5" t="s">
        <v>1005</v>
      </c>
      <c r="Z330" s="21" t="s">
        <v>1196</v>
      </c>
      <c r="AA330" s="22" t="s">
        <v>1094</v>
      </c>
    </row>
    <row r="331" spans="1:29" s="1" customFormat="1" ht="49.5" x14ac:dyDescent="0.25">
      <c r="A331" s="13">
        <f t="shared" si="5"/>
        <v>424601</v>
      </c>
      <c r="B331" s="14">
        <v>4246</v>
      </c>
      <c r="C331" s="1" t="s">
        <v>729</v>
      </c>
      <c r="D331" s="12" t="s">
        <v>1224</v>
      </c>
      <c r="E331" s="3">
        <v>1</v>
      </c>
      <c r="F331" s="5" t="s">
        <v>708</v>
      </c>
      <c r="G331" s="3">
        <v>15</v>
      </c>
      <c r="K331" s="1">
        <v>4235</v>
      </c>
      <c r="L331" s="1">
        <v>9000</v>
      </c>
      <c r="M331" s="1">
        <v>6950</v>
      </c>
      <c r="N331" s="1" t="s">
        <v>1032</v>
      </c>
      <c r="O331" s="1">
        <v>100</v>
      </c>
      <c r="P331" s="1" t="s">
        <v>398</v>
      </c>
      <c r="Q331" s="1">
        <v>10</v>
      </c>
      <c r="R331" s="20">
        <v>20262</v>
      </c>
      <c r="S331" s="16">
        <v>5.0000000000000001E-3</v>
      </c>
      <c r="U331" s="1" t="s">
        <v>1224</v>
      </c>
      <c r="V331" s="17" t="s">
        <v>1225</v>
      </c>
      <c r="X331" s="17" t="s">
        <v>1226</v>
      </c>
      <c r="Y331" s="5" t="s">
        <v>1005</v>
      </c>
      <c r="Z331" s="21" t="s">
        <v>1196</v>
      </c>
      <c r="AA331" s="22" t="s">
        <v>1095</v>
      </c>
    </row>
    <row r="332" spans="1:29" s="1" customFormat="1" ht="49.5" x14ac:dyDescent="0.25">
      <c r="A332" s="13">
        <f t="shared" si="5"/>
        <v>424602</v>
      </c>
      <c r="B332" s="14">
        <v>4246</v>
      </c>
      <c r="C332" s="1" t="s">
        <v>729</v>
      </c>
      <c r="D332" s="12" t="s">
        <v>1224</v>
      </c>
      <c r="E332" s="3">
        <v>2</v>
      </c>
      <c r="F332" s="5" t="s">
        <v>708</v>
      </c>
      <c r="G332" s="3">
        <v>16</v>
      </c>
      <c r="K332" s="1">
        <v>4235</v>
      </c>
      <c r="L332" s="1">
        <v>9000</v>
      </c>
      <c r="M332" s="1">
        <v>6950</v>
      </c>
      <c r="N332" s="1" t="s">
        <v>1032</v>
      </c>
      <c r="O332" s="1">
        <v>100</v>
      </c>
      <c r="P332" s="1" t="s">
        <v>398</v>
      </c>
      <c r="Q332" s="1">
        <v>10</v>
      </c>
      <c r="R332" s="20">
        <v>20262</v>
      </c>
      <c r="S332" s="2">
        <v>5.0000000000000001E-3</v>
      </c>
      <c r="U332" s="1" t="s">
        <v>1224</v>
      </c>
      <c r="V332" s="17" t="s">
        <v>1225</v>
      </c>
      <c r="X332" s="17" t="s">
        <v>1226</v>
      </c>
      <c r="Y332" s="5" t="s">
        <v>1005</v>
      </c>
      <c r="Z332" s="21" t="s">
        <v>1196</v>
      </c>
      <c r="AA332" s="22" t="s">
        <v>1095</v>
      </c>
    </row>
    <row r="333" spans="1:29" s="1" customFormat="1" ht="49.5" x14ac:dyDescent="0.25">
      <c r="A333" s="13">
        <f t="shared" si="5"/>
        <v>424701</v>
      </c>
      <c r="B333" s="14">
        <v>4247</v>
      </c>
      <c r="C333" s="1" t="s">
        <v>729</v>
      </c>
      <c r="D333" s="12" t="s">
        <v>1221</v>
      </c>
      <c r="E333" s="3">
        <v>1</v>
      </c>
      <c r="F333" s="5" t="s">
        <v>708</v>
      </c>
      <c r="G333" s="3">
        <v>15</v>
      </c>
      <c r="K333" s="1">
        <v>4235</v>
      </c>
      <c r="L333" s="1">
        <v>9000</v>
      </c>
      <c r="M333" s="1">
        <v>6950</v>
      </c>
      <c r="N333" s="1" t="s">
        <v>1032</v>
      </c>
      <c r="O333" s="1">
        <v>100</v>
      </c>
      <c r="P333" s="1" t="s">
        <v>398</v>
      </c>
      <c r="Q333" s="1">
        <v>10</v>
      </c>
      <c r="R333" s="20">
        <v>6032</v>
      </c>
      <c r="S333" s="16">
        <v>0.01</v>
      </c>
      <c r="U333" s="1" t="s">
        <v>1221</v>
      </c>
      <c r="V333" s="17" t="s">
        <v>1222</v>
      </c>
      <c r="X333" s="17" t="s">
        <v>1223</v>
      </c>
      <c r="Y333" s="5" t="s">
        <v>1005</v>
      </c>
      <c r="Z333" s="21" t="s">
        <v>1200</v>
      </c>
      <c r="AA333" s="22" t="s">
        <v>1096</v>
      </c>
    </row>
    <row r="334" spans="1:29" s="1" customFormat="1" ht="49.5" x14ac:dyDescent="0.25">
      <c r="A334" s="13">
        <f t="shared" si="5"/>
        <v>424702</v>
      </c>
      <c r="B334" s="14">
        <v>4247</v>
      </c>
      <c r="C334" s="1" t="s">
        <v>729</v>
      </c>
      <c r="D334" s="12" t="s">
        <v>1221</v>
      </c>
      <c r="E334" s="3">
        <v>2</v>
      </c>
      <c r="F334" s="5" t="s">
        <v>708</v>
      </c>
      <c r="G334" s="3">
        <v>16</v>
      </c>
      <c r="K334" s="1">
        <v>4235</v>
      </c>
      <c r="L334" s="1">
        <v>9000</v>
      </c>
      <c r="M334" s="1">
        <v>6950</v>
      </c>
      <c r="N334" s="1" t="s">
        <v>1032</v>
      </c>
      <c r="O334" s="1">
        <v>100</v>
      </c>
      <c r="P334" s="1" t="s">
        <v>398</v>
      </c>
      <c r="Q334" s="1">
        <v>10</v>
      </c>
      <c r="R334" s="20">
        <v>6032</v>
      </c>
      <c r="S334" s="16">
        <v>0.01</v>
      </c>
      <c r="U334" s="1" t="s">
        <v>1221</v>
      </c>
      <c r="V334" s="17" t="s">
        <v>1222</v>
      </c>
      <c r="X334" s="17" t="s">
        <v>1223</v>
      </c>
      <c r="Y334" s="5" t="s">
        <v>1005</v>
      </c>
      <c r="Z334" s="21" t="s">
        <v>1200</v>
      </c>
      <c r="AA334" s="22" t="s">
        <v>1096</v>
      </c>
    </row>
    <row r="335" spans="1:29" s="1" customFormat="1" ht="49.5" x14ac:dyDescent="0.25">
      <c r="A335" s="13">
        <f t="shared" si="5"/>
        <v>431101</v>
      </c>
      <c r="B335" s="14">
        <v>4311</v>
      </c>
      <c r="C335" s="1" t="s">
        <v>729</v>
      </c>
      <c r="D335" s="12" t="s">
        <v>1231</v>
      </c>
      <c r="E335" s="3">
        <v>1</v>
      </c>
      <c r="F335" s="5" t="s">
        <v>712</v>
      </c>
      <c r="G335" s="3">
        <v>1</v>
      </c>
      <c r="K335" s="1">
        <v>4233</v>
      </c>
      <c r="L335" s="1">
        <v>3600</v>
      </c>
      <c r="M335" s="1">
        <v>6300</v>
      </c>
      <c r="N335" s="1" t="s">
        <v>999</v>
      </c>
      <c r="O335" s="1">
        <v>100</v>
      </c>
      <c r="P335" s="1" t="s">
        <v>398</v>
      </c>
      <c r="Q335" s="1">
        <v>10</v>
      </c>
      <c r="R335" s="1" t="s">
        <v>1232</v>
      </c>
      <c r="S335" s="16" t="s">
        <v>1099</v>
      </c>
      <c r="U335" s="1" t="s">
        <v>1233</v>
      </c>
      <c r="V335" s="17" t="s">
        <v>1234</v>
      </c>
      <c r="X335" s="17" t="s">
        <v>1235</v>
      </c>
      <c r="Y335" s="5" t="s">
        <v>1005</v>
      </c>
      <c r="Z335" s="21" t="s">
        <v>1196</v>
      </c>
      <c r="AA335" s="22" t="s">
        <v>1103</v>
      </c>
    </row>
    <row r="336" spans="1:29" s="1" customFormat="1" ht="49.5" x14ac:dyDescent="0.25">
      <c r="A336" s="13">
        <f t="shared" si="5"/>
        <v>432101</v>
      </c>
      <c r="B336" s="14">
        <v>4321</v>
      </c>
      <c r="C336" s="1" t="s">
        <v>729</v>
      </c>
      <c r="D336" s="12" t="s">
        <v>1236</v>
      </c>
      <c r="E336" s="3">
        <v>1</v>
      </c>
      <c r="F336" s="5" t="s">
        <v>712</v>
      </c>
      <c r="G336" s="3">
        <v>5</v>
      </c>
      <c r="K336" s="1">
        <v>4311</v>
      </c>
      <c r="L336" s="1">
        <v>5400</v>
      </c>
      <c r="M336" s="1">
        <v>6650</v>
      </c>
      <c r="N336" s="1" t="s">
        <v>1008</v>
      </c>
      <c r="O336" s="1">
        <v>100</v>
      </c>
      <c r="P336" s="1" t="s">
        <v>398</v>
      </c>
      <c r="Q336" s="1">
        <v>10</v>
      </c>
      <c r="R336" s="1">
        <v>20006</v>
      </c>
      <c r="S336" s="16">
        <v>1.4999999999999999E-2</v>
      </c>
      <c r="U336" s="1" t="s">
        <v>1236</v>
      </c>
      <c r="V336" s="17" t="s">
        <v>1237</v>
      </c>
      <c r="X336" s="17" t="s">
        <v>1238</v>
      </c>
      <c r="Y336" s="5" t="s">
        <v>1005</v>
      </c>
      <c r="Z336" s="21" t="s">
        <v>1200</v>
      </c>
      <c r="AA336" s="22" t="s">
        <v>1107</v>
      </c>
    </row>
    <row r="337" spans="1:27" s="1" customFormat="1" ht="49.5" x14ac:dyDescent="0.25">
      <c r="A337" s="13">
        <f t="shared" si="5"/>
        <v>432201</v>
      </c>
      <c r="B337" s="14">
        <v>4322</v>
      </c>
      <c r="C337" s="1" t="s">
        <v>729</v>
      </c>
      <c r="D337" s="12" t="s">
        <v>1368</v>
      </c>
      <c r="E337" s="3">
        <v>1</v>
      </c>
      <c r="F337" s="5" t="s">
        <v>712</v>
      </c>
      <c r="G337" s="3">
        <v>5</v>
      </c>
      <c r="K337" s="1">
        <v>4311</v>
      </c>
      <c r="L337" s="1">
        <v>5400</v>
      </c>
      <c r="M337" s="1">
        <v>6650</v>
      </c>
      <c r="N337" s="1" t="s">
        <v>1008</v>
      </c>
      <c r="O337" s="1">
        <v>100</v>
      </c>
      <c r="P337" s="1" t="s">
        <v>398</v>
      </c>
      <c r="Q337" s="1">
        <v>10</v>
      </c>
      <c r="R337" s="1" t="s">
        <v>1369</v>
      </c>
      <c r="S337" s="16" t="s">
        <v>222</v>
      </c>
      <c r="U337" s="1" t="s">
        <v>1370</v>
      </c>
      <c r="V337" s="17" t="s">
        <v>1371</v>
      </c>
      <c r="X337" s="17" t="s">
        <v>1372</v>
      </c>
      <c r="Y337" s="5" t="s">
        <v>1005</v>
      </c>
      <c r="Z337" s="21" t="s">
        <v>1113</v>
      </c>
      <c r="AA337" s="22" t="s">
        <v>1114</v>
      </c>
    </row>
    <row r="338" spans="1:27" s="1" customFormat="1" ht="49.5" x14ac:dyDescent="0.25">
      <c r="A338" s="13">
        <f t="shared" si="5"/>
        <v>432301</v>
      </c>
      <c r="B338" s="14">
        <v>4323</v>
      </c>
      <c r="C338" s="1" t="s">
        <v>729</v>
      </c>
      <c r="D338" s="12" t="s">
        <v>1244</v>
      </c>
      <c r="E338" s="3">
        <v>1</v>
      </c>
      <c r="F338" s="5" t="s">
        <v>712</v>
      </c>
      <c r="G338" s="3">
        <v>5</v>
      </c>
      <c r="K338" s="1">
        <v>4311</v>
      </c>
      <c r="L338" s="1">
        <v>5400</v>
      </c>
      <c r="M338" s="1">
        <v>6650</v>
      </c>
      <c r="N338" s="1" t="s">
        <v>1008</v>
      </c>
      <c r="O338" s="1">
        <v>100</v>
      </c>
      <c r="P338" s="1" t="s">
        <v>398</v>
      </c>
      <c r="Q338" s="1">
        <v>10</v>
      </c>
      <c r="R338" s="1">
        <v>20036</v>
      </c>
      <c r="S338" s="16">
        <v>1.4999999999999999E-2</v>
      </c>
      <c r="U338" s="1" t="s">
        <v>1244</v>
      </c>
      <c r="V338" s="17" t="s">
        <v>1245</v>
      </c>
      <c r="X338" s="17" t="s">
        <v>1246</v>
      </c>
      <c r="Y338" s="5" t="s">
        <v>1005</v>
      </c>
      <c r="Z338" s="21" t="s">
        <v>1207</v>
      </c>
      <c r="AA338" s="22" t="s">
        <v>1118</v>
      </c>
    </row>
    <row r="339" spans="1:27" s="1" customFormat="1" ht="49.5" x14ac:dyDescent="0.25">
      <c r="A339" s="13">
        <f t="shared" si="5"/>
        <v>433101</v>
      </c>
      <c r="B339" s="14">
        <v>4331</v>
      </c>
      <c r="C339" s="1" t="s">
        <v>729</v>
      </c>
      <c r="D339" s="12" t="s">
        <v>1236</v>
      </c>
      <c r="E339" s="3">
        <v>1</v>
      </c>
      <c r="F339" s="5" t="s">
        <v>712</v>
      </c>
      <c r="G339" s="3">
        <v>10</v>
      </c>
      <c r="K339" s="1">
        <v>4321</v>
      </c>
      <c r="L339" s="1">
        <v>7200</v>
      </c>
      <c r="M339" s="1">
        <v>6950</v>
      </c>
      <c r="N339" s="1" t="s">
        <v>1015</v>
      </c>
      <c r="O339" s="1">
        <v>100</v>
      </c>
      <c r="P339" s="1" t="s">
        <v>398</v>
      </c>
      <c r="Q339" s="1">
        <v>10</v>
      </c>
      <c r="R339" s="1">
        <v>20006</v>
      </c>
      <c r="S339" s="16">
        <v>1.4999999999999999E-2</v>
      </c>
      <c r="U339" s="1" t="s">
        <v>1236</v>
      </c>
      <c r="V339" s="17" t="s">
        <v>1237</v>
      </c>
      <c r="X339" s="17" t="s">
        <v>1238</v>
      </c>
      <c r="Y339" s="5" t="s">
        <v>1005</v>
      </c>
      <c r="Z339" s="21" t="s">
        <v>1200</v>
      </c>
      <c r="AA339" s="22" t="s">
        <v>1119</v>
      </c>
    </row>
    <row r="340" spans="1:27" s="1" customFormat="1" ht="49.5" x14ac:dyDescent="0.25">
      <c r="A340" s="13">
        <f t="shared" si="5"/>
        <v>433102</v>
      </c>
      <c r="B340" s="14">
        <v>4331</v>
      </c>
      <c r="C340" s="1" t="s">
        <v>729</v>
      </c>
      <c r="D340" s="12" t="s">
        <v>1236</v>
      </c>
      <c r="E340" s="3">
        <v>2</v>
      </c>
      <c r="F340" s="5" t="s">
        <v>712</v>
      </c>
      <c r="G340" s="3">
        <v>14</v>
      </c>
      <c r="K340" s="1">
        <v>4321</v>
      </c>
      <c r="L340" s="1">
        <v>7200</v>
      </c>
      <c r="M340" s="1">
        <v>6950</v>
      </c>
      <c r="N340" s="1" t="s">
        <v>1015</v>
      </c>
      <c r="O340" s="1">
        <v>100</v>
      </c>
      <c r="P340" s="1" t="s">
        <v>398</v>
      </c>
      <c r="Q340" s="1">
        <v>10</v>
      </c>
      <c r="R340" s="1">
        <v>20006</v>
      </c>
      <c r="S340" s="16">
        <v>1.4999999999999999E-2</v>
      </c>
      <c r="U340" s="1" t="s">
        <v>1236</v>
      </c>
      <c r="V340" s="17" t="s">
        <v>1237</v>
      </c>
      <c r="X340" s="17" t="s">
        <v>1238</v>
      </c>
      <c r="Y340" s="5" t="s">
        <v>1005</v>
      </c>
      <c r="Z340" s="21" t="s">
        <v>1200</v>
      </c>
      <c r="AA340" s="22" t="s">
        <v>1119</v>
      </c>
    </row>
    <row r="341" spans="1:27" s="1" customFormat="1" ht="49.5" x14ac:dyDescent="0.25">
      <c r="A341" s="13">
        <f t="shared" si="5"/>
        <v>433201</v>
      </c>
      <c r="B341" s="14">
        <v>4332</v>
      </c>
      <c r="C341" s="1" t="s">
        <v>729</v>
      </c>
      <c r="D341" s="12" t="s">
        <v>1373</v>
      </c>
      <c r="E341" s="3">
        <v>1</v>
      </c>
      <c r="F341" s="5" t="s">
        <v>712</v>
      </c>
      <c r="G341" s="3">
        <v>10</v>
      </c>
      <c r="K341" s="1" t="s">
        <v>1374</v>
      </c>
      <c r="L341" s="1">
        <v>7200</v>
      </c>
      <c r="M341" s="1">
        <v>6950</v>
      </c>
      <c r="N341" s="1" t="s">
        <v>1015</v>
      </c>
      <c r="O341" s="1">
        <v>100</v>
      </c>
      <c r="P341" s="1" t="s">
        <v>398</v>
      </c>
      <c r="Q341" s="1">
        <v>10</v>
      </c>
      <c r="R341" s="1">
        <v>30242</v>
      </c>
      <c r="S341" s="16">
        <v>1</v>
      </c>
      <c r="U341" s="1" t="s">
        <v>1370</v>
      </c>
      <c r="V341" s="17" t="s">
        <v>1375</v>
      </c>
      <c r="X341" s="17" t="s">
        <v>1376</v>
      </c>
      <c r="Y341" s="5" t="s">
        <v>1005</v>
      </c>
      <c r="Z341" s="21" t="s">
        <v>1124</v>
      </c>
      <c r="AA341" s="22" t="s">
        <v>1125</v>
      </c>
    </row>
    <row r="342" spans="1:27" s="1" customFormat="1" ht="49.5" x14ac:dyDescent="0.25">
      <c r="A342" s="13">
        <f t="shared" si="5"/>
        <v>433202</v>
      </c>
      <c r="B342" s="14">
        <v>4332</v>
      </c>
      <c r="C342" s="1" t="s">
        <v>729</v>
      </c>
      <c r="D342" s="12" t="s">
        <v>1373</v>
      </c>
      <c r="E342" s="3">
        <v>2</v>
      </c>
      <c r="F342" s="5" t="s">
        <v>712</v>
      </c>
      <c r="G342" s="3">
        <v>14</v>
      </c>
      <c r="K342" s="1" t="s">
        <v>1374</v>
      </c>
      <c r="L342" s="1">
        <v>7200</v>
      </c>
      <c r="M342" s="1">
        <v>6950</v>
      </c>
      <c r="N342" s="1" t="s">
        <v>1015</v>
      </c>
      <c r="O342" s="1">
        <v>100</v>
      </c>
      <c r="P342" s="1" t="s">
        <v>398</v>
      </c>
      <c r="Q342" s="1">
        <v>10</v>
      </c>
      <c r="R342" s="1">
        <v>30242</v>
      </c>
      <c r="S342" s="16">
        <v>1</v>
      </c>
      <c r="U342" s="1" t="s">
        <v>1370</v>
      </c>
      <c r="V342" s="17" t="s">
        <v>1375</v>
      </c>
      <c r="X342" s="17" t="s">
        <v>1376</v>
      </c>
      <c r="Y342" s="5" t="s">
        <v>1005</v>
      </c>
      <c r="Z342" s="21" t="s">
        <v>1124</v>
      </c>
      <c r="AA342" s="22" t="s">
        <v>1125</v>
      </c>
    </row>
    <row r="343" spans="1:27" s="1" customFormat="1" ht="49.5" x14ac:dyDescent="0.25">
      <c r="A343" s="13">
        <f t="shared" si="5"/>
        <v>433301</v>
      </c>
      <c r="B343" s="14">
        <v>4333</v>
      </c>
      <c r="C343" s="1" t="s">
        <v>729</v>
      </c>
      <c r="D343" s="12" t="s">
        <v>1377</v>
      </c>
      <c r="E343" s="3">
        <v>1</v>
      </c>
      <c r="F343" s="5" t="s">
        <v>712</v>
      </c>
      <c r="G343" s="3">
        <v>10</v>
      </c>
      <c r="K343" s="1">
        <v>4322</v>
      </c>
      <c r="L343" s="1">
        <v>7200</v>
      </c>
      <c r="M343" s="1">
        <v>6950</v>
      </c>
      <c r="N343" s="1" t="s">
        <v>1015</v>
      </c>
      <c r="O343" s="1">
        <v>100</v>
      </c>
      <c r="P343" s="1" t="s">
        <v>398</v>
      </c>
      <c r="Q343" s="1">
        <v>10</v>
      </c>
      <c r="R343" s="1">
        <v>30222</v>
      </c>
      <c r="S343" s="16">
        <v>1</v>
      </c>
      <c r="U343" s="1" t="s">
        <v>1370</v>
      </c>
      <c r="V343" s="17" t="s">
        <v>1378</v>
      </c>
      <c r="X343" s="17" t="s">
        <v>1379</v>
      </c>
      <c r="Y343" s="5" t="s">
        <v>1005</v>
      </c>
      <c r="Z343" s="21" t="s">
        <v>1129</v>
      </c>
      <c r="AA343" s="22" t="s">
        <v>1130</v>
      </c>
    </row>
    <row r="344" spans="1:27" s="1" customFormat="1" ht="49.5" x14ac:dyDescent="0.25">
      <c r="A344" s="13">
        <f t="shared" si="5"/>
        <v>433302</v>
      </c>
      <c r="B344" s="14">
        <v>4333</v>
      </c>
      <c r="C344" s="1" t="s">
        <v>729</v>
      </c>
      <c r="D344" s="12" t="s">
        <v>1377</v>
      </c>
      <c r="E344" s="3">
        <v>2</v>
      </c>
      <c r="F344" s="5" t="s">
        <v>712</v>
      </c>
      <c r="G344" s="3">
        <v>14</v>
      </c>
      <c r="K344" s="1">
        <v>4322</v>
      </c>
      <c r="L344" s="1">
        <v>7200</v>
      </c>
      <c r="M344" s="1">
        <v>6950</v>
      </c>
      <c r="N344" s="1" t="s">
        <v>1015</v>
      </c>
      <c r="O344" s="1">
        <v>100</v>
      </c>
      <c r="P344" s="1" t="s">
        <v>398</v>
      </c>
      <c r="Q344" s="1">
        <v>10</v>
      </c>
      <c r="R344" s="1">
        <v>30222</v>
      </c>
      <c r="S344" s="16">
        <v>1</v>
      </c>
      <c r="U344" s="1" t="s">
        <v>1370</v>
      </c>
      <c r="V344" s="17" t="s">
        <v>1378</v>
      </c>
      <c r="X344" s="17" t="s">
        <v>1379</v>
      </c>
      <c r="Y344" s="5" t="s">
        <v>1005</v>
      </c>
      <c r="Z344" s="21" t="s">
        <v>1129</v>
      </c>
      <c r="AA344" s="22" t="s">
        <v>1130</v>
      </c>
    </row>
    <row r="345" spans="1:27" s="1" customFormat="1" ht="49.5" x14ac:dyDescent="0.25">
      <c r="A345" s="13">
        <f t="shared" si="5"/>
        <v>433401</v>
      </c>
      <c r="B345" s="14">
        <v>4334</v>
      </c>
      <c r="C345" s="1" t="s">
        <v>729</v>
      </c>
      <c r="D345" s="12" t="s">
        <v>1380</v>
      </c>
      <c r="E345" s="3">
        <v>1</v>
      </c>
      <c r="F345" s="5" t="s">
        <v>712</v>
      </c>
      <c r="G345" s="3">
        <v>10</v>
      </c>
      <c r="K345" s="1" t="s">
        <v>1381</v>
      </c>
      <c r="L345" s="1">
        <v>7200</v>
      </c>
      <c r="M345" s="1">
        <v>6950</v>
      </c>
      <c r="N345" s="1" t="s">
        <v>1015</v>
      </c>
      <c r="O345" s="1">
        <v>100</v>
      </c>
      <c r="P345" s="1" t="s">
        <v>398</v>
      </c>
      <c r="Q345" s="1">
        <v>10</v>
      </c>
      <c r="R345" s="1">
        <v>30232</v>
      </c>
      <c r="S345" s="16">
        <v>1</v>
      </c>
      <c r="U345" s="1" t="s">
        <v>1370</v>
      </c>
      <c r="V345" s="17" t="s">
        <v>1382</v>
      </c>
      <c r="X345" s="17" t="s">
        <v>1383</v>
      </c>
      <c r="Y345" s="5" t="s">
        <v>1005</v>
      </c>
      <c r="Z345" s="21" t="s">
        <v>1135</v>
      </c>
      <c r="AA345" s="22" t="s">
        <v>1136</v>
      </c>
    </row>
    <row r="346" spans="1:27" s="1" customFormat="1" ht="49.5" x14ac:dyDescent="0.25">
      <c r="A346" s="13">
        <f t="shared" si="5"/>
        <v>433402</v>
      </c>
      <c r="B346" s="14">
        <v>4334</v>
      </c>
      <c r="C346" s="1" t="s">
        <v>729</v>
      </c>
      <c r="D346" s="12" t="s">
        <v>1380</v>
      </c>
      <c r="E346" s="3">
        <v>2</v>
      </c>
      <c r="F346" s="5" t="s">
        <v>712</v>
      </c>
      <c r="G346" s="3">
        <v>14</v>
      </c>
      <c r="K346" s="1" t="s">
        <v>1381</v>
      </c>
      <c r="L346" s="1">
        <v>7200</v>
      </c>
      <c r="M346" s="1">
        <v>6950</v>
      </c>
      <c r="N346" s="1" t="s">
        <v>1015</v>
      </c>
      <c r="O346" s="1">
        <v>100</v>
      </c>
      <c r="P346" s="1" t="s">
        <v>398</v>
      </c>
      <c r="Q346" s="1">
        <v>10</v>
      </c>
      <c r="R346" s="1">
        <v>30232</v>
      </c>
      <c r="S346" s="16">
        <v>1</v>
      </c>
      <c r="U346" s="1" t="s">
        <v>1370</v>
      </c>
      <c r="V346" s="17" t="s">
        <v>1382</v>
      </c>
      <c r="X346" s="17" t="s">
        <v>1383</v>
      </c>
      <c r="Y346" s="5" t="s">
        <v>1005</v>
      </c>
      <c r="Z346" s="21" t="s">
        <v>1135</v>
      </c>
      <c r="AA346" s="22" t="s">
        <v>1136</v>
      </c>
    </row>
    <row r="347" spans="1:27" s="1" customFormat="1" ht="49.5" x14ac:dyDescent="0.25">
      <c r="A347" s="13">
        <f t="shared" si="5"/>
        <v>433501</v>
      </c>
      <c r="B347" s="14">
        <v>4335</v>
      </c>
      <c r="C347" s="1" t="s">
        <v>729</v>
      </c>
      <c r="D347" s="12" t="s">
        <v>1244</v>
      </c>
      <c r="E347" s="3">
        <v>1</v>
      </c>
      <c r="F347" s="5" t="s">
        <v>712</v>
      </c>
      <c r="G347" s="3">
        <v>10</v>
      </c>
      <c r="K347" s="1">
        <v>4323</v>
      </c>
      <c r="L347" s="1">
        <v>7200</v>
      </c>
      <c r="M347" s="1">
        <v>6950</v>
      </c>
      <c r="N347" s="1" t="s">
        <v>1015</v>
      </c>
      <c r="O347" s="1">
        <v>100</v>
      </c>
      <c r="P347" s="1" t="s">
        <v>398</v>
      </c>
      <c r="Q347" s="1">
        <v>10</v>
      </c>
      <c r="R347" s="1">
        <v>20036</v>
      </c>
      <c r="S347" s="16">
        <v>1.4999999999999999E-2</v>
      </c>
      <c r="U347" s="1" t="s">
        <v>1244</v>
      </c>
      <c r="V347" s="17" t="s">
        <v>1245</v>
      </c>
      <c r="X347" s="17" t="s">
        <v>1246</v>
      </c>
      <c r="Y347" s="5" t="s">
        <v>1005</v>
      </c>
      <c r="Z347" s="21" t="s">
        <v>1207</v>
      </c>
      <c r="AA347" s="22" t="s">
        <v>1137</v>
      </c>
    </row>
    <row r="348" spans="1:27" s="1" customFormat="1" ht="49.5" x14ac:dyDescent="0.25">
      <c r="A348" s="13">
        <f t="shared" si="5"/>
        <v>433502</v>
      </c>
      <c r="B348" s="14">
        <v>4335</v>
      </c>
      <c r="C348" s="1" t="s">
        <v>729</v>
      </c>
      <c r="D348" s="12" t="s">
        <v>1244</v>
      </c>
      <c r="E348" s="3">
        <v>2</v>
      </c>
      <c r="F348" s="5" t="s">
        <v>712</v>
      </c>
      <c r="G348" s="3">
        <v>14</v>
      </c>
      <c r="K348" s="1">
        <v>4323</v>
      </c>
      <c r="L348" s="1">
        <v>7200</v>
      </c>
      <c r="M348" s="1">
        <v>6950</v>
      </c>
      <c r="N348" s="1" t="s">
        <v>1015</v>
      </c>
      <c r="O348" s="1">
        <v>100</v>
      </c>
      <c r="P348" s="1" t="s">
        <v>398</v>
      </c>
      <c r="Q348" s="1">
        <v>10</v>
      </c>
      <c r="R348" s="1">
        <v>20036</v>
      </c>
      <c r="S348" s="16">
        <v>1.4999999999999999E-2</v>
      </c>
      <c r="U348" s="1" t="s">
        <v>1244</v>
      </c>
      <c r="V348" s="17" t="s">
        <v>1245</v>
      </c>
      <c r="X348" s="17" t="s">
        <v>1246</v>
      </c>
      <c r="Y348" s="5" t="s">
        <v>1005</v>
      </c>
      <c r="Z348" s="21" t="s">
        <v>1207</v>
      </c>
      <c r="AA348" s="22" t="s">
        <v>1137</v>
      </c>
    </row>
    <row r="349" spans="1:27" s="1" customFormat="1" ht="49.5" x14ac:dyDescent="0.25">
      <c r="A349" s="13">
        <f t="shared" si="5"/>
        <v>434101</v>
      </c>
      <c r="B349" s="14">
        <v>4341</v>
      </c>
      <c r="C349" s="1" t="s">
        <v>729</v>
      </c>
      <c r="D349" s="12" t="s">
        <v>1236</v>
      </c>
      <c r="E349" s="3">
        <v>1</v>
      </c>
      <c r="F349" s="5" t="s">
        <v>712</v>
      </c>
      <c r="G349" s="3">
        <v>15</v>
      </c>
      <c r="K349" s="1">
        <v>4331</v>
      </c>
      <c r="L349" s="1">
        <v>9000</v>
      </c>
      <c r="M349" s="1">
        <v>7250</v>
      </c>
      <c r="N349" s="1" t="s">
        <v>1032</v>
      </c>
      <c r="O349" s="1">
        <v>100</v>
      </c>
      <c r="P349" s="1" t="s">
        <v>398</v>
      </c>
      <c r="Q349" s="1">
        <v>10</v>
      </c>
      <c r="R349" s="1">
        <v>20006</v>
      </c>
      <c r="S349" s="16">
        <v>1.4999999999999999E-2</v>
      </c>
      <c r="U349" s="1" t="s">
        <v>1236</v>
      </c>
      <c r="V349" s="17" t="s">
        <v>1237</v>
      </c>
      <c r="X349" s="17" t="s">
        <v>1238</v>
      </c>
      <c r="Y349" s="5" t="s">
        <v>1005</v>
      </c>
      <c r="Z349" s="21" t="s">
        <v>1200</v>
      </c>
      <c r="AA349" s="22" t="s">
        <v>1138</v>
      </c>
    </row>
    <row r="350" spans="1:27" s="1" customFormat="1" ht="49.5" x14ac:dyDescent="0.25">
      <c r="A350" s="13">
        <f t="shared" si="5"/>
        <v>434102</v>
      </c>
      <c r="B350" s="14">
        <v>4341</v>
      </c>
      <c r="C350" s="1" t="s">
        <v>729</v>
      </c>
      <c r="D350" s="12" t="s">
        <v>1236</v>
      </c>
      <c r="E350" s="3">
        <v>2</v>
      </c>
      <c r="F350" s="5" t="s">
        <v>712</v>
      </c>
      <c r="G350" s="3">
        <v>17</v>
      </c>
      <c r="K350" s="1">
        <v>4331</v>
      </c>
      <c r="L350" s="1">
        <v>9000</v>
      </c>
      <c r="M350" s="1">
        <v>7250</v>
      </c>
      <c r="N350" s="1" t="s">
        <v>1032</v>
      </c>
      <c r="O350" s="1">
        <v>100</v>
      </c>
      <c r="P350" s="1" t="s">
        <v>398</v>
      </c>
      <c r="Q350" s="1">
        <v>10</v>
      </c>
      <c r="R350" s="1">
        <v>20006</v>
      </c>
      <c r="S350" s="16">
        <v>1.4999999999999999E-2</v>
      </c>
      <c r="U350" s="1" t="s">
        <v>1236</v>
      </c>
      <c r="V350" s="17" t="s">
        <v>1237</v>
      </c>
      <c r="X350" s="17" t="s">
        <v>1238</v>
      </c>
      <c r="Y350" s="5" t="s">
        <v>1005</v>
      </c>
      <c r="Z350" s="21" t="s">
        <v>1200</v>
      </c>
      <c r="AA350" s="22" t="s">
        <v>1138</v>
      </c>
    </row>
    <row r="351" spans="1:27" s="1" customFormat="1" ht="49.5" x14ac:dyDescent="0.25">
      <c r="A351" s="13">
        <f t="shared" si="5"/>
        <v>434201</v>
      </c>
      <c r="B351" s="14">
        <v>4342</v>
      </c>
      <c r="C351" s="1" t="s">
        <v>729</v>
      </c>
      <c r="D351" s="12" t="s">
        <v>1258</v>
      </c>
      <c r="E351" s="3">
        <v>1</v>
      </c>
      <c r="F351" s="5" t="s">
        <v>712</v>
      </c>
      <c r="G351" s="3">
        <v>15</v>
      </c>
      <c r="K351" s="1">
        <v>4331</v>
      </c>
      <c r="L351" s="1">
        <v>9000</v>
      </c>
      <c r="M351" s="1">
        <v>7250</v>
      </c>
      <c r="N351" s="1" t="s">
        <v>1032</v>
      </c>
      <c r="O351" s="1">
        <v>100</v>
      </c>
      <c r="P351" s="1" t="s">
        <v>398</v>
      </c>
      <c r="Q351" s="1">
        <v>10</v>
      </c>
      <c r="R351" s="1">
        <v>20066</v>
      </c>
      <c r="S351" s="16">
        <v>7.4999999999999997E-3</v>
      </c>
      <c r="U351" s="1" t="s">
        <v>1258</v>
      </c>
      <c r="V351" s="17" t="s">
        <v>1259</v>
      </c>
      <c r="X351" s="17" t="s">
        <v>1260</v>
      </c>
      <c r="Y351" s="5" t="s">
        <v>1005</v>
      </c>
      <c r="Z351" s="21" t="s">
        <v>1196</v>
      </c>
      <c r="AA351" s="22" t="s">
        <v>1142</v>
      </c>
    </row>
    <row r="352" spans="1:27" s="1" customFormat="1" ht="49.5" x14ac:dyDescent="0.25">
      <c r="A352" s="13">
        <f t="shared" si="5"/>
        <v>434202</v>
      </c>
      <c r="B352" s="14">
        <v>4342</v>
      </c>
      <c r="C352" s="1" t="s">
        <v>729</v>
      </c>
      <c r="D352" s="12" t="s">
        <v>1258</v>
      </c>
      <c r="E352" s="3">
        <v>2</v>
      </c>
      <c r="F352" s="5" t="s">
        <v>712</v>
      </c>
      <c r="G352" s="3">
        <v>17</v>
      </c>
      <c r="K352" s="1">
        <v>4331</v>
      </c>
      <c r="L352" s="1">
        <v>9000</v>
      </c>
      <c r="M352" s="1">
        <v>7250</v>
      </c>
      <c r="N352" s="1" t="s">
        <v>1032</v>
      </c>
      <c r="O352" s="1">
        <v>100</v>
      </c>
      <c r="P352" s="1" t="s">
        <v>398</v>
      </c>
      <c r="Q352" s="1">
        <v>10</v>
      </c>
      <c r="R352" s="1">
        <v>20066</v>
      </c>
      <c r="S352" s="16">
        <v>7.4999999999999997E-3</v>
      </c>
      <c r="U352" s="1" t="s">
        <v>1258</v>
      </c>
      <c r="V352" s="17" t="s">
        <v>1259</v>
      </c>
      <c r="X352" s="17" t="s">
        <v>1260</v>
      </c>
      <c r="Y352" s="5" t="s">
        <v>1005</v>
      </c>
      <c r="Z352" s="21" t="s">
        <v>1196</v>
      </c>
      <c r="AA352" s="22" t="s">
        <v>1142</v>
      </c>
    </row>
    <row r="353" spans="1:29" s="1" customFormat="1" ht="49.5" x14ac:dyDescent="0.25">
      <c r="A353" s="13">
        <f t="shared" si="5"/>
        <v>434301</v>
      </c>
      <c r="B353" s="14">
        <v>4343</v>
      </c>
      <c r="C353" s="1" t="s">
        <v>729</v>
      </c>
      <c r="D353" s="12" t="s">
        <v>1384</v>
      </c>
      <c r="E353" s="3">
        <v>1</v>
      </c>
      <c r="F353" s="5" t="s">
        <v>712</v>
      </c>
      <c r="G353" s="3">
        <v>18</v>
      </c>
      <c r="K353" s="1" t="s">
        <v>1385</v>
      </c>
      <c r="L353" s="1">
        <v>9000</v>
      </c>
      <c r="M353" s="1">
        <v>7600</v>
      </c>
      <c r="N353" s="1" t="s">
        <v>1033</v>
      </c>
      <c r="O353" s="1">
        <v>100</v>
      </c>
      <c r="P353" s="1" t="s">
        <v>398</v>
      </c>
      <c r="Q353" s="1">
        <v>10</v>
      </c>
      <c r="R353" s="1" t="s">
        <v>1386</v>
      </c>
      <c r="S353" s="16" t="s">
        <v>1146</v>
      </c>
      <c r="U353" s="1" t="s">
        <v>1370</v>
      </c>
      <c r="V353" s="17" t="s">
        <v>1387</v>
      </c>
      <c r="X353" s="17" t="s">
        <v>1388</v>
      </c>
      <c r="Y353" s="5" t="s">
        <v>1005</v>
      </c>
      <c r="Z353" s="21" t="s">
        <v>1129</v>
      </c>
      <c r="AA353" s="22" t="s">
        <v>1149</v>
      </c>
    </row>
    <row r="354" spans="1:29" s="1" customFormat="1" ht="49.5" x14ac:dyDescent="0.25">
      <c r="A354" s="13">
        <f t="shared" si="5"/>
        <v>434401</v>
      </c>
      <c r="B354" s="14">
        <v>4344</v>
      </c>
      <c r="C354" s="1" t="s">
        <v>729</v>
      </c>
      <c r="D354" s="12" t="s">
        <v>1368</v>
      </c>
      <c r="E354" s="3">
        <v>1</v>
      </c>
      <c r="F354" s="5" t="s">
        <v>712</v>
      </c>
      <c r="G354" s="3">
        <v>20</v>
      </c>
      <c r="K354" s="1" t="s">
        <v>1389</v>
      </c>
      <c r="L354" s="1">
        <v>10800</v>
      </c>
      <c r="M354" s="1">
        <v>7900</v>
      </c>
      <c r="N354" s="1" t="s">
        <v>397</v>
      </c>
      <c r="O354" s="1">
        <v>100</v>
      </c>
      <c r="P354" s="1" t="s">
        <v>398</v>
      </c>
      <c r="Q354" s="1">
        <v>10</v>
      </c>
      <c r="R354" s="1" t="s">
        <v>1369</v>
      </c>
      <c r="S354" s="16" t="s">
        <v>222</v>
      </c>
      <c r="U354" s="1" t="s">
        <v>1370</v>
      </c>
      <c r="V354" s="17" t="s">
        <v>1371</v>
      </c>
      <c r="X354" s="17" t="s">
        <v>1372</v>
      </c>
      <c r="Y354" s="5" t="s">
        <v>1005</v>
      </c>
      <c r="Z354" s="21" t="s">
        <v>1113</v>
      </c>
      <c r="AA354" s="22" t="s">
        <v>1151</v>
      </c>
    </row>
    <row r="355" spans="1:29" s="1" customFormat="1" ht="49.5" x14ac:dyDescent="0.25">
      <c r="A355" s="13">
        <f t="shared" si="5"/>
        <v>434501</v>
      </c>
      <c r="B355" s="14">
        <v>4345</v>
      </c>
      <c r="C355" s="1" t="s">
        <v>729</v>
      </c>
      <c r="D355" s="12" t="s">
        <v>1390</v>
      </c>
      <c r="E355" s="3">
        <v>1</v>
      </c>
      <c r="F355" s="5" t="s">
        <v>712</v>
      </c>
      <c r="G355" s="3">
        <v>18</v>
      </c>
      <c r="K355" s="1" t="s">
        <v>1391</v>
      </c>
      <c r="L355" s="1">
        <v>9000</v>
      </c>
      <c r="M355" s="1">
        <v>7600</v>
      </c>
      <c r="N355" s="1" t="s">
        <v>1033</v>
      </c>
      <c r="O355" s="1">
        <v>100</v>
      </c>
      <c r="P355" s="1" t="s">
        <v>398</v>
      </c>
      <c r="Q355" s="1">
        <v>10</v>
      </c>
      <c r="R355" s="1" t="s">
        <v>1392</v>
      </c>
      <c r="S355" s="16" t="s">
        <v>1146</v>
      </c>
      <c r="U355" s="1" t="s">
        <v>1370</v>
      </c>
      <c r="V355" s="17" t="s">
        <v>1393</v>
      </c>
      <c r="X355" s="17" t="s">
        <v>1394</v>
      </c>
      <c r="Y355" s="5" t="s">
        <v>1005</v>
      </c>
      <c r="Z355" s="21" t="s">
        <v>1129</v>
      </c>
      <c r="AA355" s="22" t="s">
        <v>1157</v>
      </c>
    </row>
    <row r="356" spans="1:29" s="1" customFormat="1" ht="49.5" x14ac:dyDescent="0.25">
      <c r="A356" s="13">
        <f t="shared" si="5"/>
        <v>434601</v>
      </c>
      <c r="B356" s="14">
        <v>4346</v>
      </c>
      <c r="C356" s="1" t="s">
        <v>729</v>
      </c>
      <c r="D356" s="12" t="s">
        <v>1258</v>
      </c>
      <c r="E356" s="3">
        <v>1</v>
      </c>
      <c r="F356" s="5" t="s">
        <v>712</v>
      </c>
      <c r="G356" s="3">
        <v>15</v>
      </c>
      <c r="K356" s="1">
        <v>4335</v>
      </c>
      <c r="L356" s="1">
        <v>9000</v>
      </c>
      <c r="M356" s="1">
        <v>7250</v>
      </c>
      <c r="N356" s="1" t="s">
        <v>1032</v>
      </c>
      <c r="O356" s="1">
        <v>100</v>
      </c>
      <c r="P356" s="1" t="s">
        <v>398</v>
      </c>
      <c r="Q356" s="1">
        <v>10</v>
      </c>
      <c r="R356" s="1">
        <v>20066</v>
      </c>
      <c r="S356" s="16">
        <v>7.4999999999999997E-3</v>
      </c>
      <c r="U356" s="1" t="s">
        <v>1258</v>
      </c>
      <c r="V356" s="17" t="s">
        <v>1259</v>
      </c>
      <c r="X356" s="17" t="s">
        <v>1260</v>
      </c>
      <c r="Y356" s="5" t="s">
        <v>1005</v>
      </c>
      <c r="Z356" s="21" t="s">
        <v>1196</v>
      </c>
      <c r="AA356" s="22" t="s">
        <v>1158</v>
      </c>
    </row>
    <row r="357" spans="1:29" s="1" customFormat="1" ht="49.5" x14ac:dyDescent="0.25">
      <c r="A357" s="13">
        <f t="shared" si="5"/>
        <v>434602</v>
      </c>
      <c r="B357" s="14">
        <v>4346</v>
      </c>
      <c r="C357" s="1" t="s">
        <v>729</v>
      </c>
      <c r="D357" s="12" t="s">
        <v>1258</v>
      </c>
      <c r="E357" s="3">
        <v>2</v>
      </c>
      <c r="F357" s="5" t="s">
        <v>712</v>
      </c>
      <c r="G357" s="3">
        <v>17</v>
      </c>
      <c r="K357" s="1">
        <v>4335</v>
      </c>
      <c r="L357" s="1">
        <v>9000</v>
      </c>
      <c r="M357" s="1">
        <v>7250</v>
      </c>
      <c r="N357" s="1" t="s">
        <v>1032</v>
      </c>
      <c r="O357" s="1">
        <v>100</v>
      </c>
      <c r="P357" s="1" t="s">
        <v>398</v>
      </c>
      <c r="Q357" s="1">
        <v>10</v>
      </c>
      <c r="R357" s="1">
        <v>20066</v>
      </c>
      <c r="S357" s="16">
        <v>7.4999999999999997E-3</v>
      </c>
      <c r="U357" s="1" t="s">
        <v>1258</v>
      </c>
      <c r="V357" s="17" t="s">
        <v>1259</v>
      </c>
      <c r="X357" s="17" t="s">
        <v>1260</v>
      </c>
      <c r="Y357" s="5" t="s">
        <v>1005</v>
      </c>
      <c r="Z357" s="21" t="s">
        <v>1196</v>
      </c>
      <c r="AA357" s="22" t="s">
        <v>1158</v>
      </c>
    </row>
    <row r="358" spans="1:29" s="1" customFormat="1" ht="49.5" x14ac:dyDescent="0.25">
      <c r="A358" s="13">
        <f t="shared" si="5"/>
        <v>434701</v>
      </c>
      <c r="B358" s="14">
        <v>4347</v>
      </c>
      <c r="C358" s="1" t="s">
        <v>729</v>
      </c>
      <c r="D358" s="12" t="s">
        <v>1244</v>
      </c>
      <c r="E358" s="3">
        <v>1</v>
      </c>
      <c r="F358" s="5" t="s">
        <v>712</v>
      </c>
      <c r="G358" s="3">
        <v>15</v>
      </c>
      <c r="K358" s="1">
        <v>4335</v>
      </c>
      <c r="L358" s="1">
        <v>9000</v>
      </c>
      <c r="M358" s="1">
        <v>7250</v>
      </c>
      <c r="N358" s="1" t="s">
        <v>1032</v>
      </c>
      <c r="O358" s="1">
        <v>100</v>
      </c>
      <c r="P358" s="1" t="s">
        <v>398</v>
      </c>
      <c r="Q358" s="1">
        <v>10</v>
      </c>
      <c r="R358" s="1">
        <v>20036</v>
      </c>
      <c r="S358" s="16">
        <v>1.4999999999999999E-2</v>
      </c>
      <c r="U358" s="1" t="s">
        <v>1244</v>
      </c>
      <c r="V358" s="17" t="s">
        <v>1245</v>
      </c>
      <c r="X358" s="17" t="s">
        <v>1246</v>
      </c>
      <c r="Y358" s="5" t="s">
        <v>1005</v>
      </c>
      <c r="Z358" s="21" t="s">
        <v>1207</v>
      </c>
      <c r="AA358" s="22" t="s">
        <v>1159</v>
      </c>
    </row>
    <row r="359" spans="1:29" s="1" customFormat="1" ht="49.5" x14ac:dyDescent="0.25">
      <c r="A359" s="13">
        <f t="shared" si="5"/>
        <v>434702</v>
      </c>
      <c r="B359" s="14">
        <v>4347</v>
      </c>
      <c r="C359" s="1" t="s">
        <v>729</v>
      </c>
      <c r="D359" s="12" t="s">
        <v>1244</v>
      </c>
      <c r="E359" s="3">
        <v>2</v>
      </c>
      <c r="F359" s="5" t="s">
        <v>712</v>
      </c>
      <c r="G359" s="3">
        <v>15</v>
      </c>
      <c r="K359" s="1">
        <v>4335</v>
      </c>
      <c r="L359" s="1">
        <v>9000</v>
      </c>
      <c r="M359" s="1">
        <v>7250</v>
      </c>
      <c r="N359" s="1" t="s">
        <v>1032</v>
      </c>
      <c r="O359" s="1">
        <v>100</v>
      </c>
      <c r="P359" s="1" t="s">
        <v>398</v>
      </c>
      <c r="Q359" s="1">
        <v>10</v>
      </c>
      <c r="R359" s="1">
        <v>20036</v>
      </c>
      <c r="S359" s="16">
        <v>1.4999999999999999E-2</v>
      </c>
      <c r="U359" s="1" t="s">
        <v>1244</v>
      </c>
      <c r="V359" s="17" t="s">
        <v>1245</v>
      </c>
      <c r="X359" s="17" t="s">
        <v>1246</v>
      </c>
      <c r="Y359" s="5" t="s">
        <v>1005</v>
      </c>
      <c r="Z359" s="21" t="s">
        <v>1207</v>
      </c>
      <c r="AA359" s="22" t="s">
        <v>1159</v>
      </c>
    </row>
    <row r="360" spans="1:29" s="1" customFormat="1" ht="49.5" x14ac:dyDescent="0.25">
      <c r="A360" s="13">
        <f t="shared" si="5"/>
        <v>511101</v>
      </c>
      <c r="B360" s="14">
        <v>5111</v>
      </c>
      <c r="C360" s="1" t="s">
        <v>736</v>
      </c>
      <c r="D360" s="12" t="s">
        <v>1169</v>
      </c>
      <c r="E360" s="3">
        <v>1</v>
      </c>
      <c r="F360" s="5" t="s">
        <v>396</v>
      </c>
      <c r="G360" s="3">
        <v>1</v>
      </c>
      <c r="L360" s="1">
        <v>3600</v>
      </c>
      <c r="M360" s="1">
        <v>2500</v>
      </c>
      <c r="N360" s="1" t="s">
        <v>999</v>
      </c>
      <c r="O360" s="1">
        <v>100</v>
      </c>
      <c r="P360" s="1" t="s">
        <v>398</v>
      </c>
      <c r="Q360" s="1">
        <v>10</v>
      </c>
      <c r="R360" s="1" t="s">
        <v>1395</v>
      </c>
      <c r="S360" s="16" t="s">
        <v>1001</v>
      </c>
      <c r="U360" s="1" t="s">
        <v>1396</v>
      </c>
      <c r="V360" s="17" t="s">
        <v>1397</v>
      </c>
      <c r="W360" s="5"/>
      <c r="X360" s="1" t="s">
        <v>1398</v>
      </c>
      <c r="Y360" s="5" t="s">
        <v>1005</v>
      </c>
      <c r="Z360" s="21" t="s">
        <v>1399</v>
      </c>
      <c r="AA360" s="22" t="s">
        <v>407</v>
      </c>
      <c r="AC360" s="22"/>
    </row>
    <row r="361" spans="1:29" s="1" customFormat="1" ht="49.5" x14ac:dyDescent="0.25">
      <c r="A361" s="13">
        <f t="shared" si="5"/>
        <v>511102</v>
      </c>
      <c r="B361" s="14">
        <v>5111</v>
      </c>
      <c r="C361" s="1" t="s">
        <v>736</v>
      </c>
      <c r="D361" s="12" t="s">
        <v>1169</v>
      </c>
      <c r="E361" s="3">
        <v>2</v>
      </c>
      <c r="F361" s="5" t="s">
        <v>396</v>
      </c>
      <c r="G361" s="3">
        <v>1</v>
      </c>
      <c r="L361" s="1">
        <v>3600</v>
      </c>
      <c r="M361" s="1">
        <v>2500</v>
      </c>
      <c r="N361" s="1" t="s">
        <v>999</v>
      </c>
      <c r="O361" s="1">
        <v>100</v>
      </c>
      <c r="P361" s="1" t="s">
        <v>398</v>
      </c>
      <c r="Q361" s="1">
        <v>10</v>
      </c>
      <c r="R361" s="1" t="s">
        <v>1395</v>
      </c>
      <c r="S361" s="16" t="s">
        <v>1001</v>
      </c>
      <c r="U361" s="1" t="s">
        <v>1396</v>
      </c>
      <c r="V361" s="17" t="s">
        <v>1397</v>
      </c>
      <c r="W361" s="5"/>
      <c r="X361" s="1" t="s">
        <v>1398</v>
      </c>
      <c r="Y361" s="5" t="s">
        <v>1005</v>
      </c>
      <c r="Z361" s="21" t="s">
        <v>1399</v>
      </c>
      <c r="AA361" s="22" t="s">
        <v>407</v>
      </c>
      <c r="AC361" s="22"/>
    </row>
    <row r="362" spans="1:29" s="1" customFormat="1" ht="49.5" x14ac:dyDescent="0.25">
      <c r="A362" s="13">
        <f t="shared" si="5"/>
        <v>511103</v>
      </c>
      <c r="B362" s="14">
        <v>5111</v>
      </c>
      <c r="C362" s="1" t="s">
        <v>736</v>
      </c>
      <c r="D362" s="12" t="s">
        <v>1169</v>
      </c>
      <c r="E362" s="3">
        <v>3</v>
      </c>
      <c r="F362" s="5" t="s">
        <v>396</v>
      </c>
      <c r="G362" s="3">
        <v>1</v>
      </c>
      <c r="L362" s="1">
        <v>3600</v>
      </c>
      <c r="M362" s="1">
        <v>2500</v>
      </c>
      <c r="N362" s="1" t="s">
        <v>999</v>
      </c>
      <c r="O362" s="1">
        <v>100</v>
      </c>
      <c r="P362" s="1" t="s">
        <v>398</v>
      </c>
      <c r="Q362" s="1">
        <v>10</v>
      </c>
      <c r="R362" s="1" t="s">
        <v>1395</v>
      </c>
      <c r="S362" s="16" t="s">
        <v>1001</v>
      </c>
      <c r="U362" s="1" t="s">
        <v>1396</v>
      </c>
      <c r="V362" s="17" t="s">
        <v>1397</v>
      </c>
      <c r="W362" s="5"/>
      <c r="X362" s="1" t="s">
        <v>1398</v>
      </c>
      <c r="Y362" s="5" t="s">
        <v>1005</v>
      </c>
      <c r="Z362" s="21" t="s">
        <v>1399</v>
      </c>
      <c r="AA362" s="22" t="s">
        <v>407</v>
      </c>
      <c r="AC362" s="22"/>
    </row>
    <row r="363" spans="1:29" s="1" customFormat="1" ht="49.5" x14ac:dyDescent="0.25">
      <c r="A363" s="13">
        <f t="shared" si="5"/>
        <v>511104</v>
      </c>
      <c r="B363" s="14">
        <v>5111</v>
      </c>
      <c r="C363" s="1" t="s">
        <v>736</v>
      </c>
      <c r="D363" s="12" t="s">
        <v>1169</v>
      </c>
      <c r="E363" s="3">
        <v>4</v>
      </c>
      <c r="F363" s="5" t="s">
        <v>396</v>
      </c>
      <c r="G363" s="3">
        <v>2</v>
      </c>
      <c r="L363" s="1">
        <v>3600</v>
      </c>
      <c r="M363" s="1">
        <v>2500</v>
      </c>
      <c r="N363" s="1" t="s">
        <v>999</v>
      </c>
      <c r="O363" s="1">
        <v>100</v>
      </c>
      <c r="P363" s="1" t="s">
        <v>398</v>
      </c>
      <c r="Q363" s="1">
        <v>10</v>
      </c>
      <c r="R363" s="1" t="s">
        <v>1395</v>
      </c>
      <c r="S363" s="16" t="s">
        <v>1001</v>
      </c>
      <c r="U363" s="1" t="s">
        <v>1396</v>
      </c>
      <c r="V363" s="17" t="s">
        <v>1397</v>
      </c>
      <c r="W363" s="5"/>
      <c r="X363" s="1" t="s">
        <v>1398</v>
      </c>
      <c r="Y363" s="5" t="s">
        <v>1005</v>
      </c>
      <c r="Z363" s="21" t="s">
        <v>1399</v>
      </c>
      <c r="AA363" s="22" t="s">
        <v>407</v>
      </c>
      <c r="AC363" s="22"/>
    </row>
    <row r="364" spans="1:29" s="1" customFormat="1" ht="49.5" x14ac:dyDescent="0.25">
      <c r="A364" s="13">
        <f t="shared" si="5"/>
        <v>511105</v>
      </c>
      <c r="B364" s="14">
        <v>5111</v>
      </c>
      <c r="C364" s="1" t="s">
        <v>736</v>
      </c>
      <c r="D364" s="12" t="s">
        <v>1169</v>
      </c>
      <c r="E364" s="3">
        <v>5</v>
      </c>
      <c r="F364" s="5" t="s">
        <v>396</v>
      </c>
      <c r="G364" s="3">
        <v>2</v>
      </c>
      <c r="L364" s="1">
        <v>3600</v>
      </c>
      <c r="M364" s="1">
        <v>2500</v>
      </c>
      <c r="N364" s="1" t="s">
        <v>999</v>
      </c>
      <c r="O364" s="1">
        <v>100</v>
      </c>
      <c r="P364" s="1" t="s">
        <v>398</v>
      </c>
      <c r="Q364" s="1">
        <v>10</v>
      </c>
      <c r="R364" s="1" t="s">
        <v>1395</v>
      </c>
      <c r="S364" s="16" t="s">
        <v>1001</v>
      </c>
      <c r="U364" s="1" t="s">
        <v>1396</v>
      </c>
      <c r="V364" s="17" t="s">
        <v>1397</v>
      </c>
      <c r="W364" s="5"/>
      <c r="X364" s="1" t="s">
        <v>1398</v>
      </c>
      <c r="Y364" s="5" t="s">
        <v>1005</v>
      </c>
      <c r="Z364" s="21" t="s">
        <v>1399</v>
      </c>
      <c r="AA364" s="22" t="s">
        <v>407</v>
      </c>
      <c r="AC364" s="22"/>
    </row>
    <row r="365" spans="1:29" s="1" customFormat="1" ht="49.5" x14ac:dyDescent="0.25">
      <c r="A365" s="13">
        <f t="shared" si="5"/>
        <v>512101</v>
      </c>
      <c r="B365" s="14">
        <v>5121</v>
      </c>
      <c r="C365" s="1" t="s">
        <v>736</v>
      </c>
      <c r="D365" s="15" t="s">
        <v>1400</v>
      </c>
      <c r="E365" s="3">
        <v>1</v>
      </c>
      <c r="F365" s="5" t="s">
        <v>396</v>
      </c>
      <c r="G365" s="3">
        <v>5</v>
      </c>
      <c r="K365" s="1">
        <v>5111</v>
      </c>
      <c r="L365" s="1">
        <v>5400</v>
      </c>
      <c r="M365" s="1">
        <v>2650</v>
      </c>
      <c r="N365" s="1" t="s">
        <v>1008</v>
      </c>
      <c r="O365" s="1">
        <v>100</v>
      </c>
      <c r="P365" s="1" t="s">
        <v>398</v>
      </c>
      <c r="Q365" s="1">
        <v>10</v>
      </c>
      <c r="R365" s="1">
        <v>1058</v>
      </c>
      <c r="S365" s="16">
        <v>8.0000000000000002E-3</v>
      </c>
      <c r="U365" s="1" t="s">
        <v>1401</v>
      </c>
      <c r="V365" s="17" t="s">
        <v>520</v>
      </c>
      <c r="W365" s="5"/>
      <c r="X365" s="17" t="s">
        <v>522</v>
      </c>
      <c r="Y365" s="5" t="s">
        <v>1005</v>
      </c>
      <c r="Z365" s="21" t="s">
        <v>1402</v>
      </c>
      <c r="AA365" s="22" t="s">
        <v>420</v>
      </c>
      <c r="AC365" s="22"/>
    </row>
    <row r="366" spans="1:29" s="1" customFormat="1" ht="49.5" x14ac:dyDescent="0.25">
      <c r="A366" s="13">
        <f t="shared" si="5"/>
        <v>512102</v>
      </c>
      <c r="B366" s="14">
        <v>5121</v>
      </c>
      <c r="C366" s="1" t="s">
        <v>736</v>
      </c>
      <c r="D366" s="15" t="s">
        <v>1400</v>
      </c>
      <c r="E366" s="3">
        <v>2</v>
      </c>
      <c r="F366" s="5" t="s">
        <v>396</v>
      </c>
      <c r="G366" s="3">
        <v>6</v>
      </c>
      <c r="K366" s="1">
        <v>5111</v>
      </c>
      <c r="L366" s="1">
        <v>5400</v>
      </c>
      <c r="M366" s="1">
        <v>2650</v>
      </c>
      <c r="N366" s="1" t="s">
        <v>1008</v>
      </c>
      <c r="O366" s="1">
        <v>100</v>
      </c>
      <c r="P366" s="1" t="s">
        <v>398</v>
      </c>
      <c r="Q366" s="1">
        <v>10</v>
      </c>
      <c r="R366" s="1">
        <v>1058</v>
      </c>
      <c r="S366" s="16">
        <v>8.0000000000000002E-3</v>
      </c>
      <c r="U366" s="1" t="s">
        <v>1401</v>
      </c>
      <c r="V366" s="17" t="s">
        <v>520</v>
      </c>
      <c r="W366" s="5"/>
      <c r="X366" s="17" t="s">
        <v>522</v>
      </c>
      <c r="Y366" s="5" t="s">
        <v>1005</v>
      </c>
      <c r="Z366" s="21" t="s">
        <v>1402</v>
      </c>
      <c r="AA366" s="22" t="s">
        <v>420</v>
      </c>
      <c r="AC366" s="22"/>
    </row>
    <row r="367" spans="1:29" s="1" customFormat="1" ht="49.5" x14ac:dyDescent="0.25">
      <c r="A367" s="13">
        <f t="shared" si="5"/>
        <v>512103</v>
      </c>
      <c r="B367" s="14">
        <v>5121</v>
      </c>
      <c r="C367" s="1" t="s">
        <v>736</v>
      </c>
      <c r="D367" s="15" t="s">
        <v>1400</v>
      </c>
      <c r="E367" s="3">
        <v>3</v>
      </c>
      <c r="F367" s="5" t="s">
        <v>396</v>
      </c>
      <c r="G367" s="3">
        <v>7</v>
      </c>
      <c r="K367" s="1">
        <v>5111</v>
      </c>
      <c r="L367" s="1">
        <v>5400</v>
      </c>
      <c r="M367" s="1">
        <v>2650</v>
      </c>
      <c r="N367" s="1" t="s">
        <v>1008</v>
      </c>
      <c r="O367" s="1">
        <v>100</v>
      </c>
      <c r="P367" s="1" t="s">
        <v>398</v>
      </c>
      <c r="Q367" s="1">
        <v>10</v>
      </c>
      <c r="R367" s="1">
        <v>1058</v>
      </c>
      <c r="S367" s="16">
        <v>8.0000000000000002E-3</v>
      </c>
      <c r="U367" s="1" t="s">
        <v>1401</v>
      </c>
      <c r="V367" s="17" t="s">
        <v>520</v>
      </c>
      <c r="W367" s="5"/>
      <c r="X367" s="17" t="s">
        <v>522</v>
      </c>
      <c r="Y367" s="5" t="s">
        <v>1005</v>
      </c>
      <c r="Z367" s="21" t="s">
        <v>1402</v>
      </c>
      <c r="AA367" s="22" t="s">
        <v>420</v>
      </c>
      <c r="AC367" s="22"/>
    </row>
    <row r="368" spans="1:29" s="1" customFormat="1" ht="49.5" x14ac:dyDescent="0.25">
      <c r="A368" s="13">
        <f t="shared" si="5"/>
        <v>512104</v>
      </c>
      <c r="B368" s="14">
        <v>5121</v>
      </c>
      <c r="C368" s="1" t="s">
        <v>736</v>
      </c>
      <c r="D368" s="15" t="s">
        <v>1400</v>
      </c>
      <c r="E368" s="3">
        <v>4</v>
      </c>
      <c r="F368" s="5" t="s">
        <v>396</v>
      </c>
      <c r="G368" s="3">
        <v>8</v>
      </c>
      <c r="K368" s="1">
        <v>5111</v>
      </c>
      <c r="L368" s="1">
        <v>5400</v>
      </c>
      <c r="M368" s="1">
        <v>2650</v>
      </c>
      <c r="N368" s="1" t="s">
        <v>1008</v>
      </c>
      <c r="O368" s="1">
        <v>100</v>
      </c>
      <c r="P368" s="1" t="s">
        <v>398</v>
      </c>
      <c r="Q368" s="1">
        <v>10</v>
      </c>
      <c r="R368" s="1">
        <v>1058</v>
      </c>
      <c r="S368" s="16">
        <v>8.0000000000000002E-3</v>
      </c>
      <c r="U368" s="1" t="s">
        <v>1401</v>
      </c>
      <c r="V368" s="17" t="s">
        <v>520</v>
      </c>
      <c r="W368" s="5"/>
      <c r="X368" s="17" t="s">
        <v>522</v>
      </c>
      <c r="Y368" s="5" t="s">
        <v>1005</v>
      </c>
      <c r="Z368" s="21" t="s">
        <v>1402</v>
      </c>
      <c r="AA368" s="22" t="s">
        <v>420</v>
      </c>
      <c r="AC368" s="22"/>
    </row>
    <row r="369" spans="1:29" s="1" customFormat="1" ht="49.5" x14ac:dyDescent="0.25">
      <c r="A369" s="13">
        <f t="shared" si="5"/>
        <v>512105</v>
      </c>
      <c r="B369" s="14">
        <v>5121</v>
      </c>
      <c r="C369" s="1" t="s">
        <v>736</v>
      </c>
      <c r="D369" s="15" t="s">
        <v>1400</v>
      </c>
      <c r="E369" s="3">
        <v>5</v>
      </c>
      <c r="F369" s="5" t="s">
        <v>396</v>
      </c>
      <c r="G369" s="3">
        <v>9</v>
      </c>
      <c r="K369" s="1">
        <v>5111</v>
      </c>
      <c r="L369" s="1">
        <v>5400</v>
      </c>
      <c r="M369" s="1">
        <v>2650</v>
      </c>
      <c r="N369" s="1" t="s">
        <v>1008</v>
      </c>
      <c r="O369" s="1">
        <v>100</v>
      </c>
      <c r="P369" s="1" t="s">
        <v>398</v>
      </c>
      <c r="Q369" s="1">
        <v>10</v>
      </c>
      <c r="R369" s="1">
        <v>1058</v>
      </c>
      <c r="S369" s="16">
        <v>8.0000000000000002E-3</v>
      </c>
      <c r="U369" s="1" t="s">
        <v>1401</v>
      </c>
      <c r="V369" s="17" t="s">
        <v>520</v>
      </c>
      <c r="W369" s="5"/>
      <c r="X369" s="17" t="s">
        <v>522</v>
      </c>
      <c r="Y369" s="5" t="s">
        <v>1005</v>
      </c>
      <c r="Z369" s="21" t="s">
        <v>1402</v>
      </c>
      <c r="AA369" s="22" t="s">
        <v>420</v>
      </c>
      <c r="AC369" s="22"/>
    </row>
    <row r="370" spans="1:29" s="1" customFormat="1" ht="49.5" x14ac:dyDescent="0.25">
      <c r="A370" s="13">
        <f t="shared" si="5"/>
        <v>512201</v>
      </c>
      <c r="B370" s="14">
        <v>5122</v>
      </c>
      <c r="C370" s="1" t="s">
        <v>736</v>
      </c>
      <c r="D370" s="12" t="s">
        <v>1169</v>
      </c>
      <c r="E370" s="3">
        <v>1</v>
      </c>
      <c r="F370" s="5" t="s">
        <v>396</v>
      </c>
      <c r="G370" s="3">
        <v>5</v>
      </c>
      <c r="K370" s="1">
        <v>5111</v>
      </c>
      <c r="L370" s="1">
        <v>5400</v>
      </c>
      <c r="M370" s="1">
        <v>2650</v>
      </c>
      <c r="N370" s="1" t="s">
        <v>1008</v>
      </c>
      <c r="O370" s="1">
        <v>100</v>
      </c>
      <c r="P370" s="1" t="s">
        <v>398</v>
      </c>
      <c r="Q370" s="1">
        <v>10</v>
      </c>
      <c r="R370" s="1" t="s">
        <v>1395</v>
      </c>
      <c r="S370" s="16" t="s">
        <v>1001</v>
      </c>
      <c r="U370" s="1" t="s">
        <v>1396</v>
      </c>
      <c r="V370" s="17" t="s">
        <v>1397</v>
      </c>
      <c r="W370" s="5"/>
      <c r="X370" s="1" t="s">
        <v>1398</v>
      </c>
      <c r="Y370" s="5" t="s">
        <v>1005</v>
      </c>
      <c r="Z370" s="21" t="s">
        <v>1399</v>
      </c>
      <c r="AA370" s="22" t="s">
        <v>433</v>
      </c>
      <c r="AC370" s="22"/>
    </row>
    <row r="371" spans="1:29" s="1" customFormat="1" ht="49.5" x14ac:dyDescent="0.25">
      <c r="A371" s="13">
        <f t="shared" si="5"/>
        <v>512202</v>
      </c>
      <c r="B371" s="14">
        <v>5122</v>
      </c>
      <c r="C371" s="1" t="s">
        <v>736</v>
      </c>
      <c r="D371" s="12" t="s">
        <v>1169</v>
      </c>
      <c r="E371" s="3">
        <v>2</v>
      </c>
      <c r="F371" s="5" t="s">
        <v>396</v>
      </c>
      <c r="G371" s="3">
        <v>6</v>
      </c>
      <c r="K371" s="1">
        <v>5111</v>
      </c>
      <c r="L371" s="1">
        <v>5400</v>
      </c>
      <c r="M371" s="1">
        <v>2650</v>
      </c>
      <c r="N371" s="1" t="s">
        <v>1008</v>
      </c>
      <c r="O371" s="1">
        <v>100</v>
      </c>
      <c r="P371" s="1" t="s">
        <v>398</v>
      </c>
      <c r="Q371" s="1">
        <v>10</v>
      </c>
      <c r="R371" s="1" t="s">
        <v>1395</v>
      </c>
      <c r="S371" s="16" t="s">
        <v>1001</v>
      </c>
      <c r="U371" s="1" t="s">
        <v>1396</v>
      </c>
      <c r="V371" s="17" t="s">
        <v>1397</v>
      </c>
      <c r="W371" s="5"/>
      <c r="X371" s="1" t="s">
        <v>1398</v>
      </c>
      <c r="Y371" s="5" t="s">
        <v>1005</v>
      </c>
      <c r="Z371" s="21" t="s">
        <v>1399</v>
      </c>
      <c r="AA371" s="22" t="s">
        <v>433</v>
      </c>
      <c r="AC371" s="22"/>
    </row>
    <row r="372" spans="1:29" s="1" customFormat="1" ht="49.5" x14ac:dyDescent="0.25">
      <c r="A372" s="13">
        <f t="shared" si="5"/>
        <v>512203</v>
      </c>
      <c r="B372" s="14">
        <v>5122</v>
      </c>
      <c r="C372" s="1" t="s">
        <v>736</v>
      </c>
      <c r="D372" s="12" t="s">
        <v>1169</v>
      </c>
      <c r="E372" s="3">
        <v>3</v>
      </c>
      <c r="F372" s="5" t="s">
        <v>396</v>
      </c>
      <c r="G372" s="3">
        <v>7</v>
      </c>
      <c r="K372" s="1">
        <v>5111</v>
      </c>
      <c r="L372" s="1">
        <v>5400</v>
      </c>
      <c r="M372" s="1">
        <v>2650</v>
      </c>
      <c r="N372" s="1" t="s">
        <v>1008</v>
      </c>
      <c r="O372" s="1">
        <v>100</v>
      </c>
      <c r="P372" s="1" t="s">
        <v>398</v>
      </c>
      <c r="Q372" s="1">
        <v>10</v>
      </c>
      <c r="R372" s="1" t="s">
        <v>1395</v>
      </c>
      <c r="S372" s="16" t="s">
        <v>1001</v>
      </c>
      <c r="U372" s="1" t="s">
        <v>1396</v>
      </c>
      <c r="V372" s="17" t="s">
        <v>1397</v>
      </c>
      <c r="W372" s="5"/>
      <c r="X372" s="1" t="s">
        <v>1398</v>
      </c>
      <c r="Y372" s="5" t="s">
        <v>1005</v>
      </c>
      <c r="Z372" s="21" t="s">
        <v>1399</v>
      </c>
      <c r="AA372" s="22" t="s">
        <v>433</v>
      </c>
      <c r="AC372" s="22"/>
    </row>
    <row r="373" spans="1:29" s="1" customFormat="1" ht="49.5" x14ac:dyDescent="0.25">
      <c r="A373" s="13">
        <f t="shared" si="5"/>
        <v>512204</v>
      </c>
      <c r="B373" s="14">
        <v>5122</v>
      </c>
      <c r="C373" s="1" t="s">
        <v>736</v>
      </c>
      <c r="D373" s="12" t="s">
        <v>1169</v>
      </c>
      <c r="E373" s="3">
        <v>4</v>
      </c>
      <c r="F373" s="5" t="s">
        <v>396</v>
      </c>
      <c r="G373" s="3">
        <v>8</v>
      </c>
      <c r="K373" s="1">
        <v>5111</v>
      </c>
      <c r="L373" s="1">
        <v>5400</v>
      </c>
      <c r="M373" s="1">
        <v>2650</v>
      </c>
      <c r="N373" s="1" t="s">
        <v>1008</v>
      </c>
      <c r="O373" s="1">
        <v>100</v>
      </c>
      <c r="P373" s="1" t="s">
        <v>398</v>
      </c>
      <c r="Q373" s="1">
        <v>10</v>
      </c>
      <c r="R373" s="1" t="s">
        <v>1395</v>
      </c>
      <c r="S373" s="16" t="s">
        <v>1001</v>
      </c>
      <c r="U373" s="1" t="s">
        <v>1396</v>
      </c>
      <c r="V373" s="17" t="s">
        <v>1397</v>
      </c>
      <c r="W373" s="5"/>
      <c r="X373" s="1" t="s">
        <v>1398</v>
      </c>
      <c r="Y373" s="5" t="s">
        <v>1005</v>
      </c>
      <c r="Z373" s="21" t="s">
        <v>1399</v>
      </c>
      <c r="AA373" s="22" t="s">
        <v>433</v>
      </c>
      <c r="AC373" s="22"/>
    </row>
    <row r="374" spans="1:29" s="1" customFormat="1" ht="49.5" x14ac:dyDescent="0.25">
      <c r="A374" s="13">
        <f t="shared" si="5"/>
        <v>512205</v>
      </c>
      <c r="B374" s="14">
        <v>5122</v>
      </c>
      <c r="C374" s="1" t="s">
        <v>736</v>
      </c>
      <c r="D374" s="12" t="s">
        <v>1169</v>
      </c>
      <c r="E374" s="3">
        <v>5</v>
      </c>
      <c r="F374" s="5" t="s">
        <v>396</v>
      </c>
      <c r="G374" s="3">
        <v>9</v>
      </c>
      <c r="K374" s="1">
        <v>5111</v>
      </c>
      <c r="L374" s="1">
        <v>5400</v>
      </c>
      <c r="M374" s="1">
        <v>2650</v>
      </c>
      <c r="N374" s="1" t="s">
        <v>1008</v>
      </c>
      <c r="O374" s="1">
        <v>100</v>
      </c>
      <c r="P374" s="1" t="s">
        <v>398</v>
      </c>
      <c r="Q374" s="1">
        <v>10</v>
      </c>
      <c r="R374" s="1" t="s">
        <v>1395</v>
      </c>
      <c r="S374" s="16" t="s">
        <v>1001</v>
      </c>
      <c r="U374" s="1" t="s">
        <v>1396</v>
      </c>
      <c r="V374" s="17" t="s">
        <v>1397</v>
      </c>
      <c r="W374" s="5"/>
      <c r="X374" s="1" t="s">
        <v>1398</v>
      </c>
      <c r="Y374" s="5" t="s">
        <v>1005</v>
      </c>
      <c r="Z374" s="21" t="s">
        <v>1399</v>
      </c>
      <c r="AA374" s="22" t="s">
        <v>433</v>
      </c>
      <c r="AC374" s="22"/>
    </row>
    <row r="375" spans="1:29" s="1" customFormat="1" ht="49.5" x14ac:dyDescent="0.25">
      <c r="A375" s="13">
        <f t="shared" si="5"/>
        <v>512301</v>
      </c>
      <c r="B375" s="14">
        <v>5123</v>
      </c>
      <c r="C375" s="1" t="s">
        <v>736</v>
      </c>
      <c r="D375" s="15" t="s">
        <v>1403</v>
      </c>
      <c r="E375" s="3">
        <v>1</v>
      </c>
      <c r="F375" s="5" t="s">
        <v>396</v>
      </c>
      <c r="G375" s="3">
        <v>5</v>
      </c>
      <c r="K375" s="1">
        <v>5111</v>
      </c>
      <c r="L375" s="1">
        <v>5400</v>
      </c>
      <c r="M375" s="1">
        <v>2650</v>
      </c>
      <c r="N375" s="1" t="s">
        <v>1008</v>
      </c>
      <c r="O375" s="1">
        <v>100</v>
      </c>
      <c r="P375" s="1" t="s">
        <v>398</v>
      </c>
      <c r="Q375" s="1">
        <v>10</v>
      </c>
      <c r="R375" s="1">
        <v>1063</v>
      </c>
      <c r="S375" s="16">
        <v>4.0000000000000001E-3</v>
      </c>
      <c r="U375" s="1" t="s">
        <v>1404</v>
      </c>
      <c r="V375" s="17" t="s">
        <v>1405</v>
      </c>
      <c r="W375" s="5"/>
      <c r="X375" s="17" t="s">
        <v>1406</v>
      </c>
      <c r="Y375" s="5" t="s">
        <v>1005</v>
      </c>
      <c r="Z375" s="21" t="s">
        <v>1402</v>
      </c>
      <c r="AA375" s="22" t="s">
        <v>445</v>
      </c>
      <c r="AC375" s="22"/>
    </row>
    <row r="376" spans="1:29" s="1" customFormat="1" ht="49.5" x14ac:dyDescent="0.25">
      <c r="A376" s="13">
        <f t="shared" si="5"/>
        <v>512302</v>
      </c>
      <c r="B376" s="14">
        <v>5123</v>
      </c>
      <c r="C376" s="1" t="s">
        <v>736</v>
      </c>
      <c r="D376" s="15" t="s">
        <v>1403</v>
      </c>
      <c r="E376" s="3">
        <v>2</v>
      </c>
      <c r="F376" s="5" t="s">
        <v>396</v>
      </c>
      <c r="G376" s="3">
        <v>6</v>
      </c>
      <c r="K376" s="1">
        <v>5111</v>
      </c>
      <c r="L376" s="1">
        <v>5400</v>
      </c>
      <c r="M376" s="1">
        <v>2650</v>
      </c>
      <c r="N376" s="1" t="s">
        <v>1008</v>
      </c>
      <c r="O376" s="1">
        <v>100</v>
      </c>
      <c r="P376" s="1" t="s">
        <v>398</v>
      </c>
      <c r="Q376" s="1">
        <v>10</v>
      </c>
      <c r="R376" s="1">
        <v>1063</v>
      </c>
      <c r="S376" s="16">
        <v>4.0000000000000001E-3</v>
      </c>
      <c r="U376" s="1" t="s">
        <v>1404</v>
      </c>
      <c r="V376" s="17" t="s">
        <v>1405</v>
      </c>
      <c r="W376" s="5"/>
      <c r="X376" s="17" t="s">
        <v>1406</v>
      </c>
      <c r="Y376" s="5" t="s">
        <v>1005</v>
      </c>
      <c r="Z376" s="21" t="s">
        <v>1402</v>
      </c>
      <c r="AA376" s="22" t="s">
        <v>445</v>
      </c>
      <c r="AC376" s="22"/>
    </row>
    <row r="377" spans="1:29" s="1" customFormat="1" ht="49.5" x14ac:dyDescent="0.25">
      <c r="A377" s="13">
        <f t="shared" si="5"/>
        <v>512303</v>
      </c>
      <c r="B377" s="14">
        <v>5123</v>
      </c>
      <c r="C377" s="1" t="s">
        <v>736</v>
      </c>
      <c r="D377" s="15" t="s">
        <v>1403</v>
      </c>
      <c r="E377" s="3">
        <v>3</v>
      </c>
      <c r="F377" s="5" t="s">
        <v>396</v>
      </c>
      <c r="G377" s="3">
        <v>7</v>
      </c>
      <c r="K377" s="1">
        <v>5111</v>
      </c>
      <c r="L377" s="1">
        <v>5400</v>
      </c>
      <c r="M377" s="1">
        <v>2650</v>
      </c>
      <c r="N377" s="1" t="s">
        <v>1008</v>
      </c>
      <c r="O377" s="1">
        <v>100</v>
      </c>
      <c r="P377" s="1" t="s">
        <v>398</v>
      </c>
      <c r="Q377" s="1">
        <v>10</v>
      </c>
      <c r="R377" s="1">
        <v>1063</v>
      </c>
      <c r="S377" s="16">
        <v>4.0000000000000001E-3</v>
      </c>
      <c r="U377" s="1" t="s">
        <v>1404</v>
      </c>
      <c r="V377" s="17" t="s">
        <v>1405</v>
      </c>
      <c r="W377" s="5"/>
      <c r="X377" s="17" t="s">
        <v>1406</v>
      </c>
      <c r="Y377" s="5" t="s">
        <v>1005</v>
      </c>
      <c r="Z377" s="21" t="s">
        <v>1402</v>
      </c>
      <c r="AA377" s="22" t="s">
        <v>445</v>
      </c>
      <c r="AC377" s="22"/>
    </row>
    <row r="378" spans="1:29" s="1" customFormat="1" ht="49.5" x14ac:dyDescent="0.25">
      <c r="A378" s="13">
        <f t="shared" si="5"/>
        <v>512304</v>
      </c>
      <c r="B378" s="14">
        <v>5123</v>
      </c>
      <c r="C378" s="1" t="s">
        <v>736</v>
      </c>
      <c r="D378" s="15" t="s">
        <v>1403</v>
      </c>
      <c r="E378" s="3">
        <v>4</v>
      </c>
      <c r="F378" s="5" t="s">
        <v>396</v>
      </c>
      <c r="G378" s="3">
        <v>8</v>
      </c>
      <c r="K378" s="1">
        <v>5111</v>
      </c>
      <c r="L378" s="1">
        <v>5400</v>
      </c>
      <c r="M378" s="1">
        <v>2650</v>
      </c>
      <c r="N378" s="1" t="s">
        <v>1008</v>
      </c>
      <c r="O378" s="1">
        <v>100</v>
      </c>
      <c r="P378" s="1" t="s">
        <v>398</v>
      </c>
      <c r="Q378" s="1">
        <v>10</v>
      </c>
      <c r="R378" s="1">
        <v>1063</v>
      </c>
      <c r="S378" s="16">
        <v>4.0000000000000001E-3</v>
      </c>
      <c r="U378" s="1" t="s">
        <v>1404</v>
      </c>
      <c r="V378" s="17" t="s">
        <v>1405</v>
      </c>
      <c r="W378" s="5"/>
      <c r="X378" s="17" t="s">
        <v>1406</v>
      </c>
      <c r="Y378" s="5" t="s">
        <v>1005</v>
      </c>
      <c r="Z378" s="21" t="s">
        <v>1402</v>
      </c>
      <c r="AA378" s="22" t="s">
        <v>445</v>
      </c>
      <c r="AC378" s="22"/>
    </row>
    <row r="379" spans="1:29" s="1" customFormat="1" ht="49.5" x14ac:dyDescent="0.25">
      <c r="A379" s="13">
        <f t="shared" si="5"/>
        <v>512305</v>
      </c>
      <c r="B379" s="14">
        <v>5123</v>
      </c>
      <c r="C379" s="1" t="s">
        <v>736</v>
      </c>
      <c r="D379" s="15" t="s">
        <v>1403</v>
      </c>
      <c r="E379" s="3">
        <v>5</v>
      </c>
      <c r="F379" s="5" t="s">
        <v>396</v>
      </c>
      <c r="G379" s="3">
        <v>9</v>
      </c>
      <c r="K379" s="1">
        <v>5111</v>
      </c>
      <c r="L379" s="1">
        <v>5400</v>
      </c>
      <c r="M379" s="1">
        <v>2650</v>
      </c>
      <c r="N379" s="1" t="s">
        <v>1008</v>
      </c>
      <c r="O379" s="1">
        <v>100</v>
      </c>
      <c r="P379" s="1" t="s">
        <v>398</v>
      </c>
      <c r="Q379" s="1">
        <v>10</v>
      </c>
      <c r="R379" s="1">
        <v>1063</v>
      </c>
      <c r="S379" s="16">
        <v>4.0000000000000001E-3</v>
      </c>
      <c r="U379" s="1" t="s">
        <v>1404</v>
      </c>
      <c r="V379" s="17" t="s">
        <v>1405</v>
      </c>
      <c r="W379" s="5"/>
      <c r="X379" s="17" t="s">
        <v>1406</v>
      </c>
      <c r="Y379" s="5" t="s">
        <v>1005</v>
      </c>
      <c r="Z379" s="21" t="s">
        <v>1402</v>
      </c>
      <c r="AA379" s="22" t="s">
        <v>445</v>
      </c>
      <c r="AC379" s="22"/>
    </row>
    <row r="380" spans="1:29" s="1" customFormat="1" ht="49.5" x14ac:dyDescent="0.25">
      <c r="A380" s="13">
        <f t="shared" si="5"/>
        <v>513101</v>
      </c>
      <c r="B380" s="14">
        <v>5131</v>
      </c>
      <c r="C380" s="1" t="s">
        <v>736</v>
      </c>
      <c r="D380" s="15" t="s">
        <v>1407</v>
      </c>
      <c r="E380" s="3">
        <v>1</v>
      </c>
      <c r="F380" s="5" t="s">
        <v>396</v>
      </c>
      <c r="G380" s="3">
        <v>10</v>
      </c>
      <c r="K380" s="1">
        <v>5121</v>
      </c>
      <c r="L380" s="1">
        <v>7200</v>
      </c>
      <c r="M380" s="1">
        <v>2750</v>
      </c>
      <c r="N380" s="1" t="s">
        <v>1015</v>
      </c>
      <c r="O380" s="1">
        <v>100</v>
      </c>
      <c r="P380" s="1" t="s">
        <v>398</v>
      </c>
      <c r="Q380" s="1">
        <v>10</v>
      </c>
      <c r="R380" s="1">
        <v>1090</v>
      </c>
      <c r="S380" s="16">
        <v>500</v>
      </c>
      <c r="U380" s="1" t="s">
        <v>1408</v>
      </c>
      <c r="V380" s="17" t="s">
        <v>1409</v>
      </c>
      <c r="W380" s="5"/>
      <c r="X380" s="17" t="s">
        <v>1410</v>
      </c>
      <c r="Y380" s="5" t="s">
        <v>1005</v>
      </c>
      <c r="Z380" s="21" t="s">
        <v>1402</v>
      </c>
      <c r="AA380" s="22" t="s">
        <v>453</v>
      </c>
      <c r="AC380" s="22"/>
    </row>
    <row r="381" spans="1:29" s="1" customFormat="1" ht="49.5" x14ac:dyDescent="0.25">
      <c r="A381" s="13">
        <f t="shared" si="5"/>
        <v>513102</v>
      </c>
      <c r="B381" s="14">
        <v>5131</v>
      </c>
      <c r="C381" s="1" t="s">
        <v>736</v>
      </c>
      <c r="D381" s="15" t="s">
        <v>1407</v>
      </c>
      <c r="E381" s="3">
        <v>2</v>
      </c>
      <c r="F381" s="5" t="s">
        <v>396</v>
      </c>
      <c r="G381" s="3">
        <v>11</v>
      </c>
      <c r="K381" s="1">
        <v>5121</v>
      </c>
      <c r="L381" s="1">
        <v>7200</v>
      </c>
      <c r="M381" s="1">
        <v>2750</v>
      </c>
      <c r="N381" s="1" t="s">
        <v>1015</v>
      </c>
      <c r="O381" s="1">
        <v>100</v>
      </c>
      <c r="P381" s="1" t="s">
        <v>398</v>
      </c>
      <c r="Q381" s="1">
        <v>10</v>
      </c>
      <c r="R381" s="1">
        <v>1090</v>
      </c>
      <c r="S381" s="16">
        <v>500</v>
      </c>
      <c r="U381" s="1" t="s">
        <v>1408</v>
      </c>
      <c r="V381" s="17" t="s">
        <v>1409</v>
      </c>
      <c r="W381" s="5"/>
      <c r="X381" s="17" t="s">
        <v>1410</v>
      </c>
      <c r="Y381" s="5" t="s">
        <v>1005</v>
      </c>
      <c r="Z381" s="21" t="s">
        <v>1402</v>
      </c>
      <c r="AA381" s="22" t="s">
        <v>453</v>
      </c>
      <c r="AC381" s="22"/>
    </row>
    <row r="382" spans="1:29" s="1" customFormat="1" ht="49.5" x14ac:dyDescent="0.25">
      <c r="A382" s="13">
        <f t="shared" si="5"/>
        <v>513103</v>
      </c>
      <c r="B382" s="14">
        <v>5131</v>
      </c>
      <c r="C382" s="1" t="s">
        <v>736</v>
      </c>
      <c r="D382" s="15" t="s">
        <v>1407</v>
      </c>
      <c r="E382" s="3">
        <v>3</v>
      </c>
      <c r="F382" s="5" t="s">
        <v>396</v>
      </c>
      <c r="G382" s="3">
        <v>13</v>
      </c>
      <c r="K382" s="1">
        <v>5121</v>
      </c>
      <c r="L382" s="1">
        <v>7200</v>
      </c>
      <c r="M382" s="1">
        <v>2750</v>
      </c>
      <c r="N382" s="1" t="s">
        <v>1015</v>
      </c>
      <c r="O382" s="1">
        <v>100</v>
      </c>
      <c r="P382" s="1" t="s">
        <v>398</v>
      </c>
      <c r="Q382" s="1">
        <v>10</v>
      </c>
      <c r="R382" s="1">
        <v>1090</v>
      </c>
      <c r="S382" s="16">
        <v>500</v>
      </c>
      <c r="U382" s="1" t="s">
        <v>1408</v>
      </c>
      <c r="V382" s="17" t="s">
        <v>1409</v>
      </c>
      <c r="W382" s="5"/>
      <c r="X382" s="17" t="s">
        <v>1410</v>
      </c>
      <c r="Y382" s="5" t="s">
        <v>1005</v>
      </c>
      <c r="Z382" s="21" t="s">
        <v>1402</v>
      </c>
      <c r="AA382" s="22" t="s">
        <v>453</v>
      </c>
      <c r="AC382" s="22"/>
    </row>
    <row r="383" spans="1:29" s="1" customFormat="1" ht="49.5" x14ac:dyDescent="0.25">
      <c r="A383" s="13">
        <f t="shared" si="5"/>
        <v>513201</v>
      </c>
      <c r="B383" s="14">
        <v>5132</v>
      </c>
      <c r="C383" s="1" t="s">
        <v>736</v>
      </c>
      <c r="D383" s="15" t="s">
        <v>1411</v>
      </c>
      <c r="E383" s="3">
        <v>1</v>
      </c>
      <c r="F383" s="5" t="s">
        <v>396</v>
      </c>
      <c r="G383" s="3">
        <v>10</v>
      </c>
      <c r="K383" s="1">
        <v>5121</v>
      </c>
      <c r="L383" s="1">
        <v>7200</v>
      </c>
      <c r="M383" s="1">
        <v>2750</v>
      </c>
      <c r="N383" s="1" t="s">
        <v>1015</v>
      </c>
      <c r="O383" s="1">
        <v>100</v>
      </c>
      <c r="P383" s="1" t="s">
        <v>398</v>
      </c>
      <c r="Q383" s="1">
        <v>10</v>
      </c>
      <c r="R383" s="1">
        <v>1053</v>
      </c>
      <c r="S383" s="18">
        <v>0.01</v>
      </c>
      <c r="U383" s="1" t="s">
        <v>1412</v>
      </c>
      <c r="V383" s="17" t="s">
        <v>1413</v>
      </c>
      <c r="W383" s="5"/>
      <c r="X383" s="17" t="s">
        <v>1414</v>
      </c>
      <c r="Y383" s="5" t="s">
        <v>1005</v>
      </c>
      <c r="Z383" s="21" t="s">
        <v>1402</v>
      </c>
      <c r="AA383" s="22" t="s">
        <v>457</v>
      </c>
      <c r="AC383" s="22"/>
    </row>
    <row r="384" spans="1:29" s="1" customFormat="1" ht="49.5" x14ac:dyDescent="0.25">
      <c r="A384" s="13">
        <f t="shared" si="5"/>
        <v>513202</v>
      </c>
      <c r="B384" s="14">
        <v>5132</v>
      </c>
      <c r="C384" s="1" t="s">
        <v>736</v>
      </c>
      <c r="D384" s="15" t="s">
        <v>1411</v>
      </c>
      <c r="E384" s="3">
        <v>2</v>
      </c>
      <c r="F384" s="5" t="s">
        <v>396</v>
      </c>
      <c r="G384" s="3">
        <v>11</v>
      </c>
      <c r="K384" s="1">
        <v>5121</v>
      </c>
      <c r="L384" s="1">
        <v>7200</v>
      </c>
      <c r="M384" s="1">
        <v>2750</v>
      </c>
      <c r="N384" s="1" t="s">
        <v>1015</v>
      </c>
      <c r="O384" s="1">
        <v>100</v>
      </c>
      <c r="P384" s="1" t="s">
        <v>398</v>
      </c>
      <c r="Q384" s="1">
        <v>10</v>
      </c>
      <c r="R384" s="1">
        <v>1053</v>
      </c>
      <c r="S384" s="18">
        <v>0.01</v>
      </c>
      <c r="U384" s="1" t="s">
        <v>1412</v>
      </c>
      <c r="V384" s="17" t="s">
        <v>1413</v>
      </c>
      <c r="W384" s="5"/>
      <c r="X384" s="17" t="s">
        <v>1414</v>
      </c>
      <c r="Y384" s="5" t="s">
        <v>1005</v>
      </c>
      <c r="Z384" s="21" t="s">
        <v>1402</v>
      </c>
      <c r="AA384" s="22" t="s">
        <v>457</v>
      </c>
      <c r="AC384" s="22"/>
    </row>
    <row r="385" spans="1:29" s="1" customFormat="1" ht="49.5" x14ac:dyDescent="0.25">
      <c r="A385" s="13">
        <f t="shared" si="5"/>
        <v>513203</v>
      </c>
      <c r="B385" s="14">
        <v>5132</v>
      </c>
      <c r="C385" s="1" t="s">
        <v>736</v>
      </c>
      <c r="D385" s="15" t="s">
        <v>1411</v>
      </c>
      <c r="E385" s="3">
        <v>3</v>
      </c>
      <c r="F385" s="5" t="s">
        <v>396</v>
      </c>
      <c r="G385" s="3">
        <v>13</v>
      </c>
      <c r="K385" s="1">
        <v>5121</v>
      </c>
      <c r="L385" s="1">
        <v>7200</v>
      </c>
      <c r="M385" s="1">
        <v>2750</v>
      </c>
      <c r="N385" s="1" t="s">
        <v>1015</v>
      </c>
      <c r="O385" s="1">
        <v>100</v>
      </c>
      <c r="P385" s="1" t="s">
        <v>398</v>
      </c>
      <c r="Q385" s="1">
        <v>10</v>
      </c>
      <c r="R385" s="1">
        <v>1053</v>
      </c>
      <c r="S385" s="18">
        <v>0.01</v>
      </c>
      <c r="U385" s="1" t="s">
        <v>1412</v>
      </c>
      <c r="V385" s="17" t="s">
        <v>1413</v>
      </c>
      <c r="W385" s="5"/>
      <c r="X385" s="17" t="s">
        <v>1414</v>
      </c>
      <c r="Y385" s="5" t="s">
        <v>1005</v>
      </c>
      <c r="Z385" s="21" t="s">
        <v>1402</v>
      </c>
      <c r="AA385" s="22" t="s">
        <v>457</v>
      </c>
      <c r="AC385" s="22"/>
    </row>
    <row r="386" spans="1:29" s="1" customFormat="1" ht="49.5" x14ac:dyDescent="0.25">
      <c r="A386" s="13">
        <f t="shared" si="5"/>
        <v>513301</v>
      </c>
      <c r="B386" s="14">
        <v>5133</v>
      </c>
      <c r="C386" s="1" t="s">
        <v>736</v>
      </c>
      <c r="D386" s="15" t="s">
        <v>1022</v>
      </c>
      <c r="E386" s="3">
        <v>1</v>
      </c>
      <c r="F386" s="5" t="s">
        <v>396</v>
      </c>
      <c r="G386" s="3">
        <v>10</v>
      </c>
      <c r="K386" s="1">
        <v>5122</v>
      </c>
      <c r="L386" s="1">
        <v>7200</v>
      </c>
      <c r="M386" s="1">
        <v>2750</v>
      </c>
      <c r="N386" s="1" t="s">
        <v>1015</v>
      </c>
      <c r="O386" s="1">
        <v>100</v>
      </c>
      <c r="P386" s="1" t="s">
        <v>398</v>
      </c>
      <c r="Q386" s="1">
        <v>10</v>
      </c>
      <c r="S386" s="16"/>
      <c r="U386" s="1" t="s">
        <v>1415</v>
      </c>
      <c r="V386" s="17" t="s">
        <v>1024</v>
      </c>
      <c r="W386" s="5"/>
      <c r="X386" s="17"/>
      <c r="Y386" s="5" t="s">
        <v>1005</v>
      </c>
      <c r="Z386" s="21" t="s">
        <v>1025</v>
      </c>
      <c r="AA386" s="22" t="s">
        <v>1026</v>
      </c>
      <c r="AC386" s="22"/>
    </row>
    <row r="387" spans="1:29" s="1" customFormat="1" ht="49.5" x14ac:dyDescent="0.25">
      <c r="A387" s="13">
        <f t="shared" si="5"/>
        <v>513401</v>
      </c>
      <c r="B387" s="14">
        <v>5134</v>
      </c>
      <c r="C387" s="1" t="s">
        <v>736</v>
      </c>
      <c r="D387" s="15" t="s">
        <v>1416</v>
      </c>
      <c r="E387" s="3">
        <v>1</v>
      </c>
      <c r="F387" s="5" t="s">
        <v>396</v>
      </c>
      <c r="G387" s="3">
        <v>10</v>
      </c>
      <c r="K387" s="1">
        <v>5123</v>
      </c>
      <c r="L387" s="1">
        <v>7200</v>
      </c>
      <c r="M387" s="1">
        <v>2750</v>
      </c>
      <c r="N387" s="1" t="s">
        <v>1015</v>
      </c>
      <c r="O387" s="1">
        <v>100</v>
      </c>
      <c r="P387" s="1" t="s">
        <v>398</v>
      </c>
      <c r="Q387" s="1">
        <v>10</v>
      </c>
      <c r="R387" s="1">
        <v>1312</v>
      </c>
      <c r="S387" s="18">
        <v>0.01</v>
      </c>
      <c r="U387" s="1" t="s">
        <v>1412</v>
      </c>
      <c r="V387" s="17" t="s">
        <v>1417</v>
      </c>
      <c r="W387" s="5"/>
      <c r="X387" s="17" t="s">
        <v>1418</v>
      </c>
      <c r="Y387" s="5" t="s">
        <v>1005</v>
      </c>
      <c r="Z387" s="21" t="s">
        <v>1402</v>
      </c>
      <c r="AA387" s="22" t="s">
        <v>462</v>
      </c>
      <c r="AC387" s="22"/>
    </row>
    <row r="388" spans="1:29" s="1" customFormat="1" ht="49.5" x14ac:dyDescent="0.25">
      <c r="A388" s="13">
        <f t="shared" si="5"/>
        <v>513402</v>
      </c>
      <c r="B388" s="14">
        <v>5134</v>
      </c>
      <c r="C388" s="1" t="s">
        <v>736</v>
      </c>
      <c r="D388" s="15" t="s">
        <v>1416</v>
      </c>
      <c r="E388" s="3">
        <v>2</v>
      </c>
      <c r="F388" s="5" t="s">
        <v>396</v>
      </c>
      <c r="G388" s="3">
        <v>11</v>
      </c>
      <c r="K388" s="1">
        <v>5123</v>
      </c>
      <c r="L388" s="1">
        <v>7200</v>
      </c>
      <c r="M388" s="1">
        <v>2750</v>
      </c>
      <c r="N388" s="1" t="s">
        <v>1015</v>
      </c>
      <c r="O388" s="1">
        <v>100</v>
      </c>
      <c r="P388" s="1" t="s">
        <v>398</v>
      </c>
      <c r="Q388" s="1">
        <v>10</v>
      </c>
      <c r="R388" s="1">
        <v>1312</v>
      </c>
      <c r="S388" s="18">
        <v>0.01</v>
      </c>
      <c r="U388" s="1" t="s">
        <v>1412</v>
      </c>
      <c r="V388" s="17" t="s">
        <v>1417</v>
      </c>
      <c r="W388" s="5"/>
      <c r="X388" s="17" t="s">
        <v>1418</v>
      </c>
      <c r="Y388" s="5" t="s">
        <v>1005</v>
      </c>
      <c r="Z388" s="21" t="s">
        <v>1402</v>
      </c>
      <c r="AA388" s="22" t="s">
        <v>462</v>
      </c>
      <c r="AC388" s="22"/>
    </row>
    <row r="389" spans="1:29" s="1" customFormat="1" ht="49.5" x14ac:dyDescent="0.25">
      <c r="A389" s="13">
        <f t="shared" si="5"/>
        <v>513403</v>
      </c>
      <c r="B389" s="14">
        <v>5134</v>
      </c>
      <c r="C389" s="1" t="s">
        <v>736</v>
      </c>
      <c r="D389" s="15" t="s">
        <v>1416</v>
      </c>
      <c r="E389" s="3">
        <v>3</v>
      </c>
      <c r="F389" s="5" t="s">
        <v>396</v>
      </c>
      <c r="G389" s="3">
        <v>13</v>
      </c>
      <c r="K389" s="1">
        <v>5123</v>
      </c>
      <c r="L389" s="1">
        <v>7200</v>
      </c>
      <c r="M389" s="1">
        <v>2750</v>
      </c>
      <c r="N389" s="1" t="s">
        <v>1015</v>
      </c>
      <c r="O389" s="1">
        <v>100</v>
      </c>
      <c r="P389" s="1" t="s">
        <v>398</v>
      </c>
      <c r="Q389" s="1">
        <v>10</v>
      </c>
      <c r="R389" s="1">
        <v>1312</v>
      </c>
      <c r="S389" s="18">
        <v>0.01</v>
      </c>
      <c r="U389" s="1" t="s">
        <v>1412</v>
      </c>
      <c r="V389" s="17" t="s">
        <v>1417</v>
      </c>
      <c r="W389" s="5"/>
      <c r="X389" s="17" t="s">
        <v>1418</v>
      </c>
      <c r="Y389" s="5" t="s">
        <v>1005</v>
      </c>
      <c r="Z389" s="21" t="s">
        <v>1402</v>
      </c>
      <c r="AA389" s="22" t="s">
        <v>462</v>
      </c>
      <c r="AC389" s="22"/>
    </row>
    <row r="390" spans="1:29" s="1" customFormat="1" ht="49.5" x14ac:dyDescent="0.25">
      <c r="A390" s="13">
        <f t="shared" si="5"/>
        <v>513501</v>
      </c>
      <c r="B390" s="14">
        <v>5135</v>
      </c>
      <c r="C390" s="1" t="s">
        <v>736</v>
      </c>
      <c r="D390" s="15" t="s">
        <v>1419</v>
      </c>
      <c r="E390" s="3">
        <v>1</v>
      </c>
      <c r="F390" s="5" t="s">
        <v>396</v>
      </c>
      <c r="G390" s="3">
        <v>10</v>
      </c>
      <c r="K390" s="1">
        <v>5123</v>
      </c>
      <c r="L390" s="1">
        <v>7200</v>
      </c>
      <c r="M390" s="1">
        <v>2750</v>
      </c>
      <c r="N390" s="1" t="s">
        <v>1015</v>
      </c>
      <c r="O390" s="1">
        <v>100</v>
      </c>
      <c r="P390" s="1" t="s">
        <v>398</v>
      </c>
      <c r="Q390" s="1">
        <v>10</v>
      </c>
      <c r="R390" s="1">
        <v>1317</v>
      </c>
      <c r="S390" s="18">
        <v>0.01</v>
      </c>
      <c r="U390" s="19" t="s">
        <v>1420</v>
      </c>
      <c r="V390" s="17" t="s">
        <v>1421</v>
      </c>
      <c r="X390" s="17" t="s">
        <v>1422</v>
      </c>
      <c r="Y390" s="5" t="s">
        <v>1005</v>
      </c>
      <c r="Z390" s="21" t="s">
        <v>1399</v>
      </c>
      <c r="AA390" s="22" t="s">
        <v>467</v>
      </c>
      <c r="AC390" s="22"/>
    </row>
    <row r="391" spans="1:29" s="1" customFormat="1" ht="49.5" x14ac:dyDescent="0.25">
      <c r="A391" s="13">
        <f t="shared" si="5"/>
        <v>513502</v>
      </c>
      <c r="B391" s="14">
        <v>5135</v>
      </c>
      <c r="C391" s="1" t="s">
        <v>736</v>
      </c>
      <c r="D391" s="15" t="s">
        <v>1419</v>
      </c>
      <c r="E391" s="3">
        <v>2</v>
      </c>
      <c r="F391" s="5" t="s">
        <v>396</v>
      </c>
      <c r="G391" s="3">
        <v>11</v>
      </c>
      <c r="K391" s="1">
        <v>5123</v>
      </c>
      <c r="L391" s="1">
        <v>7200</v>
      </c>
      <c r="M391" s="1">
        <v>2750</v>
      </c>
      <c r="N391" s="1" t="s">
        <v>1015</v>
      </c>
      <c r="O391" s="1">
        <v>100</v>
      </c>
      <c r="P391" s="1" t="s">
        <v>398</v>
      </c>
      <c r="Q391" s="1">
        <v>10</v>
      </c>
      <c r="R391" s="1">
        <v>1317</v>
      </c>
      <c r="S391" s="18">
        <v>0.01</v>
      </c>
      <c r="U391" s="19" t="s">
        <v>1420</v>
      </c>
      <c r="V391" s="17" t="s">
        <v>1421</v>
      </c>
      <c r="X391" s="17" t="s">
        <v>1422</v>
      </c>
      <c r="Y391" s="5" t="s">
        <v>1005</v>
      </c>
      <c r="Z391" s="21" t="s">
        <v>1399</v>
      </c>
      <c r="AA391" s="22" t="s">
        <v>467</v>
      </c>
      <c r="AC391" s="22"/>
    </row>
    <row r="392" spans="1:29" s="1" customFormat="1" ht="49.5" x14ac:dyDescent="0.25">
      <c r="A392" s="13">
        <f t="shared" si="5"/>
        <v>513503</v>
      </c>
      <c r="B392" s="14">
        <v>5135</v>
      </c>
      <c r="C392" s="1" t="s">
        <v>736</v>
      </c>
      <c r="D392" s="15" t="s">
        <v>1419</v>
      </c>
      <c r="E392" s="3">
        <v>3</v>
      </c>
      <c r="F392" s="5" t="s">
        <v>396</v>
      </c>
      <c r="G392" s="3">
        <v>13</v>
      </c>
      <c r="K392" s="1">
        <v>5123</v>
      </c>
      <c r="L392" s="1">
        <v>7200</v>
      </c>
      <c r="M392" s="1">
        <v>2750</v>
      </c>
      <c r="N392" s="1" t="s">
        <v>1015</v>
      </c>
      <c r="O392" s="1">
        <v>100</v>
      </c>
      <c r="P392" s="1" t="s">
        <v>398</v>
      </c>
      <c r="Q392" s="1">
        <v>10</v>
      </c>
      <c r="R392" s="1">
        <v>1317</v>
      </c>
      <c r="S392" s="18">
        <v>0.01</v>
      </c>
      <c r="U392" s="19" t="s">
        <v>1420</v>
      </c>
      <c r="V392" s="17" t="s">
        <v>1421</v>
      </c>
      <c r="X392" s="17" t="s">
        <v>1422</v>
      </c>
      <c r="Y392" s="5" t="s">
        <v>1005</v>
      </c>
      <c r="Z392" s="21" t="s">
        <v>1399</v>
      </c>
      <c r="AA392" s="22" t="s">
        <v>467</v>
      </c>
      <c r="AC392" s="22"/>
    </row>
    <row r="393" spans="1:29" s="1" customFormat="1" ht="49.5" x14ac:dyDescent="0.25">
      <c r="A393" s="13">
        <f t="shared" si="5"/>
        <v>514101</v>
      </c>
      <c r="B393" s="14">
        <v>5141</v>
      </c>
      <c r="C393" s="1" t="s">
        <v>736</v>
      </c>
      <c r="D393" s="15" t="s">
        <v>1400</v>
      </c>
      <c r="E393" s="3">
        <v>1</v>
      </c>
      <c r="F393" s="5" t="s">
        <v>396</v>
      </c>
      <c r="G393" s="3">
        <v>15</v>
      </c>
      <c r="K393" s="1">
        <v>5131</v>
      </c>
      <c r="L393" s="1">
        <v>9000</v>
      </c>
      <c r="M393" s="1">
        <v>2900</v>
      </c>
      <c r="N393" s="1" t="s">
        <v>1032</v>
      </c>
      <c r="O393" s="1">
        <v>100</v>
      </c>
      <c r="P393" s="1" t="s">
        <v>398</v>
      </c>
      <c r="Q393" s="1">
        <v>10</v>
      </c>
      <c r="R393" s="1">
        <v>1058</v>
      </c>
      <c r="S393" s="16">
        <v>0.02</v>
      </c>
      <c r="U393" s="1" t="s">
        <v>1401</v>
      </c>
      <c r="V393" s="17" t="s">
        <v>520</v>
      </c>
      <c r="W393" s="5"/>
      <c r="X393" s="17" t="s">
        <v>522</v>
      </c>
      <c r="Y393" s="5" t="s">
        <v>1005</v>
      </c>
      <c r="Z393" s="21" t="s">
        <v>1402</v>
      </c>
      <c r="AA393" s="22" t="s">
        <v>471</v>
      </c>
      <c r="AC393" s="22"/>
    </row>
    <row r="394" spans="1:29" s="1" customFormat="1" ht="49.5" x14ac:dyDescent="0.25">
      <c r="A394" s="13">
        <f t="shared" si="5"/>
        <v>514201</v>
      </c>
      <c r="B394" s="14">
        <v>5142</v>
      </c>
      <c r="C394" s="1" t="s">
        <v>736</v>
      </c>
      <c r="D394" s="15" t="s">
        <v>1407</v>
      </c>
      <c r="E394" s="3">
        <v>1</v>
      </c>
      <c r="F394" s="5" t="s">
        <v>396</v>
      </c>
      <c r="G394" s="3">
        <v>15</v>
      </c>
      <c r="K394" s="1">
        <v>5131</v>
      </c>
      <c r="L394" s="1">
        <v>9000</v>
      </c>
      <c r="M394" s="1">
        <v>2900</v>
      </c>
      <c r="N394" s="1" t="s">
        <v>1032</v>
      </c>
      <c r="O394" s="1">
        <v>100</v>
      </c>
      <c r="P394" s="1" t="s">
        <v>398</v>
      </c>
      <c r="Q394" s="1">
        <v>10</v>
      </c>
      <c r="R394" s="1">
        <v>1090</v>
      </c>
      <c r="S394" s="16">
        <v>1000</v>
      </c>
      <c r="U394" s="1" t="s">
        <v>1408</v>
      </c>
      <c r="V394" s="17" t="s">
        <v>1409</v>
      </c>
      <c r="W394" s="5"/>
      <c r="X394" s="17" t="s">
        <v>1410</v>
      </c>
      <c r="Y394" s="5" t="s">
        <v>1005</v>
      </c>
      <c r="Z394" s="21" t="s">
        <v>1402</v>
      </c>
      <c r="AA394" s="22" t="s">
        <v>472</v>
      </c>
      <c r="AC394" s="22"/>
    </row>
    <row r="395" spans="1:29" s="1" customFormat="1" ht="49.5" x14ac:dyDescent="0.25">
      <c r="A395" s="13">
        <f t="shared" si="5"/>
        <v>514301</v>
      </c>
      <c r="B395" s="14">
        <v>5143</v>
      </c>
      <c r="C395" s="1" t="s">
        <v>736</v>
      </c>
      <c r="D395" s="15" t="s">
        <v>1411</v>
      </c>
      <c r="E395" s="3">
        <v>1</v>
      </c>
      <c r="F395" s="5" t="s">
        <v>396</v>
      </c>
      <c r="G395" s="3">
        <v>18</v>
      </c>
      <c r="K395" s="1">
        <v>5132</v>
      </c>
      <c r="L395" s="1">
        <v>9000</v>
      </c>
      <c r="M395" s="1">
        <v>3000</v>
      </c>
      <c r="N395" s="1" t="s">
        <v>1033</v>
      </c>
      <c r="O395" s="1">
        <v>100</v>
      </c>
      <c r="P395" s="1" t="s">
        <v>398</v>
      </c>
      <c r="Q395" s="1">
        <v>10</v>
      </c>
      <c r="R395" s="1">
        <v>1053</v>
      </c>
      <c r="S395" s="16">
        <v>0.02</v>
      </c>
      <c r="U395" s="1" t="s">
        <v>1412</v>
      </c>
      <c r="V395" s="17" t="s">
        <v>1413</v>
      </c>
      <c r="W395" s="5"/>
      <c r="X395" s="17" t="s">
        <v>1414</v>
      </c>
      <c r="Y395" s="5" t="s">
        <v>1005</v>
      </c>
      <c r="Z395" s="21" t="s">
        <v>1402</v>
      </c>
      <c r="AA395" s="22" t="s">
        <v>1034</v>
      </c>
      <c r="AC395" s="22"/>
    </row>
    <row r="396" spans="1:29" s="1" customFormat="1" ht="49.5" x14ac:dyDescent="0.25">
      <c r="A396" s="13">
        <f t="shared" si="5"/>
        <v>514401</v>
      </c>
      <c r="B396" s="14">
        <v>5144</v>
      </c>
      <c r="C396" s="1" t="s">
        <v>736</v>
      </c>
      <c r="D396" s="12" t="s">
        <v>1169</v>
      </c>
      <c r="E396" s="3">
        <v>1</v>
      </c>
      <c r="F396" s="5" t="s">
        <v>396</v>
      </c>
      <c r="G396" s="3">
        <v>20</v>
      </c>
      <c r="K396" s="1">
        <v>5133</v>
      </c>
      <c r="L396" s="1">
        <v>10800</v>
      </c>
      <c r="M396" s="1">
        <v>3150</v>
      </c>
      <c r="N396" s="1" t="s">
        <v>397</v>
      </c>
      <c r="O396" s="1">
        <v>100</v>
      </c>
      <c r="P396" s="1" t="s">
        <v>398</v>
      </c>
      <c r="Q396" s="1">
        <v>10</v>
      </c>
      <c r="R396" s="1" t="s">
        <v>1395</v>
      </c>
      <c r="S396" s="16" t="s">
        <v>1035</v>
      </c>
      <c r="U396" s="1" t="s">
        <v>1396</v>
      </c>
      <c r="V396" s="17" t="s">
        <v>1397</v>
      </c>
      <c r="W396" s="5"/>
      <c r="X396" s="1" t="s">
        <v>1398</v>
      </c>
      <c r="Y396" s="5" t="s">
        <v>1005</v>
      </c>
      <c r="Z396" s="21" t="s">
        <v>1399</v>
      </c>
      <c r="AA396" s="22" t="s">
        <v>1036</v>
      </c>
      <c r="AC396" s="22"/>
    </row>
    <row r="397" spans="1:29" s="1" customFormat="1" ht="49.5" x14ac:dyDescent="0.25">
      <c r="A397" s="13">
        <f t="shared" si="5"/>
        <v>514501</v>
      </c>
      <c r="B397" s="14">
        <v>5145</v>
      </c>
      <c r="C397" s="1" t="s">
        <v>736</v>
      </c>
      <c r="D397" s="15" t="s">
        <v>1416</v>
      </c>
      <c r="E397" s="3">
        <v>1</v>
      </c>
      <c r="F397" s="5" t="s">
        <v>396</v>
      </c>
      <c r="G397" s="3">
        <v>18</v>
      </c>
      <c r="K397" s="1">
        <v>5134</v>
      </c>
      <c r="L397" s="1">
        <v>9000</v>
      </c>
      <c r="M397" s="1">
        <v>3000</v>
      </c>
      <c r="N397" s="1" t="s">
        <v>1033</v>
      </c>
      <c r="O397" s="1">
        <v>100</v>
      </c>
      <c r="P397" s="1" t="s">
        <v>398</v>
      </c>
      <c r="Q397" s="1">
        <v>10</v>
      </c>
      <c r="R397" s="1">
        <v>1312</v>
      </c>
      <c r="S397" s="16">
        <v>0.02</v>
      </c>
      <c r="U397" s="1" t="s">
        <v>1412</v>
      </c>
      <c r="V397" s="17" t="s">
        <v>1417</v>
      </c>
      <c r="W397" s="5"/>
      <c r="X397" s="17" t="s">
        <v>1418</v>
      </c>
      <c r="Y397" s="5" t="s">
        <v>1005</v>
      </c>
      <c r="Z397" s="21" t="s">
        <v>1402</v>
      </c>
      <c r="AA397" s="22" t="s">
        <v>1037</v>
      </c>
      <c r="AC397" s="22"/>
    </row>
    <row r="398" spans="1:29" s="1" customFormat="1" ht="49.5" x14ac:dyDescent="0.25">
      <c r="A398" s="13">
        <f t="shared" si="5"/>
        <v>514601</v>
      </c>
      <c r="B398" s="14">
        <v>5146</v>
      </c>
      <c r="C398" s="1" t="s">
        <v>736</v>
      </c>
      <c r="D398" s="15" t="s">
        <v>1419</v>
      </c>
      <c r="E398" s="3">
        <v>1</v>
      </c>
      <c r="F398" s="5" t="s">
        <v>396</v>
      </c>
      <c r="G398" s="3">
        <v>15</v>
      </c>
      <c r="K398" s="1">
        <v>5135</v>
      </c>
      <c r="L398" s="1">
        <v>9000</v>
      </c>
      <c r="M398" s="1">
        <v>2900</v>
      </c>
      <c r="N398" s="1" t="s">
        <v>1032</v>
      </c>
      <c r="O398" s="1">
        <v>100</v>
      </c>
      <c r="P398" s="1" t="s">
        <v>398</v>
      </c>
      <c r="Q398" s="1">
        <v>10</v>
      </c>
      <c r="R398" s="1">
        <v>1317</v>
      </c>
      <c r="S398" s="16">
        <v>0.02</v>
      </c>
      <c r="U398" s="19" t="s">
        <v>1420</v>
      </c>
      <c r="V398" s="17" t="s">
        <v>1421</v>
      </c>
      <c r="X398" s="17" t="s">
        <v>1422</v>
      </c>
      <c r="Y398" s="5" t="s">
        <v>1005</v>
      </c>
      <c r="Z398" s="21" t="s">
        <v>1399</v>
      </c>
      <c r="AA398" s="22" t="s">
        <v>1038</v>
      </c>
      <c r="AC398" s="22"/>
    </row>
    <row r="399" spans="1:29" s="1" customFormat="1" ht="49.5" x14ac:dyDescent="0.25">
      <c r="A399" s="13">
        <f t="shared" si="5"/>
        <v>514701</v>
      </c>
      <c r="B399" s="14">
        <v>5147</v>
      </c>
      <c r="C399" s="1" t="s">
        <v>736</v>
      </c>
      <c r="D399" s="15" t="s">
        <v>1403</v>
      </c>
      <c r="E399" s="3">
        <v>1</v>
      </c>
      <c r="F399" s="5" t="s">
        <v>396</v>
      </c>
      <c r="G399" s="3">
        <v>15</v>
      </c>
      <c r="K399" s="1">
        <v>5135</v>
      </c>
      <c r="L399" s="1">
        <v>9000</v>
      </c>
      <c r="M399" s="1">
        <v>2900</v>
      </c>
      <c r="N399" s="1" t="s">
        <v>1032</v>
      </c>
      <c r="O399" s="1">
        <v>100</v>
      </c>
      <c r="P399" s="1" t="s">
        <v>398</v>
      </c>
      <c r="Q399" s="1">
        <v>10</v>
      </c>
      <c r="R399" s="1">
        <v>1063</v>
      </c>
      <c r="S399" s="16">
        <v>1.4999999999999999E-2</v>
      </c>
      <c r="U399" s="1" t="s">
        <v>1404</v>
      </c>
      <c r="V399" s="17" t="s">
        <v>1405</v>
      </c>
      <c r="W399" s="5"/>
      <c r="X399" s="17" t="s">
        <v>1406</v>
      </c>
      <c r="Y399" s="5" t="s">
        <v>1005</v>
      </c>
      <c r="Z399" s="21" t="s">
        <v>1402</v>
      </c>
      <c r="AA399" s="22" t="s">
        <v>1039</v>
      </c>
      <c r="AC399" s="22"/>
    </row>
    <row r="400" spans="1:29" s="1" customFormat="1" ht="49.5" x14ac:dyDescent="0.25">
      <c r="A400" s="13">
        <f t="shared" si="5"/>
        <v>521101</v>
      </c>
      <c r="B400" s="14">
        <v>5211</v>
      </c>
      <c r="C400" s="1" t="s">
        <v>736</v>
      </c>
      <c r="D400" s="12" t="s">
        <v>1040</v>
      </c>
      <c r="E400" s="3">
        <v>1</v>
      </c>
      <c r="F400" s="5" t="s">
        <v>708</v>
      </c>
      <c r="G400" s="3">
        <v>1</v>
      </c>
      <c r="K400" s="1">
        <v>5133</v>
      </c>
      <c r="L400" s="1">
        <v>3600</v>
      </c>
      <c r="M400" s="1">
        <v>6050</v>
      </c>
      <c r="N400" s="1" t="s">
        <v>999</v>
      </c>
      <c r="O400" s="1">
        <v>100</v>
      </c>
      <c r="P400" s="1" t="s">
        <v>398</v>
      </c>
      <c r="Q400" s="1">
        <v>10</v>
      </c>
      <c r="R400" s="1" t="s">
        <v>1041</v>
      </c>
      <c r="S400" s="16" t="s">
        <v>1042</v>
      </c>
      <c r="U400" s="19" t="s">
        <v>1043</v>
      </c>
      <c r="V400" s="17" t="s">
        <v>1044</v>
      </c>
      <c r="X400" s="17" t="s">
        <v>1045</v>
      </c>
      <c r="Y400" s="5" t="s">
        <v>1005</v>
      </c>
      <c r="Z400" s="21" t="s">
        <v>1046</v>
      </c>
      <c r="AA400" s="22" t="s">
        <v>1047</v>
      </c>
      <c r="AC400" s="22"/>
    </row>
    <row r="401" spans="1:29" s="1" customFormat="1" ht="49.5" x14ac:dyDescent="0.25">
      <c r="A401" s="13">
        <f t="shared" si="5"/>
        <v>522101</v>
      </c>
      <c r="B401" s="14">
        <v>5221</v>
      </c>
      <c r="C401" s="1" t="s">
        <v>736</v>
      </c>
      <c r="D401" s="12" t="s">
        <v>1048</v>
      </c>
      <c r="E401" s="3">
        <v>1</v>
      </c>
      <c r="F401" s="5" t="s">
        <v>708</v>
      </c>
      <c r="G401" s="3">
        <v>5</v>
      </c>
      <c r="K401" s="1">
        <v>5211</v>
      </c>
      <c r="L401" s="1">
        <v>5400</v>
      </c>
      <c r="M401" s="1">
        <v>6350</v>
      </c>
      <c r="N401" s="1" t="s">
        <v>1008</v>
      </c>
      <c r="O401" s="1">
        <v>100</v>
      </c>
      <c r="P401" s="1" t="s">
        <v>398</v>
      </c>
      <c r="Q401" s="1">
        <v>10</v>
      </c>
      <c r="R401" s="1">
        <v>20004</v>
      </c>
      <c r="S401" s="16">
        <v>0.01</v>
      </c>
      <c r="U401" s="19" t="s">
        <v>1048</v>
      </c>
      <c r="V401" s="17" t="s">
        <v>1049</v>
      </c>
      <c r="X401" s="17" t="s">
        <v>1050</v>
      </c>
      <c r="Y401" s="5" t="s">
        <v>1005</v>
      </c>
      <c r="Z401" s="21" t="s">
        <v>1051</v>
      </c>
      <c r="AA401" s="22" t="s">
        <v>1052</v>
      </c>
      <c r="AC401" s="22"/>
    </row>
    <row r="402" spans="1:29" s="1" customFormat="1" ht="49.5" x14ac:dyDescent="0.25">
      <c r="A402" s="13">
        <f t="shared" si="5"/>
        <v>522201</v>
      </c>
      <c r="B402" s="14">
        <v>5222</v>
      </c>
      <c r="C402" s="1" t="s">
        <v>736</v>
      </c>
      <c r="D402" s="12" t="s">
        <v>1053</v>
      </c>
      <c r="E402" s="3">
        <v>1</v>
      </c>
      <c r="F402" s="5" t="s">
        <v>708</v>
      </c>
      <c r="G402" s="3">
        <v>5</v>
      </c>
      <c r="K402" s="1">
        <v>5211</v>
      </c>
      <c r="L402" s="1">
        <v>5400</v>
      </c>
      <c r="M402" s="1">
        <v>6350</v>
      </c>
      <c r="N402" s="1" t="s">
        <v>1008</v>
      </c>
      <c r="O402" s="1">
        <v>100</v>
      </c>
      <c r="P402" s="1" t="s">
        <v>398</v>
      </c>
      <c r="Q402" s="1">
        <v>10</v>
      </c>
      <c r="R402" s="1">
        <v>20064</v>
      </c>
      <c r="S402" s="16">
        <v>5.0000000000000001E-3</v>
      </c>
      <c r="U402" s="19" t="s">
        <v>1053</v>
      </c>
      <c r="V402" s="17" t="s">
        <v>1054</v>
      </c>
      <c r="X402" s="17" t="s">
        <v>1055</v>
      </c>
      <c r="Y402" s="5" t="s">
        <v>1005</v>
      </c>
      <c r="Z402" s="21" t="s">
        <v>1046</v>
      </c>
      <c r="AA402" s="22" t="s">
        <v>1056</v>
      </c>
      <c r="AC402" s="22"/>
    </row>
    <row r="403" spans="1:29" s="1" customFormat="1" ht="49.5" x14ac:dyDescent="0.25">
      <c r="A403" s="13">
        <f t="shared" si="5"/>
        <v>522301</v>
      </c>
      <c r="B403" s="14">
        <v>5223</v>
      </c>
      <c r="C403" s="1" t="s">
        <v>736</v>
      </c>
      <c r="D403" s="12" t="s">
        <v>1057</v>
      </c>
      <c r="E403" s="3">
        <v>1</v>
      </c>
      <c r="F403" s="5" t="s">
        <v>708</v>
      </c>
      <c r="G403" s="3">
        <v>5</v>
      </c>
      <c r="K403" s="1">
        <v>5211</v>
      </c>
      <c r="L403" s="1">
        <v>5400</v>
      </c>
      <c r="M403" s="1">
        <v>6350</v>
      </c>
      <c r="N403" s="1" t="s">
        <v>1008</v>
      </c>
      <c r="O403" s="1">
        <v>100</v>
      </c>
      <c r="P403" s="1" t="s">
        <v>398</v>
      </c>
      <c r="Q403" s="1">
        <v>10</v>
      </c>
      <c r="R403" s="1">
        <v>20034</v>
      </c>
      <c r="S403" s="16">
        <v>0.01</v>
      </c>
      <c r="U403" s="19" t="s">
        <v>1057</v>
      </c>
      <c r="V403" s="17" t="s">
        <v>1058</v>
      </c>
      <c r="X403" s="17" t="s">
        <v>1059</v>
      </c>
      <c r="Y403" s="5" t="s">
        <v>1005</v>
      </c>
      <c r="Z403" s="21" t="s">
        <v>1060</v>
      </c>
      <c r="AA403" s="22" t="s">
        <v>1061</v>
      </c>
      <c r="AC403" s="22"/>
    </row>
    <row r="404" spans="1:29" s="1" customFormat="1" ht="49.5" x14ac:dyDescent="0.25">
      <c r="A404" s="13">
        <f t="shared" si="5"/>
        <v>523101</v>
      </c>
      <c r="B404" s="14">
        <v>5231</v>
      </c>
      <c r="C404" s="1" t="s">
        <v>736</v>
      </c>
      <c r="D404" s="12" t="s">
        <v>1062</v>
      </c>
      <c r="E404" s="3">
        <v>1</v>
      </c>
      <c r="F404" s="5" t="s">
        <v>708</v>
      </c>
      <c r="G404" s="3">
        <v>10</v>
      </c>
      <c r="K404" s="1">
        <v>5221</v>
      </c>
      <c r="L404" s="1">
        <v>7200</v>
      </c>
      <c r="M404" s="1">
        <v>6650</v>
      </c>
      <c r="N404" s="1" t="s">
        <v>1015</v>
      </c>
      <c r="O404" s="1">
        <v>100</v>
      </c>
      <c r="P404" s="1" t="s">
        <v>398</v>
      </c>
      <c r="Q404" s="1">
        <v>10</v>
      </c>
      <c r="R404" s="1">
        <v>20204</v>
      </c>
      <c r="S404" s="16">
        <v>0.01</v>
      </c>
      <c r="U404" s="1" t="s">
        <v>1062</v>
      </c>
      <c r="V404" s="17" t="s">
        <v>1063</v>
      </c>
      <c r="X404" s="17" t="s">
        <v>1064</v>
      </c>
      <c r="Y404" s="5" t="s">
        <v>1005</v>
      </c>
      <c r="Z404" s="21" t="s">
        <v>1051</v>
      </c>
      <c r="AA404" s="22" t="s">
        <v>1065</v>
      </c>
      <c r="AC404" s="22"/>
    </row>
    <row r="405" spans="1:29" s="1" customFormat="1" ht="49.5" x14ac:dyDescent="0.25">
      <c r="A405" s="13">
        <f t="shared" si="5"/>
        <v>523102</v>
      </c>
      <c r="B405" s="14">
        <v>5231</v>
      </c>
      <c r="C405" s="1" t="s">
        <v>736</v>
      </c>
      <c r="D405" s="12" t="s">
        <v>1062</v>
      </c>
      <c r="E405" s="3">
        <v>2</v>
      </c>
      <c r="F405" s="5" t="s">
        <v>708</v>
      </c>
      <c r="G405" s="3">
        <v>12</v>
      </c>
      <c r="K405" s="1">
        <v>5221</v>
      </c>
      <c r="L405" s="1">
        <v>7200</v>
      </c>
      <c r="M405" s="1">
        <v>6650</v>
      </c>
      <c r="N405" s="1" t="s">
        <v>1015</v>
      </c>
      <c r="O405" s="1">
        <v>100</v>
      </c>
      <c r="P405" s="1" t="s">
        <v>398</v>
      </c>
      <c r="Q405" s="1">
        <v>10</v>
      </c>
      <c r="R405" s="1">
        <v>20204</v>
      </c>
      <c r="S405" s="16">
        <v>0.01</v>
      </c>
      <c r="U405" s="1" t="s">
        <v>1062</v>
      </c>
      <c r="V405" s="17" t="s">
        <v>1063</v>
      </c>
      <c r="X405" s="17" t="s">
        <v>1064</v>
      </c>
      <c r="Y405" s="5" t="s">
        <v>1005</v>
      </c>
      <c r="Z405" s="21" t="s">
        <v>1051</v>
      </c>
      <c r="AA405" s="22" t="s">
        <v>1065</v>
      </c>
      <c r="AC405" s="22"/>
    </row>
    <row r="406" spans="1:29" s="1" customFormat="1" ht="49.5" x14ac:dyDescent="0.25">
      <c r="A406" s="13">
        <f t="shared" si="5"/>
        <v>523201</v>
      </c>
      <c r="B406" s="14">
        <v>5232</v>
      </c>
      <c r="C406" s="1" t="s">
        <v>736</v>
      </c>
      <c r="D406" s="12" t="s">
        <v>1066</v>
      </c>
      <c r="E406" s="3">
        <v>1</v>
      </c>
      <c r="F406" s="5" t="s">
        <v>708</v>
      </c>
      <c r="G406" s="3">
        <v>10</v>
      </c>
      <c r="K406" s="1">
        <v>5221</v>
      </c>
      <c r="L406" s="1">
        <v>7200</v>
      </c>
      <c r="M406" s="1">
        <v>6650</v>
      </c>
      <c r="N406" s="1" t="s">
        <v>1015</v>
      </c>
      <c r="O406" s="1">
        <v>100</v>
      </c>
      <c r="P406" s="1" t="s">
        <v>398</v>
      </c>
      <c r="Q406" s="1">
        <v>10</v>
      </c>
      <c r="R406" s="20">
        <v>20404</v>
      </c>
      <c r="S406" s="16">
        <v>0.01</v>
      </c>
      <c r="U406" s="1" t="s">
        <v>1066</v>
      </c>
      <c r="V406" s="17" t="s">
        <v>1067</v>
      </c>
      <c r="X406" s="17" t="s">
        <v>1068</v>
      </c>
      <c r="Y406" s="5" t="s">
        <v>1005</v>
      </c>
      <c r="Z406" s="21" t="s">
        <v>1051</v>
      </c>
      <c r="AA406" s="22" t="s">
        <v>1069</v>
      </c>
      <c r="AC406" s="22"/>
    </row>
    <row r="407" spans="1:29" s="1" customFormat="1" ht="49.5" x14ac:dyDescent="0.25">
      <c r="A407" s="13">
        <f t="shared" si="5"/>
        <v>523202</v>
      </c>
      <c r="B407" s="14">
        <v>5232</v>
      </c>
      <c r="C407" s="1" t="s">
        <v>736</v>
      </c>
      <c r="D407" s="12" t="s">
        <v>1066</v>
      </c>
      <c r="E407" s="3">
        <v>2</v>
      </c>
      <c r="F407" s="5" t="s">
        <v>708</v>
      </c>
      <c r="G407" s="3">
        <v>12</v>
      </c>
      <c r="K407" s="1">
        <v>5221</v>
      </c>
      <c r="L407" s="1">
        <v>7200</v>
      </c>
      <c r="M407" s="1">
        <v>6650</v>
      </c>
      <c r="N407" s="1" t="s">
        <v>1015</v>
      </c>
      <c r="O407" s="1">
        <v>100</v>
      </c>
      <c r="P407" s="1" t="s">
        <v>398</v>
      </c>
      <c r="Q407" s="1">
        <v>10</v>
      </c>
      <c r="R407" s="20">
        <v>20404</v>
      </c>
      <c r="S407" s="16">
        <v>0.01</v>
      </c>
      <c r="U407" s="1" t="s">
        <v>1066</v>
      </c>
      <c r="V407" s="17" t="s">
        <v>1067</v>
      </c>
      <c r="X407" s="17" t="s">
        <v>1068</v>
      </c>
      <c r="Y407" s="5" t="s">
        <v>1005</v>
      </c>
      <c r="Z407" s="21" t="s">
        <v>1051</v>
      </c>
      <c r="AA407" s="22" t="s">
        <v>1069</v>
      </c>
      <c r="AC407" s="22"/>
    </row>
    <row r="408" spans="1:29" s="1" customFormat="1" ht="49.5" x14ac:dyDescent="0.25">
      <c r="A408" s="13">
        <f t="shared" si="5"/>
        <v>523301</v>
      </c>
      <c r="B408" s="14">
        <v>5233</v>
      </c>
      <c r="C408" s="1" t="s">
        <v>736</v>
      </c>
      <c r="D408" s="12" t="s">
        <v>1022</v>
      </c>
      <c r="E408" s="3">
        <v>1</v>
      </c>
      <c r="F408" s="5" t="s">
        <v>708</v>
      </c>
      <c r="G408" s="3">
        <v>10</v>
      </c>
      <c r="K408" s="1">
        <v>5222</v>
      </c>
      <c r="L408" s="1">
        <v>7200</v>
      </c>
      <c r="M408" s="1">
        <v>6650</v>
      </c>
      <c r="N408" s="1" t="s">
        <v>1015</v>
      </c>
      <c r="O408" s="1">
        <v>100</v>
      </c>
      <c r="P408" s="1" t="s">
        <v>398</v>
      </c>
      <c r="Q408" s="1">
        <v>10</v>
      </c>
      <c r="S408" s="16"/>
      <c r="U408" s="1" t="s">
        <v>1423</v>
      </c>
      <c r="V408" s="17" t="s">
        <v>1071</v>
      </c>
      <c r="X408" s="17"/>
      <c r="Y408" s="5" t="s">
        <v>1005</v>
      </c>
      <c r="Z408" s="21" t="s">
        <v>1025</v>
      </c>
      <c r="AA408" s="22" t="s">
        <v>277</v>
      </c>
      <c r="AC408" s="22"/>
    </row>
    <row r="409" spans="1:29" s="1" customFormat="1" ht="49.5" x14ac:dyDescent="0.25">
      <c r="A409" s="13">
        <f t="shared" si="5"/>
        <v>523401</v>
      </c>
      <c r="B409" s="14">
        <v>5234</v>
      </c>
      <c r="C409" s="1" t="s">
        <v>736</v>
      </c>
      <c r="D409" s="12" t="s">
        <v>1072</v>
      </c>
      <c r="E409" s="3">
        <v>1</v>
      </c>
      <c r="F409" s="5" t="s">
        <v>708</v>
      </c>
      <c r="G409" s="3">
        <v>10</v>
      </c>
      <c r="K409" s="1">
        <v>5223</v>
      </c>
      <c r="L409" s="1">
        <v>7200</v>
      </c>
      <c r="M409" s="1">
        <v>6650</v>
      </c>
      <c r="N409" s="1" t="s">
        <v>1015</v>
      </c>
      <c r="O409" s="1">
        <v>100</v>
      </c>
      <c r="P409" s="1" t="s">
        <v>398</v>
      </c>
      <c r="Q409" s="1">
        <v>10</v>
      </c>
      <c r="R409" s="20">
        <v>20434</v>
      </c>
      <c r="S409" s="16">
        <v>0.01</v>
      </c>
      <c r="U409" s="1" t="s">
        <v>1072</v>
      </c>
      <c r="V409" s="17" t="s">
        <v>1073</v>
      </c>
      <c r="X409" s="17" t="s">
        <v>1074</v>
      </c>
      <c r="Y409" s="5" t="s">
        <v>1005</v>
      </c>
      <c r="Z409" s="21" t="s">
        <v>1060</v>
      </c>
      <c r="AA409" s="22" t="s">
        <v>1075</v>
      </c>
      <c r="AC409" s="22"/>
    </row>
    <row r="410" spans="1:29" s="1" customFormat="1" ht="49.5" x14ac:dyDescent="0.25">
      <c r="A410" s="13">
        <f t="shared" si="5"/>
        <v>523402</v>
      </c>
      <c r="B410" s="14">
        <v>5234</v>
      </c>
      <c r="C410" s="1" t="s">
        <v>736</v>
      </c>
      <c r="D410" s="12" t="s">
        <v>1072</v>
      </c>
      <c r="E410" s="3">
        <v>2</v>
      </c>
      <c r="F410" s="5" t="s">
        <v>708</v>
      </c>
      <c r="G410" s="3">
        <v>12</v>
      </c>
      <c r="K410" s="1">
        <v>5223</v>
      </c>
      <c r="L410" s="1">
        <v>7200</v>
      </c>
      <c r="M410" s="1">
        <v>6650</v>
      </c>
      <c r="N410" s="1" t="s">
        <v>1015</v>
      </c>
      <c r="O410" s="1">
        <v>100</v>
      </c>
      <c r="P410" s="1" t="s">
        <v>398</v>
      </c>
      <c r="Q410" s="1">
        <v>10</v>
      </c>
      <c r="R410" s="20">
        <v>20434</v>
      </c>
      <c r="S410" s="16">
        <v>0.01</v>
      </c>
      <c r="U410" s="1" t="s">
        <v>1072</v>
      </c>
      <c r="V410" s="17" t="s">
        <v>1073</v>
      </c>
      <c r="X410" s="17" t="s">
        <v>1074</v>
      </c>
      <c r="Y410" s="5" t="s">
        <v>1005</v>
      </c>
      <c r="Z410" s="21" t="s">
        <v>1060</v>
      </c>
      <c r="AA410" s="22" t="s">
        <v>1075</v>
      </c>
      <c r="AC410" s="22"/>
    </row>
    <row r="411" spans="1:29" s="1" customFormat="1" ht="49.5" x14ac:dyDescent="0.25">
      <c r="A411" s="13">
        <f t="shared" si="5"/>
        <v>523501</v>
      </c>
      <c r="B411" s="14">
        <v>5235</v>
      </c>
      <c r="C411" s="1" t="s">
        <v>736</v>
      </c>
      <c r="D411" s="12" t="s">
        <v>1076</v>
      </c>
      <c r="E411" s="3">
        <v>1</v>
      </c>
      <c r="F411" s="5" t="s">
        <v>708</v>
      </c>
      <c r="G411" s="3">
        <v>10</v>
      </c>
      <c r="K411" s="1">
        <v>5223</v>
      </c>
      <c r="L411" s="1">
        <v>7200</v>
      </c>
      <c r="M411" s="1">
        <v>6650</v>
      </c>
      <c r="N411" s="1" t="s">
        <v>1015</v>
      </c>
      <c r="O411" s="1">
        <v>100</v>
      </c>
      <c r="P411" s="1" t="s">
        <v>398</v>
      </c>
      <c r="Q411" s="1">
        <v>10</v>
      </c>
      <c r="R411" s="1">
        <v>20234</v>
      </c>
      <c r="S411" s="16">
        <v>0.01</v>
      </c>
      <c r="U411" s="1" t="s">
        <v>1076</v>
      </c>
      <c r="V411" s="17" t="s">
        <v>1077</v>
      </c>
      <c r="X411" s="17" t="s">
        <v>1078</v>
      </c>
      <c r="Y411" s="5" t="s">
        <v>1005</v>
      </c>
      <c r="Z411" s="21" t="s">
        <v>1060</v>
      </c>
      <c r="AA411" s="22" t="s">
        <v>1079</v>
      </c>
      <c r="AC411" s="22"/>
    </row>
    <row r="412" spans="1:29" s="1" customFormat="1" ht="49.5" x14ac:dyDescent="0.25">
      <c r="A412" s="13">
        <f t="shared" ref="A412:A521" si="6">B412*100+E412</f>
        <v>523502</v>
      </c>
      <c r="B412" s="14">
        <v>5235</v>
      </c>
      <c r="C412" s="1" t="s">
        <v>736</v>
      </c>
      <c r="D412" s="12" t="s">
        <v>1076</v>
      </c>
      <c r="E412" s="3">
        <v>2</v>
      </c>
      <c r="F412" s="5" t="s">
        <v>708</v>
      </c>
      <c r="G412" s="3">
        <v>12</v>
      </c>
      <c r="K412" s="1">
        <v>5223</v>
      </c>
      <c r="L412" s="1">
        <v>7200</v>
      </c>
      <c r="M412" s="1">
        <v>6650</v>
      </c>
      <c r="N412" s="1" t="s">
        <v>1015</v>
      </c>
      <c r="O412" s="1">
        <v>100</v>
      </c>
      <c r="P412" s="1" t="s">
        <v>398</v>
      </c>
      <c r="Q412" s="1">
        <v>10</v>
      </c>
      <c r="R412" s="1">
        <v>20234</v>
      </c>
      <c r="S412" s="16">
        <v>0.01</v>
      </c>
      <c r="U412" s="1" t="s">
        <v>1076</v>
      </c>
      <c r="V412" s="17" t="s">
        <v>1077</v>
      </c>
      <c r="X412" s="17" t="s">
        <v>1078</v>
      </c>
      <c r="Y412" s="5" t="s">
        <v>1005</v>
      </c>
      <c r="Z412" s="21" t="s">
        <v>1060</v>
      </c>
      <c r="AA412" s="22" t="s">
        <v>1079</v>
      </c>
      <c r="AC412" s="22"/>
    </row>
    <row r="413" spans="1:29" s="1" customFormat="1" ht="49.5" x14ac:dyDescent="0.25">
      <c r="A413" s="13">
        <f t="shared" si="6"/>
        <v>524101</v>
      </c>
      <c r="B413" s="14">
        <v>5241</v>
      </c>
      <c r="C413" s="1" t="s">
        <v>736</v>
      </c>
      <c r="D413" s="12" t="s">
        <v>1080</v>
      </c>
      <c r="E413" s="3">
        <v>1</v>
      </c>
      <c r="F413" s="5" t="s">
        <v>708</v>
      </c>
      <c r="G413" s="3">
        <v>15</v>
      </c>
      <c r="K413" s="1">
        <v>5231</v>
      </c>
      <c r="L413" s="1">
        <v>9000</v>
      </c>
      <c r="M413" s="1">
        <v>6950</v>
      </c>
      <c r="N413" s="1" t="s">
        <v>1032</v>
      </c>
      <c r="O413" s="1">
        <v>100</v>
      </c>
      <c r="P413" s="1" t="s">
        <v>398</v>
      </c>
      <c r="Q413" s="1">
        <v>10</v>
      </c>
      <c r="R413" s="20">
        <v>6034</v>
      </c>
      <c r="S413" s="16">
        <v>0.01</v>
      </c>
      <c r="U413" s="1" t="s">
        <v>1080</v>
      </c>
      <c r="V413" s="17" t="s">
        <v>1081</v>
      </c>
      <c r="X413" s="17" t="s">
        <v>1082</v>
      </c>
      <c r="Y413" s="5" t="s">
        <v>1005</v>
      </c>
      <c r="Z413" s="21" t="s">
        <v>1051</v>
      </c>
      <c r="AA413" s="22" t="s">
        <v>1083</v>
      </c>
      <c r="AC413" s="22"/>
    </row>
    <row r="414" spans="1:29" s="1" customFormat="1" ht="49.5" x14ac:dyDescent="0.25">
      <c r="A414" s="13">
        <f t="shared" si="6"/>
        <v>524102</v>
      </c>
      <c r="B414" s="14">
        <v>5241</v>
      </c>
      <c r="C414" s="1" t="s">
        <v>736</v>
      </c>
      <c r="D414" s="12" t="s">
        <v>1080</v>
      </c>
      <c r="E414" s="3">
        <v>2</v>
      </c>
      <c r="F414" s="5" t="s">
        <v>708</v>
      </c>
      <c r="G414" s="3">
        <v>16</v>
      </c>
      <c r="K414" s="1">
        <v>5231</v>
      </c>
      <c r="L414" s="1">
        <v>9000</v>
      </c>
      <c r="M414" s="1">
        <v>6950</v>
      </c>
      <c r="N414" s="1" t="s">
        <v>1032</v>
      </c>
      <c r="O414" s="1">
        <v>100</v>
      </c>
      <c r="P414" s="1" t="s">
        <v>398</v>
      </c>
      <c r="Q414" s="1">
        <v>10</v>
      </c>
      <c r="R414" s="20">
        <v>6034</v>
      </c>
      <c r="S414" s="16">
        <v>0.01</v>
      </c>
      <c r="U414" s="1" t="s">
        <v>1080</v>
      </c>
      <c r="V414" s="17" t="s">
        <v>1081</v>
      </c>
      <c r="X414" s="17" t="s">
        <v>1082</v>
      </c>
      <c r="Y414" s="5" t="s">
        <v>1005</v>
      </c>
      <c r="Z414" s="21" t="s">
        <v>1051</v>
      </c>
      <c r="AA414" s="22" t="s">
        <v>1083</v>
      </c>
      <c r="AC414" s="22"/>
    </row>
    <row r="415" spans="1:29" s="1" customFormat="1" ht="49.5" x14ac:dyDescent="0.25">
      <c r="A415" s="13">
        <f t="shared" si="6"/>
        <v>524201</v>
      </c>
      <c r="B415" s="14">
        <v>5242</v>
      </c>
      <c r="C415" s="1" t="s">
        <v>736</v>
      </c>
      <c r="D415" s="12" t="s">
        <v>1084</v>
      </c>
      <c r="E415" s="3">
        <v>1</v>
      </c>
      <c r="F415" s="5" t="s">
        <v>708</v>
      </c>
      <c r="G415" s="3">
        <v>15</v>
      </c>
      <c r="K415" s="1">
        <v>5231</v>
      </c>
      <c r="L415" s="1">
        <v>9000</v>
      </c>
      <c r="M415" s="1">
        <v>6950</v>
      </c>
      <c r="N415" s="1" t="s">
        <v>1032</v>
      </c>
      <c r="O415" s="1">
        <v>100</v>
      </c>
      <c r="P415" s="1" t="s">
        <v>398</v>
      </c>
      <c r="Q415" s="1">
        <v>10</v>
      </c>
      <c r="R415" s="20">
        <v>20264</v>
      </c>
      <c r="S415" s="16">
        <v>5.0000000000000001E-3</v>
      </c>
      <c r="U415" s="1" t="s">
        <v>1084</v>
      </c>
      <c r="V415" s="17" t="s">
        <v>1085</v>
      </c>
      <c r="X415" s="17" t="s">
        <v>1086</v>
      </c>
      <c r="Y415" s="5" t="s">
        <v>1005</v>
      </c>
      <c r="Z415" s="21" t="s">
        <v>1046</v>
      </c>
      <c r="AA415" s="22" t="s">
        <v>1087</v>
      </c>
      <c r="AC415" s="22"/>
    </row>
    <row r="416" spans="1:29" s="1" customFormat="1" ht="49.5" x14ac:dyDescent="0.25">
      <c r="A416" s="13">
        <f t="shared" si="6"/>
        <v>524202</v>
      </c>
      <c r="B416" s="14">
        <v>5242</v>
      </c>
      <c r="C416" s="1" t="s">
        <v>736</v>
      </c>
      <c r="D416" s="12" t="s">
        <v>1084</v>
      </c>
      <c r="E416" s="3">
        <v>2</v>
      </c>
      <c r="F416" s="5" t="s">
        <v>708</v>
      </c>
      <c r="G416" s="3">
        <v>16</v>
      </c>
      <c r="K416" s="1">
        <v>5231</v>
      </c>
      <c r="L416" s="1">
        <v>9000</v>
      </c>
      <c r="M416" s="1">
        <v>6950</v>
      </c>
      <c r="N416" s="1" t="s">
        <v>1032</v>
      </c>
      <c r="O416" s="1">
        <v>100</v>
      </c>
      <c r="P416" s="1" t="s">
        <v>398</v>
      </c>
      <c r="Q416" s="1">
        <v>10</v>
      </c>
      <c r="R416" s="20">
        <v>20264</v>
      </c>
      <c r="S416" s="16">
        <v>5.0000000000000001E-3</v>
      </c>
      <c r="U416" s="1" t="s">
        <v>1084</v>
      </c>
      <c r="V416" s="17" t="s">
        <v>1085</v>
      </c>
      <c r="X416" s="17" t="s">
        <v>1086</v>
      </c>
      <c r="Y416" s="5" t="s">
        <v>1005</v>
      </c>
      <c r="Z416" s="21" t="s">
        <v>1046</v>
      </c>
      <c r="AA416" s="22" t="s">
        <v>1087</v>
      </c>
      <c r="AC416" s="22"/>
    </row>
    <row r="417" spans="1:29" s="1" customFormat="1" ht="49.5" x14ac:dyDescent="0.25">
      <c r="A417" s="13">
        <f t="shared" si="6"/>
        <v>524301</v>
      </c>
      <c r="B417" s="14">
        <v>5243</v>
      </c>
      <c r="C417" s="1" t="s">
        <v>736</v>
      </c>
      <c r="D417" s="12" t="s">
        <v>1088</v>
      </c>
      <c r="E417" s="3">
        <v>1</v>
      </c>
      <c r="F417" s="5" t="s">
        <v>708</v>
      </c>
      <c r="G417" s="3">
        <v>18</v>
      </c>
      <c r="K417" s="1">
        <v>5232</v>
      </c>
      <c r="L417" s="1">
        <v>9000</v>
      </c>
      <c r="M417" s="1">
        <v>7250</v>
      </c>
      <c r="N417" s="1" t="s">
        <v>1033</v>
      </c>
      <c r="O417" s="1">
        <v>100</v>
      </c>
      <c r="P417" s="1" t="s">
        <v>398</v>
      </c>
      <c r="Q417" s="1">
        <v>10</v>
      </c>
      <c r="R417" s="20">
        <v>20464</v>
      </c>
      <c r="S417" s="16">
        <v>5.0000000000000001E-3</v>
      </c>
      <c r="U417" s="1" t="s">
        <v>1088</v>
      </c>
      <c r="V417" s="17" t="s">
        <v>1089</v>
      </c>
      <c r="X417" s="17" t="s">
        <v>1090</v>
      </c>
      <c r="Y417" s="5" t="s">
        <v>1005</v>
      </c>
      <c r="Z417" s="21" t="s">
        <v>1046</v>
      </c>
      <c r="AA417" s="22" t="s">
        <v>1091</v>
      </c>
      <c r="AC417" s="22"/>
    </row>
    <row r="418" spans="1:29" s="1" customFormat="1" ht="49.5" x14ac:dyDescent="0.25">
      <c r="A418" s="13">
        <f t="shared" si="6"/>
        <v>524401</v>
      </c>
      <c r="B418" s="14">
        <v>5244</v>
      </c>
      <c r="C418" s="1" t="s">
        <v>736</v>
      </c>
      <c r="D418" s="12" t="s">
        <v>1053</v>
      </c>
      <c r="E418" s="3">
        <v>1</v>
      </c>
      <c r="F418" s="5" t="s">
        <v>708</v>
      </c>
      <c r="G418" s="3">
        <v>20</v>
      </c>
      <c r="K418" s="1" t="s">
        <v>1424</v>
      </c>
      <c r="L418" s="1">
        <v>10800</v>
      </c>
      <c r="M418" s="1">
        <v>7550</v>
      </c>
      <c r="N418" s="1" t="s">
        <v>397</v>
      </c>
      <c r="O418" s="1">
        <v>100</v>
      </c>
      <c r="P418" s="1" t="s">
        <v>398</v>
      </c>
      <c r="Q418" s="1">
        <v>10</v>
      </c>
      <c r="R418" s="1">
        <v>20064</v>
      </c>
      <c r="S418" s="16">
        <v>5.0000000000000001E-3</v>
      </c>
      <c r="U418" s="1" t="s">
        <v>1053</v>
      </c>
      <c r="V418" s="17" t="s">
        <v>1054</v>
      </c>
      <c r="X418" s="17" t="s">
        <v>1055</v>
      </c>
      <c r="Y418" s="5" t="s">
        <v>1005</v>
      </c>
      <c r="Z418" s="21" t="s">
        <v>1046</v>
      </c>
      <c r="AA418" s="22" t="s">
        <v>1093</v>
      </c>
      <c r="AC418" s="22"/>
    </row>
    <row r="419" spans="1:29" s="1" customFormat="1" ht="49.5" x14ac:dyDescent="0.25">
      <c r="A419" s="13">
        <f t="shared" si="6"/>
        <v>524501</v>
      </c>
      <c r="B419" s="14">
        <v>5245</v>
      </c>
      <c r="C419" s="1" t="s">
        <v>736</v>
      </c>
      <c r="D419" s="12" t="s">
        <v>1088</v>
      </c>
      <c r="E419" s="3">
        <v>1</v>
      </c>
      <c r="F419" s="5" t="s">
        <v>708</v>
      </c>
      <c r="G419" s="3">
        <v>18</v>
      </c>
      <c r="K419" s="1">
        <v>5234</v>
      </c>
      <c r="L419" s="1">
        <v>9000</v>
      </c>
      <c r="M419" s="1">
        <v>7250</v>
      </c>
      <c r="N419" s="1" t="s">
        <v>1033</v>
      </c>
      <c r="O419" s="1">
        <v>100</v>
      </c>
      <c r="P419" s="1" t="s">
        <v>398</v>
      </c>
      <c r="Q419" s="1">
        <v>10</v>
      </c>
      <c r="R419" s="20">
        <v>20464</v>
      </c>
      <c r="S419" s="16">
        <v>5.0000000000000001E-3</v>
      </c>
      <c r="U419" s="1" t="s">
        <v>1088</v>
      </c>
      <c r="V419" s="17" t="s">
        <v>1089</v>
      </c>
      <c r="X419" s="17" t="s">
        <v>1090</v>
      </c>
      <c r="Y419" s="5" t="s">
        <v>1005</v>
      </c>
      <c r="Z419" s="21" t="s">
        <v>1046</v>
      </c>
      <c r="AA419" s="22" t="s">
        <v>1094</v>
      </c>
    </row>
    <row r="420" spans="1:29" s="1" customFormat="1" ht="49.5" x14ac:dyDescent="0.25">
      <c r="A420" s="13">
        <f t="shared" si="6"/>
        <v>524601</v>
      </c>
      <c r="B420" s="14">
        <v>5246</v>
      </c>
      <c r="C420" s="1" t="s">
        <v>736</v>
      </c>
      <c r="D420" s="12" t="s">
        <v>1084</v>
      </c>
      <c r="E420" s="3">
        <v>1</v>
      </c>
      <c r="F420" s="5" t="s">
        <v>708</v>
      </c>
      <c r="G420" s="3">
        <v>15</v>
      </c>
      <c r="K420" s="1">
        <v>5235</v>
      </c>
      <c r="L420" s="1">
        <v>9000</v>
      </c>
      <c r="M420" s="1">
        <v>6950</v>
      </c>
      <c r="N420" s="1" t="s">
        <v>1032</v>
      </c>
      <c r="O420" s="1">
        <v>100</v>
      </c>
      <c r="P420" s="1" t="s">
        <v>398</v>
      </c>
      <c r="Q420" s="1">
        <v>10</v>
      </c>
      <c r="R420" s="20">
        <v>20264</v>
      </c>
      <c r="S420" s="16">
        <v>5.0000000000000001E-3</v>
      </c>
      <c r="U420" s="1" t="s">
        <v>1084</v>
      </c>
      <c r="V420" s="17" t="s">
        <v>1085</v>
      </c>
      <c r="X420" s="17" t="s">
        <v>1086</v>
      </c>
      <c r="Y420" s="5" t="s">
        <v>1005</v>
      </c>
      <c r="Z420" s="21" t="s">
        <v>1046</v>
      </c>
      <c r="AA420" s="22" t="s">
        <v>1095</v>
      </c>
    </row>
    <row r="421" spans="1:29" s="1" customFormat="1" ht="49.5" x14ac:dyDescent="0.25">
      <c r="A421" s="13">
        <f t="shared" si="6"/>
        <v>524602</v>
      </c>
      <c r="B421" s="14">
        <v>5246</v>
      </c>
      <c r="C421" s="1" t="s">
        <v>736</v>
      </c>
      <c r="D421" s="12" t="s">
        <v>1084</v>
      </c>
      <c r="E421" s="3">
        <v>2</v>
      </c>
      <c r="F421" s="5" t="s">
        <v>708</v>
      </c>
      <c r="G421" s="3">
        <v>16</v>
      </c>
      <c r="K421" s="1">
        <v>5235</v>
      </c>
      <c r="L421" s="1">
        <v>9000</v>
      </c>
      <c r="M421" s="1">
        <v>6950</v>
      </c>
      <c r="N421" s="1" t="s">
        <v>1032</v>
      </c>
      <c r="O421" s="1">
        <v>100</v>
      </c>
      <c r="P421" s="1" t="s">
        <v>398</v>
      </c>
      <c r="Q421" s="1">
        <v>10</v>
      </c>
      <c r="R421" s="20">
        <v>20264</v>
      </c>
      <c r="S421" s="2">
        <v>5.0000000000000001E-3</v>
      </c>
      <c r="U421" s="1" t="s">
        <v>1084</v>
      </c>
      <c r="V421" s="17" t="s">
        <v>1085</v>
      </c>
      <c r="X421" s="17" t="s">
        <v>1086</v>
      </c>
      <c r="Y421" s="5" t="s">
        <v>1005</v>
      </c>
      <c r="Z421" s="21" t="s">
        <v>1046</v>
      </c>
      <c r="AA421" s="22" t="s">
        <v>1095</v>
      </c>
    </row>
    <row r="422" spans="1:29" s="1" customFormat="1" ht="49.5" x14ac:dyDescent="0.25">
      <c r="A422" s="13">
        <f t="shared" si="6"/>
        <v>524701</v>
      </c>
      <c r="B422" s="14">
        <v>5247</v>
      </c>
      <c r="C422" s="1" t="s">
        <v>736</v>
      </c>
      <c r="D422" s="12" t="s">
        <v>1080</v>
      </c>
      <c r="E422" s="3">
        <v>1</v>
      </c>
      <c r="F422" s="5" t="s">
        <v>708</v>
      </c>
      <c r="G422" s="3">
        <v>15</v>
      </c>
      <c r="K422" s="1">
        <v>5235</v>
      </c>
      <c r="L422" s="1">
        <v>9000</v>
      </c>
      <c r="M422" s="1">
        <v>6950</v>
      </c>
      <c r="N422" s="1" t="s">
        <v>1032</v>
      </c>
      <c r="O422" s="1">
        <v>100</v>
      </c>
      <c r="P422" s="1" t="s">
        <v>398</v>
      </c>
      <c r="Q422" s="1">
        <v>10</v>
      </c>
      <c r="R422" s="20">
        <v>6034</v>
      </c>
      <c r="S422" s="16">
        <v>0.01</v>
      </c>
      <c r="U422" s="1" t="s">
        <v>1080</v>
      </c>
      <c r="V422" s="17" t="s">
        <v>1081</v>
      </c>
      <c r="X422" s="17" t="s">
        <v>1082</v>
      </c>
      <c r="Y422" s="5" t="s">
        <v>1005</v>
      </c>
      <c r="Z422" s="21" t="s">
        <v>1051</v>
      </c>
      <c r="AA422" s="22" t="s">
        <v>1096</v>
      </c>
    </row>
    <row r="423" spans="1:29" s="1" customFormat="1" ht="49.5" x14ac:dyDescent="0.25">
      <c r="A423" s="13">
        <f t="shared" si="6"/>
        <v>524702</v>
      </c>
      <c r="B423" s="14">
        <v>5247</v>
      </c>
      <c r="C423" s="1" t="s">
        <v>736</v>
      </c>
      <c r="D423" s="12" t="s">
        <v>1080</v>
      </c>
      <c r="E423" s="3">
        <v>2</v>
      </c>
      <c r="F423" s="5" t="s">
        <v>708</v>
      </c>
      <c r="G423" s="3">
        <v>16</v>
      </c>
      <c r="K423" s="1">
        <v>5235</v>
      </c>
      <c r="L423" s="1">
        <v>9000</v>
      </c>
      <c r="M423" s="1">
        <v>6950</v>
      </c>
      <c r="N423" s="1" t="s">
        <v>1032</v>
      </c>
      <c r="O423" s="1">
        <v>100</v>
      </c>
      <c r="P423" s="1" t="s">
        <v>398</v>
      </c>
      <c r="Q423" s="1">
        <v>10</v>
      </c>
      <c r="R423" s="20">
        <v>6034</v>
      </c>
      <c r="S423" s="16">
        <v>0.01</v>
      </c>
      <c r="U423" s="1" t="s">
        <v>1080</v>
      </c>
      <c r="V423" s="17" t="s">
        <v>1081</v>
      </c>
      <c r="X423" s="17" t="s">
        <v>1082</v>
      </c>
      <c r="Y423" s="5" t="s">
        <v>1005</v>
      </c>
      <c r="Z423" s="21" t="s">
        <v>1051</v>
      </c>
      <c r="AA423" s="22" t="s">
        <v>1096</v>
      </c>
    </row>
    <row r="424" spans="1:29" s="1" customFormat="1" ht="49.5" x14ac:dyDescent="0.25">
      <c r="A424" s="13">
        <f t="shared" si="6"/>
        <v>531101</v>
      </c>
      <c r="B424" s="14">
        <v>5311</v>
      </c>
      <c r="C424" s="1" t="s">
        <v>736</v>
      </c>
      <c r="D424" s="12" t="s">
        <v>1097</v>
      </c>
      <c r="E424" s="3">
        <v>1</v>
      </c>
      <c r="F424" s="5" t="s">
        <v>712</v>
      </c>
      <c r="G424" s="3">
        <v>1</v>
      </c>
      <c r="K424" s="1">
        <v>5233</v>
      </c>
      <c r="L424" s="1">
        <v>3600</v>
      </c>
      <c r="M424" s="1">
        <v>6300</v>
      </c>
      <c r="N424" s="1" t="s">
        <v>999</v>
      </c>
      <c r="O424" s="1">
        <v>100</v>
      </c>
      <c r="P424" s="1" t="s">
        <v>398</v>
      </c>
      <c r="Q424" s="1">
        <v>10</v>
      </c>
      <c r="R424" s="1" t="s">
        <v>1098</v>
      </c>
      <c r="S424" s="16" t="s">
        <v>1099</v>
      </c>
      <c r="U424" s="1" t="s">
        <v>1100</v>
      </c>
      <c r="V424" s="17" t="s">
        <v>1101</v>
      </c>
      <c r="X424" s="17" t="s">
        <v>1102</v>
      </c>
      <c r="Y424" s="5" t="s">
        <v>1005</v>
      </c>
      <c r="Z424" s="21" t="s">
        <v>1046</v>
      </c>
      <c r="AA424" s="22" t="s">
        <v>1103</v>
      </c>
    </row>
    <row r="425" spans="1:29" s="1" customFormat="1" ht="49.5" x14ac:dyDescent="0.25">
      <c r="A425" s="13">
        <f t="shared" si="6"/>
        <v>532101</v>
      </c>
      <c r="B425" s="14">
        <v>5321</v>
      </c>
      <c r="C425" s="1" t="s">
        <v>736</v>
      </c>
      <c r="D425" s="12" t="s">
        <v>1104</v>
      </c>
      <c r="E425" s="3">
        <v>1</v>
      </c>
      <c r="F425" s="5" t="s">
        <v>712</v>
      </c>
      <c r="G425" s="3">
        <v>5</v>
      </c>
      <c r="K425" s="1">
        <v>5311</v>
      </c>
      <c r="L425" s="1">
        <v>5400</v>
      </c>
      <c r="M425" s="1">
        <v>6650</v>
      </c>
      <c r="N425" s="1" t="s">
        <v>1008</v>
      </c>
      <c r="O425" s="1">
        <v>100</v>
      </c>
      <c r="P425" s="1" t="s">
        <v>398</v>
      </c>
      <c r="Q425" s="1">
        <v>10</v>
      </c>
      <c r="R425" s="1">
        <v>20008</v>
      </c>
      <c r="S425" s="16">
        <v>1.4999999999999999E-2</v>
      </c>
      <c r="U425" s="1" t="s">
        <v>1104</v>
      </c>
      <c r="V425" s="17" t="s">
        <v>1105</v>
      </c>
      <c r="X425" s="17" t="s">
        <v>1106</v>
      </c>
      <c r="Y425" s="5" t="s">
        <v>1005</v>
      </c>
      <c r="Z425" s="21" t="s">
        <v>1051</v>
      </c>
      <c r="AA425" s="22" t="s">
        <v>1107</v>
      </c>
    </row>
    <row r="426" spans="1:29" s="1" customFormat="1" ht="49.5" x14ac:dyDescent="0.25">
      <c r="A426" s="13">
        <f t="shared" si="6"/>
        <v>532201</v>
      </c>
      <c r="B426" s="14">
        <v>5322</v>
      </c>
      <c r="C426" s="1" t="s">
        <v>736</v>
      </c>
      <c r="D426" s="12" t="s">
        <v>1239</v>
      </c>
      <c r="E426" s="3">
        <v>1</v>
      </c>
      <c r="F426" s="5" t="s">
        <v>712</v>
      </c>
      <c r="G426" s="3">
        <v>5</v>
      </c>
      <c r="K426" s="1">
        <v>5311</v>
      </c>
      <c r="L426" s="1">
        <v>5400</v>
      </c>
      <c r="M426" s="1">
        <v>6650</v>
      </c>
      <c r="N426" s="1" t="s">
        <v>1008</v>
      </c>
      <c r="O426" s="1">
        <v>100</v>
      </c>
      <c r="P426" s="1" t="s">
        <v>398</v>
      </c>
      <c r="Q426" s="1">
        <v>10</v>
      </c>
      <c r="R426" s="1" t="s">
        <v>1240</v>
      </c>
      <c r="S426" s="16" t="s">
        <v>222</v>
      </c>
      <c r="U426" s="1" t="s">
        <v>1241</v>
      </c>
      <c r="V426" s="17" t="s">
        <v>1242</v>
      </c>
      <c r="X426" s="17" t="s">
        <v>1243</v>
      </c>
      <c r="Y426" s="5" t="s">
        <v>1005</v>
      </c>
      <c r="Z426" s="21" t="s">
        <v>1113</v>
      </c>
      <c r="AA426" s="22" t="s">
        <v>1114</v>
      </c>
    </row>
    <row r="427" spans="1:29" s="1" customFormat="1" ht="49.5" x14ac:dyDescent="0.25">
      <c r="A427" s="13">
        <f t="shared" si="6"/>
        <v>532301</v>
      </c>
      <c r="B427" s="14">
        <v>5323</v>
      </c>
      <c r="C427" s="1" t="s">
        <v>736</v>
      </c>
      <c r="D427" s="12" t="s">
        <v>1115</v>
      </c>
      <c r="E427" s="3">
        <v>1</v>
      </c>
      <c r="F427" s="5" t="s">
        <v>712</v>
      </c>
      <c r="G427" s="3">
        <v>5</v>
      </c>
      <c r="K427" s="1">
        <v>5311</v>
      </c>
      <c r="L427" s="1">
        <v>5400</v>
      </c>
      <c r="M427" s="1">
        <v>6650</v>
      </c>
      <c r="N427" s="1" t="s">
        <v>1008</v>
      </c>
      <c r="O427" s="1">
        <v>100</v>
      </c>
      <c r="P427" s="1" t="s">
        <v>398</v>
      </c>
      <c r="Q427" s="1">
        <v>10</v>
      </c>
      <c r="R427" s="1">
        <v>20038</v>
      </c>
      <c r="S427" s="16">
        <v>1.4999999999999999E-2</v>
      </c>
      <c r="U427" s="1" t="s">
        <v>1115</v>
      </c>
      <c r="V427" s="17" t="s">
        <v>1116</v>
      </c>
      <c r="X427" s="17" t="s">
        <v>1117</v>
      </c>
      <c r="Y427" s="5" t="s">
        <v>1005</v>
      </c>
      <c r="Z427" s="21" t="s">
        <v>1060</v>
      </c>
      <c r="AA427" s="22" t="s">
        <v>1118</v>
      </c>
    </row>
    <row r="428" spans="1:29" s="1" customFormat="1" ht="49.5" x14ac:dyDescent="0.25">
      <c r="A428" s="13">
        <f t="shared" si="6"/>
        <v>533101</v>
      </c>
      <c r="B428" s="14">
        <v>5331</v>
      </c>
      <c r="C428" s="1" t="s">
        <v>736</v>
      </c>
      <c r="D428" s="12" t="s">
        <v>1104</v>
      </c>
      <c r="E428" s="3">
        <v>1</v>
      </c>
      <c r="F428" s="5" t="s">
        <v>712</v>
      </c>
      <c r="G428" s="3">
        <v>10</v>
      </c>
      <c r="K428" s="1">
        <v>5321</v>
      </c>
      <c r="L428" s="1">
        <v>7200</v>
      </c>
      <c r="M428" s="1">
        <v>6950</v>
      </c>
      <c r="N428" s="1" t="s">
        <v>1015</v>
      </c>
      <c r="O428" s="1">
        <v>100</v>
      </c>
      <c r="P428" s="1" t="s">
        <v>398</v>
      </c>
      <c r="Q428" s="1">
        <v>10</v>
      </c>
      <c r="R428" s="1">
        <v>20008</v>
      </c>
      <c r="S428" s="16">
        <v>1.4999999999999999E-2</v>
      </c>
      <c r="U428" s="1" t="s">
        <v>1104</v>
      </c>
      <c r="V428" s="17" t="s">
        <v>1105</v>
      </c>
      <c r="X428" s="17" t="s">
        <v>1106</v>
      </c>
      <c r="Y428" s="5" t="s">
        <v>1005</v>
      </c>
      <c r="Z428" s="21" t="s">
        <v>1051</v>
      </c>
      <c r="AA428" s="22" t="s">
        <v>1119</v>
      </c>
    </row>
    <row r="429" spans="1:29" s="1" customFormat="1" ht="49.5" x14ac:dyDescent="0.25">
      <c r="A429" s="13">
        <f t="shared" si="6"/>
        <v>533102</v>
      </c>
      <c r="B429" s="14">
        <v>5331</v>
      </c>
      <c r="C429" s="1" t="s">
        <v>736</v>
      </c>
      <c r="D429" s="12" t="s">
        <v>1104</v>
      </c>
      <c r="E429" s="3">
        <v>2</v>
      </c>
      <c r="F429" s="5" t="s">
        <v>712</v>
      </c>
      <c r="G429" s="3">
        <v>14</v>
      </c>
      <c r="K429" s="1">
        <v>5321</v>
      </c>
      <c r="L429" s="1">
        <v>7200</v>
      </c>
      <c r="M429" s="1">
        <v>6950</v>
      </c>
      <c r="N429" s="1" t="s">
        <v>1015</v>
      </c>
      <c r="O429" s="1">
        <v>100</v>
      </c>
      <c r="P429" s="1" t="s">
        <v>398</v>
      </c>
      <c r="Q429" s="1">
        <v>10</v>
      </c>
      <c r="R429" s="1">
        <v>20008</v>
      </c>
      <c r="S429" s="16">
        <v>1.4999999999999999E-2</v>
      </c>
      <c r="U429" s="1" t="s">
        <v>1104</v>
      </c>
      <c r="V429" s="17" t="s">
        <v>1105</v>
      </c>
      <c r="X429" s="17" t="s">
        <v>1106</v>
      </c>
      <c r="Y429" s="5" t="s">
        <v>1005</v>
      </c>
      <c r="Z429" s="21" t="s">
        <v>1051</v>
      </c>
      <c r="AA429" s="22" t="s">
        <v>1119</v>
      </c>
    </row>
    <row r="430" spans="1:29" s="1" customFormat="1" ht="49.5" x14ac:dyDescent="0.25">
      <c r="A430" s="13">
        <f t="shared" si="6"/>
        <v>533201</v>
      </c>
      <c r="B430" s="14">
        <v>5332</v>
      </c>
      <c r="C430" s="1" t="s">
        <v>736</v>
      </c>
      <c r="D430" s="12" t="s">
        <v>1247</v>
      </c>
      <c r="E430" s="3">
        <v>1</v>
      </c>
      <c r="F430" s="5" t="s">
        <v>712</v>
      </c>
      <c r="G430" s="3">
        <v>10</v>
      </c>
      <c r="K430" s="1" t="s">
        <v>1425</v>
      </c>
      <c r="L430" s="1">
        <v>7200</v>
      </c>
      <c r="M430" s="1">
        <v>6950</v>
      </c>
      <c r="N430" s="1" t="s">
        <v>1015</v>
      </c>
      <c r="O430" s="1">
        <v>100</v>
      </c>
      <c r="P430" s="1" t="s">
        <v>398</v>
      </c>
      <c r="Q430" s="1">
        <v>10</v>
      </c>
      <c r="R430" s="1">
        <v>30241</v>
      </c>
      <c r="S430" s="16">
        <v>1</v>
      </c>
      <c r="U430" s="1" t="s">
        <v>1241</v>
      </c>
      <c r="V430" s="17" t="s">
        <v>1249</v>
      </c>
      <c r="X430" s="17" t="s">
        <v>1250</v>
      </c>
      <c r="Y430" s="5" t="s">
        <v>1005</v>
      </c>
      <c r="Z430" s="21" t="s">
        <v>1124</v>
      </c>
      <c r="AA430" s="22" t="s">
        <v>1125</v>
      </c>
    </row>
    <row r="431" spans="1:29" s="1" customFormat="1" ht="49.5" x14ac:dyDescent="0.25">
      <c r="A431" s="13">
        <f t="shared" si="6"/>
        <v>533202</v>
      </c>
      <c r="B431" s="14">
        <v>5332</v>
      </c>
      <c r="C431" s="1" t="s">
        <v>736</v>
      </c>
      <c r="D431" s="12" t="s">
        <v>1247</v>
      </c>
      <c r="E431" s="3">
        <v>2</v>
      </c>
      <c r="F431" s="5" t="s">
        <v>712</v>
      </c>
      <c r="G431" s="3">
        <v>14</v>
      </c>
      <c r="K431" s="1" t="s">
        <v>1425</v>
      </c>
      <c r="L431" s="1">
        <v>7200</v>
      </c>
      <c r="M431" s="1">
        <v>6950</v>
      </c>
      <c r="N431" s="1" t="s">
        <v>1015</v>
      </c>
      <c r="O431" s="1">
        <v>100</v>
      </c>
      <c r="P431" s="1" t="s">
        <v>398</v>
      </c>
      <c r="Q431" s="1">
        <v>10</v>
      </c>
      <c r="R431" s="1">
        <v>30241</v>
      </c>
      <c r="S431" s="16">
        <v>1</v>
      </c>
      <c r="U431" s="1" t="s">
        <v>1241</v>
      </c>
      <c r="V431" s="17" t="s">
        <v>1249</v>
      </c>
      <c r="X431" s="17" t="s">
        <v>1250</v>
      </c>
      <c r="Y431" s="5" t="s">
        <v>1005</v>
      </c>
      <c r="Z431" s="21" t="s">
        <v>1124</v>
      </c>
      <c r="AA431" s="22" t="s">
        <v>1125</v>
      </c>
    </row>
    <row r="432" spans="1:29" s="1" customFormat="1" ht="49.5" x14ac:dyDescent="0.25">
      <c r="A432" s="13">
        <f t="shared" si="6"/>
        <v>533301</v>
      </c>
      <c r="B432" s="14">
        <v>5333</v>
      </c>
      <c r="C432" s="1" t="s">
        <v>736</v>
      </c>
      <c r="D432" s="12" t="s">
        <v>1251</v>
      </c>
      <c r="E432" s="3">
        <v>1</v>
      </c>
      <c r="F432" s="5" t="s">
        <v>712</v>
      </c>
      <c r="G432" s="3">
        <v>10</v>
      </c>
      <c r="K432" s="1">
        <v>5322</v>
      </c>
      <c r="L432" s="1">
        <v>7200</v>
      </c>
      <c r="M432" s="1">
        <v>6950</v>
      </c>
      <c r="N432" s="1" t="s">
        <v>1015</v>
      </c>
      <c r="O432" s="1">
        <v>100</v>
      </c>
      <c r="P432" s="1" t="s">
        <v>398</v>
      </c>
      <c r="Q432" s="1">
        <v>10</v>
      </c>
      <c r="R432" s="1">
        <v>30221</v>
      </c>
      <c r="S432" s="16">
        <v>1</v>
      </c>
      <c r="U432" s="1" t="s">
        <v>1241</v>
      </c>
      <c r="V432" s="17" t="s">
        <v>1252</v>
      </c>
      <c r="X432" s="17" t="s">
        <v>1253</v>
      </c>
      <c r="Y432" s="5" t="s">
        <v>1005</v>
      </c>
      <c r="Z432" s="21" t="s">
        <v>1129</v>
      </c>
      <c r="AA432" s="22" t="s">
        <v>1130</v>
      </c>
    </row>
    <row r="433" spans="1:27" s="1" customFormat="1" ht="49.5" x14ac:dyDescent="0.25">
      <c r="A433" s="13">
        <f t="shared" si="6"/>
        <v>533302</v>
      </c>
      <c r="B433" s="14">
        <v>5333</v>
      </c>
      <c r="C433" s="1" t="s">
        <v>736</v>
      </c>
      <c r="D433" s="12" t="s">
        <v>1251</v>
      </c>
      <c r="E433" s="3">
        <v>2</v>
      </c>
      <c r="F433" s="5" t="s">
        <v>712</v>
      </c>
      <c r="G433" s="3">
        <v>14</v>
      </c>
      <c r="K433" s="1">
        <v>5322</v>
      </c>
      <c r="L433" s="1">
        <v>7200</v>
      </c>
      <c r="M433" s="1">
        <v>6950</v>
      </c>
      <c r="N433" s="1" t="s">
        <v>1015</v>
      </c>
      <c r="O433" s="1">
        <v>100</v>
      </c>
      <c r="P433" s="1" t="s">
        <v>398</v>
      </c>
      <c r="Q433" s="1">
        <v>10</v>
      </c>
      <c r="R433" s="1">
        <v>30221</v>
      </c>
      <c r="S433" s="16">
        <v>1</v>
      </c>
      <c r="U433" s="1" t="s">
        <v>1241</v>
      </c>
      <c r="V433" s="17" t="s">
        <v>1252</v>
      </c>
      <c r="X433" s="17" t="s">
        <v>1253</v>
      </c>
      <c r="Y433" s="5" t="s">
        <v>1005</v>
      </c>
      <c r="Z433" s="21" t="s">
        <v>1129</v>
      </c>
      <c r="AA433" s="22" t="s">
        <v>1130</v>
      </c>
    </row>
    <row r="434" spans="1:27" s="1" customFormat="1" ht="49.5" x14ac:dyDescent="0.25">
      <c r="A434" s="13">
        <f t="shared" si="6"/>
        <v>533401</v>
      </c>
      <c r="B434" s="14">
        <v>5334</v>
      </c>
      <c r="C434" s="1" t="s">
        <v>736</v>
      </c>
      <c r="D434" s="12" t="s">
        <v>1254</v>
      </c>
      <c r="E434" s="3">
        <v>1</v>
      </c>
      <c r="F434" s="5" t="s">
        <v>712</v>
      </c>
      <c r="G434" s="3">
        <v>10</v>
      </c>
      <c r="K434" s="1" t="s">
        <v>1426</v>
      </c>
      <c r="L434" s="1">
        <v>7200</v>
      </c>
      <c r="M434" s="1">
        <v>6950</v>
      </c>
      <c r="N434" s="1" t="s">
        <v>1015</v>
      </c>
      <c r="O434" s="1">
        <v>100</v>
      </c>
      <c r="P434" s="1" t="s">
        <v>398</v>
      </c>
      <c r="Q434" s="1">
        <v>10</v>
      </c>
      <c r="R434" s="1">
        <v>30231</v>
      </c>
      <c r="S434" s="16">
        <v>1</v>
      </c>
      <c r="U434" s="1" t="s">
        <v>1241</v>
      </c>
      <c r="V434" s="17" t="s">
        <v>1256</v>
      </c>
      <c r="X434" s="17" t="s">
        <v>1257</v>
      </c>
      <c r="Y434" s="5" t="s">
        <v>1005</v>
      </c>
      <c r="Z434" s="21" t="s">
        <v>1135</v>
      </c>
      <c r="AA434" s="22" t="s">
        <v>1136</v>
      </c>
    </row>
    <row r="435" spans="1:27" s="1" customFormat="1" ht="49.5" x14ac:dyDescent="0.25">
      <c r="A435" s="13">
        <f t="shared" si="6"/>
        <v>533402</v>
      </c>
      <c r="B435" s="14">
        <v>5334</v>
      </c>
      <c r="C435" s="1" t="s">
        <v>736</v>
      </c>
      <c r="D435" s="12" t="s">
        <v>1254</v>
      </c>
      <c r="E435" s="3">
        <v>2</v>
      </c>
      <c r="F435" s="5" t="s">
        <v>712</v>
      </c>
      <c r="G435" s="3">
        <v>14</v>
      </c>
      <c r="K435" s="1" t="s">
        <v>1426</v>
      </c>
      <c r="L435" s="1">
        <v>7200</v>
      </c>
      <c r="M435" s="1">
        <v>6950</v>
      </c>
      <c r="N435" s="1" t="s">
        <v>1015</v>
      </c>
      <c r="O435" s="1">
        <v>100</v>
      </c>
      <c r="P435" s="1" t="s">
        <v>398</v>
      </c>
      <c r="Q435" s="1">
        <v>10</v>
      </c>
      <c r="R435" s="1">
        <v>30231</v>
      </c>
      <c r="S435" s="16">
        <v>1</v>
      </c>
      <c r="U435" s="1" t="s">
        <v>1241</v>
      </c>
      <c r="V435" s="17" t="s">
        <v>1256</v>
      </c>
      <c r="X435" s="17" t="s">
        <v>1257</v>
      </c>
      <c r="Y435" s="5" t="s">
        <v>1005</v>
      </c>
      <c r="Z435" s="21" t="s">
        <v>1135</v>
      </c>
      <c r="AA435" s="22" t="s">
        <v>1136</v>
      </c>
    </row>
    <row r="436" spans="1:27" s="1" customFormat="1" ht="49.5" x14ac:dyDescent="0.25">
      <c r="A436" s="13">
        <f t="shared" si="6"/>
        <v>533501</v>
      </c>
      <c r="B436" s="14">
        <v>5335</v>
      </c>
      <c r="C436" s="1" t="s">
        <v>736</v>
      </c>
      <c r="D436" s="12" t="s">
        <v>1115</v>
      </c>
      <c r="E436" s="3">
        <v>1</v>
      </c>
      <c r="F436" s="5" t="s">
        <v>712</v>
      </c>
      <c r="G436" s="3">
        <v>10</v>
      </c>
      <c r="K436" s="1">
        <v>5323</v>
      </c>
      <c r="L436" s="1">
        <v>7200</v>
      </c>
      <c r="M436" s="1">
        <v>6950</v>
      </c>
      <c r="N436" s="1" t="s">
        <v>1015</v>
      </c>
      <c r="O436" s="1">
        <v>100</v>
      </c>
      <c r="P436" s="1" t="s">
        <v>398</v>
      </c>
      <c r="Q436" s="1">
        <v>10</v>
      </c>
      <c r="R436" s="1">
        <v>20038</v>
      </c>
      <c r="S436" s="16">
        <v>1.4999999999999999E-2</v>
      </c>
      <c r="U436" s="1" t="s">
        <v>1115</v>
      </c>
      <c r="V436" s="17" t="s">
        <v>1116</v>
      </c>
      <c r="X436" s="17" t="s">
        <v>1117</v>
      </c>
      <c r="Y436" s="5" t="s">
        <v>1005</v>
      </c>
      <c r="Z436" s="21" t="s">
        <v>1060</v>
      </c>
      <c r="AA436" s="22" t="s">
        <v>1137</v>
      </c>
    </row>
    <row r="437" spans="1:27" s="1" customFormat="1" ht="49.5" x14ac:dyDescent="0.25">
      <c r="A437" s="13">
        <f t="shared" si="6"/>
        <v>533502</v>
      </c>
      <c r="B437" s="14">
        <v>5335</v>
      </c>
      <c r="C437" s="1" t="s">
        <v>736</v>
      </c>
      <c r="D437" s="12" t="s">
        <v>1115</v>
      </c>
      <c r="E437" s="3">
        <v>2</v>
      </c>
      <c r="F437" s="5" t="s">
        <v>712</v>
      </c>
      <c r="G437" s="3">
        <v>14</v>
      </c>
      <c r="K437" s="1">
        <v>5323</v>
      </c>
      <c r="L437" s="1">
        <v>7200</v>
      </c>
      <c r="M437" s="1">
        <v>6950</v>
      </c>
      <c r="N437" s="1" t="s">
        <v>1015</v>
      </c>
      <c r="O437" s="1">
        <v>100</v>
      </c>
      <c r="P437" s="1" t="s">
        <v>398</v>
      </c>
      <c r="Q437" s="1">
        <v>10</v>
      </c>
      <c r="R437" s="1">
        <v>20038</v>
      </c>
      <c r="S437" s="16">
        <v>1.4999999999999999E-2</v>
      </c>
      <c r="U437" s="1" t="s">
        <v>1115</v>
      </c>
      <c r="V437" s="17" t="s">
        <v>1116</v>
      </c>
      <c r="X437" s="17" t="s">
        <v>1117</v>
      </c>
      <c r="Y437" s="5" t="s">
        <v>1005</v>
      </c>
      <c r="Z437" s="21" t="s">
        <v>1060</v>
      </c>
      <c r="AA437" s="22" t="s">
        <v>1137</v>
      </c>
    </row>
    <row r="438" spans="1:27" s="1" customFormat="1" ht="49.5" x14ac:dyDescent="0.25">
      <c r="A438" s="13">
        <f t="shared" si="6"/>
        <v>534101</v>
      </c>
      <c r="B438" s="14">
        <v>5341</v>
      </c>
      <c r="C438" s="1" t="s">
        <v>736</v>
      </c>
      <c r="D438" s="12" t="s">
        <v>1104</v>
      </c>
      <c r="E438" s="3">
        <v>1</v>
      </c>
      <c r="F438" s="5" t="s">
        <v>712</v>
      </c>
      <c r="G438" s="3">
        <v>15</v>
      </c>
      <c r="K438" s="1">
        <v>5331</v>
      </c>
      <c r="L438" s="1">
        <v>9000</v>
      </c>
      <c r="M438" s="1">
        <v>7250</v>
      </c>
      <c r="N438" s="1" t="s">
        <v>1032</v>
      </c>
      <c r="O438" s="1">
        <v>100</v>
      </c>
      <c r="P438" s="1" t="s">
        <v>398</v>
      </c>
      <c r="Q438" s="1">
        <v>10</v>
      </c>
      <c r="R438" s="1">
        <v>20008</v>
      </c>
      <c r="S438" s="16">
        <v>1.4999999999999999E-2</v>
      </c>
      <c r="U438" s="1" t="s">
        <v>1104</v>
      </c>
      <c r="V438" s="17" t="s">
        <v>1105</v>
      </c>
      <c r="X438" s="17" t="s">
        <v>1106</v>
      </c>
      <c r="Y438" s="5" t="s">
        <v>1005</v>
      </c>
      <c r="Z438" s="21" t="s">
        <v>1051</v>
      </c>
      <c r="AA438" s="22" t="s">
        <v>1138</v>
      </c>
    </row>
    <row r="439" spans="1:27" s="1" customFormat="1" ht="49.5" x14ac:dyDescent="0.25">
      <c r="A439" s="13">
        <f t="shared" si="6"/>
        <v>534102</v>
      </c>
      <c r="B439" s="14">
        <v>5341</v>
      </c>
      <c r="C439" s="1" t="s">
        <v>736</v>
      </c>
      <c r="D439" s="12" t="s">
        <v>1104</v>
      </c>
      <c r="E439" s="3">
        <v>2</v>
      </c>
      <c r="F439" s="5" t="s">
        <v>712</v>
      </c>
      <c r="G439" s="3">
        <v>17</v>
      </c>
      <c r="K439" s="1">
        <v>5331</v>
      </c>
      <c r="L439" s="1">
        <v>9000</v>
      </c>
      <c r="M439" s="1">
        <v>7250</v>
      </c>
      <c r="N439" s="1" t="s">
        <v>1032</v>
      </c>
      <c r="O439" s="1">
        <v>100</v>
      </c>
      <c r="P439" s="1" t="s">
        <v>398</v>
      </c>
      <c r="Q439" s="1">
        <v>10</v>
      </c>
      <c r="R439" s="1">
        <v>20008</v>
      </c>
      <c r="S439" s="16">
        <v>1.4999999999999999E-2</v>
      </c>
      <c r="U439" s="1" t="s">
        <v>1104</v>
      </c>
      <c r="V439" s="17" t="s">
        <v>1105</v>
      </c>
      <c r="X439" s="17" t="s">
        <v>1106</v>
      </c>
      <c r="Y439" s="5" t="s">
        <v>1005</v>
      </c>
      <c r="Z439" s="21" t="s">
        <v>1051</v>
      </c>
      <c r="AA439" s="22" t="s">
        <v>1138</v>
      </c>
    </row>
    <row r="440" spans="1:27" s="1" customFormat="1" ht="49.5" x14ac:dyDescent="0.25">
      <c r="A440" s="13">
        <f t="shared" si="6"/>
        <v>534201</v>
      </c>
      <c r="B440" s="14">
        <v>5342</v>
      </c>
      <c r="C440" s="1" t="s">
        <v>736</v>
      </c>
      <c r="D440" s="12" t="s">
        <v>1139</v>
      </c>
      <c r="E440" s="3">
        <v>1</v>
      </c>
      <c r="F440" s="5" t="s">
        <v>712</v>
      </c>
      <c r="G440" s="3">
        <v>15</v>
      </c>
      <c r="K440" s="1">
        <v>5331</v>
      </c>
      <c r="L440" s="1">
        <v>9000</v>
      </c>
      <c r="M440" s="1">
        <v>7250</v>
      </c>
      <c r="N440" s="1" t="s">
        <v>1032</v>
      </c>
      <c r="O440" s="1">
        <v>100</v>
      </c>
      <c r="P440" s="1" t="s">
        <v>398</v>
      </c>
      <c r="Q440" s="1">
        <v>10</v>
      </c>
      <c r="R440" s="1">
        <v>20068</v>
      </c>
      <c r="S440" s="16">
        <v>7.4999999999999997E-3</v>
      </c>
      <c r="U440" s="1" t="s">
        <v>1139</v>
      </c>
      <c r="V440" s="17" t="s">
        <v>1140</v>
      </c>
      <c r="X440" s="17" t="s">
        <v>1141</v>
      </c>
      <c r="Y440" s="5" t="s">
        <v>1005</v>
      </c>
      <c r="Z440" s="21" t="s">
        <v>1046</v>
      </c>
      <c r="AA440" s="22" t="s">
        <v>1142</v>
      </c>
    </row>
    <row r="441" spans="1:27" s="1" customFormat="1" ht="49.5" x14ac:dyDescent="0.25">
      <c r="A441" s="13">
        <f t="shared" si="6"/>
        <v>534202</v>
      </c>
      <c r="B441" s="14">
        <v>5342</v>
      </c>
      <c r="C441" s="1" t="s">
        <v>736</v>
      </c>
      <c r="D441" s="12" t="s">
        <v>1139</v>
      </c>
      <c r="E441" s="3">
        <v>2</v>
      </c>
      <c r="F441" s="5" t="s">
        <v>712</v>
      </c>
      <c r="G441" s="3">
        <v>17</v>
      </c>
      <c r="K441" s="1">
        <v>5331</v>
      </c>
      <c r="L441" s="1">
        <v>9000</v>
      </c>
      <c r="M441" s="1">
        <v>7250</v>
      </c>
      <c r="N441" s="1" t="s">
        <v>1032</v>
      </c>
      <c r="O441" s="1">
        <v>100</v>
      </c>
      <c r="P441" s="1" t="s">
        <v>398</v>
      </c>
      <c r="Q441" s="1">
        <v>10</v>
      </c>
      <c r="R441" s="1">
        <v>20068</v>
      </c>
      <c r="S441" s="16">
        <v>7.4999999999999997E-3</v>
      </c>
      <c r="U441" s="1" t="s">
        <v>1139</v>
      </c>
      <c r="V441" s="17" t="s">
        <v>1140</v>
      </c>
      <c r="X441" s="17" t="s">
        <v>1141</v>
      </c>
      <c r="Y441" s="5" t="s">
        <v>1005</v>
      </c>
      <c r="Z441" s="21" t="s">
        <v>1046</v>
      </c>
      <c r="AA441" s="22" t="s">
        <v>1142</v>
      </c>
    </row>
    <row r="442" spans="1:27" s="1" customFormat="1" ht="49.5" x14ac:dyDescent="0.25">
      <c r="A442" s="13">
        <f t="shared" si="6"/>
        <v>534301</v>
      </c>
      <c r="B442" s="14">
        <v>5343</v>
      </c>
      <c r="C442" s="1" t="s">
        <v>736</v>
      </c>
      <c r="D442" s="12" t="s">
        <v>1261</v>
      </c>
      <c r="E442" s="3">
        <v>1</v>
      </c>
      <c r="F442" s="5" t="s">
        <v>712</v>
      </c>
      <c r="G442" s="3">
        <v>18</v>
      </c>
      <c r="K442" s="1" t="s">
        <v>1427</v>
      </c>
      <c r="L442" s="1">
        <v>9000</v>
      </c>
      <c r="M442" s="1">
        <v>7600</v>
      </c>
      <c r="N442" s="1" t="s">
        <v>1033</v>
      </c>
      <c r="O442" s="1">
        <v>100</v>
      </c>
      <c r="P442" s="1" t="s">
        <v>398</v>
      </c>
      <c r="Q442" s="1">
        <v>10</v>
      </c>
      <c r="R442" s="1" t="s">
        <v>1263</v>
      </c>
      <c r="S442" s="16" t="s">
        <v>1146</v>
      </c>
      <c r="U442" s="1" t="s">
        <v>1241</v>
      </c>
      <c r="V442" s="17" t="s">
        <v>1264</v>
      </c>
      <c r="X442" s="17" t="s">
        <v>1265</v>
      </c>
      <c r="Y442" s="5" t="s">
        <v>1005</v>
      </c>
      <c r="Z442" s="21" t="s">
        <v>1129</v>
      </c>
      <c r="AA442" s="22" t="s">
        <v>1149</v>
      </c>
    </row>
    <row r="443" spans="1:27" s="1" customFormat="1" ht="49.5" x14ac:dyDescent="0.25">
      <c r="A443" s="13">
        <f t="shared" si="6"/>
        <v>534401</v>
      </c>
      <c r="B443" s="14">
        <v>5344</v>
      </c>
      <c r="C443" s="1" t="s">
        <v>736</v>
      </c>
      <c r="D443" s="12" t="s">
        <v>1239</v>
      </c>
      <c r="E443" s="3">
        <v>1</v>
      </c>
      <c r="F443" s="5" t="s">
        <v>712</v>
      </c>
      <c r="G443" s="3">
        <v>20</v>
      </c>
      <c r="K443" s="1" t="s">
        <v>1428</v>
      </c>
      <c r="L443" s="1">
        <v>10800</v>
      </c>
      <c r="M443" s="1">
        <v>7900</v>
      </c>
      <c r="N443" s="1" t="s">
        <v>397</v>
      </c>
      <c r="O443" s="1">
        <v>100</v>
      </c>
      <c r="P443" s="1" t="s">
        <v>398</v>
      </c>
      <c r="Q443" s="1">
        <v>10</v>
      </c>
      <c r="R443" s="1" t="s">
        <v>1240</v>
      </c>
      <c r="S443" s="16" t="s">
        <v>222</v>
      </c>
      <c r="U443" s="1" t="s">
        <v>1241</v>
      </c>
      <c r="V443" s="17" t="s">
        <v>1242</v>
      </c>
      <c r="X443" s="17" t="s">
        <v>1243</v>
      </c>
      <c r="Y443" s="5" t="s">
        <v>1005</v>
      </c>
      <c r="Z443" s="21" t="s">
        <v>1113</v>
      </c>
      <c r="AA443" s="22" t="s">
        <v>1151</v>
      </c>
    </row>
    <row r="444" spans="1:27" s="1" customFormat="1" ht="49.5" x14ac:dyDescent="0.25">
      <c r="A444" s="13">
        <f t="shared" si="6"/>
        <v>534501</v>
      </c>
      <c r="B444" s="14">
        <v>5345</v>
      </c>
      <c r="C444" s="1" t="s">
        <v>736</v>
      </c>
      <c r="D444" s="12" t="s">
        <v>1267</v>
      </c>
      <c r="E444" s="3">
        <v>1</v>
      </c>
      <c r="F444" s="5" t="s">
        <v>712</v>
      </c>
      <c r="G444" s="3">
        <v>18</v>
      </c>
      <c r="K444" s="1" t="s">
        <v>1429</v>
      </c>
      <c r="L444" s="1">
        <v>9000</v>
      </c>
      <c r="M444" s="1">
        <v>7600</v>
      </c>
      <c r="N444" s="1" t="s">
        <v>1033</v>
      </c>
      <c r="O444" s="1">
        <v>100</v>
      </c>
      <c r="P444" s="1" t="s">
        <v>398</v>
      </c>
      <c r="Q444" s="1">
        <v>10</v>
      </c>
      <c r="R444" s="1" t="s">
        <v>1269</v>
      </c>
      <c r="S444" s="16" t="s">
        <v>1146</v>
      </c>
      <c r="U444" s="1" t="s">
        <v>1241</v>
      </c>
      <c r="V444" s="17" t="s">
        <v>1270</v>
      </c>
      <c r="X444" s="17" t="s">
        <v>1271</v>
      </c>
      <c r="Y444" s="5" t="s">
        <v>1005</v>
      </c>
      <c r="Z444" s="21" t="s">
        <v>1129</v>
      </c>
      <c r="AA444" s="22" t="s">
        <v>1157</v>
      </c>
    </row>
    <row r="445" spans="1:27" s="1" customFormat="1" ht="49.5" x14ac:dyDescent="0.25">
      <c r="A445" s="13">
        <f t="shared" si="6"/>
        <v>534601</v>
      </c>
      <c r="B445" s="14">
        <v>5346</v>
      </c>
      <c r="C445" s="1" t="s">
        <v>736</v>
      </c>
      <c r="D445" s="12" t="s">
        <v>1139</v>
      </c>
      <c r="E445" s="3">
        <v>1</v>
      </c>
      <c r="F445" s="5" t="s">
        <v>712</v>
      </c>
      <c r="G445" s="3">
        <v>15</v>
      </c>
      <c r="K445" s="1">
        <v>5335</v>
      </c>
      <c r="L445" s="1">
        <v>9000</v>
      </c>
      <c r="M445" s="1">
        <v>7250</v>
      </c>
      <c r="N445" s="1" t="s">
        <v>1032</v>
      </c>
      <c r="O445" s="1">
        <v>100</v>
      </c>
      <c r="P445" s="1" t="s">
        <v>398</v>
      </c>
      <c r="Q445" s="1">
        <v>10</v>
      </c>
      <c r="R445" s="1">
        <v>20068</v>
      </c>
      <c r="S445" s="16">
        <v>7.4999999999999997E-3</v>
      </c>
      <c r="U445" s="1" t="s">
        <v>1139</v>
      </c>
      <c r="V445" s="17" t="s">
        <v>1140</v>
      </c>
      <c r="X445" s="17" t="s">
        <v>1141</v>
      </c>
      <c r="Y445" s="5" t="s">
        <v>1005</v>
      </c>
      <c r="Z445" s="21" t="s">
        <v>1046</v>
      </c>
      <c r="AA445" s="22" t="s">
        <v>1158</v>
      </c>
    </row>
    <row r="446" spans="1:27" s="1" customFormat="1" ht="49.5" x14ac:dyDescent="0.25">
      <c r="A446" s="13">
        <f t="shared" si="6"/>
        <v>534602</v>
      </c>
      <c r="B446" s="14">
        <v>5346</v>
      </c>
      <c r="C446" s="1" t="s">
        <v>736</v>
      </c>
      <c r="D446" s="12" t="s">
        <v>1139</v>
      </c>
      <c r="E446" s="3">
        <v>2</v>
      </c>
      <c r="F446" s="5" t="s">
        <v>712</v>
      </c>
      <c r="G446" s="3">
        <v>17</v>
      </c>
      <c r="K446" s="1">
        <v>5335</v>
      </c>
      <c r="L446" s="1">
        <v>9000</v>
      </c>
      <c r="M446" s="1">
        <v>7250</v>
      </c>
      <c r="N446" s="1" t="s">
        <v>1032</v>
      </c>
      <c r="O446" s="1">
        <v>100</v>
      </c>
      <c r="P446" s="1" t="s">
        <v>398</v>
      </c>
      <c r="Q446" s="1">
        <v>10</v>
      </c>
      <c r="R446" s="1">
        <v>20068</v>
      </c>
      <c r="S446" s="16">
        <v>7.4999999999999997E-3</v>
      </c>
      <c r="U446" s="1" t="s">
        <v>1139</v>
      </c>
      <c r="V446" s="17" t="s">
        <v>1140</v>
      </c>
      <c r="X446" s="17" t="s">
        <v>1141</v>
      </c>
      <c r="Y446" s="5" t="s">
        <v>1005</v>
      </c>
      <c r="Z446" s="21" t="s">
        <v>1046</v>
      </c>
      <c r="AA446" s="22" t="s">
        <v>1158</v>
      </c>
    </row>
    <row r="447" spans="1:27" s="1" customFormat="1" ht="49.5" x14ac:dyDescent="0.25">
      <c r="A447" s="13">
        <f t="shared" si="6"/>
        <v>534701</v>
      </c>
      <c r="B447" s="14">
        <v>5347</v>
      </c>
      <c r="C447" s="1" t="s">
        <v>736</v>
      </c>
      <c r="D447" s="12" t="s">
        <v>1115</v>
      </c>
      <c r="E447" s="3">
        <v>1</v>
      </c>
      <c r="F447" s="5" t="s">
        <v>712</v>
      </c>
      <c r="G447" s="3">
        <v>15</v>
      </c>
      <c r="K447" s="1">
        <v>5335</v>
      </c>
      <c r="L447" s="1">
        <v>9000</v>
      </c>
      <c r="M447" s="1">
        <v>7250</v>
      </c>
      <c r="N447" s="1" t="s">
        <v>1032</v>
      </c>
      <c r="O447" s="1">
        <v>100</v>
      </c>
      <c r="P447" s="1" t="s">
        <v>398</v>
      </c>
      <c r="Q447" s="1">
        <v>10</v>
      </c>
      <c r="R447" s="1">
        <v>20038</v>
      </c>
      <c r="S447" s="16">
        <v>1.4999999999999999E-2</v>
      </c>
      <c r="U447" s="1" t="s">
        <v>1115</v>
      </c>
      <c r="V447" s="17" t="s">
        <v>1116</v>
      </c>
      <c r="X447" s="17" t="s">
        <v>1117</v>
      </c>
      <c r="Y447" s="5" t="s">
        <v>1005</v>
      </c>
      <c r="Z447" s="21" t="s">
        <v>1060</v>
      </c>
      <c r="AA447" s="22" t="s">
        <v>1159</v>
      </c>
    </row>
    <row r="448" spans="1:27" s="1" customFormat="1" ht="49.5" x14ac:dyDescent="0.25">
      <c r="A448" s="13">
        <f t="shared" si="6"/>
        <v>534702</v>
      </c>
      <c r="B448" s="14">
        <v>5347</v>
      </c>
      <c r="C448" s="1" t="s">
        <v>736</v>
      </c>
      <c r="D448" s="12" t="s">
        <v>1115</v>
      </c>
      <c r="E448" s="3">
        <v>2</v>
      </c>
      <c r="F448" s="5" t="s">
        <v>712</v>
      </c>
      <c r="G448" s="3">
        <v>15</v>
      </c>
      <c r="K448" s="1">
        <v>5335</v>
      </c>
      <c r="L448" s="1">
        <v>9000</v>
      </c>
      <c r="M448" s="1">
        <v>7250</v>
      </c>
      <c r="N448" s="1" t="s">
        <v>1032</v>
      </c>
      <c r="O448" s="1">
        <v>100</v>
      </c>
      <c r="P448" s="1" t="s">
        <v>398</v>
      </c>
      <c r="Q448" s="1">
        <v>10</v>
      </c>
      <c r="R448" s="1">
        <v>20038</v>
      </c>
      <c r="S448" s="16">
        <v>1.4999999999999999E-2</v>
      </c>
      <c r="U448" s="1" t="s">
        <v>1115</v>
      </c>
      <c r="V448" s="17" t="s">
        <v>1116</v>
      </c>
      <c r="X448" s="17" t="s">
        <v>1117</v>
      </c>
      <c r="Y448" s="5" t="s">
        <v>1005</v>
      </c>
      <c r="Z448" s="21" t="s">
        <v>1060</v>
      </c>
      <c r="AA448" s="22" t="s">
        <v>1159</v>
      </c>
    </row>
    <row r="449" spans="1:29" s="1" customFormat="1" ht="49.5" x14ac:dyDescent="0.25">
      <c r="A449" s="13">
        <f t="shared" si="6"/>
        <v>611101</v>
      </c>
      <c r="B449" s="14">
        <v>6111</v>
      </c>
      <c r="C449" s="1" t="s">
        <v>286</v>
      </c>
      <c r="D449" s="12" t="s">
        <v>1160</v>
      </c>
      <c r="E449" s="3">
        <v>1</v>
      </c>
      <c r="F449" s="5" t="s">
        <v>396</v>
      </c>
      <c r="G449" s="3">
        <v>1</v>
      </c>
      <c r="H449" s="1">
        <v>6</v>
      </c>
      <c r="I449" s="1">
        <v>1</v>
      </c>
      <c r="L449" s="1">
        <v>3600</v>
      </c>
      <c r="M449" s="1">
        <v>2500</v>
      </c>
      <c r="N449" s="1" t="s">
        <v>999</v>
      </c>
      <c r="O449" s="1">
        <v>100</v>
      </c>
      <c r="P449" s="1" t="s">
        <v>398</v>
      </c>
      <c r="Q449" s="1">
        <v>10</v>
      </c>
      <c r="R449" s="1" t="s">
        <v>1161</v>
      </c>
      <c r="S449" s="16" t="s">
        <v>1001</v>
      </c>
      <c r="U449" s="1" t="s">
        <v>1162</v>
      </c>
      <c r="V449" s="17" t="s">
        <v>1163</v>
      </c>
      <c r="W449" s="5"/>
      <c r="X449" s="1" t="s">
        <v>1164</v>
      </c>
      <c r="Y449" s="5" t="s">
        <v>1005</v>
      </c>
      <c r="Z449" s="21" t="s">
        <v>1165</v>
      </c>
      <c r="AA449" s="22" t="s">
        <v>407</v>
      </c>
      <c r="AC449" s="22"/>
    </row>
    <row r="450" spans="1:29" s="1" customFormat="1" ht="49.5" x14ac:dyDescent="0.25">
      <c r="A450" s="13">
        <f t="shared" si="6"/>
        <v>611102</v>
      </c>
      <c r="B450" s="14">
        <v>6111</v>
      </c>
      <c r="C450" s="1" t="s">
        <v>286</v>
      </c>
      <c r="D450" s="12" t="s">
        <v>1160</v>
      </c>
      <c r="E450" s="3">
        <v>2</v>
      </c>
      <c r="F450" s="5" t="s">
        <v>396</v>
      </c>
      <c r="G450" s="3">
        <v>1</v>
      </c>
      <c r="H450" s="1">
        <v>6</v>
      </c>
      <c r="I450" s="1">
        <v>1</v>
      </c>
      <c r="L450" s="1">
        <v>3600</v>
      </c>
      <c r="M450" s="1">
        <v>2500</v>
      </c>
      <c r="N450" s="1" t="s">
        <v>999</v>
      </c>
      <c r="O450" s="1">
        <v>100</v>
      </c>
      <c r="P450" s="1" t="s">
        <v>398</v>
      </c>
      <c r="Q450" s="1">
        <v>10</v>
      </c>
      <c r="R450" s="1" t="s">
        <v>1161</v>
      </c>
      <c r="S450" s="16" t="s">
        <v>1001</v>
      </c>
      <c r="U450" s="1" t="s">
        <v>1162</v>
      </c>
      <c r="V450" s="17" t="s">
        <v>1163</v>
      </c>
      <c r="W450" s="5"/>
      <c r="X450" s="1" t="s">
        <v>1164</v>
      </c>
      <c r="Y450" s="5" t="s">
        <v>1005</v>
      </c>
      <c r="Z450" s="21" t="s">
        <v>1165</v>
      </c>
      <c r="AA450" s="22" t="s">
        <v>407</v>
      </c>
      <c r="AC450" s="22"/>
    </row>
    <row r="451" spans="1:29" s="1" customFormat="1" ht="49.5" x14ac:dyDescent="0.25">
      <c r="A451" s="13">
        <f t="shared" si="6"/>
        <v>611103</v>
      </c>
      <c r="B451" s="14">
        <v>6111</v>
      </c>
      <c r="C451" s="1" t="s">
        <v>286</v>
      </c>
      <c r="D451" s="12" t="s">
        <v>1160</v>
      </c>
      <c r="E451" s="3">
        <v>3</v>
      </c>
      <c r="F451" s="5" t="s">
        <v>396</v>
      </c>
      <c r="G451" s="3">
        <v>1</v>
      </c>
      <c r="H451" s="1">
        <v>6</v>
      </c>
      <c r="I451" s="1">
        <v>1</v>
      </c>
      <c r="L451" s="1">
        <v>3600</v>
      </c>
      <c r="M451" s="1">
        <v>2500</v>
      </c>
      <c r="N451" s="1" t="s">
        <v>999</v>
      </c>
      <c r="O451" s="1">
        <v>100</v>
      </c>
      <c r="P451" s="1" t="s">
        <v>398</v>
      </c>
      <c r="Q451" s="1">
        <v>10</v>
      </c>
      <c r="R451" s="1" t="s">
        <v>1161</v>
      </c>
      <c r="S451" s="16" t="s">
        <v>1001</v>
      </c>
      <c r="U451" s="1" t="s">
        <v>1162</v>
      </c>
      <c r="V451" s="17" t="s">
        <v>1163</v>
      </c>
      <c r="W451" s="5"/>
      <c r="X451" s="1" t="s">
        <v>1164</v>
      </c>
      <c r="Y451" s="5" t="s">
        <v>1005</v>
      </c>
      <c r="Z451" s="21" t="s">
        <v>1165</v>
      </c>
      <c r="AA451" s="22" t="s">
        <v>407</v>
      </c>
      <c r="AC451" s="22"/>
    </row>
    <row r="452" spans="1:29" s="1" customFormat="1" ht="49.5" x14ac:dyDescent="0.25">
      <c r="A452" s="13">
        <f t="shared" si="6"/>
        <v>611104</v>
      </c>
      <c r="B452" s="14">
        <v>6111</v>
      </c>
      <c r="C452" s="1" t="s">
        <v>286</v>
      </c>
      <c r="D452" s="12" t="s">
        <v>1160</v>
      </c>
      <c r="E452" s="3">
        <v>4</v>
      </c>
      <c r="F452" s="5" t="s">
        <v>396</v>
      </c>
      <c r="G452" s="3">
        <v>1</v>
      </c>
      <c r="H452" s="1">
        <v>6</v>
      </c>
      <c r="I452" s="1">
        <v>1</v>
      </c>
      <c r="L452" s="1">
        <v>3600</v>
      </c>
      <c r="M452" s="1">
        <v>2500</v>
      </c>
      <c r="N452" s="1" t="s">
        <v>999</v>
      </c>
      <c r="O452" s="1">
        <v>100</v>
      </c>
      <c r="P452" s="1" t="s">
        <v>398</v>
      </c>
      <c r="Q452" s="1">
        <v>10</v>
      </c>
      <c r="R452" s="1" t="s">
        <v>1161</v>
      </c>
      <c r="S452" s="16" t="s">
        <v>1001</v>
      </c>
      <c r="U452" s="1" t="s">
        <v>1162</v>
      </c>
      <c r="V452" s="17" t="s">
        <v>1163</v>
      </c>
      <c r="W452" s="5"/>
      <c r="X452" s="1" t="s">
        <v>1164</v>
      </c>
      <c r="Y452" s="5" t="s">
        <v>1005</v>
      </c>
      <c r="Z452" s="21" t="s">
        <v>1165</v>
      </c>
      <c r="AA452" s="22" t="s">
        <v>407</v>
      </c>
      <c r="AC452" s="22"/>
    </row>
    <row r="453" spans="1:29" s="1" customFormat="1" ht="49.5" x14ac:dyDescent="0.25">
      <c r="A453" s="13">
        <f t="shared" si="6"/>
        <v>611105</v>
      </c>
      <c r="B453" s="14">
        <v>6111</v>
      </c>
      <c r="C453" s="1" t="s">
        <v>286</v>
      </c>
      <c r="D453" s="12" t="s">
        <v>1160</v>
      </c>
      <c r="E453" s="3">
        <v>5</v>
      </c>
      <c r="F453" s="5" t="s">
        <v>396</v>
      </c>
      <c r="G453" s="3">
        <v>1</v>
      </c>
      <c r="H453" s="1">
        <v>6</v>
      </c>
      <c r="I453" s="1">
        <v>1</v>
      </c>
      <c r="L453" s="1">
        <v>3600</v>
      </c>
      <c r="M453" s="1">
        <v>2500</v>
      </c>
      <c r="N453" s="1" t="s">
        <v>999</v>
      </c>
      <c r="O453" s="1">
        <v>100</v>
      </c>
      <c r="P453" s="1" t="s">
        <v>398</v>
      </c>
      <c r="Q453" s="1">
        <v>10</v>
      </c>
      <c r="R453" s="1" t="s">
        <v>1161</v>
      </c>
      <c r="S453" s="16" t="s">
        <v>1001</v>
      </c>
      <c r="U453" s="1" t="s">
        <v>1162</v>
      </c>
      <c r="V453" s="17" t="s">
        <v>1163</v>
      </c>
      <c r="W453" s="5"/>
      <c r="X453" s="1" t="s">
        <v>1164</v>
      </c>
      <c r="Y453" s="5" t="s">
        <v>1005</v>
      </c>
      <c r="Z453" s="21" t="s">
        <v>1165</v>
      </c>
      <c r="AA453" s="22" t="s">
        <v>407</v>
      </c>
      <c r="AC453" s="22"/>
    </row>
    <row r="454" spans="1:29" s="1" customFormat="1" ht="49.5" x14ac:dyDescent="0.25">
      <c r="A454" s="13">
        <f t="shared" si="6"/>
        <v>612101</v>
      </c>
      <c r="B454" s="14">
        <v>6121</v>
      </c>
      <c r="C454" s="1" t="s">
        <v>286</v>
      </c>
      <c r="D454" s="15" t="s">
        <v>1166</v>
      </c>
      <c r="E454" s="3">
        <v>1</v>
      </c>
      <c r="F454" s="5" t="s">
        <v>396</v>
      </c>
      <c r="G454" s="3">
        <v>1</v>
      </c>
      <c r="H454" s="1">
        <v>6</v>
      </c>
      <c r="I454" s="1">
        <v>1</v>
      </c>
      <c r="L454" s="1">
        <v>5400</v>
      </c>
      <c r="M454" s="1">
        <v>2650</v>
      </c>
      <c r="N454" s="1" t="s">
        <v>1008</v>
      </c>
      <c r="O454" s="1">
        <v>100</v>
      </c>
      <c r="P454" s="1" t="s">
        <v>398</v>
      </c>
      <c r="Q454" s="1">
        <v>10</v>
      </c>
      <c r="R454" s="1">
        <v>1057</v>
      </c>
      <c r="S454" s="16">
        <v>8.0000000000000002E-3</v>
      </c>
      <c r="U454" s="1" t="s">
        <v>1167</v>
      </c>
      <c r="V454" s="17" t="s">
        <v>477</v>
      </c>
      <c r="W454" s="5"/>
      <c r="X454" s="17" t="s">
        <v>479</v>
      </c>
      <c r="Y454" s="5" t="s">
        <v>1005</v>
      </c>
      <c r="Z454" s="21" t="s">
        <v>1168</v>
      </c>
      <c r="AA454" s="22" t="s">
        <v>420</v>
      </c>
      <c r="AC454" s="22"/>
    </row>
    <row r="455" spans="1:29" s="1" customFormat="1" ht="49.5" x14ac:dyDescent="0.25">
      <c r="A455" s="13">
        <f t="shared" si="6"/>
        <v>612102</v>
      </c>
      <c r="B455" s="14">
        <v>6121</v>
      </c>
      <c r="C455" s="1" t="s">
        <v>286</v>
      </c>
      <c r="D455" s="15" t="s">
        <v>1166</v>
      </c>
      <c r="E455" s="3">
        <v>2</v>
      </c>
      <c r="F455" s="5" t="s">
        <v>396</v>
      </c>
      <c r="G455" s="3">
        <v>1</v>
      </c>
      <c r="H455" s="1">
        <v>6</v>
      </c>
      <c r="I455" s="1">
        <v>1</v>
      </c>
      <c r="L455" s="1">
        <v>5400</v>
      </c>
      <c r="M455" s="1">
        <v>2650</v>
      </c>
      <c r="N455" s="1" t="s">
        <v>1008</v>
      </c>
      <c r="O455" s="1">
        <v>100</v>
      </c>
      <c r="P455" s="1" t="s">
        <v>398</v>
      </c>
      <c r="Q455" s="1">
        <v>10</v>
      </c>
      <c r="R455" s="1">
        <v>1057</v>
      </c>
      <c r="S455" s="16">
        <v>8.0000000000000002E-3</v>
      </c>
      <c r="U455" s="1" t="s">
        <v>1167</v>
      </c>
      <c r="V455" s="17" t="s">
        <v>477</v>
      </c>
      <c r="W455" s="5"/>
      <c r="X455" s="17" t="s">
        <v>479</v>
      </c>
      <c r="Y455" s="5" t="s">
        <v>1005</v>
      </c>
      <c r="Z455" s="21" t="s">
        <v>1168</v>
      </c>
      <c r="AA455" s="22" t="s">
        <v>420</v>
      </c>
      <c r="AC455" s="22"/>
    </row>
    <row r="456" spans="1:29" s="1" customFormat="1" ht="49.5" x14ac:dyDescent="0.25">
      <c r="A456" s="13">
        <f t="shared" si="6"/>
        <v>612103</v>
      </c>
      <c r="B456" s="14">
        <v>6121</v>
      </c>
      <c r="C456" s="1" t="s">
        <v>286</v>
      </c>
      <c r="D456" s="15" t="s">
        <v>1166</v>
      </c>
      <c r="E456" s="3">
        <v>3</v>
      </c>
      <c r="F456" s="5" t="s">
        <v>396</v>
      </c>
      <c r="G456" s="3">
        <v>1</v>
      </c>
      <c r="H456" s="1">
        <v>6</v>
      </c>
      <c r="I456" s="1">
        <v>1</v>
      </c>
      <c r="L456" s="1">
        <v>5400</v>
      </c>
      <c r="M456" s="1">
        <v>2650</v>
      </c>
      <c r="N456" s="1" t="s">
        <v>1008</v>
      </c>
      <c r="O456" s="1">
        <v>100</v>
      </c>
      <c r="P456" s="1" t="s">
        <v>398</v>
      </c>
      <c r="Q456" s="1">
        <v>10</v>
      </c>
      <c r="R456" s="1">
        <v>1057</v>
      </c>
      <c r="S456" s="16">
        <v>8.0000000000000002E-3</v>
      </c>
      <c r="U456" s="1" t="s">
        <v>1167</v>
      </c>
      <c r="V456" s="17" t="s">
        <v>477</v>
      </c>
      <c r="W456" s="5"/>
      <c r="X456" s="17" t="s">
        <v>479</v>
      </c>
      <c r="Y456" s="5" t="s">
        <v>1005</v>
      </c>
      <c r="Z456" s="21" t="s">
        <v>1168</v>
      </c>
      <c r="AA456" s="22" t="s">
        <v>420</v>
      </c>
      <c r="AC456" s="22"/>
    </row>
    <row r="457" spans="1:29" s="1" customFormat="1" ht="49.5" x14ac:dyDescent="0.25">
      <c r="A457" s="13">
        <f t="shared" si="6"/>
        <v>612104</v>
      </c>
      <c r="B457" s="14">
        <v>6121</v>
      </c>
      <c r="C457" s="1" t="s">
        <v>286</v>
      </c>
      <c r="D457" s="15" t="s">
        <v>1166</v>
      </c>
      <c r="E457" s="3">
        <v>4</v>
      </c>
      <c r="F457" s="5" t="s">
        <v>396</v>
      </c>
      <c r="G457" s="3">
        <v>1</v>
      </c>
      <c r="H457" s="1">
        <v>6</v>
      </c>
      <c r="I457" s="1">
        <v>1</v>
      </c>
      <c r="L457" s="1">
        <v>5400</v>
      </c>
      <c r="M457" s="1">
        <v>2650</v>
      </c>
      <c r="N457" s="1" t="s">
        <v>1008</v>
      </c>
      <c r="O457" s="1">
        <v>100</v>
      </c>
      <c r="P457" s="1" t="s">
        <v>398</v>
      </c>
      <c r="Q457" s="1">
        <v>10</v>
      </c>
      <c r="R457" s="1">
        <v>1057</v>
      </c>
      <c r="S457" s="16">
        <v>8.0000000000000002E-3</v>
      </c>
      <c r="U457" s="1" t="s">
        <v>1167</v>
      </c>
      <c r="V457" s="17" t="s">
        <v>477</v>
      </c>
      <c r="W457" s="5"/>
      <c r="X457" s="17" t="s">
        <v>479</v>
      </c>
      <c r="Y457" s="5" t="s">
        <v>1005</v>
      </c>
      <c r="Z457" s="21" t="s">
        <v>1168</v>
      </c>
      <c r="AA457" s="22" t="s">
        <v>420</v>
      </c>
      <c r="AC457" s="22"/>
    </row>
    <row r="458" spans="1:29" s="1" customFormat="1" ht="49.5" x14ac:dyDescent="0.25">
      <c r="A458" s="13">
        <f t="shared" si="6"/>
        <v>612105</v>
      </c>
      <c r="B458" s="14">
        <v>6121</v>
      </c>
      <c r="C458" s="1" t="s">
        <v>286</v>
      </c>
      <c r="D458" s="15" t="s">
        <v>1166</v>
      </c>
      <c r="E458" s="3">
        <v>5</v>
      </c>
      <c r="F458" s="5" t="s">
        <v>396</v>
      </c>
      <c r="G458" s="3">
        <v>1</v>
      </c>
      <c r="H458" s="1">
        <v>6</v>
      </c>
      <c r="I458" s="1">
        <v>1</v>
      </c>
      <c r="L458" s="1">
        <v>5400</v>
      </c>
      <c r="M458" s="1">
        <v>2650</v>
      </c>
      <c r="N458" s="1" t="s">
        <v>1008</v>
      </c>
      <c r="O458" s="1">
        <v>100</v>
      </c>
      <c r="P458" s="1" t="s">
        <v>398</v>
      </c>
      <c r="Q458" s="1">
        <v>10</v>
      </c>
      <c r="R458" s="1">
        <v>1057</v>
      </c>
      <c r="S458" s="16">
        <v>8.0000000000000002E-3</v>
      </c>
      <c r="U458" s="1" t="s">
        <v>1167</v>
      </c>
      <c r="V458" s="17" t="s">
        <v>477</v>
      </c>
      <c r="W458" s="5"/>
      <c r="X458" s="17" t="s">
        <v>479</v>
      </c>
      <c r="Y458" s="5" t="s">
        <v>1005</v>
      </c>
      <c r="Z458" s="21" t="s">
        <v>1168</v>
      </c>
      <c r="AA458" s="22" t="s">
        <v>420</v>
      </c>
      <c r="AC458" s="22"/>
    </row>
    <row r="459" spans="1:29" s="1" customFormat="1" ht="49.5" x14ac:dyDescent="0.25">
      <c r="A459" s="13">
        <f t="shared" si="6"/>
        <v>612201</v>
      </c>
      <c r="B459" s="14">
        <v>6122</v>
      </c>
      <c r="C459" s="1" t="s">
        <v>286</v>
      </c>
      <c r="D459" s="12" t="s">
        <v>1169</v>
      </c>
      <c r="E459" s="3">
        <v>1</v>
      </c>
      <c r="F459" s="5" t="s">
        <v>396</v>
      </c>
      <c r="G459" s="3">
        <v>1</v>
      </c>
      <c r="H459" s="1">
        <v>6</v>
      </c>
      <c r="I459" s="1">
        <v>1</v>
      </c>
      <c r="L459" s="1">
        <v>5400</v>
      </c>
      <c r="M459" s="1">
        <v>2650</v>
      </c>
      <c r="N459" s="1" t="s">
        <v>1008</v>
      </c>
      <c r="O459" s="1">
        <v>100</v>
      </c>
      <c r="P459" s="1" t="s">
        <v>398</v>
      </c>
      <c r="Q459" s="1">
        <v>10</v>
      </c>
      <c r="R459" s="1" t="s">
        <v>1161</v>
      </c>
      <c r="S459" s="16" t="s">
        <v>1001</v>
      </c>
      <c r="U459" s="1" t="s">
        <v>1162</v>
      </c>
      <c r="V459" s="17" t="s">
        <v>1163</v>
      </c>
      <c r="W459" s="5"/>
      <c r="X459" s="1" t="s">
        <v>1164</v>
      </c>
      <c r="Y459" s="5" t="s">
        <v>1005</v>
      </c>
      <c r="Z459" s="21" t="s">
        <v>1165</v>
      </c>
      <c r="AA459" s="22" t="s">
        <v>433</v>
      </c>
      <c r="AC459" s="22"/>
    </row>
    <row r="460" spans="1:29" s="1" customFormat="1" ht="49.5" x14ac:dyDescent="0.25">
      <c r="A460" s="13">
        <f t="shared" si="6"/>
        <v>612202</v>
      </c>
      <c r="B460" s="14">
        <v>6122</v>
      </c>
      <c r="C460" s="1" t="s">
        <v>286</v>
      </c>
      <c r="D460" s="12" t="s">
        <v>1169</v>
      </c>
      <c r="E460" s="3">
        <v>2</v>
      </c>
      <c r="F460" s="5" t="s">
        <v>396</v>
      </c>
      <c r="G460" s="3">
        <v>1</v>
      </c>
      <c r="H460" s="1">
        <v>6</v>
      </c>
      <c r="I460" s="1">
        <v>1</v>
      </c>
      <c r="L460" s="1">
        <v>5400</v>
      </c>
      <c r="M460" s="1">
        <v>2650</v>
      </c>
      <c r="N460" s="1" t="s">
        <v>1008</v>
      </c>
      <c r="O460" s="1">
        <v>100</v>
      </c>
      <c r="P460" s="1" t="s">
        <v>398</v>
      </c>
      <c r="Q460" s="1">
        <v>10</v>
      </c>
      <c r="R460" s="1" t="s">
        <v>1161</v>
      </c>
      <c r="S460" s="16" t="s">
        <v>1001</v>
      </c>
      <c r="U460" s="1" t="s">
        <v>1162</v>
      </c>
      <c r="V460" s="17" t="s">
        <v>1163</v>
      </c>
      <c r="W460" s="5"/>
      <c r="X460" s="1" t="s">
        <v>1164</v>
      </c>
      <c r="Y460" s="5" t="s">
        <v>1005</v>
      </c>
      <c r="Z460" s="21" t="s">
        <v>1165</v>
      </c>
      <c r="AA460" s="22" t="s">
        <v>433</v>
      </c>
      <c r="AC460" s="22"/>
    </row>
    <row r="461" spans="1:29" s="1" customFormat="1" ht="49.5" x14ac:dyDescent="0.25">
      <c r="A461" s="13">
        <f t="shared" si="6"/>
        <v>612203</v>
      </c>
      <c r="B461" s="14">
        <v>6122</v>
      </c>
      <c r="C461" s="1" t="s">
        <v>286</v>
      </c>
      <c r="D461" s="12" t="s">
        <v>1169</v>
      </c>
      <c r="E461" s="3">
        <v>3</v>
      </c>
      <c r="F461" s="5" t="s">
        <v>396</v>
      </c>
      <c r="G461" s="3">
        <v>1</v>
      </c>
      <c r="H461" s="1">
        <v>6</v>
      </c>
      <c r="I461" s="1">
        <v>1</v>
      </c>
      <c r="L461" s="1">
        <v>5400</v>
      </c>
      <c r="M461" s="1">
        <v>2650</v>
      </c>
      <c r="N461" s="1" t="s">
        <v>1008</v>
      </c>
      <c r="O461" s="1">
        <v>100</v>
      </c>
      <c r="P461" s="1" t="s">
        <v>398</v>
      </c>
      <c r="Q461" s="1">
        <v>10</v>
      </c>
      <c r="R461" s="1" t="s">
        <v>1161</v>
      </c>
      <c r="S461" s="16" t="s">
        <v>1001</v>
      </c>
      <c r="U461" s="1" t="s">
        <v>1162</v>
      </c>
      <c r="V461" s="17" t="s">
        <v>1163</v>
      </c>
      <c r="W461" s="5"/>
      <c r="X461" s="1" t="s">
        <v>1164</v>
      </c>
      <c r="Y461" s="5" t="s">
        <v>1005</v>
      </c>
      <c r="Z461" s="21" t="s">
        <v>1165</v>
      </c>
      <c r="AA461" s="22" t="s">
        <v>433</v>
      </c>
      <c r="AC461" s="22"/>
    </row>
    <row r="462" spans="1:29" s="1" customFormat="1" ht="49.5" x14ac:dyDescent="0.25">
      <c r="A462" s="13">
        <f t="shared" si="6"/>
        <v>612204</v>
      </c>
      <c r="B462" s="14">
        <v>6122</v>
      </c>
      <c r="C462" s="1" t="s">
        <v>286</v>
      </c>
      <c r="D462" s="12" t="s">
        <v>1169</v>
      </c>
      <c r="E462" s="3">
        <v>4</v>
      </c>
      <c r="F462" s="5" t="s">
        <v>396</v>
      </c>
      <c r="G462" s="3">
        <v>1</v>
      </c>
      <c r="H462" s="1">
        <v>6</v>
      </c>
      <c r="I462" s="1">
        <v>1</v>
      </c>
      <c r="L462" s="1">
        <v>5400</v>
      </c>
      <c r="M462" s="1">
        <v>2650</v>
      </c>
      <c r="N462" s="1" t="s">
        <v>1008</v>
      </c>
      <c r="O462" s="1">
        <v>100</v>
      </c>
      <c r="P462" s="1" t="s">
        <v>398</v>
      </c>
      <c r="Q462" s="1">
        <v>10</v>
      </c>
      <c r="R462" s="1" t="s">
        <v>1161</v>
      </c>
      <c r="S462" s="16" t="s">
        <v>1001</v>
      </c>
      <c r="U462" s="1" t="s">
        <v>1162</v>
      </c>
      <c r="V462" s="17" t="s">
        <v>1163</v>
      </c>
      <c r="W462" s="5"/>
      <c r="X462" s="1" t="s">
        <v>1164</v>
      </c>
      <c r="Y462" s="5" t="s">
        <v>1005</v>
      </c>
      <c r="Z462" s="21" t="s">
        <v>1165</v>
      </c>
      <c r="AA462" s="22" t="s">
        <v>433</v>
      </c>
      <c r="AC462" s="22"/>
    </row>
    <row r="463" spans="1:29" s="1" customFormat="1" ht="49.5" x14ac:dyDescent="0.25">
      <c r="A463" s="13">
        <f t="shared" si="6"/>
        <v>612205</v>
      </c>
      <c r="B463" s="14">
        <v>6122</v>
      </c>
      <c r="C463" s="1" t="s">
        <v>286</v>
      </c>
      <c r="D463" s="12" t="s">
        <v>1169</v>
      </c>
      <c r="E463" s="3">
        <v>5</v>
      </c>
      <c r="F463" s="5" t="s">
        <v>396</v>
      </c>
      <c r="G463" s="3">
        <v>1</v>
      </c>
      <c r="H463" s="1">
        <v>6</v>
      </c>
      <c r="I463" s="1">
        <v>1</v>
      </c>
      <c r="L463" s="1">
        <v>5400</v>
      </c>
      <c r="M463" s="1">
        <v>2650</v>
      </c>
      <c r="N463" s="1" t="s">
        <v>1008</v>
      </c>
      <c r="O463" s="1">
        <v>100</v>
      </c>
      <c r="P463" s="1" t="s">
        <v>398</v>
      </c>
      <c r="Q463" s="1">
        <v>10</v>
      </c>
      <c r="R463" s="1" t="s">
        <v>1161</v>
      </c>
      <c r="S463" s="16" t="s">
        <v>1001</v>
      </c>
      <c r="U463" s="1" t="s">
        <v>1162</v>
      </c>
      <c r="V463" s="17" t="s">
        <v>1163</v>
      </c>
      <c r="W463" s="5"/>
      <c r="X463" s="1" t="s">
        <v>1164</v>
      </c>
      <c r="Y463" s="5" t="s">
        <v>1005</v>
      </c>
      <c r="Z463" s="21" t="s">
        <v>1165</v>
      </c>
      <c r="AA463" s="22" t="s">
        <v>433</v>
      </c>
      <c r="AC463" s="22"/>
    </row>
    <row r="464" spans="1:29" s="1" customFormat="1" ht="49.5" x14ac:dyDescent="0.25">
      <c r="A464" s="13">
        <f t="shared" si="6"/>
        <v>612301</v>
      </c>
      <c r="B464" s="14">
        <v>6123</v>
      </c>
      <c r="C464" s="1" t="s">
        <v>286</v>
      </c>
      <c r="D464" s="15" t="s">
        <v>1170</v>
      </c>
      <c r="E464" s="3">
        <v>1</v>
      </c>
      <c r="F464" s="5" t="s">
        <v>396</v>
      </c>
      <c r="G464" s="3">
        <v>5</v>
      </c>
      <c r="H464" s="1">
        <v>6</v>
      </c>
      <c r="I464" s="1">
        <v>2</v>
      </c>
      <c r="J464" s="1" t="s">
        <v>1281</v>
      </c>
      <c r="K464" s="1" t="s">
        <v>1430</v>
      </c>
      <c r="L464" s="1">
        <v>5400</v>
      </c>
      <c r="M464" s="1">
        <v>2650</v>
      </c>
      <c r="N464" s="1" t="s">
        <v>1008</v>
      </c>
      <c r="O464" s="1">
        <v>100</v>
      </c>
      <c r="P464" s="1" t="s">
        <v>398</v>
      </c>
      <c r="Q464" s="1">
        <v>10</v>
      </c>
      <c r="R464" s="1">
        <v>1062</v>
      </c>
      <c r="S464" s="16">
        <v>4.0000000000000001E-3</v>
      </c>
      <c r="U464" s="1" t="s">
        <v>1171</v>
      </c>
      <c r="V464" s="17" t="s">
        <v>1172</v>
      </c>
      <c r="W464" s="5"/>
      <c r="X464" s="17" t="s">
        <v>1173</v>
      </c>
      <c r="Y464" s="5" t="s">
        <v>1005</v>
      </c>
      <c r="Z464" s="21" t="s">
        <v>1168</v>
      </c>
      <c r="AA464" s="22" t="s">
        <v>445</v>
      </c>
      <c r="AC464" s="22"/>
    </row>
    <row r="465" spans="1:29" s="1" customFormat="1" ht="49.5" x14ac:dyDescent="0.25">
      <c r="A465" s="13">
        <f t="shared" si="6"/>
        <v>612302</v>
      </c>
      <c r="B465" s="14">
        <v>6123</v>
      </c>
      <c r="C465" s="1" t="s">
        <v>286</v>
      </c>
      <c r="D465" s="15" t="s">
        <v>1170</v>
      </c>
      <c r="E465" s="3">
        <v>2</v>
      </c>
      <c r="F465" s="5" t="s">
        <v>396</v>
      </c>
      <c r="G465" s="3">
        <v>5</v>
      </c>
      <c r="H465" s="1">
        <v>6</v>
      </c>
      <c r="I465" s="1">
        <v>2</v>
      </c>
      <c r="J465" s="1" t="s">
        <v>1281</v>
      </c>
      <c r="K465" s="1" t="s">
        <v>1430</v>
      </c>
      <c r="L465" s="1">
        <v>5400</v>
      </c>
      <c r="M465" s="1">
        <v>2650</v>
      </c>
      <c r="N465" s="1" t="s">
        <v>1008</v>
      </c>
      <c r="O465" s="1">
        <v>100</v>
      </c>
      <c r="P465" s="1" t="s">
        <v>398</v>
      </c>
      <c r="Q465" s="1">
        <v>10</v>
      </c>
      <c r="R465" s="1">
        <v>1062</v>
      </c>
      <c r="S465" s="16">
        <v>4.0000000000000001E-3</v>
      </c>
      <c r="U465" s="1" t="s">
        <v>1171</v>
      </c>
      <c r="V465" s="17" t="s">
        <v>1172</v>
      </c>
      <c r="W465" s="5"/>
      <c r="X465" s="17" t="s">
        <v>1173</v>
      </c>
      <c r="Y465" s="5" t="s">
        <v>1005</v>
      </c>
      <c r="Z465" s="21" t="s">
        <v>1168</v>
      </c>
      <c r="AA465" s="22" t="s">
        <v>445</v>
      </c>
      <c r="AC465" s="22"/>
    </row>
    <row r="466" spans="1:29" s="1" customFormat="1" ht="49.5" x14ac:dyDescent="0.25">
      <c r="A466" s="13">
        <f t="shared" si="6"/>
        <v>612303</v>
      </c>
      <c r="B466" s="14">
        <v>6123</v>
      </c>
      <c r="C466" s="1" t="s">
        <v>286</v>
      </c>
      <c r="D466" s="15" t="s">
        <v>1170</v>
      </c>
      <c r="E466" s="3">
        <v>3</v>
      </c>
      <c r="F466" s="5" t="s">
        <v>396</v>
      </c>
      <c r="G466" s="3">
        <v>5</v>
      </c>
      <c r="H466" s="1">
        <v>6</v>
      </c>
      <c r="I466" s="1">
        <v>2</v>
      </c>
      <c r="J466" s="1" t="s">
        <v>1281</v>
      </c>
      <c r="K466" s="1" t="s">
        <v>1430</v>
      </c>
      <c r="L466" s="1">
        <v>5400</v>
      </c>
      <c r="M466" s="1">
        <v>2650</v>
      </c>
      <c r="N466" s="1" t="s">
        <v>1008</v>
      </c>
      <c r="O466" s="1">
        <v>100</v>
      </c>
      <c r="P466" s="1" t="s">
        <v>398</v>
      </c>
      <c r="Q466" s="1">
        <v>10</v>
      </c>
      <c r="R466" s="1">
        <v>1062</v>
      </c>
      <c r="S466" s="16">
        <v>4.0000000000000001E-3</v>
      </c>
      <c r="U466" s="1" t="s">
        <v>1171</v>
      </c>
      <c r="V466" s="17" t="s">
        <v>1172</v>
      </c>
      <c r="W466" s="5"/>
      <c r="X466" s="17" t="s">
        <v>1173</v>
      </c>
      <c r="Y466" s="5" t="s">
        <v>1005</v>
      </c>
      <c r="Z466" s="21" t="s">
        <v>1168</v>
      </c>
      <c r="AA466" s="22" t="s">
        <v>445</v>
      </c>
      <c r="AC466" s="22"/>
    </row>
    <row r="467" spans="1:29" s="1" customFormat="1" ht="49.5" x14ac:dyDescent="0.25">
      <c r="A467" s="13">
        <f t="shared" si="6"/>
        <v>612304</v>
      </c>
      <c r="B467" s="14">
        <v>6123</v>
      </c>
      <c r="C467" s="1" t="s">
        <v>286</v>
      </c>
      <c r="D467" s="15" t="s">
        <v>1170</v>
      </c>
      <c r="E467" s="3">
        <v>4</v>
      </c>
      <c r="F467" s="5" t="s">
        <v>396</v>
      </c>
      <c r="G467" s="3">
        <v>5</v>
      </c>
      <c r="H467" s="1">
        <v>6</v>
      </c>
      <c r="I467" s="1">
        <v>2</v>
      </c>
      <c r="J467" s="1" t="s">
        <v>1281</v>
      </c>
      <c r="K467" s="1" t="s">
        <v>1430</v>
      </c>
      <c r="L467" s="1">
        <v>5400</v>
      </c>
      <c r="M467" s="1">
        <v>2650</v>
      </c>
      <c r="N467" s="1" t="s">
        <v>1008</v>
      </c>
      <c r="O467" s="1">
        <v>100</v>
      </c>
      <c r="P467" s="1" t="s">
        <v>398</v>
      </c>
      <c r="Q467" s="1">
        <v>10</v>
      </c>
      <c r="R467" s="1">
        <v>1062</v>
      </c>
      <c r="S467" s="16">
        <v>4.0000000000000001E-3</v>
      </c>
      <c r="U467" s="1" t="s">
        <v>1171</v>
      </c>
      <c r="V467" s="17" t="s">
        <v>1172</v>
      </c>
      <c r="W467" s="5"/>
      <c r="X467" s="17" t="s">
        <v>1173</v>
      </c>
      <c r="Y467" s="5" t="s">
        <v>1005</v>
      </c>
      <c r="Z467" s="21" t="s">
        <v>1168</v>
      </c>
      <c r="AA467" s="22" t="s">
        <v>445</v>
      </c>
      <c r="AC467" s="22"/>
    </row>
    <row r="468" spans="1:29" s="1" customFormat="1" ht="49.5" x14ac:dyDescent="0.25">
      <c r="A468" s="13">
        <f t="shared" si="6"/>
        <v>612305</v>
      </c>
      <c r="B468" s="14">
        <v>6123</v>
      </c>
      <c r="C468" s="1" t="s">
        <v>286</v>
      </c>
      <c r="D468" s="15" t="s">
        <v>1170</v>
      </c>
      <c r="E468" s="3">
        <v>5</v>
      </c>
      <c r="F468" s="5" t="s">
        <v>396</v>
      </c>
      <c r="G468" s="3">
        <v>5</v>
      </c>
      <c r="H468" s="1">
        <v>6</v>
      </c>
      <c r="I468" s="1">
        <v>2</v>
      </c>
      <c r="J468" s="1" t="s">
        <v>1281</v>
      </c>
      <c r="K468" s="1" t="s">
        <v>1430</v>
      </c>
      <c r="L468" s="1">
        <v>5400</v>
      </c>
      <c r="M468" s="1">
        <v>2650</v>
      </c>
      <c r="N468" s="1" t="s">
        <v>1008</v>
      </c>
      <c r="O468" s="1">
        <v>100</v>
      </c>
      <c r="P468" s="1" t="s">
        <v>398</v>
      </c>
      <c r="Q468" s="1">
        <v>10</v>
      </c>
      <c r="R468" s="1">
        <v>1062</v>
      </c>
      <c r="S468" s="16">
        <v>4.0000000000000001E-3</v>
      </c>
      <c r="U468" s="1" t="s">
        <v>1171</v>
      </c>
      <c r="V468" s="17" t="s">
        <v>1172</v>
      </c>
      <c r="W468" s="5"/>
      <c r="X468" s="17" t="s">
        <v>1173</v>
      </c>
      <c r="Y468" s="5" t="s">
        <v>1005</v>
      </c>
      <c r="Z468" s="21" t="s">
        <v>1168</v>
      </c>
      <c r="AA468" s="22" t="s">
        <v>445</v>
      </c>
      <c r="AC468" s="22"/>
    </row>
    <row r="469" spans="1:29" s="1" customFormat="1" ht="49.5" x14ac:dyDescent="0.25">
      <c r="A469" s="13">
        <f t="shared" si="6"/>
        <v>613101</v>
      </c>
      <c r="B469" s="14">
        <v>6131</v>
      </c>
      <c r="C469" s="1" t="s">
        <v>286</v>
      </c>
      <c r="D469" s="15" t="s">
        <v>1174</v>
      </c>
      <c r="E469" s="3">
        <v>1</v>
      </c>
      <c r="F469" s="5" t="s">
        <v>396</v>
      </c>
      <c r="G469" s="3">
        <v>5</v>
      </c>
      <c r="H469" s="1">
        <v>6</v>
      </c>
      <c r="I469" s="1">
        <v>2</v>
      </c>
      <c r="J469" s="1" t="s">
        <v>1281</v>
      </c>
      <c r="K469" s="1" t="s">
        <v>1430</v>
      </c>
      <c r="L469" s="1">
        <v>7200</v>
      </c>
      <c r="M469" s="1">
        <v>2750</v>
      </c>
      <c r="N469" s="1" t="s">
        <v>1015</v>
      </c>
      <c r="O469" s="1">
        <v>100</v>
      </c>
      <c r="P469" s="1" t="s">
        <v>398</v>
      </c>
      <c r="Q469" s="1">
        <v>10</v>
      </c>
      <c r="R469" s="1">
        <v>1089</v>
      </c>
      <c r="S469" s="16">
        <v>500</v>
      </c>
      <c r="U469" s="1" t="s">
        <v>1175</v>
      </c>
      <c r="V469" s="17" t="s">
        <v>1176</v>
      </c>
      <c r="W469" s="5"/>
      <c r="X469" s="17" t="s">
        <v>1177</v>
      </c>
      <c r="Y469" s="5" t="s">
        <v>1005</v>
      </c>
      <c r="Z469" s="21" t="s">
        <v>1168</v>
      </c>
      <c r="AA469" s="22" t="s">
        <v>453</v>
      </c>
      <c r="AC469" s="22"/>
    </row>
    <row r="470" spans="1:29" s="1" customFormat="1" ht="49.5" x14ac:dyDescent="0.25">
      <c r="A470" s="13">
        <f t="shared" si="6"/>
        <v>613102</v>
      </c>
      <c r="B470" s="14">
        <v>6131</v>
      </c>
      <c r="C470" s="1" t="s">
        <v>286</v>
      </c>
      <c r="D470" s="15" t="s">
        <v>1174</v>
      </c>
      <c r="E470" s="3">
        <v>2</v>
      </c>
      <c r="F470" s="5" t="s">
        <v>396</v>
      </c>
      <c r="G470" s="3">
        <v>5</v>
      </c>
      <c r="H470" s="1">
        <v>6</v>
      </c>
      <c r="I470" s="1">
        <v>2</v>
      </c>
      <c r="J470" s="1" t="s">
        <v>1281</v>
      </c>
      <c r="K470" s="1" t="s">
        <v>1430</v>
      </c>
      <c r="L470" s="1">
        <v>7200</v>
      </c>
      <c r="M470" s="1">
        <v>2750</v>
      </c>
      <c r="N470" s="1" t="s">
        <v>1015</v>
      </c>
      <c r="O470" s="1">
        <v>100</v>
      </c>
      <c r="P470" s="1" t="s">
        <v>398</v>
      </c>
      <c r="Q470" s="1">
        <v>10</v>
      </c>
      <c r="R470" s="1">
        <v>1089</v>
      </c>
      <c r="S470" s="16">
        <v>500</v>
      </c>
      <c r="U470" s="1" t="s">
        <v>1175</v>
      </c>
      <c r="V470" s="17" t="s">
        <v>1176</v>
      </c>
      <c r="W470" s="5"/>
      <c r="X470" s="17" t="s">
        <v>1177</v>
      </c>
      <c r="Y470" s="5" t="s">
        <v>1005</v>
      </c>
      <c r="Z470" s="21" t="s">
        <v>1168</v>
      </c>
      <c r="AA470" s="22" t="s">
        <v>453</v>
      </c>
      <c r="AC470" s="22"/>
    </row>
    <row r="471" spans="1:29" s="1" customFormat="1" ht="49.5" x14ac:dyDescent="0.25">
      <c r="A471" s="13">
        <f t="shared" si="6"/>
        <v>613103</v>
      </c>
      <c r="B471" s="14">
        <v>6131</v>
      </c>
      <c r="C471" s="1" t="s">
        <v>286</v>
      </c>
      <c r="D471" s="15" t="s">
        <v>1174</v>
      </c>
      <c r="E471" s="3">
        <v>3</v>
      </c>
      <c r="F471" s="5" t="s">
        <v>396</v>
      </c>
      <c r="G471" s="3">
        <v>5</v>
      </c>
      <c r="H471" s="1">
        <v>6</v>
      </c>
      <c r="I471" s="1">
        <v>2</v>
      </c>
      <c r="J471" s="1" t="s">
        <v>1281</v>
      </c>
      <c r="K471" s="1" t="s">
        <v>1430</v>
      </c>
      <c r="L471" s="1">
        <v>7200</v>
      </c>
      <c r="M471" s="1">
        <v>2750</v>
      </c>
      <c r="N471" s="1" t="s">
        <v>1015</v>
      </c>
      <c r="O471" s="1">
        <v>100</v>
      </c>
      <c r="P471" s="1" t="s">
        <v>398</v>
      </c>
      <c r="Q471" s="1">
        <v>10</v>
      </c>
      <c r="R471" s="1">
        <v>1089</v>
      </c>
      <c r="S471" s="16">
        <v>500</v>
      </c>
      <c r="U471" s="1" t="s">
        <v>1175</v>
      </c>
      <c r="V471" s="17" t="s">
        <v>1176</v>
      </c>
      <c r="W471" s="5"/>
      <c r="X471" s="17" t="s">
        <v>1177</v>
      </c>
      <c r="Y471" s="5" t="s">
        <v>1005</v>
      </c>
      <c r="Z471" s="21" t="s">
        <v>1168</v>
      </c>
      <c r="AA471" s="22" t="s">
        <v>453</v>
      </c>
      <c r="AC471" s="22"/>
    </row>
    <row r="472" spans="1:29" s="1" customFormat="1" ht="49.5" x14ac:dyDescent="0.25">
      <c r="A472" s="13">
        <f t="shared" si="6"/>
        <v>613201</v>
      </c>
      <c r="B472" s="14">
        <v>6132</v>
      </c>
      <c r="C472" s="1" t="s">
        <v>286</v>
      </c>
      <c r="D472" s="15" t="s">
        <v>1178</v>
      </c>
      <c r="E472" s="3">
        <v>1</v>
      </c>
      <c r="F472" s="5" t="s">
        <v>396</v>
      </c>
      <c r="G472" s="3">
        <v>10</v>
      </c>
      <c r="H472" s="1">
        <v>6</v>
      </c>
      <c r="I472" s="1">
        <v>3</v>
      </c>
      <c r="J472" s="1" t="s">
        <v>1290</v>
      </c>
      <c r="K472" s="1" t="s">
        <v>1431</v>
      </c>
      <c r="L472" s="1">
        <v>7200</v>
      </c>
      <c r="M472" s="1">
        <v>2750</v>
      </c>
      <c r="N472" s="1" t="s">
        <v>1015</v>
      </c>
      <c r="O472" s="1">
        <v>100</v>
      </c>
      <c r="P472" s="1" t="s">
        <v>398</v>
      </c>
      <c r="Q472" s="1">
        <v>10</v>
      </c>
      <c r="R472" s="1">
        <v>1052</v>
      </c>
      <c r="S472" s="18">
        <v>0.01</v>
      </c>
      <c r="U472" s="1" t="s">
        <v>1179</v>
      </c>
      <c r="V472" s="17" t="s">
        <v>1180</v>
      </c>
      <c r="W472" s="5"/>
      <c r="X472" s="17" t="s">
        <v>1181</v>
      </c>
      <c r="Y472" s="5" t="s">
        <v>1005</v>
      </c>
      <c r="Z472" s="21" t="s">
        <v>1168</v>
      </c>
      <c r="AA472" s="22" t="s">
        <v>457</v>
      </c>
      <c r="AC472" s="22"/>
    </row>
    <row r="473" spans="1:29" s="1" customFormat="1" ht="49.5" x14ac:dyDescent="0.25">
      <c r="A473" s="13">
        <f t="shared" si="6"/>
        <v>613202</v>
      </c>
      <c r="B473" s="14">
        <v>6132</v>
      </c>
      <c r="C473" s="1" t="s">
        <v>286</v>
      </c>
      <c r="D473" s="15" t="s">
        <v>1178</v>
      </c>
      <c r="E473" s="3">
        <v>2</v>
      </c>
      <c r="F473" s="5" t="s">
        <v>396</v>
      </c>
      <c r="G473" s="3">
        <v>10</v>
      </c>
      <c r="H473" s="1">
        <v>6</v>
      </c>
      <c r="I473" s="1">
        <v>3</v>
      </c>
      <c r="J473" s="1" t="s">
        <v>1290</v>
      </c>
      <c r="K473" s="1" t="s">
        <v>1431</v>
      </c>
      <c r="L473" s="1">
        <v>7200</v>
      </c>
      <c r="M473" s="1">
        <v>2750</v>
      </c>
      <c r="N473" s="1" t="s">
        <v>1015</v>
      </c>
      <c r="O473" s="1">
        <v>100</v>
      </c>
      <c r="P473" s="1" t="s">
        <v>398</v>
      </c>
      <c r="Q473" s="1">
        <v>10</v>
      </c>
      <c r="R473" s="1">
        <v>1052</v>
      </c>
      <c r="S473" s="18">
        <v>0.01</v>
      </c>
      <c r="U473" s="1" t="s">
        <v>1179</v>
      </c>
      <c r="V473" s="17" t="s">
        <v>1180</v>
      </c>
      <c r="W473" s="5"/>
      <c r="X473" s="17" t="s">
        <v>1181</v>
      </c>
      <c r="Y473" s="5" t="s">
        <v>1005</v>
      </c>
      <c r="Z473" s="21" t="s">
        <v>1168</v>
      </c>
      <c r="AA473" s="22" t="s">
        <v>457</v>
      </c>
      <c r="AC473" s="22"/>
    </row>
    <row r="474" spans="1:29" s="1" customFormat="1" ht="49.5" x14ac:dyDescent="0.25">
      <c r="A474" s="13">
        <f t="shared" si="6"/>
        <v>613203</v>
      </c>
      <c r="B474" s="14">
        <v>6132</v>
      </c>
      <c r="C474" s="1" t="s">
        <v>286</v>
      </c>
      <c r="D474" s="15" t="s">
        <v>1178</v>
      </c>
      <c r="E474" s="3">
        <v>3</v>
      </c>
      <c r="F474" s="5" t="s">
        <v>396</v>
      </c>
      <c r="G474" s="3">
        <v>10</v>
      </c>
      <c r="H474" s="1">
        <v>6</v>
      </c>
      <c r="I474" s="1">
        <v>3</v>
      </c>
      <c r="J474" s="1" t="s">
        <v>1290</v>
      </c>
      <c r="K474" s="1" t="s">
        <v>1431</v>
      </c>
      <c r="L474" s="1">
        <v>7200</v>
      </c>
      <c r="M474" s="1">
        <v>2750</v>
      </c>
      <c r="N474" s="1" t="s">
        <v>1015</v>
      </c>
      <c r="O474" s="1">
        <v>100</v>
      </c>
      <c r="P474" s="1" t="s">
        <v>398</v>
      </c>
      <c r="Q474" s="1">
        <v>10</v>
      </c>
      <c r="R474" s="1">
        <v>1052</v>
      </c>
      <c r="S474" s="18">
        <v>0.01</v>
      </c>
      <c r="U474" s="1" t="s">
        <v>1179</v>
      </c>
      <c r="V474" s="17" t="s">
        <v>1180</v>
      </c>
      <c r="W474" s="5"/>
      <c r="X474" s="17" t="s">
        <v>1181</v>
      </c>
      <c r="Y474" s="5" t="s">
        <v>1005</v>
      </c>
      <c r="Z474" s="21" t="s">
        <v>1168</v>
      </c>
      <c r="AA474" s="22" t="s">
        <v>457</v>
      </c>
      <c r="AC474" s="22"/>
    </row>
    <row r="475" spans="1:29" s="1" customFormat="1" ht="49.5" x14ac:dyDescent="0.25">
      <c r="A475" s="13">
        <f t="shared" si="6"/>
        <v>613401</v>
      </c>
      <c r="B475" s="14">
        <v>6134</v>
      </c>
      <c r="C475" s="1" t="s">
        <v>286</v>
      </c>
      <c r="D475" s="15" t="s">
        <v>1183</v>
      </c>
      <c r="E475" s="3">
        <v>1</v>
      </c>
      <c r="F475" s="5" t="s">
        <v>396</v>
      </c>
      <c r="G475" s="3">
        <v>10</v>
      </c>
      <c r="H475" s="1">
        <v>6</v>
      </c>
      <c r="I475" s="1">
        <v>3</v>
      </c>
      <c r="J475" s="1" t="s">
        <v>1290</v>
      </c>
      <c r="K475" s="1" t="s">
        <v>1431</v>
      </c>
      <c r="L475" s="1">
        <v>7200</v>
      </c>
      <c r="M475" s="1">
        <v>2750</v>
      </c>
      <c r="N475" s="1" t="s">
        <v>1015</v>
      </c>
      <c r="O475" s="1">
        <v>100</v>
      </c>
      <c r="P475" s="1" t="s">
        <v>398</v>
      </c>
      <c r="Q475" s="1">
        <v>10</v>
      </c>
      <c r="R475" s="1">
        <v>1311</v>
      </c>
      <c r="S475" s="18">
        <v>0.01</v>
      </c>
      <c r="U475" s="1" t="s">
        <v>1179</v>
      </c>
      <c r="V475" s="17" t="s">
        <v>1184</v>
      </c>
      <c r="W475" s="5"/>
      <c r="X475" s="17" t="s">
        <v>1185</v>
      </c>
      <c r="Y475" s="5" t="s">
        <v>1005</v>
      </c>
      <c r="Z475" s="21" t="s">
        <v>1168</v>
      </c>
      <c r="AA475" s="22" t="s">
        <v>462</v>
      </c>
      <c r="AC475" s="22"/>
    </row>
    <row r="476" spans="1:29" s="1" customFormat="1" ht="49.5" x14ac:dyDescent="0.25">
      <c r="A476" s="13">
        <f t="shared" si="6"/>
        <v>613402</v>
      </c>
      <c r="B476" s="14">
        <v>6134</v>
      </c>
      <c r="C476" s="1" t="s">
        <v>286</v>
      </c>
      <c r="D476" s="15" t="s">
        <v>1183</v>
      </c>
      <c r="E476" s="3">
        <v>2</v>
      </c>
      <c r="F476" s="5" t="s">
        <v>396</v>
      </c>
      <c r="G476" s="3">
        <v>10</v>
      </c>
      <c r="H476" s="1">
        <v>6</v>
      </c>
      <c r="I476" s="1">
        <v>3</v>
      </c>
      <c r="J476" s="1" t="s">
        <v>1290</v>
      </c>
      <c r="K476" s="1" t="s">
        <v>1431</v>
      </c>
      <c r="L476" s="1">
        <v>7200</v>
      </c>
      <c r="M476" s="1">
        <v>2750</v>
      </c>
      <c r="N476" s="1" t="s">
        <v>1015</v>
      </c>
      <c r="O476" s="1">
        <v>100</v>
      </c>
      <c r="P476" s="1" t="s">
        <v>398</v>
      </c>
      <c r="Q476" s="1">
        <v>10</v>
      </c>
      <c r="R476" s="1">
        <v>1311</v>
      </c>
      <c r="S476" s="18">
        <v>0.01</v>
      </c>
      <c r="U476" s="1" t="s">
        <v>1179</v>
      </c>
      <c r="V476" s="17" t="s">
        <v>1184</v>
      </c>
      <c r="W476" s="5"/>
      <c r="X476" s="17" t="s">
        <v>1185</v>
      </c>
      <c r="Y476" s="5" t="s">
        <v>1005</v>
      </c>
      <c r="Z476" s="21" t="s">
        <v>1168</v>
      </c>
      <c r="AA476" s="22" t="s">
        <v>462</v>
      </c>
      <c r="AC476" s="22"/>
    </row>
    <row r="477" spans="1:29" s="1" customFormat="1" ht="49.5" x14ac:dyDescent="0.25">
      <c r="A477" s="13">
        <f t="shared" si="6"/>
        <v>613403</v>
      </c>
      <c r="B477" s="14">
        <v>6134</v>
      </c>
      <c r="C477" s="1" t="s">
        <v>286</v>
      </c>
      <c r="D477" s="15" t="s">
        <v>1183</v>
      </c>
      <c r="E477" s="3">
        <v>3</v>
      </c>
      <c r="F477" s="5" t="s">
        <v>396</v>
      </c>
      <c r="G477" s="3">
        <v>10</v>
      </c>
      <c r="H477" s="1">
        <v>6</v>
      </c>
      <c r="I477" s="1">
        <v>3</v>
      </c>
      <c r="J477" s="1" t="s">
        <v>1290</v>
      </c>
      <c r="K477" s="1" t="s">
        <v>1431</v>
      </c>
      <c r="L477" s="1">
        <v>7200</v>
      </c>
      <c r="M477" s="1">
        <v>2750</v>
      </c>
      <c r="N477" s="1" t="s">
        <v>1015</v>
      </c>
      <c r="O477" s="1">
        <v>100</v>
      </c>
      <c r="P477" s="1" t="s">
        <v>398</v>
      </c>
      <c r="Q477" s="1">
        <v>10</v>
      </c>
      <c r="R477" s="1">
        <v>1311</v>
      </c>
      <c r="S477" s="18">
        <v>0.01</v>
      </c>
      <c r="U477" s="1" t="s">
        <v>1179</v>
      </c>
      <c r="V477" s="17" t="s">
        <v>1184</v>
      </c>
      <c r="W477" s="5"/>
      <c r="X477" s="17" t="s">
        <v>1185</v>
      </c>
      <c r="Y477" s="5" t="s">
        <v>1005</v>
      </c>
      <c r="Z477" s="21" t="s">
        <v>1168</v>
      </c>
      <c r="AA477" s="22" t="s">
        <v>462</v>
      </c>
      <c r="AC477" s="22"/>
    </row>
    <row r="478" spans="1:29" s="1" customFormat="1" ht="49.5" x14ac:dyDescent="0.25">
      <c r="A478" s="13">
        <f t="shared" si="6"/>
        <v>613501</v>
      </c>
      <c r="B478" s="14">
        <v>6135</v>
      </c>
      <c r="C478" s="1" t="s">
        <v>286</v>
      </c>
      <c r="D478" s="15" t="s">
        <v>1186</v>
      </c>
      <c r="E478" s="3">
        <v>1</v>
      </c>
      <c r="F478" s="5" t="s">
        <v>396</v>
      </c>
      <c r="G478" s="3">
        <v>10</v>
      </c>
      <c r="H478" s="1">
        <v>6</v>
      </c>
      <c r="I478" s="1">
        <v>3</v>
      </c>
      <c r="J478" s="1" t="s">
        <v>1290</v>
      </c>
      <c r="K478" s="1" t="s">
        <v>1431</v>
      </c>
      <c r="L478" s="1">
        <v>7200</v>
      </c>
      <c r="M478" s="1">
        <v>2750</v>
      </c>
      <c r="N478" s="1" t="s">
        <v>1015</v>
      </c>
      <c r="O478" s="1">
        <v>100</v>
      </c>
      <c r="P478" s="1" t="s">
        <v>398</v>
      </c>
      <c r="Q478" s="1">
        <v>10</v>
      </c>
      <c r="R478" s="1">
        <v>1316</v>
      </c>
      <c r="S478" s="18">
        <v>0.01</v>
      </c>
      <c r="U478" s="19" t="s">
        <v>1187</v>
      </c>
      <c r="V478" s="17" t="s">
        <v>1188</v>
      </c>
      <c r="X478" s="17" t="s">
        <v>1189</v>
      </c>
      <c r="Y478" s="5" t="s">
        <v>1005</v>
      </c>
      <c r="Z478" s="21" t="s">
        <v>1165</v>
      </c>
      <c r="AA478" s="22" t="s">
        <v>467</v>
      </c>
      <c r="AC478" s="22"/>
    </row>
    <row r="479" spans="1:29" s="1" customFormat="1" ht="49.5" x14ac:dyDescent="0.25">
      <c r="A479" s="13">
        <f t="shared" si="6"/>
        <v>613502</v>
      </c>
      <c r="B479" s="14">
        <v>6135</v>
      </c>
      <c r="C479" s="1" t="s">
        <v>286</v>
      </c>
      <c r="D479" s="15" t="s">
        <v>1186</v>
      </c>
      <c r="E479" s="3">
        <v>2</v>
      </c>
      <c r="F479" s="5" t="s">
        <v>396</v>
      </c>
      <c r="G479" s="3">
        <v>10</v>
      </c>
      <c r="H479" s="1">
        <v>6</v>
      </c>
      <c r="I479" s="1">
        <v>3</v>
      </c>
      <c r="J479" s="1" t="s">
        <v>1290</v>
      </c>
      <c r="K479" s="1" t="s">
        <v>1431</v>
      </c>
      <c r="L479" s="1">
        <v>7200</v>
      </c>
      <c r="M479" s="1">
        <v>2750</v>
      </c>
      <c r="N479" s="1" t="s">
        <v>1015</v>
      </c>
      <c r="O479" s="1">
        <v>100</v>
      </c>
      <c r="P479" s="1" t="s">
        <v>398</v>
      </c>
      <c r="Q479" s="1">
        <v>10</v>
      </c>
      <c r="R479" s="1">
        <v>1316</v>
      </c>
      <c r="S479" s="18">
        <v>0.01</v>
      </c>
      <c r="U479" s="19" t="s">
        <v>1187</v>
      </c>
      <c r="V479" s="17" t="s">
        <v>1188</v>
      </c>
      <c r="X479" s="17" t="s">
        <v>1189</v>
      </c>
      <c r="Y479" s="5" t="s">
        <v>1005</v>
      </c>
      <c r="Z479" s="21" t="s">
        <v>1165</v>
      </c>
      <c r="AA479" s="22" t="s">
        <v>467</v>
      </c>
      <c r="AC479" s="22"/>
    </row>
    <row r="480" spans="1:29" s="1" customFormat="1" ht="49.5" x14ac:dyDescent="0.25">
      <c r="A480" s="13">
        <f t="shared" si="6"/>
        <v>613503</v>
      </c>
      <c r="B480" s="14">
        <v>6135</v>
      </c>
      <c r="C480" s="1" t="s">
        <v>286</v>
      </c>
      <c r="D480" s="15" t="s">
        <v>1186</v>
      </c>
      <c r="E480" s="3">
        <v>3</v>
      </c>
      <c r="F480" s="5" t="s">
        <v>396</v>
      </c>
      <c r="G480" s="3">
        <v>10</v>
      </c>
      <c r="H480" s="1">
        <v>6</v>
      </c>
      <c r="I480" s="1">
        <v>3</v>
      </c>
      <c r="J480" s="1" t="s">
        <v>1290</v>
      </c>
      <c r="K480" s="1" t="s">
        <v>1431</v>
      </c>
      <c r="L480" s="1">
        <v>7200</v>
      </c>
      <c r="M480" s="1">
        <v>2750</v>
      </c>
      <c r="N480" s="1" t="s">
        <v>1015</v>
      </c>
      <c r="O480" s="1">
        <v>100</v>
      </c>
      <c r="P480" s="1" t="s">
        <v>398</v>
      </c>
      <c r="Q480" s="1">
        <v>10</v>
      </c>
      <c r="R480" s="1">
        <v>1316</v>
      </c>
      <c r="S480" s="18">
        <v>0.01</v>
      </c>
      <c r="U480" s="19" t="s">
        <v>1187</v>
      </c>
      <c r="V480" s="17" t="s">
        <v>1188</v>
      </c>
      <c r="X480" s="17" t="s">
        <v>1189</v>
      </c>
      <c r="Y480" s="5" t="s">
        <v>1005</v>
      </c>
      <c r="Z480" s="21" t="s">
        <v>1165</v>
      </c>
      <c r="AA480" s="22" t="s">
        <v>467</v>
      </c>
      <c r="AC480" s="22"/>
    </row>
    <row r="481" spans="1:29" s="1" customFormat="1" ht="49.5" x14ac:dyDescent="0.25">
      <c r="A481" s="13">
        <f t="shared" si="6"/>
        <v>614101</v>
      </c>
      <c r="B481" s="14">
        <v>6141</v>
      </c>
      <c r="C481" s="1" t="s">
        <v>286</v>
      </c>
      <c r="D481" s="15" t="s">
        <v>1166</v>
      </c>
      <c r="E481" s="3">
        <v>1</v>
      </c>
      <c r="F481" s="5" t="s">
        <v>396</v>
      </c>
      <c r="G481" s="3">
        <v>10</v>
      </c>
      <c r="H481" s="1">
        <v>6</v>
      </c>
      <c r="I481" s="1">
        <v>3</v>
      </c>
      <c r="J481" s="1" t="s">
        <v>1290</v>
      </c>
      <c r="K481" s="1" t="s">
        <v>1431</v>
      </c>
      <c r="L481" s="1">
        <v>9000</v>
      </c>
      <c r="M481" s="1">
        <v>2900</v>
      </c>
      <c r="N481" s="1" t="s">
        <v>1032</v>
      </c>
      <c r="O481" s="1">
        <v>100</v>
      </c>
      <c r="P481" s="1" t="s">
        <v>398</v>
      </c>
      <c r="Q481" s="1">
        <v>10</v>
      </c>
      <c r="R481" s="1">
        <v>1057</v>
      </c>
      <c r="S481" s="16">
        <v>0.02</v>
      </c>
      <c r="U481" s="1" t="s">
        <v>1167</v>
      </c>
      <c r="V481" s="17" t="s">
        <v>477</v>
      </c>
      <c r="W481" s="5"/>
      <c r="X481" s="17" t="s">
        <v>479</v>
      </c>
      <c r="Y481" s="5" t="s">
        <v>1005</v>
      </c>
      <c r="Z481" s="21" t="s">
        <v>1168</v>
      </c>
      <c r="AA481" s="22" t="s">
        <v>471</v>
      </c>
      <c r="AC481" s="22"/>
    </row>
    <row r="482" spans="1:29" s="1" customFormat="1" ht="49.5" x14ac:dyDescent="0.25">
      <c r="A482" s="13">
        <f t="shared" si="6"/>
        <v>614201</v>
      </c>
      <c r="B482" s="14">
        <v>6142</v>
      </c>
      <c r="C482" s="1" t="s">
        <v>286</v>
      </c>
      <c r="D482" s="15" t="s">
        <v>1174</v>
      </c>
      <c r="E482" s="3">
        <v>1</v>
      </c>
      <c r="F482" s="5" t="s">
        <v>396</v>
      </c>
      <c r="G482" s="3">
        <v>15</v>
      </c>
      <c r="H482" s="1">
        <v>6</v>
      </c>
      <c r="I482" s="1">
        <v>4</v>
      </c>
      <c r="J482" s="1" t="s">
        <v>1302</v>
      </c>
      <c r="K482" s="1" t="s">
        <v>1432</v>
      </c>
      <c r="L482" s="1">
        <v>9000</v>
      </c>
      <c r="M482" s="1">
        <v>2900</v>
      </c>
      <c r="N482" s="1" t="s">
        <v>1032</v>
      </c>
      <c r="O482" s="1">
        <v>100</v>
      </c>
      <c r="P482" s="1" t="s">
        <v>398</v>
      </c>
      <c r="Q482" s="1">
        <v>10</v>
      </c>
      <c r="R482" s="1">
        <v>1089</v>
      </c>
      <c r="S482" s="16">
        <v>1000</v>
      </c>
      <c r="U482" s="1" t="s">
        <v>1175</v>
      </c>
      <c r="V482" s="17" t="s">
        <v>1176</v>
      </c>
      <c r="W482" s="5"/>
      <c r="X482" s="17" t="s">
        <v>1177</v>
      </c>
      <c r="Y482" s="5" t="s">
        <v>1005</v>
      </c>
      <c r="Z482" s="21" t="s">
        <v>1168</v>
      </c>
      <c r="AA482" s="22" t="s">
        <v>472</v>
      </c>
      <c r="AC482" s="22"/>
    </row>
    <row r="483" spans="1:29" s="1" customFormat="1" ht="49.5" x14ac:dyDescent="0.25">
      <c r="A483" s="13">
        <f t="shared" si="6"/>
        <v>614301</v>
      </c>
      <c r="B483" s="14">
        <v>6143</v>
      </c>
      <c r="C483" s="1" t="s">
        <v>286</v>
      </c>
      <c r="D483" s="15" t="s">
        <v>1178</v>
      </c>
      <c r="E483" s="3">
        <v>1</v>
      </c>
      <c r="F483" s="5" t="s">
        <v>396</v>
      </c>
      <c r="G483" s="3">
        <v>15</v>
      </c>
      <c r="H483" s="1">
        <v>6</v>
      </c>
      <c r="I483" s="1">
        <v>4</v>
      </c>
      <c r="J483" s="1" t="s">
        <v>1302</v>
      </c>
      <c r="K483" s="1" t="s">
        <v>1432</v>
      </c>
      <c r="L483" s="1">
        <v>9000</v>
      </c>
      <c r="M483" s="1">
        <v>3000</v>
      </c>
      <c r="N483" s="1" t="s">
        <v>1033</v>
      </c>
      <c r="O483" s="1">
        <v>100</v>
      </c>
      <c r="P483" s="1" t="s">
        <v>398</v>
      </c>
      <c r="Q483" s="1">
        <v>10</v>
      </c>
      <c r="R483" s="1">
        <v>1052</v>
      </c>
      <c r="S483" s="16">
        <v>0.02</v>
      </c>
      <c r="U483" s="1" t="s">
        <v>1179</v>
      </c>
      <c r="V483" s="17" t="s">
        <v>1180</v>
      </c>
      <c r="W483" s="5"/>
      <c r="X483" s="17" t="s">
        <v>1181</v>
      </c>
      <c r="Y483" s="5" t="s">
        <v>1005</v>
      </c>
      <c r="Z483" s="21" t="s">
        <v>1168</v>
      </c>
      <c r="AA483" s="22" t="s">
        <v>1034</v>
      </c>
      <c r="AC483" s="22"/>
    </row>
    <row r="484" spans="1:29" s="1" customFormat="1" ht="49.5" x14ac:dyDescent="0.25">
      <c r="A484" s="13">
        <f t="shared" si="6"/>
        <v>614401</v>
      </c>
      <c r="B484" s="14">
        <v>6144</v>
      </c>
      <c r="C484" s="1" t="s">
        <v>286</v>
      </c>
      <c r="D484" s="12" t="s">
        <v>1169</v>
      </c>
      <c r="E484" s="3">
        <v>1</v>
      </c>
      <c r="F484" s="5" t="s">
        <v>396</v>
      </c>
      <c r="G484" s="3">
        <v>20</v>
      </c>
      <c r="H484" s="1">
        <v>6</v>
      </c>
      <c r="I484" s="1">
        <v>5</v>
      </c>
      <c r="J484" s="1" t="s">
        <v>1304</v>
      </c>
      <c r="K484" s="1" t="s">
        <v>1433</v>
      </c>
      <c r="L484" s="1">
        <v>10800</v>
      </c>
      <c r="M484" s="1">
        <v>3150</v>
      </c>
      <c r="N484" s="1" t="s">
        <v>397</v>
      </c>
      <c r="O484" s="1">
        <v>100</v>
      </c>
      <c r="P484" s="1" t="s">
        <v>398</v>
      </c>
      <c r="Q484" s="1">
        <v>10</v>
      </c>
      <c r="R484" s="1" t="s">
        <v>1161</v>
      </c>
      <c r="S484" s="16" t="s">
        <v>1035</v>
      </c>
      <c r="U484" s="1" t="s">
        <v>1162</v>
      </c>
      <c r="V484" s="17" t="s">
        <v>1163</v>
      </c>
      <c r="W484" s="5"/>
      <c r="X484" s="1" t="s">
        <v>1164</v>
      </c>
      <c r="Y484" s="5" t="s">
        <v>1005</v>
      </c>
      <c r="Z484" s="21" t="s">
        <v>1165</v>
      </c>
      <c r="AA484" s="22" t="s">
        <v>1036</v>
      </c>
      <c r="AC484" s="22"/>
    </row>
    <row r="485" spans="1:29" s="1" customFormat="1" ht="49.5" x14ac:dyDescent="0.25">
      <c r="A485" s="13">
        <f t="shared" si="6"/>
        <v>614501</v>
      </c>
      <c r="B485" s="14">
        <v>6145</v>
      </c>
      <c r="C485" s="1" t="s">
        <v>286</v>
      </c>
      <c r="D485" s="15" t="s">
        <v>1183</v>
      </c>
      <c r="E485" s="3">
        <v>1</v>
      </c>
      <c r="F485" s="5" t="s">
        <v>396</v>
      </c>
      <c r="G485" s="3">
        <v>20</v>
      </c>
      <c r="H485" s="1">
        <v>6</v>
      </c>
      <c r="I485" s="1">
        <v>5</v>
      </c>
      <c r="J485" s="1" t="s">
        <v>1304</v>
      </c>
      <c r="K485" s="1" t="s">
        <v>1433</v>
      </c>
      <c r="L485" s="1">
        <v>9000</v>
      </c>
      <c r="M485" s="1">
        <v>3000</v>
      </c>
      <c r="N485" s="1" t="s">
        <v>1033</v>
      </c>
      <c r="O485" s="1">
        <v>100</v>
      </c>
      <c r="P485" s="1" t="s">
        <v>398</v>
      </c>
      <c r="Q485" s="1">
        <v>10</v>
      </c>
      <c r="R485" s="1">
        <v>1311</v>
      </c>
      <c r="S485" s="16">
        <v>0.02</v>
      </c>
      <c r="U485" s="1" t="s">
        <v>1179</v>
      </c>
      <c r="V485" s="17" t="s">
        <v>1184</v>
      </c>
      <c r="W485" s="5"/>
      <c r="X485" s="17" t="s">
        <v>1185</v>
      </c>
      <c r="Y485" s="5" t="s">
        <v>1005</v>
      </c>
      <c r="Z485" s="21" t="s">
        <v>1168</v>
      </c>
      <c r="AA485" s="22" t="s">
        <v>1037</v>
      </c>
      <c r="AC485" s="22"/>
    </row>
    <row r="486" spans="1:29" s="1" customFormat="1" ht="49.5" x14ac:dyDescent="0.25">
      <c r="A486" s="13">
        <f t="shared" si="6"/>
        <v>614601</v>
      </c>
      <c r="B486" s="14">
        <v>6146</v>
      </c>
      <c r="C486" s="1" t="s">
        <v>286</v>
      </c>
      <c r="D486" s="15" t="s">
        <v>1186</v>
      </c>
      <c r="E486" s="3">
        <v>1</v>
      </c>
      <c r="F486" s="5" t="s">
        <v>396</v>
      </c>
      <c r="G486" s="3">
        <v>20</v>
      </c>
      <c r="H486" s="1">
        <v>6</v>
      </c>
      <c r="I486" s="1">
        <v>5</v>
      </c>
      <c r="J486" s="1" t="s">
        <v>1304</v>
      </c>
      <c r="K486" s="1" t="s">
        <v>1433</v>
      </c>
      <c r="L486" s="1">
        <v>9000</v>
      </c>
      <c r="M486" s="1">
        <v>2900</v>
      </c>
      <c r="N486" s="1" t="s">
        <v>1032</v>
      </c>
      <c r="O486" s="1">
        <v>100</v>
      </c>
      <c r="P486" s="1" t="s">
        <v>398</v>
      </c>
      <c r="Q486" s="1">
        <v>10</v>
      </c>
      <c r="R486" s="1">
        <v>1316</v>
      </c>
      <c r="S486" s="16">
        <v>0.02</v>
      </c>
      <c r="U486" s="19" t="s">
        <v>1187</v>
      </c>
      <c r="V486" s="17" t="s">
        <v>1188</v>
      </c>
      <c r="X486" s="17" t="s">
        <v>1189</v>
      </c>
      <c r="Y486" s="5" t="s">
        <v>1005</v>
      </c>
      <c r="Z486" s="21" t="s">
        <v>1165</v>
      </c>
      <c r="AA486" s="22" t="s">
        <v>1038</v>
      </c>
      <c r="AC486" s="22"/>
    </row>
    <row r="487" spans="1:29" s="1" customFormat="1" ht="49.5" x14ac:dyDescent="0.25">
      <c r="A487" s="13">
        <f t="shared" si="6"/>
        <v>614701</v>
      </c>
      <c r="B487" s="14">
        <v>6147</v>
      </c>
      <c r="C487" s="1" t="s">
        <v>286</v>
      </c>
      <c r="D487" s="15" t="s">
        <v>1170</v>
      </c>
      <c r="E487" s="3">
        <v>1</v>
      </c>
      <c r="F487" s="5" t="s">
        <v>396</v>
      </c>
      <c r="G487" s="3">
        <v>15</v>
      </c>
      <c r="K487" s="1">
        <v>6135</v>
      </c>
      <c r="L487" s="1">
        <v>9000</v>
      </c>
      <c r="M487" s="1">
        <v>2900</v>
      </c>
      <c r="N487" s="1" t="s">
        <v>1032</v>
      </c>
      <c r="O487" s="1">
        <v>100</v>
      </c>
      <c r="P487" s="1" t="s">
        <v>398</v>
      </c>
      <c r="Q487" s="1">
        <v>10</v>
      </c>
      <c r="R487" s="1">
        <v>1062</v>
      </c>
      <c r="S487" s="16">
        <v>1.4999999999999999E-2</v>
      </c>
      <c r="U487" s="1" t="s">
        <v>1171</v>
      </c>
      <c r="V487" s="17" t="s">
        <v>1172</v>
      </c>
      <c r="W487" s="5"/>
      <c r="X487" s="17" t="s">
        <v>1173</v>
      </c>
      <c r="Y487" s="5" t="s">
        <v>1005</v>
      </c>
      <c r="Z487" s="21" t="s">
        <v>1168</v>
      </c>
      <c r="AA487" s="22" t="s">
        <v>1039</v>
      </c>
      <c r="AC487" s="22"/>
    </row>
    <row r="488" spans="1:29" s="1" customFormat="1" ht="49.5" x14ac:dyDescent="0.25">
      <c r="A488" s="13">
        <f t="shared" si="6"/>
        <v>621101</v>
      </c>
      <c r="B488" s="14">
        <v>6211</v>
      </c>
      <c r="C488" s="1" t="s">
        <v>286</v>
      </c>
      <c r="D488" s="12" t="s">
        <v>1434</v>
      </c>
      <c r="E488" s="3">
        <v>1</v>
      </c>
      <c r="F488" s="5" t="s">
        <v>708</v>
      </c>
      <c r="G488" s="3">
        <v>1</v>
      </c>
      <c r="K488" s="1">
        <v>6133</v>
      </c>
      <c r="L488" s="1">
        <v>3600</v>
      </c>
      <c r="M488" s="1">
        <v>6050</v>
      </c>
      <c r="N488" s="1" t="s">
        <v>999</v>
      </c>
      <c r="O488" s="1">
        <v>100</v>
      </c>
      <c r="P488" s="1" t="s">
        <v>398</v>
      </c>
      <c r="Q488" s="1">
        <v>10</v>
      </c>
      <c r="R488" s="1" t="s">
        <v>1435</v>
      </c>
      <c r="S488" s="16" t="s">
        <v>1042</v>
      </c>
      <c r="U488" s="19" t="s">
        <v>1436</v>
      </c>
      <c r="V488" s="17" t="s">
        <v>1437</v>
      </c>
      <c r="X488" s="17" t="s">
        <v>1438</v>
      </c>
      <c r="Y488" s="5" t="s">
        <v>1005</v>
      </c>
      <c r="Z488" s="21" t="s">
        <v>1439</v>
      </c>
      <c r="AA488" s="22" t="s">
        <v>1047</v>
      </c>
      <c r="AC488" s="22"/>
    </row>
    <row r="489" spans="1:29" s="1" customFormat="1" ht="49.5" x14ac:dyDescent="0.25">
      <c r="A489" s="13">
        <f t="shared" si="6"/>
        <v>622101</v>
      </c>
      <c r="B489" s="14">
        <v>6221</v>
      </c>
      <c r="C489" s="1" t="s">
        <v>286</v>
      </c>
      <c r="D489" s="12" t="s">
        <v>1440</v>
      </c>
      <c r="E489" s="3">
        <v>1</v>
      </c>
      <c r="F489" s="5" t="s">
        <v>708</v>
      </c>
      <c r="G489" s="3">
        <v>5</v>
      </c>
      <c r="K489" s="1">
        <v>6211</v>
      </c>
      <c r="L489" s="1">
        <v>5400</v>
      </c>
      <c r="M489" s="1">
        <v>6350</v>
      </c>
      <c r="N489" s="1" t="s">
        <v>1008</v>
      </c>
      <c r="O489" s="1">
        <v>100</v>
      </c>
      <c r="P489" s="1" t="s">
        <v>398</v>
      </c>
      <c r="Q489" s="1">
        <v>10</v>
      </c>
      <c r="R489" s="1">
        <v>20003</v>
      </c>
      <c r="S489" s="16">
        <v>0.01</v>
      </c>
      <c r="U489" s="19" t="s">
        <v>1440</v>
      </c>
      <c r="V489" s="17" t="s">
        <v>1441</v>
      </c>
      <c r="X489" s="17" t="s">
        <v>1442</v>
      </c>
      <c r="Y489" s="5" t="s">
        <v>1005</v>
      </c>
      <c r="Z489" s="21" t="s">
        <v>1443</v>
      </c>
      <c r="AA489" s="22" t="s">
        <v>1052</v>
      </c>
      <c r="AC489" s="22"/>
    </row>
    <row r="490" spans="1:29" s="1" customFormat="1" ht="49.5" x14ac:dyDescent="0.25">
      <c r="A490" s="13">
        <f t="shared" si="6"/>
        <v>622201</v>
      </c>
      <c r="B490" s="14">
        <v>6222</v>
      </c>
      <c r="C490" s="1" t="s">
        <v>286</v>
      </c>
      <c r="D490" s="12" t="s">
        <v>1444</v>
      </c>
      <c r="E490" s="3">
        <v>1</v>
      </c>
      <c r="F490" s="5" t="s">
        <v>708</v>
      </c>
      <c r="G490" s="3">
        <v>5</v>
      </c>
      <c r="K490" s="1">
        <v>6211</v>
      </c>
      <c r="L490" s="1">
        <v>5400</v>
      </c>
      <c r="M490" s="1">
        <v>6350</v>
      </c>
      <c r="N490" s="1" t="s">
        <v>1008</v>
      </c>
      <c r="O490" s="1">
        <v>100</v>
      </c>
      <c r="P490" s="1" t="s">
        <v>398</v>
      </c>
      <c r="Q490" s="1">
        <v>10</v>
      </c>
      <c r="R490" s="1">
        <v>20063</v>
      </c>
      <c r="S490" s="16">
        <v>5.0000000000000001E-3</v>
      </c>
      <c r="U490" s="19" t="s">
        <v>1444</v>
      </c>
      <c r="V490" s="17" t="s">
        <v>1445</v>
      </c>
      <c r="X490" s="17" t="s">
        <v>1446</v>
      </c>
      <c r="Y490" s="5" t="s">
        <v>1005</v>
      </c>
      <c r="Z490" s="21" t="s">
        <v>1439</v>
      </c>
      <c r="AA490" s="22" t="s">
        <v>1056</v>
      </c>
      <c r="AC490" s="22"/>
    </row>
    <row r="491" spans="1:29" s="1" customFormat="1" ht="49.5" x14ac:dyDescent="0.25">
      <c r="A491" s="13">
        <f t="shared" si="6"/>
        <v>622301</v>
      </c>
      <c r="B491" s="14">
        <v>6223</v>
      </c>
      <c r="C491" s="1" t="s">
        <v>286</v>
      </c>
      <c r="D491" s="12" t="s">
        <v>1447</v>
      </c>
      <c r="E491" s="3">
        <v>1</v>
      </c>
      <c r="F491" s="5" t="s">
        <v>708</v>
      </c>
      <c r="G491" s="3">
        <v>5</v>
      </c>
      <c r="K491" s="1">
        <v>6211</v>
      </c>
      <c r="L491" s="1">
        <v>5400</v>
      </c>
      <c r="M491" s="1">
        <v>6350</v>
      </c>
      <c r="N491" s="1" t="s">
        <v>1008</v>
      </c>
      <c r="O491" s="1">
        <v>100</v>
      </c>
      <c r="P491" s="1" t="s">
        <v>398</v>
      </c>
      <c r="Q491" s="1">
        <v>10</v>
      </c>
      <c r="R491" s="1">
        <v>20033</v>
      </c>
      <c r="S491" s="16">
        <v>0.01</v>
      </c>
      <c r="U491" s="19" t="s">
        <v>1447</v>
      </c>
      <c r="V491" s="17" t="s">
        <v>1448</v>
      </c>
      <c r="X491" s="17" t="s">
        <v>1449</v>
      </c>
      <c r="Y491" s="5" t="s">
        <v>1005</v>
      </c>
      <c r="Z491" s="21" t="s">
        <v>1450</v>
      </c>
      <c r="AA491" s="22" t="s">
        <v>1061</v>
      </c>
      <c r="AC491" s="22"/>
    </row>
    <row r="492" spans="1:29" s="1" customFormat="1" ht="49.5" x14ac:dyDescent="0.25">
      <c r="A492" s="13">
        <f t="shared" si="6"/>
        <v>623101</v>
      </c>
      <c r="B492" s="14">
        <v>6231</v>
      </c>
      <c r="C492" s="1" t="s">
        <v>286</v>
      </c>
      <c r="D492" s="12" t="s">
        <v>1451</v>
      </c>
      <c r="E492" s="3">
        <v>1</v>
      </c>
      <c r="F492" s="5" t="s">
        <v>708</v>
      </c>
      <c r="G492" s="3">
        <v>10</v>
      </c>
      <c r="K492" s="1">
        <v>6221</v>
      </c>
      <c r="L492" s="1">
        <v>7200</v>
      </c>
      <c r="M492" s="1">
        <v>6650</v>
      </c>
      <c r="N492" s="1" t="s">
        <v>1015</v>
      </c>
      <c r="O492" s="1">
        <v>100</v>
      </c>
      <c r="P492" s="1" t="s">
        <v>398</v>
      </c>
      <c r="Q492" s="1">
        <v>10</v>
      </c>
      <c r="R492" s="1">
        <v>20203</v>
      </c>
      <c r="S492" s="16">
        <v>0.01</v>
      </c>
      <c r="U492" s="1" t="s">
        <v>1451</v>
      </c>
      <c r="V492" s="17" t="s">
        <v>1452</v>
      </c>
      <c r="X492" s="17" t="s">
        <v>1453</v>
      </c>
      <c r="Y492" s="5" t="s">
        <v>1005</v>
      </c>
      <c r="Z492" s="21" t="s">
        <v>1443</v>
      </c>
      <c r="AA492" s="22" t="s">
        <v>1065</v>
      </c>
      <c r="AC492" s="22"/>
    </row>
    <row r="493" spans="1:29" s="1" customFormat="1" ht="49.5" x14ac:dyDescent="0.25">
      <c r="A493" s="13">
        <f t="shared" si="6"/>
        <v>623102</v>
      </c>
      <c r="B493" s="14">
        <v>6231</v>
      </c>
      <c r="C493" s="1" t="s">
        <v>286</v>
      </c>
      <c r="D493" s="12" t="s">
        <v>1451</v>
      </c>
      <c r="E493" s="3">
        <v>2</v>
      </c>
      <c r="F493" s="5" t="s">
        <v>708</v>
      </c>
      <c r="G493" s="3">
        <v>12</v>
      </c>
      <c r="K493" s="1">
        <v>6221</v>
      </c>
      <c r="L493" s="1">
        <v>7200</v>
      </c>
      <c r="M493" s="1">
        <v>6650</v>
      </c>
      <c r="N493" s="1" t="s">
        <v>1015</v>
      </c>
      <c r="O493" s="1">
        <v>100</v>
      </c>
      <c r="P493" s="1" t="s">
        <v>398</v>
      </c>
      <c r="Q493" s="1">
        <v>10</v>
      </c>
      <c r="R493" s="1">
        <v>20203</v>
      </c>
      <c r="S493" s="16">
        <v>0.01</v>
      </c>
      <c r="U493" s="1" t="s">
        <v>1451</v>
      </c>
      <c r="V493" s="17" t="s">
        <v>1452</v>
      </c>
      <c r="X493" s="17" t="s">
        <v>1453</v>
      </c>
      <c r="Y493" s="5" t="s">
        <v>1005</v>
      </c>
      <c r="Z493" s="21" t="s">
        <v>1443</v>
      </c>
      <c r="AA493" s="22" t="s">
        <v>1065</v>
      </c>
      <c r="AC493" s="22"/>
    </row>
    <row r="494" spans="1:29" s="1" customFormat="1" ht="49.5" x14ac:dyDescent="0.25">
      <c r="A494" s="13">
        <f t="shared" si="6"/>
        <v>623201</v>
      </c>
      <c r="B494" s="14">
        <v>6232</v>
      </c>
      <c r="C494" s="1" t="s">
        <v>286</v>
      </c>
      <c r="D494" s="12" t="s">
        <v>1454</v>
      </c>
      <c r="E494" s="3">
        <v>1</v>
      </c>
      <c r="F494" s="5" t="s">
        <v>708</v>
      </c>
      <c r="G494" s="3">
        <v>10</v>
      </c>
      <c r="K494" s="1">
        <v>6221</v>
      </c>
      <c r="L494" s="1">
        <v>7200</v>
      </c>
      <c r="M494" s="1">
        <v>6650</v>
      </c>
      <c r="N494" s="1" t="s">
        <v>1015</v>
      </c>
      <c r="O494" s="1">
        <v>100</v>
      </c>
      <c r="P494" s="1" t="s">
        <v>398</v>
      </c>
      <c r="Q494" s="1">
        <v>10</v>
      </c>
      <c r="R494" s="20">
        <v>20403</v>
      </c>
      <c r="S494" s="16">
        <v>0.01</v>
      </c>
      <c r="U494" s="1" t="s">
        <v>1454</v>
      </c>
      <c r="V494" s="17" t="s">
        <v>1455</v>
      </c>
      <c r="X494" s="17" t="s">
        <v>1456</v>
      </c>
      <c r="Y494" s="5" t="s">
        <v>1005</v>
      </c>
      <c r="Z494" s="21" t="s">
        <v>1443</v>
      </c>
      <c r="AA494" s="22" t="s">
        <v>1069</v>
      </c>
      <c r="AC494" s="22"/>
    </row>
    <row r="495" spans="1:29" s="1" customFormat="1" ht="49.5" x14ac:dyDescent="0.25">
      <c r="A495" s="13">
        <f t="shared" si="6"/>
        <v>623202</v>
      </c>
      <c r="B495" s="14">
        <v>6232</v>
      </c>
      <c r="C495" s="1" t="s">
        <v>286</v>
      </c>
      <c r="D495" s="12" t="s">
        <v>1454</v>
      </c>
      <c r="E495" s="3">
        <v>2</v>
      </c>
      <c r="F495" s="5" t="s">
        <v>708</v>
      </c>
      <c r="G495" s="3">
        <v>12</v>
      </c>
      <c r="K495" s="1">
        <v>6221</v>
      </c>
      <c r="L495" s="1">
        <v>7200</v>
      </c>
      <c r="M495" s="1">
        <v>6650</v>
      </c>
      <c r="N495" s="1" t="s">
        <v>1015</v>
      </c>
      <c r="O495" s="1">
        <v>100</v>
      </c>
      <c r="P495" s="1" t="s">
        <v>398</v>
      </c>
      <c r="Q495" s="1">
        <v>10</v>
      </c>
      <c r="R495" s="20">
        <v>20403</v>
      </c>
      <c r="S495" s="16">
        <v>0.01</v>
      </c>
      <c r="U495" s="1" t="s">
        <v>1454</v>
      </c>
      <c r="V495" s="17" t="s">
        <v>1455</v>
      </c>
      <c r="X495" s="17" t="s">
        <v>1456</v>
      </c>
      <c r="Y495" s="5" t="s">
        <v>1005</v>
      </c>
      <c r="Z495" s="21" t="s">
        <v>1443</v>
      </c>
      <c r="AA495" s="22" t="s">
        <v>1069</v>
      </c>
      <c r="AC495" s="22"/>
    </row>
    <row r="496" spans="1:29" s="1" customFormat="1" ht="49.5" x14ac:dyDescent="0.25">
      <c r="A496" s="13">
        <f t="shared" si="6"/>
        <v>623301</v>
      </c>
      <c r="B496" s="14">
        <v>6233</v>
      </c>
      <c r="C496" s="1" t="s">
        <v>286</v>
      </c>
      <c r="D496" s="12" t="s">
        <v>1022</v>
      </c>
      <c r="E496" s="3">
        <v>1</v>
      </c>
      <c r="F496" s="5" t="s">
        <v>708</v>
      </c>
      <c r="G496" s="3">
        <v>10</v>
      </c>
      <c r="K496" s="1">
        <v>6222</v>
      </c>
      <c r="L496" s="1">
        <v>7200</v>
      </c>
      <c r="M496" s="1">
        <v>6650</v>
      </c>
      <c r="N496" s="1" t="s">
        <v>1015</v>
      </c>
      <c r="O496" s="1">
        <v>100</v>
      </c>
      <c r="P496" s="1" t="s">
        <v>398</v>
      </c>
      <c r="Q496" s="1">
        <v>10</v>
      </c>
      <c r="S496" s="16"/>
      <c r="U496" s="1" t="s">
        <v>1457</v>
      </c>
      <c r="V496" s="17" t="s">
        <v>1071</v>
      </c>
      <c r="X496" s="17"/>
      <c r="Y496" s="5" t="s">
        <v>1005</v>
      </c>
      <c r="Z496" s="21" t="s">
        <v>1025</v>
      </c>
      <c r="AA496" s="22" t="s">
        <v>277</v>
      </c>
      <c r="AC496" s="22"/>
    </row>
    <row r="497" spans="1:29" s="1" customFormat="1" ht="49.5" x14ac:dyDescent="0.25">
      <c r="A497" s="13">
        <f t="shared" si="6"/>
        <v>623401</v>
      </c>
      <c r="B497" s="14">
        <v>6234</v>
      </c>
      <c r="C497" s="1" t="s">
        <v>286</v>
      </c>
      <c r="D497" s="12" t="s">
        <v>1458</v>
      </c>
      <c r="E497" s="3">
        <v>1</v>
      </c>
      <c r="F497" s="5" t="s">
        <v>708</v>
      </c>
      <c r="G497" s="3">
        <v>10</v>
      </c>
      <c r="K497" s="1">
        <v>6223</v>
      </c>
      <c r="L497" s="1">
        <v>7200</v>
      </c>
      <c r="M497" s="1">
        <v>6650</v>
      </c>
      <c r="N497" s="1" t="s">
        <v>1015</v>
      </c>
      <c r="O497" s="1">
        <v>100</v>
      </c>
      <c r="P497" s="1" t="s">
        <v>398</v>
      </c>
      <c r="Q497" s="1">
        <v>10</v>
      </c>
      <c r="R497" s="20">
        <v>20433</v>
      </c>
      <c r="S497" s="16">
        <v>0.01</v>
      </c>
      <c r="U497" s="1" t="s">
        <v>1458</v>
      </c>
      <c r="V497" s="17" t="s">
        <v>1459</v>
      </c>
      <c r="X497" s="17" t="s">
        <v>1460</v>
      </c>
      <c r="Y497" s="5" t="s">
        <v>1005</v>
      </c>
      <c r="Z497" s="21" t="s">
        <v>1450</v>
      </c>
      <c r="AA497" s="22" t="s">
        <v>1075</v>
      </c>
      <c r="AC497" s="22"/>
    </row>
    <row r="498" spans="1:29" s="1" customFormat="1" ht="49.5" x14ac:dyDescent="0.25">
      <c r="A498" s="13">
        <f t="shared" si="6"/>
        <v>623402</v>
      </c>
      <c r="B498" s="14">
        <v>6234</v>
      </c>
      <c r="C498" s="1" t="s">
        <v>286</v>
      </c>
      <c r="D498" s="12" t="s">
        <v>1458</v>
      </c>
      <c r="E498" s="3">
        <v>2</v>
      </c>
      <c r="F498" s="5" t="s">
        <v>708</v>
      </c>
      <c r="G498" s="3">
        <v>12</v>
      </c>
      <c r="K498" s="1">
        <v>6223</v>
      </c>
      <c r="L498" s="1">
        <v>7200</v>
      </c>
      <c r="M498" s="1">
        <v>6650</v>
      </c>
      <c r="N498" s="1" t="s">
        <v>1015</v>
      </c>
      <c r="O498" s="1">
        <v>100</v>
      </c>
      <c r="P498" s="1" t="s">
        <v>398</v>
      </c>
      <c r="Q498" s="1">
        <v>10</v>
      </c>
      <c r="R498" s="20">
        <v>20433</v>
      </c>
      <c r="S498" s="16">
        <v>0.01</v>
      </c>
      <c r="U498" s="1" t="s">
        <v>1458</v>
      </c>
      <c r="V498" s="17" t="s">
        <v>1459</v>
      </c>
      <c r="X498" s="17" t="s">
        <v>1460</v>
      </c>
      <c r="Y498" s="5" t="s">
        <v>1005</v>
      </c>
      <c r="Z498" s="21" t="s">
        <v>1450</v>
      </c>
      <c r="AA498" s="22" t="s">
        <v>1075</v>
      </c>
      <c r="AC498" s="22"/>
    </row>
    <row r="499" spans="1:29" s="1" customFormat="1" ht="49.5" x14ac:dyDescent="0.25">
      <c r="A499" s="13">
        <f t="shared" si="6"/>
        <v>623501</v>
      </c>
      <c r="B499" s="14">
        <v>6235</v>
      </c>
      <c r="C499" s="1" t="s">
        <v>286</v>
      </c>
      <c r="D499" s="12" t="s">
        <v>1461</v>
      </c>
      <c r="E499" s="3">
        <v>1</v>
      </c>
      <c r="F499" s="5" t="s">
        <v>708</v>
      </c>
      <c r="G499" s="3">
        <v>10</v>
      </c>
      <c r="K499" s="1">
        <v>6223</v>
      </c>
      <c r="L499" s="1">
        <v>7200</v>
      </c>
      <c r="M499" s="1">
        <v>6650</v>
      </c>
      <c r="N499" s="1" t="s">
        <v>1015</v>
      </c>
      <c r="O499" s="1">
        <v>100</v>
      </c>
      <c r="P499" s="1" t="s">
        <v>398</v>
      </c>
      <c r="Q499" s="1">
        <v>10</v>
      </c>
      <c r="R499" s="1">
        <v>20233</v>
      </c>
      <c r="S499" s="16">
        <v>0.01</v>
      </c>
      <c r="U499" s="1" t="s">
        <v>1461</v>
      </c>
      <c r="V499" s="17" t="s">
        <v>1462</v>
      </c>
      <c r="X499" s="17" t="s">
        <v>1463</v>
      </c>
      <c r="Y499" s="5" t="s">
        <v>1005</v>
      </c>
      <c r="Z499" s="21" t="s">
        <v>1450</v>
      </c>
      <c r="AA499" s="22" t="s">
        <v>1079</v>
      </c>
      <c r="AC499" s="22"/>
    </row>
    <row r="500" spans="1:29" s="1" customFormat="1" ht="49.5" x14ac:dyDescent="0.25">
      <c r="A500" s="13">
        <f t="shared" si="6"/>
        <v>623502</v>
      </c>
      <c r="B500" s="14">
        <v>6235</v>
      </c>
      <c r="C500" s="1" t="s">
        <v>286</v>
      </c>
      <c r="D500" s="12" t="s">
        <v>1461</v>
      </c>
      <c r="E500" s="3">
        <v>2</v>
      </c>
      <c r="F500" s="5" t="s">
        <v>708</v>
      </c>
      <c r="G500" s="3">
        <v>12</v>
      </c>
      <c r="K500" s="1">
        <v>6223</v>
      </c>
      <c r="L500" s="1">
        <v>7200</v>
      </c>
      <c r="M500" s="1">
        <v>6650</v>
      </c>
      <c r="N500" s="1" t="s">
        <v>1015</v>
      </c>
      <c r="O500" s="1">
        <v>100</v>
      </c>
      <c r="P500" s="1" t="s">
        <v>398</v>
      </c>
      <c r="Q500" s="1">
        <v>10</v>
      </c>
      <c r="R500" s="1">
        <v>20233</v>
      </c>
      <c r="S500" s="16">
        <v>0.01</v>
      </c>
      <c r="U500" s="1" t="s">
        <v>1461</v>
      </c>
      <c r="V500" s="17" t="s">
        <v>1462</v>
      </c>
      <c r="X500" s="17" t="s">
        <v>1463</v>
      </c>
      <c r="Y500" s="5" t="s">
        <v>1005</v>
      </c>
      <c r="Z500" s="21" t="s">
        <v>1450</v>
      </c>
      <c r="AA500" s="22" t="s">
        <v>1079</v>
      </c>
      <c r="AC500" s="22"/>
    </row>
    <row r="501" spans="1:29" s="1" customFormat="1" ht="49.5" x14ac:dyDescent="0.25">
      <c r="A501" s="13">
        <f t="shared" si="6"/>
        <v>624101</v>
      </c>
      <c r="B501" s="14">
        <v>6241</v>
      </c>
      <c r="C501" s="1" t="s">
        <v>286</v>
      </c>
      <c r="D501" s="12" t="s">
        <v>1464</v>
      </c>
      <c r="E501" s="3">
        <v>1</v>
      </c>
      <c r="F501" s="5" t="s">
        <v>708</v>
      </c>
      <c r="G501" s="3">
        <v>15</v>
      </c>
      <c r="K501" s="1">
        <v>6231</v>
      </c>
      <c r="L501" s="1">
        <v>9000</v>
      </c>
      <c r="M501" s="1">
        <v>6950</v>
      </c>
      <c r="N501" s="1" t="s">
        <v>1032</v>
      </c>
      <c r="O501" s="1">
        <v>100</v>
      </c>
      <c r="P501" s="1" t="s">
        <v>398</v>
      </c>
      <c r="Q501" s="1">
        <v>10</v>
      </c>
      <c r="R501" s="20">
        <v>6033</v>
      </c>
      <c r="S501" s="16">
        <v>0.01</v>
      </c>
      <c r="U501" s="1" t="s">
        <v>1464</v>
      </c>
      <c r="V501" s="17" t="s">
        <v>1465</v>
      </c>
      <c r="X501" s="17" t="s">
        <v>1466</v>
      </c>
      <c r="Y501" s="5" t="s">
        <v>1005</v>
      </c>
      <c r="Z501" s="21" t="s">
        <v>1443</v>
      </c>
      <c r="AA501" s="22" t="s">
        <v>1083</v>
      </c>
      <c r="AC501" s="22"/>
    </row>
    <row r="502" spans="1:29" s="1" customFormat="1" ht="49.5" x14ac:dyDescent="0.25">
      <c r="A502" s="13">
        <f t="shared" si="6"/>
        <v>624102</v>
      </c>
      <c r="B502" s="14">
        <v>6241</v>
      </c>
      <c r="C502" s="1" t="s">
        <v>286</v>
      </c>
      <c r="D502" s="12" t="s">
        <v>1464</v>
      </c>
      <c r="E502" s="3">
        <v>2</v>
      </c>
      <c r="F502" s="5" t="s">
        <v>708</v>
      </c>
      <c r="G502" s="3">
        <v>16</v>
      </c>
      <c r="K502" s="1">
        <v>6231</v>
      </c>
      <c r="L502" s="1">
        <v>9000</v>
      </c>
      <c r="M502" s="1">
        <v>6950</v>
      </c>
      <c r="N502" s="1" t="s">
        <v>1032</v>
      </c>
      <c r="O502" s="1">
        <v>100</v>
      </c>
      <c r="P502" s="1" t="s">
        <v>398</v>
      </c>
      <c r="Q502" s="1">
        <v>10</v>
      </c>
      <c r="R502" s="20">
        <v>6033</v>
      </c>
      <c r="S502" s="16">
        <v>0.01</v>
      </c>
      <c r="U502" s="1" t="s">
        <v>1464</v>
      </c>
      <c r="V502" s="17" t="s">
        <v>1465</v>
      </c>
      <c r="X502" s="17" t="s">
        <v>1466</v>
      </c>
      <c r="Y502" s="5" t="s">
        <v>1005</v>
      </c>
      <c r="Z502" s="21" t="s">
        <v>1443</v>
      </c>
      <c r="AA502" s="22" t="s">
        <v>1083</v>
      </c>
      <c r="AC502" s="22"/>
    </row>
    <row r="503" spans="1:29" s="1" customFormat="1" ht="49.5" x14ac:dyDescent="0.25">
      <c r="A503" s="13">
        <f t="shared" si="6"/>
        <v>624201</v>
      </c>
      <c r="B503" s="14">
        <v>6242</v>
      </c>
      <c r="C503" s="1" t="s">
        <v>286</v>
      </c>
      <c r="D503" s="12" t="s">
        <v>1467</v>
      </c>
      <c r="E503" s="3">
        <v>1</v>
      </c>
      <c r="F503" s="5" t="s">
        <v>708</v>
      </c>
      <c r="G503" s="3">
        <v>15</v>
      </c>
      <c r="K503" s="1">
        <v>6231</v>
      </c>
      <c r="L503" s="1">
        <v>9000</v>
      </c>
      <c r="M503" s="1">
        <v>6950</v>
      </c>
      <c r="N503" s="1" t="s">
        <v>1032</v>
      </c>
      <c r="O503" s="1">
        <v>100</v>
      </c>
      <c r="P503" s="1" t="s">
        <v>398</v>
      </c>
      <c r="Q503" s="1">
        <v>10</v>
      </c>
      <c r="R503" s="20">
        <v>20263</v>
      </c>
      <c r="S503" s="16">
        <v>5.0000000000000001E-3</v>
      </c>
      <c r="U503" s="1" t="s">
        <v>1467</v>
      </c>
      <c r="V503" s="17" t="s">
        <v>1468</v>
      </c>
      <c r="X503" s="17" t="s">
        <v>1469</v>
      </c>
      <c r="Y503" s="5" t="s">
        <v>1005</v>
      </c>
      <c r="Z503" s="21" t="s">
        <v>1439</v>
      </c>
      <c r="AA503" s="22" t="s">
        <v>1087</v>
      </c>
      <c r="AC503" s="22"/>
    </row>
    <row r="504" spans="1:29" s="1" customFormat="1" ht="49.5" x14ac:dyDescent="0.25">
      <c r="A504" s="13">
        <f t="shared" si="6"/>
        <v>624202</v>
      </c>
      <c r="B504" s="14">
        <v>6242</v>
      </c>
      <c r="C504" s="1" t="s">
        <v>286</v>
      </c>
      <c r="D504" s="12" t="s">
        <v>1467</v>
      </c>
      <c r="E504" s="3">
        <v>2</v>
      </c>
      <c r="F504" s="5" t="s">
        <v>708</v>
      </c>
      <c r="G504" s="3">
        <v>16</v>
      </c>
      <c r="K504" s="1">
        <v>6231</v>
      </c>
      <c r="L504" s="1">
        <v>9000</v>
      </c>
      <c r="M504" s="1">
        <v>6950</v>
      </c>
      <c r="N504" s="1" t="s">
        <v>1032</v>
      </c>
      <c r="O504" s="1">
        <v>100</v>
      </c>
      <c r="P504" s="1" t="s">
        <v>398</v>
      </c>
      <c r="Q504" s="1">
        <v>10</v>
      </c>
      <c r="R504" s="20">
        <v>20263</v>
      </c>
      <c r="S504" s="16">
        <v>5.0000000000000001E-3</v>
      </c>
      <c r="U504" s="1" t="s">
        <v>1467</v>
      </c>
      <c r="V504" s="17" t="s">
        <v>1468</v>
      </c>
      <c r="X504" s="17" t="s">
        <v>1469</v>
      </c>
      <c r="Y504" s="5" t="s">
        <v>1005</v>
      </c>
      <c r="Z504" s="21" t="s">
        <v>1439</v>
      </c>
      <c r="AA504" s="22" t="s">
        <v>1087</v>
      </c>
      <c r="AC504" s="22"/>
    </row>
    <row r="505" spans="1:29" s="1" customFormat="1" ht="49.5" x14ac:dyDescent="0.25">
      <c r="A505" s="13">
        <f t="shared" si="6"/>
        <v>624301</v>
      </c>
      <c r="B505" s="14">
        <v>6243</v>
      </c>
      <c r="C505" s="1" t="s">
        <v>286</v>
      </c>
      <c r="D505" s="12" t="s">
        <v>1470</v>
      </c>
      <c r="E505" s="3">
        <v>1</v>
      </c>
      <c r="F505" s="5" t="s">
        <v>708</v>
      </c>
      <c r="G505" s="3">
        <v>18</v>
      </c>
      <c r="K505" s="1">
        <v>6232</v>
      </c>
      <c r="L505" s="1">
        <v>9000</v>
      </c>
      <c r="M505" s="1">
        <v>7250</v>
      </c>
      <c r="N505" s="1" t="s">
        <v>1033</v>
      </c>
      <c r="O505" s="1">
        <v>100</v>
      </c>
      <c r="P505" s="1" t="s">
        <v>398</v>
      </c>
      <c r="Q505" s="1">
        <v>10</v>
      </c>
      <c r="R505" s="20">
        <v>20463</v>
      </c>
      <c r="S505" s="16">
        <v>5.0000000000000001E-3</v>
      </c>
      <c r="U505" s="1" t="s">
        <v>1470</v>
      </c>
      <c r="V505" s="17" t="s">
        <v>1471</v>
      </c>
      <c r="X505" s="17" t="s">
        <v>1472</v>
      </c>
      <c r="Y505" s="5" t="s">
        <v>1005</v>
      </c>
      <c r="Z505" s="21" t="s">
        <v>1439</v>
      </c>
      <c r="AA505" s="22" t="s">
        <v>1091</v>
      </c>
      <c r="AC505" s="22"/>
    </row>
    <row r="506" spans="1:29" s="1" customFormat="1" ht="49.5" x14ac:dyDescent="0.25">
      <c r="A506" s="13">
        <f t="shared" si="6"/>
        <v>624401</v>
      </c>
      <c r="B506" s="14">
        <v>6244</v>
      </c>
      <c r="C506" s="1" t="s">
        <v>286</v>
      </c>
      <c r="D506" s="12" t="s">
        <v>1444</v>
      </c>
      <c r="E506" s="3">
        <v>1</v>
      </c>
      <c r="F506" s="5" t="s">
        <v>708</v>
      </c>
      <c r="G506" s="3">
        <v>20</v>
      </c>
      <c r="K506" s="1" t="s">
        <v>1473</v>
      </c>
      <c r="L506" s="1">
        <v>10800</v>
      </c>
      <c r="M506" s="1">
        <v>7550</v>
      </c>
      <c r="N506" s="1" t="s">
        <v>397</v>
      </c>
      <c r="O506" s="1">
        <v>100</v>
      </c>
      <c r="P506" s="1" t="s">
        <v>398</v>
      </c>
      <c r="Q506" s="1">
        <v>10</v>
      </c>
      <c r="R506" s="1">
        <v>20063</v>
      </c>
      <c r="S506" s="16">
        <v>5.0000000000000001E-3</v>
      </c>
      <c r="U506" s="1" t="s">
        <v>1444</v>
      </c>
      <c r="V506" s="17" t="s">
        <v>1445</v>
      </c>
      <c r="X506" s="17" t="s">
        <v>1446</v>
      </c>
      <c r="Y506" s="5" t="s">
        <v>1005</v>
      </c>
      <c r="Z506" s="21" t="s">
        <v>1439</v>
      </c>
      <c r="AA506" s="22" t="s">
        <v>1093</v>
      </c>
      <c r="AC506" s="22"/>
    </row>
    <row r="507" spans="1:29" s="1" customFormat="1" ht="49.5" x14ac:dyDescent="0.25">
      <c r="A507" s="13">
        <f t="shared" si="6"/>
        <v>624501</v>
      </c>
      <c r="B507" s="14">
        <v>6245</v>
      </c>
      <c r="C507" s="1" t="s">
        <v>286</v>
      </c>
      <c r="D507" s="12" t="s">
        <v>1470</v>
      </c>
      <c r="E507" s="3">
        <v>1</v>
      </c>
      <c r="F507" s="5" t="s">
        <v>708</v>
      </c>
      <c r="G507" s="3">
        <v>18</v>
      </c>
      <c r="K507" s="1">
        <v>6234</v>
      </c>
      <c r="L507" s="1">
        <v>9000</v>
      </c>
      <c r="M507" s="1">
        <v>7250</v>
      </c>
      <c r="N507" s="1" t="s">
        <v>1033</v>
      </c>
      <c r="O507" s="1">
        <v>100</v>
      </c>
      <c r="P507" s="1" t="s">
        <v>398</v>
      </c>
      <c r="Q507" s="1">
        <v>10</v>
      </c>
      <c r="R507" s="20">
        <v>20463</v>
      </c>
      <c r="S507" s="16">
        <v>5.0000000000000001E-3</v>
      </c>
      <c r="U507" s="1" t="s">
        <v>1470</v>
      </c>
      <c r="V507" s="17" t="s">
        <v>1471</v>
      </c>
      <c r="X507" s="17" t="s">
        <v>1472</v>
      </c>
      <c r="Y507" s="5" t="s">
        <v>1005</v>
      </c>
      <c r="Z507" s="21" t="s">
        <v>1439</v>
      </c>
      <c r="AA507" s="22" t="s">
        <v>1094</v>
      </c>
    </row>
    <row r="508" spans="1:29" s="1" customFormat="1" ht="49.5" x14ac:dyDescent="0.25">
      <c r="A508" s="13">
        <f t="shared" si="6"/>
        <v>624601</v>
      </c>
      <c r="B508" s="14">
        <v>6246</v>
      </c>
      <c r="C508" s="1" t="s">
        <v>286</v>
      </c>
      <c r="D508" s="12" t="s">
        <v>1467</v>
      </c>
      <c r="E508" s="3">
        <v>1</v>
      </c>
      <c r="F508" s="5" t="s">
        <v>708</v>
      </c>
      <c r="G508" s="3">
        <v>15</v>
      </c>
      <c r="K508" s="1">
        <v>6235</v>
      </c>
      <c r="L508" s="1">
        <v>9000</v>
      </c>
      <c r="M508" s="1">
        <v>6950</v>
      </c>
      <c r="N508" s="1" t="s">
        <v>1032</v>
      </c>
      <c r="O508" s="1">
        <v>100</v>
      </c>
      <c r="P508" s="1" t="s">
        <v>398</v>
      </c>
      <c r="Q508" s="1">
        <v>10</v>
      </c>
      <c r="R508" s="20">
        <v>20263</v>
      </c>
      <c r="S508" s="16">
        <v>5.0000000000000001E-3</v>
      </c>
      <c r="U508" s="1" t="s">
        <v>1467</v>
      </c>
      <c r="V508" s="17" t="s">
        <v>1468</v>
      </c>
      <c r="X508" s="17" t="s">
        <v>1469</v>
      </c>
      <c r="Y508" s="5" t="s">
        <v>1005</v>
      </c>
      <c r="Z508" s="21" t="s">
        <v>1439</v>
      </c>
      <c r="AA508" s="22" t="s">
        <v>1095</v>
      </c>
    </row>
    <row r="509" spans="1:29" s="1" customFormat="1" ht="49.5" x14ac:dyDescent="0.25">
      <c r="A509" s="13">
        <f t="shared" si="6"/>
        <v>624602</v>
      </c>
      <c r="B509" s="14">
        <v>6246</v>
      </c>
      <c r="C509" s="1" t="s">
        <v>286</v>
      </c>
      <c r="D509" s="12" t="s">
        <v>1467</v>
      </c>
      <c r="E509" s="3">
        <v>2</v>
      </c>
      <c r="F509" s="5" t="s">
        <v>708</v>
      </c>
      <c r="G509" s="3">
        <v>16</v>
      </c>
      <c r="K509" s="1">
        <v>6235</v>
      </c>
      <c r="L509" s="1">
        <v>9000</v>
      </c>
      <c r="M509" s="1">
        <v>6950</v>
      </c>
      <c r="N509" s="1" t="s">
        <v>1032</v>
      </c>
      <c r="O509" s="1">
        <v>100</v>
      </c>
      <c r="P509" s="1" t="s">
        <v>398</v>
      </c>
      <c r="Q509" s="1">
        <v>10</v>
      </c>
      <c r="R509" s="20">
        <v>20263</v>
      </c>
      <c r="S509" s="2">
        <v>5.0000000000000001E-3</v>
      </c>
      <c r="U509" s="1" t="s">
        <v>1467</v>
      </c>
      <c r="V509" s="17" t="s">
        <v>1468</v>
      </c>
      <c r="X509" s="17" t="s">
        <v>1469</v>
      </c>
      <c r="Y509" s="5" t="s">
        <v>1005</v>
      </c>
      <c r="Z509" s="21" t="s">
        <v>1439</v>
      </c>
      <c r="AA509" s="22" t="s">
        <v>1095</v>
      </c>
    </row>
    <row r="510" spans="1:29" s="1" customFormat="1" ht="49.5" x14ac:dyDescent="0.25">
      <c r="A510" s="13">
        <f t="shared" si="6"/>
        <v>624701</v>
      </c>
      <c r="B510" s="14">
        <v>6247</v>
      </c>
      <c r="C510" s="1" t="s">
        <v>286</v>
      </c>
      <c r="D510" s="12" t="s">
        <v>1464</v>
      </c>
      <c r="E510" s="3">
        <v>1</v>
      </c>
      <c r="F510" s="5" t="s">
        <v>708</v>
      </c>
      <c r="G510" s="3">
        <v>15</v>
      </c>
      <c r="K510" s="1">
        <v>6235</v>
      </c>
      <c r="L510" s="1">
        <v>9000</v>
      </c>
      <c r="M510" s="1">
        <v>6950</v>
      </c>
      <c r="N510" s="1" t="s">
        <v>1032</v>
      </c>
      <c r="O510" s="1">
        <v>100</v>
      </c>
      <c r="P510" s="1" t="s">
        <v>398</v>
      </c>
      <c r="Q510" s="1">
        <v>10</v>
      </c>
      <c r="R510" s="20">
        <v>6033</v>
      </c>
      <c r="S510" s="16">
        <v>0.01</v>
      </c>
      <c r="U510" s="1" t="s">
        <v>1464</v>
      </c>
      <c r="V510" s="17" t="s">
        <v>1465</v>
      </c>
      <c r="X510" s="17" t="s">
        <v>1466</v>
      </c>
      <c r="Y510" s="5" t="s">
        <v>1005</v>
      </c>
      <c r="Z510" s="21" t="s">
        <v>1443</v>
      </c>
      <c r="AA510" s="22" t="s">
        <v>1096</v>
      </c>
    </row>
    <row r="511" spans="1:29" s="1" customFormat="1" ht="49.5" x14ac:dyDescent="0.25">
      <c r="A511" s="13">
        <f t="shared" si="6"/>
        <v>624702</v>
      </c>
      <c r="B511" s="14">
        <v>6247</v>
      </c>
      <c r="C511" s="1" t="s">
        <v>286</v>
      </c>
      <c r="D511" s="12" t="s">
        <v>1464</v>
      </c>
      <c r="E511" s="3">
        <v>2</v>
      </c>
      <c r="F511" s="5" t="s">
        <v>708</v>
      </c>
      <c r="G511" s="3">
        <v>16</v>
      </c>
      <c r="K511" s="1">
        <v>6235</v>
      </c>
      <c r="L511" s="1">
        <v>9000</v>
      </c>
      <c r="M511" s="1">
        <v>6950</v>
      </c>
      <c r="N511" s="1" t="s">
        <v>1032</v>
      </c>
      <c r="O511" s="1">
        <v>100</v>
      </c>
      <c r="P511" s="1" t="s">
        <v>398</v>
      </c>
      <c r="Q511" s="1">
        <v>10</v>
      </c>
      <c r="R511" s="20">
        <v>6033</v>
      </c>
      <c r="S511" s="16">
        <v>0.01</v>
      </c>
      <c r="U511" s="1" t="s">
        <v>1464</v>
      </c>
      <c r="V511" s="17" t="s">
        <v>1465</v>
      </c>
      <c r="X511" s="17" t="s">
        <v>1466</v>
      </c>
      <c r="Y511" s="5" t="s">
        <v>1005</v>
      </c>
      <c r="Z511" s="21" t="s">
        <v>1443</v>
      </c>
      <c r="AA511" s="22" t="s">
        <v>1096</v>
      </c>
    </row>
    <row r="512" spans="1:29" s="1" customFormat="1" ht="49.5" x14ac:dyDescent="0.25">
      <c r="A512" s="13">
        <f t="shared" si="6"/>
        <v>631101</v>
      </c>
      <c r="B512" s="14">
        <v>6311</v>
      </c>
      <c r="C512" s="1" t="s">
        <v>286</v>
      </c>
      <c r="D512" s="12" t="s">
        <v>1474</v>
      </c>
      <c r="E512" s="3">
        <v>1</v>
      </c>
      <c r="F512" s="5" t="s">
        <v>712</v>
      </c>
      <c r="G512" s="3">
        <v>1</v>
      </c>
      <c r="K512" s="1">
        <v>6233</v>
      </c>
      <c r="L512" s="1">
        <v>3600</v>
      </c>
      <c r="M512" s="1">
        <v>6300</v>
      </c>
      <c r="N512" s="1" t="s">
        <v>999</v>
      </c>
      <c r="O512" s="1">
        <v>100</v>
      </c>
      <c r="P512" s="1" t="s">
        <v>398</v>
      </c>
      <c r="Q512" s="1">
        <v>10</v>
      </c>
      <c r="R512" s="1" t="s">
        <v>1475</v>
      </c>
      <c r="S512" s="16" t="s">
        <v>1099</v>
      </c>
      <c r="U512" s="1" t="s">
        <v>1476</v>
      </c>
      <c r="V512" s="17" t="s">
        <v>1477</v>
      </c>
      <c r="X512" s="17" t="s">
        <v>1478</v>
      </c>
      <c r="Y512" s="5" t="s">
        <v>1005</v>
      </c>
      <c r="Z512" s="21" t="s">
        <v>1439</v>
      </c>
      <c r="AA512" s="22" t="s">
        <v>1103</v>
      </c>
    </row>
    <row r="513" spans="1:27" s="1" customFormat="1" ht="49.5" x14ac:dyDescent="0.25">
      <c r="A513" s="13">
        <f t="shared" si="6"/>
        <v>632101</v>
      </c>
      <c r="B513" s="14">
        <v>6321</v>
      </c>
      <c r="C513" s="1" t="s">
        <v>286</v>
      </c>
      <c r="D513" s="12" t="s">
        <v>1479</v>
      </c>
      <c r="E513" s="3">
        <v>1</v>
      </c>
      <c r="F513" s="5" t="s">
        <v>712</v>
      </c>
      <c r="G513" s="3">
        <v>5</v>
      </c>
      <c r="K513" s="1">
        <v>6311</v>
      </c>
      <c r="L513" s="1">
        <v>5400</v>
      </c>
      <c r="M513" s="1">
        <v>6650</v>
      </c>
      <c r="N513" s="1" t="s">
        <v>1008</v>
      </c>
      <c r="O513" s="1">
        <v>100</v>
      </c>
      <c r="P513" s="1" t="s">
        <v>398</v>
      </c>
      <c r="Q513" s="1">
        <v>10</v>
      </c>
      <c r="R513" s="1">
        <v>20007</v>
      </c>
      <c r="S513" s="16">
        <v>1.4999999999999999E-2</v>
      </c>
      <c r="U513" s="1" t="s">
        <v>1479</v>
      </c>
      <c r="V513" s="17" t="s">
        <v>1480</v>
      </c>
      <c r="X513" s="17" t="s">
        <v>1481</v>
      </c>
      <c r="Y513" s="5" t="s">
        <v>1005</v>
      </c>
      <c r="Z513" s="21" t="s">
        <v>1443</v>
      </c>
      <c r="AA513" s="22" t="s">
        <v>1107</v>
      </c>
    </row>
    <row r="514" spans="1:27" s="1" customFormat="1" ht="49.5" x14ac:dyDescent="0.25">
      <c r="A514" s="13">
        <f t="shared" si="6"/>
        <v>632201</v>
      </c>
      <c r="B514" s="14">
        <v>6322</v>
      </c>
      <c r="C514" s="1" t="s">
        <v>286</v>
      </c>
      <c r="D514" s="12" t="s">
        <v>1108</v>
      </c>
      <c r="E514" s="3">
        <v>1</v>
      </c>
      <c r="F514" s="5" t="s">
        <v>712</v>
      </c>
      <c r="G514" s="3">
        <v>5</v>
      </c>
      <c r="K514" s="1">
        <v>6311</v>
      </c>
      <c r="L514" s="1">
        <v>5400</v>
      </c>
      <c r="M514" s="1">
        <v>6650</v>
      </c>
      <c r="N514" s="1" t="s">
        <v>1008</v>
      </c>
      <c r="O514" s="1">
        <v>100</v>
      </c>
      <c r="P514" s="1" t="s">
        <v>398</v>
      </c>
      <c r="Q514" s="1">
        <v>10</v>
      </c>
      <c r="R514" s="1" t="s">
        <v>1109</v>
      </c>
      <c r="S514" s="16" t="s">
        <v>222</v>
      </c>
      <c r="U514" s="1" t="s">
        <v>1110</v>
      </c>
      <c r="V514" s="17" t="s">
        <v>1111</v>
      </c>
      <c r="X514" s="17" t="s">
        <v>1112</v>
      </c>
      <c r="Y514" s="5" t="s">
        <v>1005</v>
      </c>
      <c r="Z514" s="21" t="s">
        <v>1113</v>
      </c>
      <c r="AA514" s="22" t="s">
        <v>1114</v>
      </c>
    </row>
    <row r="515" spans="1:27" s="1" customFormat="1" ht="49.5" x14ac:dyDescent="0.25">
      <c r="A515" s="13">
        <f t="shared" si="6"/>
        <v>632301</v>
      </c>
      <c r="B515" s="14">
        <v>6323</v>
      </c>
      <c r="C515" s="1" t="s">
        <v>286</v>
      </c>
      <c r="D515" s="12" t="s">
        <v>1482</v>
      </c>
      <c r="E515" s="3">
        <v>1</v>
      </c>
      <c r="F515" s="5" t="s">
        <v>712</v>
      </c>
      <c r="G515" s="3">
        <v>5</v>
      </c>
      <c r="K515" s="1">
        <v>6311</v>
      </c>
      <c r="L515" s="1">
        <v>5400</v>
      </c>
      <c r="M515" s="1">
        <v>6650</v>
      </c>
      <c r="N515" s="1" t="s">
        <v>1008</v>
      </c>
      <c r="O515" s="1">
        <v>100</v>
      </c>
      <c r="P515" s="1" t="s">
        <v>398</v>
      </c>
      <c r="Q515" s="1">
        <v>10</v>
      </c>
      <c r="R515" s="1">
        <v>20037</v>
      </c>
      <c r="S515" s="16">
        <v>1.4999999999999999E-2</v>
      </c>
      <c r="U515" s="1" t="s">
        <v>1482</v>
      </c>
      <c r="V515" s="17" t="s">
        <v>1483</v>
      </c>
      <c r="X515" s="17" t="s">
        <v>1484</v>
      </c>
      <c r="Y515" s="5" t="s">
        <v>1005</v>
      </c>
      <c r="Z515" s="21" t="s">
        <v>1450</v>
      </c>
      <c r="AA515" s="22" t="s">
        <v>1118</v>
      </c>
    </row>
    <row r="516" spans="1:27" s="1" customFormat="1" ht="49.5" x14ac:dyDescent="0.25">
      <c r="A516" s="13">
        <f t="shared" si="6"/>
        <v>633101</v>
      </c>
      <c r="B516" s="14">
        <v>6331</v>
      </c>
      <c r="C516" s="1" t="s">
        <v>286</v>
      </c>
      <c r="D516" s="12" t="s">
        <v>1479</v>
      </c>
      <c r="E516" s="3">
        <v>1</v>
      </c>
      <c r="F516" s="5" t="s">
        <v>712</v>
      </c>
      <c r="G516" s="3">
        <v>10</v>
      </c>
      <c r="K516" s="1">
        <v>6321</v>
      </c>
      <c r="L516" s="1">
        <v>7200</v>
      </c>
      <c r="M516" s="1">
        <v>6950</v>
      </c>
      <c r="N516" s="1" t="s">
        <v>1015</v>
      </c>
      <c r="O516" s="1">
        <v>100</v>
      </c>
      <c r="P516" s="1" t="s">
        <v>398</v>
      </c>
      <c r="Q516" s="1">
        <v>10</v>
      </c>
      <c r="R516" s="1">
        <v>20007</v>
      </c>
      <c r="S516" s="16">
        <v>1.4999999999999999E-2</v>
      </c>
      <c r="U516" s="1" t="s">
        <v>1479</v>
      </c>
      <c r="V516" s="17" t="s">
        <v>1480</v>
      </c>
      <c r="X516" s="17" t="s">
        <v>1481</v>
      </c>
      <c r="Y516" s="5" t="s">
        <v>1005</v>
      </c>
      <c r="Z516" s="21" t="s">
        <v>1443</v>
      </c>
      <c r="AA516" s="22" t="s">
        <v>1119</v>
      </c>
    </row>
    <row r="517" spans="1:27" s="1" customFormat="1" ht="49.5" x14ac:dyDescent="0.25">
      <c r="A517" s="13">
        <f t="shared" si="6"/>
        <v>633102</v>
      </c>
      <c r="B517" s="14">
        <v>6331</v>
      </c>
      <c r="C517" s="1" t="s">
        <v>286</v>
      </c>
      <c r="D517" s="12" t="s">
        <v>1479</v>
      </c>
      <c r="E517" s="3">
        <v>2</v>
      </c>
      <c r="F517" s="5" t="s">
        <v>712</v>
      </c>
      <c r="G517" s="3">
        <v>14</v>
      </c>
      <c r="K517" s="1">
        <v>6321</v>
      </c>
      <c r="L517" s="1">
        <v>7200</v>
      </c>
      <c r="M517" s="1">
        <v>6950</v>
      </c>
      <c r="N517" s="1" t="s">
        <v>1015</v>
      </c>
      <c r="O517" s="1">
        <v>100</v>
      </c>
      <c r="P517" s="1" t="s">
        <v>398</v>
      </c>
      <c r="Q517" s="1">
        <v>10</v>
      </c>
      <c r="R517" s="1">
        <v>20007</v>
      </c>
      <c r="S517" s="16">
        <v>1.4999999999999999E-2</v>
      </c>
      <c r="U517" s="1" t="s">
        <v>1479</v>
      </c>
      <c r="V517" s="17" t="s">
        <v>1480</v>
      </c>
      <c r="X517" s="17" t="s">
        <v>1481</v>
      </c>
      <c r="Y517" s="5" t="s">
        <v>1005</v>
      </c>
      <c r="Z517" s="21" t="s">
        <v>1443</v>
      </c>
      <c r="AA517" s="22" t="s">
        <v>1119</v>
      </c>
    </row>
    <row r="518" spans="1:27" s="1" customFormat="1" ht="49.5" x14ac:dyDescent="0.25">
      <c r="A518" s="13">
        <f t="shared" si="6"/>
        <v>633201</v>
      </c>
      <c r="B518" s="14">
        <v>6332</v>
      </c>
      <c r="C518" s="1" t="s">
        <v>286</v>
      </c>
      <c r="D518" s="12" t="s">
        <v>1120</v>
      </c>
      <c r="E518" s="3">
        <v>1</v>
      </c>
      <c r="F518" s="5" t="s">
        <v>712</v>
      </c>
      <c r="G518" s="3">
        <v>10</v>
      </c>
      <c r="K518" s="1" t="s">
        <v>1485</v>
      </c>
      <c r="L518" s="1">
        <v>7200</v>
      </c>
      <c r="M518" s="1">
        <v>6950</v>
      </c>
      <c r="N518" s="1" t="s">
        <v>1015</v>
      </c>
      <c r="O518" s="1">
        <v>100</v>
      </c>
      <c r="P518" s="1" t="s">
        <v>398</v>
      </c>
      <c r="Q518" s="1">
        <v>10</v>
      </c>
      <c r="R518" s="1">
        <v>30243</v>
      </c>
      <c r="S518" s="16">
        <v>1</v>
      </c>
      <c r="U518" s="1" t="s">
        <v>1110</v>
      </c>
      <c r="V518" s="17" t="s">
        <v>1122</v>
      </c>
      <c r="X518" s="17" t="s">
        <v>1123</v>
      </c>
      <c r="Y518" s="5" t="s">
        <v>1005</v>
      </c>
      <c r="Z518" s="21" t="s">
        <v>1124</v>
      </c>
      <c r="AA518" s="22" t="s">
        <v>1125</v>
      </c>
    </row>
    <row r="519" spans="1:27" s="1" customFormat="1" ht="49.5" x14ac:dyDescent="0.25">
      <c r="A519" s="13">
        <f t="shared" si="6"/>
        <v>633202</v>
      </c>
      <c r="B519" s="14">
        <v>6332</v>
      </c>
      <c r="C519" s="1" t="s">
        <v>286</v>
      </c>
      <c r="D519" s="12" t="s">
        <v>1120</v>
      </c>
      <c r="E519" s="3">
        <v>2</v>
      </c>
      <c r="F519" s="5" t="s">
        <v>712</v>
      </c>
      <c r="G519" s="3">
        <v>14</v>
      </c>
      <c r="K519" s="1" t="s">
        <v>1485</v>
      </c>
      <c r="L519" s="1">
        <v>7200</v>
      </c>
      <c r="M519" s="1">
        <v>6950</v>
      </c>
      <c r="N519" s="1" t="s">
        <v>1015</v>
      </c>
      <c r="O519" s="1">
        <v>100</v>
      </c>
      <c r="P519" s="1" t="s">
        <v>398</v>
      </c>
      <c r="Q519" s="1">
        <v>10</v>
      </c>
      <c r="R519" s="1">
        <v>30243</v>
      </c>
      <c r="S519" s="16">
        <v>1</v>
      </c>
      <c r="U519" s="1" t="s">
        <v>1110</v>
      </c>
      <c r="V519" s="17" t="s">
        <v>1122</v>
      </c>
      <c r="X519" s="17" t="s">
        <v>1123</v>
      </c>
      <c r="Y519" s="5" t="s">
        <v>1005</v>
      </c>
      <c r="Z519" s="21" t="s">
        <v>1124</v>
      </c>
      <c r="AA519" s="22" t="s">
        <v>1125</v>
      </c>
    </row>
    <row r="520" spans="1:27" s="1" customFormat="1" ht="49.5" x14ac:dyDescent="0.25">
      <c r="A520" s="13">
        <f t="shared" si="6"/>
        <v>633301</v>
      </c>
      <c r="B520" s="14">
        <v>6333</v>
      </c>
      <c r="C520" s="1" t="s">
        <v>286</v>
      </c>
      <c r="D520" s="12" t="s">
        <v>1126</v>
      </c>
      <c r="E520" s="3">
        <v>1</v>
      </c>
      <c r="F520" s="5" t="s">
        <v>712</v>
      </c>
      <c r="G520" s="3">
        <v>10</v>
      </c>
      <c r="K520" s="1">
        <v>6322</v>
      </c>
      <c r="L520" s="1">
        <v>7200</v>
      </c>
      <c r="M520" s="1">
        <v>6950</v>
      </c>
      <c r="N520" s="1" t="s">
        <v>1015</v>
      </c>
      <c r="O520" s="1">
        <v>100</v>
      </c>
      <c r="P520" s="1" t="s">
        <v>398</v>
      </c>
      <c r="Q520" s="1">
        <v>10</v>
      </c>
      <c r="R520" s="1">
        <v>30223</v>
      </c>
      <c r="S520" s="16">
        <v>1</v>
      </c>
      <c r="U520" s="1" t="s">
        <v>1110</v>
      </c>
      <c r="V520" s="17" t="s">
        <v>1127</v>
      </c>
      <c r="X520" s="17" t="s">
        <v>1128</v>
      </c>
      <c r="Y520" s="5" t="s">
        <v>1005</v>
      </c>
      <c r="Z520" s="21" t="s">
        <v>1129</v>
      </c>
      <c r="AA520" s="22" t="s">
        <v>1130</v>
      </c>
    </row>
    <row r="521" spans="1:27" s="1" customFormat="1" ht="49.5" x14ac:dyDescent="0.25">
      <c r="A521" s="13">
        <f t="shared" si="6"/>
        <v>633302</v>
      </c>
      <c r="B521" s="14">
        <v>6333</v>
      </c>
      <c r="C521" s="1" t="s">
        <v>286</v>
      </c>
      <c r="D521" s="12" t="s">
        <v>1126</v>
      </c>
      <c r="E521" s="3">
        <v>2</v>
      </c>
      <c r="F521" s="5" t="s">
        <v>712</v>
      </c>
      <c r="G521" s="3">
        <v>14</v>
      </c>
      <c r="K521" s="1">
        <v>6322</v>
      </c>
      <c r="L521" s="1">
        <v>7200</v>
      </c>
      <c r="M521" s="1">
        <v>6950</v>
      </c>
      <c r="N521" s="1" t="s">
        <v>1015</v>
      </c>
      <c r="O521" s="1">
        <v>100</v>
      </c>
      <c r="P521" s="1" t="s">
        <v>398</v>
      </c>
      <c r="Q521" s="1">
        <v>10</v>
      </c>
      <c r="R521" s="1">
        <v>30223</v>
      </c>
      <c r="S521" s="16">
        <v>1</v>
      </c>
      <c r="U521" s="1" t="s">
        <v>1110</v>
      </c>
      <c r="V521" s="17" t="s">
        <v>1127</v>
      </c>
      <c r="X521" s="17" t="s">
        <v>1128</v>
      </c>
      <c r="Y521" s="5" t="s">
        <v>1005</v>
      </c>
      <c r="Z521" s="21" t="s">
        <v>1129</v>
      </c>
      <c r="AA521" s="22" t="s">
        <v>1130</v>
      </c>
    </row>
    <row r="522" spans="1:27" s="1" customFormat="1" ht="49.5" x14ac:dyDescent="0.25">
      <c r="A522" s="13">
        <f t="shared" ref="A522:A585" si="7">B522*100+E522</f>
        <v>633401</v>
      </c>
      <c r="B522" s="14">
        <v>6334</v>
      </c>
      <c r="C522" s="1" t="s">
        <v>286</v>
      </c>
      <c r="D522" s="12" t="s">
        <v>1131</v>
      </c>
      <c r="E522" s="3">
        <v>1</v>
      </c>
      <c r="F522" s="5" t="s">
        <v>712</v>
      </c>
      <c r="G522" s="3">
        <v>10</v>
      </c>
      <c r="K522" s="1" t="s">
        <v>1486</v>
      </c>
      <c r="L522" s="1">
        <v>7200</v>
      </c>
      <c r="M522" s="1">
        <v>6950</v>
      </c>
      <c r="N522" s="1" t="s">
        <v>1015</v>
      </c>
      <c r="O522" s="1">
        <v>100</v>
      </c>
      <c r="P522" s="1" t="s">
        <v>398</v>
      </c>
      <c r="Q522" s="1">
        <v>10</v>
      </c>
      <c r="R522" s="1">
        <v>30233</v>
      </c>
      <c r="S522" s="16">
        <v>1</v>
      </c>
      <c r="U522" s="1" t="s">
        <v>1110</v>
      </c>
      <c r="V522" s="17" t="s">
        <v>1133</v>
      </c>
      <c r="X522" s="17" t="s">
        <v>1134</v>
      </c>
      <c r="Y522" s="5" t="s">
        <v>1005</v>
      </c>
      <c r="Z522" s="21" t="s">
        <v>1135</v>
      </c>
      <c r="AA522" s="22" t="s">
        <v>1136</v>
      </c>
    </row>
    <row r="523" spans="1:27" s="1" customFormat="1" ht="49.5" x14ac:dyDescent="0.25">
      <c r="A523" s="13">
        <f t="shared" si="7"/>
        <v>633402</v>
      </c>
      <c r="B523" s="14">
        <v>6334</v>
      </c>
      <c r="C523" s="1" t="s">
        <v>286</v>
      </c>
      <c r="D523" s="12" t="s">
        <v>1131</v>
      </c>
      <c r="E523" s="3">
        <v>2</v>
      </c>
      <c r="F523" s="5" t="s">
        <v>712</v>
      </c>
      <c r="G523" s="3">
        <v>14</v>
      </c>
      <c r="K523" s="1" t="s">
        <v>1486</v>
      </c>
      <c r="L523" s="1">
        <v>7200</v>
      </c>
      <c r="M523" s="1">
        <v>6950</v>
      </c>
      <c r="N523" s="1" t="s">
        <v>1015</v>
      </c>
      <c r="O523" s="1">
        <v>100</v>
      </c>
      <c r="P523" s="1" t="s">
        <v>398</v>
      </c>
      <c r="Q523" s="1">
        <v>10</v>
      </c>
      <c r="R523" s="1">
        <v>30233</v>
      </c>
      <c r="S523" s="16">
        <v>1</v>
      </c>
      <c r="U523" s="1" t="s">
        <v>1110</v>
      </c>
      <c r="V523" s="17" t="s">
        <v>1133</v>
      </c>
      <c r="X523" s="17" t="s">
        <v>1134</v>
      </c>
      <c r="Y523" s="5" t="s">
        <v>1005</v>
      </c>
      <c r="Z523" s="21" t="s">
        <v>1135</v>
      </c>
      <c r="AA523" s="22" t="s">
        <v>1136</v>
      </c>
    </row>
    <row r="524" spans="1:27" s="1" customFormat="1" ht="49.5" x14ac:dyDescent="0.25">
      <c r="A524" s="13">
        <f t="shared" si="7"/>
        <v>633501</v>
      </c>
      <c r="B524" s="14">
        <v>6335</v>
      </c>
      <c r="C524" s="1" t="s">
        <v>286</v>
      </c>
      <c r="D524" s="12" t="s">
        <v>1482</v>
      </c>
      <c r="E524" s="3">
        <v>1</v>
      </c>
      <c r="F524" s="5" t="s">
        <v>712</v>
      </c>
      <c r="G524" s="3">
        <v>10</v>
      </c>
      <c r="K524" s="1">
        <v>6323</v>
      </c>
      <c r="L524" s="1">
        <v>7200</v>
      </c>
      <c r="M524" s="1">
        <v>6950</v>
      </c>
      <c r="N524" s="1" t="s">
        <v>1015</v>
      </c>
      <c r="O524" s="1">
        <v>100</v>
      </c>
      <c r="P524" s="1" t="s">
        <v>398</v>
      </c>
      <c r="Q524" s="1">
        <v>10</v>
      </c>
      <c r="R524" s="1">
        <v>20037</v>
      </c>
      <c r="S524" s="16">
        <v>1.4999999999999999E-2</v>
      </c>
      <c r="U524" s="1" t="s">
        <v>1482</v>
      </c>
      <c r="V524" s="17" t="s">
        <v>1483</v>
      </c>
      <c r="X524" s="17" t="s">
        <v>1484</v>
      </c>
      <c r="Y524" s="5" t="s">
        <v>1005</v>
      </c>
      <c r="Z524" s="21" t="s">
        <v>1450</v>
      </c>
      <c r="AA524" s="22" t="s">
        <v>1137</v>
      </c>
    </row>
    <row r="525" spans="1:27" s="1" customFormat="1" ht="49.5" x14ac:dyDescent="0.25">
      <c r="A525" s="13">
        <f t="shared" si="7"/>
        <v>633502</v>
      </c>
      <c r="B525" s="14">
        <v>6335</v>
      </c>
      <c r="C525" s="1" t="s">
        <v>286</v>
      </c>
      <c r="D525" s="12" t="s">
        <v>1482</v>
      </c>
      <c r="E525" s="3">
        <v>2</v>
      </c>
      <c r="F525" s="5" t="s">
        <v>712</v>
      </c>
      <c r="G525" s="3">
        <v>14</v>
      </c>
      <c r="K525" s="1">
        <v>6323</v>
      </c>
      <c r="L525" s="1">
        <v>7200</v>
      </c>
      <c r="M525" s="1">
        <v>6950</v>
      </c>
      <c r="N525" s="1" t="s">
        <v>1015</v>
      </c>
      <c r="O525" s="1">
        <v>100</v>
      </c>
      <c r="P525" s="1" t="s">
        <v>398</v>
      </c>
      <c r="Q525" s="1">
        <v>10</v>
      </c>
      <c r="R525" s="1">
        <v>20037</v>
      </c>
      <c r="S525" s="16">
        <v>1.4999999999999999E-2</v>
      </c>
      <c r="U525" s="1" t="s">
        <v>1482</v>
      </c>
      <c r="V525" s="17" t="s">
        <v>1483</v>
      </c>
      <c r="X525" s="17" t="s">
        <v>1484</v>
      </c>
      <c r="Y525" s="5" t="s">
        <v>1005</v>
      </c>
      <c r="Z525" s="21" t="s">
        <v>1450</v>
      </c>
      <c r="AA525" s="22" t="s">
        <v>1137</v>
      </c>
    </row>
    <row r="526" spans="1:27" s="1" customFormat="1" ht="49.5" x14ac:dyDescent="0.25">
      <c r="A526" s="13">
        <f t="shared" si="7"/>
        <v>634101</v>
      </c>
      <c r="B526" s="14">
        <v>6341</v>
      </c>
      <c r="C526" s="1" t="s">
        <v>286</v>
      </c>
      <c r="D526" s="12" t="s">
        <v>1479</v>
      </c>
      <c r="E526" s="3">
        <v>1</v>
      </c>
      <c r="F526" s="5" t="s">
        <v>712</v>
      </c>
      <c r="G526" s="3">
        <v>15</v>
      </c>
      <c r="K526" s="1">
        <v>6331</v>
      </c>
      <c r="L526" s="1">
        <v>9000</v>
      </c>
      <c r="M526" s="1">
        <v>7250</v>
      </c>
      <c r="N526" s="1" t="s">
        <v>1032</v>
      </c>
      <c r="O526" s="1">
        <v>100</v>
      </c>
      <c r="P526" s="1" t="s">
        <v>398</v>
      </c>
      <c r="Q526" s="1">
        <v>10</v>
      </c>
      <c r="R526" s="1">
        <v>20007</v>
      </c>
      <c r="S526" s="16">
        <v>1.4999999999999999E-2</v>
      </c>
      <c r="U526" s="1" t="s">
        <v>1479</v>
      </c>
      <c r="V526" s="17" t="s">
        <v>1480</v>
      </c>
      <c r="X526" s="17" t="s">
        <v>1481</v>
      </c>
      <c r="Y526" s="5" t="s">
        <v>1005</v>
      </c>
      <c r="Z526" s="21" t="s">
        <v>1443</v>
      </c>
      <c r="AA526" s="22" t="s">
        <v>1138</v>
      </c>
    </row>
    <row r="527" spans="1:27" s="1" customFormat="1" ht="49.5" x14ac:dyDescent="0.25">
      <c r="A527" s="13">
        <f t="shared" si="7"/>
        <v>634102</v>
      </c>
      <c r="B527" s="14">
        <v>6341</v>
      </c>
      <c r="C527" s="1" t="s">
        <v>286</v>
      </c>
      <c r="D527" s="12" t="s">
        <v>1479</v>
      </c>
      <c r="E527" s="3">
        <v>2</v>
      </c>
      <c r="F527" s="5" t="s">
        <v>712</v>
      </c>
      <c r="G527" s="3">
        <v>17</v>
      </c>
      <c r="K527" s="1">
        <v>6331</v>
      </c>
      <c r="L527" s="1">
        <v>9000</v>
      </c>
      <c r="M527" s="1">
        <v>7250</v>
      </c>
      <c r="N527" s="1" t="s">
        <v>1032</v>
      </c>
      <c r="O527" s="1">
        <v>100</v>
      </c>
      <c r="P527" s="1" t="s">
        <v>398</v>
      </c>
      <c r="Q527" s="1">
        <v>10</v>
      </c>
      <c r="R527" s="1">
        <v>20007</v>
      </c>
      <c r="S527" s="16">
        <v>1.4999999999999999E-2</v>
      </c>
      <c r="U527" s="1" t="s">
        <v>1479</v>
      </c>
      <c r="V527" s="17" t="s">
        <v>1480</v>
      </c>
      <c r="X527" s="17" t="s">
        <v>1481</v>
      </c>
      <c r="Y527" s="5" t="s">
        <v>1005</v>
      </c>
      <c r="Z527" s="21" t="s">
        <v>1443</v>
      </c>
      <c r="AA527" s="22" t="s">
        <v>1138</v>
      </c>
    </row>
    <row r="528" spans="1:27" s="1" customFormat="1" ht="49.5" x14ac:dyDescent="0.25">
      <c r="A528" s="13">
        <f t="shared" si="7"/>
        <v>634201</v>
      </c>
      <c r="B528" s="14">
        <v>6342</v>
      </c>
      <c r="C528" s="1" t="s">
        <v>286</v>
      </c>
      <c r="D528" s="12" t="s">
        <v>1487</v>
      </c>
      <c r="E528" s="3">
        <v>1</v>
      </c>
      <c r="F528" s="5" t="s">
        <v>712</v>
      </c>
      <c r="G528" s="3">
        <v>15</v>
      </c>
      <c r="K528" s="1">
        <v>6331</v>
      </c>
      <c r="L528" s="1">
        <v>9000</v>
      </c>
      <c r="M528" s="1">
        <v>7250</v>
      </c>
      <c r="N528" s="1" t="s">
        <v>1032</v>
      </c>
      <c r="O528" s="1">
        <v>100</v>
      </c>
      <c r="P528" s="1" t="s">
        <v>398</v>
      </c>
      <c r="Q528" s="1">
        <v>10</v>
      </c>
      <c r="R528" s="1">
        <v>20067</v>
      </c>
      <c r="S528" s="16">
        <v>7.4999999999999997E-3</v>
      </c>
      <c r="U528" s="1" t="s">
        <v>1487</v>
      </c>
      <c r="V528" s="17" t="s">
        <v>1488</v>
      </c>
      <c r="X528" s="17" t="s">
        <v>1489</v>
      </c>
      <c r="Y528" s="5" t="s">
        <v>1005</v>
      </c>
      <c r="Z528" s="21" t="s">
        <v>1439</v>
      </c>
      <c r="AA528" s="22" t="s">
        <v>1142</v>
      </c>
    </row>
    <row r="529" spans="1:29" s="1" customFormat="1" ht="49.5" x14ac:dyDescent="0.25">
      <c r="A529" s="13">
        <f t="shared" si="7"/>
        <v>634202</v>
      </c>
      <c r="B529" s="14">
        <v>6342</v>
      </c>
      <c r="C529" s="1" t="s">
        <v>286</v>
      </c>
      <c r="D529" s="12" t="s">
        <v>1487</v>
      </c>
      <c r="E529" s="3">
        <v>2</v>
      </c>
      <c r="F529" s="5" t="s">
        <v>712</v>
      </c>
      <c r="G529" s="3">
        <v>17</v>
      </c>
      <c r="K529" s="1">
        <v>6331</v>
      </c>
      <c r="L529" s="1">
        <v>9000</v>
      </c>
      <c r="M529" s="1">
        <v>7250</v>
      </c>
      <c r="N529" s="1" t="s">
        <v>1032</v>
      </c>
      <c r="O529" s="1">
        <v>100</v>
      </c>
      <c r="P529" s="1" t="s">
        <v>398</v>
      </c>
      <c r="Q529" s="1">
        <v>10</v>
      </c>
      <c r="R529" s="1">
        <v>20067</v>
      </c>
      <c r="S529" s="16">
        <v>7.4999999999999997E-3</v>
      </c>
      <c r="U529" s="1" t="s">
        <v>1487</v>
      </c>
      <c r="V529" s="17" t="s">
        <v>1488</v>
      </c>
      <c r="X529" s="17" t="s">
        <v>1489</v>
      </c>
      <c r="Y529" s="5" t="s">
        <v>1005</v>
      </c>
      <c r="Z529" s="21" t="s">
        <v>1439</v>
      </c>
      <c r="AA529" s="22" t="s">
        <v>1142</v>
      </c>
    </row>
    <row r="530" spans="1:29" s="1" customFormat="1" ht="49.5" x14ac:dyDescent="0.25">
      <c r="A530" s="13">
        <f t="shared" si="7"/>
        <v>634301</v>
      </c>
      <c r="B530" s="14">
        <v>6343</v>
      </c>
      <c r="C530" s="1" t="s">
        <v>286</v>
      </c>
      <c r="D530" s="12" t="s">
        <v>1143</v>
      </c>
      <c r="E530" s="3">
        <v>1</v>
      </c>
      <c r="F530" s="5" t="s">
        <v>712</v>
      </c>
      <c r="G530" s="3">
        <v>18</v>
      </c>
      <c r="K530" s="1" t="s">
        <v>1490</v>
      </c>
      <c r="L530" s="1">
        <v>9000</v>
      </c>
      <c r="M530" s="1">
        <v>7600</v>
      </c>
      <c r="N530" s="1" t="s">
        <v>1033</v>
      </c>
      <c r="O530" s="1">
        <v>100</v>
      </c>
      <c r="P530" s="1" t="s">
        <v>398</v>
      </c>
      <c r="Q530" s="1">
        <v>10</v>
      </c>
      <c r="R530" s="1" t="s">
        <v>1145</v>
      </c>
      <c r="S530" s="16" t="s">
        <v>1146</v>
      </c>
      <c r="U530" s="1" t="s">
        <v>1110</v>
      </c>
      <c r="V530" s="17" t="s">
        <v>1147</v>
      </c>
      <c r="X530" s="17" t="s">
        <v>1148</v>
      </c>
      <c r="Y530" s="5" t="s">
        <v>1005</v>
      </c>
      <c r="Z530" s="21" t="s">
        <v>1129</v>
      </c>
      <c r="AA530" s="22" t="s">
        <v>1149</v>
      </c>
    </row>
    <row r="531" spans="1:29" s="1" customFormat="1" ht="49.5" x14ac:dyDescent="0.25">
      <c r="A531" s="13">
        <f t="shared" si="7"/>
        <v>634401</v>
      </c>
      <c r="B531" s="14">
        <v>6344</v>
      </c>
      <c r="C531" s="1" t="s">
        <v>286</v>
      </c>
      <c r="D531" s="12" t="s">
        <v>1108</v>
      </c>
      <c r="E531" s="3">
        <v>1</v>
      </c>
      <c r="F531" s="5" t="s">
        <v>712</v>
      </c>
      <c r="G531" s="3">
        <v>20</v>
      </c>
      <c r="K531" s="1" t="s">
        <v>1491</v>
      </c>
      <c r="L531" s="1">
        <v>10800</v>
      </c>
      <c r="M531" s="1">
        <v>7900</v>
      </c>
      <c r="N531" s="1" t="s">
        <v>397</v>
      </c>
      <c r="O531" s="1">
        <v>100</v>
      </c>
      <c r="P531" s="1" t="s">
        <v>398</v>
      </c>
      <c r="Q531" s="1">
        <v>10</v>
      </c>
      <c r="R531" s="1" t="s">
        <v>1109</v>
      </c>
      <c r="S531" s="16" t="s">
        <v>222</v>
      </c>
      <c r="U531" s="1" t="s">
        <v>1110</v>
      </c>
      <c r="V531" s="17" t="s">
        <v>1111</v>
      </c>
      <c r="X531" s="17" t="s">
        <v>1112</v>
      </c>
      <c r="Y531" s="5" t="s">
        <v>1005</v>
      </c>
      <c r="Z531" s="21" t="s">
        <v>1113</v>
      </c>
      <c r="AA531" s="22" t="s">
        <v>1151</v>
      </c>
    </row>
    <row r="532" spans="1:29" s="1" customFormat="1" ht="49.5" x14ac:dyDescent="0.25">
      <c r="A532" s="13">
        <f t="shared" si="7"/>
        <v>634501</v>
      </c>
      <c r="B532" s="14">
        <v>6345</v>
      </c>
      <c r="C532" s="1" t="s">
        <v>286</v>
      </c>
      <c r="D532" s="12" t="s">
        <v>1152</v>
      </c>
      <c r="E532" s="3">
        <v>1</v>
      </c>
      <c r="F532" s="5" t="s">
        <v>712</v>
      </c>
      <c r="G532" s="3">
        <v>18</v>
      </c>
      <c r="K532" s="1" t="s">
        <v>1492</v>
      </c>
      <c r="L532" s="1">
        <v>9000</v>
      </c>
      <c r="M532" s="1">
        <v>7600</v>
      </c>
      <c r="N532" s="1" t="s">
        <v>1033</v>
      </c>
      <c r="O532" s="1">
        <v>100</v>
      </c>
      <c r="P532" s="1" t="s">
        <v>398</v>
      </c>
      <c r="Q532" s="1">
        <v>10</v>
      </c>
      <c r="R532" s="1" t="s">
        <v>1154</v>
      </c>
      <c r="S532" s="16" t="s">
        <v>1146</v>
      </c>
      <c r="U532" s="1" t="s">
        <v>1110</v>
      </c>
      <c r="V532" s="17" t="s">
        <v>1155</v>
      </c>
      <c r="X532" s="17" t="s">
        <v>1156</v>
      </c>
      <c r="Y532" s="5" t="s">
        <v>1005</v>
      </c>
      <c r="Z532" s="21" t="s">
        <v>1129</v>
      </c>
      <c r="AA532" s="22" t="s">
        <v>1157</v>
      </c>
    </row>
    <row r="533" spans="1:29" s="1" customFormat="1" ht="49.5" x14ac:dyDescent="0.25">
      <c r="A533" s="13">
        <f t="shared" si="7"/>
        <v>634601</v>
      </c>
      <c r="B533" s="14">
        <v>6346</v>
      </c>
      <c r="C533" s="1" t="s">
        <v>286</v>
      </c>
      <c r="D533" s="12" t="s">
        <v>1487</v>
      </c>
      <c r="E533" s="3">
        <v>1</v>
      </c>
      <c r="F533" s="5" t="s">
        <v>712</v>
      </c>
      <c r="G533" s="3">
        <v>15</v>
      </c>
      <c r="K533" s="1">
        <v>6335</v>
      </c>
      <c r="L533" s="1">
        <v>9000</v>
      </c>
      <c r="M533" s="1">
        <v>7250</v>
      </c>
      <c r="N533" s="1" t="s">
        <v>1032</v>
      </c>
      <c r="O533" s="1">
        <v>100</v>
      </c>
      <c r="P533" s="1" t="s">
        <v>398</v>
      </c>
      <c r="Q533" s="1">
        <v>10</v>
      </c>
      <c r="R533" s="1">
        <v>20067</v>
      </c>
      <c r="S533" s="16">
        <v>7.4999999999999997E-3</v>
      </c>
      <c r="U533" s="1" t="s">
        <v>1487</v>
      </c>
      <c r="V533" s="17" t="s">
        <v>1488</v>
      </c>
      <c r="X533" s="17" t="s">
        <v>1489</v>
      </c>
      <c r="Y533" s="5" t="s">
        <v>1005</v>
      </c>
      <c r="Z533" s="21" t="s">
        <v>1439</v>
      </c>
      <c r="AA533" s="22" t="s">
        <v>1158</v>
      </c>
    </row>
    <row r="534" spans="1:29" s="1" customFormat="1" ht="49.5" x14ac:dyDescent="0.25">
      <c r="A534" s="13">
        <f t="shared" si="7"/>
        <v>634602</v>
      </c>
      <c r="B534" s="14">
        <v>6346</v>
      </c>
      <c r="C534" s="1" t="s">
        <v>286</v>
      </c>
      <c r="D534" s="12" t="s">
        <v>1487</v>
      </c>
      <c r="E534" s="3">
        <v>2</v>
      </c>
      <c r="F534" s="5" t="s">
        <v>712</v>
      </c>
      <c r="G534" s="3">
        <v>17</v>
      </c>
      <c r="K534" s="1">
        <v>6335</v>
      </c>
      <c r="L534" s="1">
        <v>9000</v>
      </c>
      <c r="M534" s="1">
        <v>7250</v>
      </c>
      <c r="N534" s="1" t="s">
        <v>1032</v>
      </c>
      <c r="O534" s="1">
        <v>100</v>
      </c>
      <c r="P534" s="1" t="s">
        <v>398</v>
      </c>
      <c r="Q534" s="1">
        <v>10</v>
      </c>
      <c r="R534" s="1">
        <v>20067</v>
      </c>
      <c r="S534" s="16">
        <v>7.4999999999999997E-3</v>
      </c>
      <c r="U534" s="1" t="s">
        <v>1487</v>
      </c>
      <c r="V534" s="17" t="s">
        <v>1488</v>
      </c>
      <c r="X534" s="17" t="s">
        <v>1489</v>
      </c>
      <c r="Y534" s="5" t="s">
        <v>1005</v>
      </c>
      <c r="Z534" s="21" t="s">
        <v>1439</v>
      </c>
      <c r="AA534" s="22" t="s">
        <v>1158</v>
      </c>
    </row>
    <row r="535" spans="1:29" s="1" customFormat="1" ht="49.5" x14ac:dyDescent="0.25">
      <c r="A535" s="13">
        <f t="shared" si="7"/>
        <v>634701</v>
      </c>
      <c r="B535" s="14">
        <v>6347</v>
      </c>
      <c r="C535" s="1" t="s">
        <v>286</v>
      </c>
      <c r="D535" s="12" t="s">
        <v>1482</v>
      </c>
      <c r="E535" s="3">
        <v>1</v>
      </c>
      <c r="F535" s="5" t="s">
        <v>712</v>
      </c>
      <c r="G535" s="3">
        <v>15</v>
      </c>
      <c r="K535" s="1">
        <v>6335</v>
      </c>
      <c r="L535" s="1">
        <v>9000</v>
      </c>
      <c r="M535" s="1">
        <v>7250</v>
      </c>
      <c r="N535" s="1" t="s">
        <v>1032</v>
      </c>
      <c r="O535" s="1">
        <v>100</v>
      </c>
      <c r="P535" s="1" t="s">
        <v>398</v>
      </c>
      <c r="Q535" s="1">
        <v>10</v>
      </c>
      <c r="R535" s="1">
        <v>20037</v>
      </c>
      <c r="S535" s="16">
        <v>1.4999999999999999E-2</v>
      </c>
      <c r="U535" s="1" t="s">
        <v>1482</v>
      </c>
      <c r="V535" s="17" t="s">
        <v>1483</v>
      </c>
      <c r="X535" s="17" t="s">
        <v>1484</v>
      </c>
      <c r="Y535" s="5" t="s">
        <v>1005</v>
      </c>
      <c r="Z535" s="21" t="s">
        <v>1450</v>
      </c>
      <c r="AA535" s="22" t="s">
        <v>1159</v>
      </c>
    </row>
    <row r="536" spans="1:29" s="1" customFormat="1" ht="49.5" x14ac:dyDescent="0.25">
      <c r="A536" s="13">
        <f t="shared" si="7"/>
        <v>634702</v>
      </c>
      <c r="B536" s="14">
        <v>6347</v>
      </c>
      <c r="C536" s="1" t="s">
        <v>286</v>
      </c>
      <c r="D536" s="12" t="s">
        <v>1482</v>
      </c>
      <c r="E536" s="3">
        <v>2</v>
      </c>
      <c r="F536" s="5" t="s">
        <v>712</v>
      </c>
      <c r="G536" s="3">
        <v>15</v>
      </c>
      <c r="K536" s="1">
        <v>6335</v>
      </c>
      <c r="L536" s="1">
        <v>9000</v>
      </c>
      <c r="M536" s="1">
        <v>7250</v>
      </c>
      <c r="N536" s="1" t="s">
        <v>1032</v>
      </c>
      <c r="O536" s="1">
        <v>100</v>
      </c>
      <c r="P536" s="1" t="s">
        <v>398</v>
      </c>
      <c r="Q536" s="1">
        <v>10</v>
      </c>
      <c r="R536" s="1">
        <v>20037</v>
      </c>
      <c r="S536" s="16">
        <v>1.4999999999999999E-2</v>
      </c>
      <c r="U536" s="1" t="s">
        <v>1482</v>
      </c>
      <c r="V536" s="17" t="s">
        <v>1483</v>
      </c>
      <c r="X536" s="17" t="s">
        <v>1484</v>
      </c>
      <c r="Y536" s="5" t="s">
        <v>1005</v>
      </c>
      <c r="Z536" s="21" t="s">
        <v>1450</v>
      </c>
      <c r="AA536" s="22" t="s">
        <v>1159</v>
      </c>
    </row>
    <row r="537" spans="1:29" s="1" customFormat="1" ht="49.5" x14ac:dyDescent="0.25">
      <c r="A537" s="13">
        <f t="shared" si="7"/>
        <v>711101</v>
      </c>
      <c r="B537" s="14">
        <v>7111</v>
      </c>
      <c r="C537" s="1" t="s">
        <v>188</v>
      </c>
      <c r="D537" s="12" t="s">
        <v>1169</v>
      </c>
      <c r="E537" s="3">
        <v>1</v>
      </c>
      <c r="F537" s="5" t="s">
        <v>396</v>
      </c>
      <c r="G537" s="3">
        <v>1</v>
      </c>
      <c r="H537" s="1">
        <v>7</v>
      </c>
      <c r="I537" s="1">
        <v>1</v>
      </c>
      <c r="L537" s="1">
        <v>3600</v>
      </c>
      <c r="M537" s="1">
        <v>2500</v>
      </c>
      <c r="N537" s="1" t="s">
        <v>999</v>
      </c>
      <c r="O537" s="1">
        <v>100</v>
      </c>
      <c r="P537" s="1" t="s">
        <v>398</v>
      </c>
      <c r="Q537" s="1">
        <v>10</v>
      </c>
      <c r="R537" s="1" t="s">
        <v>1395</v>
      </c>
      <c r="S537" s="16" t="s">
        <v>1001</v>
      </c>
      <c r="U537" s="1" t="s">
        <v>1396</v>
      </c>
      <c r="V537" s="17" t="s">
        <v>1397</v>
      </c>
      <c r="W537" s="5"/>
      <c r="X537" s="1" t="s">
        <v>1398</v>
      </c>
      <c r="Y537" s="5" t="s">
        <v>1005</v>
      </c>
      <c r="Z537" s="21" t="s">
        <v>1399</v>
      </c>
      <c r="AA537" s="22" t="s">
        <v>407</v>
      </c>
      <c r="AC537" s="22"/>
    </row>
    <row r="538" spans="1:29" s="1" customFormat="1" ht="49.5" x14ac:dyDescent="0.25">
      <c r="A538" s="13">
        <f t="shared" si="7"/>
        <v>711102</v>
      </c>
      <c r="B538" s="14">
        <v>7111</v>
      </c>
      <c r="C538" s="1" t="s">
        <v>188</v>
      </c>
      <c r="D538" s="12" t="s">
        <v>1169</v>
      </c>
      <c r="E538" s="3">
        <v>2</v>
      </c>
      <c r="F538" s="5" t="s">
        <v>396</v>
      </c>
      <c r="G538" s="3">
        <v>1</v>
      </c>
      <c r="H538" s="1">
        <v>7</v>
      </c>
      <c r="I538" s="1">
        <v>1</v>
      </c>
      <c r="L538" s="1">
        <v>3600</v>
      </c>
      <c r="M538" s="1">
        <v>2500</v>
      </c>
      <c r="N538" s="1" t="s">
        <v>999</v>
      </c>
      <c r="O538" s="1">
        <v>100</v>
      </c>
      <c r="P538" s="1" t="s">
        <v>398</v>
      </c>
      <c r="Q538" s="1">
        <v>10</v>
      </c>
      <c r="R538" s="1" t="s">
        <v>1395</v>
      </c>
      <c r="S538" s="16" t="s">
        <v>1001</v>
      </c>
      <c r="U538" s="1" t="s">
        <v>1396</v>
      </c>
      <c r="V538" s="17" t="s">
        <v>1397</v>
      </c>
      <c r="W538" s="5"/>
      <c r="X538" s="1" t="s">
        <v>1398</v>
      </c>
      <c r="Y538" s="5" t="s">
        <v>1005</v>
      </c>
      <c r="Z538" s="21" t="s">
        <v>1399</v>
      </c>
      <c r="AA538" s="22" t="s">
        <v>407</v>
      </c>
      <c r="AC538" s="22"/>
    </row>
    <row r="539" spans="1:29" s="1" customFormat="1" ht="49.5" x14ac:dyDescent="0.25">
      <c r="A539" s="13">
        <f t="shared" si="7"/>
        <v>711103</v>
      </c>
      <c r="B539" s="14">
        <v>7111</v>
      </c>
      <c r="C539" s="1" t="s">
        <v>188</v>
      </c>
      <c r="D539" s="12" t="s">
        <v>1169</v>
      </c>
      <c r="E539" s="3">
        <v>3</v>
      </c>
      <c r="F539" s="5" t="s">
        <v>396</v>
      </c>
      <c r="G539" s="3">
        <v>1</v>
      </c>
      <c r="H539" s="1">
        <v>7</v>
      </c>
      <c r="I539" s="1">
        <v>1</v>
      </c>
      <c r="L539" s="1">
        <v>3600</v>
      </c>
      <c r="M539" s="1">
        <v>2500</v>
      </c>
      <c r="N539" s="1" t="s">
        <v>999</v>
      </c>
      <c r="O539" s="1">
        <v>100</v>
      </c>
      <c r="P539" s="1" t="s">
        <v>398</v>
      </c>
      <c r="Q539" s="1">
        <v>10</v>
      </c>
      <c r="R539" s="1" t="s">
        <v>1395</v>
      </c>
      <c r="S539" s="16" t="s">
        <v>1001</v>
      </c>
      <c r="U539" s="1" t="s">
        <v>1396</v>
      </c>
      <c r="V539" s="17" t="s">
        <v>1397</v>
      </c>
      <c r="W539" s="5"/>
      <c r="X539" s="1" t="s">
        <v>1398</v>
      </c>
      <c r="Y539" s="5" t="s">
        <v>1005</v>
      </c>
      <c r="Z539" s="21" t="s">
        <v>1399</v>
      </c>
      <c r="AA539" s="22" t="s">
        <v>407</v>
      </c>
      <c r="AC539" s="22"/>
    </row>
    <row r="540" spans="1:29" s="1" customFormat="1" ht="49.5" x14ac:dyDescent="0.25">
      <c r="A540" s="13">
        <f t="shared" si="7"/>
        <v>711104</v>
      </c>
      <c r="B540" s="14">
        <v>7111</v>
      </c>
      <c r="C540" s="1" t="s">
        <v>188</v>
      </c>
      <c r="D540" s="12" t="s">
        <v>1169</v>
      </c>
      <c r="E540" s="3">
        <v>4</v>
      </c>
      <c r="F540" s="5" t="s">
        <v>396</v>
      </c>
      <c r="G540" s="3">
        <v>2</v>
      </c>
      <c r="H540" s="1">
        <v>7</v>
      </c>
      <c r="I540" s="1">
        <v>1</v>
      </c>
      <c r="L540" s="1">
        <v>3600</v>
      </c>
      <c r="M540" s="1">
        <v>2500</v>
      </c>
      <c r="N540" s="1" t="s">
        <v>999</v>
      </c>
      <c r="O540" s="1">
        <v>100</v>
      </c>
      <c r="P540" s="1" t="s">
        <v>398</v>
      </c>
      <c r="Q540" s="1">
        <v>10</v>
      </c>
      <c r="R540" s="1" t="s">
        <v>1395</v>
      </c>
      <c r="S540" s="16" t="s">
        <v>1001</v>
      </c>
      <c r="U540" s="1" t="s">
        <v>1396</v>
      </c>
      <c r="V540" s="17" t="s">
        <v>1397</v>
      </c>
      <c r="W540" s="5"/>
      <c r="X540" s="1" t="s">
        <v>1398</v>
      </c>
      <c r="Y540" s="5" t="s">
        <v>1005</v>
      </c>
      <c r="Z540" s="21" t="s">
        <v>1399</v>
      </c>
      <c r="AA540" s="22" t="s">
        <v>407</v>
      </c>
      <c r="AC540" s="22"/>
    </row>
    <row r="541" spans="1:29" s="1" customFormat="1" ht="49.5" x14ac:dyDescent="0.25">
      <c r="A541" s="13">
        <f t="shared" si="7"/>
        <v>711105</v>
      </c>
      <c r="B541" s="14">
        <v>7111</v>
      </c>
      <c r="C541" s="1" t="s">
        <v>188</v>
      </c>
      <c r="D541" s="12" t="s">
        <v>1169</v>
      </c>
      <c r="E541" s="3">
        <v>5</v>
      </c>
      <c r="F541" s="5" t="s">
        <v>396</v>
      </c>
      <c r="G541" s="3">
        <v>2</v>
      </c>
      <c r="H541" s="1">
        <v>7</v>
      </c>
      <c r="I541" s="1">
        <v>1</v>
      </c>
      <c r="L541" s="1">
        <v>3600</v>
      </c>
      <c r="M541" s="1">
        <v>2500</v>
      </c>
      <c r="N541" s="1" t="s">
        <v>999</v>
      </c>
      <c r="O541" s="1">
        <v>100</v>
      </c>
      <c r="P541" s="1" t="s">
        <v>398</v>
      </c>
      <c r="Q541" s="1">
        <v>10</v>
      </c>
      <c r="R541" s="1" t="s">
        <v>1395</v>
      </c>
      <c r="S541" s="16" t="s">
        <v>1001</v>
      </c>
      <c r="U541" s="1" t="s">
        <v>1396</v>
      </c>
      <c r="V541" s="17" t="s">
        <v>1397</v>
      </c>
      <c r="W541" s="5"/>
      <c r="X541" s="1" t="s">
        <v>1398</v>
      </c>
      <c r="Y541" s="5" t="s">
        <v>1005</v>
      </c>
      <c r="Z541" s="21" t="s">
        <v>1399</v>
      </c>
      <c r="AA541" s="22" t="s">
        <v>407</v>
      </c>
      <c r="AC541" s="22"/>
    </row>
    <row r="542" spans="1:29" s="1" customFormat="1" ht="49.5" x14ac:dyDescent="0.25">
      <c r="A542" s="13">
        <f t="shared" si="7"/>
        <v>712101</v>
      </c>
      <c r="B542" s="14">
        <v>7121</v>
      </c>
      <c r="C542" s="1" t="s">
        <v>188</v>
      </c>
      <c r="D542" s="15" t="s">
        <v>1400</v>
      </c>
      <c r="E542" s="3">
        <v>1</v>
      </c>
      <c r="F542" s="5" t="s">
        <v>396</v>
      </c>
      <c r="G542" s="3">
        <v>5</v>
      </c>
      <c r="H542" s="1">
        <v>7</v>
      </c>
      <c r="I542" s="1">
        <v>1</v>
      </c>
      <c r="L542" s="1">
        <v>5400</v>
      </c>
      <c r="M542" s="1">
        <v>2650</v>
      </c>
      <c r="N542" s="1" t="s">
        <v>1008</v>
      </c>
      <c r="O542" s="1">
        <v>100</v>
      </c>
      <c r="P542" s="1" t="s">
        <v>398</v>
      </c>
      <c r="Q542" s="1">
        <v>10</v>
      </c>
      <c r="R542" s="1">
        <v>1058</v>
      </c>
      <c r="S542" s="16">
        <v>8.0000000000000002E-3</v>
      </c>
      <c r="U542" s="1" t="s">
        <v>1401</v>
      </c>
      <c r="V542" s="17" t="s">
        <v>520</v>
      </c>
      <c r="W542" s="5"/>
      <c r="X542" s="17" t="s">
        <v>522</v>
      </c>
      <c r="Y542" s="5" t="s">
        <v>1005</v>
      </c>
      <c r="Z542" s="21" t="s">
        <v>1402</v>
      </c>
      <c r="AA542" s="22" t="s">
        <v>420</v>
      </c>
      <c r="AC542" s="22"/>
    </row>
    <row r="543" spans="1:29" s="1" customFormat="1" ht="49.5" x14ac:dyDescent="0.25">
      <c r="A543" s="13">
        <f t="shared" si="7"/>
        <v>712102</v>
      </c>
      <c r="B543" s="14">
        <v>7121</v>
      </c>
      <c r="C543" s="1" t="s">
        <v>188</v>
      </c>
      <c r="D543" s="15" t="s">
        <v>1400</v>
      </c>
      <c r="E543" s="3">
        <v>2</v>
      </c>
      <c r="F543" s="5" t="s">
        <v>396</v>
      </c>
      <c r="G543" s="3">
        <v>6</v>
      </c>
      <c r="H543" s="1">
        <v>7</v>
      </c>
      <c r="I543" s="1">
        <v>1</v>
      </c>
      <c r="L543" s="1">
        <v>5400</v>
      </c>
      <c r="M543" s="1">
        <v>2650</v>
      </c>
      <c r="N543" s="1" t="s">
        <v>1008</v>
      </c>
      <c r="O543" s="1">
        <v>100</v>
      </c>
      <c r="P543" s="1" t="s">
        <v>398</v>
      </c>
      <c r="Q543" s="1">
        <v>10</v>
      </c>
      <c r="R543" s="1">
        <v>1058</v>
      </c>
      <c r="S543" s="16">
        <v>8.0000000000000002E-3</v>
      </c>
      <c r="U543" s="1" t="s">
        <v>1401</v>
      </c>
      <c r="V543" s="17" t="s">
        <v>520</v>
      </c>
      <c r="W543" s="5"/>
      <c r="X543" s="17" t="s">
        <v>522</v>
      </c>
      <c r="Y543" s="5" t="s">
        <v>1005</v>
      </c>
      <c r="Z543" s="21" t="s">
        <v>1402</v>
      </c>
      <c r="AA543" s="22" t="s">
        <v>420</v>
      </c>
      <c r="AC543" s="22"/>
    </row>
    <row r="544" spans="1:29" s="1" customFormat="1" ht="49.5" x14ac:dyDescent="0.25">
      <c r="A544" s="13">
        <f t="shared" si="7"/>
        <v>712103</v>
      </c>
      <c r="B544" s="14">
        <v>7121</v>
      </c>
      <c r="C544" s="1" t="s">
        <v>188</v>
      </c>
      <c r="D544" s="15" t="s">
        <v>1400</v>
      </c>
      <c r="E544" s="3">
        <v>3</v>
      </c>
      <c r="F544" s="5" t="s">
        <v>396</v>
      </c>
      <c r="G544" s="3">
        <v>7</v>
      </c>
      <c r="H544" s="1">
        <v>7</v>
      </c>
      <c r="I544" s="1">
        <v>1</v>
      </c>
      <c r="L544" s="1">
        <v>5400</v>
      </c>
      <c r="M544" s="1">
        <v>2650</v>
      </c>
      <c r="N544" s="1" t="s">
        <v>1008</v>
      </c>
      <c r="O544" s="1">
        <v>100</v>
      </c>
      <c r="P544" s="1" t="s">
        <v>398</v>
      </c>
      <c r="Q544" s="1">
        <v>10</v>
      </c>
      <c r="R544" s="1">
        <v>1058</v>
      </c>
      <c r="S544" s="16">
        <v>8.0000000000000002E-3</v>
      </c>
      <c r="U544" s="1" t="s">
        <v>1401</v>
      </c>
      <c r="V544" s="17" t="s">
        <v>520</v>
      </c>
      <c r="W544" s="5"/>
      <c r="X544" s="17" t="s">
        <v>522</v>
      </c>
      <c r="Y544" s="5" t="s">
        <v>1005</v>
      </c>
      <c r="Z544" s="21" t="s">
        <v>1402</v>
      </c>
      <c r="AA544" s="22" t="s">
        <v>420</v>
      </c>
      <c r="AC544" s="22"/>
    </row>
    <row r="545" spans="1:29" s="1" customFormat="1" ht="49.5" x14ac:dyDescent="0.25">
      <c r="A545" s="13">
        <f t="shared" si="7"/>
        <v>712104</v>
      </c>
      <c r="B545" s="14">
        <v>7121</v>
      </c>
      <c r="C545" s="1" t="s">
        <v>188</v>
      </c>
      <c r="D545" s="15" t="s">
        <v>1400</v>
      </c>
      <c r="E545" s="3">
        <v>4</v>
      </c>
      <c r="F545" s="5" t="s">
        <v>396</v>
      </c>
      <c r="G545" s="3">
        <v>8</v>
      </c>
      <c r="H545" s="1">
        <v>7</v>
      </c>
      <c r="I545" s="1">
        <v>1</v>
      </c>
      <c r="L545" s="1">
        <v>5400</v>
      </c>
      <c r="M545" s="1">
        <v>2650</v>
      </c>
      <c r="N545" s="1" t="s">
        <v>1008</v>
      </c>
      <c r="O545" s="1">
        <v>100</v>
      </c>
      <c r="P545" s="1" t="s">
        <v>398</v>
      </c>
      <c r="Q545" s="1">
        <v>10</v>
      </c>
      <c r="R545" s="1">
        <v>1058</v>
      </c>
      <c r="S545" s="16">
        <v>8.0000000000000002E-3</v>
      </c>
      <c r="U545" s="1" t="s">
        <v>1401</v>
      </c>
      <c r="V545" s="17" t="s">
        <v>520</v>
      </c>
      <c r="W545" s="5"/>
      <c r="X545" s="17" t="s">
        <v>522</v>
      </c>
      <c r="Y545" s="5" t="s">
        <v>1005</v>
      </c>
      <c r="Z545" s="21" t="s">
        <v>1402</v>
      </c>
      <c r="AA545" s="22" t="s">
        <v>420</v>
      </c>
      <c r="AC545" s="22"/>
    </row>
    <row r="546" spans="1:29" s="1" customFormat="1" ht="49.5" x14ac:dyDescent="0.25">
      <c r="A546" s="13">
        <f t="shared" si="7"/>
        <v>712105</v>
      </c>
      <c r="B546" s="14">
        <v>7121</v>
      </c>
      <c r="C546" s="1" t="s">
        <v>188</v>
      </c>
      <c r="D546" s="15" t="s">
        <v>1400</v>
      </c>
      <c r="E546" s="3">
        <v>5</v>
      </c>
      <c r="F546" s="5" t="s">
        <v>396</v>
      </c>
      <c r="G546" s="3">
        <v>9</v>
      </c>
      <c r="H546" s="1">
        <v>7</v>
      </c>
      <c r="I546" s="1">
        <v>1</v>
      </c>
      <c r="L546" s="1">
        <v>5400</v>
      </c>
      <c r="M546" s="1">
        <v>2650</v>
      </c>
      <c r="N546" s="1" t="s">
        <v>1008</v>
      </c>
      <c r="O546" s="1">
        <v>100</v>
      </c>
      <c r="P546" s="1" t="s">
        <v>398</v>
      </c>
      <c r="Q546" s="1">
        <v>10</v>
      </c>
      <c r="R546" s="1">
        <v>1058</v>
      </c>
      <c r="S546" s="16">
        <v>8.0000000000000002E-3</v>
      </c>
      <c r="U546" s="1" t="s">
        <v>1401</v>
      </c>
      <c r="V546" s="17" t="s">
        <v>520</v>
      </c>
      <c r="W546" s="5"/>
      <c r="X546" s="17" t="s">
        <v>522</v>
      </c>
      <c r="Y546" s="5" t="s">
        <v>1005</v>
      </c>
      <c r="Z546" s="21" t="s">
        <v>1402</v>
      </c>
      <c r="AA546" s="22" t="s">
        <v>420</v>
      </c>
      <c r="AC546" s="22"/>
    </row>
    <row r="547" spans="1:29" s="1" customFormat="1" ht="49.5" x14ac:dyDescent="0.25">
      <c r="A547" s="13">
        <f t="shared" si="7"/>
        <v>712201</v>
      </c>
      <c r="B547" s="14">
        <v>7122</v>
      </c>
      <c r="C547" s="1" t="s">
        <v>188</v>
      </c>
      <c r="D547" s="12" t="s">
        <v>1169</v>
      </c>
      <c r="E547" s="3">
        <v>1</v>
      </c>
      <c r="F547" s="5" t="s">
        <v>396</v>
      </c>
      <c r="G547" s="3">
        <v>5</v>
      </c>
      <c r="H547" s="1">
        <v>7</v>
      </c>
      <c r="I547" s="1">
        <v>1</v>
      </c>
      <c r="L547" s="1">
        <v>5400</v>
      </c>
      <c r="M547" s="1">
        <v>2650</v>
      </c>
      <c r="N547" s="1" t="s">
        <v>1008</v>
      </c>
      <c r="O547" s="1">
        <v>100</v>
      </c>
      <c r="P547" s="1" t="s">
        <v>398</v>
      </c>
      <c r="Q547" s="1">
        <v>10</v>
      </c>
      <c r="R547" s="1" t="s">
        <v>1395</v>
      </c>
      <c r="S547" s="16" t="s">
        <v>1001</v>
      </c>
      <c r="U547" s="1" t="s">
        <v>1396</v>
      </c>
      <c r="V547" s="17" t="s">
        <v>1397</v>
      </c>
      <c r="W547" s="5"/>
      <c r="X547" s="1" t="s">
        <v>1398</v>
      </c>
      <c r="Y547" s="5" t="s">
        <v>1005</v>
      </c>
      <c r="Z547" s="21" t="s">
        <v>1399</v>
      </c>
      <c r="AA547" s="22" t="s">
        <v>433</v>
      </c>
      <c r="AC547" s="22"/>
    </row>
    <row r="548" spans="1:29" s="1" customFormat="1" ht="49.5" x14ac:dyDescent="0.25">
      <c r="A548" s="13">
        <f t="shared" si="7"/>
        <v>712202</v>
      </c>
      <c r="B548" s="14">
        <v>7122</v>
      </c>
      <c r="C548" s="1" t="s">
        <v>188</v>
      </c>
      <c r="D548" s="12" t="s">
        <v>1169</v>
      </c>
      <c r="E548" s="3">
        <v>2</v>
      </c>
      <c r="F548" s="5" t="s">
        <v>396</v>
      </c>
      <c r="G548" s="3">
        <v>6</v>
      </c>
      <c r="H548" s="1">
        <v>7</v>
      </c>
      <c r="I548" s="1">
        <v>1</v>
      </c>
      <c r="L548" s="1">
        <v>5400</v>
      </c>
      <c r="M548" s="1">
        <v>2650</v>
      </c>
      <c r="N548" s="1" t="s">
        <v>1008</v>
      </c>
      <c r="O548" s="1">
        <v>100</v>
      </c>
      <c r="P548" s="1" t="s">
        <v>398</v>
      </c>
      <c r="Q548" s="1">
        <v>10</v>
      </c>
      <c r="R548" s="1" t="s">
        <v>1395</v>
      </c>
      <c r="S548" s="16" t="s">
        <v>1001</v>
      </c>
      <c r="U548" s="1" t="s">
        <v>1396</v>
      </c>
      <c r="V548" s="17" t="s">
        <v>1397</v>
      </c>
      <c r="W548" s="5"/>
      <c r="X548" s="1" t="s">
        <v>1398</v>
      </c>
      <c r="Y548" s="5" t="s">
        <v>1005</v>
      </c>
      <c r="Z548" s="21" t="s">
        <v>1399</v>
      </c>
      <c r="AA548" s="22" t="s">
        <v>433</v>
      </c>
      <c r="AC548" s="22"/>
    </row>
    <row r="549" spans="1:29" s="1" customFormat="1" ht="49.5" x14ac:dyDescent="0.25">
      <c r="A549" s="13">
        <f t="shared" si="7"/>
        <v>712203</v>
      </c>
      <c r="B549" s="14">
        <v>7122</v>
      </c>
      <c r="C549" s="1" t="s">
        <v>188</v>
      </c>
      <c r="D549" s="12" t="s">
        <v>1169</v>
      </c>
      <c r="E549" s="3">
        <v>3</v>
      </c>
      <c r="F549" s="5" t="s">
        <v>396</v>
      </c>
      <c r="G549" s="3">
        <v>7</v>
      </c>
      <c r="H549" s="1">
        <v>7</v>
      </c>
      <c r="I549" s="1">
        <v>1</v>
      </c>
      <c r="L549" s="1">
        <v>5400</v>
      </c>
      <c r="M549" s="1">
        <v>2650</v>
      </c>
      <c r="N549" s="1" t="s">
        <v>1008</v>
      </c>
      <c r="O549" s="1">
        <v>100</v>
      </c>
      <c r="P549" s="1" t="s">
        <v>398</v>
      </c>
      <c r="Q549" s="1">
        <v>10</v>
      </c>
      <c r="R549" s="1" t="s">
        <v>1395</v>
      </c>
      <c r="S549" s="16" t="s">
        <v>1001</v>
      </c>
      <c r="U549" s="1" t="s">
        <v>1396</v>
      </c>
      <c r="V549" s="17" t="s">
        <v>1397</v>
      </c>
      <c r="W549" s="5"/>
      <c r="X549" s="1" t="s">
        <v>1398</v>
      </c>
      <c r="Y549" s="5" t="s">
        <v>1005</v>
      </c>
      <c r="Z549" s="21" t="s">
        <v>1399</v>
      </c>
      <c r="AA549" s="22" t="s">
        <v>433</v>
      </c>
      <c r="AC549" s="22"/>
    </row>
    <row r="550" spans="1:29" s="1" customFormat="1" ht="49.5" x14ac:dyDescent="0.25">
      <c r="A550" s="13">
        <f t="shared" si="7"/>
        <v>712204</v>
      </c>
      <c r="B550" s="14">
        <v>7122</v>
      </c>
      <c r="C550" s="1" t="s">
        <v>188</v>
      </c>
      <c r="D550" s="12" t="s">
        <v>1169</v>
      </c>
      <c r="E550" s="3">
        <v>4</v>
      </c>
      <c r="F550" s="5" t="s">
        <v>396</v>
      </c>
      <c r="G550" s="3">
        <v>8</v>
      </c>
      <c r="H550" s="1">
        <v>7</v>
      </c>
      <c r="I550" s="1">
        <v>1</v>
      </c>
      <c r="L550" s="1">
        <v>5400</v>
      </c>
      <c r="M550" s="1">
        <v>2650</v>
      </c>
      <c r="N550" s="1" t="s">
        <v>1008</v>
      </c>
      <c r="O550" s="1">
        <v>100</v>
      </c>
      <c r="P550" s="1" t="s">
        <v>398</v>
      </c>
      <c r="Q550" s="1">
        <v>10</v>
      </c>
      <c r="R550" s="1" t="s">
        <v>1395</v>
      </c>
      <c r="S550" s="16" t="s">
        <v>1001</v>
      </c>
      <c r="U550" s="1" t="s">
        <v>1396</v>
      </c>
      <c r="V550" s="17" t="s">
        <v>1397</v>
      </c>
      <c r="W550" s="5"/>
      <c r="X550" s="1" t="s">
        <v>1398</v>
      </c>
      <c r="Y550" s="5" t="s">
        <v>1005</v>
      </c>
      <c r="Z550" s="21" t="s">
        <v>1399</v>
      </c>
      <c r="AA550" s="22" t="s">
        <v>433</v>
      </c>
      <c r="AC550" s="22"/>
    </row>
    <row r="551" spans="1:29" s="1" customFormat="1" ht="49.5" x14ac:dyDescent="0.25">
      <c r="A551" s="13">
        <f t="shared" si="7"/>
        <v>712205</v>
      </c>
      <c r="B551" s="14">
        <v>7122</v>
      </c>
      <c r="C551" s="1" t="s">
        <v>188</v>
      </c>
      <c r="D551" s="12" t="s">
        <v>1169</v>
      </c>
      <c r="E551" s="3">
        <v>5</v>
      </c>
      <c r="F551" s="5" t="s">
        <v>396</v>
      </c>
      <c r="G551" s="3">
        <v>9</v>
      </c>
      <c r="H551" s="1">
        <v>7</v>
      </c>
      <c r="I551" s="1">
        <v>1</v>
      </c>
      <c r="L551" s="1">
        <v>5400</v>
      </c>
      <c r="M551" s="1">
        <v>2650</v>
      </c>
      <c r="N551" s="1" t="s">
        <v>1008</v>
      </c>
      <c r="O551" s="1">
        <v>100</v>
      </c>
      <c r="P551" s="1" t="s">
        <v>398</v>
      </c>
      <c r="Q551" s="1">
        <v>10</v>
      </c>
      <c r="R551" s="1" t="s">
        <v>1395</v>
      </c>
      <c r="S551" s="16" t="s">
        <v>1001</v>
      </c>
      <c r="U551" s="1" t="s">
        <v>1396</v>
      </c>
      <c r="V551" s="17" t="s">
        <v>1397</v>
      </c>
      <c r="W551" s="5"/>
      <c r="X551" s="1" t="s">
        <v>1398</v>
      </c>
      <c r="Y551" s="5" t="s">
        <v>1005</v>
      </c>
      <c r="Z551" s="21" t="s">
        <v>1399</v>
      </c>
      <c r="AA551" s="22" t="s">
        <v>433</v>
      </c>
      <c r="AC551" s="22"/>
    </row>
    <row r="552" spans="1:29" s="1" customFormat="1" ht="49.5" x14ac:dyDescent="0.25">
      <c r="A552" s="13">
        <f t="shared" si="7"/>
        <v>712301</v>
      </c>
      <c r="B552" s="14">
        <v>7123</v>
      </c>
      <c r="C552" s="1" t="s">
        <v>188</v>
      </c>
      <c r="D552" s="15" t="s">
        <v>1403</v>
      </c>
      <c r="E552" s="3">
        <v>1</v>
      </c>
      <c r="F552" s="5" t="s">
        <v>396</v>
      </c>
      <c r="G552" s="3">
        <v>5</v>
      </c>
      <c r="H552" s="1">
        <v>7</v>
      </c>
      <c r="I552" s="1">
        <v>2</v>
      </c>
      <c r="J552" s="1" t="s">
        <v>1281</v>
      </c>
      <c r="K552" s="1" t="s">
        <v>1493</v>
      </c>
      <c r="L552" s="1">
        <v>5400</v>
      </c>
      <c r="M552" s="1">
        <v>2650</v>
      </c>
      <c r="N552" s="1" t="s">
        <v>1008</v>
      </c>
      <c r="O552" s="1">
        <v>100</v>
      </c>
      <c r="P552" s="1" t="s">
        <v>398</v>
      </c>
      <c r="Q552" s="1">
        <v>10</v>
      </c>
      <c r="R552" s="1">
        <v>1063</v>
      </c>
      <c r="S552" s="16">
        <v>4.0000000000000001E-3</v>
      </c>
      <c r="U552" s="1" t="s">
        <v>1404</v>
      </c>
      <c r="V552" s="17" t="s">
        <v>1405</v>
      </c>
      <c r="W552" s="5"/>
      <c r="X552" s="17" t="s">
        <v>1406</v>
      </c>
      <c r="Y552" s="5" t="s">
        <v>1005</v>
      </c>
      <c r="Z552" s="21" t="s">
        <v>1402</v>
      </c>
      <c r="AA552" s="22" t="s">
        <v>445</v>
      </c>
      <c r="AC552" s="22"/>
    </row>
    <row r="553" spans="1:29" s="1" customFormat="1" ht="49.5" x14ac:dyDescent="0.25">
      <c r="A553" s="13">
        <f t="shared" si="7"/>
        <v>712302</v>
      </c>
      <c r="B553" s="14">
        <v>7123</v>
      </c>
      <c r="C553" s="1" t="s">
        <v>188</v>
      </c>
      <c r="D553" s="15" t="s">
        <v>1403</v>
      </c>
      <c r="E553" s="3">
        <v>2</v>
      </c>
      <c r="F553" s="5" t="s">
        <v>396</v>
      </c>
      <c r="G553" s="3">
        <v>6</v>
      </c>
      <c r="H553" s="1">
        <v>7</v>
      </c>
      <c r="I553" s="1">
        <v>2</v>
      </c>
      <c r="J553" s="1" t="s">
        <v>1281</v>
      </c>
      <c r="K553" s="1" t="s">
        <v>1493</v>
      </c>
      <c r="L553" s="1">
        <v>5400</v>
      </c>
      <c r="M553" s="1">
        <v>2650</v>
      </c>
      <c r="N553" s="1" t="s">
        <v>1008</v>
      </c>
      <c r="O553" s="1">
        <v>100</v>
      </c>
      <c r="P553" s="1" t="s">
        <v>398</v>
      </c>
      <c r="Q553" s="1">
        <v>10</v>
      </c>
      <c r="R553" s="1">
        <v>1063</v>
      </c>
      <c r="S553" s="16">
        <v>4.0000000000000001E-3</v>
      </c>
      <c r="U553" s="1" t="s">
        <v>1404</v>
      </c>
      <c r="V553" s="17" t="s">
        <v>1405</v>
      </c>
      <c r="W553" s="5"/>
      <c r="X553" s="17" t="s">
        <v>1406</v>
      </c>
      <c r="Y553" s="5" t="s">
        <v>1005</v>
      </c>
      <c r="Z553" s="21" t="s">
        <v>1402</v>
      </c>
      <c r="AA553" s="22" t="s">
        <v>445</v>
      </c>
      <c r="AC553" s="22"/>
    </row>
    <row r="554" spans="1:29" s="1" customFormat="1" ht="49.5" x14ac:dyDescent="0.25">
      <c r="A554" s="13">
        <f t="shared" si="7"/>
        <v>712303</v>
      </c>
      <c r="B554" s="14">
        <v>7123</v>
      </c>
      <c r="C554" s="1" t="s">
        <v>188</v>
      </c>
      <c r="D554" s="15" t="s">
        <v>1403</v>
      </c>
      <c r="E554" s="3">
        <v>3</v>
      </c>
      <c r="F554" s="5" t="s">
        <v>396</v>
      </c>
      <c r="G554" s="3">
        <v>7</v>
      </c>
      <c r="H554" s="1">
        <v>7</v>
      </c>
      <c r="I554" s="1">
        <v>2</v>
      </c>
      <c r="J554" s="1" t="s">
        <v>1281</v>
      </c>
      <c r="K554" s="1" t="s">
        <v>1493</v>
      </c>
      <c r="L554" s="1">
        <v>5400</v>
      </c>
      <c r="M554" s="1">
        <v>2650</v>
      </c>
      <c r="N554" s="1" t="s">
        <v>1008</v>
      </c>
      <c r="O554" s="1">
        <v>100</v>
      </c>
      <c r="P554" s="1" t="s">
        <v>398</v>
      </c>
      <c r="Q554" s="1">
        <v>10</v>
      </c>
      <c r="R554" s="1">
        <v>1063</v>
      </c>
      <c r="S554" s="16">
        <v>4.0000000000000001E-3</v>
      </c>
      <c r="U554" s="1" t="s">
        <v>1404</v>
      </c>
      <c r="V554" s="17" t="s">
        <v>1405</v>
      </c>
      <c r="W554" s="5"/>
      <c r="X554" s="17" t="s">
        <v>1406</v>
      </c>
      <c r="Y554" s="5" t="s">
        <v>1005</v>
      </c>
      <c r="Z554" s="21" t="s">
        <v>1402</v>
      </c>
      <c r="AA554" s="22" t="s">
        <v>445</v>
      </c>
      <c r="AC554" s="22"/>
    </row>
    <row r="555" spans="1:29" s="1" customFormat="1" ht="49.5" x14ac:dyDescent="0.25">
      <c r="A555" s="13">
        <f t="shared" si="7"/>
        <v>712304</v>
      </c>
      <c r="B555" s="14">
        <v>7123</v>
      </c>
      <c r="C555" s="1" t="s">
        <v>188</v>
      </c>
      <c r="D555" s="15" t="s">
        <v>1403</v>
      </c>
      <c r="E555" s="3">
        <v>4</v>
      </c>
      <c r="F555" s="5" t="s">
        <v>396</v>
      </c>
      <c r="G555" s="3">
        <v>8</v>
      </c>
      <c r="H555" s="1">
        <v>7</v>
      </c>
      <c r="I555" s="1">
        <v>2</v>
      </c>
      <c r="J555" s="1" t="s">
        <v>1281</v>
      </c>
      <c r="K555" s="1" t="s">
        <v>1493</v>
      </c>
      <c r="L555" s="1">
        <v>5400</v>
      </c>
      <c r="M555" s="1">
        <v>2650</v>
      </c>
      <c r="N555" s="1" t="s">
        <v>1008</v>
      </c>
      <c r="O555" s="1">
        <v>100</v>
      </c>
      <c r="P555" s="1" t="s">
        <v>398</v>
      </c>
      <c r="Q555" s="1">
        <v>10</v>
      </c>
      <c r="R555" s="1">
        <v>1063</v>
      </c>
      <c r="S555" s="16">
        <v>4.0000000000000001E-3</v>
      </c>
      <c r="U555" s="1" t="s">
        <v>1404</v>
      </c>
      <c r="V555" s="17" t="s">
        <v>1405</v>
      </c>
      <c r="W555" s="5"/>
      <c r="X555" s="17" t="s">
        <v>1406</v>
      </c>
      <c r="Y555" s="5" t="s">
        <v>1005</v>
      </c>
      <c r="Z555" s="21" t="s">
        <v>1402</v>
      </c>
      <c r="AA555" s="22" t="s">
        <v>445</v>
      </c>
      <c r="AC555" s="22"/>
    </row>
    <row r="556" spans="1:29" s="1" customFormat="1" ht="49.5" x14ac:dyDescent="0.25">
      <c r="A556" s="13">
        <f t="shared" si="7"/>
        <v>712305</v>
      </c>
      <c r="B556" s="14">
        <v>7123</v>
      </c>
      <c r="C556" s="1" t="s">
        <v>188</v>
      </c>
      <c r="D556" s="15" t="s">
        <v>1403</v>
      </c>
      <c r="E556" s="3">
        <v>5</v>
      </c>
      <c r="F556" s="5" t="s">
        <v>396</v>
      </c>
      <c r="G556" s="3">
        <v>9</v>
      </c>
      <c r="H556" s="1">
        <v>7</v>
      </c>
      <c r="I556" s="1">
        <v>2</v>
      </c>
      <c r="J556" s="1" t="s">
        <v>1281</v>
      </c>
      <c r="K556" s="1" t="s">
        <v>1493</v>
      </c>
      <c r="L556" s="1">
        <v>5400</v>
      </c>
      <c r="M556" s="1">
        <v>2650</v>
      </c>
      <c r="N556" s="1" t="s">
        <v>1008</v>
      </c>
      <c r="O556" s="1">
        <v>100</v>
      </c>
      <c r="P556" s="1" t="s">
        <v>398</v>
      </c>
      <c r="Q556" s="1">
        <v>10</v>
      </c>
      <c r="R556" s="1">
        <v>1063</v>
      </c>
      <c r="S556" s="16">
        <v>4.0000000000000001E-3</v>
      </c>
      <c r="U556" s="1" t="s">
        <v>1404</v>
      </c>
      <c r="V556" s="17" t="s">
        <v>1405</v>
      </c>
      <c r="W556" s="5"/>
      <c r="X556" s="17" t="s">
        <v>1406</v>
      </c>
      <c r="Y556" s="5" t="s">
        <v>1005</v>
      </c>
      <c r="Z556" s="21" t="s">
        <v>1402</v>
      </c>
      <c r="AA556" s="22" t="s">
        <v>445</v>
      </c>
      <c r="AC556" s="22"/>
    </row>
    <row r="557" spans="1:29" s="1" customFormat="1" ht="49.5" x14ac:dyDescent="0.25">
      <c r="A557" s="13">
        <f t="shared" si="7"/>
        <v>713101</v>
      </c>
      <c r="B557" s="14">
        <v>7131</v>
      </c>
      <c r="C557" s="1" t="s">
        <v>188</v>
      </c>
      <c r="D557" s="15" t="s">
        <v>1407</v>
      </c>
      <c r="E557" s="3">
        <v>1</v>
      </c>
      <c r="F557" s="5" t="s">
        <v>396</v>
      </c>
      <c r="G557" s="3">
        <v>10</v>
      </c>
      <c r="H557" s="1">
        <v>7</v>
      </c>
      <c r="I557" s="1">
        <v>2</v>
      </c>
      <c r="J557" s="1" t="s">
        <v>1281</v>
      </c>
      <c r="K557" s="1" t="s">
        <v>1493</v>
      </c>
      <c r="L557" s="1">
        <v>7200</v>
      </c>
      <c r="M557" s="1">
        <v>2750</v>
      </c>
      <c r="N557" s="1" t="s">
        <v>1015</v>
      </c>
      <c r="O557" s="1">
        <v>100</v>
      </c>
      <c r="P557" s="1" t="s">
        <v>398</v>
      </c>
      <c r="Q557" s="1">
        <v>10</v>
      </c>
      <c r="R557" s="1">
        <v>1090</v>
      </c>
      <c r="S557" s="16">
        <v>500</v>
      </c>
      <c r="U557" s="1" t="s">
        <v>1408</v>
      </c>
      <c r="V557" s="17" t="s">
        <v>1409</v>
      </c>
      <c r="W557" s="5"/>
      <c r="X557" s="17" t="s">
        <v>1410</v>
      </c>
      <c r="Y557" s="5" t="s">
        <v>1005</v>
      </c>
      <c r="Z557" s="21" t="s">
        <v>1402</v>
      </c>
      <c r="AA557" s="22" t="s">
        <v>453</v>
      </c>
      <c r="AC557" s="22"/>
    </row>
    <row r="558" spans="1:29" s="1" customFormat="1" ht="49.5" x14ac:dyDescent="0.25">
      <c r="A558" s="13">
        <f t="shared" si="7"/>
        <v>713102</v>
      </c>
      <c r="B558" s="14">
        <v>7131</v>
      </c>
      <c r="C558" s="1" t="s">
        <v>188</v>
      </c>
      <c r="D558" s="15" t="s">
        <v>1407</v>
      </c>
      <c r="E558" s="3">
        <v>2</v>
      </c>
      <c r="F558" s="5" t="s">
        <v>396</v>
      </c>
      <c r="G558" s="3">
        <v>11</v>
      </c>
      <c r="H558" s="1">
        <v>7</v>
      </c>
      <c r="I558" s="1">
        <v>2</v>
      </c>
      <c r="J558" s="1" t="s">
        <v>1281</v>
      </c>
      <c r="K558" s="1" t="s">
        <v>1493</v>
      </c>
      <c r="L558" s="1">
        <v>7200</v>
      </c>
      <c r="M558" s="1">
        <v>2750</v>
      </c>
      <c r="N558" s="1" t="s">
        <v>1015</v>
      </c>
      <c r="O558" s="1">
        <v>100</v>
      </c>
      <c r="P558" s="1" t="s">
        <v>398</v>
      </c>
      <c r="Q558" s="1">
        <v>10</v>
      </c>
      <c r="R558" s="1">
        <v>1090</v>
      </c>
      <c r="S558" s="16">
        <v>500</v>
      </c>
      <c r="U558" s="1" t="s">
        <v>1408</v>
      </c>
      <c r="V558" s="17" t="s">
        <v>1409</v>
      </c>
      <c r="W558" s="5"/>
      <c r="X558" s="17" t="s">
        <v>1410</v>
      </c>
      <c r="Y558" s="5" t="s">
        <v>1005</v>
      </c>
      <c r="Z558" s="21" t="s">
        <v>1402</v>
      </c>
      <c r="AA558" s="22" t="s">
        <v>453</v>
      </c>
      <c r="AC558" s="22"/>
    </row>
    <row r="559" spans="1:29" s="1" customFormat="1" ht="49.5" x14ac:dyDescent="0.25">
      <c r="A559" s="13">
        <f t="shared" si="7"/>
        <v>713103</v>
      </c>
      <c r="B559" s="14">
        <v>7131</v>
      </c>
      <c r="C559" s="1" t="s">
        <v>188</v>
      </c>
      <c r="D559" s="15" t="s">
        <v>1407</v>
      </c>
      <c r="E559" s="3">
        <v>3</v>
      </c>
      <c r="F559" s="5" t="s">
        <v>396</v>
      </c>
      <c r="G559" s="3">
        <v>13</v>
      </c>
      <c r="H559" s="1">
        <v>7</v>
      </c>
      <c r="I559" s="1">
        <v>2</v>
      </c>
      <c r="J559" s="1" t="s">
        <v>1281</v>
      </c>
      <c r="K559" s="1" t="s">
        <v>1493</v>
      </c>
      <c r="L559" s="1">
        <v>7200</v>
      </c>
      <c r="M559" s="1">
        <v>2750</v>
      </c>
      <c r="N559" s="1" t="s">
        <v>1015</v>
      </c>
      <c r="O559" s="1">
        <v>100</v>
      </c>
      <c r="P559" s="1" t="s">
        <v>398</v>
      </c>
      <c r="Q559" s="1">
        <v>10</v>
      </c>
      <c r="R559" s="1">
        <v>1090</v>
      </c>
      <c r="S559" s="16">
        <v>500</v>
      </c>
      <c r="U559" s="1" t="s">
        <v>1408</v>
      </c>
      <c r="V559" s="17" t="s">
        <v>1409</v>
      </c>
      <c r="W559" s="5"/>
      <c r="X559" s="17" t="s">
        <v>1410</v>
      </c>
      <c r="Y559" s="5" t="s">
        <v>1005</v>
      </c>
      <c r="Z559" s="21" t="s">
        <v>1402</v>
      </c>
      <c r="AA559" s="22" t="s">
        <v>453</v>
      </c>
      <c r="AC559" s="22"/>
    </row>
    <row r="560" spans="1:29" s="1" customFormat="1" ht="49.5" x14ac:dyDescent="0.25">
      <c r="A560" s="13">
        <f t="shared" si="7"/>
        <v>713201</v>
      </c>
      <c r="B560" s="14">
        <v>7132</v>
      </c>
      <c r="C560" s="1" t="s">
        <v>188</v>
      </c>
      <c r="D560" s="15" t="s">
        <v>1411</v>
      </c>
      <c r="E560" s="3">
        <v>1</v>
      </c>
      <c r="F560" s="5" t="s">
        <v>396</v>
      </c>
      <c r="G560" s="3">
        <v>10</v>
      </c>
      <c r="H560" s="1">
        <v>7</v>
      </c>
      <c r="I560" s="1">
        <v>3</v>
      </c>
      <c r="J560" s="1" t="s">
        <v>1290</v>
      </c>
      <c r="K560" s="1" t="s">
        <v>1494</v>
      </c>
      <c r="L560" s="1">
        <v>7200</v>
      </c>
      <c r="M560" s="1">
        <v>2750</v>
      </c>
      <c r="N560" s="1" t="s">
        <v>1015</v>
      </c>
      <c r="O560" s="1">
        <v>100</v>
      </c>
      <c r="P560" s="1" t="s">
        <v>398</v>
      </c>
      <c r="Q560" s="1">
        <v>10</v>
      </c>
      <c r="R560" s="1">
        <v>1053</v>
      </c>
      <c r="S560" s="18">
        <v>0.01</v>
      </c>
      <c r="U560" s="1" t="s">
        <v>1412</v>
      </c>
      <c r="V560" s="17" t="s">
        <v>1413</v>
      </c>
      <c r="W560" s="5"/>
      <c r="X560" s="17" t="s">
        <v>1414</v>
      </c>
      <c r="Y560" s="5" t="s">
        <v>1005</v>
      </c>
      <c r="Z560" s="21" t="s">
        <v>1402</v>
      </c>
      <c r="AA560" s="22" t="s">
        <v>457</v>
      </c>
      <c r="AC560" s="22"/>
    </row>
    <row r="561" spans="1:29" s="1" customFormat="1" ht="49.5" x14ac:dyDescent="0.25">
      <c r="A561" s="13">
        <f t="shared" si="7"/>
        <v>713202</v>
      </c>
      <c r="B561" s="14">
        <v>7132</v>
      </c>
      <c r="C561" s="1" t="s">
        <v>188</v>
      </c>
      <c r="D561" s="15" t="s">
        <v>1411</v>
      </c>
      <c r="E561" s="3">
        <v>2</v>
      </c>
      <c r="F561" s="5" t="s">
        <v>396</v>
      </c>
      <c r="G561" s="3">
        <v>11</v>
      </c>
      <c r="H561" s="1">
        <v>7</v>
      </c>
      <c r="I561" s="1">
        <v>3</v>
      </c>
      <c r="J561" s="1" t="s">
        <v>1290</v>
      </c>
      <c r="K561" s="1" t="s">
        <v>1494</v>
      </c>
      <c r="L561" s="1">
        <v>7200</v>
      </c>
      <c r="M561" s="1">
        <v>2750</v>
      </c>
      <c r="N561" s="1" t="s">
        <v>1015</v>
      </c>
      <c r="O561" s="1">
        <v>100</v>
      </c>
      <c r="P561" s="1" t="s">
        <v>398</v>
      </c>
      <c r="Q561" s="1">
        <v>10</v>
      </c>
      <c r="R561" s="1">
        <v>1053</v>
      </c>
      <c r="S561" s="18">
        <v>0.01</v>
      </c>
      <c r="U561" s="1" t="s">
        <v>1412</v>
      </c>
      <c r="V561" s="17" t="s">
        <v>1413</v>
      </c>
      <c r="W561" s="5"/>
      <c r="X561" s="17" t="s">
        <v>1414</v>
      </c>
      <c r="Y561" s="5" t="s">
        <v>1005</v>
      </c>
      <c r="Z561" s="21" t="s">
        <v>1402</v>
      </c>
      <c r="AA561" s="22" t="s">
        <v>457</v>
      </c>
      <c r="AC561" s="22"/>
    </row>
    <row r="562" spans="1:29" s="1" customFormat="1" ht="49.5" x14ac:dyDescent="0.25">
      <c r="A562" s="13">
        <f t="shared" si="7"/>
        <v>713203</v>
      </c>
      <c r="B562" s="14">
        <v>7132</v>
      </c>
      <c r="C562" s="1" t="s">
        <v>188</v>
      </c>
      <c r="D562" s="15" t="s">
        <v>1411</v>
      </c>
      <c r="E562" s="3">
        <v>3</v>
      </c>
      <c r="F562" s="5" t="s">
        <v>396</v>
      </c>
      <c r="G562" s="3">
        <v>13</v>
      </c>
      <c r="H562" s="1">
        <v>7</v>
      </c>
      <c r="I562" s="1">
        <v>3</v>
      </c>
      <c r="J562" s="1" t="s">
        <v>1290</v>
      </c>
      <c r="K562" s="1" t="s">
        <v>1494</v>
      </c>
      <c r="L562" s="1">
        <v>7200</v>
      </c>
      <c r="M562" s="1">
        <v>2750</v>
      </c>
      <c r="N562" s="1" t="s">
        <v>1015</v>
      </c>
      <c r="O562" s="1">
        <v>100</v>
      </c>
      <c r="P562" s="1" t="s">
        <v>398</v>
      </c>
      <c r="Q562" s="1">
        <v>10</v>
      </c>
      <c r="R562" s="1">
        <v>1053</v>
      </c>
      <c r="S562" s="18">
        <v>0.01</v>
      </c>
      <c r="U562" s="1" t="s">
        <v>1412</v>
      </c>
      <c r="V562" s="17" t="s">
        <v>1413</v>
      </c>
      <c r="W562" s="5"/>
      <c r="X562" s="17" t="s">
        <v>1414</v>
      </c>
      <c r="Y562" s="5" t="s">
        <v>1005</v>
      </c>
      <c r="Z562" s="21" t="s">
        <v>1402</v>
      </c>
      <c r="AA562" s="22" t="s">
        <v>457</v>
      </c>
      <c r="AC562" s="22"/>
    </row>
    <row r="563" spans="1:29" s="1" customFormat="1" ht="49.5" x14ac:dyDescent="0.25">
      <c r="A563" s="13">
        <f t="shared" si="7"/>
        <v>713301</v>
      </c>
      <c r="B563" s="14">
        <v>7133</v>
      </c>
      <c r="C563" s="1" t="s">
        <v>188</v>
      </c>
      <c r="D563" s="15" t="s">
        <v>1022</v>
      </c>
      <c r="E563" s="3">
        <v>1</v>
      </c>
      <c r="F563" s="5" t="s">
        <v>396</v>
      </c>
      <c r="G563" s="3">
        <v>10</v>
      </c>
      <c r="H563" s="1">
        <v>7</v>
      </c>
      <c r="I563" s="1">
        <v>3</v>
      </c>
      <c r="J563" s="1" t="s">
        <v>1290</v>
      </c>
      <c r="K563" s="1" t="s">
        <v>1494</v>
      </c>
      <c r="L563" s="1">
        <v>7200</v>
      </c>
      <c r="M563" s="1">
        <v>2750</v>
      </c>
      <c r="N563" s="1" t="s">
        <v>1015</v>
      </c>
      <c r="O563" s="1">
        <v>100</v>
      </c>
      <c r="P563" s="1" t="s">
        <v>398</v>
      </c>
      <c r="Q563" s="1">
        <v>10</v>
      </c>
      <c r="S563" s="16"/>
      <c r="U563" s="1" t="s">
        <v>1495</v>
      </c>
      <c r="V563" s="17" t="s">
        <v>1024</v>
      </c>
      <c r="W563" s="5"/>
      <c r="X563" s="17"/>
      <c r="Y563" s="5" t="s">
        <v>1005</v>
      </c>
      <c r="Z563" s="21" t="s">
        <v>1025</v>
      </c>
      <c r="AA563" s="22" t="s">
        <v>1026</v>
      </c>
      <c r="AC563" s="22"/>
    </row>
    <row r="564" spans="1:29" s="1" customFormat="1" ht="49.5" x14ac:dyDescent="0.25">
      <c r="A564" s="13">
        <f t="shared" si="7"/>
        <v>713401</v>
      </c>
      <c r="B564" s="14">
        <v>7134</v>
      </c>
      <c r="C564" s="1" t="s">
        <v>188</v>
      </c>
      <c r="D564" s="15" t="s">
        <v>1416</v>
      </c>
      <c r="E564" s="3">
        <v>1</v>
      </c>
      <c r="F564" s="5" t="s">
        <v>396</v>
      </c>
      <c r="G564" s="3">
        <v>10</v>
      </c>
      <c r="H564" s="1">
        <v>7</v>
      </c>
      <c r="I564" s="1">
        <v>3</v>
      </c>
      <c r="J564" s="1" t="s">
        <v>1290</v>
      </c>
      <c r="K564" s="1" t="s">
        <v>1494</v>
      </c>
      <c r="L564" s="1">
        <v>7200</v>
      </c>
      <c r="M564" s="1">
        <v>2750</v>
      </c>
      <c r="N564" s="1" t="s">
        <v>1015</v>
      </c>
      <c r="O564" s="1">
        <v>100</v>
      </c>
      <c r="P564" s="1" t="s">
        <v>398</v>
      </c>
      <c r="Q564" s="1">
        <v>10</v>
      </c>
      <c r="R564" s="1">
        <v>1312</v>
      </c>
      <c r="S564" s="18">
        <v>0.01</v>
      </c>
      <c r="U564" s="1" t="s">
        <v>1412</v>
      </c>
      <c r="V564" s="17" t="s">
        <v>1417</v>
      </c>
      <c r="W564" s="5"/>
      <c r="X564" s="17" t="s">
        <v>1418</v>
      </c>
      <c r="Y564" s="5" t="s">
        <v>1005</v>
      </c>
      <c r="Z564" s="21" t="s">
        <v>1402</v>
      </c>
      <c r="AA564" s="22" t="s">
        <v>462</v>
      </c>
      <c r="AC564" s="22"/>
    </row>
    <row r="565" spans="1:29" s="1" customFormat="1" ht="49.5" x14ac:dyDescent="0.25">
      <c r="A565" s="13">
        <f t="shared" si="7"/>
        <v>713402</v>
      </c>
      <c r="B565" s="14">
        <v>7134</v>
      </c>
      <c r="C565" s="1" t="s">
        <v>188</v>
      </c>
      <c r="D565" s="15" t="s">
        <v>1416</v>
      </c>
      <c r="E565" s="3">
        <v>2</v>
      </c>
      <c r="F565" s="5" t="s">
        <v>396</v>
      </c>
      <c r="G565" s="3">
        <v>11</v>
      </c>
      <c r="H565" s="1">
        <v>7</v>
      </c>
      <c r="I565" s="1">
        <v>3</v>
      </c>
      <c r="J565" s="1" t="s">
        <v>1290</v>
      </c>
      <c r="K565" s="1" t="s">
        <v>1494</v>
      </c>
      <c r="L565" s="1">
        <v>7200</v>
      </c>
      <c r="M565" s="1">
        <v>2750</v>
      </c>
      <c r="N565" s="1" t="s">
        <v>1015</v>
      </c>
      <c r="O565" s="1">
        <v>100</v>
      </c>
      <c r="P565" s="1" t="s">
        <v>398</v>
      </c>
      <c r="Q565" s="1">
        <v>10</v>
      </c>
      <c r="R565" s="1">
        <v>1312</v>
      </c>
      <c r="S565" s="18">
        <v>0.01</v>
      </c>
      <c r="U565" s="1" t="s">
        <v>1412</v>
      </c>
      <c r="V565" s="17" t="s">
        <v>1417</v>
      </c>
      <c r="W565" s="5"/>
      <c r="X565" s="17" t="s">
        <v>1418</v>
      </c>
      <c r="Y565" s="5" t="s">
        <v>1005</v>
      </c>
      <c r="Z565" s="21" t="s">
        <v>1402</v>
      </c>
      <c r="AA565" s="22" t="s">
        <v>462</v>
      </c>
      <c r="AC565" s="22"/>
    </row>
    <row r="566" spans="1:29" s="1" customFormat="1" ht="49.5" x14ac:dyDescent="0.25">
      <c r="A566" s="13">
        <f t="shared" si="7"/>
        <v>713403</v>
      </c>
      <c r="B566" s="14">
        <v>7134</v>
      </c>
      <c r="C566" s="1" t="s">
        <v>188</v>
      </c>
      <c r="D566" s="15" t="s">
        <v>1416</v>
      </c>
      <c r="E566" s="3">
        <v>3</v>
      </c>
      <c r="F566" s="5" t="s">
        <v>396</v>
      </c>
      <c r="G566" s="3">
        <v>13</v>
      </c>
      <c r="H566" s="1">
        <v>7</v>
      </c>
      <c r="I566" s="1">
        <v>3</v>
      </c>
      <c r="J566" s="1" t="s">
        <v>1290</v>
      </c>
      <c r="K566" s="1" t="s">
        <v>1494</v>
      </c>
      <c r="L566" s="1">
        <v>7200</v>
      </c>
      <c r="M566" s="1">
        <v>2750</v>
      </c>
      <c r="N566" s="1" t="s">
        <v>1015</v>
      </c>
      <c r="O566" s="1">
        <v>100</v>
      </c>
      <c r="P566" s="1" t="s">
        <v>398</v>
      </c>
      <c r="Q566" s="1">
        <v>10</v>
      </c>
      <c r="R566" s="1">
        <v>1312</v>
      </c>
      <c r="S566" s="18">
        <v>0.01</v>
      </c>
      <c r="U566" s="1" t="s">
        <v>1412</v>
      </c>
      <c r="V566" s="17" t="s">
        <v>1417</v>
      </c>
      <c r="W566" s="5"/>
      <c r="X566" s="17" t="s">
        <v>1418</v>
      </c>
      <c r="Y566" s="5" t="s">
        <v>1005</v>
      </c>
      <c r="Z566" s="21" t="s">
        <v>1402</v>
      </c>
      <c r="AA566" s="22" t="s">
        <v>462</v>
      </c>
      <c r="AC566" s="22"/>
    </row>
    <row r="567" spans="1:29" s="1" customFormat="1" ht="49.5" x14ac:dyDescent="0.25">
      <c r="A567" s="13">
        <f t="shared" si="7"/>
        <v>713501</v>
      </c>
      <c r="B567" s="14">
        <v>7135</v>
      </c>
      <c r="C567" s="1" t="s">
        <v>188</v>
      </c>
      <c r="D567" s="15" t="s">
        <v>1419</v>
      </c>
      <c r="E567" s="3">
        <v>1</v>
      </c>
      <c r="F567" s="5" t="s">
        <v>396</v>
      </c>
      <c r="G567" s="3">
        <v>10</v>
      </c>
      <c r="H567" s="1">
        <v>7</v>
      </c>
      <c r="I567" s="1">
        <v>3</v>
      </c>
      <c r="J567" s="1" t="s">
        <v>1290</v>
      </c>
      <c r="K567" s="1" t="s">
        <v>1494</v>
      </c>
      <c r="L567" s="1">
        <v>7200</v>
      </c>
      <c r="M567" s="1">
        <v>2750</v>
      </c>
      <c r="N567" s="1" t="s">
        <v>1015</v>
      </c>
      <c r="O567" s="1">
        <v>100</v>
      </c>
      <c r="P567" s="1" t="s">
        <v>398</v>
      </c>
      <c r="Q567" s="1">
        <v>10</v>
      </c>
      <c r="R567" s="1">
        <v>1317</v>
      </c>
      <c r="S567" s="18">
        <v>0.01</v>
      </c>
      <c r="U567" s="19" t="s">
        <v>1420</v>
      </c>
      <c r="V567" s="17" t="s">
        <v>1421</v>
      </c>
      <c r="X567" s="17" t="s">
        <v>1422</v>
      </c>
      <c r="Y567" s="5" t="s">
        <v>1005</v>
      </c>
      <c r="Z567" s="21" t="s">
        <v>1399</v>
      </c>
      <c r="AA567" s="22" t="s">
        <v>467</v>
      </c>
      <c r="AC567" s="22"/>
    </row>
    <row r="568" spans="1:29" s="1" customFormat="1" ht="49.5" x14ac:dyDescent="0.25">
      <c r="A568" s="13">
        <f t="shared" si="7"/>
        <v>713502</v>
      </c>
      <c r="B568" s="14">
        <v>7135</v>
      </c>
      <c r="C568" s="1" t="s">
        <v>188</v>
      </c>
      <c r="D568" s="15" t="s">
        <v>1419</v>
      </c>
      <c r="E568" s="3">
        <v>2</v>
      </c>
      <c r="F568" s="5" t="s">
        <v>396</v>
      </c>
      <c r="G568" s="3">
        <v>11</v>
      </c>
      <c r="H568" s="1">
        <v>7</v>
      </c>
      <c r="I568" s="1">
        <v>3</v>
      </c>
      <c r="J568" s="1" t="s">
        <v>1290</v>
      </c>
      <c r="K568" s="1" t="s">
        <v>1494</v>
      </c>
      <c r="L568" s="1">
        <v>7200</v>
      </c>
      <c r="M568" s="1">
        <v>2750</v>
      </c>
      <c r="N568" s="1" t="s">
        <v>1015</v>
      </c>
      <c r="O568" s="1">
        <v>100</v>
      </c>
      <c r="P568" s="1" t="s">
        <v>398</v>
      </c>
      <c r="Q568" s="1">
        <v>10</v>
      </c>
      <c r="R568" s="1">
        <v>1317</v>
      </c>
      <c r="S568" s="18">
        <v>0.01</v>
      </c>
      <c r="U568" s="19" t="s">
        <v>1420</v>
      </c>
      <c r="V568" s="17" t="s">
        <v>1421</v>
      </c>
      <c r="X568" s="17" t="s">
        <v>1422</v>
      </c>
      <c r="Y568" s="5" t="s">
        <v>1005</v>
      </c>
      <c r="Z568" s="21" t="s">
        <v>1399</v>
      </c>
      <c r="AA568" s="22" t="s">
        <v>467</v>
      </c>
      <c r="AC568" s="22"/>
    </row>
    <row r="569" spans="1:29" s="1" customFormat="1" ht="49.5" x14ac:dyDescent="0.25">
      <c r="A569" s="13">
        <f t="shared" si="7"/>
        <v>713503</v>
      </c>
      <c r="B569" s="14">
        <v>7135</v>
      </c>
      <c r="C569" s="1" t="s">
        <v>188</v>
      </c>
      <c r="D569" s="15" t="s">
        <v>1419</v>
      </c>
      <c r="E569" s="3">
        <v>3</v>
      </c>
      <c r="F569" s="5" t="s">
        <v>396</v>
      </c>
      <c r="G569" s="3">
        <v>13</v>
      </c>
      <c r="H569" s="1">
        <v>7</v>
      </c>
      <c r="I569" s="1">
        <v>3</v>
      </c>
      <c r="J569" s="1" t="s">
        <v>1290</v>
      </c>
      <c r="K569" s="1" t="s">
        <v>1494</v>
      </c>
      <c r="L569" s="1">
        <v>7200</v>
      </c>
      <c r="M569" s="1">
        <v>2750</v>
      </c>
      <c r="N569" s="1" t="s">
        <v>1015</v>
      </c>
      <c r="O569" s="1">
        <v>100</v>
      </c>
      <c r="P569" s="1" t="s">
        <v>398</v>
      </c>
      <c r="Q569" s="1">
        <v>10</v>
      </c>
      <c r="R569" s="1">
        <v>1317</v>
      </c>
      <c r="S569" s="18">
        <v>0.01</v>
      </c>
      <c r="U569" s="19" t="s">
        <v>1420</v>
      </c>
      <c r="V569" s="17" t="s">
        <v>1421</v>
      </c>
      <c r="X569" s="17" t="s">
        <v>1422</v>
      </c>
      <c r="Y569" s="5" t="s">
        <v>1005</v>
      </c>
      <c r="Z569" s="21" t="s">
        <v>1399</v>
      </c>
      <c r="AA569" s="22" t="s">
        <v>467</v>
      </c>
      <c r="AC569" s="22"/>
    </row>
    <row r="570" spans="1:29" s="1" customFormat="1" ht="49.5" x14ac:dyDescent="0.25">
      <c r="A570" s="13">
        <f t="shared" si="7"/>
        <v>714101</v>
      </c>
      <c r="B570" s="14">
        <v>7141</v>
      </c>
      <c r="C570" s="1" t="s">
        <v>188</v>
      </c>
      <c r="D570" s="15" t="s">
        <v>1400</v>
      </c>
      <c r="E570" s="3">
        <v>1</v>
      </c>
      <c r="F570" s="5" t="s">
        <v>396</v>
      </c>
      <c r="G570" s="3">
        <v>15</v>
      </c>
      <c r="H570" s="1">
        <v>7</v>
      </c>
      <c r="I570" s="1">
        <v>4</v>
      </c>
      <c r="J570" s="1" t="s">
        <v>1302</v>
      </c>
      <c r="K570" s="1" t="s">
        <v>1496</v>
      </c>
      <c r="L570" s="1">
        <v>9000</v>
      </c>
      <c r="M570" s="1">
        <v>2900</v>
      </c>
      <c r="N570" s="1" t="s">
        <v>1032</v>
      </c>
      <c r="O570" s="1">
        <v>100</v>
      </c>
      <c r="P570" s="1" t="s">
        <v>398</v>
      </c>
      <c r="Q570" s="1">
        <v>10</v>
      </c>
      <c r="R570" s="1">
        <v>1058</v>
      </c>
      <c r="S570" s="16">
        <v>0.02</v>
      </c>
      <c r="U570" s="1" t="s">
        <v>1401</v>
      </c>
      <c r="V570" s="17" t="s">
        <v>520</v>
      </c>
      <c r="W570" s="5"/>
      <c r="X570" s="17" t="s">
        <v>522</v>
      </c>
      <c r="Y570" s="5" t="s">
        <v>1005</v>
      </c>
      <c r="Z570" s="21" t="s">
        <v>1402</v>
      </c>
      <c r="AA570" s="22" t="s">
        <v>471</v>
      </c>
      <c r="AC570" s="22"/>
    </row>
    <row r="571" spans="1:29" s="1" customFormat="1" ht="49.5" x14ac:dyDescent="0.25">
      <c r="A571" s="13">
        <f t="shared" si="7"/>
        <v>714201</v>
      </c>
      <c r="B571" s="14">
        <v>7142</v>
      </c>
      <c r="C571" s="1" t="s">
        <v>188</v>
      </c>
      <c r="D571" s="15" t="s">
        <v>1407</v>
      </c>
      <c r="E571" s="3">
        <v>1</v>
      </c>
      <c r="F571" s="5" t="s">
        <v>396</v>
      </c>
      <c r="G571" s="3">
        <v>15</v>
      </c>
      <c r="H571" s="1">
        <v>7</v>
      </c>
      <c r="I571" s="1">
        <v>4</v>
      </c>
      <c r="J571" s="1" t="s">
        <v>1302</v>
      </c>
      <c r="K571" s="1" t="s">
        <v>1496</v>
      </c>
      <c r="L571" s="1">
        <v>9000</v>
      </c>
      <c r="M571" s="1">
        <v>2900</v>
      </c>
      <c r="N571" s="1" t="s">
        <v>1032</v>
      </c>
      <c r="O571" s="1">
        <v>100</v>
      </c>
      <c r="P571" s="1" t="s">
        <v>398</v>
      </c>
      <c r="Q571" s="1">
        <v>10</v>
      </c>
      <c r="R571" s="1">
        <v>1090</v>
      </c>
      <c r="S571" s="16">
        <v>1000</v>
      </c>
      <c r="U571" s="1" t="s">
        <v>1408</v>
      </c>
      <c r="V571" s="17" t="s">
        <v>1409</v>
      </c>
      <c r="W571" s="5"/>
      <c r="X571" s="17" t="s">
        <v>1410</v>
      </c>
      <c r="Y571" s="5" t="s">
        <v>1005</v>
      </c>
      <c r="Z571" s="21" t="s">
        <v>1402</v>
      </c>
      <c r="AA571" s="22" t="s">
        <v>472</v>
      </c>
      <c r="AC571" s="22"/>
    </row>
    <row r="572" spans="1:29" s="1" customFormat="1" ht="49.5" x14ac:dyDescent="0.25">
      <c r="A572" s="13">
        <f t="shared" si="7"/>
        <v>714301</v>
      </c>
      <c r="B572" s="14">
        <v>7143</v>
      </c>
      <c r="C572" s="1" t="s">
        <v>188</v>
      </c>
      <c r="D572" s="15" t="s">
        <v>1411</v>
      </c>
      <c r="E572" s="3">
        <v>1</v>
      </c>
      <c r="F572" s="5" t="s">
        <v>396</v>
      </c>
      <c r="G572" s="3">
        <v>18</v>
      </c>
      <c r="H572" s="1">
        <v>7</v>
      </c>
      <c r="I572" s="1">
        <v>5</v>
      </c>
      <c r="J572" s="1" t="s">
        <v>1304</v>
      </c>
      <c r="K572" s="1" t="s">
        <v>1497</v>
      </c>
      <c r="L572" s="1">
        <v>9000</v>
      </c>
      <c r="M572" s="1">
        <v>3000</v>
      </c>
      <c r="N572" s="1" t="s">
        <v>1033</v>
      </c>
      <c r="O572" s="1">
        <v>100</v>
      </c>
      <c r="P572" s="1" t="s">
        <v>398</v>
      </c>
      <c r="Q572" s="1">
        <v>10</v>
      </c>
      <c r="R572" s="1">
        <v>1053</v>
      </c>
      <c r="S572" s="16">
        <v>0.02</v>
      </c>
      <c r="U572" s="1" t="s">
        <v>1412</v>
      </c>
      <c r="V572" s="17" t="s">
        <v>1413</v>
      </c>
      <c r="W572" s="5"/>
      <c r="X572" s="17" t="s">
        <v>1414</v>
      </c>
      <c r="Y572" s="5" t="s">
        <v>1005</v>
      </c>
      <c r="Z572" s="21" t="s">
        <v>1402</v>
      </c>
      <c r="AA572" s="22" t="s">
        <v>1034</v>
      </c>
      <c r="AC572" s="22"/>
    </row>
    <row r="573" spans="1:29" s="1" customFormat="1" ht="49.5" x14ac:dyDescent="0.25">
      <c r="A573" s="13">
        <f t="shared" si="7"/>
        <v>714401</v>
      </c>
      <c r="B573" s="14">
        <v>7144</v>
      </c>
      <c r="C573" s="1" t="s">
        <v>188</v>
      </c>
      <c r="D573" s="12" t="s">
        <v>1169</v>
      </c>
      <c r="E573" s="3">
        <v>1</v>
      </c>
      <c r="F573" s="5" t="s">
        <v>396</v>
      </c>
      <c r="G573" s="3">
        <v>20</v>
      </c>
      <c r="H573" s="1">
        <v>7</v>
      </c>
      <c r="I573" s="1">
        <v>5</v>
      </c>
      <c r="J573" s="1" t="s">
        <v>1304</v>
      </c>
      <c r="K573" s="1" t="s">
        <v>1497</v>
      </c>
      <c r="L573" s="1">
        <v>10800</v>
      </c>
      <c r="M573" s="1">
        <v>3150</v>
      </c>
      <c r="N573" s="1" t="s">
        <v>397</v>
      </c>
      <c r="O573" s="1">
        <v>100</v>
      </c>
      <c r="P573" s="1" t="s">
        <v>398</v>
      </c>
      <c r="Q573" s="1">
        <v>10</v>
      </c>
      <c r="R573" s="1" t="s">
        <v>1395</v>
      </c>
      <c r="S573" s="16" t="s">
        <v>1035</v>
      </c>
      <c r="U573" s="1" t="s">
        <v>1396</v>
      </c>
      <c r="V573" s="17" t="s">
        <v>1397</v>
      </c>
      <c r="W573" s="5"/>
      <c r="X573" s="1" t="s">
        <v>1398</v>
      </c>
      <c r="Y573" s="5" t="s">
        <v>1005</v>
      </c>
      <c r="Z573" s="21" t="s">
        <v>1399</v>
      </c>
      <c r="AA573" s="22" t="s">
        <v>1036</v>
      </c>
      <c r="AC573" s="22"/>
    </row>
    <row r="574" spans="1:29" s="1" customFormat="1" ht="49.5" x14ac:dyDescent="0.25">
      <c r="A574" s="13">
        <f t="shared" si="7"/>
        <v>714501</v>
      </c>
      <c r="B574" s="14">
        <v>7145</v>
      </c>
      <c r="C574" s="1" t="s">
        <v>188</v>
      </c>
      <c r="D574" s="15" t="s">
        <v>1416</v>
      </c>
      <c r="E574" s="3">
        <v>1</v>
      </c>
      <c r="F574" s="5" t="s">
        <v>396</v>
      </c>
      <c r="G574" s="3">
        <v>18</v>
      </c>
      <c r="H574" s="1">
        <v>7</v>
      </c>
      <c r="I574" s="1">
        <v>5</v>
      </c>
      <c r="J574" s="1" t="s">
        <v>1304</v>
      </c>
      <c r="K574" s="1" t="s">
        <v>1497</v>
      </c>
      <c r="L574" s="1">
        <v>9000</v>
      </c>
      <c r="M574" s="1">
        <v>3000</v>
      </c>
      <c r="N574" s="1" t="s">
        <v>1033</v>
      </c>
      <c r="O574" s="1">
        <v>100</v>
      </c>
      <c r="P574" s="1" t="s">
        <v>398</v>
      </c>
      <c r="Q574" s="1">
        <v>10</v>
      </c>
      <c r="R574" s="1">
        <v>1312</v>
      </c>
      <c r="S574" s="16">
        <v>0.02</v>
      </c>
      <c r="U574" s="1" t="s">
        <v>1412</v>
      </c>
      <c r="V574" s="17" t="s">
        <v>1417</v>
      </c>
      <c r="W574" s="5"/>
      <c r="X574" s="17" t="s">
        <v>1418</v>
      </c>
      <c r="Y574" s="5" t="s">
        <v>1005</v>
      </c>
      <c r="Z574" s="21" t="s">
        <v>1402</v>
      </c>
      <c r="AA574" s="22" t="s">
        <v>1037</v>
      </c>
      <c r="AC574" s="22"/>
    </row>
    <row r="575" spans="1:29" s="1" customFormat="1" ht="49.5" x14ac:dyDescent="0.25">
      <c r="A575" s="13">
        <f t="shared" si="7"/>
        <v>714601</v>
      </c>
      <c r="B575" s="14">
        <v>7146</v>
      </c>
      <c r="C575" s="1" t="s">
        <v>188</v>
      </c>
      <c r="D575" s="15" t="s">
        <v>1419</v>
      </c>
      <c r="E575" s="3">
        <v>1</v>
      </c>
      <c r="F575" s="5" t="s">
        <v>396</v>
      </c>
      <c r="G575" s="3">
        <v>15</v>
      </c>
      <c r="K575" s="1">
        <v>7135</v>
      </c>
      <c r="L575" s="1">
        <v>9000</v>
      </c>
      <c r="M575" s="1">
        <v>2900</v>
      </c>
      <c r="N575" s="1" t="s">
        <v>1032</v>
      </c>
      <c r="O575" s="1">
        <v>100</v>
      </c>
      <c r="P575" s="1" t="s">
        <v>398</v>
      </c>
      <c r="Q575" s="1">
        <v>10</v>
      </c>
      <c r="R575" s="1">
        <v>1317</v>
      </c>
      <c r="S575" s="16">
        <v>0.02</v>
      </c>
      <c r="U575" s="19" t="s">
        <v>1420</v>
      </c>
      <c r="V575" s="17" t="s">
        <v>1421</v>
      </c>
      <c r="X575" s="17" t="s">
        <v>1422</v>
      </c>
      <c r="Y575" s="5" t="s">
        <v>1005</v>
      </c>
      <c r="Z575" s="21" t="s">
        <v>1399</v>
      </c>
      <c r="AA575" s="22" t="s">
        <v>1038</v>
      </c>
      <c r="AC575" s="22"/>
    </row>
    <row r="576" spans="1:29" s="1" customFormat="1" ht="49.5" x14ac:dyDescent="0.25">
      <c r="A576" s="13">
        <f t="shared" si="7"/>
        <v>714701</v>
      </c>
      <c r="B576" s="14">
        <v>7147</v>
      </c>
      <c r="C576" s="1" t="s">
        <v>188</v>
      </c>
      <c r="D576" s="15" t="s">
        <v>1403</v>
      </c>
      <c r="E576" s="3">
        <v>1</v>
      </c>
      <c r="F576" s="5" t="s">
        <v>396</v>
      </c>
      <c r="G576" s="3">
        <v>15</v>
      </c>
      <c r="K576" s="1">
        <v>7135</v>
      </c>
      <c r="L576" s="1">
        <v>9000</v>
      </c>
      <c r="M576" s="1">
        <v>2900</v>
      </c>
      <c r="N576" s="1" t="s">
        <v>1032</v>
      </c>
      <c r="O576" s="1">
        <v>100</v>
      </c>
      <c r="P576" s="1" t="s">
        <v>398</v>
      </c>
      <c r="Q576" s="1">
        <v>10</v>
      </c>
      <c r="R576" s="1">
        <v>1063</v>
      </c>
      <c r="S576" s="16">
        <v>1.4999999999999999E-2</v>
      </c>
      <c r="U576" s="1" t="s">
        <v>1404</v>
      </c>
      <c r="V576" s="17" t="s">
        <v>1405</v>
      </c>
      <c r="W576" s="5"/>
      <c r="X576" s="17" t="s">
        <v>1406</v>
      </c>
      <c r="Y576" s="5" t="s">
        <v>1005</v>
      </c>
      <c r="Z576" s="21" t="s">
        <v>1402</v>
      </c>
      <c r="AA576" s="22" t="s">
        <v>1039</v>
      </c>
      <c r="AC576" s="22"/>
    </row>
    <row r="577" spans="1:29" s="1" customFormat="1" ht="49.5" x14ac:dyDescent="0.25">
      <c r="A577" s="13">
        <f t="shared" si="7"/>
        <v>721101</v>
      </c>
      <c r="B577" s="14">
        <v>7211</v>
      </c>
      <c r="C577" s="1" t="s">
        <v>188</v>
      </c>
      <c r="D577" s="12" t="s">
        <v>1040</v>
      </c>
      <c r="E577" s="3">
        <v>1</v>
      </c>
      <c r="F577" s="5" t="s">
        <v>708</v>
      </c>
      <c r="G577" s="3">
        <v>1</v>
      </c>
      <c r="K577" s="1">
        <v>7133</v>
      </c>
      <c r="L577" s="1">
        <v>3600</v>
      </c>
      <c r="M577" s="1">
        <v>6050</v>
      </c>
      <c r="N577" s="1" t="s">
        <v>999</v>
      </c>
      <c r="O577" s="1">
        <v>100</v>
      </c>
      <c r="P577" s="1" t="s">
        <v>398</v>
      </c>
      <c r="Q577" s="1">
        <v>10</v>
      </c>
      <c r="R577" s="1" t="s">
        <v>1041</v>
      </c>
      <c r="S577" s="16" t="s">
        <v>1042</v>
      </c>
      <c r="U577" s="19" t="s">
        <v>1043</v>
      </c>
      <c r="V577" s="17" t="s">
        <v>1044</v>
      </c>
      <c r="X577" s="17" t="s">
        <v>1045</v>
      </c>
      <c r="Y577" s="5" t="s">
        <v>1005</v>
      </c>
      <c r="Z577" s="21" t="s">
        <v>1046</v>
      </c>
      <c r="AA577" s="22" t="s">
        <v>1047</v>
      </c>
      <c r="AC577" s="22"/>
    </row>
    <row r="578" spans="1:29" s="1" customFormat="1" ht="49.5" x14ac:dyDescent="0.25">
      <c r="A578" s="13">
        <f t="shared" si="7"/>
        <v>722101</v>
      </c>
      <c r="B578" s="14">
        <v>7221</v>
      </c>
      <c r="C578" s="1" t="s">
        <v>188</v>
      </c>
      <c r="D578" s="12" t="s">
        <v>1048</v>
      </c>
      <c r="E578" s="3">
        <v>1</v>
      </c>
      <c r="F578" s="5" t="s">
        <v>708</v>
      </c>
      <c r="G578" s="3">
        <v>5</v>
      </c>
      <c r="K578" s="1">
        <v>7211</v>
      </c>
      <c r="L578" s="1">
        <v>5400</v>
      </c>
      <c r="M578" s="1">
        <v>6350</v>
      </c>
      <c r="N578" s="1" t="s">
        <v>1008</v>
      </c>
      <c r="O578" s="1">
        <v>100</v>
      </c>
      <c r="P578" s="1" t="s">
        <v>398</v>
      </c>
      <c r="Q578" s="1">
        <v>10</v>
      </c>
      <c r="R578" s="1">
        <v>20004</v>
      </c>
      <c r="S578" s="16">
        <v>0.01</v>
      </c>
      <c r="U578" s="19" t="s">
        <v>1048</v>
      </c>
      <c r="V578" s="17" t="s">
        <v>1049</v>
      </c>
      <c r="X578" s="17" t="s">
        <v>1050</v>
      </c>
      <c r="Y578" s="5" t="s">
        <v>1005</v>
      </c>
      <c r="Z578" s="21" t="s">
        <v>1051</v>
      </c>
      <c r="AA578" s="22" t="s">
        <v>1052</v>
      </c>
      <c r="AC578" s="22"/>
    </row>
    <row r="579" spans="1:29" s="1" customFormat="1" ht="49.5" x14ac:dyDescent="0.25">
      <c r="A579" s="13">
        <f t="shared" si="7"/>
        <v>722201</v>
      </c>
      <c r="B579" s="14">
        <v>7222</v>
      </c>
      <c r="C579" s="1" t="s">
        <v>188</v>
      </c>
      <c r="D579" s="12" t="s">
        <v>1053</v>
      </c>
      <c r="E579" s="3">
        <v>1</v>
      </c>
      <c r="F579" s="5" t="s">
        <v>708</v>
      </c>
      <c r="G579" s="3">
        <v>5</v>
      </c>
      <c r="K579" s="1">
        <v>7211</v>
      </c>
      <c r="L579" s="1">
        <v>5400</v>
      </c>
      <c r="M579" s="1">
        <v>6350</v>
      </c>
      <c r="N579" s="1" t="s">
        <v>1008</v>
      </c>
      <c r="O579" s="1">
        <v>100</v>
      </c>
      <c r="P579" s="1" t="s">
        <v>398</v>
      </c>
      <c r="Q579" s="1">
        <v>10</v>
      </c>
      <c r="R579" s="1">
        <v>20064</v>
      </c>
      <c r="S579" s="16">
        <v>5.0000000000000001E-3</v>
      </c>
      <c r="U579" s="19" t="s">
        <v>1053</v>
      </c>
      <c r="V579" s="17" t="s">
        <v>1054</v>
      </c>
      <c r="X579" s="17" t="s">
        <v>1055</v>
      </c>
      <c r="Y579" s="5" t="s">
        <v>1005</v>
      </c>
      <c r="Z579" s="21" t="s">
        <v>1046</v>
      </c>
      <c r="AA579" s="22" t="s">
        <v>1056</v>
      </c>
      <c r="AC579" s="22"/>
    </row>
    <row r="580" spans="1:29" s="1" customFormat="1" ht="49.5" x14ac:dyDescent="0.25">
      <c r="A580" s="13">
        <f t="shared" si="7"/>
        <v>722301</v>
      </c>
      <c r="B580" s="14">
        <v>7223</v>
      </c>
      <c r="C580" s="1" t="s">
        <v>188</v>
      </c>
      <c r="D580" s="12" t="s">
        <v>1057</v>
      </c>
      <c r="E580" s="3">
        <v>1</v>
      </c>
      <c r="F580" s="5" t="s">
        <v>708</v>
      </c>
      <c r="G580" s="3">
        <v>5</v>
      </c>
      <c r="K580" s="1">
        <v>7211</v>
      </c>
      <c r="L580" s="1">
        <v>5400</v>
      </c>
      <c r="M580" s="1">
        <v>6350</v>
      </c>
      <c r="N580" s="1" t="s">
        <v>1008</v>
      </c>
      <c r="O580" s="1">
        <v>100</v>
      </c>
      <c r="P580" s="1" t="s">
        <v>398</v>
      </c>
      <c r="Q580" s="1">
        <v>10</v>
      </c>
      <c r="R580" s="1">
        <v>20034</v>
      </c>
      <c r="S580" s="16">
        <v>0.01</v>
      </c>
      <c r="U580" s="19" t="s">
        <v>1057</v>
      </c>
      <c r="V580" s="17" t="s">
        <v>1058</v>
      </c>
      <c r="X580" s="17" t="s">
        <v>1059</v>
      </c>
      <c r="Y580" s="5" t="s">
        <v>1005</v>
      </c>
      <c r="Z580" s="21" t="s">
        <v>1060</v>
      </c>
      <c r="AA580" s="22" t="s">
        <v>1061</v>
      </c>
      <c r="AC580" s="22"/>
    </row>
    <row r="581" spans="1:29" s="1" customFormat="1" ht="49.5" x14ac:dyDescent="0.25">
      <c r="A581" s="13">
        <f t="shared" si="7"/>
        <v>723101</v>
      </c>
      <c r="B581" s="14">
        <v>7231</v>
      </c>
      <c r="C581" s="1" t="s">
        <v>188</v>
      </c>
      <c r="D581" s="12" t="s">
        <v>1062</v>
      </c>
      <c r="E581" s="3">
        <v>1</v>
      </c>
      <c r="F581" s="5" t="s">
        <v>708</v>
      </c>
      <c r="G581" s="3">
        <v>10</v>
      </c>
      <c r="K581" s="1">
        <v>7221</v>
      </c>
      <c r="L581" s="1">
        <v>7200</v>
      </c>
      <c r="M581" s="1">
        <v>6650</v>
      </c>
      <c r="N581" s="1" t="s">
        <v>1015</v>
      </c>
      <c r="O581" s="1">
        <v>100</v>
      </c>
      <c r="P581" s="1" t="s">
        <v>398</v>
      </c>
      <c r="Q581" s="1">
        <v>10</v>
      </c>
      <c r="R581" s="1">
        <v>20204</v>
      </c>
      <c r="S581" s="16">
        <v>0.01</v>
      </c>
      <c r="U581" s="1" t="s">
        <v>1062</v>
      </c>
      <c r="V581" s="17" t="s">
        <v>1063</v>
      </c>
      <c r="X581" s="17" t="s">
        <v>1064</v>
      </c>
      <c r="Y581" s="5" t="s">
        <v>1005</v>
      </c>
      <c r="Z581" s="21" t="s">
        <v>1051</v>
      </c>
      <c r="AA581" s="22" t="s">
        <v>1065</v>
      </c>
      <c r="AC581" s="22"/>
    </row>
    <row r="582" spans="1:29" s="1" customFormat="1" ht="49.5" x14ac:dyDescent="0.25">
      <c r="A582" s="13">
        <f t="shared" si="7"/>
        <v>723102</v>
      </c>
      <c r="B582" s="14">
        <v>7231</v>
      </c>
      <c r="C582" s="1" t="s">
        <v>188</v>
      </c>
      <c r="D582" s="12" t="s">
        <v>1062</v>
      </c>
      <c r="E582" s="3">
        <v>2</v>
      </c>
      <c r="F582" s="5" t="s">
        <v>708</v>
      </c>
      <c r="G582" s="3">
        <v>12</v>
      </c>
      <c r="K582" s="1">
        <v>7221</v>
      </c>
      <c r="L582" s="1">
        <v>7200</v>
      </c>
      <c r="M582" s="1">
        <v>6650</v>
      </c>
      <c r="N582" s="1" t="s">
        <v>1015</v>
      </c>
      <c r="O582" s="1">
        <v>100</v>
      </c>
      <c r="P582" s="1" t="s">
        <v>398</v>
      </c>
      <c r="Q582" s="1">
        <v>10</v>
      </c>
      <c r="R582" s="1">
        <v>20204</v>
      </c>
      <c r="S582" s="16">
        <v>0.01</v>
      </c>
      <c r="U582" s="1" t="s">
        <v>1062</v>
      </c>
      <c r="V582" s="17" t="s">
        <v>1063</v>
      </c>
      <c r="X582" s="17" t="s">
        <v>1064</v>
      </c>
      <c r="Y582" s="5" t="s">
        <v>1005</v>
      </c>
      <c r="Z582" s="21" t="s">
        <v>1051</v>
      </c>
      <c r="AA582" s="22" t="s">
        <v>1065</v>
      </c>
      <c r="AC582" s="22"/>
    </row>
    <row r="583" spans="1:29" s="1" customFormat="1" ht="49.5" x14ac:dyDescent="0.25">
      <c r="A583" s="13">
        <f t="shared" si="7"/>
        <v>723201</v>
      </c>
      <c r="B583" s="14">
        <v>7232</v>
      </c>
      <c r="C583" s="1" t="s">
        <v>188</v>
      </c>
      <c r="D583" s="12" t="s">
        <v>1066</v>
      </c>
      <c r="E583" s="3">
        <v>1</v>
      </c>
      <c r="F583" s="5" t="s">
        <v>708</v>
      </c>
      <c r="G583" s="3">
        <v>10</v>
      </c>
      <c r="K583" s="1">
        <v>7221</v>
      </c>
      <c r="L583" s="1">
        <v>7200</v>
      </c>
      <c r="M583" s="1">
        <v>6650</v>
      </c>
      <c r="N583" s="1" t="s">
        <v>1015</v>
      </c>
      <c r="O583" s="1">
        <v>100</v>
      </c>
      <c r="P583" s="1" t="s">
        <v>398</v>
      </c>
      <c r="Q583" s="1">
        <v>10</v>
      </c>
      <c r="R583" s="20">
        <v>20404</v>
      </c>
      <c r="S583" s="16">
        <v>0.01</v>
      </c>
      <c r="U583" s="1" t="s">
        <v>1066</v>
      </c>
      <c r="V583" s="17" t="s">
        <v>1067</v>
      </c>
      <c r="X583" s="17" t="s">
        <v>1068</v>
      </c>
      <c r="Y583" s="5" t="s">
        <v>1005</v>
      </c>
      <c r="Z583" s="21" t="s">
        <v>1051</v>
      </c>
      <c r="AA583" s="22" t="s">
        <v>1069</v>
      </c>
      <c r="AC583" s="22"/>
    </row>
    <row r="584" spans="1:29" s="1" customFormat="1" ht="49.5" x14ac:dyDescent="0.25">
      <c r="A584" s="13">
        <f t="shared" si="7"/>
        <v>723202</v>
      </c>
      <c r="B584" s="14">
        <v>7232</v>
      </c>
      <c r="C584" s="1" t="s">
        <v>188</v>
      </c>
      <c r="D584" s="12" t="s">
        <v>1066</v>
      </c>
      <c r="E584" s="3">
        <v>2</v>
      </c>
      <c r="F584" s="5" t="s">
        <v>708</v>
      </c>
      <c r="G584" s="3">
        <v>12</v>
      </c>
      <c r="K584" s="1">
        <v>7221</v>
      </c>
      <c r="L584" s="1">
        <v>7200</v>
      </c>
      <c r="M584" s="1">
        <v>6650</v>
      </c>
      <c r="N584" s="1" t="s">
        <v>1015</v>
      </c>
      <c r="O584" s="1">
        <v>100</v>
      </c>
      <c r="P584" s="1" t="s">
        <v>398</v>
      </c>
      <c r="Q584" s="1">
        <v>10</v>
      </c>
      <c r="R584" s="20">
        <v>20404</v>
      </c>
      <c r="S584" s="16">
        <v>0.01</v>
      </c>
      <c r="U584" s="1" t="s">
        <v>1066</v>
      </c>
      <c r="V584" s="17" t="s">
        <v>1067</v>
      </c>
      <c r="X584" s="17" t="s">
        <v>1068</v>
      </c>
      <c r="Y584" s="5" t="s">
        <v>1005</v>
      </c>
      <c r="Z584" s="21" t="s">
        <v>1051</v>
      </c>
      <c r="AA584" s="22" t="s">
        <v>1069</v>
      </c>
      <c r="AC584" s="22"/>
    </row>
    <row r="585" spans="1:29" s="1" customFormat="1" ht="49.5" x14ac:dyDescent="0.25">
      <c r="A585" s="13">
        <f t="shared" si="7"/>
        <v>723301</v>
      </c>
      <c r="B585" s="14">
        <v>7233</v>
      </c>
      <c r="C585" s="1" t="s">
        <v>188</v>
      </c>
      <c r="D585" s="12" t="s">
        <v>1022</v>
      </c>
      <c r="E585" s="3">
        <v>1</v>
      </c>
      <c r="F585" s="5" t="s">
        <v>708</v>
      </c>
      <c r="G585" s="3">
        <v>10</v>
      </c>
      <c r="K585" s="1">
        <v>7222</v>
      </c>
      <c r="L585" s="1">
        <v>7200</v>
      </c>
      <c r="M585" s="1">
        <v>6650</v>
      </c>
      <c r="N585" s="1" t="s">
        <v>1015</v>
      </c>
      <c r="O585" s="1">
        <v>100</v>
      </c>
      <c r="P585" s="1" t="s">
        <v>398</v>
      </c>
      <c r="Q585" s="1">
        <v>10</v>
      </c>
      <c r="S585" s="16"/>
      <c r="U585" s="1" t="s">
        <v>1498</v>
      </c>
      <c r="V585" s="17" t="s">
        <v>1071</v>
      </c>
      <c r="X585" s="17"/>
      <c r="Y585" s="5" t="s">
        <v>1005</v>
      </c>
      <c r="Z585" s="21" t="s">
        <v>1025</v>
      </c>
      <c r="AA585" s="22" t="s">
        <v>277</v>
      </c>
      <c r="AC585" s="22"/>
    </row>
    <row r="586" spans="1:29" s="1" customFormat="1" ht="49.5" x14ac:dyDescent="0.25">
      <c r="A586" s="13">
        <f t="shared" ref="A586:A649" si="8">B586*100+E586</f>
        <v>723401</v>
      </c>
      <c r="B586" s="14">
        <v>7234</v>
      </c>
      <c r="C586" s="1" t="s">
        <v>188</v>
      </c>
      <c r="D586" s="12" t="s">
        <v>1072</v>
      </c>
      <c r="E586" s="3">
        <v>1</v>
      </c>
      <c r="F586" s="5" t="s">
        <v>708</v>
      </c>
      <c r="G586" s="3">
        <v>10</v>
      </c>
      <c r="K586" s="1">
        <v>7223</v>
      </c>
      <c r="L586" s="1">
        <v>7200</v>
      </c>
      <c r="M586" s="1">
        <v>6650</v>
      </c>
      <c r="N586" s="1" t="s">
        <v>1015</v>
      </c>
      <c r="O586" s="1">
        <v>100</v>
      </c>
      <c r="P586" s="1" t="s">
        <v>398</v>
      </c>
      <c r="Q586" s="1">
        <v>10</v>
      </c>
      <c r="R586" s="20">
        <v>20434</v>
      </c>
      <c r="S586" s="16">
        <v>0.01</v>
      </c>
      <c r="U586" s="1" t="s">
        <v>1072</v>
      </c>
      <c r="V586" s="17" t="s">
        <v>1073</v>
      </c>
      <c r="X586" s="17" t="s">
        <v>1074</v>
      </c>
      <c r="Y586" s="5" t="s">
        <v>1005</v>
      </c>
      <c r="Z586" s="21" t="s">
        <v>1060</v>
      </c>
      <c r="AA586" s="22" t="s">
        <v>1075</v>
      </c>
      <c r="AC586" s="22"/>
    </row>
    <row r="587" spans="1:29" s="1" customFormat="1" ht="49.5" x14ac:dyDescent="0.25">
      <c r="A587" s="13">
        <f t="shared" si="8"/>
        <v>723402</v>
      </c>
      <c r="B587" s="14">
        <v>7234</v>
      </c>
      <c r="C587" s="1" t="s">
        <v>188</v>
      </c>
      <c r="D587" s="12" t="s">
        <v>1072</v>
      </c>
      <c r="E587" s="3">
        <v>2</v>
      </c>
      <c r="F587" s="5" t="s">
        <v>708</v>
      </c>
      <c r="G587" s="3">
        <v>12</v>
      </c>
      <c r="K587" s="1">
        <v>7223</v>
      </c>
      <c r="L587" s="1">
        <v>7200</v>
      </c>
      <c r="M587" s="1">
        <v>6650</v>
      </c>
      <c r="N587" s="1" t="s">
        <v>1015</v>
      </c>
      <c r="O587" s="1">
        <v>100</v>
      </c>
      <c r="P587" s="1" t="s">
        <v>398</v>
      </c>
      <c r="Q587" s="1">
        <v>10</v>
      </c>
      <c r="R587" s="20">
        <v>20434</v>
      </c>
      <c r="S587" s="16">
        <v>0.01</v>
      </c>
      <c r="U587" s="1" t="s">
        <v>1072</v>
      </c>
      <c r="V587" s="17" t="s">
        <v>1073</v>
      </c>
      <c r="X587" s="17" t="s">
        <v>1074</v>
      </c>
      <c r="Y587" s="5" t="s">
        <v>1005</v>
      </c>
      <c r="Z587" s="21" t="s">
        <v>1060</v>
      </c>
      <c r="AA587" s="22" t="s">
        <v>1075</v>
      </c>
      <c r="AC587" s="22"/>
    </row>
    <row r="588" spans="1:29" s="1" customFormat="1" ht="49.5" x14ac:dyDescent="0.25">
      <c r="A588" s="13">
        <f t="shared" si="8"/>
        <v>723501</v>
      </c>
      <c r="B588" s="14">
        <v>7235</v>
      </c>
      <c r="C588" s="1" t="s">
        <v>188</v>
      </c>
      <c r="D588" s="12" t="s">
        <v>1076</v>
      </c>
      <c r="E588" s="3">
        <v>1</v>
      </c>
      <c r="F588" s="5" t="s">
        <v>708</v>
      </c>
      <c r="G588" s="3">
        <v>10</v>
      </c>
      <c r="K588" s="1">
        <v>7223</v>
      </c>
      <c r="L588" s="1">
        <v>7200</v>
      </c>
      <c r="M588" s="1">
        <v>6650</v>
      </c>
      <c r="N588" s="1" t="s">
        <v>1015</v>
      </c>
      <c r="O588" s="1">
        <v>100</v>
      </c>
      <c r="P588" s="1" t="s">
        <v>398</v>
      </c>
      <c r="Q588" s="1">
        <v>10</v>
      </c>
      <c r="R588" s="1">
        <v>20234</v>
      </c>
      <c r="S588" s="16">
        <v>0.01</v>
      </c>
      <c r="U588" s="1" t="s">
        <v>1076</v>
      </c>
      <c r="V588" s="17" t="s">
        <v>1077</v>
      </c>
      <c r="X588" s="17" t="s">
        <v>1078</v>
      </c>
      <c r="Y588" s="5" t="s">
        <v>1005</v>
      </c>
      <c r="Z588" s="21" t="s">
        <v>1060</v>
      </c>
      <c r="AA588" s="22" t="s">
        <v>1079</v>
      </c>
      <c r="AC588" s="22"/>
    </row>
    <row r="589" spans="1:29" s="1" customFormat="1" ht="49.5" x14ac:dyDescent="0.25">
      <c r="A589" s="13">
        <f t="shared" si="8"/>
        <v>723502</v>
      </c>
      <c r="B589" s="14">
        <v>7235</v>
      </c>
      <c r="C589" s="1" t="s">
        <v>188</v>
      </c>
      <c r="D589" s="12" t="s">
        <v>1076</v>
      </c>
      <c r="E589" s="3">
        <v>2</v>
      </c>
      <c r="F589" s="5" t="s">
        <v>708</v>
      </c>
      <c r="G589" s="3">
        <v>12</v>
      </c>
      <c r="K589" s="1">
        <v>7223</v>
      </c>
      <c r="L589" s="1">
        <v>7200</v>
      </c>
      <c r="M589" s="1">
        <v>6650</v>
      </c>
      <c r="N589" s="1" t="s">
        <v>1015</v>
      </c>
      <c r="O589" s="1">
        <v>100</v>
      </c>
      <c r="P589" s="1" t="s">
        <v>398</v>
      </c>
      <c r="Q589" s="1">
        <v>10</v>
      </c>
      <c r="R589" s="1">
        <v>20234</v>
      </c>
      <c r="S589" s="16">
        <v>0.01</v>
      </c>
      <c r="U589" s="1" t="s">
        <v>1076</v>
      </c>
      <c r="V589" s="17" t="s">
        <v>1077</v>
      </c>
      <c r="X589" s="17" t="s">
        <v>1078</v>
      </c>
      <c r="Y589" s="5" t="s">
        <v>1005</v>
      </c>
      <c r="Z589" s="21" t="s">
        <v>1060</v>
      </c>
      <c r="AA589" s="22" t="s">
        <v>1079</v>
      </c>
      <c r="AC589" s="22"/>
    </row>
    <row r="590" spans="1:29" s="1" customFormat="1" ht="49.5" x14ac:dyDescent="0.25">
      <c r="A590" s="13">
        <f t="shared" si="8"/>
        <v>724101</v>
      </c>
      <c r="B590" s="14">
        <v>7241</v>
      </c>
      <c r="C590" s="1" t="s">
        <v>188</v>
      </c>
      <c r="D590" s="12" t="s">
        <v>1080</v>
      </c>
      <c r="E590" s="3">
        <v>1</v>
      </c>
      <c r="F590" s="5" t="s">
        <v>708</v>
      </c>
      <c r="G590" s="3">
        <v>15</v>
      </c>
      <c r="K590" s="1">
        <v>7231</v>
      </c>
      <c r="L590" s="1">
        <v>9000</v>
      </c>
      <c r="M590" s="1">
        <v>6950</v>
      </c>
      <c r="N590" s="1" t="s">
        <v>1032</v>
      </c>
      <c r="O590" s="1">
        <v>100</v>
      </c>
      <c r="P590" s="1" t="s">
        <v>398</v>
      </c>
      <c r="Q590" s="1">
        <v>10</v>
      </c>
      <c r="R590" s="20">
        <v>6034</v>
      </c>
      <c r="S590" s="16">
        <v>0.01</v>
      </c>
      <c r="U590" s="1" t="s">
        <v>1080</v>
      </c>
      <c r="V590" s="17" t="s">
        <v>1081</v>
      </c>
      <c r="X590" s="17" t="s">
        <v>1082</v>
      </c>
      <c r="Y590" s="5" t="s">
        <v>1005</v>
      </c>
      <c r="Z590" s="21" t="s">
        <v>1051</v>
      </c>
      <c r="AA590" s="22" t="s">
        <v>1083</v>
      </c>
      <c r="AC590" s="22"/>
    </row>
    <row r="591" spans="1:29" s="1" customFormat="1" ht="49.5" x14ac:dyDescent="0.25">
      <c r="A591" s="13">
        <f t="shared" si="8"/>
        <v>724102</v>
      </c>
      <c r="B591" s="14">
        <v>7241</v>
      </c>
      <c r="C591" s="1" t="s">
        <v>188</v>
      </c>
      <c r="D591" s="12" t="s">
        <v>1080</v>
      </c>
      <c r="E591" s="3">
        <v>2</v>
      </c>
      <c r="F591" s="5" t="s">
        <v>708</v>
      </c>
      <c r="G591" s="3">
        <v>16</v>
      </c>
      <c r="K591" s="1">
        <v>7231</v>
      </c>
      <c r="L591" s="1">
        <v>9000</v>
      </c>
      <c r="M591" s="1">
        <v>6950</v>
      </c>
      <c r="N591" s="1" t="s">
        <v>1032</v>
      </c>
      <c r="O591" s="1">
        <v>100</v>
      </c>
      <c r="P591" s="1" t="s">
        <v>398</v>
      </c>
      <c r="Q591" s="1">
        <v>10</v>
      </c>
      <c r="R591" s="20">
        <v>6034</v>
      </c>
      <c r="S591" s="16">
        <v>0.01</v>
      </c>
      <c r="U591" s="1" t="s">
        <v>1080</v>
      </c>
      <c r="V591" s="17" t="s">
        <v>1081</v>
      </c>
      <c r="X591" s="17" t="s">
        <v>1082</v>
      </c>
      <c r="Y591" s="5" t="s">
        <v>1005</v>
      </c>
      <c r="Z591" s="21" t="s">
        <v>1051</v>
      </c>
      <c r="AA591" s="22" t="s">
        <v>1083</v>
      </c>
      <c r="AC591" s="22"/>
    </row>
    <row r="592" spans="1:29" s="1" customFormat="1" ht="49.5" x14ac:dyDescent="0.25">
      <c r="A592" s="13">
        <f t="shared" si="8"/>
        <v>724201</v>
      </c>
      <c r="B592" s="14">
        <v>7242</v>
      </c>
      <c r="C592" s="1" t="s">
        <v>188</v>
      </c>
      <c r="D592" s="12" t="s">
        <v>1084</v>
      </c>
      <c r="E592" s="3">
        <v>1</v>
      </c>
      <c r="F592" s="5" t="s">
        <v>708</v>
      </c>
      <c r="G592" s="3">
        <v>15</v>
      </c>
      <c r="K592" s="1">
        <v>7231</v>
      </c>
      <c r="L592" s="1">
        <v>9000</v>
      </c>
      <c r="M592" s="1">
        <v>6950</v>
      </c>
      <c r="N592" s="1" t="s">
        <v>1032</v>
      </c>
      <c r="O592" s="1">
        <v>100</v>
      </c>
      <c r="P592" s="1" t="s">
        <v>398</v>
      </c>
      <c r="Q592" s="1">
        <v>10</v>
      </c>
      <c r="R592" s="20">
        <v>20264</v>
      </c>
      <c r="S592" s="16">
        <v>5.0000000000000001E-3</v>
      </c>
      <c r="U592" s="1" t="s">
        <v>1084</v>
      </c>
      <c r="V592" s="17" t="s">
        <v>1085</v>
      </c>
      <c r="X592" s="17" t="s">
        <v>1086</v>
      </c>
      <c r="Y592" s="5" t="s">
        <v>1005</v>
      </c>
      <c r="Z592" s="21" t="s">
        <v>1046</v>
      </c>
      <c r="AA592" s="22" t="s">
        <v>1087</v>
      </c>
      <c r="AC592" s="22"/>
    </row>
    <row r="593" spans="1:29" s="1" customFormat="1" ht="49.5" x14ac:dyDescent="0.25">
      <c r="A593" s="13">
        <f t="shared" si="8"/>
        <v>724202</v>
      </c>
      <c r="B593" s="14">
        <v>7242</v>
      </c>
      <c r="C593" s="1" t="s">
        <v>188</v>
      </c>
      <c r="D593" s="12" t="s">
        <v>1084</v>
      </c>
      <c r="E593" s="3">
        <v>2</v>
      </c>
      <c r="F593" s="5" t="s">
        <v>708</v>
      </c>
      <c r="G593" s="3">
        <v>16</v>
      </c>
      <c r="K593" s="1">
        <v>7231</v>
      </c>
      <c r="L593" s="1">
        <v>9000</v>
      </c>
      <c r="M593" s="1">
        <v>6950</v>
      </c>
      <c r="N593" s="1" t="s">
        <v>1032</v>
      </c>
      <c r="O593" s="1">
        <v>100</v>
      </c>
      <c r="P593" s="1" t="s">
        <v>398</v>
      </c>
      <c r="Q593" s="1">
        <v>10</v>
      </c>
      <c r="R593" s="20">
        <v>20264</v>
      </c>
      <c r="S593" s="16">
        <v>5.0000000000000001E-3</v>
      </c>
      <c r="U593" s="1" t="s">
        <v>1084</v>
      </c>
      <c r="V593" s="17" t="s">
        <v>1085</v>
      </c>
      <c r="X593" s="17" t="s">
        <v>1086</v>
      </c>
      <c r="Y593" s="5" t="s">
        <v>1005</v>
      </c>
      <c r="Z593" s="21" t="s">
        <v>1046</v>
      </c>
      <c r="AA593" s="22" t="s">
        <v>1087</v>
      </c>
      <c r="AC593" s="22"/>
    </row>
    <row r="594" spans="1:29" s="1" customFormat="1" ht="49.5" x14ac:dyDescent="0.25">
      <c r="A594" s="13">
        <f t="shared" si="8"/>
        <v>724301</v>
      </c>
      <c r="B594" s="14">
        <v>7243</v>
      </c>
      <c r="C594" s="1" t="s">
        <v>188</v>
      </c>
      <c r="D594" s="12" t="s">
        <v>1088</v>
      </c>
      <c r="E594" s="3">
        <v>1</v>
      </c>
      <c r="F594" s="5" t="s">
        <v>708</v>
      </c>
      <c r="G594" s="3">
        <v>18</v>
      </c>
      <c r="K594" s="1">
        <v>7232</v>
      </c>
      <c r="L594" s="1">
        <v>9000</v>
      </c>
      <c r="M594" s="1">
        <v>7250</v>
      </c>
      <c r="N594" s="1" t="s">
        <v>1033</v>
      </c>
      <c r="O594" s="1">
        <v>100</v>
      </c>
      <c r="P594" s="1" t="s">
        <v>398</v>
      </c>
      <c r="Q594" s="1">
        <v>10</v>
      </c>
      <c r="R594" s="20">
        <v>20464</v>
      </c>
      <c r="S594" s="16">
        <v>5.0000000000000001E-3</v>
      </c>
      <c r="U594" s="1" t="s">
        <v>1088</v>
      </c>
      <c r="V594" s="17" t="s">
        <v>1089</v>
      </c>
      <c r="X594" s="17" t="s">
        <v>1090</v>
      </c>
      <c r="Y594" s="5" t="s">
        <v>1005</v>
      </c>
      <c r="Z594" s="21" t="s">
        <v>1046</v>
      </c>
      <c r="AA594" s="22" t="s">
        <v>1091</v>
      </c>
      <c r="AC594" s="22"/>
    </row>
    <row r="595" spans="1:29" s="1" customFormat="1" ht="49.5" x14ac:dyDescent="0.25">
      <c r="A595" s="13">
        <f t="shared" si="8"/>
        <v>724401</v>
      </c>
      <c r="B595" s="14">
        <v>7244</v>
      </c>
      <c r="C595" s="1" t="s">
        <v>188</v>
      </c>
      <c r="D595" s="12" t="s">
        <v>1053</v>
      </c>
      <c r="E595" s="3">
        <v>1</v>
      </c>
      <c r="F595" s="5" t="s">
        <v>708</v>
      </c>
      <c r="G595" s="3">
        <v>20</v>
      </c>
      <c r="K595" s="1" t="s">
        <v>1499</v>
      </c>
      <c r="L595" s="1">
        <v>10800</v>
      </c>
      <c r="M595" s="1">
        <v>7550</v>
      </c>
      <c r="N595" s="1" t="s">
        <v>397</v>
      </c>
      <c r="O595" s="1">
        <v>100</v>
      </c>
      <c r="P595" s="1" t="s">
        <v>398</v>
      </c>
      <c r="Q595" s="1">
        <v>10</v>
      </c>
      <c r="R595" s="1">
        <v>20064</v>
      </c>
      <c r="S595" s="16">
        <v>5.0000000000000001E-3</v>
      </c>
      <c r="U595" s="1" t="s">
        <v>1053</v>
      </c>
      <c r="V595" s="17" t="s">
        <v>1054</v>
      </c>
      <c r="X595" s="17" t="s">
        <v>1055</v>
      </c>
      <c r="Y595" s="5" t="s">
        <v>1005</v>
      </c>
      <c r="Z595" s="21" t="s">
        <v>1046</v>
      </c>
      <c r="AA595" s="22" t="s">
        <v>1093</v>
      </c>
      <c r="AC595" s="22"/>
    </row>
    <row r="596" spans="1:29" s="1" customFormat="1" ht="49.5" x14ac:dyDescent="0.25">
      <c r="A596" s="13">
        <f t="shared" si="8"/>
        <v>724501</v>
      </c>
      <c r="B596" s="14">
        <v>7245</v>
      </c>
      <c r="C596" s="1" t="s">
        <v>188</v>
      </c>
      <c r="D596" s="12" t="s">
        <v>1088</v>
      </c>
      <c r="E596" s="3">
        <v>1</v>
      </c>
      <c r="F596" s="5" t="s">
        <v>708</v>
      </c>
      <c r="G596" s="3">
        <v>18</v>
      </c>
      <c r="K596" s="1">
        <v>7234</v>
      </c>
      <c r="L596" s="1">
        <v>9000</v>
      </c>
      <c r="M596" s="1">
        <v>7250</v>
      </c>
      <c r="N596" s="1" t="s">
        <v>1033</v>
      </c>
      <c r="O596" s="1">
        <v>100</v>
      </c>
      <c r="P596" s="1" t="s">
        <v>398</v>
      </c>
      <c r="Q596" s="1">
        <v>10</v>
      </c>
      <c r="R596" s="20">
        <v>20464</v>
      </c>
      <c r="S596" s="16">
        <v>5.0000000000000001E-3</v>
      </c>
      <c r="U596" s="1" t="s">
        <v>1088</v>
      </c>
      <c r="V596" s="17" t="s">
        <v>1089</v>
      </c>
      <c r="X596" s="17" t="s">
        <v>1090</v>
      </c>
      <c r="Y596" s="5" t="s">
        <v>1005</v>
      </c>
      <c r="Z596" s="21" t="s">
        <v>1046</v>
      </c>
      <c r="AA596" s="22" t="s">
        <v>1094</v>
      </c>
    </row>
    <row r="597" spans="1:29" s="1" customFormat="1" ht="49.5" x14ac:dyDescent="0.25">
      <c r="A597" s="13">
        <f t="shared" si="8"/>
        <v>724601</v>
      </c>
      <c r="B597" s="14">
        <v>7246</v>
      </c>
      <c r="C597" s="1" t="s">
        <v>188</v>
      </c>
      <c r="D597" s="12" t="s">
        <v>1084</v>
      </c>
      <c r="E597" s="3">
        <v>1</v>
      </c>
      <c r="F597" s="5" t="s">
        <v>708</v>
      </c>
      <c r="G597" s="3">
        <v>15</v>
      </c>
      <c r="K597" s="1">
        <v>7235</v>
      </c>
      <c r="L597" s="1">
        <v>9000</v>
      </c>
      <c r="M597" s="1">
        <v>6950</v>
      </c>
      <c r="N597" s="1" t="s">
        <v>1032</v>
      </c>
      <c r="O597" s="1">
        <v>100</v>
      </c>
      <c r="P597" s="1" t="s">
        <v>398</v>
      </c>
      <c r="Q597" s="1">
        <v>10</v>
      </c>
      <c r="R597" s="20">
        <v>20264</v>
      </c>
      <c r="S597" s="16">
        <v>5.0000000000000001E-3</v>
      </c>
      <c r="U597" s="1" t="s">
        <v>1084</v>
      </c>
      <c r="V597" s="17" t="s">
        <v>1085</v>
      </c>
      <c r="X597" s="17" t="s">
        <v>1086</v>
      </c>
      <c r="Y597" s="5" t="s">
        <v>1005</v>
      </c>
      <c r="Z597" s="21" t="s">
        <v>1046</v>
      </c>
      <c r="AA597" s="22" t="s">
        <v>1095</v>
      </c>
    </row>
    <row r="598" spans="1:29" s="1" customFormat="1" ht="49.5" x14ac:dyDescent="0.25">
      <c r="A598" s="13">
        <f t="shared" si="8"/>
        <v>724602</v>
      </c>
      <c r="B598" s="14">
        <v>7246</v>
      </c>
      <c r="C598" s="1" t="s">
        <v>188</v>
      </c>
      <c r="D598" s="12" t="s">
        <v>1084</v>
      </c>
      <c r="E598" s="3">
        <v>2</v>
      </c>
      <c r="F598" s="5" t="s">
        <v>708</v>
      </c>
      <c r="G598" s="3">
        <v>16</v>
      </c>
      <c r="K598" s="1">
        <v>7235</v>
      </c>
      <c r="L598" s="1">
        <v>9000</v>
      </c>
      <c r="M598" s="1">
        <v>6950</v>
      </c>
      <c r="N598" s="1" t="s">
        <v>1032</v>
      </c>
      <c r="O598" s="1">
        <v>100</v>
      </c>
      <c r="P598" s="1" t="s">
        <v>398</v>
      </c>
      <c r="Q598" s="1">
        <v>10</v>
      </c>
      <c r="R598" s="20">
        <v>20264</v>
      </c>
      <c r="S598" s="2">
        <v>5.0000000000000001E-3</v>
      </c>
      <c r="U598" s="1" t="s">
        <v>1084</v>
      </c>
      <c r="V598" s="17" t="s">
        <v>1085</v>
      </c>
      <c r="X598" s="17" t="s">
        <v>1086</v>
      </c>
      <c r="Y598" s="5" t="s">
        <v>1005</v>
      </c>
      <c r="Z598" s="21" t="s">
        <v>1046</v>
      </c>
      <c r="AA598" s="22" t="s">
        <v>1095</v>
      </c>
    </row>
    <row r="599" spans="1:29" s="1" customFormat="1" ht="49.5" x14ac:dyDescent="0.25">
      <c r="A599" s="13">
        <f t="shared" si="8"/>
        <v>724701</v>
      </c>
      <c r="B599" s="14">
        <v>7247</v>
      </c>
      <c r="C599" s="1" t="s">
        <v>188</v>
      </c>
      <c r="D599" s="12" t="s">
        <v>1080</v>
      </c>
      <c r="E599" s="3">
        <v>1</v>
      </c>
      <c r="F599" s="5" t="s">
        <v>708</v>
      </c>
      <c r="G599" s="3">
        <v>15</v>
      </c>
      <c r="K599" s="1">
        <v>7235</v>
      </c>
      <c r="L599" s="1">
        <v>9000</v>
      </c>
      <c r="M599" s="1">
        <v>6950</v>
      </c>
      <c r="N599" s="1" t="s">
        <v>1032</v>
      </c>
      <c r="O599" s="1">
        <v>100</v>
      </c>
      <c r="P599" s="1" t="s">
        <v>398</v>
      </c>
      <c r="Q599" s="1">
        <v>10</v>
      </c>
      <c r="R599" s="20">
        <v>6034</v>
      </c>
      <c r="S599" s="16">
        <v>0.01</v>
      </c>
      <c r="U599" s="1" t="s">
        <v>1080</v>
      </c>
      <c r="V599" s="17" t="s">
        <v>1081</v>
      </c>
      <c r="X599" s="17" t="s">
        <v>1082</v>
      </c>
      <c r="Y599" s="5" t="s">
        <v>1005</v>
      </c>
      <c r="Z599" s="21" t="s">
        <v>1051</v>
      </c>
      <c r="AA599" s="22" t="s">
        <v>1096</v>
      </c>
    </row>
    <row r="600" spans="1:29" s="1" customFormat="1" ht="49.5" x14ac:dyDescent="0.25">
      <c r="A600" s="13">
        <f t="shared" si="8"/>
        <v>724702</v>
      </c>
      <c r="B600" s="14">
        <v>7247</v>
      </c>
      <c r="C600" s="1" t="s">
        <v>188</v>
      </c>
      <c r="D600" s="12" t="s">
        <v>1080</v>
      </c>
      <c r="E600" s="3">
        <v>2</v>
      </c>
      <c r="F600" s="5" t="s">
        <v>708</v>
      </c>
      <c r="G600" s="3">
        <v>16</v>
      </c>
      <c r="K600" s="1">
        <v>7235</v>
      </c>
      <c r="L600" s="1">
        <v>9000</v>
      </c>
      <c r="M600" s="1">
        <v>6950</v>
      </c>
      <c r="N600" s="1" t="s">
        <v>1032</v>
      </c>
      <c r="O600" s="1">
        <v>100</v>
      </c>
      <c r="P600" s="1" t="s">
        <v>398</v>
      </c>
      <c r="Q600" s="1">
        <v>10</v>
      </c>
      <c r="R600" s="20">
        <v>6034</v>
      </c>
      <c r="S600" s="16">
        <v>0.01</v>
      </c>
      <c r="U600" s="1" t="s">
        <v>1080</v>
      </c>
      <c r="V600" s="17" t="s">
        <v>1081</v>
      </c>
      <c r="X600" s="17" t="s">
        <v>1082</v>
      </c>
      <c r="Y600" s="5" t="s">
        <v>1005</v>
      </c>
      <c r="Z600" s="21" t="s">
        <v>1051</v>
      </c>
      <c r="AA600" s="22" t="s">
        <v>1096</v>
      </c>
    </row>
    <row r="601" spans="1:29" s="1" customFormat="1" ht="49.5" x14ac:dyDescent="0.25">
      <c r="A601" s="13">
        <f t="shared" si="8"/>
        <v>731101</v>
      </c>
      <c r="B601" s="14">
        <v>7311</v>
      </c>
      <c r="C601" s="1" t="s">
        <v>188</v>
      </c>
      <c r="D601" s="12" t="s">
        <v>1097</v>
      </c>
      <c r="E601" s="3">
        <v>1</v>
      </c>
      <c r="F601" s="5" t="s">
        <v>712</v>
      </c>
      <c r="G601" s="3">
        <v>1</v>
      </c>
      <c r="K601" s="1">
        <v>7233</v>
      </c>
      <c r="L601" s="1">
        <v>3600</v>
      </c>
      <c r="M601" s="1">
        <v>6300</v>
      </c>
      <c r="N601" s="1" t="s">
        <v>999</v>
      </c>
      <c r="O601" s="1">
        <v>100</v>
      </c>
      <c r="P601" s="1" t="s">
        <v>398</v>
      </c>
      <c r="Q601" s="1">
        <v>10</v>
      </c>
      <c r="R601" s="1" t="s">
        <v>1098</v>
      </c>
      <c r="S601" s="16" t="s">
        <v>1099</v>
      </c>
      <c r="U601" s="1" t="s">
        <v>1100</v>
      </c>
      <c r="V601" s="17" t="s">
        <v>1101</v>
      </c>
      <c r="X601" s="17" t="s">
        <v>1102</v>
      </c>
      <c r="Y601" s="5" t="s">
        <v>1005</v>
      </c>
      <c r="Z601" s="21" t="s">
        <v>1046</v>
      </c>
      <c r="AA601" s="22" t="s">
        <v>1103</v>
      </c>
    </row>
    <row r="602" spans="1:29" s="1" customFormat="1" ht="49.5" x14ac:dyDescent="0.25">
      <c r="A602" s="13">
        <f t="shared" si="8"/>
        <v>732101</v>
      </c>
      <c r="B602" s="14">
        <v>7321</v>
      </c>
      <c r="C602" s="1" t="s">
        <v>188</v>
      </c>
      <c r="D602" s="12" t="s">
        <v>1104</v>
      </c>
      <c r="E602" s="3">
        <v>1</v>
      </c>
      <c r="F602" s="5" t="s">
        <v>712</v>
      </c>
      <c r="G602" s="3">
        <v>5</v>
      </c>
      <c r="K602" s="1">
        <v>7311</v>
      </c>
      <c r="L602" s="1">
        <v>5400</v>
      </c>
      <c r="M602" s="1">
        <v>6650</v>
      </c>
      <c r="N602" s="1" t="s">
        <v>1008</v>
      </c>
      <c r="O602" s="1">
        <v>100</v>
      </c>
      <c r="P602" s="1" t="s">
        <v>398</v>
      </c>
      <c r="Q602" s="1">
        <v>10</v>
      </c>
      <c r="R602" s="1">
        <v>20008</v>
      </c>
      <c r="S602" s="16">
        <v>1.4999999999999999E-2</v>
      </c>
      <c r="U602" s="1" t="s">
        <v>1104</v>
      </c>
      <c r="V602" s="17" t="s">
        <v>1105</v>
      </c>
      <c r="X602" s="17" t="s">
        <v>1106</v>
      </c>
      <c r="Y602" s="5" t="s">
        <v>1005</v>
      </c>
      <c r="Z602" s="21" t="s">
        <v>1051</v>
      </c>
      <c r="AA602" s="22" t="s">
        <v>1107</v>
      </c>
    </row>
    <row r="603" spans="1:29" s="1" customFormat="1" ht="49.5" x14ac:dyDescent="0.25">
      <c r="A603" s="13">
        <f t="shared" si="8"/>
        <v>732201</v>
      </c>
      <c r="B603" s="14">
        <v>7322</v>
      </c>
      <c r="C603" s="1" t="s">
        <v>188</v>
      </c>
      <c r="D603" s="12" t="s">
        <v>1368</v>
      </c>
      <c r="E603" s="3">
        <v>1</v>
      </c>
      <c r="F603" s="5" t="s">
        <v>712</v>
      </c>
      <c r="G603" s="3">
        <v>5</v>
      </c>
      <c r="K603" s="1">
        <v>7311</v>
      </c>
      <c r="L603" s="1">
        <v>5400</v>
      </c>
      <c r="M603" s="1">
        <v>6650</v>
      </c>
      <c r="N603" s="1" t="s">
        <v>1008</v>
      </c>
      <c r="O603" s="1">
        <v>100</v>
      </c>
      <c r="P603" s="1" t="s">
        <v>398</v>
      </c>
      <c r="Q603" s="1">
        <v>10</v>
      </c>
      <c r="R603" s="1" t="s">
        <v>1369</v>
      </c>
      <c r="S603" s="16" t="s">
        <v>222</v>
      </c>
      <c r="U603" s="1" t="s">
        <v>1370</v>
      </c>
      <c r="V603" s="17" t="s">
        <v>1371</v>
      </c>
      <c r="X603" s="17" t="s">
        <v>1372</v>
      </c>
      <c r="Y603" s="5" t="s">
        <v>1005</v>
      </c>
      <c r="Z603" s="21" t="s">
        <v>1113</v>
      </c>
      <c r="AA603" s="22" t="s">
        <v>1114</v>
      </c>
    </row>
    <row r="604" spans="1:29" s="1" customFormat="1" ht="49.5" x14ac:dyDescent="0.25">
      <c r="A604" s="13">
        <f t="shared" si="8"/>
        <v>732301</v>
      </c>
      <c r="B604" s="14">
        <v>7323</v>
      </c>
      <c r="C604" s="1" t="s">
        <v>188</v>
      </c>
      <c r="D604" s="12" t="s">
        <v>1115</v>
      </c>
      <c r="E604" s="3">
        <v>1</v>
      </c>
      <c r="F604" s="5" t="s">
        <v>712</v>
      </c>
      <c r="G604" s="3">
        <v>5</v>
      </c>
      <c r="K604" s="1">
        <v>7311</v>
      </c>
      <c r="L604" s="1">
        <v>5400</v>
      </c>
      <c r="M604" s="1">
        <v>6650</v>
      </c>
      <c r="N604" s="1" t="s">
        <v>1008</v>
      </c>
      <c r="O604" s="1">
        <v>100</v>
      </c>
      <c r="P604" s="1" t="s">
        <v>398</v>
      </c>
      <c r="Q604" s="1">
        <v>10</v>
      </c>
      <c r="R604" s="1">
        <v>20038</v>
      </c>
      <c r="S604" s="16">
        <v>1.4999999999999999E-2</v>
      </c>
      <c r="U604" s="1" t="s">
        <v>1115</v>
      </c>
      <c r="V604" s="17" t="s">
        <v>1116</v>
      </c>
      <c r="X604" s="17" t="s">
        <v>1117</v>
      </c>
      <c r="Y604" s="5" t="s">
        <v>1005</v>
      </c>
      <c r="Z604" s="21" t="s">
        <v>1060</v>
      </c>
      <c r="AA604" s="22" t="s">
        <v>1118</v>
      </c>
    </row>
    <row r="605" spans="1:29" s="1" customFormat="1" ht="49.5" x14ac:dyDescent="0.25">
      <c r="A605" s="13">
        <f t="shared" si="8"/>
        <v>733101</v>
      </c>
      <c r="B605" s="14">
        <v>7331</v>
      </c>
      <c r="C605" s="1" t="s">
        <v>188</v>
      </c>
      <c r="D605" s="12" t="s">
        <v>1104</v>
      </c>
      <c r="E605" s="3">
        <v>1</v>
      </c>
      <c r="F605" s="5" t="s">
        <v>712</v>
      </c>
      <c r="G605" s="3">
        <v>10</v>
      </c>
      <c r="K605" s="1">
        <v>7321</v>
      </c>
      <c r="L605" s="1">
        <v>7200</v>
      </c>
      <c r="M605" s="1">
        <v>6950</v>
      </c>
      <c r="N605" s="1" t="s">
        <v>1015</v>
      </c>
      <c r="O605" s="1">
        <v>100</v>
      </c>
      <c r="P605" s="1" t="s">
        <v>398</v>
      </c>
      <c r="Q605" s="1">
        <v>10</v>
      </c>
      <c r="R605" s="1">
        <v>20008</v>
      </c>
      <c r="S605" s="16">
        <v>1.4999999999999999E-2</v>
      </c>
      <c r="U605" s="1" t="s">
        <v>1104</v>
      </c>
      <c r="V605" s="17" t="s">
        <v>1105</v>
      </c>
      <c r="X605" s="17" t="s">
        <v>1106</v>
      </c>
      <c r="Y605" s="5" t="s">
        <v>1005</v>
      </c>
      <c r="Z605" s="21" t="s">
        <v>1051</v>
      </c>
      <c r="AA605" s="22" t="s">
        <v>1119</v>
      </c>
    </row>
    <row r="606" spans="1:29" s="1" customFormat="1" ht="49.5" x14ac:dyDescent="0.25">
      <c r="A606" s="13">
        <f t="shared" si="8"/>
        <v>733102</v>
      </c>
      <c r="B606" s="14">
        <v>7331</v>
      </c>
      <c r="C606" s="1" t="s">
        <v>188</v>
      </c>
      <c r="D606" s="12" t="s">
        <v>1104</v>
      </c>
      <c r="E606" s="3">
        <v>2</v>
      </c>
      <c r="F606" s="5" t="s">
        <v>712</v>
      </c>
      <c r="G606" s="3">
        <v>14</v>
      </c>
      <c r="K606" s="1">
        <v>7321</v>
      </c>
      <c r="L606" s="1">
        <v>7200</v>
      </c>
      <c r="M606" s="1">
        <v>6950</v>
      </c>
      <c r="N606" s="1" t="s">
        <v>1015</v>
      </c>
      <c r="O606" s="1">
        <v>100</v>
      </c>
      <c r="P606" s="1" t="s">
        <v>398</v>
      </c>
      <c r="Q606" s="1">
        <v>10</v>
      </c>
      <c r="R606" s="1">
        <v>20008</v>
      </c>
      <c r="S606" s="16">
        <v>1.4999999999999999E-2</v>
      </c>
      <c r="U606" s="1" t="s">
        <v>1104</v>
      </c>
      <c r="V606" s="17" t="s">
        <v>1105</v>
      </c>
      <c r="X606" s="17" t="s">
        <v>1106</v>
      </c>
      <c r="Y606" s="5" t="s">
        <v>1005</v>
      </c>
      <c r="Z606" s="21" t="s">
        <v>1051</v>
      </c>
      <c r="AA606" s="22" t="s">
        <v>1119</v>
      </c>
    </row>
    <row r="607" spans="1:29" s="1" customFormat="1" ht="49.5" x14ac:dyDescent="0.25">
      <c r="A607" s="13">
        <f t="shared" si="8"/>
        <v>733201</v>
      </c>
      <c r="B607" s="14">
        <v>7332</v>
      </c>
      <c r="C607" s="1" t="s">
        <v>188</v>
      </c>
      <c r="D607" s="12" t="s">
        <v>1373</v>
      </c>
      <c r="E607" s="3">
        <v>1</v>
      </c>
      <c r="F607" s="5" t="s">
        <v>712</v>
      </c>
      <c r="G607" s="3">
        <v>10</v>
      </c>
      <c r="K607" s="1" t="s">
        <v>1500</v>
      </c>
      <c r="L607" s="1">
        <v>7200</v>
      </c>
      <c r="M607" s="1">
        <v>6950</v>
      </c>
      <c r="N607" s="1" t="s">
        <v>1015</v>
      </c>
      <c r="O607" s="1">
        <v>100</v>
      </c>
      <c r="P607" s="1" t="s">
        <v>398</v>
      </c>
      <c r="Q607" s="1">
        <v>10</v>
      </c>
      <c r="R607" s="1">
        <v>30242</v>
      </c>
      <c r="S607" s="16">
        <v>1</v>
      </c>
      <c r="U607" s="1" t="s">
        <v>1370</v>
      </c>
      <c r="V607" s="17" t="s">
        <v>1375</v>
      </c>
      <c r="X607" s="17" t="s">
        <v>1376</v>
      </c>
      <c r="Y607" s="5" t="s">
        <v>1005</v>
      </c>
      <c r="Z607" s="21" t="s">
        <v>1124</v>
      </c>
      <c r="AA607" s="22" t="s">
        <v>1125</v>
      </c>
    </row>
    <row r="608" spans="1:29" s="1" customFormat="1" ht="49.5" x14ac:dyDescent="0.25">
      <c r="A608" s="13">
        <f t="shared" si="8"/>
        <v>733202</v>
      </c>
      <c r="B608" s="14">
        <v>7332</v>
      </c>
      <c r="C608" s="1" t="s">
        <v>188</v>
      </c>
      <c r="D608" s="12" t="s">
        <v>1373</v>
      </c>
      <c r="E608" s="3">
        <v>2</v>
      </c>
      <c r="F608" s="5" t="s">
        <v>712</v>
      </c>
      <c r="G608" s="3">
        <v>14</v>
      </c>
      <c r="K608" s="1" t="s">
        <v>1500</v>
      </c>
      <c r="L608" s="1">
        <v>7200</v>
      </c>
      <c r="M608" s="1">
        <v>6950</v>
      </c>
      <c r="N608" s="1" t="s">
        <v>1015</v>
      </c>
      <c r="O608" s="1">
        <v>100</v>
      </c>
      <c r="P608" s="1" t="s">
        <v>398</v>
      </c>
      <c r="Q608" s="1">
        <v>10</v>
      </c>
      <c r="R608" s="1">
        <v>30242</v>
      </c>
      <c r="S608" s="16">
        <v>1</v>
      </c>
      <c r="U608" s="1" t="s">
        <v>1370</v>
      </c>
      <c r="V608" s="17" t="s">
        <v>1375</v>
      </c>
      <c r="X608" s="17" t="s">
        <v>1376</v>
      </c>
      <c r="Y608" s="5" t="s">
        <v>1005</v>
      </c>
      <c r="Z608" s="21" t="s">
        <v>1124</v>
      </c>
      <c r="AA608" s="22" t="s">
        <v>1125</v>
      </c>
    </row>
    <row r="609" spans="1:27" s="1" customFormat="1" ht="49.5" x14ac:dyDescent="0.25">
      <c r="A609" s="13">
        <f t="shared" si="8"/>
        <v>733301</v>
      </c>
      <c r="B609" s="14">
        <v>7333</v>
      </c>
      <c r="C609" s="1" t="s">
        <v>188</v>
      </c>
      <c r="D609" s="12" t="s">
        <v>1377</v>
      </c>
      <c r="E609" s="3">
        <v>1</v>
      </c>
      <c r="F609" s="5" t="s">
        <v>712</v>
      </c>
      <c r="G609" s="3">
        <v>10</v>
      </c>
      <c r="K609" s="1">
        <v>7322</v>
      </c>
      <c r="L609" s="1">
        <v>7200</v>
      </c>
      <c r="M609" s="1">
        <v>6950</v>
      </c>
      <c r="N609" s="1" t="s">
        <v>1015</v>
      </c>
      <c r="O609" s="1">
        <v>100</v>
      </c>
      <c r="P609" s="1" t="s">
        <v>398</v>
      </c>
      <c r="Q609" s="1">
        <v>10</v>
      </c>
      <c r="R609" s="1">
        <v>30222</v>
      </c>
      <c r="S609" s="16">
        <v>1</v>
      </c>
      <c r="U609" s="1" t="s">
        <v>1370</v>
      </c>
      <c r="V609" s="17" t="s">
        <v>1378</v>
      </c>
      <c r="X609" s="17" t="s">
        <v>1379</v>
      </c>
      <c r="Y609" s="5" t="s">
        <v>1005</v>
      </c>
      <c r="Z609" s="21" t="s">
        <v>1129</v>
      </c>
      <c r="AA609" s="22" t="s">
        <v>1130</v>
      </c>
    </row>
    <row r="610" spans="1:27" s="1" customFormat="1" ht="49.5" x14ac:dyDescent="0.25">
      <c r="A610" s="13">
        <f t="shared" si="8"/>
        <v>733302</v>
      </c>
      <c r="B610" s="14">
        <v>7333</v>
      </c>
      <c r="C610" s="1" t="s">
        <v>188</v>
      </c>
      <c r="D610" s="12" t="s">
        <v>1377</v>
      </c>
      <c r="E610" s="3">
        <v>2</v>
      </c>
      <c r="F610" s="5" t="s">
        <v>712</v>
      </c>
      <c r="G610" s="3">
        <v>14</v>
      </c>
      <c r="K610" s="1">
        <v>7322</v>
      </c>
      <c r="L610" s="1">
        <v>7200</v>
      </c>
      <c r="M610" s="1">
        <v>6950</v>
      </c>
      <c r="N610" s="1" t="s">
        <v>1015</v>
      </c>
      <c r="O610" s="1">
        <v>100</v>
      </c>
      <c r="P610" s="1" t="s">
        <v>398</v>
      </c>
      <c r="Q610" s="1">
        <v>10</v>
      </c>
      <c r="R610" s="1">
        <v>30222</v>
      </c>
      <c r="S610" s="16">
        <v>1</v>
      </c>
      <c r="U610" s="1" t="s">
        <v>1370</v>
      </c>
      <c r="V610" s="17" t="s">
        <v>1378</v>
      </c>
      <c r="X610" s="17" t="s">
        <v>1379</v>
      </c>
      <c r="Y610" s="5" t="s">
        <v>1005</v>
      </c>
      <c r="Z610" s="21" t="s">
        <v>1129</v>
      </c>
      <c r="AA610" s="22" t="s">
        <v>1130</v>
      </c>
    </row>
    <row r="611" spans="1:27" s="1" customFormat="1" ht="49.5" x14ac:dyDescent="0.25">
      <c r="A611" s="13">
        <f t="shared" si="8"/>
        <v>733401</v>
      </c>
      <c r="B611" s="14">
        <v>7334</v>
      </c>
      <c r="C611" s="1" t="s">
        <v>188</v>
      </c>
      <c r="D611" s="12" t="s">
        <v>1380</v>
      </c>
      <c r="E611" s="3">
        <v>1</v>
      </c>
      <c r="F611" s="5" t="s">
        <v>712</v>
      </c>
      <c r="G611" s="3">
        <v>10</v>
      </c>
      <c r="K611" s="1" t="s">
        <v>1501</v>
      </c>
      <c r="L611" s="1">
        <v>7200</v>
      </c>
      <c r="M611" s="1">
        <v>6950</v>
      </c>
      <c r="N611" s="1" t="s">
        <v>1015</v>
      </c>
      <c r="O611" s="1">
        <v>100</v>
      </c>
      <c r="P611" s="1" t="s">
        <v>398</v>
      </c>
      <c r="Q611" s="1">
        <v>10</v>
      </c>
      <c r="R611" s="1">
        <v>30232</v>
      </c>
      <c r="S611" s="16">
        <v>1</v>
      </c>
      <c r="U611" s="1" t="s">
        <v>1370</v>
      </c>
      <c r="V611" s="17" t="s">
        <v>1382</v>
      </c>
      <c r="X611" s="17" t="s">
        <v>1383</v>
      </c>
      <c r="Y611" s="5" t="s">
        <v>1005</v>
      </c>
      <c r="Z611" s="21" t="s">
        <v>1135</v>
      </c>
      <c r="AA611" s="22" t="s">
        <v>1136</v>
      </c>
    </row>
    <row r="612" spans="1:27" s="1" customFormat="1" ht="49.5" x14ac:dyDescent="0.25">
      <c r="A612" s="13">
        <f t="shared" si="8"/>
        <v>733402</v>
      </c>
      <c r="B612" s="14">
        <v>7334</v>
      </c>
      <c r="C612" s="1" t="s">
        <v>188</v>
      </c>
      <c r="D612" s="12" t="s">
        <v>1380</v>
      </c>
      <c r="E612" s="3">
        <v>2</v>
      </c>
      <c r="F612" s="5" t="s">
        <v>712</v>
      </c>
      <c r="G612" s="3">
        <v>14</v>
      </c>
      <c r="K612" s="1" t="s">
        <v>1501</v>
      </c>
      <c r="L612" s="1">
        <v>7200</v>
      </c>
      <c r="M612" s="1">
        <v>6950</v>
      </c>
      <c r="N612" s="1" t="s">
        <v>1015</v>
      </c>
      <c r="O612" s="1">
        <v>100</v>
      </c>
      <c r="P612" s="1" t="s">
        <v>398</v>
      </c>
      <c r="Q612" s="1">
        <v>10</v>
      </c>
      <c r="R612" s="1">
        <v>30232</v>
      </c>
      <c r="S612" s="16">
        <v>1</v>
      </c>
      <c r="U612" s="1" t="s">
        <v>1370</v>
      </c>
      <c r="V612" s="17" t="s">
        <v>1382</v>
      </c>
      <c r="X612" s="17" t="s">
        <v>1383</v>
      </c>
      <c r="Y612" s="5" t="s">
        <v>1005</v>
      </c>
      <c r="Z612" s="21" t="s">
        <v>1135</v>
      </c>
      <c r="AA612" s="22" t="s">
        <v>1136</v>
      </c>
    </row>
    <row r="613" spans="1:27" s="1" customFormat="1" ht="49.5" x14ac:dyDescent="0.25">
      <c r="A613" s="13">
        <f t="shared" si="8"/>
        <v>733501</v>
      </c>
      <c r="B613" s="14">
        <v>7335</v>
      </c>
      <c r="C613" s="1" t="s">
        <v>188</v>
      </c>
      <c r="D613" s="12" t="s">
        <v>1115</v>
      </c>
      <c r="E613" s="3">
        <v>1</v>
      </c>
      <c r="F613" s="5" t="s">
        <v>712</v>
      </c>
      <c r="G613" s="3">
        <v>10</v>
      </c>
      <c r="K613" s="1">
        <v>7323</v>
      </c>
      <c r="L613" s="1">
        <v>7200</v>
      </c>
      <c r="M613" s="1">
        <v>6950</v>
      </c>
      <c r="N613" s="1" t="s">
        <v>1015</v>
      </c>
      <c r="O613" s="1">
        <v>100</v>
      </c>
      <c r="P613" s="1" t="s">
        <v>398</v>
      </c>
      <c r="Q613" s="1">
        <v>10</v>
      </c>
      <c r="R613" s="1">
        <v>20038</v>
      </c>
      <c r="S613" s="16">
        <v>1.4999999999999999E-2</v>
      </c>
      <c r="U613" s="1" t="s">
        <v>1115</v>
      </c>
      <c r="V613" s="17" t="s">
        <v>1116</v>
      </c>
      <c r="X613" s="17" t="s">
        <v>1117</v>
      </c>
      <c r="Y613" s="5" t="s">
        <v>1005</v>
      </c>
      <c r="Z613" s="21" t="s">
        <v>1060</v>
      </c>
      <c r="AA613" s="22" t="s">
        <v>1137</v>
      </c>
    </row>
    <row r="614" spans="1:27" s="1" customFormat="1" ht="49.5" x14ac:dyDescent="0.25">
      <c r="A614" s="13">
        <f t="shared" si="8"/>
        <v>733502</v>
      </c>
      <c r="B614" s="14">
        <v>7335</v>
      </c>
      <c r="C614" s="1" t="s">
        <v>188</v>
      </c>
      <c r="D614" s="12" t="s">
        <v>1115</v>
      </c>
      <c r="E614" s="3">
        <v>2</v>
      </c>
      <c r="F614" s="5" t="s">
        <v>712</v>
      </c>
      <c r="G614" s="3">
        <v>14</v>
      </c>
      <c r="K614" s="1">
        <v>7323</v>
      </c>
      <c r="L614" s="1">
        <v>7200</v>
      </c>
      <c r="M614" s="1">
        <v>6950</v>
      </c>
      <c r="N614" s="1" t="s">
        <v>1015</v>
      </c>
      <c r="O614" s="1">
        <v>100</v>
      </c>
      <c r="P614" s="1" t="s">
        <v>398</v>
      </c>
      <c r="Q614" s="1">
        <v>10</v>
      </c>
      <c r="R614" s="1">
        <v>20038</v>
      </c>
      <c r="S614" s="16">
        <v>1.4999999999999999E-2</v>
      </c>
      <c r="U614" s="1" t="s">
        <v>1115</v>
      </c>
      <c r="V614" s="17" t="s">
        <v>1116</v>
      </c>
      <c r="X614" s="17" t="s">
        <v>1117</v>
      </c>
      <c r="Y614" s="5" t="s">
        <v>1005</v>
      </c>
      <c r="Z614" s="21" t="s">
        <v>1060</v>
      </c>
      <c r="AA614" s="22" t="s">
        <v>1137</v>
      </c>
    </row>
    <row r="615" spans="1:27" s="1" customFormat="1" ht="49.5" x14ac:dyDescent="0.25">
      <c r="A615" s="13">
        <f t="shared" si="8"/>
        <v>734101</v>
      </c>
      <c r="B615" s="14">
        <v>7341</v>
      </c>
      <c r="C615" s="1" t="s">
        <v>188</v>
      </c>
      <c r="D615" s="12" t="s">
        <v>1104</v>
      </c>
      <c r="E615" s="3">
        <v>1</v>
      </c>
      <c r="F615" s="5" t="s">
        <v>712</v>
      </c>
      <c r="G615" s="3">
        <v>15</v>
      </c>
      <c r="K615" s="1">
        <v>7331</v>
      </c>
      <c r="L615" s="1">
        <v>9000</v>
      </c>
      <c r="M615" s="1">
        <v>7250</v>
      </c>
      <c r="N615" s="1" t="s">
        <v>1032</v>
      </c>
      <c r="O615" s="1">
        <v>100</v>
      </c>
      <c r="P615" s="1" t="s">
        <v>398</v>
      </c>
      <c r="Q615" s="1">
        <v>10</v>
      </c>
      <c r="R615" s="1">
        <v>20008</v>
      </c>
      <c r="S615" s="16">
        <v>1.4999999999999999E-2</v>
      </c>
      <c r="U615" s="1" t="s">
        <v>1104</v>
      </c>
      <c r="V615" s="17" t="s">
        <v>1105</v>
      </c>
      <c r="X615" s="17" t="s">
        <v>1106</v>
      </c>
      <c r="Y615" s="5" t="s">
        <v>1005</v>
      </c>
      <c r="Z615" s="21" t="s">
        <v>1051</v>
      </c>
      <c r="AA615" s="22" t="s">
        <v>1138</v>
      </c>
    </row>
    <row r="616" spans="1:27" s="1" customFormat="1" ht="49.5" x14ac:dyDescent="0.25">
      <c r="A616" s="13">
        <f t="shared" si="8"/>
        <v>734102</v>
      </c>
      <c r="B616" s="14">
        <v>7341</v>
      </c>
      <c r="C616" s="1" t="s">
        <v>188</v>
      </c>
      <c r="D616" s="12" t="s">
        <v>1104</v>
      </c>
      <c r="E616" s="3">
        <v>2</v>
      </c>
      <c r="F616" s="5" t="s">
        <v>712</v>
      </c>
      <c r="G616" s="3">
        <v>17</v>
      </c>
      <c r="K616" s="1">
        <v>7331</v>
      </c>
      <c r="L616" s="1">
        <v>9000</v>
      </c>
      <c r="M616" s="1">
        <v>7250</v>
      </c>
      <c r="N616" s="1" t="s">
        <v>1032</v>
      </c>
      <c r="O616" s="1">
        <v>100</v>
      </c>
      <c r="P616" s="1" t="s">
        <v>398</v>
      </c>
      <c r="Q616" s="1">
        <v>10</v>
      </c>
      <c r="R616" s="1">
        <v>20008</v>
      </c>
      <c r="S616" s="16">
        <v>1.4999999999999999E-2</v>
      </c>
      <c r="U616" s="1" t="s">
        <v>1104</v>
      </c>
      <c r="V616" s="17" t="s">
        <v>1105</v>
      </c>
      <c r="X616" s="17" t="s">
        <v>1106</v>
      </c>
      <c r="Y616" s="5" t="s">
        <v>1005</v>
      </c>
      <c r="Z616" s="21" t="s">
        <v>1051</v>
      </c>
      <c r="AA616" s="22" t="s">
        <v>1138</v>
      </c>
    </row>
    <row r="617" spans="1:27" s="1" customFormat="1" ht="49.5" x14ac:dyDescent="0.25">
      <c r="A617" s="13">
        <f t="shared" si="8"/>
        <v>734201</v>
      </c>
      <c r="B617" s="14">
        <v>7342</v>
      </c>
      <c r="C617" s="1" t="s">
        <v>188</v>
      </c>
      <c r="D617" s="12" t="s">
        <v>1139</v>
      </c>
      <c r="E617" s="3">
        <v>1</v>
      </c>
      <c r="F617" s="5" t="s">
        <v>712</v>
      </c>
      <c r="G617" s="3">
        <v>15</v>
      </c>
      <c r="K617" s="1">
        <v>7331</v>
      </c>
      <c r="L617" s="1">
        <v>9000</v>
      </c>
      <c r="M617" s="1">
        <v>7250</v>
      </c>
      <c r="N617" s="1" t="s">
        <v>1032</v>
      </c>
      <c r="O617" s="1">
        <v>100</v>
      </c>
      <c r="P617" s="1" t="s">
        <v>398</v>
      </c>
      <c r="Q617" s="1">
        <v>10</v>
      </c>
      <c r="R617" s="1">
        <v>20068</v>
      </c>
      <c r="S617" s="16">
        <v>7.4999999999999997E-3</v>
      </c>
      <c r="U617" s="1" t="s">
        <v>1139</v>
      </c>
      <c r="V617" s="17" t="s">
        <v>1140</v>
      </c>
      <c r="X617" s="17" t="s">
        <v>1141</v>
      </c>
      <c r="Y617" s="5" t="s">
        <v>1005</v>
      </c>
      <c r="Z617" s="21" t="s">
        <v>1046</v>
      </c>
      <c r="AA617" s="22" t="s">
        <v>1142</v>
      </c>
    </row>
    <row r="618" spans="1:27" s="1" customFormat="1" ht="49.5" x14ac:dyDescent="0.25">
      <c r="A618" s="13">
        <f t="shared" si="8"/>
        <v>734202</v>
      </c>
      <c r="B618" s="14">
        <v>7342</v>
      </c>
      <c r="C618" s="1" t="s">
        <v>188</v>
      </c>
      <c r="D618" s="12" t="s">
        <v>1139</v>
      </c>
      <c r="E618" s="3">
        <v>2</v>
      </c>
      <c r="F618" s="5" t="s">
        <v>712</v>
      </c>
      <c r="G618" s="3">
        <v>17</v>
      </c>
      <c r="K618" s="1">
        <v>7331</v>
      </c>
      <c r="L618" s="1">
        <v>9000</v>
      </c>
      <c r="M618" s="1">
        <v>7250</v>
      </c>
      <c r="N618" s="1" t="s">
        <v>1032</v>
      </c>
      <c r="O618" s="1">
        <v>100</v>
      </c>
      <c r="P618" s="1" t="s">
        <v>398</v>
      </c>
      <c r="Q618" s="1">
        <v>10</v>
      </c>
      <c r="R618" s="1">
        <v>20068</v>
      </c>
      <c r="S618" s="16">
        <v>7.4999999999999997E-3</v>
      </c>
      <c r="U618" s="1" t="s">
        <v>1139</v>
      </c>
      <c r="V618" s="17" t="s">
        <v>1140</v>
      </c>
      <c r="X618" s="17" t="s">
        <v>1141</v>
      </c>
      <c r="Y618" s="5" t="s">
        <v>1005</v>
      </c>
      <c r="Z618" s="21" t="s">
        <v>1046</v>
      </c>
      <c r="AA618" s="22" t="s">
        <v>1142</v>
      </c>
    </row>
    <row r="619" spans="1:27" s="1" customFormat="1" ht="49.5" x14ac:dyDescent="0.25">
      <c r="A619" s="13">
        <f t="shared" si="8"/>
        <v>734301</v>
      </c>
      <c r="B619" s="14">
        <v>7343</v>
      </c>
      <c r="C619" s="1" t="s">
        <v>188</v>
      </c>
      <c r="D619" s="12" t="s">
        <v>1384</v>
      </c>
      <c r="E619" s="3">
        <v>1</v>
      </c>
      <c r="F619" s="5" t="s">
        <v>712</v>
      </c>
      <c r="G619" s="3">
        <v>18</v>
      </c>
      <c r="K619" s="1" t="s">
        <v>1502</v>
      </c>
      <c r="L619" s="1">
        <v>9000</v>
      </c>
      <c r="M619" s="1">
        <v>7600</v>
      </c>
      <c r="N619" s="1" t="s">
        <v>1033</v>
      </c>
      <c r="O619" s="1">
        <v>100</v>
      </c>
      <c r="P619" s="1" t="s">
        <v>398</v>
      </c>
      <c r="Q619" s="1">
        <v>10</v>
      </c>
      <c r="R619" s="1" t="s">
        <v>1386</v>
      </c>
      <c r="S619" s="16" t="s">
        <v>1146</v>
      </c>
      <c r="U619" s="1" t="s">
        <v>1370</v>
      </c>
      <c r="V619" s="17" t="s">
        <v>1387</v>
      </c>
      <c r="X619" s="17" t="s">
        <v>1388</v>
      </c>
      <c r="Y619" s="5" t="s">
        <v>1005</v>
      </c>
      <c r="Z619" s="21" t="s">
        <v>1129</v>
      </c>
      <c r="AA619" s="22" t="s">
        <v>1149</v>
      </c>
    </row>
    <row r="620" spans="1:27" s="1" customFormat="1" ht="49.5" x14ac:dyDescent="0.25">
      <c r="A620" s="13">
        <f t="shared" si="8"/>
        <v>734401</v>
      </c>
      <c r="B620" s="14">
        <v>7344</v>
      </c>
      <c r="C620" s="1" t="s">
        <v>188</v>
      </c>
      <c r="D620" s="12" t="s">
        <v>1368</v>
      </c>
      <c r="E620" s="3">
        <v>1</v>
      </c>
      <c r="F620" s="5" t="s">
        <v>712</v>
      </c>
      <c r="G620" s="3">
        <v>20</v>
      </c>
      <c r="K620" s="1" t="s">
        <v>1503</v>
      </c>
      <c r="L620" s="1">
        <v>10800</v>
      </c>
      <c r="M620" s="1">
        <v>7900</v>
      </c>
      <c r="N620" s="1" t="s">
        <v>397</v>
      </c>
      <c r="O620" s="1">
        <v>100</v>
      </c>
      <c r="P620" s="1" t="s">
        <v>398</v>
      </c>
      <c r="Q620" s="1">
        <v>10</v>
      </c>
      <c r="R620" s="1" t="s">
        <v>1369</v>
      </c>
      <c r="S620" s="16" t="s">
        <v>222</v>
      </c>
      <c r="U620" s="1" t="s">
        <v>1370</v>
      </c>
      <c r="V620" s="17" t="s">
        <v>1371</v>
      </c>
      <c r="X620" s="17" t="s">
        <v>1372</v>
      </c>
      <c r="Y620" s="5" t="s">
        <v>1005</v>
      </c>
      <c r="Z620" s="21" t="s">
        <v>1113</v>
      </c>
      <c r="AA620" s="22" t="s">
        <v>1151</v>
      </c>
    </row>
    <row r="621" spans="1:27" s="1" customFormat="1" ht="49.5" x14ac:dyDescent="0.25">
      <c r="A621" s="13">
        <f t="shared" si="8"/>
        <v>734501</v>
      </c>
      <c r="B621" s="14">
        <v>7345</v>
      </c>
      <c r="C621" s="1" t="s">
        <v>188</v>
      </c>
      <c r="D621" s="12" t="s">
        <v>1390</v>
      </c>
      <c r="E621" s="3">
        <v>1</v>
      </c>
      <c r="F621" s="5" t="s">
        <v>712</v>
      </c>
      <c r="G621" s="3">
        <v>18</v>
      </c>
      <c r="K621" s="1" t="s">
        <v>1504</v>
      </c>
      <c r="L621" s="1">
        <v>9000</v>
      </c>
      <c r="M621" s="1">
        <v>7600</v>
      </c>
      <c r="N621" s="1" t="s">
        <v>1033</v>
      </c>
      <c r="O621" s="1">
        <v>100</v>
      </c>
      <c r="P621" s="1" t="s">
        <v>398</v>
      </c>
      <c r="Q621" s="1">
        <v>10</v>
      </c>
      <c r="R621" s="1" t="s">
        <v>1392</v>
      </c>
      <c r="S621" s="16" t="s">
        <v>1146</v>
      </c>
      <c r="U621" s="1" t="s">
        <v>1370</v>
      </c>
      <c r="V621" s="17" t="s">
        <v>1393</v>
      </c>
      <c r="X621" s="17" t="s">
        <v>1394</v>
      </c>
      <c r="Y621" s="5" t="s">
        <v>1005</v>
      </c>
      <c r="Z621" s="21" t="s">
        <v>1129</v>
      </c>
      <c r="AA621" s="22" t="s">
        <v>1157</v>
      </c>
    </row>
    <row r="622" spans="1:27" s="1" customFormat="1" ht="49.5" x14ac:dyDescent="0.25">
      <c r="A622" s="13">
        <f t="shared" si="8"/>
        <v>734601</v>
      </c>
      <c r="B622" s="14">
        <v>7346</v>
      </c>
      <c r="C622" s="1" t="s">
        <v>188</v>
      </c>
      <c r="D622" s="12" t="s">
        <v>1139</v>
      </c>
      <c r="E622" s="3">
        <v>1</v>
      </c>
      <c r="F622" s="5" t="s">
        <v>712</v>
      </c>
      <c r="G622" s="3">
        <v>15</v>
      </c>
      <c r="K622" s="1">
        <v>7335</v>
      </c>
      <c r="L622" s="1">
        <v>9000</v>
      </c>
      <c r="M622" s="1">
        <v>7250</v>
      </c>
      <c r="N622" s="1" t="s">
        <v>1032</v>
      </c>
      <c r="O622" s="1">
        <v>100</v>
      </c>
      <c r="P622" s="1" t="s">
        <v>398</v>
      </c>
      <c r="Q622" s="1">
        <v>10</v>
      </c>
      <c r="R622" s="1">
        <v>20068</v>
      </c>
      <c r="S622" s="16">
        <v>7.4999999999999997E-3</v>
      </c>
      <c r="U622" s="1" t="s">
        <v>1139</v>
      </c>
      <c r="V622" s="17" t="s">
        <v>1140</v>
      </c>
      <c r="X622" s="17" t="s">
        <v>1141</v>
      </c>
      <c r="Y622" s="5" t="s">
        <v>1005</v>
      </c>
      <c r="Z622" s="21" t="s">
        <v>1046</v>
      </c>
      <c r="AA622" s="22" t="s">
        <v>1158</v>
      </c>
    </row>
    <row r="623" spans="1:27" s="1" customFormat="1" ht="49.5" x14ac:dyDescent="0.25">
      <c r="A623" s="13">
        <f t="shared" si="8"/>
        <v>734602</v>
      </c>
      <c r="B623" s="14">
        <v>7346</v>
      </c>
      <c r="C623" s="1" t="s">
        <v>188</v>
      </c>
      <c r="D623" s="12" t="s">
        <v>1139</v>
      </c>
      <c r="E623" s="3">
        <v>2</v>
      </c>
      <c r="F623" s="5" t="s">
        <v>712</v>
      </c>
      <c r="G623" s="3">
        <v>17</v>
      </c>
      <c r="K623" s="1">
        <v>7335</v>
      </c>
      <c r="L623" s="1">
        <v>9000</v>
      </c>
      <c r="M623" s="1">
        <v>7250</v>
      </c>
      <c r="N623" s="1" t="s">
        <v>1032</v>
      </c>
      <c r="O623" s="1">
        <v>100</v>
      </c>
      <c r="P623" s="1" t="s">
        <v>398</v>
      </c>
      <c r="Q623" s="1">
        <v>10</v>
      </c>
      <c r="R623" s="1">
        <v>20068</v>
      </c>
      <c r="S623" s="16">
        <v>7.4999999999999997E-3</v>
      </c>
      <c r="U623" s="1" t="s">
        <v>1139</v>
      </c>
      <c r="V623" s="17" t="s">
        <v>1140</v>
      </c>
      <c r="X623" s="17" t="s">
        <v>1141</v>
      </c>
      <c r="Y623" s="5" t="s">
        <v>1005</v>
      </c>
      <c r="Z623" s="21" t="s">
        <v>1046</v>
      </c>
      <c r="AA623" s="22" t="s">
        <v>1158</v>
      </c>
    </row>
    <row r="624" spans="1:27" s="1" customFormat="1" ht="49.5" x14ac:dyDescent="0.25">
      <c r="A624" s="13">
        <f t="shared" si="8"/>
        <v>734701</v>
      </c>
      <c r="B624" s="14">
        <v>7347</v>
      </c>
      <c r="C624" s="1" t="s">
        <v>188</v>
      </c>
      <c r="D624" s="12" t="s">
        <v>1115</v>
      </c>
      <c r="E624" s="3">
        <v>1</v>
      </c>
      <c r="F624" s="5" t="s">
        <v>712</v>
      </c>
      <c r="G624" s="3">
        <v>15</v>
      </c>
      <c r="K624" s="1">
        <v>7335</v>
      </c>
      <c r="L624" s="1">
        <v>9000</v>
      </c>
      <c r="M624" s="1">
        <v>7250</v>
      </c>
      <c r="N624" s="1" t="s">
        <v>1032</v>
      </c>
      <c r="O624" s="1">
        <v>100</v>
      </c>
      <c r="P624" s="1" t="s">
        <v>398</v>
      </c>
      <c r="Q624" s="1">
        <v>10</v>
      </c>
      <c r="R624" s="1">
        <v>20038</v>
      </c>
      <c r="S624" s="16">
        <v>1.4999999999999999E-2</v>
      </c>
      <c r="U624" s="1" t="s">
        <v>1115</v>
      </c>
      <c r="V624" s="17" t="s">
        <v>1116</v>
      </c>
      <c r="X624" s="17" t="s">
        <v>1117</v>
      </c>
      <c r="Y624" s="5" t="s">
        <v>1005</v>
      </c>
      <c r="Z624" s="21" t="s">
        <v>1060</v>
      </c>
      <c r="AA624" s="22" t="s">
        <v>1159</v>
      </c>
    </row>
    <row r="625" spans="1:29" s="1" customFormat="1" ht="49.5" x14ac:dyDescent="0.25">
      <c r="A625" s="13">
        <f t="shared" si="8"/>
        <v>734702</v>
      </c>
      <c r="B625" s="14">
        <v>7347</v>
      </c>
      <c r="C625" s="1" t="s">
        <v>188</v>
      </c>
      <c r="D625" s="12" t="s">
        <v>1115</v>
      </c>
      <c r="E625" s="3">
        <v>2</v>
      </c>
      <c r="F625" s="5" t="s">
        <v>712</v>
      </c>
      <c r="G625" s="3">
        <v>15</v>
      </c>
      <c r="K625" s="1">
        <v>7335</v>
      </c>
      <c r="L625" s="1">
        <v>9000</v>
      </c>
      <c r="M625" s="1">
        <v>7250</v>
      </c>
      <c r="N625" s="1" t="s">
        <v>1032</v>
      </c>
      <c r="O625" s="1">
        <v>100</v>
      </c>
      <c r="P625" s="1" t="s">
        <v>398</v>
      </c>
      <c r="Q625" s="1">
        <v>10</v>
      </c>
      <c r="R625" s="1">
        <v>20038</v>
      </c>
      <c r="S625" s="16">
        <v>1.4999999999999999E-2</v>
      </c>
      <c r="U625" s="1" t="s">
        <v>1115</v>
      </c>
      <c r="V625" s="17" t="s">
        <v>1116</v>
      </c>
      <c r="X625" s="17" t="s">
        <v>1117</v>
      </c>
      <c r="Y625" s="5" t="s">
        <v>1005</v>
      </c>
      <c r="Z625" s="21" t="s">
        <v>1060</v>
      </c>
      <c r="AA625" s="22" t="s">
        <v>1159</v>
      </c>
    </row>
    <row r="626" spans="1:29" s="1" customFormat="1" ht="49.5" x14ac:dyDescent="0.25">
      <c r="A626" s="13">
        <f t="shared" si="8"/>
        <v>811101</v>
      </c>
      <c r="B626" s="14">
        <v>8111</v>
      </c>
      <c r="C626" s="1" t="s">
        <v>558</v>
      </c>
      <c r="D626" s="12" t="s">
        <v>1169</v>
      </c>
      <c r="E626" s="3">
        <v>1</v>
      </c>
      <c r="F626" s="5" t="s">
        <v>396</v>
      </c>
      <c r="G626" s="3">
        <v>1</v>
      </c>
      <c r="H626" s="1">
        <v>8</v>
      </c>
      <c r="I626" s="1">
        <v>1</v>
      </c>
      <c r="L626" s="1">
        <v>3600</v>
      </c>
      <c r="M626" s="1">
        <v>2500</v>
      </c>
      <c r="N626" s="1" t="s">
        <v>999</v>
      </c>
      <c r="O626" s="1">
        <v>100</v>
      </c>
      <c r="P626" s="1" t="s">
        <v>398</v>
      </c>
      <c r="Q626" s="1">
        <v>10</v>
      </c>
      <c r="R626" s="1" t="s">
        <v>1272</v>
      </c>
      <c r="S626" s="16" t="s">
        <v>1001</v>
      </c>
      <c r="U626" s="1" t="s">
        <v>1273</v>
      </c>
      <c r="V626" s="17" t="s">
        <v>1274</v>
      </c>
      <c r="W626" s="5"/>
      <c r="X626" s="1" t="s">
        <v>1275</v>
      </c>
      <c r="Y626" s="5" t="s">
        <v>1005</v>
      </c>
      <c r="Z626" s="21" t="s">
        <v>1276</v>
      </c>
      <c r="AA626" s="22" t="s">
        <v>407</v>
      </c>
      <c r="AC626" s="22"/>
    </row>
    <row r="627" spans="1:29" s="1" customFormat="1" ht="49.5" x14ac:dyDescent="0.25">
      <c r="A627" s="13">
        <f t="shared" si="8"/>
        <v>811102</v>
      </c>
      <c r="B627" s="14">
        <v>8111</v>
      </c>
      <c r="C627" s="1" t="s">
        <v>558</v>
      </c>
      <c r="D627" s="12" t="s">
        <v>1169</v>
      </c>
      <c r="E627" s="3">
        <v>2</v>
      </c>
      <c r="F627" s="5" t="s">
        <v>396</v>
      </c>
      <c r="G627" s="3">
        <v>1</v>
      </c>
      <c r="H627" s="1">
        <v>8</v>
      </c>
      <c r="I627" s="1">
        <v>1</v>
      </c>
      <c r="L627" s="1">
        <v>3600</v>
      </c>
      <c r="M627" s="1">
        <v>2500</v>
      </c>
      <c r="N627" s="1" t="s">
        <v>999</v>
      </c>
      <c r="O627" s="1">
        <v>100</v>
      </c>
      <c r="P627" s="1" t="s">
        <v>398</v>
      </c>
      <c r="Q627" s="1">
        <v>10</v>
      </c>
      <c r="R627" s="1" t="s">
        <v>1272</v>
      </c>
      <c r="S627" s="16" t="s">
        <v>1001</v>
      </c>
      <c r="U627" s="1" t="s">
        <v>1273</v>
      </c>
      <c r="V627" s="17" t="s">
        <v>1274</v>
      </c>
      <c r="W627" s="5"/>
      <c r="X627" s="1" t="s">
        <v>1275</v>
      </c>
      <c r="Y627" s="5" t="s">
        <v>1005</v>
      </c>
      <c r="Z627" s="21" t="s">
        <v>1276</v>
      </c>
      <c r="AA627" s="22" t="s">
        <v>407</v>
      </c>
      <c r="AC627" s="22"/>
    </row>
    <row r="628" spans="1:29" s="1" customFormat="1" ht="49.5" x14ac:dyDescent="0.25">
      <c r="A628" s="13">
        <f t="shared" si="8"/>
        <v>811103</v>
      </c>
      <c r="B628" s="14">
        <v>8111</v>
      </c>
      <c r="C628" s="1" t="s">
        <v>558</v>
      </c>
      <c r="D628" s="12" t="s">
        <v>1169</v>
      </c>
      <c r="E628" s="3">
        <v>3</v>
      </c>
      <c r="F628" s="5" t="s">
        <v>396</v>
      </c>
      <c r="G628" s="3">
        <v>1</v>
      </c>
      <c r="H628" s="1">
        <v>8</v>
      </c>
      <c r="I628" s="1">
        <v>1</v>
      </c>
      <c r="L628" s="1">
        <v>3600</v>
      </c>
      <c r="M628" s="1">
        <v>2500</v>
      </c>
      <c r="N628" s="1" t="s">
        <v>999</v>
      </c>
      <c r="O628" s="1">
        <v>100</v>
      </c>
      <c r="P628" s="1" t="s">
        <v>398</v>
      </c>
      <c r="Q628" s="1">
        <v>10</v>
      </c>
      <c r="R628" s="1" t="s">
        <v>1272</v>
      </c>
      <c r="S628" s="16" t="s">
        <v>1001</v>
      </c>
      <c r="U628" s="1" t="s">
        <v>1273</v>
      </c>
      <c r="V628" s="17" t="s">
        <v>1274</v>
      </c>
      <c r="W628" s="5"/>
      <c r="X628" s="1" t="s">
        <v>1275</v>
      </c>
      <c r="Y628" s="5" t="s">
        <v>1005</v>
      </c>
      <c r="Z628" s="21" t="s">
        <v>1276</v>
      </c>
      <c r="AA628" s="22" t="s">
        <v>407</v>
      </c>
      <c r="AC628" s="22"/>
    </row>
    <row r="629" spans="1:29" s="1" customFormat="1" ht="49.5" x14ac:dyDescent="0.25">
      <c r="A629" s="13">
        <f t="shared" si="8"/>
        <v>811104</v>
      </c>
      <c r="B629" s="14">
        <v>8111</v>
      </c>
      <c r="C629" s="1" t="s">
        <v>558</v>
      </c>
      <c r="D629" s="12" t="s">
        <v>1169</v>
      </c>
      <c r="E629" s="3">
        <v>4</v>
      </c>
      <c r="F629" s="5" t="s">
        <v>396</v>
      </c>
      <c r="G629" s="3">
        <v>2</v>
      </c>
      <c r="H629" s="1">
        <v>8</v>
      </c>
      <c r="I629" s="1">
        <v>1</v>
      </c>
      <c r="L629" s="1">
        <v>3600</v>
      </c>
      <c r="M629" s="1">
        <v>2500</v>
      </c>
      <c r="N629" s="1" t="s">
        <v>999</v>
      </c>
      <c r="O629" s="1">
        <v>100</v>
      </c>
      <c r="P629" s="1" t="s">
        <v>398</v>
      </c>
      <c r="Q629" s="1">
        <v>10</v>
      </c>
      <c r="R629" s="1" t="s">
        <v>1272</v>
      </c>
      <c r="S629" s="16" t="s">
        <v>1001</v>
      </c>
      <c r="U629" s="1" t="s">
        <v>1273</v>
      </c>
      <c r="V629" s="17" t="s">
        <v>1274</v>
      </c>
      <c r="W629" s="5"/>
      <c r="X629" s="1" t="s">
        <v>1275</v>
      </c>
      <c r="Y629" s="5" t="s">
        <v>1005</v>
      </c>
      <c r="Z629" s="21" t="s">
        <v>1276</v>
      </c>
      <c r="AA629" s="22" t="s">
        <v>407</v>
      </c>
      <c r="AC629" s="22"/>
    </row>
    <row r="630" spans="1:29" s="1" customFormat="1" ht="49.5" x14ac:dyDescent="0.25">
      <c r="A630" s="13">
        <f t="shared" si="8"/>
        <v>811105</v>
      </c>
      <c r="B630" s="14">
        <v>8111</v>
      </c>
      <c r="C630" s="1" t="s">
        <v>558</v>
      </c>
      <c r="D630" s="12" t="s">
        <v>1169</v>
      </c>
      <c r="E630" s="3">
        <v>5</v>
      </c>
      <c r="F630" s="5" t="s">
        <v>396</v>
      </c>
      <c r="G630" s="3">
        <v>2</v>
      </c>
      <c r="H630" s="1">
        <v>8</v>
      </c>
      <c r="I630" s="1">
        <v>1</v>
      </c>
      <c r="L630" s="1">
        <v>3600</v>
      </c>
      <c r="M630" s="1">
        <v>2500</v>
      </c>
      <c r="N630" s="1" t="s">
        <v>999</v>
      </c>
      <c r="O630" s="1">
        <v>100</v>
      </c>
      <c r="P630" s="1" t="s">
        <v>398</v>
      </c>
      <c r="Q630" s="1">
        <v>10</v>
      </c>
      <c r="R630" s="1" t="s">
        <v>1272</v>
      </c>
      <c r="S630" s="16" t="s">
        <v>1001</v>
      </c>
      <c r="U630" s="1" t="s">
        <v>1273</v>
      </c>
      <c r="V630" s="17" t="s">
        <v>1274</v>
      </c>
      <c r="W630" s="5"/>
      <c r="X630" s="1" t="s">
        <v>1275</v>
      </c>
      <c r="Y630" s="5" t="s">
        <v>1005</v>
      </c>
      <c r="Z630" s="21" t="s">
        <v>1276</v>
      </c>
      <c r="AA630" s="22" t="s">
        <v>407</v>
      </c>
      <c r="AC630" s="22"/>
    </row>
    <row r="631" spans="1:29" s="1" customFormat="1" ht="49.5" x14ac:dyDescent="0.25">
      <c r="A631" s="13">
        <f t="shared" si="8"/>
        <v>812101</v>
      </c>
      <c r="B631" s="14">
        <v>8121</v>
      </c>
      <c r="C631" s="1" t="s">
        <v>558</v>
      </c>
      <c r="D631" s="15" t="s">
        <v>1277</v>
      </c>
      <c r="E631" s="3">
        <v>1</v>
      </c>
      <c r="F631" s="5" t="s">
        <v>396</v>
      </c>
      <c r="G631" s="3">
        <v>5</v>
      </c>
      <c r="H631" s="1">
        <v>8</v>
      </c>
      <c r="I631" s="1">
        <v>1</v>
      </c>
      <c r="L631" s="1">
        <v>5400</v>
      </c>
      <c r="M631" s="1">
        <v>2650</v>
      </c>
      <c r="N631" s="1" t="s">
        <v>1008</v>
      </c>
      <c r="O631" s="1">
        <v>100</v>
      </c>
      <c r="P631" s="1" t="s">
        <v>398</v>
      </c>
      <c r="Q631" s="1">
        <v>10</v>
      </c>
      <c r="R631" s="1">
        <v>1059</v>
      </c>
      <c r="S631" s="16">
        <v>8.0000000000000002E-3</v>
      </c>
      <c r="U631" s="1" t="s">
        <v>1278</v>
      </c>
      <c r="V631" s="17" t="s">
        <v>563</v>
      </c>
      <c r="W631" s="5"/>
      <c r="X631" s="17" t="s">
        <v>565</v>
      </c>
      <c r="Y631" s="5" t="s">
        <v>1005</v>
      </c>
      <c r="Z631" s="21" t="s">
        <v>1279</v>
      </c>
      <c r="AA631" s="22" t="s">
        <v>420</v>
      </c>
      <c r="AC631" s="22"/>
    </row>
    <row r="632" spans="1:29" s="1" customFormat="1" ht="49.5" x14ac:dyDescent="0.25">
      <c r="A632" s="13">
        <f t="shared" si="8"/>
        <v>812102</v>
      </c>
      <c r="B632" s="14">
        <v>8121</v>
      </c>
      <c r="C632" s="1" t="s">
        <v>558</v>
      </c>
      <c r="D632" s="15" t="s">
        <v>1277</v>
      </c>
      <c r="E632" s="3">
        <v>2</v>
      </c>
      <c r="F632" s="5" t="s">
        <v>396</v>
      </c>
      <c r="G632" s="3">
        <v>6</v>
      </c>
      <c r="H632" s="1">
        <v>8</v>
      </c>
      <c r="I632" s="1">
        <v>1</v>
      </c>
      <c r="L632" s="1">
        <v>5400</v>
      </c>
      <c r="M632" s="1">
        <v>2650</v>
      </c>
      <c r="N632" s="1" t="s">
        <v>1008</v>
      </c>
      <c r="O632" s="1">
        <v>100</v>
      </c>
      <c r="P632" s="1" t="s">
        <v>398</v>
      </c>
      <c r="Q632" s="1">
        <v>10</v>
      </c>
      <c r="R632" s="1">
        <v>1059</v>
      </c>
      <c r="S632" s="16">
        <v>8.0000000000000002E-3</v>
      </c>
      <c r="U632" s="1" t="s">
        <v>1278</v>
      </c>
      <c r="V632" s="17" t="s">
        <v>563</v>
      </c>
      <c r="W632" s="5"/>
      <c r="X632" s="17" t="s">
        <v>565</v>
      </c>
      <c r="Y632" s="5" t="s">
        <v>1005</v>
      </c>
      <c r="Z632" s="21" t="s">
        <v>1279</v>
      </c>
      <c r="AA632" s="22" t="s">
        <v>420</v>
      </c>
      <c r="AC632" s="22"/>
    </row>
    <row r="633" spans="1:29" s="1" customFormat="1" ht="49.5" x14ac:dyDescent="0.25">
      <c r="A633" s="13">
        <f t="shared" si="8"/>
        <v>812103</v>
      </c>
      <c r="B633" s="14">
        <v>8121</v>
      </c>
      <c r="C633" s="1" t="s">
        <v>558</v>
      </c>
      <c r="D633" s="15" t="s">
        <v>1277</v>
      </c>
      <c r="E633" s="3">
        <v>3</v>
      </c>
      <c r="F633" s="5" t="s">
        <v>396</v>
      </c>
      <c r="G633" s="3">
        <v>7</v>
      </c>
      <c r="H633" s="1">
        <v>8</v>
      </c>
      <c r="I633" s="1">
        <v>1</v>
      </c>
      <c r="L633" s="1">
        <v>5400</v>
      </c>
      <c r="M633" s="1">
        <v>2650</v>
      </c>
      <c r="N633" s="1" t="s">
        <v>1008</v>
      </c>
      <c r="O633" s="1">
        <v>100</v>
      </c>
      <c r="P633" s="1" t="s">
        <v>398</v>
      </c>
      <c r="Q633" s="1">
        <v>10</v>
      </c>
      <c r="R633" s="1">
        <v>1059</v>
      </c>
      <c r="S633" s="16">
        <v>8.0000000000000002E-3</v>
      </c>
      <c r="U633" s="1" t="s">
        <v>1278</v>
      </c>
      <c r="V633" s="17" t="s">
        <v>563</v>
      </c>
      <c r="W633" s="5"/>
      <c r="X633" s="17" t="s">
        <v>565</v>
      </c>
      <c r="Y633" s="5" t="s">
        <v>1005</v>
      </c>
      <c r="Z633" s="21" t="s">
        <v>1279</v>
      </c>
      <c r="AA633" s="22" t="s">
        <v>420</v>
      </c>
      <c r="AC633" s="22"/>
    </row>
    <row r="634" spans="1:29" s="1" customFormat="1" ht="49.5" x14ac:dyDescent="0.25">
      <c r="A634" s="13">
        <f t="shared" si="8"/>
        <v>812104</v>
      </c>
      <c r="B634" s="14">
        <v>8121</v>
      </c>
      <c r="C634" s="1" t="s">
        <v>558</v>
      </c>
      <c r="D634" s="15" t="s">
        <v>1277</v>
      </c>
      <c r="E634" s="3">
        <v>4</v>
      </c>
      <c r="F634" s="5" t="s">
        <v>396</v>
      </c>
      <c r="G634" s="3">
        <v>8</v>
      </c>
      <c r="H634" s="1">
        <v>8</v>
      </c>
      <c r="I634" s="1">
        <v>1</v>
      </c>
      <c r="L634" s="1">
        <v>5400</v>
      </c>
      <c r="M634" s="1">
        <v>2650</v>
      </c>
      <c r="N634" s="1" t="s">
        <v>1008</v>
      </c>
      <c r="O634" s="1">
        <v>100</v>
      </c>
      <c r="P634" s="1" t="s">
        <v>398</v>
      </c>
      <c r="Q634" s="1">
        <v>10</v>
      </c>
      <c r="R634" s="1">
        <v>1059</v>
      </c>
      <c r="S634" s="16">
        <v>8.0000000000000002E-3</v>
      </c>
      <c r="U634" s="1" t="s">
        <v>1278</v>
      </c>
      <c r="V634" s="17" t="s">
        <v>563</v>
      </c>
      <c r="W634" s="5"/>
      <c r="X634" s="17" t="s">
        <v>565</v>
      </c>
      <c r="Y634" s="5" t="s">
        <v>1005</v>
      </c>
      <c r="Z634" s="21" t="s">
        <v>1279</v>
      </c>
      <c r="AA634" s="22" t="s">
        <v>420</v>
      </c>
      <c r="AC634" s="22"/>
    </row>
    <row r="635" spans="1:29" s="1" customFormat="1" ht="49.5" x14ac:dyDescent="0.25">
      <c r="A635" s="13">
        <f t="shared" si="8"/>
        <v>812105</v>
      </c>
      <c r="B635" s="14">
        <v>8121</v>
      </c>
      <c r="C635" s="1" t="s">
        <v>558</v>
      </c>
      <c r="D635" s="15" t="s">
        <v>1277</v>
      </c>
      <c r="E635" s="3">
        <v>5</v>
      </c>
      <c r="F635" s="5" t="s">
        <v>396</v>
      </c>
      <c r="G635" s="3">
        <v>9</v>
      </c>
      <c r="H635" s="1">
        <v>8</v>
      </c>
      <c r="I635" s="1">
        <v>1</v>
      </c>
      <c r="L635" s="1">
        <v>5400</v>
      </c>
      <c r="M635" s="1">
        <v>2650</v>
      </c>
      <c r="N635" s="1" t="s">
        <v>1008</v>
      </c>
      <c r="O635" s="1">
        <v>100</v>
      </c>
      <c r="P635" s="1" t="s">
        <v>398</v>
      </c>
      <c r="Q635" s="1">
        <v>10</v>
      </c>
      <c r="R635" s="1">
        <v>1059</v>
      </c>
      <c r="S635" s="16">
        <v>8.0000000000000002E-3</v>
      </c>
      <c r="U635" s="1" t="s">
        <v>1278</v>
      </c>
      <c r="V635" s="17" t="s">
        <v>563</v>
      </c>
      <c r="W635" s="5"/>
      <c r="X635" s="17" t="s">
        <v>565</v>
      </c>
      <c r="Y635" s="5" t="s">
        <v>1005</v>
      </c>
      <c r="Z635" s="21" t="s">
        <v>1279</v>
      </c>
      <c r="AA635" s="22" t="s">
        <v>420</v>
      </c>
      <c r="AC635" s="22"/>
    </row>
    <row r="636" spans="1:29" s="1" customFormat="1" ht="49.5" x14ac:dyDescent="0.25">
      <c r="A636" s="13">
        <f t="shared" si="8"/>
        <v>812201</v>
      </c>
      <c r="B636" s="14">
        <v>8122</v>
      </c>
      <c r="C636" s="1" t="s">
        <v>558</v>
      </c>
      <c r="D636" s="12" t="s">
        <v>1169</v>
      </c>
      <c r="E636" s="3">
        <v>1</v>
      </c>
      <c r="F636" s="5" t="s">
        <v>396</v>
      </c>
      <c r="G636" s="3">
        <v>5</v>
      </c>
      <c r="H636" s="1">
        <v>8</v>
      </c>
      <c r="I636" s="1">
        <v>1</v>
      </c>
      <c r="L636" s="1">
        <v>5400</v>
      </c>
      <c r="M636" s="1">
        <v>2650</v>
      </c>
      <c r="N636" s="1" t="s">
        <v>1008</v>
      </c>
      <c r="O636" s="1">
        <v>100</v>
      </c>
      <c r="P636" s="1" t="s">
        <v>398</v>
      </c>
      <c r="Q636" s="1">
        <v>10</v>
      </c>
      <c r="R636" s="1" t="s">
        <v>1272</v>
      </c>
      <c r="S636" s="16" t="s">
        <v>1001</v>
      </c>
      <c r="U636" s="1" t="s">
        <v>1273</v>
      </c>
      <c r="V636" s="17" t="s">
        <v>1274</v>
      </c>
      <c r="W636" s="5"/>
      <c r="X636" s="1" t="s">
        <v>1275</v>
      </c>
      <c r="Y636" s="5" t="s">
        <v>1005</v>
      </c>
      <c r="Z636" s="21" t="s">
        <v>1276</v>
      </c>
      <c r="AA636" s="22" t="s">
        <v>433</v>
      </c>
      <c r="AC636" s="22"/>
    </row>
    <row r="637" spans="1:29" s="1" customFormat="1" ht="49.5" x14ac:dyDescent="0.25">
      <c r="A637" s="13">
        <f t="shared" si="8"/>
        <v>812202</v>
      </c>
      <c r="B637" s="14">
        <v>8122</v>
      </c>
      <c r="C637" s="1" t="s">
        <v>558</v>
      </c>
      <c r="D637" s="12" t="s">
        <v>1169</v>
      </c>
      <c r="E637" s="3">
        <v>2</v>
      </c>
      <c r="F637" s="5" t="s">
        <v>396</v>
      </c>
      <c r="G637" s="3">
        <v>6</v>
      </c>
      <c r="H637" s="1">
        <v>8</v>
      </c>
      <c r="I637" s="1">
        <v>1</v>
      </c>
      <c r="L637" s="1">
        <v>5400</v>
      </c>
      <c r="M637" s="1">
        <v>2650</v>
      </c>
      <c r="N637" s="1" t="s">
        <v>1008</v>
      </c>
      <c r="O637" s="1">
        <v>100</v>
      </c>
      <c r="P637" s="1" t="s">
        <v>398</v>
      </c>
      <c r="Q637" s="1">
        <v>10</v>
      </c>
      <c r="R637" s="1" t="s">
        <v>1272</v>
      </c>
      <c r="S637" s="16" t="s">
        <v>1001</v>
      </c>
      <c r="U637" s="1" t="s">
        <v>1273</v>
      </c>
      <c r="V637" s="17" t="s">
        <v>1274</v>
      </c>
      <c r="W637" s="5"/>
      <c r="X637" s="1" t="s">
        <v>1275</v>
      </c>
      <c r="Y637" s="5" t="s">
        <v>1005</v>
      </c>
      <c r="Z637" s="21" t="s">
        <v>1276</v>
      </c>
      <c r="AA637" s="22" t="s">
        <v>433</v>
      </c>
      <c r="AC637" s="22"/>
    </row>
    <row r="638" spans="1:29" s="1" customFormat="1" ht="49.5" x14ac:dyDescent="0.25">
      <c r="A638" s="13">
        <f t="shared" si="8"/>
        <v>812203</v>
      </c>
      <c r="B638" s="14">
        <v>8122</v>
      </c>
      <c r="C638" s="1" t="s">
        <v>558</v>
      </c>
      <c r="D638" s="12" t="s">
        <v>1169</v>
      </c>
      <c r="E638" s="3">
        <v>3</v>
      </c>
      <c r="F638" s="5" t="s">
        <v>396</v>
      </c>
      <c r="G638" s="3">
        <v>7</v>
      </c>
      <c r="H638" s="1">
        <v>8</v>
      </c>
      <c r="I638" s="1">
        <v>1</v>
      </c>
      <c r="L638" s="1">
        <v>5400</v>
      </c>
      <c r="M638" s="1">
        <v>2650</v>
      </c>
      <c r="N638" s="1" t="s">
        <v>1008</v>
      </c>
      <c r="O638" s="1">
        <v>100</v>
      </c>
      <c r="P638" s="1" t="s">
        <v>398</v>
      </c>
      <c r="Q638" s="1">
        <v>10</v>
      </c>
      <c r="R638" s="1" t="s">
        <v>1272</v>
      </c>
      <c r="S638" s="16" t="s">
        <v>1001</v>
      </c>
      <c r="U638" s="1" t="s">
        <v>1273</v>
      </c>
      <c r="V638" s="17" t="s">
        <v>1274</v>
      </c>
      <c r="W638" s="5"/>
      <c r="X638" s="1" t="s">
        <v>1275</v>
      </c>
      <c r="Y638" s="5" t="s">
        <v>1005</v>
      </c>
      <c r="Z638" s="21" t="s">
        <v>1276</v>
      </c>
      <c r="AA638" s="22" t="s">
        <v>433</v>
      </c>
      <c r="AC638" s="22"/>
    </row>
    <row r="639" spans="1:29" s="1" customFormat="1" ht="49.5" x14ac:dyDescent="0.25">
      <c r="A639" s="13">
        <f t="shared" si="8"/>
        <v>812204</v>
      </c>
      <c r="B639" s="14">
        <v>8122</v>
      </c>
      <c r="C639" s="1" t="s">
        <v>558</v>
      </c>
      <c r="D639" s="12" t="s">
        <v>1169</v>
      </c>
      <c r="E639" s="3">
        <v>4</v>
      </c>
      <c r="F639" s="5" t="s">
        <v>396</v>
      </c>
      <c r="G639" s="3">
        <v>8</v>
      </c>
      <c r="H639" s="1">
        <v>8</v>
      </c>
      <c r="I639" s="1">
        <v>1</v>
      </c>
      <c r="L639" s="1">
        <v>5400</v>
      </c>
      <c r="M639" s="1">
        <v>2650</v>
      </c>
      <c r="N639" s="1" t="s">
        <v>1008</v>
      </c>
      <c r="O639" s="1">
        <v>100</v>
      </c>
      <c r="P639" s="1" t="s">
        <v>398</v>
      </c>
      <c r="Q639" s="1">
        <v>10</v>
      </c>
      <c r="R639" s="1" t="s">
        <v>1272</v>
      </c>
      <c r="S639" s="16" t="s">
        <v>1001</v>
      </c>
      <c r="U639" s="1" t="s">
        <v>1273</v>
      </c>
      <c r="V639" s="17" t="s">
        <v>1274</v>
      </c>
      <c r="W639" s="5"/>
      <c r="X639" s="1" t="s">
        <v>1275</v>
      </c>
      <c r="Y639" s="5" t="s">
        <v>1005</v>
      </c>
      <c r="Z639" s="21" t="s">
        <v>1276</v>
      </c>
      <c r="AA639" s="22" t="s">
        <v>433</v>
      </c>
      <c r="AC639" s="22"/>
    </row>
    <row r="640" spans="1:29" s="1" customFormat="1" ht="49.5" x14ac:dyDescent="0.25">
      <c r="A640" s="13">
        <f t="shared" si="8"/>
        <v>812205</v>
      </c>
      <c r="B640" s="14">
        <v>8122</v>
      </c>
      <c r="C640" s="1" t="s">
        <v>558</v>
      </c>
      <c r="D640" s="12" t="s">
        <v>1169</v>
      </c>
      <c r="E640" s="3">
        <v>5</v>
      </c>
      <c r="F640" s="5" t="s">
        <v>396</v>
      </c>
      <c r="G640" s="3">
        <v>9</v>
      </c>
      <c r="H640" s="1">
        <v>8</v>
      </c>
      <c r="I640" s="1">
        <v>1</v>
      </c>
      <c r="L640" s="1">
        <v>5400</v>
      </c>
      <c r="M640" s="1">
        <v>2650</v>
      </c>
      <c r="N640" s="1" t="s">
        <v>1008</v>
      </c>
      <c r="O640" s="1">
        <v>100</v>
      </c>
      <c r="P640" s="1" t="s">
        <v>398</v>
      </c>
      <c r="Q640" s="1">
        <v>10</v>
      </c>
      <c r="R640" s="1" t="s">
        <v>1272</v>
      </c>
      <c r="S640" s="16" t="s">
        <v>1001</v>
      </c>
      <c r="U640" s="1" t="s">
        <v>1273</v>
      </c>
      <c r="V640" s="17" t="s">
        <v>1274</v>
      </c>
      <c r="W640" s="5"/>
      <c r="X640" s="1" t="s">
        <v>1275</v>
      </c>
      <c r="Y640" s="5" t="s">
        <v>1005</v>
      </c>
      <c r="Z640" s="21" t="s">
        <v>1276</v>
      </c>
      <c r="AA640" s="22" t="s">
        <v>433</v>
      </c>
      <c r="AC640" s="22"/>
    </row>
    <row r="641" spans="1:29" s="1" customFormat="1" ht="49.5" x14ac:dyDescent="0.25">
      <c r="A641" s="13">
        <f t="shared" si="8"/>
        <v>812301</v>
      </c>
      <c r="B641" s="14">
        <v>8123</v>
      </c>
      <c r="C641" s="1" t="s">
        <v>558</v>
      </c>
      <c r="D641" s="15" t="s">
        <v>1280</v>
      </c>
      <c r="E641" s="3">
        <v>1</v>
      </c>
      <c r="F641" s="5" t="s">
        <v>396</v>
      </c>
      <c r="G641" s="3">
        <v>5</v>
      </c>
      <c r="H641" s="1">
        <v>8</v>
      </c>
      <c r="I641" s="1">
        <v>2</v>
      </c>
      <c r="J641" s="1" t="s">
        <v>1281</v>
      </c>
      <c r="K641" s="1" t="s">
        <v>1505</v>
      </c>
      <c r="L641" s="1">
        <v>5400</v>
      </c>
      <c r="M641" s="1">
        <v>2650</v>
      </c>
      <c r="N641" s="1" t="s">
        <v>1008</v>
      </c>
      <c r="O641" s="1">
        <v>100</v>
      </c>
      <c r="P641" s="1" t="s">
        <v>398</v>
      </c>
      <c r="Q641" s="1">
        <v>10</v>
      </c>
      <c r="R641" s="1">
        <v>1064</v>
      </c>
      <c r="S641" s="16">
        <v>4.0000000000000001E-3</v>
      </c>
      <c r="U641" s="1" t="s">
        <v>569</v>
      </c>
      <c r="V641" s="17" t="s">
        <v>1283</v>
      </c>
      <c r="W641" s="5"/>
      <c r="X641" s="17" t="s">
        <v>1284</v>
      </c>
      <c r="Y641" s="5" t="s">
        <v>1005</v>
      </c>
      <c r="Z641" s="21" t="s">
        <v>1279</v>
      </c>
      <c r="AA641" s="22" t="s">
        <v>445</v>
      </c>
      <c r="AC641" s="22"/>
    </row>
    <row r="642" spans="1:29" s="1" customFormat="1" ht="49.5" x14ac:dyDescent="0.25">
      <c r="A642" s="13">
        <f t="shared" si="8"/>
        <v>812302</v>
      </c>
      <c r="B642" s="14">
        <v>8123</v>
      </c>
      <c r="C642" s="1" t="s">
        <v>558</v>
      </c>
      <c r="D642" s="15" t="s">
        <v>1280</v>
      </c>
      <c r="E642" s="3">
        <v>2</v>
      </c>
      <c r="F642" s="5" t="s">
        <v>396</v>
      </c>
      <c r="G642" s="3">
        <v>6</v>
      </c>
      <c r="H642" s="1">
        <v>8</v>
      </c>
      <c r="I642" s="1">
        <v>2</v>
      </c>
      <c r="J642" s="1" t="s">
        <v>1281</v>
      </c>
      <c r="K642" s="1" t="s">
        <v>1505</v>
      </c>
      <c r="L642" s="1">
        <v>5400</v>
      </c>
      <c r="M642" s="1">
        <v>2650</v>
      </c>
      <c r="N642" s="1" t="s">
        <v>1008</v>
      </c>
      <c r="O642" s="1">
        <v>100</v>
      </c>
      <c r="P642" s="1" t="s">
        <v>398</v>
      </c>
      <c r="Q642" s="1">
        <v>10</v>
      </c>
      <c r="R642" s="1">
        <v>1064</v>
      </c>
      <c r="S642" s="16">
        <v>4.0000000000000001E-3</v>
      </c>
      <c r="U642" s="1" t="s">
        <v>569</v>
      </c>
      <c r="V642" s="17" t="s">
        <v>1283</v>
      </c>
      <c r="W642" s="5"/>
      <c r="X642" s="17" t="s">
        <v>1284</v>
      </c>
      <c r="Y642" s="5" t="s">
        <v>1005</v>
      </c>
      <c r="Z642" s="21" t="s">
        <v>1279</v>
      </c>
      <c r="AA642" s="22" t="s">
        <v>445</v>
      </c>
      <c r="AC642" s="22"/>
    </row>
    <row r="643" spans="1:29" s="1" customFormat="1" ht="49.5" x14ac:dyDescent="0.25">
      <c r="A643" s="13">
        <f t="shared" si="8"/>
        <v>812303</v>
      </c>
      <c r="B643" s="14">
        <v>8123</v>
      </c>
      <c r="C643" s="1" t="s">
        <v>558</v>
      </c>
      <c r="D643" s="15" t="s">
        <v>1280</v>
      </c>
      <c r="E643" s="3">
        <v>3</v>
      </c>
      <c r="F643" s="5" t="s">
        <v>396</v>
      </c>
      <c r="G643" s="3">
        <v>7</v>
      </c>
      <c r="H643" s="1">
        <v>8</v>
      </c>
      <c r="I643" s="1">
        <v>2</v>
      </c>
      <c r="J643" s="1" t="s">
        <v>1281</v>
      </c>
      <c r="K643" s="1" t="s">
        <v>1505</v>
      </c>
      <c r="L643" s="1">
        <v>5400</v>
      </c>
      <c r="M643" s="1">
        <v>2650</v>
      </c>
      <c r="N643" s="1" t="s">
        <v>1008</v>
      </c>
      <c r="O643" s="1">
        <v>100</v>
      </c>
      <c r="P643" s="1" t="s">
        <v>398</v>
      </c>
      <c r="Q643" s="1">
        <v>10</v>
      </c>
      <c r="R643" s="1">
        <v>1064</v>
      </c>
      <c r="S643" s="16">
        <v>4.0000000000000001E-3</v>
      </c>
      <c r="U643" s="1" t="s">
        <v>569</v>
      </c>
      <c r="V643" s="17" t="s">
        <v>1283</v>
      </c>
      <c r="W643" s="5"/>
      <c r="X643" s="17" t="s">
        <v>1284</v>
      </c>
      <c r="Y643" s="5" t="s">
        <v>1005</v>
      </c>
      <c r="Z643" s="21" t="s">
        <v>1279</v>
      </c>
      <c r="AA643" s="22" t="s">
        <v>445</v>
      </c>
      <c r="AC643" s="22"/>
    </row>
    <row r="644" spans="1:29" s="1" customFormat="1" ht="49.5" x14ac:dyDescent="0.25">
      <c r="A644" s="13">
        <f t="shared" si="8"/>
        <v>812304</v>
      </c>
      <c r="B644" s="14">
        <v>8123</v>
      </c>
      <c r="C644" s="1" t="s">
        <v>558</v>
      </c>
      <c r="D644" s="15" t="s">
        <v>1280</v>
      </c>
      <c r="E644" s="3">
        <v>4</v>
      </c>
      <c r="F644" s="5" t="s">
        <v>396</v>
      </c>
      <c r="G644" s="3">
        <v>8</v>
      </c>
      <c r="H644" s="1">
        <v>8</v>
      </c>
      <c r="I644" s="1">
        <v>2</v>
      </c>
      <c r="J644" s="1" t="s">
        <v>1281</v>
      </c>
      <c r="K644" s="1" t="s">
        <v>1505</v>
      </c>
      <c r="L644" s="1">
        <v>5400</v>
      </c>
      <c r="M644" s="1">
        <v>2650</v>
      </c>
      <c r="N644" s="1" t="s">
        <v>1008</v>
      </c>
      <c r="O644" s="1">
        <v>100</v>
      </c>
      <c r="P644" s="1" t="s">
        <v>398</v>
      </c>
      <c r="Q644" s="1">
        <v>10</v>
      </c>
      <c r="R644" s="1">
        <v>1064</v>
      </c>
      <c r="S644" s="16">
        <v>4.0000000000000001E-3</v>
      </c>
      <c r="U644" s="1" t="s">
        <v>569</v>
      </c>
      <c r="V644" s="17" t="s">
        <v>1283</v>
      </c>
      <c r="W644" s="5"/>
      <c r="X644" s="17" t="s">
        <v>1284</v>
      </c>
      <c r="Y644" s="5" t="s">
        <v>1005</v>
      </c>
      <c r="Z644" s="21" t="s">
        <v>1279</v>
      </c>
      <c r="AA644" s="22" t="s">
        <v>445</v>
      </c>
      <c r="AC644" s="22"/>
    </row>
    <row r="645" spans="1:29" s="1" customFormat="1" ht="49.5" x14ac:dyDescent="0.25">
      <c r="A645" s="13">
        <f t="shared" si="8"/>
        <v>812305</v>
      </c>
      <c r="B645" s="14">
        <v>8123</v>
      </c>
      <c r="C645" s="1" t="s">
        <v>558</v>
      </c>
      <c r="D645" s="15" t="s">
        <v>1280</v>
      </c>
      <c r="E645" s="3">
        <v>5</v>
      </c>
      <c r="F645" s="5" t="s">
        <v>396</v>
      </c>
      <c r="G645" s="3">
        <v>9</v>
      </c>
      <c r="H645" s="1">
        <v>8</v>
      </c>
      <c r="I645" s="1">
        <v>2</v>
      </c>
      <c r="J645" s="1" t="s">
        <v>1281</v>
      </c>
      <c r="K645" s="1" t="s">
        <v>1505</v>
      </c>
      <c r="L645" s="1">
        <v>5400</v>
      </c>
      <c r="M645" s="1">
        <v>2650</v>
      </c>
      <c r="N645" s="1" t="s">
        <v>1008</v>
      </c>
      <c r="O645" s="1">
        <v>100</v>
      </c>
      <c r="P645" s="1" t="s">
        <v>398</v>
      </c>
      <c r="Q645" s="1">
        <v>10</v>
      </c>
      <c r="R645" s="1">
        <v>1064</v>
      </c>
      <c r="S645" s="16">
        <v>4.0000000000000001E-3</v>
      </c>
      <c r="U645" s="1" t="s">
        <v>569</v>
      </c>
      <c r="V645" s="17" t="s">
        <v>1283</v>
      </c>
      <c r="W645" s="5"/>
      <c r="X645" s="17" t="s">
        <v>1284</v>
      </c>
      <c r="Y645" s="5" t="s">
        <v>1005</v>
      </c>
      <c r="Z645" s="21" t="s">
        <v>1279</v>
      </c>
      <c r="AA645" s="22" t="s">
        <v>445</v>
      </c>
      <c r="AC645" s="22"/>
    </row>
    <row r="646" spans="1:29" s="1" customFormat="1" ht="49.5" x14ac:dyDescent="0.25">
      <c r="A646" s="13">
        <f t="shared" si="8"/>
        <v>813101</v>
      </c>
      <c r="B646" s="14">
        <v>8131</v>
      </c>
      <c r="C646" s="1" t="s">
        <v>558</v>
      </c>
      <c r="D646" s="15" t="s">
        <v>1285</v>
      </c>
      <c r="E646" s="3">
        <v>1</v>
      </c>
      <c r="F646" s="5" t="s">
        <v>396</v>
      </c>
      <c r="G646" s="3">
        <v>10</v>
      </c>
      <c r="H646" s="1">
        <v>8</v>
      </c>
      <c r="I646" s="1">
        <v>2</v>
      </c>
      <c r="J646" s="1" t="s">
        <v>1281</v>
      </c>
      <c r="K646" s="1" t="s">
        <v>1505</v>
      </c>
      <c r="L646" s="1">
        <v>7200</v>
      </c>
      <c r="M646" s="1">
        <v>2750</v>
      </c>
      <c r="N646" s="1" t="s">
        <v>1015</v>
      </c>
      <c r="O646" s="1">
        <v>100</v>
      </c>
      <c r="P646" s="1" t="s">
        <v>398</v>
      </c>
      <c r="Q646" s="1">
        <v>10</v>
      </c>
      <c r="R646" s="1">
        <v>1091</v>
      </c>
      <c r="S646" s="16">
        <v>500</v>
      </c>
      <c r="U646" s="1" t="s">
        <v>1286</v>
      </c>
      <c r="V646" s="17" t="s">
        <v>1287</v>
      </c>
      <c r="W646" s="5"/>
      <c r="X646" s="17" t="s">
        <v>1288</v>
      </c>
      <c r="Y646" s="5" t="s">
        <v>1005</v>
      </c>
      <c r="Z646" s="21" t="s">
        <v>1279</v>
      </c>
      <c r="AA646" s="22" t="s">
        <v>453</v>
      </c>
      <c r="AC646" s="22"/>
    </row>
    <row r="647" spans="1:29" s="1" customFormat="1" ht="49.5" x14ac:dyDescent="0.25">
      <c r="A647" s="13">
        <f t="shared" si="8"/>
        <v>813102</v>
      </c>
      <c r="B647" s="14">
        <v>8131</v>
      </c>
      <c r="C647" s="1" t="s">
        <v>558</v>
      </c>
      <c r="D647" s="15" t="s">
        <v>1285</v>
      </c>
      <c r="E647" s="3">
        <v>2</v>
      </c>
      <c r="F647" s="5" t="s">
        <v>396</v>
      </c>
      <c r="G647" s="3">
        <v>11</v>
      </c>
      <c r="H647" s="1">
        <v>8</v>
      </c>
      <c r="I647" s="1">
        <v>2</v>
      </c>
      <c r="J647" s="1" t="s">
        <v>1281</v>
      </c>
      <c r="K647" s="1" t="s">
        <v>1505</v>
      </c>
      <c r="L647" s="1">
        <v>7200</v>
      </c>
      <c r="M647" s="1">
        <v>2750</v>
      </c>
      <c r="N647" s="1" t="s">
        <v>1015</v>
      </c>
      <c r="O647" s="1">
        <v>100</v>
      </c>
      <c r="P647" s="1" t="s">
        <v>398</v>
      </c>
      <c r="Q647" s="1">
        <v>10</v>
      </c>
      <c r="R647" s="1">
        <v>1091</v>
      </c>
      <c r="S647" s="16">
        <v>500</v>
      </c>
      <c r="U647" s="1" t="s">
        <v>1286</v>
      </c>
      <c r="V647" s="17" t="s">
        <v>1287</v>
      </c>
      <c r="W647" s="5"/>
      <c r="X647" s="17" t="s">
        <v>1288</v>
      </c>
      <c r="Y647" s="5" t="s">
        <v>1005</v>
      </c>
      <c r="Z647" s="21" t="s">
        <v>1279</v>
      </c>
      <c r="AA647" s="22" t="s">
        <v>453</v>
      </c>
      <c r="AC647" s="22"/>
    </row>
    <row r="648" spans="1:29" s="1" customFormat="1" ht="49.5" x14ac:dyDescent="0.25">
      <c r="A648" s="13">
        <f t="shared" si="8"/>
        <v>813103</v>
      </c>
      <c r="B648" s="14">
        <v>8131</v>
      </c>
      <c r="C648" s="1" t="s">
        <v>558</v>
      </c>
      <c r="D648" s="15" t="s">
        <v>1285</v>
      </c>
      <c r="E648" s="3">
        <v>3</v>
      </c>
      <c r="F648" s="5" t="s">
        <v>396</v>
      </c>
      <c r="G648" s="3">
        <v>13</v>
      </c>
      <c r="H648" s="1">
        <v>8</v>
      </c>
      <c r="I648" s="1">
        <v>2</v>
      </c>
      <c r="J648" s="1" t="s">
        <v>1281</v>
      </c>
      <c r="K648" s="1" t="s">
        <v>1505</v>
      </c>
      <c r="L648" s="1">
        <v>7200</v>
      </c>
      <c r="M648" s="1">
        <v>2750</v>
      </c>
      <c r="N648" s="1" t="s">
        <v>1015</v>
      </c>
      <c r="O648" s="1">
        <v>100</v>
      </c>
      <c r="P648" s="1" t="s">
        <v>398</v>
      </c>
      <c r="Q648" s="1">
        <v>10</v>
      </c>
      <c r="R648" s="1">
        <v>1091</v>
      </c>
      <c r="S648" s="16">
        <v>500</v>
      </c>
      <c r="U648" s="1" t="s">
        <v>1286</v>
      </c>
      <c r="V648" s="17" t="s">
        <v>1287</v>
      </c>
      <c r="W648" s="5"/>
      <c r="X648" s="17" t="s">
        <v>1288</v>
      </c>
      <c r="Y648" s="5" t="s">
        <v>1005</v>
      </c>
      <c r="Z648" s="21" t="s">
        <v>1279</v>
      </c>
      <c r="AA648" s="22" t="s">
        <v>453</v>
      </c>
      <c r="AC648" s="22"/>
    </row>
    <row r="649" spans="1:29" s="1" customFormat="1" ht="49.5" x14ac:dyDescent="0.25">
      <c r="A649" s="13">
        <f t="shared" si="8"/>
        <v>813201</v>
      </c>
      <c r="B649" s="14">
        <v>8132</v>
      </c>
      <c r="C649" s="1" t="s">
        <v>558</v>
      </c>
      <c r="D649" s="15" t="s">
        <v>1289</v>
      </c>
      <c r="E649" s="3">
        <v>1</v>
      </c>
      <c r="F649" s="5" t="s">
        <v>396</v>
      </c>
      <c r="G649" s="3">
        <v>10</v>
      </c>
      <c r="H649" s="1">
        <v>8</v>
      </c>
      <c r="I649" s="1">
        <v>3</v>
      </c>
      <c r="J649" s="1" t="s">
        <v>1290</v>
      </c>
      <c r="K649" s="1" t="s">
        <v>1506</v>
      </c>
      <c r="L649" s="1">
        <v>7200</v>
      </c>
      <c r="M649" s="1">
        <v>2750</v>
      </c>
      <c r="N649" s="1" t="s">
        <v>1015</v>
      </c>
      <c r="O649" s="1">
        <v>100</v>
      </c>
      <c r="P649" s="1" t="s">
        <v>398</v>
      </c>
      <c r="Q649" s="1">
        <v>10</v>
      </c>
      <c r="R649" s="1">
        <v>1054</v>
      </c>
      <c r="S649" s="18">
        <v>0.01</v>
      </c>
      <c r="U649" s="1" t="s">
        <v>1292</v>
      </c>
      <c r="V649" s="17" t="s">
        <v>1293</v>
      </c>
      <c r="W649" s="5"/>
      <c r="X649" s="17" t="s">
        <v>1294</v>
      </c>
      <c r="Y649" s="5" t="s">
        <v>1005</v>
      </c>
      <c r="Z649" s="21" t="s">
        <v>1279</v>
      </c>
      <c r="AA649" s="22" t="s">
        <v>457</v>
      </c>
      <c r="AC649" s="22"/>
    </row>
    <row r="650" spans="1:29" s="1" customFormat="1" ht="49.5" x14ac:dyDescent="0.25">
      <c r="A650" s="13">
        <f t="shared" ref="A650:A713" si="9">B650*100+E650</f>
        <v>813202</v>
      </c>
      <c r="B650" s="14">
        <v>8132</v>
      </c>
      <c r="C650" s="1" t="s">
        <v>558</v>
      </c>
      <c r="D650" s="15" t="s">
        <v>1289</v>
      </c>
      <c r="E650" s="3">
        <v>2</v>
      </c>
      <c r="F650" s="5" t="s">
        <v>396</v>
      </c>
      <c r="G650" s="3">
        <v>11</v>
      </c>
      <c r="H650" s="1">
        <v>8</v>
      </c>
      <c r="I650" s="1">
        <v>3</v>
      </c>
      <c r="J650" s="1" t="s">
        <v>1290</v>
      </c>
      <c r="K650" s="1" t="s">
        <v>1506</v>
      </c>
      <c r="L650" s="1">
        <v>7200</v>
      </c>
      <c r="M650" s="1">
        <v>2750</v>
      </c>
      <c r="N650" s="1" t="s">
        <v>1015</v>
      </c>
      <c r="O650" s="1">
        <v>100</v>
      </c>
      <c r="P650" s="1" t="s">
        <v>398</v>
      </c>
      <c r="Q650" s="1">
        <v>10</v>
      </c>
      <c r="R650" s="1">
        <v>1054</v>
      </c>
      <c r="S650" s="18">
        <v>0.01</v>
      </c>
      <c r="U650" s="1" t="s">
        <v>1292</v>
      </c>
      <c r="V650" s="17" t="s">
        <v>1293</v>
      </c>
      <c r="W650" s="5"/>
      <c r="X650" s="17" t="s">
        <v>1294</v>
      </c>
      <c r="Y650" s="5" t="s">
        <v>1005</v>
      </c>
      <c r="Z650" s="21" t="s">
        <v>1279</v>
      </c>
      <c r="AA650" s="22" t="s">
        <v>457</v>
      </c>
      <c r="AC650" s="22"/>
    </row>
    <row r="651" spans="1:29" s="1" customFormat="1" ht="49.5" x14ac:dyDescent="0.25">
      <c r="A651" s="13">
        <f t="shared" si="9"/>
        <v>813203</v>
      </c>
      <c r="B651" s="14">
        <v>8132</v>
      </c>
      <c r="C651" s="1" t="s">
        <v>558</v>
      </c>
      <c r="D651" s="15" t="s">
        <v>1289</v>
      </c>
      <c r="E651" s="3">
        <v>3</v>
      </c>
      <c r="F651" s="5" t="s">
        <v>396</v>
      </c>
      <c r="G651" s="3">
        <v>13</v>
      </c>
      <c r="H651" s="1">
        <v>8</v>
      </c>
      <c r="I651" s="1">
        <v>3</v>
      </c>
      <c r="J651" s="1" t="s">
        <v>1290</v>
      </c>
      <c r="K651" s="1" t="s">
        <v>1506</v>
      </c>
      <c r="L651" s="1">
        <v>7200</v>
      </c>
      <c r="M651" s="1">
        <v>2750</v>
      </c>
      <c r="N651" s="1" t="s">
        <v>1015</v>
      </c>
      <c r="O651" s="1">
        <v>100</v>
      </c>
      <c r="P651" s="1" t="s">
        <v>398</v>
      </c>
      <c r="Q651" s="1">
        <v>10</v>
      </c>
      <c r="R651" s="1">
        <v>1054</v>
      </c>
      <c r="S651" s="18">
        <v>0.01</v>
      </c>
      <c r="U651" s="1" t="s">
        <v>1292</v>
      </c>
      <c r="V651" s="17" t="s">
        <v>1293</v>
      </c>
      <c r="W651" s="5"/>
      <c r="X651" s="17" t="s">
        <v>1294</v>
      </c>
      <c r="Y651" s="5" t="s">
        <v>1005</v>
      </c>
      <c r="Z651" s="21" t="s">
        <v>1279</v>
      </c>
      <c r="AA651" s="22" t="s">
        <v>457</v>
      </c>
      <c r="AC651" s="22"/>
    </row>
    <row r="652" spans="1:29" s="1" customFormat="1" ht="49.5" x14ac:dyDescent="0.25">
      <c r="A652" s="13">
        <f t="shared" si="9"/>
        <v>813301</v>
      </c>
      <c r="B652" s="14">
        <v>8133</v>
      </c>
      <c r="C652" s="1" t="s">
        <v>558</v>
      </c>
      <c r="D652" s="15" t="s">
        <v>1022</v>
      </c>
      <c r="E652" s="3">
        <v>1</v>
      </c>
      <c r="F652" s="5" t="s">
        <v>396</v>
      </c>
      <c r="G652" s="3">
        <v>10</v>
      </c>
      <c r="H652" s="1">
        <v>8</v>
      </c>
      <c r="I652" s="1">
        <v>3</v>
      </c>
      <c r="J652" s="1" t="s">
        <v>1290</v>
      </c>
      <c r="K652" s="1" t="s">
        <v>1506</v>
      </c>
      <c r="L652" s="1">
        <v>7200</v>
      </c>
      <c r="M652" s="1">
        <v>2750</v>
      </c>
      <c r="N652" s="1" t="s">
        <v>1015</v>
      </c>
      <c r="O652" s="1">
        <v>100</v>
      </c>
      <c r="P652" s="1" t="s">
        <v>398</v>
      </c>
      <c r="Q652" s="1">
        <v>10</v>
      </c>
      <c r="S652" s="16"/>
      <c r="U652" s="1" t="s">
        <v>1507</v>
      </c>
      <c r="V652" s="17" t="s">
        <v>1024</v>
      </c>
      <c r="W652" s="5"/>
      <c r="X652" s="17"/>
      <c r="Y652" s="5" t="s">
        <v>1005</v>
      </c>
      <c r="Z652" s="21" t="s">
        <v>1025</v>
      </c>
      <c r="AA652" s="22" t="s">
        <v>1026</v>
      </c>
      <c r="AC652" s="22"/>
    </row>
    <row r="653" spans="1:29" s="1" customFormat="1" ht="49.5" x14ac:dyDescent="0.25">
      <c r="A653" s="13">
        <f t="shared" si="9"/>
        <v>813401</v>
      </c>
      <c r="B653" s="14">
        <v>8134</v>
      </c>
      <c r="C653" s="1" t="s">
        <v>558</v>
      </c>
      <c r="D653" s="15" t="s">
        <v>1296</v>
      </c>
      <c r="E653" s="3">
        <v>1</v>
      </c>
      <c r="F653" s="5" t="s">
        <v>396</v>
      </c>
      <c r="G653" s="3">
        <v>10</v>
      </c>
      <c r="H653" s="1">
        <v>8</v>
      </c>
      <c r="I653" s="1">
        <v>3</v>
      </c>
      <c r="J653" s="1" t="s">
        <v>1290</v>
      </c>
      <c r="K653" s="1" t="s">
        <v>1506</v>
      </c>
      <c r="L653" s="1">
        <v>7200</v>
      </c>
      <c r="M653" s="1">
        <v>2750</v>
      </c>
      <c r="N653" s="1" t="s">
        <v>1015</v>
      </c>
      <c r="O653" s="1">
        <v>100</v>
      </c>
      <c r="P653" s="1" t="s">
        <v>398</v>
      </c>
      <c r="Q653" s="1">
        <v>10</v>
      </c>
      <c r="R653" s="1">
        <v>1313</v>
      </c>
      <c r="S653" s="18">
        <v>0.01</v>
      </c>
      <c r="U653" s="1" t="s">
        <v>1292</v>
      </c>
      <c r="V653" s="17" t="s">
        <v>1297</v>
      </c>
      <c r="W653" s="5"/>
      <c r="X653" s="17" t="s">
        <v>1298</v>
      </c>
      <c r="Y653" s="5" t="s">
        <v>1005</v>
      </c>
      <c r="Z653" s="21" t="s">
        <v>1279</v>
      </c>
      <c r="AA653" s="22" t="s">
        <v>462</v>
      </c>
      <c r="AC653" s="22"/>
    </row>
    <row r="654" spans="1:29" s="1" customFormat="1" ht="49.5" x14ac:dyDescent="0.25">
      <c r="A654" s="13">
        <f t="shared" si="9"/>
        <v>813402</v>
      </c>
      <c r="B654" s="14">
        <v>8134</v>
      </c>
      <c r="C654" s="1" t="s">
        <v>558</v>
      </c>
      <c r="D654" s="15" t="s">
        <v>1296</v>
      </c>
      <c r="E654" s="3">
        <v>2</v>
      </c>
      <c r="F654" s="5" t="s">
        <v>396</v>
      </c>
      <c r="G654" s="3">
        <v>11</v>
      </c>
      <c r="H654" s="1">
        <v>8</v>
      </c>
      <c r="I654" s="1">
        <v>3</v>
      </c>
      <c r="J654" s="1" t="s">
        <v>1290</v>
      </c>
      <c r="K654" s="1" t="s">
        <v>1506</v>
      </c>
      <c r="L654" s="1">
        <v>7200</v>
      </c>
      <c r="M654" s="1">
        <v>2750</v>
      </c>
      <c r="N654" s="1" t="s">
        <v>1015</v>
      </c>
      <c r="O654" s="1">
        <v>100</v>
      </c>
      <c r="P654" s="1" t="s">
        <v>398</v>
      </c>
      <c r="Q654" s="1">
        <v>10</v>
      </c>
      <c r="R654" s="1">
        <v>1313</v>
      </c>
      <c r="S654" s="18">
        <v>0.01</v>
      </c>
      <c r="U654" s="1" t="s">
        <v>1292</v>
      </c>
      <c r="V654" s="17" t="s">
        <v>1297</v>
      </c>
      <c r="W654" s="5"/>
      <c r="X654" s="17" t="s">
        <v>1298</v>
      </c>
      <c r="Y654" s="5" t="s">
        <v>1005</v>
      </c>
      <c r="Z654" s="21" t="s">
        <v>1279</v>
      </c>
      <c r="AA654" s="22" t="s">
        <v>462</v>
      </c>
      <c r="AC654" s="22"/>
    </row>
    <row r="655" spans="1:29" s="1" customFormat="1" ht="49.5" x14ac:dyDescent="0.25">
      <c r="A655" s="13">
        <f t="shared" si="9"/>
        <v>813403</v>
      </c>
      <c r="B655" s="14">
        <v>8134</v>
      </c>
      <c r="C655" s="1" t="s">
        <v>558</v>
      </c>
      <c r="D655" s="15" t="s">
        <v>1296</v>
      </c>
      <c r="E655" s="3">
        <v>3</v>
      </c>
      <c r="F655" s="5" t="s">
        <v>396</v>
      </c>
      <c r="G655" s="3">
        <v>13</v>
      </c>
      <c r="H655" s="1">
        <v>8</v>
      </c>
      <c r="I655" s="1">
        <v>3</v>
      </c>
      <c r="J655" s="1" t="s">
        <v>1290</v>
      </c>
      <c r="K655" s="1" t="s">
        <v>1506</v>
      </c>
      <c r="L655" s="1">
        <v>7200</v>
      </c>
      <c r="M655" s="1">
        <v>2750</v>
      </c>
      <c r="N655" s="1" t="s">
        <v>1015</v>
      </c>
      <c r="O655" s="1">
        <v>100</v>
      </c>
      <c r="P655" s="1" t="s">
        <v>398</v>
      </c>
      <c r="Q655" s="1">
        <v>10</v>
      </c>
      <c r="R655" s="1">
        <v>1313</v>
      </c>
      <c r="S655" s="18">
        <v>0.01</v>
      </c>
      <c r="U655" s="1" t="s">
        <v>1292</v>
      </c>
      <c r="V655" s="17" t="s">
        <v>1297</v>
      </c>
      <c r="W655" s="5"/>
      <c r="X655" s="17" t="s">
        <v>1298</v>
      </c>
      <c r="Y655" s="5" t="s">
        <v>1005</v>
      </c>
      <c r="Z655" s="21" t="s">
        <v>1279</v>
      </c>
      <c r="AA655" s="22" t="s">
        <v>462</v>
      </c>
      <c r="AC655" s="22"/>
    </row>
    <row r="656" spans="1:29" s="1" customFormat="1" ht="49.5" x14ac:dyDescent="0.25">
      <c r="A656" s="13">
        <f t="shared" si="9"/>
        <v>813501</v>
      </c>
      <c r="B656" s="14">
        <v>8135</v>
      </c>
      <c r="C656" s="1" t="s">
        <v>558</v>
      </c>
      <c r="D656" s="15" t="s">
        <v>1299</v>
      </c>
      <c r="E656" s="3">
        <v>1</v>
      </c>
      <c r="F656" s="5" t="s">
        <v>396</v>
      </c>
      <c r="G656" s="3">
        <v>10</v>
      </c>
      <c r="H656" s="1">
        <v>8</v>
      </c>
      <c r="I656" s="1">
        <v>3</v>
      </c>
      <c r="J656" s="1" t="s">
        <v>1290</v>
      </c>
      <c r="K656" s="1" t="s">
        <v>1506</v>
      </c>
      <c r="L656" s="1">
        <v>7200</v>
      </c>
      <c r="M656" s="1">
        <v>2750</v>
      </c>
      <c r="N656" s="1" t="s">
        <v>1015</v>
      </c>
      <c r="O656" s="1">
        <v>100</v>
      </c>
      <c r="P656" s="1" t="s">
        <v>398</v>
      </c>
      <c r="Q656" s="1">
        <v>10</v>
      </c>
      <c r="R656" s="1">
        <v>1318</v>
      </c>
      <c r="S656" s="18">
        <v>0.01</v>
      </c>
      <c r="U656" s="19" t="s">
        <v>561</v>
      </c>
      <c r="V656" s="17" t="s">
        <v>1300</v>
      </c>
      <c r="X656" s="17" t="s">
        <v>1301</v>
      </c>
      <c r="Y656" s="5" t="s">
        <v>1005</v>
      </c>
      <c r="Z656" s="21" t="s">
        <v>1276</v>
      </c>
      <c r="AA656" s="22" t="s">
        <v>467</v>
      </c>
      <c r="AC656" s="22"/>
    </row>
    <row r="657" spans="1:29" s="1" customFormat="1" ht="49.5" x14ac:dyDescent="0.25">
      <c r="A657" s="13">
        <f t="shared" si="9"/>
        <v>813502</v>
      </c>
      <c r="B657" s="14">
        <v>8135</v>
      </c>
      <c r="C657" s="1" t="s">
        <v>558</v>
      </c>
      <c r="D657" s="15" t="s">
        <v>1299</v>
      </c>
      <c r="E657" s="3">
        <v>2</v>
      </c>
      <c r="F657" s="5" t="s">
        <v>396</v>
      </c>
      <c r="G657" s="3">
        <v>11</v>
      </c>
      <c r="H657" s="1">
        <v>8</v>
      </c>
      <c r="I657" s="1">
        <v>3</v>
      </c>
      <c r="J657" s="1" t="s">
        <v>1290</v>
      </c>
      <c r="K657" s="1" t="s">
        <v>1506</v>
      </c>
      <c r="L657" s="1">
        <v>7200</v>
      </c>
      <c r="M657" s="1">
        <v>2750</v>
      </c>
      <c r="N657" s="1" t="s">
        <v>1015</v>
      </c>
      <c r="O657" s="1">
        <v>100</v>
      </c>
      <c r="P657" s="1" t="s">
        <v>398</v>
      </c>
      <c r="Q657" s="1">
        <v>10</v>
      </c>
      <c r="R657" s="1">
        <v>1318</v>
      </c>
      <c r="S657" s="18">
        <v>0.01</v>
      </c>
      <c r="U657" s="19" t="s">
        <v>561</v>
      </c>
      <c r="V657" s="17" t="s">
        <v>1300</v>
      </c>
      <c r="X657" s="17" t="s">
        <v>1301</v>
      </c>
      <c r="Y657" s="5" t="s">
        <v>1005</v>
      </c>
      <c r="Z657" s="21" t="s">
        <v>1276</v>
      </c>
      <c r="AA657" s="22" t="s">
        <v>467</v>
      </c>
      <c r="AC657" s="22"/>
    </row>
    <row r="658" spans="1:29" s="1" customFormat="1" ht="49.5" x14ac:dyDescent="0.25">
      <c r="A658" s="13">
        <f t="shared" si="9"/>
        <v>813503</v>
      </c>
      <c r="B658" s="14">
        <v>8135</v>
      </c>
      <c r="C658" s="1" t="s">
        <v>558</v>
      </c>
      <c r="D658" s="15" t="s">
        <v>1299</v>
      </c>
      <c r="E658" s="3">
        <v>3</v>
      </c>
      <c r="F658" s="5" t="s">
        <v>396</v>
      </c>
      <c r="G658" s="3">
        <v>13</v>
      </c>
      <c r="H658" s="1">
        <v>8</v>
      </c>
      <c r="I658" s="1">
        <v>3</v>
      </c>
      <c r="J658" s="1" t="s">
        <v>1290</v>
      </c>
      <c r="K658" s="1" t="s">
        <v>1506</v>
      </c>
      <c r="L658" s="1">
        <v>7200</v>
      </c>
      <c r="M658" s="1">
        <v>2750</v>
      </c>
      <c r="N658" s="1" t="s">
        <v>1015</v>
      </c>
      <c r="O658" s="1">
        <v>100</v>
      </c>
      <c r="P658" s="1" t="s">
        <v>398</v>
      </c>
      <c r="Q658" s="1">
        <v>10</v>
      </c>
      <c r="R658" s="1">
        <v>1318</v>
      </c>
      <c r="S658" s="18">
        <v>0.01</v>
      </c>
      <c r="U658" s="19" t="s">
        <v>561</v>
      </c>
      <c r="V658" s="17" t="s">
        <v>1300</v>
      </c>
      <c r="X658" s="17" t="s">
        <v>1301</v>
      </c>
      <c r="Y658" s="5" t="s">
        <v>1005</v>
      </c>
      <c r="Z658" s="21" t="s">
        <v>1276</v>
      </c>
      <c r="AA658" s="22" t="s">
        <v>467</v>
      </c>
      <c r="AC658" s="22"/>
    </row>
    <row r="659" spans="1:29" s="1" customFormat="1" ht="49.5" x14ac:dyDescent="0.25">
      <c r="A659" s="13">
        <f t="shared" si="9"/>
        <v>814101</v>
      </c>
      <c r="B659" s="14">
        <v>8141</v>
      </c>
      <c r="C659" s="1" t="s">
        <v>558</v>
      </c>
      <c r="D659" s="15" t="s">
        <v>1277</v>
      </c>
      <c r="E659" s="3">
        <v>1</v>
      </c>
      <c r="F659" s="5" t="s">
        <v>396</v>
      </c>
      <c r="G659" s="3">
        <v>15</v>
      </c>
      <c r="H659" s="1">
        <v>8</v>
      </c>
      <c r="I659" s="1">
        <v>4</v>
      </c>
      <c r="J659" s="1" t="s">
        <v>1302</v>
      </c>
      <c r="K659" s="1" t="s">
        <v>1508</v>
      </c>
      <c r="L659" s="1">
        <v>9000</v>
      </c>
      <c r="M659" s="1">
        <v>2900</v>
      </c>
      <c r="N659" s="1" t="s">
        <v>1032</v>
      </c>
      <c r="O659" s="1">
        <v>100</v>
      </c>
      <c r="P659" s="1" t="s">
        <v>398</v>
      </c>
      <c r="Q659" s="1">
        <v>10</v>
      </c>
      <c r="R659" s="1">
        <v>1059</v>
      </c>
      <c r="S659" s="16">
        <v>0.02</v>
      </c>
      <c r="U659" s="1" t="s">
        <v>1278</v>
      </c>
      <c r="V659" s="17" t="s">
        <v>563</v>
      </c>
      <c r="W659" s="5"/>
      <c r="X659" s="17" t="s">
        <v>565</v>
      </c>
      <c r="Y659" s="5" t="s">
        <v>1005</v>
      </c>
      <c r="Z659" s="21" t="s">
        <v>1279</v>
      </c>
      <c r="AA659" s="22" t="s">
        <v>471</v>
      </c>
      <c r="AC659" s="22"/>
    </row>
    <row r="660" spans="1:29" s="1" customFormat="1" ht="49.5" x14ac:dyDescent="0.25">
      <c r="A660" s="13">
        <f t="shared" si="9"/>
        <v>814201</v>
      </c>
      <c r="B660" s="14">
        <v>8142</v>
      </c>
      <c r="C660" s="1" t="s">
        <v>558</v>
      </c>
      <c r="D660" s="15" t="s">
        <v>1285</v>
      </c>
      <c r="E660" s="3">
        <v>1</v>
      </c>
      <c r="F660" s="5" t="s">
        <v>396</v>
      </c>
      <c r="G660" s="3">
        <v>15</v>
      </c>
      <c r="H660" s="1">
        <v>8</v>
      </c>
      <c r="I660" s="1">
        <v>4</v>
      </c>
      <c r="J660" s="1" t="s">
        <v>1302</v>
      </c>
      <c r="K660" s="1" t="s">
        <v>1508</v>
      </c>
      <c r="L660" s="1">
        <v>9000</v>
      </c>
      <c r="M660" s="1">
        <v>2900</v>
      </c>
      <c r="N660" s="1" t="s">
        <v>1032</v>
      </c>
      <c r="O660" s="1">
        <v>100</v>
      </c>
      <c r="P660" s="1" t="s">
        <v>398</v>
      </c>
      <c r="Q660" s="1">
        <v>10</v>
      </c>
      <c r="R660" s="1">
        <v>1091</v>
      </c>
      <c r="S660" s="16">
        <v>1000</v>
      </c>
      <c r="U660" s="1" t="s">
        <v>1286</v>
      </c>
      <c r="V660" s="17" t="s">
        <v>1287</v>
      </c>
      <c r="W660" s="5"/>
      <c r="X660" s="17" t="s">
        <v>1288</v>
      </c>
      <c r="Y660" s="5" t="s">
        <v>1005</v>
      </c>
      <c r="Z660" s="21" t="s">
        <v>1279</v>
      </c>
      <c r="AA660" s="22" t="s">
        <v>472</v>
      </c>
      <c r="AC660" s="22"/>
    </row>
    <row r="661" spans="1:29" s="1" customFormat="1" ht="49.5" x14ac:dyDescent="0.25">
      <c r="A661" s="13">
        <f t="shared" si="9"/>
        <v>814301</v>
      </c>
      <c r="B661" s="14">
        <v>8143</v>
      </c>
      <c r="C661" s="1" t="s">
        <v>558</v>
      </c>
      <c r="D661" s="15" t="s">
        <v>1289</v>
      </c>
      <c r="E661" s="3">
        <v>1</v>
      </c>
      <c r="F661" s="5" t="s">
        <v>396</v>
      </c>
      <c r="G661" s="3">
        <v>18</v>
      </c>
      <c r="H661" s="1">
        <v>8</v>
      </c>
      <c r="I661" s="1">
        <v>5</v>
      </c>
      <c r="J661" s="1" t="s">
        <v>1304</v>
      </c>
      <c r="K661" s="1" t="s">
        <v>1509</v>
      </c>
      <c r="L661" s="1">
        <v>9000</v>
      </c>
      <c r="M661" s="1">
        <v>3000</v>
      </c>
      <c r="N661" s="1" t="s">
        <v>1033</v>
      </c>
      <c r="O661" s="1">
        <v>100</v>
      </c>
      <c r="P661" s="1" t="s">
        <v>398</v>
      </c>
      <c r="Q661" s="1">
        <v>10</v>
      </c>
      <c r="R661" s="1">
        <v>1054</v>
      </c>
      <c r="S661" s="16">
        <v>0.02</v>
      </c>
      <c r="U661" s="1" t="s">
        <v>1292</v>
      </c>
      <c r="V661" s="17" t="s">
        <v>1293</v>
      </c>
      <c r="W661" s="5"/>
      <c r="X661" s="17" t="s">
        <v>1294</v>
      </c>
      <c r="Y661" s="5" t="s">
        <v>1005</v>
      </c>
      <c r="Z661" s="21" t="s">
        <v>1279</v>
      </c>
      <c r="AA661" s="22" t="s">
        <v>1034</v>
      </c>
      <c r="AC661" s="22"/>
    </row>
    <row r="662" spans="1:29" s="1" customFormat="1" ht="49.5" x14ac:dyDescent="0.25">
      <c r="A662" s="13">
        <f t="shared" si="9"/>
        <v>814401</v>
      </c>
      <c r="B662" s="14">
        <v>8144</v>
      </c>
      <c r="C662" s="1" t="s">
        <v>558</v>
      </c>
      <c r="D662" s="12" t="s">
        <v>1169</v>
      </c>
      <c r="E662" s="3">
        <v>1</v>
      </c>
      <c r="F662" s="5" t="s">
        <v>396</v>
      </c>
      <c r="G662" s="3">
        <v>20</v>
      </c>
      <c r="H662" s="1">
        <v>8</v>
      </c>
      <c r="I662" s="1">
        <v>5</v>
      </c>
      <c r="J662" s="1" t="s">
        <v>1304</v>
      </c>
      <c r="K662" s="1" t="s">
        <v>1509</v>
      </c>
      <c r="L662" s="1">
        <v>10800</v>
      </c>
      <c r="M662" s="1">
        <v>3150</v>
      </c>
      <c r="N662" s="1" t="s">
        <v>397</v>
      </c>
      <c r="O662" s="1">
        <v>100</v>
      </c>
      <c r="P662" s="1" t="s">
        <v>398</v>
      </c>
      <c r="Q662" s="1">
        <v>10</v>
      </c>
      <c r="R662" s="1" t="s">
        <v>1272</v>
      </c>
      <c r="S662" s="16" t="s">
        <v>1035</v>
      </c>
      <c r="U662" s="1" t="s">
        <v>1273</v>
      </c>
      <c r="V662" s="17" t="s">
        <v>1274</v>
      </c>
      <c r="W662" s="5"/>
      <c r="X662" s="1" t="s">
        <v>1275</v>
      </c>
      <c r="Y662" s="5" t="s">
        <v>1005</v>
      </c>
      <c r="Z662" s="21" t="s">
        <v>1276</v>
      </c>
      <c r="AA662" s="22" t="s">
        <v>1036</v>
      </c>
      <c r="AC662" s="22"/>
    </row>
    <row r="663" spans="1:29" s="1" customFormat="1" ht="49.5" x14ac:dyDescent="0.25">
      <c r="A663" s="13">
        <f t="shared" si="9"/>
        <v>814501</v>
      </c>
      <c r="B663" s="14">
        <v>8145</v>
      </c>
      <c r="C663" s="1" t="s">
        <v>558</v>
      </c>
      <c r="D663" s="15" t="s">
        <v>1296</v>
      </c>
      <c r="E663" s="3">
        <v>1</v>
      </c>
      <c r="F663" s="5" t="s">
        <v>396</v>
      </c>
      <c r="G663" s="3">
        <v>18</v>
      </c>
      <c r="H663" s="1">
        <v>8</v>
      </c>
      <c r="I663" s="1">
        <v>5</v>
      </c>
      <c r="J663" s="1" t="s">
        <v>1304</v>
      </c>
      <c r="K663" s="1" t="s">
        <v>1509</v>
      </c>
      <c r="L663" s="1">
        <v>9000</v>
      </c>
      <c r="M663" s="1">
        <v>3000</v>
      </c>
      <c r="N663" s="1" t="s">
        <v>1033</v>
      </c>
      <c r="O663" s="1">
        <v>100</v>
      </c>
      <c r="P663" s="1" t="s">
        <v>398</v>
      </c>
      <c r="Q663" s="1">
        <v>10</v>
      </c>
      <c r="R663" s="1">
        <v>1313</v>
      </c>
      <c r="S663" s="16">
        <v>0.02</v>
      </c>
      <c r="U663" s="1" t="s">
        <v>1292</v>
      </c>
      <c r="V663" s="17" t="s">
        <v>1297</v>
      </c>
      <c r="W663" s="5"/>
      <c r="X663" s="17" t="s">
        <v>1298</v>
      </c>
      <c r="Y663" s="5" t="s">
        <v>1005</v>
      </c>
      <c r="Z663" s="21" t="s">
        <v>1279</v>
      </c>
      <c r="AA663" s="22" t="s">
        <v>1037</v>
      </c>
      <c r="AC663" s="22"/>
    </row>
    <row r="664" spans="1:29" s="1" customFormat="1" ht="49.5" x14ac:dyDescent="0.25">
      <c r="A664" s="13">
        <f t="shared" si="9"/>
        <v>814601</v>
      </c>
      <c r="B664" s="14">
        <v>8146</v>
      </c>
      <c r="C664" s="1" t="s">
        <v>558</v>
      </c>
      <c r="D664" s="15" t="s">
        <v>1299</v>
      </c>
      <c r="E664" s="3">
        <v>1</v>
      </c>
      <c r="F664" s="5" t="s">
        <v>396</v>
      </c>
      <c r="G664" s="3">
        <v>15</v>
      </c>
      <c r="K664" s="1">
        <v>8135</v>
      </c>
      <c r="L664" s="1">
        <v>9000</v>
      </c>
      <c r="M664" s="1">
        <v>2900</v>
      </c>
      <c r="N664" s="1" t="s">
        <v>1032</v>
      </c>
      <c r="O664" s="1">
        <v>100</v>
      </c>
      <c r="P664" s="1" t="s">
        <v>398</v>
      </c>
      <c r="Q664" s="1">
        <v>10</v>
      </c>
      <c r="R664" s="1">
        <v>1318</v>
      </c>
      <c r="S664" s="16">
        <v>0.02</v>
      </c>
      <c r="U664" s="19" t="s">
        <v>561</v>
      </c>
      <c r="V664" s="17" t="s">
        <v>1300</v>
      </c>
      <c r="X664" s="17" t="s">
        <v>1301</v>
      </c>
      <c r="Y664" s="5" t="s">
        <v>1005</v>
      </c>
      <c r="Z664" s="21" t="s">
        <v>1276</v>
      </c>
      <c r="AA664" s="22" t="s">
        <v>1038</v>
      </c>
      <c r="AC664" s="22"/>
    </row>
    <row r="665" spans="1:29" s="1" customFormat="1" ht="49.5" x14ac:dyDescent="0.25">
      <c r="A665" s="13">
        <f t="shared" si="9"/>
        <v>814701</v>
      </c>
      <c r="B665" s="14">
        <v>8147</v>
      </c>
      <c r="C665" s="1" t="s">
        <v>558</v>
      </c>
      <c r="D665" s="15" t="s">
        <v>1280</v>
      </c>
      <c r="E665" s="3">
        <v>1</v>
      </c>
      <c r="F665" s="5" t="s">
        <v>396</v>
      </c>
      <c r="G665" s="3">
        <v>15</v>
      </c>
      <c r="K665" s="1">
        <v>8135</v>
      </c>
      <c r="L665" s="1">
        <v>9000</v>
      </c>
      <c r="M665" s="1">
        <v>2900</v>
      </c>
      <c r="N665" s="1" t="s">
        <v>1032</v>
      </c>
      <c r="O665" s="1">
        <v>100</v>
      </c>
      <c r="P665" s="1" t="s">
        <v>398</v>
      </c>
      <c r="Q665" s="1">
        <v>10</v>
      </c>
      <c r="R665" s="1">
        <v>1064</v>
      </c>
      <c r="S665" s="16">
        <v>1.4999999999999999E-2</v>
      </c>
      <c r="U665" s="1" t="s">
        <v>569</v>
      </c>
      <c r="V665" s="17" t="s">
        <v>1283</v>
      </c>
      <c r="W665" s="5"/>
      <c r="X665" s="17" t="s">
        <v>1284</v>
      </c>
      <c r="Y665" s="5" t="s">
        <v>1005</v>
      </c>
      <c r="Z665" s="21" t="s">
        <v>1279</v>
      </c>
      <c r="AA665" s="22" t="s">
        <v>1039</v>
      </c>
      <c r="AC665" s="22"/>
    </row>
    <row r="666" spans="1:29" s="1" customFormat="1" ht="49.5" x14ac:dyDescent="0.25">
      <c r="A666" s="13">
        <f t="shared" si="9"/>
        <v>821101</v>
      </c>
      <c r="B666" s="14">
        <v>8211</v>
      </c>
      <c r="C666" s="1" t="s">
        <v>558</v>
      </c>
      <c r="D666" s="12" t="s">
        <v>1434</v>
      </c>
      <c r="E666" s="3">
        <v>1</v>
      </c>
      <c r="F666" s="5" t="s">
        <v>708</v>
      </c>
      <c r="G666" s="3">
        <v>1</v>
      </c>
      <c r="K666" s="1">
        <v>8133</v>
      </c>
      <c r="L666" s="1">
        <v>3600</v>
      </c>
      <c r="M666" s="1">
        <v>6050</v>
      </c>
      <c r="N666" s="1" t="s">
        <v>999</v>
      </c>
      <c r="O666" s="1">
        <v>100</v>
      </c>
      <c r="P666" s="1" t="s">
        <v>398</v>
      </c>
      <c r="Q666" s="1">
        <v>10</v>
      </c>
      <c r="R666" s="1" t="s">
        <v>1435</v>
      </c>
      <c r="S666" s="16" t="s">
        <v>1042</v>
      </c>
      <c r="U666" s="19" t="s">
        <v>1436</v>
      </c>
      <c r="V666" s="17" t="s">
        <v>1437</v>
      </c>
      <c r="X666" s="17" t="s">
        <v>1438</v>
      </c>
      <c r="Y666" s="5" t="s">
        <v>1005</v>
      </c>
      <c r="Z666" s="21" t="s">
        <v>1439</v>
      </c>
      <c r="AA666" s="22" t="s">
        <v>1047</v>
      </c>
      <c r="AC666" s="22"/>
    </row>
    <row r="667" spans="1:29" s="1" customFormat="1" ht="49.5" x14ac:dyDescent="0.25">
      <c r="A667" s="13">
        <f t="shared" si="9"/>
        <v>822101</v>
      </c>
      <c r="B667" s="14">
        <v>8221</v>
      </c>
      <c r="C667" s="1" t="s">
        <v>558</v>
      </c>
      <c r="D667" s="12" t="s">
        <v>1440</v>
      </c>
      <c r="E667" s="3">
        <v>1</v>
      </c>
      <c r="F667" s="5" t="s">
        <v>708</v>
      </c>
      <c r="G667" s="3">
        <v>5</v>
      </c>
      <c r="K667" s="1">
        <v>8211</v>
      </c>
      <c r="L667" s="1">
        <v>5400</v>
      </c>
      <c r="M667" s="1">
        <v>6350</v>
      </c>
      <c r="N667" s="1" t="s">
        <v>1008</v>
      </c>
      <c r="O667" s="1">
        <v>100</v>
      </c>
      <c r="P667" s="1" t="s">
        <v>398</v>
      </c>
      <c r="Q667" s="1">
        <v>10</v>
      </c>
      <c r="R667" s="1">
        <v>20003</v>
      </c>
      <c r="S667" s="16">
        <v>0.01</v>
      </c>
      <c r="U667" s="19" t="s">
        <v>1440</v>
      </c>
      <c r="V667" s="17" t="s">
        <v>1441</v>
      </c>
      <c r="X667" s="17" t="s">
        <v>1442</v>
      </c>
      <c r="Y667" s="5" t="s">
        <v>1005</v>
      </c>
      <c r="Z667" s="21" t="s">
        <v>1443</v>
      </c>
      <c r="AA667" s="22" t="s">
        <v>1052</v>
      </c>
      <c r="AC667" s="22"/>
    </row>
    <row r="668" spans="1:29" s="1" customFormat="1" ht="49.5" x14ac:dyDescent="0.25">
      <c r="A668" s="13">
        <f t="shared" si="9"/>
        <v>822201</v>
      </c>
      <c r="B668" s="14">
        <v>8222</v>
      </c>
      <c r="C668" s="1" t="s">
        <v>558</v>
      </c>
      <c r="D668" s="12" t="s">
        <v>1444</v>
      </c>
      <c r="E668" s="3">
        <v>1</v>
      </c>
      <c r="F668" s="5" t="s">
        <v>708</v>
      </c>
      <c r="G668" s="3">
        <v>5</v>
      </c>
      <c r="K668" s="1">
        <v>8211</v>
      </c>
      <c r="L668" s="1">
        <v>5400</v>
      </c>
      <c r="M668" s="1">
        <v>6350</v>
      </c>
      <c r="N668" s="1" t="s">
        <v>1008</v>
      </c>
      <c r="O668" s="1">
        <v>100</v>
      </c>
      <c r="P668" s="1" t="s">
        <v>398</v>
      </c>
      <c r="Q668" s="1">
        <v>10</v>
      </c>
      <c r="R668" s="1">
        <v>20063</v>
      </c>
      <c r="S668" s="16">
        <v>5.0000000000000001E-3</v>
      </c>
      <c r="U668" s="19" t="s">
        <v>1444</v>
      </c>
      <c r="V668" s="17" t="s">
        <v>1445</v>
      </c>
      <c r="X668" s="17" t="s">
        <v>1446</v>
      </c>
      <c r="Y668" s="5" t="s">
        <v>1005</v>
      </c>
      <c r="Z668" s="21" t="s">
        <v>1439</v>
      </c>
      <c r="AA668" s="22" t="s">
        <v>1056</v>
      </c>
      <c r="AC668" s="22"/>
    </row>
    <row r="669" spans="1:29" s="1" customFormat="1" ht="49.5" x14ac:dyDescent="0.25">
      <c r="A669" s="13">
        <f t="shared" si="9"/>
        <v>822301</v>
      </c>
      <c r="B669" s="14">
        <v>8223</v>
      </c>
      <c r="C669" s="1" t="s">
        <v>558</v>
      </c>
      <c r="D669" s="12" t="s">
        <v>1447</v>
      </c>
      <c r="E669" s="3">
        <v>1</v>
      </c>
      <c r="F669" s="5" t="s">
        <v>708</v>
      </c>
      <c r="G669" s="3">
        <v>5</v>
      </c>
      <c r="K669" s="1">
        <v>8211</v>
      </c>
      <c r="L669" s="1">
        <v>5400</v>
      </c>
      <c r="M669" s="1">
        <v>6350</v>
      </c>
      <c r="N669" s="1" t="s">
        <v>1008</v>
      </c>
      <c r="O669" s="1">
        <v>100</v>
      </c>
      <c r="P669" s="1" t="s">
        <v>398</v>
      </c>
      <c r="Q669" s="1">
        <v>10</v>
      </c>
      <c r="R669" s="1">
        <v>20033</v>
      </c>
      <c r="S669" s="16">
        <v>0.01</v>
      </c>
      <c r="U669" s="19" t="s">
        <v>1447</v>
      </c>
      <c r="V669" s="17" t="s">
        <v>1448</v>
      </c>
      <c r="X669" s="17" t="s">
        <v>1449</v>
      </c>
      <c r="Y669" s="5" t="s">
        <v>1005</v>
      </c>
      <c r="Z669" s="21" t="s">
        <v>1450</v>
      </c>
      <c r="AA669" s="22" t="s">
        <v>1061</v>
      </c>
      <c r="AC669" s="22"/>
    </row>
    <row r="670" spans="1:29" s="1" customFormat="1" ht="49.5" x14ac:dyDescent="0.25">
      <c r="A670" s="13">
        <f t="shared" si="9"/>
        <v>823101</v>
      </c>
      <c r="B670" s="14">
        <v>8231</v>
      </c>
      <c r="C670" s="1" t="s">
        <v>558</v>
      </c>
      <c r="D670" s="12" t="s">
        <v>1451</v>
      </c>
      <c r="E670" s="3">
        <v>1</v>
      </c>
      <c r="F670" s="5" t="s">
        <v>708</v>
      </c>
      <c r="G670" s="3">
        <v>10</v>
      </c>
      <c r="K670" s="1">
        <v>8221</v>
      </c>
      <c r="L670" s="1">
        <v>7200</v>
      </c>
      <c r="M670" s="1">
        <v>6650</v>
      </c>
      <c r="N670" s="1" t="s">
        <v>1015</v>
      </c>
      <c r="O670" s="1">
        <v>100</v>
      </c>
      <c r="P670" s="1" t="s">
        <v>398</v>
      </c>
      <c r="Q670" s="1">
        <v>10</v>
      </c>
      <c r="R670" s="1">
        <v>20203</v>
      </c>
      <c r="S670" s="16">
        <v>0.01</v>
      </c>
      <c r="U670" s="1" t="s">
        <v>1451</v>
      </c>
      <c r="V670" s="17" t="s">
        <v>1452</v>
      </c>
      <c r="X670" s="17" t="s">
        <v>1453</v>
      </c>
      <c r="Y670" s="5" t="s">
        <v>1005</v>
      </c>
      <c r="Z670" s="21" t="s">
        <v>1443</v>
      </c>
      <c r="AA670" s="22" t="s">
        <v>1065</v>
      </c>
      <c r="AC670" s="22"/>
    </row>
    <row r="671" spans="1:29" s="1" customFormat="1" ht="49.5" x14ac:dyDescent="0.25">
      <c r="A671" s="13">
        <f t="shared" si="9"/>
        <v>823102</v>
      </c>
      <c r="B671" s="14">
        <v>8231</v>
      </c>
      <c r="C671" s="1" t="s">
        <v>558</v>
      </c>
      <c r="D671" s="12" t="s">
        <v>1451</v>
      </c>
      <c r="E671" s="3">
        <v>2</v>
      </c>
      <c r="F671" s="5" t="s">
        <v>708</v>
      </c>
      <c r="G671" s="3">
        <v>12</v>
      </c>
      <c r="K671" s="1">
        <v>8221</v>
      </c>
      <c r="L671" s="1">
        <v>7200</v>
      </c>
      <c r="M671" s="1">
        <v>6650</v>
      </c>
      <c r="N671" s="1" t="s">
        <v>1015</v>
      </c>
      <c r="O671" s="1">
        <v>100</v>
      </c>
      <c r="P671" s="1" t="s">
        <v>398</v>
      </c>
      <c r="Q671" s="1">
        <v>10</v>
      </c>
      <c r="R671" s="1">
        <v>20203</v>
      </c>
      <c r="S671" s="16">
        <v>0.01</v>
      </c>
      <c r="U671" s="1" t="s">
        <v>1451</v>
      </c>
      <c r="V671" s="17" t="s">
        <v>1452</v>
      </c>
      <c r="X671" s="17" t="s">
        <v>1453</v>
      </c>
      <c r="Y671" s="5" t="s">
        <v>1005</v>
      </c>
      <c r="Z671" s="21" t="s">
        <v>1443</v>
      </c>
      <c r="AA671" s="22" t="s">
        <v>1065</v>
      </c>
      <c r="AC671" s="22"/>
    </row>
    <row r="672" spans="1:29" s="1" customFormat="1" ht="49.5" x14ac:dyDescent="0.25">
      <c r="A672" s="13">
        <f t="shared" si="9"/>
        <v>823201</v>
      </c>
      <c r="B672" s="14">
        <v>8232</v>
      </c>
      <c r="C672" s="1" t="s">
        <v>558</v>
      </c>
      <c r="D672" s="12" t="s">
        <v>1454</v>
      </c>
      <c r="E672" s="3">
        <v>1</v>
      </c>
      <c r="F672" s="5" t="s">
        <v>708</v>
      </c>
      <c r="G672" s="3">
        <v>10</v>
      </c>
      <c r="K672" s="1">
        <v>8221</v>
      </c>
      <c r="L672" s="1">
        <v>7200</v>
      </c>
      <c r="M672" s="1">
        <v>6650</v>
      </c>
      <c r="N672" s="1" t="s">
        <v>1015</v>
      </c>
      <c r="O672" s="1">
        <v>100</v>
      </c>
      <c r="P672" s="1" t="s">
        <v>398</v>
      </c>
      <c r="Q672" s="1">
        <v>10</v>
      </c>
      <c r="R672" s="20">
        <v>20403</v>
      </c>
      <c r="S672" s="16">
        <v>0.01</v>
      </c>
      <c r="U672" s="1" t="s">
        <v>1454</v>
      </c>
      <c r="V672" s="17" t="s">
        <v>1455</v>
      </c>
      <c r="X672" s="17" t="s">
        <v>1456</v>
      </c>
      <c r="Y672" s="5" t="s">
        <v>1005</v>
      </c>
      <c r="Z672" s="21" t="s">
        <v>1443</v>
      </c>
      <c r="AA672" s="22" t="s">
        <v>1069</v>
      </c>
      <c r="AC672" s="22"/>
    </row>
    <row r="673" spans="1:29" s="1" customFormat="1" ht="49.5" x14ac:dyDescent="0.25">
      <c r="A673" s="13">
        <f t="shared" si="9"/>
        <v>823202</v>
      </c>
      <c r="B673" s="14">
        <v>8232</v>
      </c>
      <c r="C673" s="1" t="s">
        <v>558</v>
      </c>
      <c r="D673" s="12" t="s">
        <v>1454</v>
      </c>
      <c r="E673" s="3">
        <v>2</v>
      </c>
      <c r="F673" s="5" t="s">
        <v>708</v>
      </c>
      <c r="G673" s="3">
        <v>12</v>
      </c>
      <c r="K673" s="1">
        <v>8221</v>
      </c>
      <c r="L673" s="1">
        <v>7200</v>
      </c>
      <c r="M673" s="1">
        <v>6650</v>
      </c>
      <c r="N673" s="1" t="s">
        <v>1015</v>
      </c>
      <c r="O673" s="1">
        <v>100</v>
      </c>
      <c r="P673" s="1" t="s">
        <v>398</v>
      </c>
      <c r="Q673" s="1">
        <v>10</v>
      </c>
      <c r="R673" s="20">
        <v>20403</v>
      </c>
      <c r="S673" s="16">
        <v>0.01</v>
      </c>
      <c r="U673" s="1" t="s">
        <v>1454</v>
      </c>
      <c r="V673" s="17" t="s">
        <v>1455</v>
      </c>
      <c r="X673" s="17" t="s">
        <v>1456</v>
      </c>
      <c r="Y673" s="5" t="s">
        <v>1005</v>
      </c>
      <c r="Z673" s="21" t="s">
        <v>1443</v>
      </c>
      <c r="AA673" s="22" t="s">
        <v>1069</v>
      </c>
      <c r="AC673" s="22"/>
    </row>
    <row r="674" spans="1:29" s="1" customFormat="1" ht="49.5" x14ac:dyDescent="0.25">
      <c r="A674" s="13">
        <f t="shared" si="9"/>
        <v>823301</v>
      </c>
      <c r="B674" s="14">
        <v>8233</v>
      </c>
      <c r="C674" s="1" t="s">
        <v>558</v>
      </c>
      <c r="D674" s="12" t="s">
        <v>1022</v>
      </c>
      <c r="E674" s="3">
        <v>1</v>
      </c>
      <c r="F674" s="5" t="s">
        <v>708</v>
      </c>
      <c r="G674" s="3">
        <v>10</v>
      </c>
      <c r="K674" s="1">
        <v>8222</v>
      </c>
      <c r="L674" s="1">
        <v>7200</v>
      </c>
      <c r="M674" s="1">
        <v>6650</v>
      </c>
      <c r="N674" s="1" t="s">
        <v>1015</v>
      </c>
      <c r="O674" s="1">
        <v>100</v>
      </c>
      <c r="P674" s="1" t="s">
        <v>398</v>
      </c>
      <c r="Q674" s="1">
        <v>10</v>
      </c>
      <c r="S674" s="16"/>
      <c r="U674" s="1" t="s">
        <v>1510</v>
      </c>
      <c r="V674" s="17" t="s">
        <v>1071</v>
      </c>
      <c r="X674" s="17"/>
      <c r="Y674" s="5" t="s">
        <v>1005</v>
      </c>
      <c r="Z674" s="21" t="s">
        <v>1025</v>
      </c>
      <c r="AA674" s="22" t="s">
        <v>277</v>
      </c>
      <c r="AC674" s="22"/>
    </row>
    <row r="675" spans="1:29" s="1" customFormat="1" ht="49.5" x14ac:dyDescent="0.25">
      <c r="A675" s="13">
        <f t="shared" si="9"/>
        <v>823401</v>
      </c>
      <c r="B675" s="14">
        <v>8234</v>
      </c>
      <c r="C675" s="1" t="s">
        <v>558</v>
      </c>
      <c r="D675" s="12" t="s">
        <v>1458</v>
      </c>
      <c r="E675" s="3">
        <v>1</v>
      </c>
      <c r="F675" s="5" t="s">
        <v>708</v>
      </c>
      <c r="G675" s="3">
        <v>10</v>
      </c>
      <c r="K675" s="1">
        <v>8223</v>
      </c>
      <c r="L675" s="1">
        <v>7200</v>
      </c>
      <c r="M675" s="1">
        <v>6650</v>
      </c>
      <c r="N675" s="1" t="s">
        <v>1015</v>
      </c>
      <c r="O675" s="1">
        <v>100</v>
      </c>
      <c r="P675" s="1" t="s">
        <v>398</v>
      </c>
      <c r="Q675" s="1">
        <v>10</v>
      </c>
      <c r="R675" s="20">
        <v>20433</v>
      </c>
      <c r="S675" s="16">
        <v>0.01</v>
      </c>
      <c r="U675" s="1" t="s">
        <v>1458</v>
      </c>
      <c r="V675" s="17" t="s">
        <v>1459</v>
      </c>
      <c r="X675" s="17" t="s">
        <v>1460</v>
      </c>
      <c r="Y675" s="5" t="s">
        <v>1005</v>
      </c>
      <c r="Z675" s="21" t="s">
        <v>1450</v>
      </c>
      <c r="AA675" s="22" t="s">
        <v>1075</v>
      </c>
      <c r="AC675" s="22"/>
    </row>
    <row r="676" spans="1:29" s="1" customFormat="1" ht="49.5" x14ac:dyDescent="0.25">
      <c r="A676" s="13">
        <f t="shared" si="9"/>
        <v>823402</v>
      </c>
      <c r="B676" s="14">
        <v>8234</v>
      </c>
      <c r="C676" s="1" t="s">
        <v>558</v>
      </c>
      <c r="D676" s="12" t="s">
        <v>1458</v>
      </c>
      <c r="E676" s="3">
        <v>2</v>
      </c>
      <c r="F676" s="5" t="s">
        <v>708</v>
      </c>
      <c r="G676" s="3">
        <v>12</v>
      </c>
      <c r="K676" s="1">
        <v>8223</v>
      </c>
      <c r="L676" s="1">
        <v>7200</v>
      </c>
      <c r="M676" s="1">
        <v>6650</v>
      </c>
      <c r="N676" s="1" t="s">
        <v>1015</v>
      </c>
      <c r="O676" s="1">
        <v>100</v>
      </c>
      <c r="P676" s="1" t="s">
        <v>398</v>
      </c>
      <c r="Q676" s="1">
        <v>10</v>
      </c>
      <c r="R676" s="20">
        <v>20433</v>
      </c>
      <c r="S676" s="16">
        <v>0.01</v>
      </c>
      <c r="U676" s="1" t="s">
        <v>1458</v>
      </c>
      <c r="V676" s="17" t="s">
        <v>1459</v>
      </c>
      <c r="X676" s="17" t="s">
        <v>1460</v>
      </c>
      <c r="Y676" s="5" t="s">
        <v>1005</v>
      </c>
      <c r="Z676" s="21" t="s">
        <v>1450</v>
      </c>
      <c r="AA676" s="22" t="s">
        <v>1075</v>
      </c>
      <c r="AC676" s="22"/>
    </row>
    <row r="677" spans="1:29" s="1" customFormat="1" ht="49.5" x14ac:dyDescent="0.25">
      <c r="A677" s="13">
        <f t="shared" si="9"/>
        <v>823501</v>
      </c>
      <c r="B677" s="14">
        <v>8235</v>
      </c>
      <c r="C677" s="1" t="s">
        <v>558</v>
      </c>
      <c r="D677" s="12" t="s">
        <v>1461</v>
      </c>
      <c r="E677" s="3">
        <v>1</v>
      </c>
      <c r="F677" s="5" t="s">
        <v>708</v>
      </c>
      <c r="G677" s="3">
        <v>10</v>
      </c>
      <c r="K677" s="1">
        <v>8223</v>
      </c>
      <c r="L677" s="1">
        <v>7200</v>
      </c>
      <c r="M677" s="1">
        <v>6650</v>
      </c>
      <c r="N677" s="1" t="s">
        <v>1015</v>
      </c>
      <c r="O677" s="1">
        <v>100</v>
      </c>
      <c r="P677" s="1" t="s">
        <v>398</v>
      </c>
      <c r="Q677" s="1">
        <v>10</v>
      </c>
      <c r="R677" s="1">
        <v>20233</v>
      </c>
      <c r="S677" s="16">
        <v>0.01</v>
      </c>
      <c r="U677" s="1" t="s">
        <v>1461</v>
      </c>
      <c r="V677" s="17" t="s">
        <v>1462</v>
      </c>
      <c r="X677" s="17" t="s">
        <v>1463</v>
      </c>
      <c r="Y677" s="5" t="s">
        <v>1005</v>
      </c>
      <c r="Z677" s="21" t="s">
        <v>1450</v>
      </c>
      <c r="AA677" s="22" t="s">
        <v>1079</v>
      </c>
      <c r="AC677" s="22"/>
    </row>
    <row r="678" spans="1:29" s="1" customFormat="1" ht="49.5" x14ac:dyDescent="0.25">
      <c r="A678" s="13">
        <f t="shared" si="9"/>
        <v>823502</v>
      </c>
      <c r="B678" s="14">
        <v>8235</v>
      </c>
      <c r="C678" s="1" t="s">
        <v>558</v>
      </c>
      <c r="D678" s="12" t="s">
        <v>1461</v>
      </c>
      <c r="E678" s="3">
        <v>2</v>
      </c>
      <c r="F678" s="5" t="s">
        <v>708</v>
      </c>
      <c r="G678" s="3">
        <v>12</v>
      </c>
      <c r="K678" s="1">
        <v>8223</v>
      </c>
      <c r="L678" s="1">
        <v>7200</v>
      </c>
      <c r="M678" s="1">
        <v>6650</v>
      </c>
      <c r="N678" s="1" t="s">
        <v>1015</v>
      </c>
      <c r="O678" s="1">
        <v>100</v>
      </c>
      <c r="P678" s="1" t="s">
        <v>398</v>
      </c>
      <c r="Q678" s="1">
        <v>10</v>
      </c>
      <c r="R678" s="1">
        <v>20233</v>
      </c>
      <c r="S678" s="16">
        <v>0.01</v>
      </c>
      <c r="U678" s="1" t="s">
        <v>1461</v>
      </c>
      <c r="V678" s="17" t="s">
        <v>1462</v>
      </c>
      <c r="X678" s="17" t="s">
        <v>1463</v>
      </c>
      <c r="Y678" s="5" t="s">
        <v>1005</v>
      </c>
      <c r="Z678" s="21" t="s">
        <v>1450</v>
      </c>
      <c r="AA678" s="22" t="s">
        <v>1079</v>
      </c>
      <c r="AC678" s="22"/>
    </row>
    <row r="679" spans="1:29" s="1" customFormat="1" ht="49.5" x14ac:dyDescent="0.25">
      <c r="A679" s="13">
        <f t="shared" si="9"/>
        <v>824101</v>
      </c>
      <c r="B679" s="14">
        <v>8241</v>
      </c>
      <c r="C679" s="1" t="s">
        <v>558</v>
      </c>
      <c r="D679" s="12" t="s">
        <v>1464</v>
      </c>
      <c r="E679" s="3">
        <v>1</v>
      </c>
      <c r="F679" s="5" t="s">
        <v>708</v>
      </c>
      <c r="G679" s="3">
        <v>15</v>
      </c>
      <c r="K679" s="1">
        <v>8231</v>
      </c>
      <c r="L679" s="1">
        <v>9000</v>
      </c>
      <c r="M679" s="1">
        <v>6950</v>
      </c>
      <c r="N679" s="1" t="s">
        <v>1032</v>
      </c>
      <c r="O679" s="1">
        <v>100</v>
      </c>
      <c r="P679" s="1" t="s">
        <v>398</v>
      </c>
      <c r="Q679" s="1">
        <v>10</v>
      </c>
      <c r="R679" s="20">
        <v>6033</v>
      </c>
      <c r="S679" s="16">
        <v>0.01</v>
      </c>
      <c r="U679" s="1" t="s">
        <v>1464</v>
      </c>
      <c r="V679" s="17" t="s">
        <v>1465</v>
      </c>
      <c r="X679" s="17" t="s">
        <v>1466</v>
      </c>
      <c r="Y679" s="5" t="s">
        <v>1005</v>
      </c>
      <c r="Z679" s="21" t="s">
        <v>1443</v>
      </c>
      <c r="AA679" s="22" t="s">
        <v>1083</v>
      </c>
      <c r="AC679" s="22"/>
    </row>
    <row r="680" spans="1:29" s="1" customFormat="1" ht="49.5" x14ac:dyDescent="0.25">
      <c r="A680" s="13">
        <f t="shared" si="9"/>
        <v>824102</v>
      </c>
      <c r="B680" s="14">
        <v>8241</v>
      </c>
      <c r="C680" s="1" t="s">
        <v>558</v>
      </c>
      <c r="D680" s="12" t="s">
        <v>1464</v>
      </c>
      <c r="E680" s="3">
        <v>2</v>
      </c>
      <c r="F680" s="5" t="s">
        <v>708</v>
      </c>
      <c r="G680" s="3">
        <v>16</v>
      </c>
      <c r="K680" s="1">
        <v>8231</v>
      </c>
      <c r="L680" s="1">
        <v>9000</v>
      </c>
      <c r="M680" s="1">
        <v>6950</v>
      </c>
      <c r="N680" s="1" t="s">
        <v>1032</v>
      </c>
      <c r="O680" s="1">
        <v>100</v>
      </c>
      <c r="P680" s="1" t="s">
        <v>398</v>
      </c>
      <c r="Q680" s="1">
        <v>10</v>
      </c>
      <c r="R680" s="20">
        <v>6033</v>
      </c>
      <c r="S680" s="16">
        <v>0.01</v>
      </c>
      <c r="U680" s="1" t="s">
        <v>1464</v>
      </c>
      <c r="V680" s="17" t="s">
        <v>1465</v>
      </c>
      <c r="X680" s="17" t="s">
        <v>1466</v>
      </c>
      <c r="Y680" s="5" t="s">
        <v>1005</v>
      </c>
      <c r="Z680" s="21" t="s">
        <v>1443</v>
      </c>
      <c r="AA680" s="22" t="s">
        <v>1083</v>
      </c>
      <c r="AC680" s="22"/>
    </row>
    <row r="681" spans="1:29" s="1" customFormat="1" ht="49.5" x14ac:dyDescent="0.25">
      <c r="A681" s="13">
        <f t="shared" si="9"/>
        <v>824201</v>
      </c>
      <c r="B681" s="14">
        <v>8242</v>
      </c>
      <c r="C681" s="1" t="s">
        <v>558</v>
      </c>
      <c r="D681" s="12" t="s">
        <v>1467</v>
      </c>
      <c r="E681" s="3">
        <v>1</v>
      </c>
      <c r="F681" s="5" t="s">
        <v>708</v>
      </c>
      <c r="G681" s="3">
        <v>15</v>
      </c>
      <c r="K681" s="1">
        <v>8231</v>
      </c>
      <c r="L681" s="1">
        <v>9000</v>
      </c>
      <c r="M681" s="1">
        <v>6950</v>
      </c>
      <c r="N681" s="1" t="s">
        <v>1032</v>
      </c>
      <c r="O681" s="1">
        <v>100</v>
      </c>
      <c r="P681" s="1" t="s">
        <v>398</v>
      </c>
      <c r="Q681" s="1">
        <v>10</v>
      </c>
      <c r="R681" s="20">
        <v>20263</v>
      </c>
      <c r="S681" s="16">
        <v>5.0000000000000001E-3</v>
      </c>
      <c r="U681" s="1" t="s">
        <v>1467</v>
      </c>
      <c r="V681" s="17" t="s">
        <v>1468</v>
      </c>
      <c r="X681" s="17" t="s">
        <v>1469</v>
      </c>
      <c r="Y681" s="5" t="s">
        <v>1005</v>
      </c>
      <c r="Z681" s="21" t="s">
        <v>1439</v>
      </c>
      <c r="AA681" s="22" t="s">
        <v>1087</v>
      </c>
      <c r="AC681" s="22"/>
    </row>
    <row r="682" spans="1:29" s="1" customFormat="1" ht="49.5" x14ac:dyDescent="0.25">
      <c r="A682" s="13">
        <f t="shared" si="9"/>
        <v>824202</v>
      </c>
      <c r="B682" s="14">
        <v>8242</v>
      </c>
      <c r="C682" s="1" t="s">
        <v>558</v>
      </c>
      <c r="D682" s="12" t="s">
        <v>1467</v>
      </c>
      <c r="E682" s="3">
        <v>2</v>
      </c>
      <c r="F682" s="5" t="s">
        <v>708</v>
      </c>
      <c r="G682" s="3">
        <v>16</v>
      </c>
      <c r="K682" s="1">
        <v>8231</v>
      </c>
      <c r="L682" s="1">
        <v>9000</v>
      </c>
      <c r="M682" s="1">
        <v>6950</v>
      </c>
      <c r="N682" s="1" t="s">
        <v>1032</v>
      </c>
      <c r="O682" s="1">
        <v>100</v>
      </c>
      <c r="P682" s="1" t="s">
        <v>398</v>
      </c>
      <c r="Q682" s="1">
        <v>10</v>
      </c>
      <c r="R682" s="20">
        <v>20263</v>
      </c>
      <c r="S682" s="16">
        <v>5.0000000000000001E-3</v>
      </c>
      <c r="U682" s="1" t="s">
        <v>1467</v>
      </c>
      <c r="V682" s="17" t="s">
        <v>1468</v>
      </c>
      <c r="X682" s="17" t="s">
        <v>1469</v>
      </c>
      <c r="Y682" s="5" t="s">
        <v>1005</v>
      </c>
      <c r="Z682" s="21" t="s">
        <v>1439</v>
      </c>
      <c r="AA682" s="22" t="s">
        <v>1087</v>
      </c>
      <c r="AC682" s="22"/>
    </row>
    <row r="683" spans="1:29" s="1" customFormat="1" ht="49.5" x14ac:dyDescent="0.25">
      <c r="A683" s="13">
        <f t="shared" si="9"/>
        <v>824301</v>
      </c>
      <c r="B683" s="14">
        <v>8243</v>
      </c>
      <c r="C683" s="1" t="s">
        <v>558</v>
      </c>
      <c r="D683" s="12" t="s">
        <v>1470</v>
      </c>
      <c r="E683" s="3">
        <v>1</v>
      </c>
      <c r="F683" s="5" t="s">
        <v>708</v>
      </c>
      <c r="G683" s="3">
        <v>18</v>
      </c>
      <c r="K683" s="1">
        <v>8232</v>
      </c>
      <c r="L683" s="1">
        <v>9000</v>
      </c>
      <c r="M683" s="1">
        <v>7250</v>
      </c>
      <c r="N683" s="1" t="s">
        <v>1033</v>
      </c>
      <c r="O683" s="1">
        <v>100</v>
      </c>
      <c r="P683" s="1" t="s">
        <v>398</v>
      </c>
      <c r="Q683" s="1">
        <v>10</v>
      </c>
      <c r="R683" s="20">
        <v>20463</v>
      </c>
      <c r="S683" s="16">
        <v>5.0000000000000001E-3</v>
      </c>
      <c r="U683" s="1" t="s">
        <v>1470</v>
      </c>
      <c r="V683" s="17" t="s">
        <v>1471</v>
      </c>
      <c r="X683" s="17" t="s">
        <v>1472</v>
      </c>
      <c r="Y683" s="5" t="s">
        <v>1005</v>
      </c>
      <c r="Z683" s="21" t="s">
        <v>1439</v>
      </c>
      <c r="AA683" s="22" t="s">
        <v>1091</v>
      </c>
      <c r="AC683" s="22"/>
    </row>
    <row r="684" spans="1:29" s="1" customFormat="1" ht="49.5" x14ac:dyDescent="0.25">
      <c r="A684" s="13">
        <f t="shared" si="9"/>
        <v>824401</v>
      </c>
      <c r="B684" s="14">
        <v>8244</v>
      </c>
      <c r="C684" s="1" t="s">
        <v>558</v>
      </c>
      <c r="D684" s="12" t="s">
        <v>1444</v>
      </c>
      <c r="E684" s="3">
        <v>1</v>
      </c>
      <c r="F684" s="5" t="s">
        <v>708</v>
      </c>
      <c r="G684" s="3">
        <v>20</v>
      </c>
      <c r="K684" s="1" t="s">
        <v>1511</v>
      </c>
      <c r="L684" s="1">
        <v>10800</v>
      </c>
      <c r="M684" s="1">
        <v>7550</v>
      </c>
      <c r="N684" s="1" t="s">
        <v>397</v>
      </c>
      <c r="O684" s="1">
        <v>100</v>
      </c>
      <c r="P684" s="1" t="s">
        <v>398</v>
      </c>
      <c r="Q684" s="1">
        <v>10</v>
      </c>
      <c r="R684" s="1">
        <v>20063</v>
      </c>
      <c r="S684" s="16">
        <v>5.0000000000000001E-3</v>
      </c>
      <c r="U684" s="1" t="s">
        <v>1444</v>
      </c>
      <c r="V684" s="17" t="s">
        <v>1445</v>
      </c>
      <c r="X684" s="17" t="s">
        <v>1446</v>
      </c>
      <c r="Y684" s="5" t="s">
        <v>1005</v>
      </c>
      <c r="Z684" s="21" t="s">
        <v>1439</v>
      </c>
      <c r="AA684" s="22" t="s">
        <v>1093</v>
      </c>
      <c r="AC684" s="22"/>
    </row>
    <row r="685" spans="1:29" s="1" customFormat="1" ht="49.5" x14ac:dyDescent="0.25">
      <c r="A685" s="13">
        <f t="shared" si="9"/>
        <v>824501</v>
      </c>
      <c r="B685" s="14">
        <v>8245</v>
      </c>
      <c r="C685" s="1" t="s">
        <v>558</v>
      </c>
      <c r="D685" s="12" t="s">
        <v>1470</v>
      </c>
      <c r="E685" s="3">
        <v>1</v>
      </c>
      <c r="F685" s="5" t="s">
        <v>708</v>
      </c>
      <c r="G685" s="3">
        <v>18</v>
      </c>
      <c r="K685" s="1">
        <v>8234</v>
      </c>
      <c r="L685" s="1">
        <v>9000</v>
      </c>
      <c r="M685" s="1">
        <v>7250</v>
      </c>
      <c r="N685" s="1" t="s">
        <v>1033</v>
      </c>
      <c r="O685" s="1">
        <v>100</v>
      </c>
      <c r="P685" s="1" t="s">
        <v>398</v>
      </c>
      <c r="Q685" s="1">
        <v>10</v>
      </c>
      <c r="R685" s="20">
        <v>20463</v>
      </c>
      <c r="S685" s="16">
        <v>5.0000000000000001E-3</v>
      </c>
      <c r="U685" s="1" t="s">
        <v>1470</v>
      </c>
      <c r="V685" s="17" t="s">
        <v>1471</v>
      </c>
      <c r="X685" s="17" t="s">
        <v>1472</v>
      </c>
      <c r="Y685" s="5" t="s">
        <v>1005</v>
      </c>
      <c r="Z685" s="21" t="s">
        <v>1439</v>
      </c>
      <c r="AA685" s="22" t="s">
        <v>1094</v>
      </c>
    </row>
    <row r="686" spans="1:29" s="1" customFormat="1" ht="49.5" x14ac:dyDescent="0.25">
      <c r="A686" s="13">
        <f t="shared" si="9"/>
        <v>824601</v>
      </c>
      <c r="B686" s="14">
        <v>8246</v>
      </c>
      <c r="C686" s="1" t="s">
        <v>558</v>
      </c>
      <c r="D686" s="12" t="s">
        <v>1467</v>
      </c>
      <c r="E686" s="3">
        <v>1</v>
      </c>
      <c r="F686" s="5" t="s">
        <v>708</v>
      </c>
      <c r="G686" s="3">
        <v>15</v>
      </c>
      <c r="K686" s="1">
        <v>8235</v>
      </c>
      <c r="L686" s="1">
        <v>9000</v>
      </c>
      <c r="M686" s="1">
        <v>6950</v>
      </c>
      <c r="N686" s="1" t="s">
        <v>1032</v>
      </c>
      <c r="O686" s="1">
        <v>100</v>
      </c>
      <c r="P686" s="1" t="s">
        <v>398</v>
      </c>
      <c r="Q686" s="1">
        <v>10</v>
      </c>
      <c r="R686" s="20">
        <v>20263</v>
      </c>
      <c r="S686" s="16">
        <v>5.0000000000000001E-3</v>
      </c>
      <c r="U686" s="1" t="s">
        <v>1467</v>
      </c>
      <c r="V686" s="17" t="s">
        <v>1468</v>
      </c>
      <c r="X686" s="17" t="s">
        <v>1469</v>
      </c>
      <c r="Y686" s="5" t="s">
        <v>1005</v>
      </c>
      <c r="Z686" s="21" t="s">
        <v>1439</v>
      </c>
      <c r="AA686" s="22" t="s">
        <v>1095</v>
      </c>
    </row>
    <row r="687" spans="1:29" s="1" customFormat="1" ht="49.5" x14ac:dyDescent="0.25">
      <c r="A687" s="13">
        <f t="shared" si="9"/>
        <v>824602</v>
      </c>
      <c r="B687" s="14">
        <v>8246</v>
      </c>
      <c r="C687" s="1" t="s">
        <v>558</v>
      </c>
      <c r="D687" s="12" t="s">
        <v>1467</v>
      </c>
      <c r="E687" s="3">
        <v>2</v>
      </c>
      <c r="F687" s="5" t="s">
        <v>708</v>
      </c>
      <c r="G687" s="3">
        <v>16</v>
      </c>
      <c r="K687" s="1">
        <v>8235</v>
      </c>
      <c r="L687" s="1">
        <v>9000</v>
      </c>
      <c r="M687" s="1">
        <v>6950</v>
      </c>
      <c r="N687" s="1" t="s">
        <v>1032</v>
      </c>
      <c r="O687" s="1">
        <v>100</v>
      </c>
      <c r="P687" s="1" t="s">
        <v>398</v>
      </c>
      <c r="Q687" s="1">
        <v>10</v>
      </c>
      <c r="R687" s="20">
        <v>20263</v>
      </c>
      <c r="S687" s="2">
        <v>5.0000000000000001E-3</v>
      </c>
      <c r="U687" s="1" t="s">
        <v>1467</v>
      </c>
      <c r="V687" s="17" t="s">
        <v>1468</v>
      </c>
      <c r="X687" s="17" t="s">
        <v>1469</v>
      </c>
      <c r="Y687" s="5" t="s">
        <v>1005</v>
      </c>
      <c r="Z687" s="21" t="s">
        <v>1439</v>
      </c>
      <c r="AA687" s="22" t="s">
        <v>1095</v>
      </c>
    </row>
    <row r="688" spans="1:29" s="1" customFormat="1" ht="49.5" x14ac:dyDescent="0.25">
      <c r="A688" s="13">
        <f t="shared" si="9"/>
        <v>824701</v>
      </c>
      <c r="B688" s="14">
        <v>8247</v>
      </c>
      <c r="C688" s="1" t="s">
        <v>558</v>
      </c>
      <c r="D688" s="12" t="s">
        <v>1464</v>
      </c>
      <c r="E688" s="3">
        <v>1</v>
      </c>
      <c r="F688" s="5" t="s">
        <v>708</v>
      </c>
      <c r="G688" s="3">
        <v>15</v>
      </c>
      <c r="K688" s="1">
        <v>8235</v>
      </c>
      <c r="L688" s="1">
        <v>9000</v>
      </c>
      <c r="M688" s="1">
        <v>6950</v>
      </c>
      <c r="N688" s="1" t="s">
        <v>1032</v>
      </c>
      <c r="O688" s="1">
        <v>100</v>
      </c>
      <c r="P688" s="1" t="s">
        <v>398</v>
      </c>
      <c r="Q688" s="1">
        <v>10</v>
      </c>
      <c r="R688" s="20">
        <v>6033</v>
      </c>
      <c r="S688" s="16">
        <v>0.01</v>
      </c>
      <c r="U688" s="1" t="s">
        <v>1464</v>
      </c>
      <c r="V688" s="17" t="s">
        <v>1465</v>
      </c>
      <c r="X688" s="17" t="s">
        <v>1466</v>
      </c>
      <c r="Y688" s="5" t="s">
        <v>1005</v>
      </c>
      <c r="Z688" s="21" t="s">
        <v>1443</v>
      </c>
      <c r="AA688" s="22" t="s">
        <v>1096</v>
      </c>
    </row>
    <row r="689" spans="1:27" s="1" customFormat="1" ht="49.5" x14ac:dyDescent="0.25">
      <c r="A689" s="13">
        <f t="shared" si="9"/>
        <v>824702</v>
      </c>
      <c r="B689" s="14">
        <v>8247</v>
      </c>
      <c r="C689" s="1" t="s">
        <v>558</v>
      </c>
      <c r="D689" s="12" t="s">
        <v>1464</v>
      </c>
      <c r="E689" s="3">
        <v>2</v>
      </c>
      <c r="F689" s="5" t="s">
        <v>708</v>
      </c>
      <c r="G689" s="3">
        <v>16</v>
      </c>
      <c r="K689" s="1">
        <v>8235</v>
      </c>
      <c r="L689" s="1">
        <v>9000</v>
      </c>
      <c r="M689" s="1">
        <v>6950</v>
      </c>
      <c r="N689" s="1" t="s">
        <v>1032</v>
      </c>
      <c r="O689" s="1">
        <v>100</v>
      </c>
      <c r="P689" s="1" t="s">
        <v>398</v>
      </c>
      <c r="Q689" s="1">
        <v>10</v>
      </c>
      <c r="R689" s="20">
        <v>6033</v>
      </c>
      <c r="S689" s="16">
        <v>0.01</v>
      </c>
      <c r="U689" s="1" t="s">
        <v>1464</v>
      </c>
      <c r="V689" s="17" t="s">
        <v>1465</v>
      </c>
      <c r="X689" s="17" t="s">
        <v>1466</v>
      </c>
      <c r="Y689" s="5" t="s">
        <v>1005</v>
      </c>
      <c r="Z689" s="21" t="s">
        <v>1443</v>
      </c>
      <c r="AA689" s="22" t="s">
        <v>1096</v>
      </c>
    </row>
    <row r="690" spans="1:27" s="1" customFormat="1" ht="49.5" x14ac:dyDescent="0.25">
      <c r="A690" s="13">
        <f t="shared" si="9"/>
        <v>831101</v>
      </c>
      <c r="B690" s="14">
        <v>8311</v>
      </c>
      <c r="C690" s="1" t="s">
        <v>558</v>
      </c>
      <c r="D690" s="12" t="s">
        <v>1474</v>
      </c>
      <c r="E690" s="3">
        <v>1</v>
      </c>
      <c r="F690" s="5" t="s">
        <v>712</v>
      </c>
      <c r="G690" s="3">
        <v>1</v>
      </c>
      <c r="K690" s="1">
        <v>8233</v>
      </c>
      <c r="L690" s="1">
        <v>3600</v>
      </c>
      <c r="M690" s="1">
        <v>6300</v>
      </c>
      <c r="N690" s="1" t="s">
        <v>999</v>
      </c>
      <c r="O690" s="1">
        <v>100</v>
      </c>
      <c r="P690" s="1" t="s">
        <v>398</v>
      </c>
      <c r="Q690" s="1">
        <v>10</v>
      </c>
      <c r="R690" s="1" t="s">
        <v>1475</v>
      </c>
      <c r="S690" s="16" t="s">
        <v>1099</v>
      </c>
      <c r="U690" s="1" t="s">
        <v>1476</v>
      </c>
      <c r="V690" s="17" t="s">
        <v>1477</v>
      </c>
      <c r="X690" s="17" t="s">
        <v>1478</v>
      </c>
      <c r="Y690" s="5" t="s">
        <v>1005</v>
      </c>
      <c r="Z690" s="21" t="s">
        <v>1439</v>
      </c>
      <c r="AA690" s="22" t="s">
        <v>1103</v>
      </c>
    </row>
    <row r="691" spans="1:27" s="1" customFormat="1" ht="49.5" x14ac:dyDescent="0.25">
      <c r="A691" s="13">
        <f t="shared" si="9"/>
        <v>832101</v>
      </c>
      <c r="B691" s="14">
        <v>8321</v>
      </c>
      <c r="C691" s="1" t="s">
        <v>558</v>
      </c>
      <c r="D691" s="12" t="s">
        <v>1479</v>
      </c>
      <c r="E691" s="3">
        <v>1</v>
      </c>
      <c r="F691" s="5" t="s">
        <v>712</v>
      </c>
      <c r="G691" s="3">
        <v>5</v>
      </c>
      <c r="K691" s="1">
        <v>8311</v>
      </c>
      <c r="L691" s="1">
        <v>5400</v>
      </c>
      <c r="M691" s="1">
        <v>6650</v>
      </c>
      <c r="N691" s="1" t="s">
        <v>1008</v>
      </c>
      <c r="O691" s="1">
        <v>100</v>
      </c>
      <c r="P691" s="1" t="s">
        <v>398</v>
      </c>
      <c r="Q691" s="1">
        <v>10</v>
      </c>
      <c r="R691" s="1">
        <v>20007</v>
      </c>
      <c r="S691" s="16">
        <v>1.4999999999999999E-2</v>
      </c>
      <c r="U691" s="1" t="s">
        <v>1479</v>
      </c>
      <c r="V691" s="17" t="s">
        <v>1480</v>
      </c>
      <c r="X691" s="17" t="s">
        <v>1481</v>
      </c>
      <c r="Y691" s="5" t="s">
        <v>1005</v>
      </c>
      <c r="Z691" s="21" t="s">
        <v>1443</v>
      </c>
      <c r="AA691" s="22" t="s">
        <v>1107</v>
      </c>
    </row>
    <row r="692" spans="1:27" s="1" customFormat="1" ht="49.5" x14ac:dyDescent="0.25">
      <c r="A692" s="13">
        <f t="shared" si="9"/>
        <v>832201</v>
      </c>
      <c r="B692" s="14">
        <v>8322</v>
      </c>
      <c r="C692" s="1" t="s">
        <v>558</v>
      </c>
      <c r="D692" s="12" t="s">
        <v>1239</v>
      </c>
      <c r="E692" s="3">
        <v>1</v>
      </c>
      <c r="F692" s="5" t="s">
        <v>712</v>
      </c>
      <c r="G692" s="3">
        <v>5</v>
      </c>
      <c r="K692" s="1">
        <v>8311</v>
      </c>
      <c r="L692" s="1">
        <v>5400</v>
      </c>
      <c r="M692" s="1">
        <v>6650</v>
      </c>
      <c r="N692" s="1" t="s">
        <v>1008</v>
      </c>
      <c r="O692" s="1">
        <v>100</v>
      </c>
      <c r="P692" s="1" t="s">
        <v>398</v>
      </c>
      <c r="Q692" s="1">
        <v>10</v>
      </c>
      <c r="R692" s="1" t="s">
        <v>1240</v>
      </c>
      <c r="S692" s="16" t="s">
        <v>222</v>
      </c>
      <c r="U692" s="1" t="s">
        <v>1241</v>
      </c>
      <c r="V692" s="17" t="s">
        <v>1242</v>
      </c>
      <c r="X692" s="17" t="s">
        <v>1243</v>
      </c>
      <c r="Y692" s="5" t="s">
        <v>1005</v>
      </c>
      <c r="Z692" s="21" t="s">
        <v>1113</v>
      </c>
      <c r="AA692" s="22" t="s">
        <v>1114</v>
      </c>
    </row>
    <row r="693" spans="1:27" s="1" customFormat="1" ht="49.5" x14ac:dyDescent="0.25">
      <c r="A693" s="13">
        <f t="shared" si="9"/>
        <v>832301</v>
      </c>
      <c r="B693" s="14">
        <v>8323</v>
      </c>
      <c r="C693" s="1" t="s">
        <v>558</v>
      </c>
      <c r="D693" s="12" t="s">
        <v>1482</v>
      </c>
      <c r="E693" s="3">
        <v>1</v>
      </c>
      <c r="F693" s="5" t="s">
        <v>712</v>
      </c>
      <c r="G693" s="3">
        <v>5</v>
      </c>
      <c r="K693" s="1">
        <v>8311</v>
      </c>
      <c r="L693" s="1">
        <v>5400</v>
      </c>
      <c r="M693" s="1">
        <v>6650</v>
      </c>
      <c r="N693" s="1" t="s">
        <v>1008</v>
      </c>
      <c r="O693" s="1">
        <v>100</v>
      </c>
      <c r="P693" s="1" t="s">
        <v>398</v>
      </c>
      <c r="Q693" s="1">
        <v>10</v>
      </c>
      <c r="R693" s="1">
        <v>20037</v>
      </c>
      <c r="S693" s="16">
        <v>1.4999999999999999E-2</v>
      </c>
      <c r="U693" s="1" t="s">
        <v>1482</v>
      </c>
      <c r="V693" s="17" t="s">
        <v>1483</v>
      </c>
      <c r="X693" s="17" t="s">
        <v>1484</v>
      </c>
      <c r="Y693" s="5" t="s">
        <v>1005</v>
      </c>
      <c r="Z693" s="21" t="s">
        <v>1450</v>
      </c>
      <c r="AA693" s="22" t="s">
        <v>1118</v>
      </c>
    </row>
    <row r="694" spans="1:27" s="1" customFormat="1" ht="49.5" x14ac:dyDescent="0.25">
      <c r="A694" s="13">
        <f t="shared" si="9"/>
        <v>833101</v>
      </c>
      <c r="B694" s="14">
        <v>8331</v>
      </c>
      <c r="C694" s="1" t="s">
        <v>558</v>
      </c>
      <c r="D694" s="12" t="s">
        <v>1479</v>
      </c>
      <c r="E694" s="3">
        <v>1</v>
      </c>
      <c r="F694" s="5" t="s">
        <v>712</v>
      </c>
      <c r="G694" s="3">
        <v>10</v>
      </c>
      <c r="K694" s="1">
        <v>8321</v>
      </c>
      <c r="L694" s="1">
        <v>7200</v>
      </c>
      <c r="M694" s="1">
        <v>6950</v>
      </c>
      <c r="N694" s="1" t="s">
        <v>1015</v>
      </c>
      <c r="O694" s="1">
        <v>100</v>
      </c>
      <c r="P694" s="1" t="s">
        <v>398</v>
      </c>
      <c r="Q694" s="1">
        <v>10</v>
      </c>
      <c r="R694" s="1">
        <v>20007</v>
      </c>
      <c r="S694" s="16">
        <v>1.4999999999999999E-2</v>
      </c>
      <c r="U694" s="1" t="s">
        <v>1479</v>
      </c>
      <c r="V694" s="17" t="s">
        <v>1480</v>
      </c>
      <c r="X694" s="17" t="s">
        <v>1481</v>
      </c>
      <c r="Y694" s="5" t="s">
        <v>1005</v>
      </c>
      <c r="Z694" s="21" t="s">
        <v>1443</v>
      </c>
      <c r="AA694" s="22" t="s">
        <v>1119</v>
      </c>
    </row>
    <row r="695" spans="1:27" s="1" customFormat="1" ht="49.5" x14ac:dyDescent="0.25">
      <c r="A695" s="13">
        <f t="shared" si="9"/>
        <v>833102</v>
      </c>
      <c r="B695" s="14">
        <v>8331</v>
      </c>
      <c r="C695" s="1" t="s">
        <v>558</v>
      </c>
      <c r="D695" s="12" t="s">
        <v>1479</v>
      </c>
      <c r="E695" s="3">
        <v>2</v>
      </c>
      <c r="F695" s="5" t="s">
        <v>712</v>
      </c>
      <c r="G695" s="3">
        <v>14</v>
      </c>
      <c r="K695" s="1">
        <v>8321</v>
      </c>
      <c r="L695" s="1">
        <v>7200</v>
      </c>
      <c r="M695" s="1">
        <v>6950</v>
      </c>
      <c r="N695" s="1" t="s">
        <v>1015</v>
      </c>
      <c r="O695" s="1">
        <v>100</v>
      </c>
      <c r="P695" s="1" t="s">
        <v>398</v>
      </c>
      <c r="Q695" s="1">
        <v>10</v>
      </c>
      <c r="R695" s="1">
        <v>20007</v>
      </c>
      <c r="S695" s="16">
        <v>1.4999999999999999E-2</v>
      </c>
      <c r="U695" s="1" t="s">
        <v>1479</v>
      </c>
      <c r="V695" s="17" t="s">
        <v>1480</v>
      </c>
      <c r="X695" s="17" t="s">
        <v>1481</v>
      </c>
      <c r="Y695" s="5" t="s">
        <v>1005</v>
      </c>
      <c r="Z695" s="21" t="s">
        <v>1443</v>
      </c>
      <c r="AA695" s="22" t="s">
        <v>1119</v>
      </c>
    </row>
    <row r="696" spans="1:27" s="1" customFormat="1" ht="49.5" x14ac:dyDescent="0.25">
      <c r="A696" s="13">
        <f t="shared" si="9"/>
        <v>833201</v>
      </c>
      <c r="B696" s="14">
        <v>8332</v>
      </c>
      <c r="C696" s="1" t="s">
        <v>558</v>
      </c>
      <c r="D696" s="12" t="s">
        <v>1247</v>
      </c>
      <c r="E696" s="3">
        <v>1</v>
      </c>
      <c r="F696" s="5" t="s">
        <v>712</v>
      </c>
      <c r="G696" s="3">
        <v>10</v>
      </c>
      <c r="K696" s="1" t="s">
        <v>1512</v>
      </c>
      <c r="L696" s="1">
        <v>7200</v>
      </c>
      <c r="M696" s="1">
        <v>6950</v>
      </c>
      <c r="N696" s="1" t="s">
        <v>1015</v>
      </c>
      <c r="O696" s="1">
        <v>100</v>
      </c>
      <c r="P696" s="1" t="s">
        <v>398</v>
      </c>
      <c r="Q696" s="1">
        <v>10</v>
      </c>
      <c r="R696" s="1">
        <v>30241</v>
      </c>
      <c r="S696" s="16">
        <v>1</v>
      </c>
      <c r="U696" s="1" t="s">
        <v>1241</v>
      </c>
      <c r="V696" s="17" t="s">
        <v>1249</v>
      </c>
      <c r="X696" s="17" t="s">
        <v>1250</v>
      </c>
      <c r="Y696" s="5" t="s">
        <v>1005</v>
      </c>
      <c r="Z696" s="21" t="s">
        <v>1124</v>
      </c>
      <c r="AA696" s="22" t="s">
        <v>1125</v>
      </c>
    </row>
    <row r="697" spans="1:27" s="1" customFormat="1" ht="49.5" x14ac:dyDescent="0.25">
      <c r="A697" s="13">
        <f t="shared" si="9"/>
        <v>833202</v>
      </c>
      <c r="B697" s="14">
        <v>8332</v>
      </c>
      <c r="C697" s="1" t="s">
        <v>558</v>
      </c>
      <c r="D697" s="12" t="s">
        <v>1247</v>
      </c>
      <c r="E697" s="3">
        <v>2</v>
      </c>
      <c r="F697" s="5" t="s">
        <v>712</v>
      </c>
      <c r="G697" s="3">
        <v>14</v>
      </c>
      <c r="K697" s="1" t="s">
        <v>1512</v>
      </c>
      <c r="L697" s="1">
        <v>7200</v>
      </c>
      <c r="M697" s="1">
        <v>6950</v>
      </c>
      <c r="N697" s="1" t="s">
        <v>1015</v>
      </c>
      <c r="O697" s="1">
        <v>100</v>
      </c>
      <c r="P697" s="1" t="s">
        <v>398</v>
      </c>
      <c r="Q697" s="1">
        <v>10</v>
      </c>
      <c r="R697" s="1">
        <v>30241</v>
      </c>
      <c r="S697" s="16">
        <v>1</v>
      </c>
      <c r="U697" s="1" t="s">
        <v>1241</v>
      </c>
      <c r="V697" s="17" t="s">
        <v>1249</v>
      </c>
      <c r="X697" s="17" t="s">
        <v>1250</v>
      </c>
      <c r="Y697" s="5" t="s">
        <v>1005</v>
      </c>
      <c r="Z697" s="21" t="s">
        <v>1124</v>
      </c>
      <c r="AA697" s="22" t="s">
        <v>1125</v>
      </c>
    </row>
    <row r="698" spans="1:27" s="1" customFormat="1" ht="49.5" x14ac:dyDescent="0.25">
      <c r="A698" s="13">
        <f t="shared" si="9"/>
        <v>833301</v>
      </c>
      <c r="B698" s="14">
        <v>8333</v>
      </c>
      <c r="C698" s="1" t="s">
        <v>558</v>
      </c>
      <c r="D698" s="12" t="s">
        <v>1251</v>
      </c>
      <c r="E698" s="3">
        <v>1</v>
      </c>
      <c r="F698" s="5" t="s">
        <v>712</v>
      </c>
      <c r="G698" s="3">
        <v>10</v>
      </c>
      <c r="K698" s="1">
        <v>8322</v>
      </c>
      <c r="L698" s="1">
        <v>7200</v>
      </c>
      <c r="M698" s="1">
        <v>6950</v>
      </c>
      <c r="N698" s="1" t="s">
        <v>1015</v>
      </c>
      <c r="O698" s="1">
        <v>100</v>
      </c>
      <c r="P698" s="1" t="s">
        <v>398</v>
      </c>
      <c r="Q698" s="1">
        <v>10</v>
      </c>
      <c r="R698" s="1">
        <v>30221</v>
      </c>
      <c r="S698" s="16">
        <v>1</v>
      </c>
      <c r="U698" s="1" t="s">
        <v>1241</v>
      </c>
      <c r="V698" s="17" t="s">
        <v>1252</v>
      </c>
      <c r="X698" s="17" t="s">
        <v>1253</v>
      </c>
      <c r="Y698" s="5" t="s">
        <v>1005</v>
      </c>
      <c r="Z698" s="21" t="s">
        <v>1129</v>
      </c>
      <c r="AA698" s="22" t="s">
        <v>1130</v>
      </c>
    </row>
    <row r="699" spans="1:27" s="1" customFormat="1" ht="49.5" x14ac:dyDescent="0.25">
      <c r="A699" s="13">
        <f t="shared" si="9"/>
        <v>833302</v>
      </c>
      <c r="B699" s="14">
        <v>8333</v>
      </c>
      <c r="C699" s="1" t="s">
        <v>558</v>
      </c>
      <c r="D699" s="12" t="s">
        <v>1251</v>
      </c>
      <c r="E699" s="3">
        <v>2</v>
      </c>
      <c r="F699" s="5" t="s">
        <v>712</v>
      </c>
      <c r="G699" s="3">
        <v>14</v>
      </c>
      <c r="K699" s="1">
        <v>8322</v>
      </c>
      <c r="L699" s="1">
        <v>7200</v>
      </c>
      <c r="M699" s="1">
        <v>6950</v>
      </c>
      <c r="N699" s="1" t="s">
        <v>1015</v>
      </c>
      <c r="O699" s="1">
        <v>100</v>
      </c>
      <c r="P699" s="1" t="s">
        <v>398</v>
      </c>
      <c r="Q699" s="1">
        <v>10</v>
      </c>
      <c r="R699" s="1">
        <v>30221</v>
      </c>
      <c r="S699" s="16">
        <v>1</v>
      </c>
      <c r="U699" s="1" t="s">
        <v>1241</v>
      </c>
      <c r="V699" s="17" t="s">
        <v>1252</v>
      </c>
      <c r="X699" s="17" t="s">
        <v>1253</v>
      </c>
      <c r="Y699" s="5" t="s">
        <v>1005</v>
      </c>
      <c r="Z699" s="21" t="s">
        <v>1129</v>
      </c>
      <c r="AA699" s="22" t="s">
        <v>1130</v>
      </c>
    </row>
    <row r="700" spans="1:27" s="1" customFormat="1" ht="49.5" x14ac:dyDescent="0.25">
      <c r="A700" s="13">
        <f t="shared" si="9"/>
        <v>833401</v>
      </c>
      <c r="B700" s="14">
        <v>8334</v>
      </c>
      <c r="C700" s="1" t="s">
        <v>558</v>
      </c>
      <c r="D700" s="12" t="s">
        <v>1254</v>
      </c>
      <c r="E700" s="3">
        <v>1</v>
      </c>
      <c r="F700" s="5" t="s">
        <v>712</v>
      </c>
      <c r="G700" s="3">
        <v>10</v>
      </c>
      <c r="K700" s="1" t="s">
        <v>1513</v>
      </c>
      <c r="L700" s="1">
        <v>7200</v>
      </c>
      <c r="M700" s="1">
        <v>6950</v>
      </c>
      <c r="N700" s="1" t="s">
        <v>1015</v>
      </c>
      <c r="O700" s="1">
        <v>100</v>
      </c>
      <c r="P700" s="1" t="s">
        <v>398</v>
      </c>
      <c r="Q700" s="1">
        <v>10</v>
      </c>
      <c r="R700" s="1">
        <v>30231</v>
      </c>
      <c r="S700" s="16">
        <v>1</v>
      </c>
      <c r="U700" s="1" t="s">
        <v>1241</v>
      </c>
      <c r="V700" s="17" t="s">
        <v>1256</v>
      </c>
      <c r="X700" s="17" t="s">
        <v>1257</v>
      </c>
      <c r="Y700" s="5" t="s">
        <v>1005</v>
      </c>
      <c r="Z700" s="21" t="s">
        <v>1135</v>
      </c>
      <c r="AA700" s="22" t="s">
        <v>1136</v>
      </c>
    </row>
    <row r="701" spans="1:27" s="1" customFormat="1" ht="49.5" x14ac:dyDescent="0.25">
      <c r="A701" s="13">
        <f t="shared" si="9"/>
        <v>833402</v>
      </c>
      <c r="B701" s="14">
        <v>8334</v>
      </c>
      <c r="C701" s="1" t="s">
        <v>558</v>
      </c>
      <c r="D701" s="12" t="s">
        <v>1254</v>
      </c>
      <c r="E701" s="3">
        <v>2</v>
      </c>
      <c r="F701" s="5" t="s">
        <v>712</v>
      </c>
      <c r="G701" s="3">
        <v>14</v>
      </c>
      <c r="K701" s="1" t="s">
        <v>1513</v>
      </c>
      <c r="L701" s="1">
        <v>7200</v>
      </c>
      <c r="M701" s="1">
        <v>6950</v>
      </c>
      <c r="N701" s="1" t="s">
        <v>1015</v>
      </c>
      <c r="O701" s="1">
        <v>100</v>
      </c>
      <c r="P701" s="1" t="s">
        <v>398</v>
      </c>
      <c r="Q701" s="1">
        <v>10</v>
      </c>
      <c r="R701" s="1">
        <v>30231</v>
      </c>
      <c r="S701" s="16">
        <v>1</v>
      </c>
      <c r="U701" s="1" t="s">
        <v>1241</v>
      </c>
      <c r="V701" s="17" t="s">
        <v>1256</v>
      </c>
      <c r="X701" s="17" t="s">
        <v>1257</v>
      </c>
      <c r="Y701" s="5" t="s">
        <v>1005</v>
      </c>
      <c r="Z701" s="21" t="s">
        <v>1135</v>
      </c>
      <c r="AA701" s="22" t="s">
        <v>1136</v>
      </c>
    </row>
    <row r="702" spans="1:27" s="1" customFormat="1" ht="49.5" x14ac:dyDescent="0.25">
      <c r="A702" s="13">
        <f t="shared" si="9"/>
        <v>833501</v>
      </c>
      <c r="B702" s="14">
        <v>8335</v>
      </c>
      <c r="C702" s="1" t="s">
        <v>558</v>
      </c>
      <c r="D702" s="12" t="s">
        <v>1482</v>
      </c>
      <c r="E702" s="3">
        <v>1</v>
      </c>
      <c r="F702" s="5" t="s">
        <v>712</v>
      </c>
      <c r="G702" s="3">
        <v>10</v>
      </c>
      <c r="K702" s="1">
        <v>8323</v>
      </c>
      <c r="L702" s="1">
        <v>7200</v>
      </c>
      <c r="M702" s="1">
        <v>6950</v>
      </c>
      <c r="N702" s="1" t="s">
        <v>1015</v>
      </c>
      <c r="O702" s="1">
        <v>100</v>
      </c>
      <c r="P702" s="1" t="s">
        <v>398</v>
      </c>
      <c r="Q702" s="1">
        <v>10</v>
      </c>
      <c r="R702" s="1">
        <v>20037</v>
      </c>
      <c r="S702" s="16">
        <v>1.4999999999999999E-2</v>
      </c>
      <c r="U702" s="1" t="s">
        <v>1482</v>
      </c>
      <c r="V702" s="17" t="s">
        <v>1483</v>
      </c>
      <c r="X702" s="17" t="s">
        <v>1484</v>
      </c>
      <c r="Y702" s="5" t="s">
        <v>1005</v>
      </c>
      <c r="Z702" s="21" t="s">
        <v>1450</v>
      </c>
      <c r="AA702" s="22" t="s">
        <v>1137</v>
      </c>
    </row>
    <row r="703" spans="1:27" s="1" customFormat="1" ht="49.5" x14ac:dyDescent="0.25">
      <c r="A703" s="13">
        <f t="shared" si="9"/>
        <v>833502</v>
      </c>
      <c r="B703" s="14">
        <v>8335</v>
      </c>
      <c r="C703" s="1" t="s">
        <v>558</v>
      </c>
      <c r="D703" s="12" t="s">
        <v>1482</v>
      </c>
      <c r="E703" s="3">
        <v>2</v>
      </c>
      <c r="F703" s="5" t="s">
        <v>712</v>
      </c>
      <c r="G703" s="3">
        <v>14</v>
      </c>
      <c r="K703" s="1">
        <v>8323</v>
      </c>
      <c r="L703" s="1">
        <v>7200</v>
      </c>
      <c r="M703" s="1">
        <v>6950</v>
      </c>
      <c r="N703" s="1" t="s">
        <v>1015</v>
      </c>
      <c r="O703" s="1">
        <v>100</v>
      </c>
      <c r="P703" s="1" t="s">
        <v>398</v>
      </c>
      <c r="Q703" s="1">
        <v>10</v>
      </c>
      <c r="R703" s="1">
        <v>20037</v>
      </c>
      <c r="S703" s="16">
        <v>1.4999999999999999E-2</v>
      </c>
      <c r="U703" s="1" t="s">
        <v>1482</v>
      </c>
      <c r="V703" s="17" t="s">
        <v>1483</v>
      </c>
      <c r="X703" s="17" t="s">
        <v>1484</v>
      </c>
      <c r="Y703" s="5" t="s">
        <v>1005</v>
      </c>
      <c r="Z703" s="21" t="s">
        <v>1450</v>
      </c>
      <c r="AA703" s="22" t="s">
        <v>1137</v>
      </c>
    </row>
    <row r="704" spans="1:27" s="1" customFormat="1" ht="49.5" x14ac:dyDescent="0.25">
      <c r="A704" s="13">
        <f t="shared" si="9"/>
        <v>834101</v>
      </c>
      <c r="B704" s="14">
        <v>8341</v>
      </c>
      <c r="C704" s="1" t="s">
        <v>558</v>
      </c>
      <c r="D704" s="12" t="s">
        <v>1479</v>
      </c>
      <c r="E704" s="3">
        <v>1</v>
      </c>
      <c r="F704" s="5" t="s">
        <v>712</v>
      </c>
      <c r="G704" s="3">
        <v>15</v>
      </c>
      <c r="K704" s="1">
        <v>8331</v>
      </c>
      <c r="L704" s="1">
        <v>9000</v>
      </c>
      <c r="M704" s="1">
        <v>7250</v>
      </c>
      <c r="N704" s="1" t="s">
        <v>1032</v>
      </c>
      <c r="O704" s="1">
        <v>100</v>
      </c>
      <c r="P704" s="1" t="s">
        <v>398</v>
      </c>
      <c r="Q704" s="1">
        <v>10</v>
      </c>
      <c r="R704" s="1">
        <v>20007</v>
      </c>
      <c r="S704" s="16">
        <v>1.4999999999999999E-2</v>
      </c>
      <c r="U704" s="1" t="s">
        <v>1479</v>
      </c>
      <c r="V704" s="17" t="s">
        <v>1480</v>
      </c>
      <c r="X704" s="17" t="s">
        <v>1481</v>
      </c>
      <c r="Y704" s="5" t="s">
        <v>1005</v>
      </c>
      <c r="Z704" s="21" t="s">
        <v>1443</v>
      </c>
      <c r="AA704" s="22" t="s">
        <v>1138</v>
      </c>
    </row>
    <row r="705" spans="1:29" s="1" customFormat="1" ht="49.5" x14ac:dyDescent="0.25">
      <c r="A705" s="13">
        <f t="shared" si="9"/>
        <v>834102</v>
      </c>
      <c r="B705" s="14">
        <v>8341</v>
      </c>
      <c r="C705" s="1" t="s">
        <v>558</v>
      </c>
      <c r="D705" s="12" t="s">
        <v>1479</v>
      </c>
      <c r="E705" s="3">
        <v>2</v>
      </c>
      <c r="F705" s="5" t="s">
        <v>712</v>
      </c>
      <c r="G705" s="3">
        <v>17</v>
      </c>
      <c r="K705" s="1">
        <v>8331</v>
      </c>
      <c r="L705" s="1">
        <v>9000</v>
      </c>
      <c r="M705" s="1">
        <v>7250</v>
      </c>
      <c r="N705" s="1" t="s">
        <v>1032</v>
      </c>
      <c r="O705" s="1">
        <v>100</v>
      </c>
      <c r="P705" s="1" t="s">
        <v>398</v>
      </c>
      <c r="Q705" s="1">
        <v>10</v>
      </c>
      <c r="R705" s="1">
        <v>20007</v>
      </c>
      <c r="S705" s="16">
        <v>1.4999999999999999E-2</v>
      </c>
      <c r="U705" s="1" t="s">
        <v>1479</v>
      </c>
      <c r="V705" s="17" t="s">
        <v>1480</v>
      </c>
      <c r="X705" s="17" t="s">
        <v>1481</v>
      </c>
      <c r="Y705" s="5" t="s">
        <v>1005</v>
      </c>
      <c r="Z705" s="21" t="s">
        <v>1443</v>
      </c>
      <c r="AA705" s="22" t="s">
        <v>1138</v>
      </c>
    </row>
    <row r="706" spans="1:29" s="1" customFormat="1" ht="49.5" x14ac:dyDescent="0.25">
      <c r="A706" s="13">
        <f t="shared" si="9"/>
        <v>834201</v>
      </c>
      <c r="B706" s="14">
        <v>8342</v>
      </c>
      <c r="C706" s="1" t="s">
        <v>558</v>
      </c>
      <c r="D706" s="12" t="s">
        <v>1487</v>
      </c>
      <c r="E706" s="3">
        <v>1</v>
      </c>
      <c r="F706" s="5" t="s">
        <v>712</v>
      </c>
      <c r="G706" s="3">
        <v>15</v>
      </c>
      <c r="K706" s="1">
        <v>8331</v>
      </c>
      <c r="L706" s="1">
        <v>9000</v>
      </c>
      <c r="M706" s="1">
        <v>7250</v>
      </c>
      <c r="N706" s="1" t="s">
        <v>1032</v>
      </c>
      <c r="O706" s="1">
        <v>100</v>
      </c>
      <c r="P706" s="1" t="s">
        <v>398</v>
      </c>
      <c r="Q706" s="1">
        <v>10</v>
      </c>
      <c r="R706" s="1">
        <v>20067</v>
      </c>
      <c r="S706" s="16">
        <v>7.4999999999999997E-3</v>
      </c>
      <c r="U706" s="1" t="s">
        <v>1487</v>
      </c>
      <c r="V706" s="17" t="s">
        <v>1488</v>
      </c>
      <c r="X706" s="17" t="s">
        <v>1489</v>
      </c>
      <c r="Y706" s="5" t="s">
        <v>1005</v>
      </c>
      <c r="Z706" s="21" t="s">
        <v>1439</v>
      </c>
      <c r="AA706" s="22" t="s">
        <v>1142</v>
      </c>
    </row>
    <row r="707" spans="1:29" s="1" customFormat="1" ht="49.5" x14ac:dyDescent="0.25">
      <c r="A707" s="13">
        <f t="shared" si="9"/>
        <v>834202</v>
      </c>
      <c r="B707" s="14">
        <v>8342</v>
      </c>
      <c r="C707" s="1" t="s">
        <v>558</v>
      </c>
      <c r="D707" s="12" t="s">
        <v>1487</v>
      </c>
      <c r="E707" s="3">
        <v>2</v>
      </c>
      <c r="F707" s="5" t="s">
        <v>712</v>
      </c>
      <c r="G707" s="3">
        <v>17</v>
      </c>
      <c r="K707" s="1">
        <v>8331</v>
      </c>
      <c r="L707" s="1">
        <v>9000</v>
      </c>
      <c r="M707" s="1">
        <v>7250</v>
      </c>
      <c r="N707" s="1" t="s">
        <v>1032</v>
      </c>
      <c r="O707" s="1">
        <v>100</v>
      </c>
      <c r="P707" s="1" t="s">
        <v>398</v>
      </c>
      <c r="Q707" s="1">
        <v>10</v>
      </c>
      <c r="R707" s="1">
        <v>20067</v>
      </c>
      <c r="S707" s="16">
        <v>7.4999999999999997E-3</v>
      </c>
      <c r="U707" s="1" t="s">
        <v>1487</v>
      </c>
      <c r="V707" s="17" t="s">
        <v>1488</v>
      </c>
      <c r="X707" s="17" t="s">
        <v>1489</v>
      </c>
      <c r="Y707" s="5" t="s">
        <v>1005</v>
      </c>
      <c r="Z707" s="21" t="s">
        <v>1439</v>
      </c>
      <c r="AA707" s="22" t="s">
        <v>1142</v>
      </c>
    </row>
    <row r="708" spans="1:29" s="1" customFormat="1" ht="49.5" x14ac:dyDescent="0.25">
      <c r="A708" s="13">
        <f t="shared" si="9"/>
        <v>834301</v>
      </c>
      <c r="B708" s="14">
        <v>8343</v>
      </c>
      <c r="C708" s="1" t="s">
        <v>558</v>
      </c>
      <c r="D708" s="12" t="s">
        <v>1261</v>
      </c>
      <c r="E708" s="3">
        <v>1</v>
      </c>
      <c r="F708" s="5" t="s">
        <v>712</v>
      </c>
      <c r="G708" s="3">
        <v>18</v>
      </c>
      <c r="K708" s="1" t="s">
        <v>1514</v>
      </c>
      <c r="L708" s="1">
        <v>9000</v>
      </c>
      <c r="M708" s="1">
        <v>7600</v>
      </c>
      <c r="N708" s="1" t="s">
        <v>1033</v>
      </c>
      <c r="O708" s="1">
        <v>100</v>
      </c>
      <c r="P708" s="1" t="s">
        <v>398</v>
      </c>
      <c r="Q708" s="1">
        <v>10</v>
      </c>
      <c r="R708" s="1" t="s">
        <v>1263</v>
      </c>
      <c r="S708" s="16" t="s">
        <v>1146</v>
      </c>
      <c r="U708" s="1" t="s">
        <v>1241</v>
      </c>
      <c r="V708" s="17" t="s">
        <v>1264</v>
      </c>
      <c r="X708" s="17" t="s">
        <v>1265</v>
      </c>
      <c r="Y708" s="5" t="s">
        <v>1005</v>
      </c>
      <c r="Z708" s="21" t="s">
        <v>1129</v>
      </c>
      <c r="AA708" s="22" t="s">
        <v>1149</v>
      </c>
    </row>
    <row r="709" spans="1:29" s="1" customFormat="1" ht="49.5" x14ac:dyDescent="0.25">
      <c r="A709" s="13">
        <f t="shared" si="9"/>
        <v>834401</v>
      </c>
      <c r="B709" s="14">
        <v>8344</v>
      </c>
      <c r="C709" s="1" t="s">
        <v>558</v>
      </c>
      <c r="D709" s="12" t="s">
        <v>1239</v>
      </c>
      <c r="E709" s="3">
        <v>1</v>
      </c>
      <c r="F709" s="5" t="s">
        <v>712</v>
      </c>
      <c r="G709" s="3">
        <v>20</v>
      </c>
      <c r="K709" s="1" t="s">
        <v>1515</v>
      </c>
      <c r="L709" s="1">
        <v>10800</v>
      </c>
      <c r="M709" s="1">
        <v>7900</v>
      </c>
      <c r="N709" s="1" t="s">
        <v>397</v>
      </c>
      <c r="O709" s="1">
        <v>100</v>
      </c>
      <c r="P709" s="1" t="s">
        <v>398</v>
      </c>
      <c r="Q709" s="1">
        <v>10</v>
      </c>
      <c r="R709" s="1" t="s">
        <v>1240</v>
      </c>
      <c r="S709" s="16" t="s">
        <v>222</v>
      </c>
      <c r="U709" s="1" t="s">
        <v>1241</v>
      </c>
      <c r="V709" s="17" t="s">
        <v>1242</v>
      </c>
      <c r="X709" s="17" t="s">
        <v>1243</v>
      </c>
      <c r="Y709" s="5" t="s">
        <v>1005</v>
      </c>
      <c r="Z709" s="21" t="s">
        <v>1113</v>
      </c>
      <c r="AA709" s="22" t="s">
        <v>1151</v>
      </c>
    </row>
    <row r="710" spans="1:29" s="1" customFormat="1" ht="49.5" x14ac:dyDescent="0.25">
      <c r="A710" s="13">
        <f t="shared" si="9"/>
        <v>834501</v>
      </c>
      <c r="B710" s="14">
        <v>8345</v>
      </c>
      <c r="C710" s="1" t="s">
        <v>558</v>
      </c>
      <c r="D710" s="12" t="s">
        <v>1267</v>
      </c>
      <c r="E710" s="3">
        <v>1</v>
      </c>
      <c r="F710" s="5" t="s">
        <v>712</v>
      </c>
      <c r="G710" s="3">
        <v>18</v>
      </c>
      <c r="K710" s="1" t="s">
        <v>1516</v>
      </c>
      <c r="L710" s="1">
        <v>9000</v>
      </c>
      <c r="M710" s="1">
        <v>7600</v>
      </c>
      <c r="N710" s="1" t="s">
        <v>1033</v>
      </c>
      <c r="O710" s="1">
        <v>100</v>
      </c>
      <c r="P710" s="1" t="s">
        <v>398</v>
      </c>
      <c r="Q710" s="1">
        <v>10</v>
      </c>
      <c r="R710" s="1" t="s">
        <v>1269</v>
      </c>
      <c r="S710" s="16" t="s">
        <v>1146</v>
      </c>
      <c r="U710" s="1" t="s">
        <v>1241</v>
      </c>
      <c r="V710" s="17" t="s">
        <v>1270</v>
      </c>
      <c r="X710" s="17" t="s">
        <v>1271</v>
      </c>
      <c r="Y710" s="5" t="s">
        <v>1005</v>
      </c>
      <c r="Z710" s="21" t="s">
        <v>1129</v>
      </c>
      <c r="AA710" s="22" t="s">
        <v>1157</v>
      </c>
    </row>
    <row r="711" spans="1:29" s="1" customFormat="1" ht="49.5" x14ac:dyDescent="0.25">
      <c r="A711" s="13">
        <f t="shared" si="9"/>
        <v>834601</v>
      </c>
      <c r="B711" s="14">
        <v>8346</v>
      </c>
      <c r="C711" s="1" t="s">
        <v>558</v>
      </c>
      <c r="D711" s="12" t="s">
        <v>1487</v>
      </c>
      <c r="E711" s="3">
        <v>1</v>
      </c>
      <c r="F711" s="5" t="s">
        <v>712</v>
      </c>
      <c r="G711" s="3">
        <v>15</v>
      </c>
      <c r="K711" s="1">
        <v>8335</v>
      </c>
      <c r="L711" s="1">
        <v>9000</v>
      </c>
      <c r="M711" s="1">
        <v>7250</v>
      </c>
      <c r="N711" s="1" t="s">
        <v>1032</v>
      </c>
      <c r="O711" s="1">
        <v>100</v>
      </c>
      <c r="P711" s="1" t="s">
        <v>398</v>
      </c>
      <c r="Q711" s="1">
        <v>10</v>
      </c>
      <c r="R711" s="1">
        <v>20067</v>
      </c>
      <c r="S711" s="16">
        <v>7.4999999999999997E-3</v>
      </c>
      <c r="U711" s="1" t="s">
        <v>1487</v>
      </c>
      <c r="V711" s="17" t="s">
        <v>1488</v>
      </c>
      <c r="X711" s="17" t="s">
        <v>1489</v>
      </c>
      <c r="Y711" s="5" t="s">
        <v>1005</v>
      </c>
      <c r="Z711" s="21" t="s">
        <v>1439</v>
      </c>
      <c r="AA711" s="22" t="s">
        <v>1158</v>
      </c>
    </row>
    <row r="712" spans="1:29" s="1" customFormat="1" ht="49.5" x14ac:dyDescent="0.25">
      <c r="A712" s="13">
        <f t="shared" si="9"/>
        <v>834602</v>
      </c>
      <c r="B712" s="14">
        <v>8346</v>
      </c>
      <c r="C712" s="1" t="s">
        <v>558</v>
      </c>
      <c r="D712" s="12" t="s">
        <v>1487</v>
      </c>
      <c r="E712" s="3">
        <v>2</v>
      </c>
      <c r="F712" s="5" t="s">
        <v>712</v>
      </c>
      <c r="G712" s="3">
        <v>17</v>
      </c>
      <c r="K712" s="1">
        <v>8335</v>
      </c>
      <c r="L712" s="1">
        <v>9000</v>
      </c>
      <c r="M712" s="1">
        <v>7250</v>
      </c>
      <c r="N712" s="1" t="s">
        <v>1032</v>
      </c>
      <c r="O712" s="1">
        <v>100</v>
      </c>
      <c r="P712" s="1" t="s">
        <v>398</v>
      </c>
      <c r="Q712" s="1">
        <v>10</v>
      </c>
      <c r="R712" s="1">
        <v>20067</v>
      </c>
      <c r="S712" s="16">
        <v>7.4999999999999997E-3</v>
      </c>
      <c r="U712" s="1" t="s">
        <v>1487</v>
      </c>
      <c r="V712" s="17" t="s">
        <v>1488</v>
      </c>
      <c r="X712" s="17" t="s">
        <v>1489</v>
      </c>
      <c r="Y712" s="5" t="s">
        <v>1005</v>
      </c>
      <c r="Z712" s="21" t="s">
        <v>1439</v>
      </c>
      <c r="AA712" s="22" t="s">
        <v>1158</v>
      </c>
    </row>
    <row r="713" spans="1:29" s="1" customFormat="1" ht="49.5" x14ac:dyDescent="0.25">
      <c r="A713" s="13">
        <f t="shared" si="9"/>
        <v>834701</v>
      </c>
      <c r="B713" s="14">
        <v>8347</v>
      </c>
      <c r="C713" s="1" t="s">
        <v>558</v>
      </c>
      <c r="D713" s="12" t="s">
        <v>1482</v>
      </c>
      <c r="E713" s="3">
        <v>1</v>
      </c>
      <c r="F713" s="5" t="s">
        <v>712</v>
      </c>
      <c r="G713" s="3">
        <v>15</v>
      </c>
      <c r="K713" s="1">
        <v>8335</v>
      </c>
      <c r="L713" s="1">
        <v>9000</v>
      </c>
      <c r="M713" s="1">
        <v>7250</v>
      </c>
      <c r="N713" s="1" t="s">
        <v>1032</v>
      </c>
      <c r="O713" s="1">
        <v>100</v>
      </c>
      <c r="P713" s="1" t="s">
        <v>398</v>
      </c>
      <c r="Q713" s="1">
        <v>10</v>
      </c>
      <c r="R713" s="1">
        <v>20037</v>
      </c>
      <c r="S713" s="16">
        <v>1.4999999999999999E-2</v>
      </c>
      <c r="U713" s="1" t="s">
        <v>1482</v>
      </c>
      <c r="V713" s="17" t="s">
        <v>1483</v>
      </c>
      <c r="X713" s="17" t="s">
        <v>1484</v>
      </c>
      <c r="Y713" s="5" t="s">
        <v>1005</v>
      </c>
      <c r="Z713" s="21" t="s">
        <v>1450</v>
      </c>
      <c r="AA713" s="22" t="s">
        <v>1159</v>
      </c>
    </row>
    <row r="714" spans="1:29" s="1" customFormat="1" ht="49.5" x14ac:dyDescent="0.25">
      <c r="A714" s="13">
        <f t="shared" ref="A714:A803" si="10">B714*100+E714</f>
        <v>834702</v>
      </c>
      <c r="B714" s="14">
        <v>8347</v>
      </c>
      <c r="C714" s="1" t="s">
        <v>558</v>
      </c>
      <c r="D714" s="12" t="s">
        <v>1482</v>
      </c>
      <c r="E714" s="3">
        <v>2</v>
      </c>
      <c r="F714" s="5" t="s">
        <v>712</v>
      </c>
      <c r="G714" s="3">
        <v>15</v>
      </c>
      <c r="K714" s="1">
        <v>8335</v>
      </c>
      <c r="L714" s="1">
        <v>9000</v>
      </c>
      <c r="M714" s="1">
        <v>7250</v>
      </c>
      <c r="N714" s="1" t="s">
        <v>1032</v>
      </c>
      <c r="O714" s="1">
        <v>100</v>
      </c>
      <c r="P714" s="1" t="s">
        <v>398</v>
      </c>
      <c r="Q714" s="1">
        <v>10</v>
      </c>
      <c r="R714" s="1">
        <v>20037</v>
      </c>
      <c r="S714" s="16">
        <v>1.4999999999999999E-2</v>
      </c>
      <c r="U714" s="1" t="s">
        <v>1482</v>
      </c>
      <c r="V714" s="17" t="s">
        <v>1483</v>
      </c>
      <c r="X714" s="17" t="s">
        <v>1484</v>
      </c>
      <c r="Y714" s="5" t="s">
        <v>1005</v>
      </c>
      <c r="Z714" s="21" t="s">
        <v>1450</v>
      </c>
      <c r="AA714" s="22" t="s">
        <v>1159</v>
      </c>
    </row>
    <row r="715" spans="1:29" s="1" customFormat="1" ht="49.5" x14ac:dyDescent="0.25">
      <c r="A715" s="13">
        <f t="shared" si="10"/>
        <v>911101</v>
      </c>
      <c r="B715" s="14">
        <v>9111</v>
      </c>
      <c r="C715" s="1" t="s">
        <v>764</v>
      </c>
      <c r="D715" s="12" t="s">
        <v>998</v>
      </c>
      <c r="E715" s="3">
        <v>1</v>
      </c>
      <c r="F715" s="5" t="s">
        <v>396</v>
      </c>
      <c r="G715" s="3">
        <v>1</v>
      </c>
      <c r="L715" s="1">
        <v>3600</v>
      </c>
      <c r="M715" s="1">
        <v>2500</v>
      </c>
      <c r="N715" s="1" t="s">
        <v>999</v>
      </c>
      <c r="O715" s="1">
        <v>100</v>
      </c>
      <c r="P715" s="1" t="s">
        <v>398</v>
      </c>
      <c r="Q715" s="1">
        <v>10</v>
      </c>
      <c r="R715" s="1" t="s">
        <v>1000</v>
      </c>
      <c r="S715" s="16" t="s">
        <v>1001</v>
      </c>
      <c r="U715" s="1" t="s">
        <v>1002</v>
      </c>
      <c r="V715" s="17" t="s">
        <v>1003</v>
      </c>
      <c r="W715" s="5"/>
      <c r="X715" s="1" t="s">
        <v>1004</v>
      </c>
      <c r="Y715" s="5" t="s">
        <v>1005</v>
      </c>
      <c r="Z715" s="21" t="s">
        <v>1006</v>
      </c>
      <c r="AA715" s="22" t="s">
        <v>407</v>
      </c>
      <c r="AC715" s="22"/>
    </row>
    <row r="716" spans="1:29" s="1" customFormat="1" ht="49.5" x14ac:dyDescent="0.25">
      <c r="A716" s="13">
        <f t="shared" si="10"/>
        <v>911102</v>
      </c>
      <c r="B716" s="14">
        <v>9111</v>
      </c>
      <c r="C716" s="1" t="s">
        <v>764</v>
      </c>
      <c r="D716" s="12" t="s">
        <v>998</v>
      </c>
      <c r="E716" s="3">
        <v>2</v>
      </c>
      <c r="F716" s="5" t="s">
        <v>396</v>
      </c>
      <c r="G716" s="3">
        <v>1</v>
      </c>
      <c r="L716" s="1">
        <v>3600</v>
      </c>
      <c r="M716" s="1">
        <v>2500</v>
      </c>
      <c r="N716" s="1" t="s">
        <v>999</v>
      </c>
      <c r="O716" s="1">
        <v>100</v>
      </c>
      <c r="P716" s="1" t="s">
        <v>398</v>
      </c>
      <c r="Q716" s="1">
        <v>10</v>
      </c>
      <c r="R716" s="1" t="s">
        <v>1000</v>
      </c>
      <c r="S716" s="16" t="s">
        <v>1001</v>
      </c>
      <c r="U716" s="1" t="s">
        <v>1002</v>
      </c>
      <c r="V716" s="17" t="s">
        <v>1003</v>
      </c>
      <c r="W716" s="5"/>
      <c r="X716" s="1" t="s">
        <v>1004</v>
      </c>
      <c r="Y716" s="5" t="s">
        <v>1005</v>
      </c>
      <c r="Z716" s="21" t="s">
        <v>1006</v>
      </c>
      <c r="AA716" s="22" t="s">
        <v>407</v>
      </c>
      <c r="AC716" s="22"/>
    </row>
    <row r="717" spans="1:29" s="1" customFormat="1" ht="49.5" x14ac:dyDescent="0.25">
      <c r="A717" s="13">
        <f t="shared" si="10"/>
        <v>911103</v>
      </c>
      <c r="B717" s="14">
        <v>9111</v>
      </c>
      <c r="C717" s="1" t="s">
        <v>764</v>
      </c>
      <c r="D717" s="12" t="s">
        <v>998</v>
      </c>
      <c r="E717" s="3">
        <v>3</v>
      </c>
      <c r="F717" s="5" t="s">
        <v>396</v>
      </c>
      <c r="G717" s="3">
        <v>1</v>
      </c>
      <c r="L717" s="1">
        <v>3600</v>
      </c>
      <c r="M717" s="1">
        <v>2500</v>
      </c>
      <c r="N717" s="1" t="s">
        <v>999</v>
      </c>
      <c r="O717" s="1">
        <v>100</v>
      </c>
      <c r="P717" s="1" t="s">
        <v>398</v>
      </c>
      <c r="Q717" s="1">
        <v>10</v>
      </c>
      <c r="R717" s="1" t="s">
        <v>1000</v>
      </c>
      <c r="S717" s="16" t="s">
        <v>1001</v>
      </c>
      <c r="U717" s="1" t="s">
        <v>1002</v>
      </c>
      <c r="V717" s="17" t="s">
        <v>1003</v>
      </c>
      <c r="W717" s="5"/>
      <c r="X717" s="1" t="s">
        <v>1004</v>
      </c>
      <c r="Y717" s="5" t="s">
        <v>1005</v>
      </c>
      <c r="Z717" s="21" t="s">
        <v>1006</v>
      </c>
      <c r="AA717" s="22" t="s">
        <v>407</v>
      </c>
      <c r="AC717" s="22"/>
    </row>
    <row r="718" spans="1:29" s="1" customFormat="1" ht="49.5" x14ac:dyDescent="0.25">
      <c r="A718" s="13">
        <f t="shared" si="10"/>
        <v>911104</v>
      </c>
      <c r="B718" s="14">
        <v>9111</v>
      </c>
      <c r="C718" s="1" t="s">
        <v>764</v>
      </c>
      <c r="D718" s="12" t="s">
        <v>998</v>
      </c>
      <c r="E718" s="3">
        <v>4</v>
      </c>
      <c r="F718" s="5" t="s">
        <v>396</v>
      </c>
      <c r="G718" s="3">
        <v>2</v>
      </c>
      <c r="L718" s="1">
        <v>3600</v>
      </c>
      <c r="M718" s="1">
        <v>2500</v>
      </c>
      <c r="N718" s="1" t="s">
        <v>999</v>
      </c>
      <c r="O718" s="1">
        <v>100</v>
      </c>
      <c r="P718" s="1" t="s">
        <v>398</v>
      </c>
      <c r="Q718" s="1">
        <v>10</v>
      </c>
      <c r="R718" s="1" t="s">
        <v>1000</v>
      </c>
      <c r="S718" s="16" t="s">
        <v>1001</v>
      </c>
      <c r="U718" s="1" t="s">
        <v>1002</v>
      </c>
      <c r="V718" s="17" t="s">
        <v>1003</v>
      </c>
      <c r="W718" s="5"/>
      <c r="X718" s="1" t="s">
        <v>1004</v>
      </c>
      <c r="Y718" s="5" t="s">
        <v>1005</v>
      </c>
      <c r="Z718" s="21" t="s">
        <v>1006</v>
      </c>
      <c r="AA718" s="22" t="s">
        <v>407</v>
      </c>
      <c r="AC718" s="22"/>
    </row>
    <row r="719" spans="1:29" s="1" customFormat="1" ht="49.5" x14ac:dyDescent="0.25">
      <c r="A719" s="13">
        <f t="shared" si="10"/>
        <v>911105</v>
      </c>
      <c r="B719" s="14">
        <v>9111</v>
      </c>
      <c r="C719" s="1" t="s">
        <v>764</v>
      </c>
      <c r="D719" s="12" t="s">
        <v>998</v>
      </c>
      <c r="E719" s="3">
        <v>5</v>
      </c>
      <c r="F719" s="5" t="s">
        <v>396</v>
      </c>
      <c r="G719" s="3">
        <v>2</v>
      </c>
      <c r="L719" s="1">
        <v>3600</v>
      </c>
      <c r="M719" s="1">
        <v>2500</v>
      </c>
      <c r="N719" s="1" t="s">
        <v>999</v>
      </c>
      <c r="O719" s="1">
        <v>100</v>
      </c>
      <c r="P719" s="1" t="s">
        <v>398</v>
      </c>
      <c r="Q719" s="1">
        <v>10</v>
      </c>
      <c r="R719" s="1" t="s">
        <v>1000</v>
      </c>
      <c r="S719" s="16" t="s">
        <v>1001</v>
      </c>
      <c r="U719" s="1" t="s">
        <v>1002</v>
      </c>
      <c r="V719" s="17" t="s">
        <v>1003</v>
      </c>
      <c r="W719" s="5"/>
      <c r="X719" s="1" t="s">
        <v>1004</v>
      </c>
      <c r="Y719" s="5" t="s">
        <v>1005</v>
      </c>
      <c r="Z719" s="21" t="s">
        <v>1006</v>
      </c>
      <c r="AA719" s="22" t="s">
        <v>407</v>
      </c>
      <c r="AC719" s="22"/>
    </row>
    <row r="720" spans="1:29" s="1" customFormat="1" ht="49.5" x14ac:dyDescent="0.25">
      <c r="A720" s="13">
        <f t="shared" si="10"/>
        <v>912101</v>
      </c>
      <c r="B720" s="14">
        <v>9121</v>
      </c>
      <c r="C720" s="1" t="s">
        <v>764</v>
      </c>
      <c r="D720" s="15" t="s">
        <v>1007</v>
      </c>
      <c r="E720" s="3">
        <v>1</v>
      </c>
      <c r="F720" s="5" t="s">
        <v>396</v>
      </c>
      <c r="G720" s="3">
        <v>5</v>
      </c>
      <c r="K720" s="1">
        <v>9111</v>
      </c>
      <c r="L720" s="1">
        <v>5400</v>
      </c>
      <c r="M720" s="1">
        <v>2650</v>
      </c>
      <c r="N720" s="1" t="s">
        <v>1008</v>
      </c>
      <c r="O720" s="1">
        <v>100</v>
      </c>
      <c r="P720" s="1" t="s">
        <v>398</v>
      </c>
      <c r="Q720" s="1">
        <v>10</v>
      </c>
      <c r="R720" s="1">
        <v>1060</v>
      </c>
      <c r="S720" s="16">
        <v>8.0000000000000002E-3</v>
      </c>
      <c r="U720" s="1" t="s">
        <v>601</v>
      </c>
      <c r="V720" s="17" t="s">
        <v>402</v>
      </c>
      <c r="W720" s="5"/>
      <c r="X720" s="17" t="s">
        <v>404</v>
      </c>
      <c r="Y720" s="5" t="s">
        <v>1005</v>
      </c>
      <c r="Z720" s="21" t="s">
        <v>1009</v>
      </c>
      <c r="AA720" s="22" t="s">
        <v>420</v>
      </c>
      <c r="AC720" s="22"/>
    </row>
    <row r="721" spans="1:29" s="1" customFormat="1" ht="49.5" x14ac:dyDescent="0.25">
      <c r="A721" s="13">
        <f t="shared" si="10"/>
        <v>912102</v>
      </c>
      <c r="B721" s="14">
        <v>9121</v>
      </c>
      <c r="C721" s="1" t="s">
        <v>764</v>
      </c>
      <c r="D721" s="15" t="s">
        <v>1007</v>
      </c>
      <c r="E721" s="3">
        <v>2</v>
      </c>
      <c r="F721" s="5" t="s">
        <v>396</v>
      </c>
      <c r="G721" s="3">
        <v>6</v>
      </c>
      <c r="K721" s="1">
        <v>9111</v>
      </c>
      <c r="L721" s="1">
        <v>5400</v>
      </c>
      <c r="M721" s="1">
        <v>2650</v>
      </c>
      <c r="N721" s="1" t="s">
        <v>1008</v>
      </c>
      <c r="O721" s="1">
        <v>100</v>
      </c>
      <c r="P721" s="1" t="s">
        <v>398</v>
      </c>
      <c r="Q721" s="1">
        <v>10</v>
      </c>
      <c r="R721" s="1">
        <v>1060</v>
      </c>
      <c r="S721" s="16">
        <v>8.0000000000000002E-3</v>
      </c>
      <c r="U721" s="1" t="s">
        <v>601</v>
      </c>
      <c r="V721" s="17" t="s">
        <v>402</v>
      </c>
      <c r="W721" s="5"/>
      <c r="X721" s="17" t="s">
        <v>404</v>
      </c>
      <c r="Y721" s="5" t="s">
        <v>1005</v>
      </c>
      <c r="Z721" s="21" t="s">
        <v>1009</v>
      </c>
      <c r="AA721" s="22" t="s">
        <v>420</v>
      </c>
      <c r="AC721" s="22"/>
    </row>
    <row r="722" spans="1:29" s="1" customFormat="1" ht="49.5" x14ac:dyDescent="0.25">
      <c r="A722" s="13">
        <f t="shared" si="10"/>
        <v>912103</v>
      </c>
      <c r="B722" s="14">
        <v>9121</v>
      </c>
      <c r="C722" s="1" t="s">
        <v>764</v>
      </c>
      <c r="D722" s="15" t="s">
        <v>1007</v>
      </c>
      <c r="E722" s="3">
        <v>3</v>
      </c>
      <c r="F722" s="5" t="s">
        <v>396</v>
      </c>
      <c r="G722" s="3">
        <v>7</v>
      </c>
      <c r="K722" s="1">
        <v>9111</v>
      </c>
      <c r="L722" s="1">
        <v>5400</v>
      </c>
      <c r="M722" s="1">
        <v>2650</v>
      </c>
      <c r="N722" s="1" t="s">
        <v>1008</v>
      </c>
      <c r="O722" s="1">
        <v>100</v>
      </c>
      <c r="P722" s="1" t="s">
        <v>398</v>
      </c>
      <c r="Q722" s="1">
        <v>10</v>
      </c>
      <c r="R722" s="1">
        <v>1060</v>
      </c>
      <c r="S722" s="16">
        <v>8.0000000000000002E-3</v>
      </c>
      <c r="U722" s="1" t="s">
        <v>601</v>
      </c>
      <c r="V722" s="17" t="s">
        <v>402</v>
      </c>
      <c r="W722" s="5"/>
      <c r="X722" s="17" t="s">
        <v>404</v>
      </c>
      <c r="Y722" s="5" t="s">
        <v>1005</v>
      </c>
      <c r="Z722" s="21" t="s">
        <v>1009</v>
      </c>
      <c r="AA722" s="22" t="s">
        <v>420</v>
      </c>
      <c r="AC722" s="22"/>
    </row>
    <row r="723" spans="1:29" s="1" customFormat="1" ht="49.5" x14ac:dyDescent="0.25">
      <c r="A723" s="13">
        <f t="shared" si="10"/>
        <v>912104</v>
      </c>
      <c r="B723" s="14">
        <v>9121</v>
      </c>
      <c r="C723" s="1" t="s">
        <v>764</v>
      </c>
      <c r="D723" s="15" t="s">
        <v>1007</v>
      </c>
      <c r="E723" s="3">
        <v>4</v>
      </c>
      <c r="F723" s="5" t="s">
        <v>396</v>
      </c>
      <c r="G723" s="3">
        <v>8</v>
      </c>
      <c r="K723" s="1">
        <v>9111</v>
      </c>
      <c r="L723" s="1">
        <v>5400</v>
      </c>
      <c r="M723" s="1">
        <v>2650</v>
      </c>
      <c r="N723" s="1" t="s">
        <v>1008</v>
      </c>
      <c r="O723" s="1">
        <v>100</v>
      </c>
      <c r="P723" s="1" t="s">
        <v>398</v>
      </c>
      <c r="Q723" s="1">
        <v>10</v>
      </c>
      <c r="R723" s="1">
        <v>1060</v>
      </c>
      <c r="S723" s="16">
        <v>8.0000000000000002E-3</v>
      </c>
      <c r="U723" s="1" t="s">
        <v>601</v>
      </c>
      <c r="V723" s="17" t="s">
        <v>402</v>
      </c>
      <c r="W723" s="5"/>
      <c r="X723" s="17" t="s">
        <v>404</v>
      </c>
      <c r="Y723" s="5" t="s">
        <v>1005</v>
      </c>
      <c r="Z723" s="21" t="s">
        <v>1009</v>
      </c>
      <c r="AA723" s="22" t="s">
        <v>420</v>
      </c>
      <c r="AC723" s="22"/>
    </row>
    <row r="724" spans="1:29" s="1" customFormat="1" ht="49.5" x14ac:dyDescent="0.25">
      <c r="A724" s="13">
        <f t="shared" si="10"/>
        <v>912105</v>
      </c>
      <c r="B724" s="14">
        <v>9121</v>
      </c>
      <c r="C724" s="1" t="s">
        <v>764</v>
      </c>
      <c r="D724" s="15" t="s">
        <v>1007</v>
      </c>
      <c r="E724" s="3">
        <v>5</v>
      </c>
      <c r="F724" s="5" t="s">
        <v>396</v>
      </c>
      <c r="G724" s="3">
        <v>9</v>
      </c>
      <c r="K724" s="1">
        <v>9111</v>
      </c>
      <c r="L724" s="1">
        <v>5400</v>
      </c>
      <c r="M724" s="1">
        <v>2650</v>
      </c>
      <c r="N724" s="1" t="s">
        <v>1008</v>
      </c>
      <c r="O724" s="1">
        <v>100</v>
      </c>
      <c r="P724" s="1" t="s">
        <v>398</v>
      </c>
      <c r="Q724" s="1">
        <v>10</v>
      </c>
      <c r="R724" s="1">
        <v>1060</v>
      </c>
      <c r="S724" s="16">
        <v>8.0000000000000002E-3</v>
      </c>
      <c r="U724" s="1" t="s">
        <v>601</v>
      </c>
      <c r="V724" s="17" t="s">
        <v>402</v>
      </c>
      <c r="W724" s="5"/>
      <c r="X724" s="17" t="s">
        <v>404</v>
      </c>
      <c r="Y724" s="5" t="s">
        <v>1005</v>
      </c>
      <c r="Z724" s="21" t="s">
        <v>1009</v>
      </c>
      <c r="AA724" s="22" t="s">
        <v>420</v>
      </c>
      <c r="AC724" s="22"/>
    </row>
    <row r="725" spans="1:29" s="1" customFormat="1" ht="49.5" x14ac:dyDescent="0.25">
      <c r="A725" s="13">
        <f t="shared" si="10"/>
        <v>912201</v>
      </c>
      <c r="B725" s="14">
        <v>9122</v>
      </c>
      <c r="C725" s="1" t="s">
        <v>764</v>
      </c>
      <c r="D725" s="12" t="s">
        <v>998</v>
      </c>
      <c r="E725" s="3">
        <v>1</v>
      </c>
      <c r="F725" s="5" t="s">
        <v>396</v>
      </c>
      <c r="G725" s="3">
        <v>5</v>
      </c>
      <c r="K725" s="1">
        <v>9111</v>
      </c>
      <c r="L725" s="1">
        <v>5400</v>
      </c>
      <c r="M725" s="1">
        <v>2650</v>
      </c>
      <c r="N725" s="1" t="s">
        <v>1008</v>
      </c>
      <c r="O725" s="1">
        <v>100</v>
      </c>
      <c r="P725" s="1" t="s">
        <v>398</v>
      </c>
      <c r="Q725" s="1">
        <v>10</v>
      </c>
      <c r="R725" s="1" t="s">
        <v>1000</v>
      </c>
      <c r="S725" s="16" t="s">
        <v>1001</v>
      </c>
      <c r="U725" s="1" t="s">
        <v>1002</v>
      </c>
      <c r="V725" s="17" t="s">
        <v>1003</v>
      </c>
      <c r="W725" s="5"/>
      <c r="X725" s="1" t="s">
        <v>1004</v>
      </c>
      <c r="Y725" s="5" t="s">
        <v>1005</v>
      </c>
      <c r="Z725" s="21" t="s">
        <v>1006</v>
      </c>
      <c r="AA725" s="22" t="s">
        <v>433</v>
      </c>
      <c r="AC725" s="22"/>
    </row>
    <row r="726" spans="1:29" s="1" customFormat="1" ht="49.5" x14ac:dyDescent="0.25">
      <c r="A726" s="13">
        <f t="shared" si="10"/>
        <v>912202</v>
      </c>
      <c r="B726" s="14">
        <v>9122</v>
      </c>
      <c r="C726" s="1" t="s">
        <v>764</v>
      </c>
      <c r="D726" s="12" t="s">
        <v>998</v>
      </c>
      <c r="E726" s="3">
        <v>2</v>
      </c>
      <c r="F726" s="5" t="s">
        <v>396</v>
      </c>
      <c r="G726" s="3">
        <v>6</v>
      </c>
      <c r="K726" s="1">
        <v>9111</v>
      </c>
      <c r="L726" s="1">
        <v>5400</v>
      </c>
      <c r="M726" s="1">
        <v>2650</v>
      </c>
      <c r="N726" s="1" t="s">
        <v>1008</v>
      </c>
      <c r="O726" s="1">
        <v>100</v>
      </c>
      <c r="P726" s="1" t="s">
        <v>398</v>
      </c>
      <c r="Q726" s="1">
        <v>10</v>
      </c>
      <c r="R726" s="1" t="s">
        <v>1000</v>
      </c>
      <c r="S726" s="16" t="s">
        <v>1001</v>
      </c>
      <c r="U726" s="1" t="s">
        <v>1002</v>
      </c>
      <c r="V726" s="17" t="s">
        <v>1003</v>
      </c>
      <c r="W726" s="5"/>
      <c r="X726" s="1" t="s">
        <v>1004</v>
      </c>
      <c r="Y726" s="5" t="s">
        <v>1005</v>
      </c>
      <c r="Z726" s="21" t="s">
        <v>1006</v>
      </c>
      <c r="AA726" s="22" t="s">
        <v>433</v>
      </c>
      <c r="AC726" s="22"/>
    </row>
    <row r="727" spans="1:29" s="1" customFormat="1" ht="49.5" x14ac:dyDescent="0.25">
      <c r="A727" s="13">
        <f t="shared" si="10"/>
        <v>912203</v>
      </c>
      <c r="B727" s="14">
        <v>9122</v>
      </c>
      <c r="C727" s="1" t="s">
        <v>764</v>
      </c>
      <c r="D727" s="12" t="s">
        <v>998</v>
      </c>
      <c r="E727" s="3">
        <v>3</v>
      </c>
      <c r="F727" s="5" t="s">
        <v>396</v>
      </c>
      <c r="G727" s="3">
        <v>7</v>
      </c>
      <c r="K727" s="1">
        <v>9111</v>
      </c>
      <c r="L727" s="1">
        <v>5400</v>
      </c>
      <c r="M727" s="1">
        <v>2650</v>
      </c>
      <c r="N727" s="1" t="s">
        <v>1008</v>
      </c>
      <c r="O727" s="1">
        <v>100</v>
      </c>
      <c r="P727" s="1" t="s">
        <v>398</v>
      </c>
      <c r="Q727" s="1">
        <v>10</v>
      </c>
      <c r="R727" s="1" t="s">
        <v>1000</v>
      </c>
      <c r="S727" s="16" t="s">
        <v>1001</v>
      </c>
      <c r="U727" s="1" t="s">
        <v>1002</v>
      </c>
      <c r="V727" s="17" t="s">
        <v>1003</v>
      </c>
      <c r="W727" s="5"/>
      <c r="X727" s="1" t="s">
        <v>1004</v>
      </c>
      <c r="Y727" s="5" t="s">
        <v>1005</v>
      </c>
      <c r="Z727" s="21" t="s">
        <v>1006</v>
      </c>
      <c r="AA727" s="22" t="s">
        <v>433</v>
      </c>
      <c r="AC727" s="22"/>
    </row>
    <row r="728" spans="1:29" s="1" customFormat="1" ht="49.5" x14ac:dyDescent="0.25">
      <c r="A728" s="13">
        <f t="shared" si="10"/>
        <v>912204</v>
      </c>
      <c r="B728" s="14">
        <v>9122</v>
      </c>
      <c r="C728" s="1" t="s">
        <v>764</v>
      </c>
      <c r="D728" s="12" t="s">
        <v>998</v>
      </c>
      <c r="E728" s="3">
        <v>4</v>
      </c>
      <c r="F728" s="5" t="s">
        <v>396</v>
      </c>
      <c r="G728" s="3">
        <v>8</v>
      </c>
      <c r="K728" s="1">
        <v>9111</v>
      </c>
      <c r="L728" s="1">
        <v>5400</v>
      </c>
      <c r="M728" s="1">
        <v>2650</v>
      </c>
      <c r="N728" s="1" t="s">
        <v>1008</v>
      </c>
      <c r="O728" s="1">
        <v>100</v>
      </c>
      <c r="P728" s="1" t="s">
        <v>398</v>
      </c>
      <c r="Q728" s="1">
        <v>10</v>
      </c>
      <c r="R728" s="1" t="s">
        <v>1000</v>
      </c>
      <c r="S728" s="16" t="s">
        <v>1001</v>
      </c>
      <c r="U728" s="1" t="s">
        <v>1002</v>
      </c>
      <c r="V728" s="17" t="s">
        <v>1003</v>
      </c>
      <c r="W728" s="5"/>
      <c r="X728" s="1" t="s">
        <v>1004</v>
      </c>
      <c r="Y728" s="5" t="s">
        <v>1005</v>
      </c>
      <c r="Z728" s="21" t="s">
        <v>1006</v>
      </c>
      <c r="AA728" s="22" t="s">
        <v>433</v>
      </c>
      <c r="AC728" s="22"/>
    </row>
    <row r="729" spans="1:29" s="1" customFormat="1" ht="49.5" x14ac:dyDescent="0.25">
      <c r="A729" s="13">
        <f t="shared" si="10"/>
        <v>912205</v>
      </c>
      <c r="B729" s="14">
        <v>9122</v>
      </c>
      <c r="C729" s="1" t="s">
        <v>764</v>
      </c>
      <c r="D729" s="12" t="s">
        <v>998</v>
      </c>
      <c r="E729" s="3">
        <v>5</v>
      </c>
      <c r="F729" s="5" t="s">
        <v>396</v>
      </c>
      <c r="G729" s="3">
        <v>9</v>
      </c>
      <c r="K729" s="1">
        <v>9111</v>
      </c>
      <c r="L729" s="1">
        <v>5400</v>
      </c>
      <c r="M729" s="1">
        <v>2650</v>
      </c>
      <c r="N729" s="1" t="s">
        <v>1008</v>
      </c>
      <c r="O729" s="1">
        <v>100</v>
      </c>
      <c r="P729" s="1" t="s">
        <v>398</v>
      </c>
      <c r="Q729" s="1">
        <v>10</v>
      </c>
      <c r="R729" s="1" t="s">
        <v>1000</v>
      </c>
      <c r="S729" s="16" t="s">
        <v>1001</v>
      </c>
      <c r="U729" s="1" t="s">
        <v>1002</v>
      </c>
      <c r="V729" s="17" t="s">
        <v>1003</v>
      </c>
      <c r="W729" s="5"/>
      <c r="X729" s="1" t="s">
        <v>1004</v>
      </c>
      <c r="Y729" s="5" t="s">
        <v>1005</v>
      </c>
      <c r="Z729" s="21" t="s">
        <v>1006</v>
      </c>
      <c r="AA729" s="22" t="s">
        <v>433</v>
      </c>
      <c r="AC729" s="22"/>
    </row>
    <row r="730" spans="1:29" s="1" customFormat="1" ht="49.5" x14ac:dyDescent="0.25">
      <c r="A730" s="13">
        <f t="shared" si="10"/>
        <v>912301</v>
      </c>
      <c r="B730" s="14">
        <v>9123</v>
      </c>
      <c r="C730" s="1" t="s">
        <v>764</v>
      </c>
      <c r="D730" s="15" t="s">
        <v>1010</v>
      </c>
      <c r="E730" s="3">
        <v>1</v>
      </c>
      <c r="F730" s="5" t="s">
        <v>396</v>
      </c>
      <c r="G730" s="3">
        <v>5</v>
      </c>
      <c r="K730" s="1">
        <v>9111</v>
      </c>
      <c r="L730" s="1">
        <v>5400</v>
      </c>
      <c r="M730" s="1">
        <v>2650</v>
      </c>
      <c r="N730" s="1" t="s">
        <v>1008</v>
      </c>
      <c r="O730" s="1">
        <v>100</v>
      </c>
      <c r="P730" s="1" t="s">
        <v>398</v>
      </c>
      <c r="Q730" s="1">
        <v>10</v>
      </c>
      <c r="R730" s="1">
        <v>1065</v>
      </c>
      <c r="S730" s="16">
        <v>4.0000000000000001E-3</v>
      </c>
      <c r="U730" s="1" t="s">
        <v>1011</v>
      </c>
      <c r="V730" s="17" t="s">
        <v>1012</v>
      </c>
      <c r="W730" s="5"/>
      <c r="X730" s="17" t="s">
        <v>1013</v>
      </c>
      <c r="Y730" s="5" t="s">
        <v>1005</v>
      </c>
      <c r="Z730" s="21" t="s">
        <v>1009</v>
      </c>
      <c r="AA730" s="22" t="s">
        <v>445</v>
      </c>
      <c r="AC730" s="22"/>
    </row>
    <row r="731" spans="1:29" s="1" customFormat="1" ht="49.5" x14ac:dyDescent="0.25">
      <c r="A731" s="13">
        <f t="shared" si="10"/>
        <v>912302</v>
      </c>
      <c r="B731" s="14">
        <v>9123</v>
      </c>
      <c r="C731" s="1" t="s">
        <v>764</v>
      </c>
      <c r="D731" s="15" t="s">
        <v>1010</v>
      </c>
      <c r="E731" s="3">
        <v>2</v>
      </c>
      <c r="F731" s="5" t="s">
        <v>396</v>
      </c>
      <c r="G731" s="3">
        <v>6</v>
      </c>
      <c r="K731" s="1">
        <v>9111</v>
      </c>
      <c r="L731" s="1">
        <v>5400</v>
      </c>
      <c r="M731" s="1">
        <v>2650</v>
      </c>
      <c r="N731" s="1" t="s">
        <v>1008</v>
      </c>
      <c r="O731" s="1">
        <v>100</v>
      </c>
      <c r="P731" s="1" t="s">
        <v>398</v>
      </c>
      <c r="Q731" s="1">
        <v>10</v>
      </c>
      <c r="R731" s="1">
        <v>1065</v>
      </c>
      <c r="S731" s="16">
        <v>4.0000000000000001E-3</v>
      </c>
      <c r="U731" s="1" t="s">
        <v>1011</v>
      </c>
      <c r="V731" s="17" t="s">
        <v>1012</v>
      </c>
      <c r="W731" s="5"/>
      <c r="X731" s="17" t="s">
        <v>1013</v>
      </c>
      <c r="Y731" s="5" t="s">
        <v>1005</v>
      </c>
      <c r="Z731" s="21" t="s">
        <v>1009</v>
      </c>
      <c r="AA731" s="22" t="s">
        <v>445</v>
      </c>
      <c r="AC731" s="22"/>
    </row>
    <row r="732" spans="1:29" s="1" customFormat="1" ht="49.5" x14ac:dyDescent="0.25">
      <c r="A732" s="13">
        <f t="shared" si="10"/>
        <v>912303</v>
      </c>
      <c r="B732" s="14">
        <v>9123</v>
      </c>
      <c r="C732" s="1" t="s">
        <v>764</v>
      </c>
      <c r="D732" s="15" t="s">
        <v>1010</v>
      </c>
      <c r="E732" s="3">
        <v>3</v>
      </c>
      <c r="F732" s="5" t="s">
        <v>396</v>
      </c>
      <c r="G732" s="3">
        <v>7</v>
      </c>
      <c r="K732" s="1">
        <v>9111</v>
      </c>
      <c r="L732" s="1">
        <v>5400</v>
      </c>
      <c r="M732" s="1">
        <v>2650</v>
      </c>
      <c r="N732" s="1" t="s">
        <v>1008</v>
      </c>
      <c r="O732" s="1">
        <v>100</v>
      </c>
      <c r="P732" s="1" t="s">
        <v>398</v>
      </c>
      <c r="Q732" s="1">
        <v>10</v>
      </c>
      <c r="R732" s="1">
        <v>1065</v>
      </c>
      <c r="S732" s="16">
        <v>4.0000000000000001E-3</v>
      </c>
      <c r="U732" s="1" t="s">
        <v>1011</v>
      </c>
      <c r="V732" s="17" t="s">
        <v>1012</v>
      </c>
      <c r="W732" s="5"/>
      <c r="X732" s="17" t="s">
        <v>1013</v>
      </c>
      <c r="Y732" s="5" t="s">
        <v>1005</v>
      </c>
      <c r="Z732" s="21" t="s">
        <v>1009</v>
      </c>
      <c r="AA732" s="22" t="s">
        <v>445</v>
      </c>
      <c r="AC732" s="22"/>
    </row>
    <row r="733" spans="1:29" s="1" customFormat="1" ht="49.5" x14ac:dyDescent="0.25">
      <c r="A733" s="13">
        <f t="shared" si="10"/>
        <v>912304</v>
      </c>
      <c r="B733" s="14">
        <v>9123</v>
      </c>
      <c r="C733" s="1" t="s">
        <v>764</v>
      </c>
      <c r="D733" s="15" t="s">
        <v>1010</v>
      </c>
      <c r="E733" s="3">
        <v>4</v>
      </c>
      <c r="F733" s="5" t="s">
        <v>396</v>
      </c>
      <c r="G733" s="3">
        <v>8</v>
      </c>
      <c r="K733" s="1">
        <v>9111</v>
      </c>
      <c r="L733" s="1">
        <v>5400</v>
      </c>
      <c r="M733" s="1">
        <v>2650</v>
      </c>
      <c r="N733" s="1" t="s">
        <v>1008</v>
      </c>
      <c r="O733" s="1">
        <v>100</v>
      </c>
      <c r="P733" s="1" t="s">
        <v>398</v>
      </c>
      <c r="Q733" s="1">
        <v>10</v>
      </c>
      <c r="R733" s="1">
        <v>1065</v>
      </c>
      <c r="S733" s="16">
        <v>4.0000000000000001E-3</v>
      </c>
      <c r="U733" s="1" t="s">
        <v>1011</v>
      </c>
      <c r="V733" s="17" t="s">
        <v>1012</v>
      </c>
      <c r="W733" s="5"/>
      <c r="X733" s="17" t="s">
        <v>1013</v>
      </c>
      <c r="Y733" s="5" t="s">
        <v>1005</v>
      </c>
      <c r="Z733" s="21" t="s">
        <v>1009</v>
      </c>
      <c r="AA733" s="22" t="s">
        <v>445</v>
      </c>
      <c r="AC733" s="22"/>
    </row>
    <row r="734" spans="1:29" s="1" customFormat="1" ht="49.5" x14ac:dyDescent="0.25">
      <c r="A734" s="13">
        <f t="shared" si="10"/>
        <v>912305</v>
      </c>
      <c r="B734" s="14">
        <v>9123</v>
      </c>
      <c r="C734" s="1" t="s">
        <v>764</v>
      </c>
      <c r="D734" s="15" t="s">
        <v>1010</v>
      </c>
      <c r="E734" s="3">
        <v>5</v>
      </c>
      <c r="F734" s="5" t="s">
        <v>396</v>
      </c>
      <c r="G734" s="3">
        <v>9</v>
      </c>
      <c r="K734" s="1">
        <v>9111</v>
      </c>
      <c r="L734" s="1">
        <v>5400</v>
      </c>
      <c r="M734" s="1">
        <v>2650</v>
      </c>
      <c r="N734" s="1" t="s">
        <v>1008</v>
      </c>
      <c r="O734" s="1">
        <v>100</v>
      </c>
      <c r="P734" s="1" t="s">
        <v>398</v>
      </c>
      <c r="Q734" s="1">
        <v>10</v>
      </c>
      <c r="R734" s="1">
        <v>1065</v>
      </c>
      <c r="S734" s="16">
        <v>4.0000000000000001E-3</v>
      </c>
      <c r="U734" s="1" t="s">
        <v>1011</v>
      </c>
      <c r="V734" s="17" t="s">
        <v>1012</v>
      </c>
      <c r="W734" s="5"/>
      <c r="X734" s="17" t="s">
        <v>1013</v>
      </c>
      <c r="Y734" s="5" t="s">
        <v>1005</v>
      </c>
      <c r="Z734" s="21" t="s">
        <v>1009</v>
      </c>
      <c r="AA734" s="22" t="s">
        <v>445</v>
      </c>
      <c r="AC734" s="22"/>
    </row>
    <row r="735" spans="1:29" s="1" customFormat="1" ht="49.5" x14ac:dyDescent="0.25">
      <c r="A735" s="13">
        <f t="shared" si="10"/>
        <v>913101</v>
      </c>
      <c r="B735" s="14">
        <v>9131</v>
      </c>
      <c r="C735" s="1" t="s">
        <v>764</v>
      </c>
      <c r="D735" s="15" t="s">
        <v>1014</v>
      </c>
      <c r="E735" s="3">
        <v>1</v>
      </c>
      <c r="F735" s="5" t="s">
        <v>396</v>
      </c>
      <c r="G735" s="3">
        <v>10</v>
      </c>
      <c r="K735" s="1">
        <v>9121</v>
      </c>
      <c r="L735" s="1">
        <v>7200</v>
      </c>
      <c r="M735" s="1">
        <v>2750</v>
      </c>
      <c r="N735" s="1" t="s">
        <v>1015</v>
      </c>
      <c r="O735" s="1">
        <v>100</v>
      </c>
      <c r="P735" s="1" t="s">
        <v>398</v>
      </c>
      <c r="Q735" s="1">
        <v>10</v>
      </c>
      <c r="R735" s="1">
        <v>1092</v>
      </c>
      <c r="S735" s="16">
        <v>500</v>
      </c>
      <c r="U735" s="1" t="s">
        <v>1016</v>
      </c>
      <c r="V735" s="17" t="s">
        <v>1017</v>
      </c>
      <c r="W735" s="5"/>
      <c r="X735" s="17" t="s">
        <v>1018</v>
      </c>
      <c r="Y735" s="5" t="s">
        <v>1005</v>
      </c>
      <c r="Z735" s="21" t="s">
        <v>1009</v>
      </c>
      <c r="AA735" s="22" t="s">
        <v>453</v>
      </c>
      <c r="AC735" s="22"/>
    </row>
    <row r="736" spans="1:29" s="1" customFormat="1" ht="49.5" x14ac:dyDescent="0.25">
      <c r="A736" s="13">
        <f t="shared" si="10"/>
        <v>913102</v>
      </c>
      <c r="B736" s="14">
        <v>9131</v>
      </c>
      <c r="C736" s="1" t="s">
        <v>764</v>
      </c>
      <c r="D736" s="15" t="s">
        <v>1014</v>
      </c>
      <c r="E736" s="3">
        <v>2</v>
      </c>
      <c r="F736" s="5" t="s">
        <v>396</v>
      </c>
      <c r="G736" s="3">
        <v>11</v>
      </c>
      <c r="K736" s="1">
        <v>9121</v>
      </c>
      <c r="L736" s="1">
        <v>7200</v>
      </c>
      <c r="M736" s="1">
        <v>2750</v>
      </c>
      <c r="N736" s="1" t="s">
        <v>1015</v>
      </c>
      <c r="O736" s="1">
        <v>100</v>
      </c>
      <c r="P736" s="1" t="s">
        <v>398</v>
      </c>
      <c r="Q736" s="1">
        <v>10</v>
      </c>
      <c r="R736" s="1">
        <v>1092</v>
      </c>
      <c r="S736" s="16">
        <v>500</v>
      </c>
      <c r="U736" s="1" t="s">
        <v>1016</v>
      </c>
      <c r="V736" s="17" t="s">
        <v>1017</v>
      </c>
      <c r="W736" s="5"/>
      <c r="X736" s="17" t="s">
        <v>1018</v>
      </c>
      <c r="Y736" s="5" t="s">
        <v>1005</v>
      </c>
      <c r="Z736" s="21" t="s">
        <v>1009</v>
      </c>
      <c r="AA736" s="22" t="s">
        <v>453</v>
      </c>
      <c r="AC736" s="22"/>
    </row>
    <row r="737" spans="1:29" s="1" customFormat="1" ht="49.5" x14ac:dyDescent="0.25">
      <c r="A737" s="13">
        <f t="shared" si="10"/>
        <v>913103</v>
      </c>
      <c r="B737" s="14">
        <v>9131</v>
      </c>
      <c r="C737" s="1" t="s">
        <v>764</v>
      </c>
      <c r="D737" s="15" t="s">
        <v>1014</v>
      </c>
      <c r="E737" s="3">
        <v>3</v>
      </c>
      <c r="F737" s="5" t="s">
        <v>396</v>
      </c>
      <c r="G737" s="3">
        <v>13</v>
      </c>
      <c r="K737" s="1">
        <v>9121</v>
      </c>
      <c r="L737" s="1">
        <v>7200</v>
      </c>
      <c r="M737" s="1">
        <v>2750</v>
      </c>
      <c r="N737" s="1" t="s">
        <v>1015</v>
      </c>
      <c r="O737" s="1">
        <v>100</v>
      </c>
      <c r="P737" s="1" t="s">
        <v>398</v>
      </c>
      <c r="Q737" s="1">
        <v>10</v>
      </c>
      <c r="R737" s="1">
        <v>1092</v>
      </c>
      <c r="S737" s="16">
        <v>500</v>
      </c>
      <c r="U737" s="1" t="s">
        <v>1016</v>
      </c>
      <c r="V737" s="17" t="s">
        <v>1017</v>
      </c>
      <c r="W737" s="5"/>
      <c r="X737" s="17" t="s">
        <v>1018</v>
      </c>
      <c r="Y737" s="5" t="s">
        <v>1005</v>
      </c>
      <c r="Z737" s="21" t="s">
        <v>1009</v>
      </c>
      <c r="AA737" s="22" t="s">
        <v>453</v>
      </c>
      <c r="AC737" s="22"/>
    </row>
    <row r="738" spans="1:29" s="1" customFormat="1" ht="49.5" x14ac:dyDescent="0.25">
      <c r="A738" s="13">
        <f t="shared" si="10"/>
        <v>913201</v>
      </c>
      <c r="B738" s="14">
        <v>9132</v>
      </c>
      <c r="C738" s="1" t="s">
        <v>764</v>
      </c>
      <c r="D738" s="15" t="s">
        <v>1019</v>
      </c>
      <c r="E738" s="3">
        <v>1</v>
      </c>
      <c r="F738" s="5" t="s">
        <v>396</v>
      </c>
      <c r="G738" s="3">
        <v>10</v>
      </c>
      <c r="K738" s="1">
        <v>9121</v>
      </c>
      <c r="L738" s="1">
        <v>7200</v>
      </c>
      <c r="M738" s="1">
        <v>2750</v>
      </c>
      <c r="N738" s="1" t="s">
        <v>1015</v>
      </c>
      <c r="O738" s="1">
        <v>100</v>
      </c>
      <c r="P738" s="1" t="s">
        <v>398</v>
      </c>
      <c r="Q738" s="1">
        <v>10</v>
      </c>
      <c r="R738" s="1">
        <v>1055</v>
      </c>
      <c r="S738" s="18">
        <v>0.01</v>
      </c>
      <c r="U738" s="1" t="s">
        <v>602</v>
      </c>
      <c r="V738" s="17" t="s">
        <v>1020</v>
      </c>
      <c r="W738" s="5"/>
      <c r="X738" s="17" t="s">
        <v>1021</v>
      </c>
      <c r="Y738" s="5" t="s">
        <v>1005</v>
      </c>
      <c r="Z738" s="21" t="s">
        <v>1009</v>
      </c>
      <c r="AA738" s="22" t="s">
        <v>457</v>
      </c>
      <c r="AC738" s="22"/>
    </row>
    <row r="739" spans="1:29" s="1" customFormat="1" ht="49.5" x14ac:dyDescent="0.25">
      <c r="A739" s="13">
        <f t="shared" si="10"/>
        <v>913202</v>
      </c>
      <c r="B739" s="14">
        <v>9132</v>
      </c>
      <c r="C739" s="1" t="s">
        <v>764</v>
      </c>
      <c r="D739" s="15" t="s">
        <v>1019</v>
      </c>
      <c r="E739" s="3">
        <v>2</v>
      </c>
      <c r="F739" s="5" t="s">
        <v>396</v>
      </c>
      <c r="G739" s="3">
        <v>11</v>
      </c>
      <c r="K739" s="1">
        <v>9121</v>
      </c>
      <c r="L739" s="1">
        <v>7200</v>
      </c>
      <c r="M739" s="1">
        <v>2750</v>
      </c>
      <c r="N739" s="1" t="s">
        <v>1015</v>
      </c>
      <c r="O739" s="1">
        <v>100</v>
      </c>
      <c r="P739" s="1" t="s">
        <v>398</v>
      </c>
      <c r="Q739" s="1">
        <v>10</v>
      </c>
      <c r="R739" s="1">
        <v>1055</v>
      </c>
      <c r="S739" s="18">
        <v>0.01</v>
      </c>
      <c r="U739" s="1" t="s">
        <v>602</v>
      </c>
      <c r="V739" s="17" t="s">
        <v>1020</v>
      </c>
      <c r="W739" s="5"/>
      <c r="X739" s="17" t="s">
        <v>1021</v>
      </c>
      <c r="Y739" s="5" t="s">
        <v>1005</v>
      </c>
      <c r="Z739" s="21" t="s">
        <v>1009</v>
      </c>
      <c r="AA739" s="22" t="s">
        <v>457</v>
      </c>
      <c r="AC739" s="22"/>
    </row>
    <row r="740" spans="1:29" s="1" customFormat="1" ht="49.5" x14ac:dyDescent="0.25">
      <c r="A740" s="13">
        <f t="shared" si="10"/>
        <v>913203</v>
      </c>
      <c r="B740" s="14">
        <v>9132</v>
      </c>
      <c r="C740" s="1" t="s">
        <v>764</v>
      </c>
      <c r="D740" s="15" t="s">
        <v>1019</v>
      </c>
      <c r="E740" s="3">
        <v>3</v>
      </c>
      <c r="F740" s="5" t="s">
        <v>396</v>
      </c>
      <c r="G740" s="3">
        <v>13</v>
      </c>
      <c r="K740" s="1">
        <v>9121</v>
      </c>
      <c r="L740" s="1">
        <v>7200</v>
      </c>
      <c r="M740" s="1">
        <v>2750</v>
      </c>
      <c r="N740" s="1" t="s">
        <v>1015</v>
      </c>
      <c r="O740" s="1">
        <v>100</v>
      </c>
      <c r="P740" s="1" t="s">
        <v>398</v>
      </c>
      <c r="Q740" s="1">
        <v>10</v>
      </c>
      <c r="R740" s="1">
        <v>1055</v>
      </c>
      <c r="S740" s="18">
        <v>0.01</v>
      </c>
      <c r="U740" s="1" t="s">
        <v>602</v>
      </c>
      <c r="V740" s="17" t="s">
        <v>1020</v>
      </c>
      <c r="W740" s="5"/>
      <c r="X740" s="17" t="s">
        <v>1021</v>
      </c>
      <c r="Y740" s="5" t="s">
        <v>1005</v>
      </c>
      <c r="Z740" s="21" t="s">
        <v>1009</v>
      </c>
      <c r="AA740" s="22" t="s">
        <v>457</v>
      </c>
      <c r="AC740" s="22"/>
    </row>
    <row r="741" spans="1:29" s="1" customFormat="1" ht="49.5" x14ac:dyDescent="0.25">
      <c r="A741" s="13">
        <f t="shared" si="10"/>
        <v>913301</v>
      </c>
      <c r="B741" s="14">
        <v>9133</v>
      </c>
      <c r="C741" s="1" t="s">
        <v>764</v>
      </c>
      <c r="D741" s="15" t="s">
        <v>1022</v>
      </c>
      <c r="E741" s="3">
        <v>1</v>
      </c>
      <c r="F741" s="5" t="s">
        <v>396</v>
      </c>
      <c r="G741" s="3">
        <v>10</v>
      </c>
      <c r="K741" s="1">
        <v>9122</v>
      </c>
      <c r="L741" s="1">
        <v>7200</v>
      </c>
      <c r="M741" s="1">
        <v>2750</v>
      </c>
      <c r="N741" s="1" t="s">
        <v>1015</v>
      </c>
      <c r="O741" s="1">
        <v>100</v>
      </c>
      <c r="P741" s="1" t="s">
        <v>398</v>
      </c>
      <c r="Q741" s="1">
        <v>10</v>
      </c>
      <c r="S741" s="16"/>
      <c r="U741" s="1" t="s">
        <v>1517</v>
      </c>
      <c r="V741" s="17" t="s">
        <v>1024</v>
      </c>
      <c r="W741" s="5"/>
      <c r="X741" s="17"/>
      <c r="Y741" s="5" t="s">
        <v>1005</v>
      </c>
      <c r="Z741" s="21" t="s">
        <v>1025</v>
      </c>
      <c r="AA741" s="22" t="s">
        <v>1026</v>
      </c>
      <c r="AC741" s="22"/>
    </row>
    <row r="742" spans="1:29" s="1" customFormat="1" ht="49.5" x14ac:dyDescent="0.25">
      <c r="A742" s="13">
        <f t="shared" si="10"/>
        <v>913401</v>
      </c>
      <c r="B742" s="14">
        <v>9134</v>
      </c>
      <c r="C742" s="1" t="s">
        <v>764</v>
      </c>
      <c r="D742" s="15" t="s">
        <v>1027</v>
      </c>
      <c r="E742" s="3">
        <v>1</v>
      </c>
      <c r="F742" s="5" t="s">
        <v>396</v>
      </c>
      <c r="G742" s="3">
        <v>10</v>
      </c>
      <c r="K742" s="1">
        <v>9123</v>
      </c>
      <c r="L742" s="1">
        <v>7200</v>
      </c>
      <c r="M742" s="1">
        <v>2750</v>
      </c>
      <c r="N742" s="1" t="s">
        <v>1015</v>
      </c>
      <c r="O742" s="1">
        <v>100</v>
      </c>
      <c r="P742" s="1" t="s">
        <v>398</v>
      </c>
      <c r="Q742" s="1">
        <v>10</v>
      </c>
      <c r="R742" s="1">
        <v>1314</v>
      </c>
      <c r="S742" s="18">
        <v>0.01</v>
      </c>
      <c r="U742" s="1" t="s">
        <v>602</v>
      </c>
      <c r="V742" s="17" t="s">
        <v>603</v>
      </c>
      <c r="W742" s="5"/>
      <c r="X742" s="17" t="s">
        <v>604</v>
      </c>
      <c r="Y742" s="5" t="s">
        <v>1005</v>
      </c>
      <c r="Z742" s="21" t="s">
        <v>1009</v>
      </c>
      <c r="AA742" s="22" t="s">
        <v>462</v>
      </c>
      <c r="AC742" s="22"/>
    </row>
    <row r="743" spans="1:29" s="1" customFormat="1" ht="49.5" x14ac:dyDescent="0.25">
      <c r="A743" s="13">
        <f t="shared" si="10"/>
        <v>913402</v>
      </c>
      <c r="B743" s="14">
        <v>9134</v>
      </c>
      <c r="C743" s="1" t="s">
        <v>764</v>
      </c>
      <c r="D743" s="15" t="s">
        <v>1027</v>
      </c>
      <c r="E743" s="3">
        <v>2</v>
      </c>
      <c r="F743" s="5" t="s">
        <v>396</v>
      </c>
      <c r="G743" s="3">
        <v>11</v>
      </c>
      <c r="K743" s="1">
        <v>9123</v>
      </c>
      <c r="L743" s="1">
        <v>7200</v>
      </c>
      <c r="M743" s="1">
        <v>2750</v>
      </c>
      <c r="N743" s="1" t="s">
        <v>1015</v>
      </c>
      <c r="O743" s="1">
        <v>100</v>
      </c>
      <c r="P743" s="1" t="s">
        <v>398</v>
      </c>
      <c r="Q743" s="1">
        <v>10</v>
      </c>
      <c r="R743" s="1">
        <v>1314</v>
      </c>
      <c r="S743" s="18">
        <v>0.01</v>
      </c>
      <c r="U743" s="1" t="s">
        <v>602</v>
      </c>
      <c r="V743" s="17" t="s">
        <v>603</v>
      </c>
      <c r="W743" s="5"/>
      <c r="X743" s="17" t="s">
        <v>604</v>
      </c>
      <c r="Y743" s="5" t="s">
        <v>1005</v>
      </c>
      <c r="Z743" s="21" t="s">
        <v>1009</v>
      </c>
      <c r="AA743" s="22" t="s">
        <v>462</v>
      </c>
      <c r="AC743" s="22"/>
    </row>
    <row r="744" spans="1:29" s="1" customFormat="1" ht="49.5" x14ac:dyDescent="0.25">
      <c r="A744" s="13">
        <f t="shared" si="10"/>
        <v>913403</v>
      </c>
      <c r="B744" s="14">
        <v>9134</v>
      </c>
      <c r="C744" s="1" t="s">
        <v>764</v>
      </c>
      <c r="D744" s="15" t="s">
        <v>1027</v>
      </c>
      <c r="E744" s="3">
        <v>3</v>
      </c>
      <c r="F744" s="5" t="s">
        <v>396</v>
      </c>
      <c r="G744" s="3">
        <v>13</v>
      </c>
      <c r="K744" s="1">
        <v>9123</v>
      </c>
      <c r="L744" s="1">
        <v>7200</v>
      </c>
      <c r="M744" s="1">
        <v>2750</v>
      </c>
      <c r="N744" s="1" t="s">
        <v>1015</v>
      </c>
      <c r="O744" s="1">
        <v>100</v>
      </c>
      <c r="P744" s="1" t="s">
        <v>398</v>
      </c>
      <c r="Q744" s="1">
        <v>10</v>
      </c>
      <c r="R744" s="1">
        <v>1314</v>
      </c>
      <c r="S744" s="18">
        <v>0.01</v>
      </c>
      <c r="U744" s="1" t="s">
        <v>602</v>
      </c>
      <c r="V744" s="17" t="s">
        <v>603</v>
      </c>
      <c r="W744" s="5"/>
      <c r="X744" s="17" t="s">
        <v>604</v>
      </c>
      <c r="Y744" s="5" t="s">
        <v>1005</v>
      </c>
      <c r="Z744" s="21" t="s">
        <v>1009</v>
      </c>
      <c r="AA744" s="22" t="s">
        <v>462</v>
      </c>
      <c r="AC744" s="22"/>
    </row>
    <row r="745" spans="1:29" s="1" customFormat="1" ht="49.5" x14ac:dyDescent="0.25">
      <c r="A745" s="13">
        <f t="shared" si="10"/>
        <v>913501</v>
      </c>
      <c r="B745" s="14">
        <v>9135</v>
      </c>
      <c r="C745" s="1" t="s">
        <v>764</v>
      </c>
      <c r="D745" s="15" t="s">
        <v>1028</v>
      </c>
      <c r="E745" s="3">
        <v>1</v>
      </c>
      <c r="F745" s="5" t="s">
        <v>396</v>
      </c>
      <c r="G745" s="3">
        <v>10</v>
      </c>
      <c r="K745" s="1">
        <v>9123</v>
      </c>
      <c r="L745" s="1">
        <v>7200</v>
      </c>
      <c r="M745" s="1">
        <v>2750</v>
      </c>
      <c r="N745" s="1" t="s">
        <v>1015</v>
      </c>
      <c r="O745" s="1">
        <v>100</v>
      </c>
      <c r="P745" s="1" t="s">
        <v>398</v>
      </c>
      <c r="Q745" s="1">
        <v>10</v>
      </c>
      <c r="R745" s="1">
        <v>1319</v>
      </c>
      <c r="S745" s="18">
        <v>0.01</v>
      </c>
      <c r="U745" s="19" t="s">
        <v>1029</v>
      </c>
      <c r="V745" s="17" t="s">
        <v>1030</v>
      </c>
      <c r="X745" s="17" t="s">
        <v>1031</v>
      </c>
      <c r="Y745" s="5" t="s">
        <v>1005</v>
      </c>
      <c r="Z745" s="21" t="s">
        <v>1006</v>
      </c>
      <c r="AA745" s="22" t="s">
        <v>467</v>
      </c>
      <c r="AC745" s="22"/>
    </row>
    <row r="746" spans="1:29" s="1" customFormat="1" ht="49.5" x14ac:dyDescent="0.25">
      <c r="A746" s="13">
        <f t="shared" si="10"/>
        <v>913502</v>
      </c>
      <c r="B746" s="14">
        <v>9135</v>
      </c>
      <c r="C746" s="1" t="s">
        <v>764</v>
      </c>
      <c r="D746" s="15" t="s">
        <v>1028</v>
      </c>
      <c r="E746" s="3">
        <v>2</v>
      </c>
      <c r="F746" s="5" t="s">
        <v>396</v>
      </c>
      <c r="G746" s="3">
        <v>11</v>
      </c>
      <c r="K746" s="1">
        <v>9123</v>
      </c>
      <c r="L746" s="1">
        <v>7200</v>
      </c>
      <c r="M746" s="1">
        <v>2750</v>
      </c>
      <c r="N746" s="1" t="s">
        <v>1015</v>
      </c>
      <c r="O746" s="1">
        <v>100</v>
      </c>
      <c r="P746" s="1" t="s">
        <v>398</v>
      </c>
      <c r="Q746" s="1">
        <v>10</v>
      </c>
      <c r="R746" s="1">
        <v>1319</v>
      </c>
      <c r="S746" s="18">
        <v>0.01</v>
      </c>
      <c r="U746" s="19" t="s">
        <v>1029</v>
      </c>
      <c r="V746" s="17" t="s">
        <v>1030</v>
      </c>
      <c r="X746" s="17" t="s">
        <v>1031</v>
      </c>
      <c r="Y746" s="5" t="s">
        <v>1005</v>
      </c>
      <c r="Z746" s="21" t="s">
        <v>1006</v>
      </c>
      <c r="AA746" s="22" t="s">
        <v>467</v>
      </c>
      <c r="AC746" s="22"/>
    </row>
    <row r="747" spans="1:29" s="1" customFormat="1" ht="49.5" x14ac:dyDescent="0.25">
      <c r="A747" s="13">
        <f t="shared" si="10"/>
        <v>913503</v>
      </c>
      <c r="B747" s="14">
        <v>9135</v>
      </c>
      <c r="C747" s="1" t="s">
        <v>764</v>
      </c>
      <c r="D747" s="15" t="s">
        <v>1028</v>
      </c>
      <c r="E747" s="3">
        <v>3</v>
      </c>
      <c r="F747" s="5" t="s">
        <v>396</v>
      </c>
      <c r="G747" s="3">
        <v>13</v>
      </c>
      <c r="K747" s="1">
        <v>9123</v>
      </c>
      <c r="L747" s="1">
        <v>7200</v>
      </c>
      <c r="M747" s="1">
        <v>2750</v>
      </c>
      <c r="N747" s="1" t="s">
        <v>1015</v>
      </c>
      <c r="O747" s="1">
        <v>100</v>
      </c>
      <c r="P747" s="1" t="s">
        <v>398</v>
      </c>
      <c r="Q747" s="1">
        <v>10</v>
      </c>
      <c r="R747" s="1">
        <v>1319</v>
      </c>
      <c r="S747" s="18">
        <v>0.01</v>
      </c>
      <c r="U747" s="19" t="s">
        <v>1029</v>
      </c>
      <c r="V747" s="17" t="s">
        <v>1030</v>
      </c>
      <c r="X747" s="17" t="s">
        <v>1031</v>
      </c>
      <c r="Y747" s="5" t="s">
        <v>1005</v>
      </c>
      <c r="Z747" s="21" t="s">
        <v>1006</v>
      </c>
      <c r="AA747" s="22" t="s">
        <v>467</v>
      </c>
      <c r="AC747" s="22"/>
    </row>
    <row r="748" spans="1:29" s="1" customFormat="1" ht="49.5" x14ac:dyDescent="0.25">
      <c r="A748" s="13">
        <f t="shared" si="10"/>
        <v>914101</v>
      </c>
      <c r="B748" s="14">
        <v>9141</v>
      </c>
      <c r="C748" s="1" t="s">
        <v>764</v>
      </c>
      <c r="D748" s="15" t="s">
        <v>1007</v>
      </c>
      <c r="E748" s="3">
        <v>1</v>
      </c>
      <c r="F748" s="5" t="s">
        <v>396</v>
      </c>
      <c r="G748" s="3">
        <v>15</v>
      </c>
      <c r="K748" s="1">
        <v>9131</v>
      </c>
      <c r="L748" s="1">
        <v>9000</v>
      </c>
      <c r="M748" s="1">
        <v>2900</v>
      </c>
      <c r="N748" s="1" t="s">
        <v>1032</v>
      </c>
      <c r="O748" s="1">
        <v>100</v>
      </c>
      <c r="P748" s="1" t="s">
        <v>398</v>
      </c>
      <c r="Q748" s="1">
        <v>10</v>
      </c>
      <c r="R748" s="1">
        <v>1060</v>
      </c>
      <c r="S748" s="16">
        <v>0.02</v>
      </c>
      <c r="U748" s="1" t="s">
        <v>601</v>
      </c>
      <c r="V748" s="17" t="s">
        <v>402</v>
      </c>
      <c r="W748" s="5"/>
      <c r="X748" s="17" t="s">
        <v>404</v>
      </c>
      <c r="Y748" s="5" t="s">
        <v>1005</v>
      </c>
      <c r="Z748" s="21" t="s">
        <v>1009</v>
      </c>
      <c r="AA748" s="22" t="s">
        <v>471</v>
      </c>
      <c r="AC748" s="22"/>
    </row>
    <row r="749" spans="1:29" s="1" customFormat="1" ht="49.5" x14ac:dyDescent="0.25">
      <c r="A749" s="13">
        <f t="shared" si="10"/>
        <v>914201</v>
      </c>
      <c r="B749" s="14">
        <v>9142</v>
      </c>
      <c r="C749" s="1" t="s">
        <v>764</v>
      </c>
      <c r="D749" s="15" t="s">
        <v>1014</v>
      </c>
      <c r="E749" s="3">
        <v>1</v>
      </c>
      <c r="F749" s="5" t="s">
        <v>396</v>
      </c>
      <c r="G749" s="3">
        <v>15</v>
      </c>
      <c r="K749" s="1">
        <v>9131</v>
      </c>
      <c r="L749" s="1">
        <v>9000</v>
      </c>
      <c r="M749" s="1">
        <v>2900</v>
      </c>
      <c r="N749" s="1" t="s">
        <v>1032</v>
      </c>
      <c r="O749" s="1">
        <v>100</v>
      </c>
      <c r="P749" s="1" t="s">
        <v>398</v>
      </c>
      <c r="Q749" s="1">
        <v>10</v>
      </c>
      <c r="R749" s="1">
        <v>1092</v>
      </c>
      <c r="S749" s="16">
        <v>1000</v>
      </c>
      <c r="U749" s="1" t="s">
        <v>1016</v>
      </c>
      <c r="V749" s="17" t="s">
        <v>1017</v>
      </c>
      <c r="W749" s="5"/>
      <c r="X749" s="17" t="s">
        <v>1018</v>
      </c>
      <c r="Y749" s="5" t="s">
        <v>1005</v>
      </c>
      <c r="Z749" s="21" t="s">
        <v>1009</v>
      </c>
      <c r="AA749" s="22" t="s">
        <v>472</v>
      </c>
      <c r="AC749" s="22"/>
    </row>
    <row r="750" spans="1:29" s="1" customFormat="1" ht="49.5" x14ac:dyDescent="0.25">
      <c r="A750" s="13">
        <f t="shared" si="10"/>
        <v>914301</v>
      </c>
      <c r="B750" s="14">
        <v>9143</v>
      </c>
      <c r="C750" s="1" t="s">
        <v>764</v>
      </c>
      <c r="D750" s="15" t="s">
        <v>1019</v>
      </c>
      <c r="E750" s="3">
        <v>1</v>
      </c>
      <c r="F750" s="5" t="s">
        <v>396</v>
      </c>
      <c r="G750" s="3">
        <v>18</v>
      </c>
      <c r="K750" s="1">
        <v>9132</v>
      </c>
      <c r="L750" s="1">
        <v>9000</v>
      </c>
      <c r="M750" s="1">
        <v>3000</v>
      </c>
      <c r="N750" s="1" t="s">
        <v>1033</v>
      </c>
      <c r="O750" s="1">
        <v>100</v>
      </c>
      <c r="P750" s="1" t="s">
        <v>398</v>
      </c>
      <c r="Q750" s="1">
        <v>10</v>
      </c>
      <c r="R750" s="1">
        <v>1055</v>
      </c>
      <c r="S750" s="16">
        <v>0.02</v>
      </c>
      <c r="U750" s="1" t="s">
        <v>602</v>
      </c>
      <c r="V750" s="17" t="s">
        <v>1020</v>
      </c>
      <c r="W750" s="5"/>
      <c r="X750" s="17" t="s">
        <v>1021</v>
      </c>
      <c r="Y750" s="5" t="s">
        <v>1005</v>
      </c>
      <c r="Z750" s="21" t="s">
        <v>1009</v>
      </c>
      <c r="AA750" s="22" t="s">
        <v>1034</v>
      </c>
      <c r="AC750" s="22"/>
    </row>
    <row r="751" spans="1:29" s="1" customFormat="1" ht="49.5" x14ac:dyDescent="0.25">
      <c r="A751" s="13">
        <f t="shared" si="10"/>
        <v>914401</v>
      </c>
      <c r="B751" s="14">
        <v>9144</v>
      </c>
      <c r="C751" s="1" t="s">
        <v>764</v>
      </c>
      <c r="D751" s="12" t="s">
        <v>998</v>
      </c>
      <c r="E751" s="3">
        <v>1</v>
      </c>
      <c r="F751" s="5" t="s">
        <v>396</v>
      </c>
      <c r="G751" s="3">
        <v>20</v>
      </c>
      <c r="K751" s="1">
        <v>9133</v>
      </c>
      <c r="L751" s="1">
        <v>10800</v>
      </c>
      <c r="M751" s="1">
        <v>3150</v>
      </c>
      <c r="N751" s="1" t="s">
        <v>397</v>
      </c>
      <c r="O751" s="1">
        <v>100</v>
      </c>
      <c r="P751" s="1" t="s">
        <v>398</v>
      </c>
      <c r="Q751" s="1">
        <v>10</v>
      </c>
      <c r="R751" s="1" t="s">
        <v>1000</v>
      </c>
      <c r="S751" s="16" t="s">
        <v>1035</v>
      </c>
      <c r="U751" s="1" t="s">
        <v>1002</v>
      </c>
      <c r="V751" s="17" t="s">
        <v>1003</v>
      </c>
      <c r="W751" s="5"/>
      <c r="X751" s="1" t="s">
        <v>1004</v>
      </c>
      <c r="Y751" s="5" t="s">
        <v>1005</v>
      </c>
      <c r="Z751" s="21" t="s">
        <v>1006</v>
      </c>
      <c r="AA751" s="22" t="s">
        <v>1036</v>
      </c>
      <c r="AC751" s="22"/>
    </row>
    <row r="752" spans="1:29" s="1" customFormat="1" ht="49.5" x14ac:dyDescent="0.25">
      <c r="A752" s="13">
        <f t="shared" si="10"/>
        <v>914501</v>
      </c>
      <c r="B752" s="14">
        <v>9145</v>
      </c>
      <c r="C752" s="1" t="s">
        <v>764</v>
      </c>
      <c r="D752" s="15" t="s">
        <v>1027</v>
      </c>
      <c r="E752" s="3">
        <v>1</v>
      </c>
      <c r="F752" s="5" t="s">
        <v>396</v>
      </c>
      <c r="G752" s="3">
        <v>18</v>
      </c>
      <c r="K752" s="1">
        <v>9134</v>
      </c>
      <c r="L752" s="1">
        <v>9000</v>
      </c>
      <c r="M752" s="1">
        <v>3000</v>
      </c>
      <c r="N752" s="1" t="s">
        <v>1033</v>
      </c>
      <c r="O752" s="1">
        <v>100</v>
      </c>
      <c r="P752" s="1" t="s">
        <v>398</v>
      </c>
      <c r="Q752" s="1">
        <v>10</v>
      </c>
      <c r="R752" s="1">
        <v>1314</v>
      </c>
      <c r="S752" s="16">
        <v>0.02</v>
      </c>
      <c r="U752" s="1" t="s">
        <v>602</v>
      </c>
      <c r="V752" s="17" t="s">
        <v>603</v>
      </c>
      <c r="W752" s="5"/>
      <c r="X752" s="17" t="s">
        <v>604</v>
      </c>
      <c r="Y752" s="5" t="s">
        <v>1005</v>
      </c>
      <c r="Z752" s="21" t="s">
        <v>1009</v>
      </c>
      <c r="AA752" s="22" t="s">
        <v>1037</v>
      </c>
      <c r="AC752" s="22"/>
    </row>
    <row r="753" spans="1:29" s="1" customFormat="1" ht="49.5" x14ac:dyDescent="0.25">
      <c r="A753" s="13">
        <f t="shared" si="10"/>
        <v>914601</v>
      </c>
      <c r="B753" s="14">
        <v>9146</v>
      </c>
      <c r="C753" s="1" t="s">
        <v>764</v>
      </c>
      <c r="D753" s="15" t="s">
        <v>1028</v>
      </c>
      <c r="E753" s="3">
        <v>1</v>
      </c>
      <c r="F753" s="5" t="s">
        <v>396</v>
      </c>
      <c r="G753" s="3">
        <v>15</v>
      </c>
      <c r="K753" s="1">
        <v>9135</v>
      </c>
      <c r="L753" s="1">
        <v>9000</v>
      </c>
      <c r="M753" s="1">
        <v>2900</v>
      </c>
      <c r="N753" s="1" t="s">
        <v>1032</v>
      </c>
      <c r="O753" s="1">
        <v>100</v>
      </c>
      <c r="P753" s="1" t="s">
        <v>398</v>
      </c>
      <c r="Q753" s="1">
        <v>10</v>
      </c>
      <c r="R753" s="1">
        <v>1319</v>
      </c>
      <c r="S753" s="16">
        <v>0.02</v>
      </c>
      <c r="U753" s="19" t="s">
        <v>1029</v>
      </c>
      <c r="V753" s="17" t="s">
        <v>1030</v>
      </c>
      <c r="X753" s="17" t="s">
        <v>1031</v>
      </c>
      <c r="Y753" s="5" t="s">
        <v>1005</v>
      </c>
      <c r="Z753" s="21" t="s">
        <v>1006</v>
      </c>
      <c r="AA753" s="22" t="s">
        <v>1038</v>
      </c>
      <c r="AC753" s="22"/>
    </row>
    <row r="754" spans="1:29" s="1" customFormat="1" ht="49.5" x14ac:dyDescent="0.25">
      <c r="A754" s="13">
        <f t="shared" si="10"/>
        <v>914701</v>
      </c>
      <c r="B754" s="14">
        <v>9147</v>
      </c>
      <c r="C754" s="1" t="s">
        <v>764</v>
      </c>
      <c r="D754" s="15" t="s">
        <v>1010</v>
      </c>
      <c r="E754" s="3">
        <v>1</v>
      </c>
      <c r="F754" s="5" t="s">
        <v>396</v>
      </c>
      <c r="G754" s="3">
        <v>15</v>
      </c>
      <c r="K754" s="1">
        <v>9135</v>
      </c>
      <c r="L754" s="1">
        <v>9000</v>
      </c>
      <c r="M754" s="1">
        <v>2900</v>
      </c>
      <c r="N754" s="1" t="s">
        <v>1032</v>
      </c>
      <c r="O754" s="1">
        <v>100</v>
      </c>
      <c r="P754" s="1" t="s">
        <v>398</v>
      </c>
      <c r="Q754" s="1">
        <v>10</v>
      </c>
      <c r="R754" s="1">
        <v>1065</v>
      </c>
      <c r="S754" s="16">
        <v>1.4999999999999999E-2</v>
      </c>
      <c r="U754" s="1" t="s">
        <v>1011</v>
      </c>
      <c r="V754" s="17" t="s">
        <v>1012</v>
      </c>
      <c r="W754" s="5"/>
      <c r="X754" s="17" t="s">
        <v>1013</v>
      </c>
      <c r="Y754" s="5" t="s">
        <v>1005</v>
      </c>
      <c r="Z754" s="21" t="s">
        <v>1009</v>
      </c>
      <c r="AA754" s="22" t="s">
        <v>1039</v>
      </c>
      <c r="AC754" s="22"/>
    </row>
    <row r="755" spans="1:29" s="1" customFormat="1" ht="49.5" x14ac:dyDescent="0.25">
      <c r="A755" s="13">
        <f t="shared" si="10"/>
        <v>921101</v>
      </c>
      <c r="B755" s="14">
        <v>9211</v>
      </c>
      <c r="C755" s="1" t="s">
        <v>764</v>
      </c>
      <c r="D755" s="12" t="s">
        <v>1306</v>
      </c>
      <c r="E755" s="3">
        <v>1</v>
      </c>
      <c r="F755" s="5" t="s">
        <v>708</v>
      </c>
      <c r="G755" s="3">
        <v>1</v>
      </c>
      <c r="K755" s="1">
        <v>9133</v>
      </c>
      <c r="L755" s="1">
        <v>3600</v>
      </c>
      <c r="M755" s="1">
        <v>6050</v>
      </c>
      <c r="N755" s="1" t="s">
        <v>999</v>
      </c>
      <c r="O755" s="1">
        <v>100</v>
      </c>
      <c r="P755" s="1" t="s">
        <v>398</v>
      </c>
      <c r="Q755" s="1">
        <v>10</v>
      </c>
      <c r="R755" s="1" t="s">
        <v>1307</v>
      </c>
      <c r="S755" s="16" t="s">
        <v>1042</v>
      </c>
      <c r="U755" s="19" t="s">
        <v>1308</v>
      </c>
      <c r="V755" s="17" t="s">
        <v>1309</v>
      </c>
      <c r="X755" s="17" t="s">
        <v>1310</v>
      </c>
      <c r="Y755" s="5" t="s">
        <v>1005</v>
      </c>
      <c r="Z755" s="21" t="s">
        <v>1311</v>
      </c>
      <c r="AA755" s="22" t="s">
        <v>1047</v>
      </c>
      <c r="AC755" s="22"/>
    </row>
    <row r="756" spans="1:29" s="1" customFormat="1" ht="49.5" x14ac:dyDescent="0.25">
      <c r="A756" s="13">
        <f t="shared" si="10"/>
        <v>922101</v>
      </c>
      <c r="B756" s="14">
        <v>9221</v>
      </c>
      <c r="C756" s="1" t="s">
        <v>764</v>
      </c>
      <c r="D756" s="12" t="s">
        <v>1312</v>
      </c>
      <c r="E756" s="3">
        <v>1</v>
      </c>
      <c r="F756" s="5" t="s">
        <v>708</v>
      </c>
      <c r="G756" s="3">
        <v>5</v>
      </c>
      <c r="K756" s="1">
        <v>9211</v>
      </c>
      <c r="L756" s="1">
        <v>5400</v>
      </c>
      <c r="M756" s="1">
        <v>6350</v>
      </c>
      <c r="N756" s="1" t="s">
        <v>1008</v>
      </c>
      <c r="O756" s="1">
        <v>100</v>
      </c>
      <c r="P756" s="1" t="s">
        <v>398</v>
      </c>
      <c r="Q756" s="1">
        <v>10</v>
      </c>
      <c r="R756" s="1">
        <v>20001</v>
      </c>
      <c r="S756" s="16">
        <v>0.01</v>
      </c>
      <c r="U756" s="19" t="s">
        <v>1312</v>
      </c>
      <c r="V756" s="17" t="s">
        <v>1313</v>
      </c>
      <c r="X756" s="17" t="s">
        <v>1314</v>
      </c>
      <c r="Y756" s="5" t="s">
        <v>1005</v>
      </c>
      <c r="Z756" s="21" t="s">
        <v>1315</v>
      </c>
      <c r="AA756" s="22" t="s">
        <v>1052</v>
      </c>
      <c r="AC756" s="22"/>
    </row>
    <row r="757" spans="1:29" s="1" customFormat="1" ht="49.5" x14ac:dyDescent="0.25">
      <c r="A757" s="13">
        <f t="shared" si="10"/>
        <v>922201</v>
      </c>
      <c r="B757" s="14">
        <v>9222</v>
      </c>
      <c r="C757" s="1" t="s">
        <v>764</v>
      </c>
      <c r="D757" s="12" t="s">
        <v>1316</v>
      </c>
      <c r="E757" s="3">
        <v>1</v>
      </c>
      <c r="F757" s="5" t="s">
        <v>708</v>
      </c>
      <c r="G757" s="3">
        <v>5</v>
      </c>
      <c r="K757" s="1">
        <v>9211</v>
      </c>
      <c r="L757" s="1">
        <v>5400</v>
      </c>
      <c r="M757" s="1">
        <v>6350</v>
      </c>
      <c r="N757" s="1" t="s">
        <v>1008</v>
      </c>
      <c r="O757" s="1">
        <v>100</v>
      </c>
      <c r="P757" s="1" t="s">
        <v>398</v>
      </c>
      <c r="Q757" s="1">
        <v>10</v>
      </c>
      <c r="R757" s="1">
        <v>20061</v>
      </c>
      <c r="S757" s="16">
        <v>5.0000000000000001E-3</v>
      </c>
      <c r="U757" s="19" t="s">
        <v>1316</v>
      </c>
      <c r="V757" s="17" t="s">
        <v>1317</v>
      </c>
      <c r="X757" s="17" t="s">
        <v>1318</v>
      </c>
      <c r="Y757" s="5" t="s">
        <v>1005</v>
      </c>
      <c r="Z757" s="21" t="s">
        <v>1311</v>
      </c>
      <c r="AA757" s="22" t="s">
        <v>1056</v>
      </c>
      <c r="AC757" s="22"/>
    </row>
    <row r="758" spans="1:29" s="1" customFormat="1" ht="49.5" x14ac:dyDescent="0.25">
      <c r="A758" s="13">
        <f t="shared" si="10"/>
        <v>922301</v>
      </c>
      <c r="B758" s="14">
        <v>9223</v>
      </c>
      <c r="C758" s="1" t="s">
        <v>764</v>
      </c>
      <c r="D758" s="12" t="s">
        <v>1319</v>
      </c>
      <c r="E758" s="3">
        <v>1</v>
      </c>
      <c r="F758" s="5" t="s">
        <v>708</v>
      </c>
      <c r="G758" s="3">
        <v>5</v>
      </c>
      <c r="K758" s="1">
        <v>9211</v>
      </c>
      <c r="L758" s="1">
        <v>5400</v>
      </c>
      <c r="M758" s="1">
        <v>6350</v>
      </c>
      <c r="N758" s="1" t="s">
        <v>1008</v>
      </c>
      <c r="O758" s="1">
        <v>100</v>
      </c>
      <c r="P758" s="1" t="s">
        <v>398</v>
      </c>
      <c r="Q758" s="1">
        <v>10</v>
      </c>
      <c r="R758" s="1">
        <v>20031</v>
      </c>
      <c r="S758" s="16">
        <v>0.01</v>
      </c>
      <c r="U758" s="19" t="s">
        <v>1319</v>
      </c>
      <c r="V758" s="17" t="s">
        <v>1320</v>
      </c>
      <c r="X758" s="17" t="s">
        <v>1321</v>
      </c>
      <c r="Y758" s="5" t="s">
        <v>1005</v>
      </c>
      <c r="Z758" s="21" t="s">
        <v>1322</v>
      </c>
      <c r="AA758" s="22" t="s">
        <v>1061</v>
      </c>
      <c r="AC758" s="22"/>
    </row>
    <row r="759" spans="1:29" s="1" customFormat="1" ht="49.5" x14ac:dyDescent="0.25">
      <c r="A759" s="13">
        <f t="shared" si="10"/>
        <v>923101</v>
      </c>
      <c r="B759" s="14">
        <v>9231</v>
      </c>
      <c r="C759" s="1" t="s">
        <v>764</v>
      </c>
      <c r="D759" s="12" t="s">
        <v>1323</v>
      </c>
      <c r="E759" s="3">
        <v>1</v>
      </c>
      <c r="F759" s="5" t="s">
        <v>708</v>
      </c>
      <c r="G759" s="3">
        <v>10</v>
      </c>
      <c r="K759" s="1">
        <v>9221</v>
      </c>
      <c r="L759" s="1">
        <v>7200</v>
      </c>
      <c r="M759" s="1">
        <v>6650</v>
      </c>
      <c r="N759" s="1" t="s">
        <v>1015</v>
      </c>
      <c r="O759" s="1">
        <v>100</v>
      </c>
      <c r="P759" s="1" t="s">
        <v>398</v>
      </c>
      <c r="Q759" s="1">
        <v>10</v>
      </c>
      <c r="R759" s="1">
        <v>20201</v>
      </c>
      <c r="S759" s="16">
        <v>0.01</v>
      </c>
      <c r="U759" s="1" t="s">
        <v>1323</v>
      </c>
      <c r="V759" s="17" t="s">
        <v>1324</v>
      </c>
      <c r="X759" s="17" t="s">
        <v>1325</v>
      </c>
      <c r="Y759" s="5" t="s">
        <v>1005</v>
      </c>
      <c r="Z759" s="21" t="s">
        <v>1315</v>
      </c>
      <c r="AA759" s="22" t="s">
        <v>1065</v>
      </c>
      <c r="AC759" s="22"/>
    </row>
    <row r="760" spans="1:29" s="1" customFormat="1" ht="49.5" x14ac:dyDescent="0.25">
      <c r="A760" s="13">
        <f t="shared" si="10"/>
        <v>923102</v>
      </c>
      <c r="B760" s="14">
        <v>9231</v>
      </c>
      <c r="C760" s="1" t="s">
        <v>764</v>
      </c>
      <c r="D760" s="12" t="s">
        <v>1323</v>
      </c>
      <c r="E760" s="3">
        <v>2</v>
      </c>
      <c r="F760" s="5" t="s">
        <v>708</v>
      </c>
      <c r="G760" s="3">
        <v>12</v>
      </c>
      <c r="K760" s="1">
        <v>9221</v>
      </c>
      <c r="L760" s="1">
        <v>7200</v>
      </c>
      <c r="M760" s="1">
        <v>6650</v>
      </c>
      <c r="N760" s="1" t="s">
        <v>1015</v>
      </c>
      <c r="O760" s="1">
        <v>100</v>
      </c>
      <c r="P760" s="1" t="s">
        <v>398</v>
      </c>
      <c r="Q760" s="1">
        <v>10</v>
      </c>
      <c r="R760" s="1">
        <v>20201</v>
      </c>
      <c r="S760" s="16">
        <v>0.01</v>
      </c>
      <c r="U760" s="1" t="s">
        <v>1323</v>
      </c>
      <c r="V760" s="17" t="s">
        <v>1324</v>
      </c>
      <c r="X760" s="17" t="s">
        <v>1325</v>
      </c>
      <c r="Y760" s="5" t="s">
        <v>1005</v>
      </c>
      <c r="Z760" s="21" t="s">
        <v>1315</v>
      </c>
      <c r="AA760" s="22" t="s">
        <v>1065</v>
      </c>
      <c r="AC760" s="22"/>
    </row>
    <row r="761" spans="1:29" s="1" customFormat="1" ht="49.5" x14ac:dyDescent="0.25">
      <c r="A761" s="13">
        <f t="shared" si="10"/>
        <v>923201</v>
      </c>
      <c r="B761" s="14">
        <v>9232</v>
      </c>
      <c r="C761" s="1" t="s">
        <v>764</v>
      </c>
      <c r="D761" s="12" t="s">
        <v>1326</v>
      </c>
      <c r="E761" s="3">
        <v>1</v>
      </c>
      <c r="F761" s="5" t="s">
        <v>708</v>
      </c>
      <c r="G761" s="3">
        <v>10</v>
      </c>
      <c r="K761" s="1">
        <v>9221</v>
      </c>
      <c r="L761" s="1">
        <v>7200</v>
      </c>
      <c r="M761" s="1">
        <v>6650</v>
      </c>
      <c r="N761" s="1" t="s">
        <v>1015</v>
      </c>
      <c r="O761" s="1">
        <v>100</v>
      </c>
      <c r="P761" s="1" t="s">
        <v>398</v>
      </c>
      <c r="Q761" s="1">
        <v>10</v>
      </c>
      <c r="R761" s="20">
        <v>20401</v>
      </c>
      <c r="S761" s="16">
        <v>0.01</v>
      </c>
      <c r="U761" s="1" t="s">
        <v>1326</v>
      </c>
      <c r="V761" s="17" t="s">
        <v>1327</v>
      </c>
      <c r="X761" s="17" t="s">
        <v>1328</v>
      </c>
      <c r="Y761" s="5" t="s">
        <v>1005</v>
      </c>
      <c r="Z761" s="21" t="s">
        <v>1315</v>
      </c>
      <c r="AA761" s="22" t="s">
        <v>1069</v>
      </c>
      <c r="AC761" s="22"/>
    </row>
    <row r="762" spans="1:29" s="1" customFormat="1" ht="49.5" x14ac:dyDescent="0.25">
      <c r="A762" s="13">
        <f t="shared" si="10"/>
        <v>923202</v>
      </c>
      <c r="B762" s="14">
        <v>9232</v>
      </c>
      <c r="C762" s="1" t="s">
        <v>764</v>
      </c>
      <c r="D762" s="12" t="s">
        <v>1326</v>
      </c>
      <c r="E762" s="3">
        <v>2</v>
      </c>
      <c r="F762" s="5" t="s">
        <v>708</v>
      </c>
      <c r="G762" s="3">
        <v>12</v>
      </c>
      <c r="K762" s="1">
        <v>9221</v>
      </c>
      <c r="L762" s="1">
        <v>7200</v>
      </c>
      <c r="M762" s="1">
        <v>6650</v>
      </c>
      <c r="N762" s="1" t="s">
        <v>1015</v>
      </c>
      <c r="O762" s="1">
        <v>100</v>
      </c>
      <c r="P762" s="1" t="s">
        <v>398</v>
      </c>
      <c r="Q762" s="1">
        <v>10</v>
      </c>
      <c r="R762" s="20">
        <v>20401</v>
      </c>
      <c r="S762" s="16">
        <v>0.01</v>
      </c>
      <c r="U762" s="1" t="s">
        <v>1326</v>
      </c>
      <c r="V762" s="17" t="s">
        <v>1327</v>
      </c>
      <c r="X762" s="17" t="s">
        <v>1328</v>
      </c>
      <c r="Y762" s="5" t="s">
        <v>1005</v>
      </c>
      <c r="Z762" s="21" t="s">
        <v>1315</v>
      </c>
      <c r="AA762" s="22" t="s">
        <v>1069</v>
      </c>
      <c r="AC762" s="22"/>
    </row>
    <row r="763" spans="1:29" s="1" customFormat="1" ht="49.5" x14ac:dyDescent="0.25">
      <c r="A763" s="13">
        <f t="shared" si="10"/>
        <v>923301</v>
      </c>
      <c r="B763" s="14">
        <v>9233</v>
      </c>
      <c r="C763" s="1" t="s">
        <v>764</v>
      </c>
      <c r="D763" s="12" t="s">
        <v>1022</v>
      </c>
      <c r="E763" s="3">
        <v>1</v>
      </c>
      <c r="F763" s="5" t="s">
        <v>708</v>
      </c>
      <c r="G763" s="3">
        <v>10</v>
      </c>
      <c r="K763" s="1">
        <v>9222</v>
      </c>
      <c r="L763" s="1">
        <v>7200</v>
      </c>
      <c r="M763" s="1">
        <v>6650</v>
      </c>
      <c r="N763" s="1" t="s">
        <v>1015</v>
      </c>
      <c r="O763" s="1">
        <v>100</v>
      </c>
      <c r="P763" s="1" t="s">
        <v>398</v>
      </c>
      <c r="Q763" s="1">
        <v>10</v>
      </c>
      <c r="S763" s="16"/>
      <c r="U763" s="1" t="s">
        <v>1518</v>
      </c>
      <c r="V763" s="17" t="s">
        <v>1071</v>
      </c>
      <c r="X763" s="17"/>
      <c r="Y763" s="5" t="s">
        <v>1005</v>
      </c>
      <c r="Z763" s="21" t="s">
        <v>1025</v>
      </c>
      <c r="AA763" s="22" t="s">
        <v>277</v>
      </c>
      <c r="AC763" s="22"/>
    </row>
    <row r="764" spans="1:29" s="1" customFormat="1" ht="49.5" x14ac:dyDescent="0.25">
      <c r="A764" s="13">
        <f t="shared" si="10"/>
        <v>923401</v>
      </c>
      <c r="B764" s="14">
        <v>9234</v>
      </c>
      <c r="C764" s="1" t="s">
        <v>764</v>
      </c>
      <c r="D764" s="12" t="s">
        <v>1330</v>
      </c>
      <c r="E764" s="3">
        <v>1</v>
      </c>
      <c r="F764" s="5" t="s">
        <v>708</v>
      </c>
      <c r="G764" s="3">
        <v>10</v>
      </c>
      <c r="K764" s="1">
        <v>9223</v>
      </c>
      <c r="L764" s="1">
        <v>7200</v>
      </c>
      <c r="M764" s="1">
        <v>6650</v>
      </c>
      <c r="N764" s="1" t="s">
        <v>1015</v>
      </c>
      <c r="O764" s="1">
        <v>100</v>
      </c>
      <c r="P764" s="1" t="s">
        <v>398</v>
      </c>
      <c r="Q764" s="1">
        <v>10</v>
      </c>
      <c r="R764" s="20">
        <v>20431</v>
      </c>
      <c r="S764" s="16">
        <v>0.01</v>
      </c>
      <c r="U764" s="1" t="s">
        <v>1330</v>
      </c>
      <c r="V764" s="17" t="s">
        <v>1331</v>
      </c>
      <c r="X764" s="17" t="s">
        <v>1332</v>
      </c>
      <c r="Y764" s="5" t="s">
        <v>1005</v>
      </c>
      <c r="Z764" s="21" t="s">
        <v>1322</v>
      </c>
      <c r="AA764" s="22" t="s">
        <v>1075</v>
      </c>
      <c r="AC764" s="22"/>
    </row>
    <row r="765" spans="1:29" s="1" customFormat="1" ht="49.5" x14ac:dyDescent="0.25">
      <c r="A765" s="13">
        <f t="shared" si="10"/>
        <v>923402</v>
      </c>
      <c r="B765" s="14">
        <v>9234</v>
      </c>
      <c r="C765" s="1" t="s">
        <v>764</v>
      </c>
      <c r="D765" s="12" t="s">
        <v>1330</v>
      </c>
      <c r="E765" s="3">
        <v>2</v>
      </c>
      <c r="F765" s="5" t="s">
        <v>708</v>
      </c>
      <c r="G765" s="3">
        <v>12</v>
      </c>
      <c r="K765" s="1">
        <v>9223</v>
      </c>
      <c r="L765" s="1">
        <v>7200</v>
      </c>
      <c r="M765" s="1">
        <v>6650</v>
      </c>
      <c r="N765" s="1" t="s">
        <v>1015</v>
      </c>
      <c r="O765" s="1">
        <v>100</v>
      </c>
      <c r="P765" s="1" t="s">
        <v>398</v>
      </c>
      <c r="Q765" s="1">
        <v>10</v>
      </c>
      <c r="R765" s="20">
        <v>20431</v>
      </c>
      <c r="S765" s="16">
        <v>0.01</v>
      </c>
      <c r="U765" s="1" t="s">
        <v>1330</v>
      </c>
      <c r="V765" s="17" t="s">
        <v>1331</v>
      </c>
      <c r="X765" s="17" t="s">
        <v>1332</v>
      </c>
      <c r="Y765" s="5" t="s">
        <v>1005</v>
      </c>
      <c r="Z765" s="21" t="s">
        <v>1322</v>
      </c>
      <c r="AA765" s="22" t="s">
        <v>1075</v>
      </c>
      <c r="AC765" s="22"/>
    </row>
    <row r="766" spans="1:29" s="1" customFormat="1" ht="49.5" x14ac:dyDescent="0.25">
      <c r="A766" s="13">
        <f t="shared" si="10"/>
        <v>923501</v>
      </c>
      <c r="B766" s="14">
        <v>9235</v>
      </c>
      <c r="C766" s="1" t="s">
        <v>764</v>
      </c>
      <c r="D766" s="12" t="s">
        <v>1333</v>
      </c>
      <c r="E766" s="3">
        <v>1</v>
      </c>
      <c r="F766" s="5" t="s">
        <v>708</v>
      </c>
      <c r="G766" s="3">
        <v>10</v>
      </c>
      <c r="K766" s="1">
        <v>9223</v>
      </c>
      <c r="L766" s="1">
        <v>7200</v>
      </c>
      <c r="M766" s="1">
        <v>6650</v>
      </c>
      <c r="N766" s="1" t="s">
        <v>1015</v>
      </c>
      <c r="O766" s="1">
        <v>100</v>
      </c>
      <c r="P766" s="1" t="s">
        <v>398</v>
      </c>
      <c r="Q766" s="1">
        <v>10</v>
      </c>
      <c r="R766" s="1">
        <v>20231</v>
      </c>
      <c r="S766" s="16">
        <v>0.01</v>
      </c>
      <c r="U766" s="1" t="s">
        <v>1333</v>
      </c>
      <c r="V766" s="17" t="s">
        <v>1334</v>
      </c>
      <c r="X766" s="17" t="s">
        <v>1335</v>
      </c>
      <c r="Y766" s="5" t="s">
        <v>1005</v>
      </c>
      <c r="Z766" s="21" t="s">
        <v>1322</v>
      </c>
      <c r="AA766" s="22" t="s">
        <v>1079</v>
      </c>
      <c r="AC766" s="22"/>
    </row>
    <row r="767" spans="1:29" s="1" customFormat="1" ht="49.5" x14ac:dyDescent="0.25">
      <c r="A767" s="13">
        <f t="shared" si="10"/>
        <v>923502</v>
      </c>
      <c r="B767" s="14">
        <v>9235</v>
      </c>
      <c r="C767" s="1" t="s">
        <v>764</v>
      </c>
      <c r="D767" s="12" t="s">
        <v>1333</v>
      </c>
      <c r="E767" s="3">
        <v>2</v>
      </c>
      <c r="F767" s="5" t="s">
        <v>708</v>
      </c>
      <c r="G767" s="3">
        <v>12</v>
      </c>
      <c r="K767" s="1">
        <v>9223</v>
      </c>
      <c r="L767" s="1">
        <v>7200</v>
      </c>
      <c r="M767" s="1">
        <v>6650</v>
      </c>
      <c r="N767" s="1" t="s">
        <v>1015</v>
      </c>
      <c r="O767" s="1">
        <v>100</v>
      </c>
      <c r="P767" s="1" t="s">
        <v>398</v>
      </c>
      <c r="Q767" s="1">
        <v>10</v>
      </c>
      <c r="R767" s="1">
        <v>20231</v>
      </c>
      <c r="S767" s="16">
        <v>0.01</v>
      </c>
      <c r="U767" s="1" t="s">
        <v>1333</v>
      </c>
      <c r="V767" s="17" t="s">
        <v>1334</v>
      </c>
      <c r="X767" s="17" t="s">
        <v>1335</v>
      </c>
      <c r="Y767" s="5" t="s">
        <v>1005</v>
      </c>
      <c r="Z767" s="21" t="s">
        <v>1322</v>
      </c>
      <c r="AA767" s="22" t="s">
        <v>1079</v>
      </c>
      <c r="AC767" s="22"/>
    </row>
    <row r="768" spans="1:29" s="1" customFormat="1" ht="49.5" x14ac:dyDescent="0.25">
      <c r="A768" s="13">
        <f t="shared" si="10"/>
        <v>924101</v>
      </c>
      <c r="B768" s="14">
        <v>9241</v>
      </c>
      <c r="C768" s="1" t="s">
        <v>764</v>
      </c>
      <c r="D768" s="12" t="s">
        <v>1336</v>
      </c>
      <c r="E768" s="3">
        <v>1</v>
      </c>
      <c r="F768" s="5" t="s">
        <v>708</v>
      </c>
      <c r="G768" s="3">
        <v>15</v>
      </c>
      <c r="K768" s="1">
        <v>9231</v>
      </c>
      <c r="L768" s="1">
        <v>9000</v>
      </c>
      <c r="M768" s="1">
        <v>6950</v>
      </c>
      <c r="N768" s="1" t="s">
        <v>1032</v>
      </c>
      <c r="O768" s="1">
        <v>100</v>
      </c>
      <c r="P768" s="1" t="s">
        <v>398</v>
      </c>
      <c r="Q768" s="1">
        <v>10</v>
      </c>
      <c r="R768" s="20">
        <v>6031</v>
      </c>
      <c r="S768" s="16">
        <v>0.01</v>
      </c>
      <c r="U768" s="1" t="s">
        <v>1336</v>
      </c>
      <c r="V768" s="17" t="s">
        <v>1337</v>
      </c>
      <c r="X768" s="17" t="s">
        <v>1338</v>
      </c>
      <c r="Y768" s="5" t="s">
        <v>1005</v>
      </c>
      <c r="Z768" s="21" t="s">
        <v>1315</v>
      </c>
      <c r="AA768" s="22" t="s">
        <v>1083</v>
      </c>
      <c r="AC768" s="22"/>
    </row>
    <row r="769" spans="1:29" s="1" customFormat="1" ht="49.5" x14ac:dyDescent="0.25">
      <c r="A769" s="13">
        <f t="shared" si="10"/>
        <v>924102</v>
      </c>
      <c r="B769" s="14">
        <v>9241</v>
      </c>
      <c r="C769" s="1" t="s">
        <v>764</v>
      </c>
      <c r="D769" s="12" t="s">
        <v>1336</v>
      </c>
      <c r="E769" s="3">
        <v>2</v>
      </c>
      <c r="F769" s="5" t="s">
        <v>708</v>
      </c>
      <c r="G769" s="3">
        <v>16</v>
      </c>
      <c r="K769" s="1">
        <v>9231</v>
      </c>
      <c r="L769" s="1">
        <v>9000</v>
      </c>
      <c r="M769" s="1">
        <v>6950</v>
      </c>
      <c r="N769" s="1" t="s">
        <v>1032</v>
      </c>
      <c r="O769" s="1">
        <v>100</v>
      </c>
      <c r="P769" s="1" t="s">
        <v>398</v>
      </c>
      <c r="Q769" s="1">
        <v>10</v>
      </c>
      <c r="R769" s="20">
        <v>6031</v>
      </c>
      <c r="S769" s="16">
        <v>0.01</v>
      </c>
      <c r="U769" s="1" t="s">
        <v>1336</v>
      </c>
      <c r="V769" s="17" t="s">
        <v>1337</v>
      </c>
      <c r="X769" s="17" t="s">
        <v>1338</v>
      </c>
      <c r="Y769" s="5" t="s">
        <v>1005</v>
      </c>
      <c r="Z769" s="21" t="s">
        <v>1315</v>
      </c>
      <c r="AA769" s="22" t="s">
        <v>1083</v>
      </c>
      <c r="AC769" s="22"/>
    </row>
    <row r="770" spans="1:29" s="1" customFormat="1" ht="49.5" x14ac:dyDescent="0.25">
      <c r="A770" s="13">
        <f t="shared" si="10"/>
        <v>924201</v>
      </c>
      <c r="B770" s="14">
        <v>9242</v>
      </c>
      <c r="C770" s="1" t="s">
        <v>764</v>
      </c>
      <c r="D770" s="12" t="s">
        <v>1339</v>
      </c>
      <c r="E770" s="3">
        <v>1</v>
      </c>
      <c r="F770" s="5" t="s">
        <v>708</v>
      </c>
      <c r="G770" s="3">
        <v>15</v>
      </c>
      <c r="K770" s="1">
        <v>9231</v>
      </c>
      <c r="L770" s="1">
        <v>9000</v>
      </c>
      <c r="M770" s="1">
        <v>6950</v>
      </c>
      <c r="N770" s="1" t="s">
        <v>1032</v>
      </c>
      <c r="O770" s="1">
        <v>100</v>
      </c>
      <c r="P770" s="1" t="s">
        <v>398</v>
      </c>
      <c r="Q770" s="1">
        <v>10</v>
      </c>
      <c r="R770" s="20">
        <v>20261</v>
      </c>
      <c r="S770" s="16">
        <v>5.0000000000000001E-3</v>
      </c>
      <c r="U770" s="1" t="s">
        <v>1339</v>
      </c>
      <c r="V770" s="17" t="s">
        <v>1340</v>
      </c>
      <c r="X770" s="17" t="s">
        <v>1341</v>
      </c>
      <c r="Y770" s="5" t="s">
        <v>1005</v>
      </c>
      <c r="Z770" s="21" t="s">
        <v>1311</v>
      </c>
      <c r="AA770" s="22" t="s">
        <v>1087</v>
      </c>
      <c r="AC770" s="22"/>
    </row>
    <row r="771" spans="1:29" s="1" customFormat="1" ht="49.5" x14ac:dyDescent="0.25">
      <c r="A771" s="13">
        <f t="shared" si="10"/>
        <v>924202</v>
      </c>
      <c r="B771" s="14">
        <v>9242</v>
      </c>
      <c r="C771" s="1" t="s">
        <v>764</v>
      </c>
      <c r="D771" s="12" t="s">
        <v>1339</v>
      </c>
      <c r="E771" s="3">
        <v>2</v>
      </c>
      <c r="F771" s="5" t="s">
        <v>708</v>
      </c>
      <c r="G771" s="3">
        <v>16</v>
      </c>
      <c r="K771" s="1">
        <v>9231</v>
      </c>
      <c r="L771" s="1">
        <v>9000</v>
      </c>
      <c r="M771" s="1">
        <v>6950</v>
      </c>
      <c r="N771" s="1" t="s">
        <v>1032</v>
      </c>
      <c r="O771" s="1">
        <v>100</v>
      </c>
      <c r="P771" s="1" t="s">
        <v>398</v>
      </c>
      <c r="Q771" s="1">
        <v>10</v>
      </c>
      <c r="R771" s="20">
        <v>20261</v>
      </c>
      <c r="S771" s="16">
        <v>5.0000000000000001E-3</v>
      </c>
      <c r="U771" s="1" t="s">
        <v>1339</v>
      </c>
      <c r="V771" s="17" t="s">
        <v>1340</v>
      </c>
      <c r="X771" s="17" t="s">
        <v>1341</v>
      </c>
      <c r="Y771" s="5" t="s">
        <v>1005</v>
      </c>
      <c r="Z771" s="21" t="s">
        <v>1311</v>
      </c>
      <c r="AA771" s="22" t="s">
        <v>1087</v>
      </c>
      <c r="AC771" s="22"/>
    </row>
    <row r="772" spans="1:29" s="1" customFormat="1" ht="49.5" x14ac:dyDescent="0.25">
      <c r="A772" s="13">
        <f t="shared" si="10"/>
        <v>924301</v>
      </c>
      <c r="B772" s="14">
        <v>9243</v>
      </c>
      <c r="C772" s="1" t="s">
        <v>764</v>
      </c>
      <c r="D772" s="12" t="s">
        <v>1342</v>
      </c>
      <c r="E772" s="3">
        <v>1</v>
      </c>
      <c r="F772" s="5" t="s">
        <v>708</v>
      </c>
      <c r="G772" s="3">
        <v>18</v>
      </c>
      <c r="K772" s="1">
        <v>9232</v>
      </c>
      <c r="L772" s="1">
        <v>9000</v>
      </c>
      <c r="M772" s="1">
        <v>7250</v>
      </c>
      <c r="N772" s="1" t="s">
        <v>1033</v>
      </c>
      <c r="O772" s="1">
        <v>100</v>
      </c>
      <c r="P772" s="1" t="s">
        <v>398</v>
      </c>
      <c r="Q772" s="1">
        <v>10</v>
      </c>
      <c r="R772" s="20">
        <v>20461</v>
      </c>
      <c r="S772" s="16">
        <v>5.0000000000000001E-3</v>
      </c>
      <c r="U772" s="1" t="s">
        <v>1342</v>
      </c>
      <c r="V772" s="17" t="s">
        <v>1343</v>
      </c>
      <c r="X772" s="17" t="s">
        <v>1344</v>
      </c>
      <c r="Y772" s="5" t="s">
        <v>1005</v>
      </c>
      <c r="Z772" s="21" t="s">
        <v>1311</v>
      </c>
      <c r="AA772" s="22" t="s">
        <v>1091</v>
      </c>
      <c r="AC772" s="22"/>
    </row>
    <row r="773" spans="1:29" s="1" customFormat="1" ht="49.5" x14ac:dyDescent="0.25">
      <c r="A773" s="13">
        <f t="shared" si="10"/>
        <v>924401</v>
      </c>
      <c r="B773" s="14">
        <v>9244</v>
      </c>
      <c r="C773" s="1" t="s">
        <v>764</v>
      </c>
      <c r="D773" s="12" t="s">
        <v>1316</v>
      </c>
      <c r="E773" s="3">
        <v>1</v>
      </c>
      <c r="F773" s="5" t="s">
        <v>708</v>
      </c>
      <c r="G773" s="3">
        <v>20</v>
      </c>
      <c r="K773" s="1" t="s">
        <v>1519</v>
      </c>
      <c r="L773" s="1">
        <v>10800</v>
      </c>
      <c r="M773" s="1">
        <v>7550</v>
      </c>
      <c r="N773" s="1" t="s">
        <v>397</v>
      </c>
      <c r="O773" s="1">
        <v>100</v>
      </c>
      <c r="P773" s="1" t="s">
        <v>398</v>
      </c>
      <c r="Q773" s="1">
        <v>10</v>
      </c>
      <c r="R773" s="1">
        <v>20061</v>
      </c>
      <c r="S773" s="16">
        <v>5.0000000000000001E-3</v>
      </c>
      <c r="U773" s="1" t="s">
        <v>1316</v>
      </c>
      <c r="V773" s="17" t="s">
        <v>1317</v>
      </c>
      <c r="X773" s="17" t="s">
        <v>1318</v>
      </c>
      <c r="Y773" s="5" t="s">
        <v>1005</v>
      </c>
      <c r="Z773" s="21" t="s">
        <v>1311</v>
      </c>
      <c r="AA773" s="22" t="s">
        <v>1093</v>
      </c>
      <c r="AC773" s="22"/>
    </row>
    <row r="774" spans="1:29" s="1" customFormat="1" ht="49.5" x14ac:dyDescent="0.25">
      <c r="A774" s="13">
        <f t="shared" si="10"/>
        <v>924501</v>
      </c>
      <c r="B774" s="14">
        <v>9245</v>
      </c>
      <c r="C774" s="1" t="s">
        <v>764</v>
      </c>
      <c r="D774" s="12" t="s">
        <v>1342</v>
      </c>
      <c r="E774" s="3">
        <v>1</v>
      </c>
      <c r="F774" s="5" t="s">
        <v>708</v>
      </c>
      <c r="G774" s="3">
        <v>18</v>
      </c>
      <c r="K774" s="1">
        <v>9234</v>
      </c>
      <c r="L774" s="1">
        <v>9000</v>
      </c>
      <c r="M774" s="1">
        <v>7250</v>
      </c>
      <c r="N774" s="1" t="s">
        <v>1033</v>
      </c>
      <c r="O774" s="1">
        <v>100</v>
      </c>
      <c r="P774" s="1" t="s">
        <v>398</v>
      </c>
      <c r="Q774" s="1">
        <v>10</v>
      </c>
      <c r="R774" s="20">
        <v>20461</v>
      </c>
      <c r="S774" s="16">
        <v>5.0000000000000001E-3</v>
      </c>
      <c r="U774" s="1" t="s">
        <v>1342</v>
      </c>
      <c r="V774" s="17" t="s">
        <v>1343</v>
      </c>
      <c r="X774" s="17" t="s">
        <v>1344</v>
      </c>
      <c r="Y774" s="5" t="s">
        <v>1005</v>
      </c>
      <c r="Z774" s="21" t="s">
        <v>1311</v>
      </c>
      <c r="AA774" s="22" t="s">
        <v>1094</v>
      </c>
    </row>
    <row r="775" spans="1:29" s="1" customFormat="1" ht="49.5" x14ac:dyDescent="0.25">
      <c r="A775" s="13">
        <f t="shared" si="10"/>
        <v>924601</v>
      </c>
      <c r="B775" s="14">
        <v>9246</v>
      </c>
      <c r="C775" s="1" t="s">
        <v>764</v>
      </c>
      <c r="D775" s="12" t="s">
        <v>1339</v>
      </c>
      <c r="E775" s="3">
        <v>1</v>
      </c>
      <c r="F775" s="5" t="s">
        <v>708</v>
      </c>
      <c r="G775" s="3">
        <v>15</v>
      </c>
      <c r="K775" s="1">
        <v>9235</v>
      </c>
      <c r="L775" s="1">
        <v>9000</v>
      </c>
      <c r="M775" s="1">
        <v>6950</v>
      </c>
      <c r="N775" s="1" t="s">
        <v>1032</v>
      </c>
      <c r="O775" s="1">
        <v>100</v>
      </c>
      <c r="P775" s="1" t="s">
        <v>398</v>
      </c>
      <c r="Q775" s="1">
        <v>10</v>
      </c>
      <c r="R775" s="20">
        <v>20261</v>
      </c>
      <c r="S775" s="16">
        <v>5.0000000000000001E-3</v>
      </c>
      <c r="U775" s="1" t="s">
        <v>1339</v>
      </c>
      <c r="V775" s="17" t="s">
        <v>1340</v>
      </c>
      <c r="X775" s="17" t="s">
        <v>1341</v>
      </c>
      <c r="Y775" s="5" t="s">
        <v>1005</v>
      </c>
      <c r="Z775" s="21" t="s">
        <v>1311</v>
      </c>
      <c r="AA775" s="22" t="s">
        <v>1095</v>
      </c>
    </row>
    <row r="776" spans="1:29" s="1" customFormat="1" ht="49.5" x14ac:dyDescent="0.25">
      <c r="A776" s="13">
        <f t="shared" si="10"/>
        <v>924602</v>
      </c>
      <c r="B776" s="14">
        <v>9246</v>
      </c>
      <c r="C776" s="1" t="s">
        <v>764</v>
      </c>
      <c r="D776" s="12" t="s">
        <v>1339</v>
      </c>
      <c r="E776" s="3">
        <v>2</v>
      </c>
      <c r="F776" s="5" t="s">
        <v>708</v>
      </c>
      <c r="G776" s="3">
        <v>16</v>
      </c>
      <c r="K776" s="1">
        <v>9235</v>
      </c>
      <c r="L776" s="1">
        <v>9000</v>
      </c>
      <c r="M776" s="1">
        <v>6950</v>
      </c>
      <c r="N776" s="1" t="s">
        <v>1032</v>
      </c>
      <c r="O776" s="1">
        <v>100</v>
      </c>
      <c r="P776" s="1" t="s">
        <v>398</v>
      </c>
      <c r="Q776" s="1">
        <v>10</v>
      </c>
      <c r="R776" s="20">
        <v>20261</v>
      </c>
      <c r="S776" s="2">
        <v>5.0000000000000001E-3</v>
      </c>
      <c r="U776" s="1" t="s">
        <v>1339</v>
      </c>
      <c r="V776" s="17" t="s">
        <v>1340</v>
      </c>
      <c r="X776" s="17" t="s">
        <v>1341</v>
      </c>
      <c r="Y776" s="5" t="s">
        <v>1005</v>
      </c>
      <c r="Z776" s="21" t="s">
        <v>1311</v>
      </c>
      <c r="AA776" s="22" t="s">
        <v>1095</v>
      </c>
    </row>
    <row r="777" spans="1:29" s="1" customFormat="1" ht="49.5" x14ac:dyDescent="0.25">
      <c r="A777" s="13">
        <f t="shared" si="10"/>
        <v>924701</v>
      </c>
      <c r="B777" s="14">
        <v>9247</v>
      </c>
      <c r="C777" s="1" t="s">
        <v>764</v>
      </c>
      <c r="D777" s="12" t="s">
        <v>1336</v>
      </c>
      <c r="E777" s="3">
        <v>1</v>
      </c>
      <c r="F777" s="5" t="s">
        <v>708</v>
      </c>
      <c r="G777" s="3">
        <v>15</v>
      </c>
      <c r="K777" s="1">
        <v>9235</v>
      </c>
      <c r="L777" s="1">
        <v>9000</v>
      </c>
      <c r="M777" s="1">
        <v>6950</v>
      </c>
      <c r="N777" s="1" t="s">
        <v>1032</v>
      </c>
      <c r="O777" s="1">
        <v>100</v>
      </c>
      <c r="P777" s="1" t="s">
        <v>398</v>
      </c>
      <c r="Q777" s="1">
        <v>10</v>
      </c>
      <c r="R777" s="20">
        <v>6031</v>
      </c>
      <c r="S777" s="16">
        <v>0.01</v>
      </c>
      <c r="U777" s="1" t="s">
        <v>1336</v>
      </c>
      <c r="V777" s="17" t="s">
        <v>1337</v>
      </c>
      <c r="X777" s="17" t="s">
        <v>1338</v>
      </c>
      <c r="Y777" s="5" t="s">
        <v>1005</v>
      </c>
      <c r="Z777" s="21" t="s">
        <v>1315</v>
      </c>
      <c r="AA777" s="22" t="s">
        <v>1096</v>
      </c>
    </row>
    <row r="778" spans="1:29" s="1" customFormat="1" ht="49.5" x14ac:dyDescent="0.25">
      <c r="A778" s="13">
        <f t="shared" si="10"/>
        <v>924702</v>
      </c>
      <c r="B778" s="14">
        <v>9247</v>
      </c>
      <c r="C778" s="1" t="s">
        <v>764</v>
      </c>
      <c r="D778" s="12" t="s">
        <v>1336</v>
      </c>
      <c r="E778" s="3">
        <v>2</v>
      </c>
      <c r="F778" s="5" t="s">
        <v>708</v>
      </c>
      <c r="G778" s="3">
        <v>16</v>
      </c>
      <c r="K778" s="1">
        <v>9235</v>
      </c>
      <c r="L778" s="1">
        <v>9000</v>
      </c>
      <c r="M778" s="1">
        <v>6950</v>
      </c>
      <c r="N778" s="1" t="s">
        <v>1032</v>
      </c>
      <c r="O778" s="1">
        <v>100</v>
      </c>
      <c r="P778" s="1" t="s">
        <v>398</v>
      </c>
      <c r="Q778" s="1">
        <v>10</v>
      </c>
      <c r="R778" s="20">
        <v>6031</v>
      </c>
      <c r="S778" s="16">
        <v>0.01</v>
      </c>
      <c r="U778" s="1" t="s">
        <v>1336</v>
      </c>
      <c r="V778" s="17" t="s">
        <v>1337</v>
      </c>
      <c r="X778" s="17" t="s">
        <v>1338</v>
      </c>
      <c r="Y778" s="5" t="s">
        <v>1005</v>
      </c>
      <c r="Z778" s="21" t="s">
        <v>1315</v>
      </c>
      <c r="AA778" s="22" t="s">
        <v>1096</v>
      </c>
    </row>
    <row r="779" spans="1:29" s="1" customFormat="1" ht="49.5" x14ac:dyDescent="0.25">
      <c r="A779" s="13">
        <f t="shared" si="10"/>
        <v>931101</v>
      </c>
      <c r="B779" s="14">
        <v>9311</v>
      </c>
      <c r="C779" s="1" t="s">
        <v>764</v>
      </c>
      <c r="D779" s="12" t="s">
        <v>1346</v>
      </c>
      <c r="E779" s="3">
        <v>1</v>
      </c>
      <c r="F779" s="5" t="s">
        <v>712</v>
      </c>
      <c r="G779" s="3">
        <v>1</v>
      </c>
      <c r="K779" s="1">
        <v>9233</v>
      </c>
      <c r="L779" s="1">
        <v>3600</v>
      </c>
      <c r="M779" s="1">
        <v>6300</v>
      </c>
      <c r="N779" s="1" t="s">
        <v>999</v>
      </c>
      <c r="O779" s="1">
        <v>100</v>
      </c>
      <c r="P779" s="1" t="s">
        <v>398</v>
      </c>
      <c r="Q779" s="1">
        <v>10</v>
      </c>
      <c r="R779" s="1" t="s">
        <v>1347</v>
      </c>
      <c r="S779" s="16" t="s">
        <v>1099</v>
      </c>
      <c r="U779" s="1" t="s">
        <v>1348</v>
      </c>
      <c r="V779" s="17" t="s">
        <v>1349</v>
      </c>
      <c r="X779" s="17" t="s">
        <v>1350</v>
      </c>
      <c r="Y779" s="5" t="s">
        <v>1005</v>
      </c>
      <c r="Z779" s="21" t="s">
        <v>1311</v>
      </c>
      <c r="AA779" s="22" t="s">
        <v>1103</v>
      </c>
    </row>
    <row r="780" spans="1:29" s="1" customFormat="1" ht="49.5" x14ac:dyDescent="0.25">
      <c r="A780" s="13">
        <f t="shared" si="10"/>
        <v>932101</v>
      </c>
      <c r="B780" s="14">
        <v>9321</v>
      </c>
      <c r="C780" s="1" t="s">
        <v>764</v>
      </c>
      <c r="D780" s="12" t="s">
        <v>1351</v>
      </c>
      <c r="E780" s="3">
        <v>1</v>
      </c>
      <c r="F780" s="5" t="s">
        <v>712</v>
      </c>
      <c r="G780" s="3">
        <v>5</v>
      </c>
      <c r="K780" s="1">
        <v>9311</v>
      </c>
      <c r="L780" s="1">
        <v>5400</v>
      </c>
      <c r="M780" s="1">
        <v>6650</v>
      </c>
      <c r="N780" s="1" t="s">
        <v>1008</v>
      </c>
      <c r="O780" s="1">
        <v>100</v>
      </c>
      <c r="P780" s="1" t="s">
        <v>398</v>
      </c>
      <c r="Q780" s="1">
        <v>10</v>
      </c>
      <c r="R780" s="1">
        <v>20005</v>
      </c>
      <c r="S780" s="16">
        <v>1.4999999999999999E-2</v>
      </c>
      <c r="U780" s="1" t="s">
        <v>1351</v>
      </c>
      <c r="V780" s="17" t="s">
        <v>1352</v>
      </c>
      <c r="X780" s="17" t="s">
        <v>1353</v>
      </c>
      <c r="Y780" s="5" t="s">
        <v>1005</v>
      </c>
      <c r="Z780" s="21" t="s">
        <v>1315</v>
      </c>
      <c r="AA780" s="22" t="s">
        <v>1107</v>
      </c>
    </row>
    <row r="781" spans="1:29" s="1" customFormat="1" ht="49.5" x14ac:dyDescent="0.25">
      <c r="A781" s="13">
        <f t="shared" si="10"/>
        <v>932201</v>
      </c>
      <c r="B781" s="14">
        <v>9322</v>
      </c>
      <c r="C781" s="1" t="s">
        <v>764</v>
      </c>
      <c r="D781" s="12" t="s">
        <v>1368</v>
      </c>
      <c r="E781" s="3">
        <v>1</v>
      </c>
      <c r="F781" s="5" t="s">
        <v>712</v>
      </c>
      <c r="G781" s="3">
        <v>5</v>
      </c>
      <c r="K781" s="1">
        <v>9311</v>
      </c>
      <c r="L781" s="1">
        <v>5400</v>
      </c>
      <c r="M781" s="1">
        <v>6650</v>
      </c>
      <c r="N781" s="1" t="s">
        <v>1008</v>
      </c>
      <c r="O781" s="1">
        <v>100</v>
      </c>
      <c r="P781" s="1" t="s">
        <v>398</v>
      </c>
      <c r="Q781" s="1">
        <v>10</v>
      </c>
      <c r="R781" s="1" t="s">
        <v>1369</v>
      </c>
      <c r="S781" s="16" t="s">
        <v>222</v>
      </c>
      <c r="U781" s="1" t="s">
        <v>1370</v>
      </c>
      <c r="V781" s="17" t="s">
        <v>1371</v>
      </c>
      <c r="X781" s="17" t="s">
        <v>1372</v>
      </c>
      <c r="Y781" s="5" t="s">
        <v>1005</v>
      </c>
      <c r="Z781" s="21" t="s">
        <v>1113</v>
      </c>
      <c r="AA781" s="22" t="s">
        <v>1114</v>
      </c>
    </row>
    <row r="782" spans="1:29" s="1" customFormat="1" ht="49.5" x14ac:dyDescent="0.25">
      <c r="A782" s="13">
        <f t="shared" si="10"/>
        <v>932301</v>
      </c>
      <c r="B782" s="14">
        <v>9323</v>
      </c>
      <c r="C782" s="1" t="s">
        <v>764</v>
      </c>
      <c r="D782" s="12" t="s">
        <v>1354</v>
      </c>
      <c r="E782" s="3">
        <v>1</v>
      </c>
      <c r="F782" s="5" t="s">
        <v>712</v>
      </c>
      <c r="G782" s="3">
        <v>5</v>
      </c>
      <c r="K782" s="1">
        <v>9311</v>
      </c>
      <c r="L782" s="1">
        <v>5400</v>
      </c>
      <c r="M782" s="1">
        <v>6650</v>
      </c>
      <c r="N782" s="1" t="s">
        <v>1008</v>
      </c>
      <c r="O782" s="1">
        <v>100</v>
      </c>
      <c r="P782" s="1" t="s">
        <v>398</v>
      </c>
      <c r="Q782" s="1">
        <v>10</v>
      </c>
      <c r="R782" s="1">
        <v>20035</v>
      </c>
      <c r="S782" s="16">
        <v>1.4999999999999999E-2</v>
      </c>
      <c r="U782" s="1" t="s">
        <v>1354</v>
      </c>
      <c r="V782" s="17" t="s">
        <v>1355</v>
      </c>
      <c r="X782" s="17" t="s">
        <v>1356</v>
      </c>
      <c r="Y782" s="5" t="s">
        <v>1005</v>
      </c>
      <c r="Z782" s="21" t="s">
        <v>1322</v>
      </c>
      <c r="AA782" s="22" t="s">
        <v>1118</v>
      </c>
    </row>
    <row r="783" spans="1:29" s="1" customFormat="1" ht="49.5" x14ac:dyDescent="0.25">
      <c r="A783" s="13">
        <f t="shared" si="10"/>
        <v>933101</v>
      </c>
      <c r="B783" s="14">
        <v>9331</v>
      </c>
      <c r="C783" s="1" t="s">
        <v>764</v>
      </c>
      <c r="D783" s="12" t="s">
        <v>1351</v>
      </c>
      <c r="E783" s="3">
        <v>1</v>
      </c>
      <c r="F783" s="5" t="s">
        <v>712</v>
      </c>
      <c r="G783" s="3">
        <v>10</v>
      </c>
      <c r="K783" s="1">
        <v>9321</v>
      </c>
      <c r="L783" s="1">
        <v>7200</v>
      </c>
      <c r="M783" s="1">
        <v>6950</v>
      </c>
      <c r="N783" s="1" t="s">
        <v>1015</v>
      </c>
      <c r="O783" s="1">
        <v>100</v>
      </c>
      <c r="P783" s="1" t="s">
        <v>398</v>
      </c>
      <c r="Q783" s="1">
        <v>10</v>
      </c>
      <c r="R783" s="1">
        <v>20005</v>
      </c>
      <c r="S783" s="16">
        <v>1.4999999999999999E-2</v>
      </c>
      <c r="U783" s="1" t="s">
        <v>1351</v>
      </c>
      <c r="V783" s="17" t="s">
        <v>1352</v>
      </c>
      <c r="X783" s="17" t="s">
        <v>1353</v>
      </c>
      <c r="Y783" s="5" t="s">
        <v>1005</v>
      </c>
      <c r="Z783" s="21" t="s">
        <v>1315</v>
      </c>
      <c r="AA783" s="22" t="s">
        <v>1119</v>
      </c>
    </row>
    <row r="784" spans="1:29" s="1" customFormat="1" ht="49.5" x14ac:dyDescent="0.25">
      <c r="A784" s="13">
        <f t="shared" si="10"/>
        <v>933102</v>
      </c>
      <c r="B784" s="14">
        <v>9331</v>
      </c>
      <c r="C784" s="1" t="s">
        <v>764</v>
      </c>
      <c r="D784" s="12" t="s">
        <v>1351</v>
      </c>
      <c r="E784" s="3">
        <v>2</v>
      </c>
      <c r="F784" s="5" t="s">
        <v>712</v>
      </c>
      <c r="G784" s="3">
        <v>14</v>
      </c>
      <c r="K784" s="1">
        <v>9321</v>
      </c>
      <c r="L784" s="1">
        <v>7200</v>
      </c>
      <c r="M784" s="1">
        <v>6950</v>
      </c>
      <c r="N784" s="1" t="s">
        <v>1015</v>
      </c>
      <c r="O784" s="1">
        <v>100</v>
      </c>
      <c r="P784" s="1" t="s">
        <v>398</v>
      </c>
      <c r="Q784" s="1">
        <v>10</v>
      </c>
      <c r="R784" s="1">
        <v>20005</v>
      </c>
      <c r="S784" s="16">
        <v>1.4999999999999999E-2</v>
      </c>
      <c r="U784" s="1" t="s">
        <v>1351</v>
      </c>
      <c r="V784" s="17" t="s">
        <v>1352</v>
      </c>
      <c r="X784" s="17" t="s">
        <v>1353</v>
      </c>
      <c r="Y784" s="5" t="s">
        <v>1005</v>
      </c>
      <c r="Z784" s="21" t="s">
        <v>1315</v>
      </c>
      <c r="AA784" s="22" t="s">
        <v>1119</v>
      </c>
    </row>
    <row r="785" spans="1:27" s="1" customFormat="1" ht="49.5" x14ac:dyDescent="0.25">
      <c r="A785" s="13">
        <f t="shared" si="10"/>
        <v>933201</v>
      </c>
      <c r="B785" s="14">
        <v>9332</v>
      </c>
      <c r="C785" s="1" t="s">
        <v>764</v>
      </c>
      <c r="D785" s="12" t="s">
        <v>1520</v>
      </c>
      <c r="E785" s="3">
        <v>1</v>
      </c>
      <c r="F785" s="5" t="s">
        <v>712</v>
      </c>
      <c r="G785" s="3">
        <v>10</v>
      </c>
      <c r="K785" s="1" t="s">
        <v>1521</v>
      </c>
      <c r="L785" s="1">
        <v>7200</v>
      </c>
      <c r="M785" s="1">
        <v>6950</v>
      </c>
      <c r="N785" s="1" t="s">
        <v>1015</v>
      </c>
      <c r="O785" s="1">
        <v>100</v>
      </c>
      <c r="P785" s="1" t="s">
        <v>398</v>
      </c>
      <c r="Q785" s="1">
        <v>10</v>
      </c>
      <c r="R785" s="1">
        <v>30242</v>
      </c>
      <c r="S785" s="16">
        <v>1</v>
      </c>
      <c r="U785" s="1" t="s">
        <v>1370</v>
      </c>
      <c r="V785" s="17" t="s">
        <v>1375</v>
      </c>
      <c r="X785" s="17" t="s">
        <v>1376</v>
      </c>
      <c r="Y785" s="5" t="s">
        <v>1005</v>
      </c>
      <c r="Z785" s="21" t="s">
        <v>1124</v>
      </c>
      <c r="AA785" s="22" t="s">
        <v>1125</v>
      </c>
    </row>
    <row r="786" spans="1:27" s="1" customFormat="1" ht="49.5" x14ac:dyDescent="0.25">
      <c r="A786" s="13">
        <f t="shared" si="10"/>
        <v>933202</v>
      </c>
      <c r="B786" s="14">
        <v>9332</v>
      </c>
      <c r="C786" s="1" t="s">
        <v>764</v>
      </c>
      <c r="D786" s="12" t="s">
        <v>1520</v>
      </c>
      <c r="E786" s="3">
        <v>2</v>
      </c>
      <c r="F786" s="5" t="s">
        <v>712</v>
      </c>
      <c r="G786" s="3">
        <v>14</v>
      </c>
      <c r="K786" s="1" t="s">
        <v>1521</v>
      </c>
      <c r="L786" s="1">
        <v>7200</v>
      </c>
      <c r="M786" s="1">
        <v>6950</v>
      </c>
      <c r="N786" s="1" t="s">
        <v>1015</v>
      </c>
      <c r="O786" s="1">
        <v>100</v>
      </c>
      <c r="P786" s="1" t="s">
        <v>398</v>
      </c>
      <c r="Q786" s="1">
        <v>10</v>
      </c>
      <c r="R786" s="1">
        <v>30242</v>
      </c>
      <c r="S786" s="16">
        <v>1</v>
      </c>
      <c r="U786" s="1" t="s">
        <v>1370</v>
      </c>
      <c r="V786" s="17" t="s">
        <v>1375</v>
      </c>
      <c r="X786" s="17" t="s">
        <v>1376</v>
      </c>
      <c r="Y786" s="5" t="s">
        <v>1005</v>
      </c>
      <c r="Z786" s="21" t="s">
        <v>1124</v>
      </c>
      <c r="AA786" s="22" t="s">
        <v>1125</v>
      </c>
    </row>
    <row r="787" spans="1:27" s="1" customFormat="1" ht="49.5" x14ac:dyDescent="0.25">
      <c r="A787" s="13">
        <f t="shared" si="10"/>
        <v>933301</v>
      </c>
      <c r="B787" s="14">
        <v>9333</v>
      </c>
      <c r="C787" s="1" t="s">
        <v>764</v>
      </c>
      <c r="D787" s="12" t="s">
        <v>1377</v>
      </c>
      <c r="E787" s="3">
        <v>1</v>
      </c>
      <c r="F787" s="5" t="s">
        <v>712</v>
      </c>
      <c r="G787" s="3">
        <v>10</v>
      </c>
      <c r="K787" s="1">
        <v>9322</v>
      </c>
      <c r="L787" s="1">
        <v>7200</v>
      </c>
      <c r="M787" s="1">
        <v>6950</v>
      </c>
      <c r="N787" s="1" t="s">
        <v>1015</v>
      </c>
      <c r="O787" s="1">
        <v>100</v>
      </c>
      <c r="P787" s="1" t="s">
        <v>398</v>
      </c>
      <c r="Q787" s="1">
        <v>10</v>
      </c>
      <c r="R787" s="1">
        <v>30222</v>
      </c>
      <c r="S787" s="16">
        <v>1</v>
      </c>
      <c r="U787" s="1" t="s">
        <v>1370</v>
      </c>
      <c r="V787" s="17" t="s">
        <v>1378</v>
      </c>
      <c r="X787" s="17" t="s">
        <v>1379</v>
      </c>
      <c r="Y787" s="5" t="s">
        <v>1005</v>
      </c>
      <c r="Z787" s="21" t="s">
        <v>1129</v>
      </c>
      <c r="AA787" s="22" t="s">
        <v>1130</v>
      </c>
    </row>
    <row r="788" spans="1:27" s="1" customFormat="1" ht="49.5" x14ac:dyDescent="0.25">
      <c r="A788" s="13">
        <f t="shared" si="10"/>
        <v>933302</v>
      </c>
      <c r="B788" s="14">
        <v>9333</v>
      </c>
      <c r="C788" s="1" t="s">
        <v>764</v>
      </c>
      <c r="D788" s="12" t="s">
        <v>1377</v>
      </c>
      <c r="E788" s="3">
        <v>2</v>
      </c>
      <c r="F788" s="5" t="s">
        <v>712</v>
      </c>
      <c r="G788" s="3">
        <v>14</v>
      </c>
      <c r="K788" s="1">
        <v>9322</v>
      </c>
      <c r="L788" s="1">
        <v>7200</v>
      </c>
      <c r="M788" s="1">
        <v>6950</v>
      </c>
      <c r="N788" s="1" t="s">
        <v>1015</v>
      </c>
      <c r="O788" s="1">
        <v>100</v>
      </c>
      <c r="P788" s="1" t="s">
        <v>398</v>
      </c>
      <c r="Q788" s="1">
        <v>10</v>
      </c>
      <c r="R788" s="1">
        <v>30222</v>
      </c>
      <c r="S788" s="16">
        <v>1</v>
      </c>
      <c r="U788" s="1" t="s">
        <v>1370</v>
      </c>
      <c r="V788" s="17" t="s">
        <v>1378</v>
      </c>
      <c r="X788" s="17" t="s">
        <v>1379</v>
      </c>
      <c r="Y788" s="5" t="s">
        <v>1005</v>
      </c>
      <c r="Z788" s="21" t="s">
        <v>1129</v>
      </c>
      <c r="AA788" s="22" t="s">
        <v>1130</v>
      </c>
    </row>
    <row r="789" spans="1:27" s="1" customFormat="1" ht="49.5" x14ac:dyDescent="0.25">
      <c r="A789" s="13">
        <f t="shared" si="10"/>
        <v>933401</v>
      </c>
      <c r="B789" s="14">
        <v>9334</v>
      </c>
      <c r="C789" s="1" t="s">
        <v>764</v>
      </c>
      <c r="D789" s="12" t="s">
        <v>1380</v>
      </c>
      <c r="E789" s="3">
        <v>1</v>
      </c>
      <c r="F789" s="5" t="s">
        <v>712</v>
      </c>
      <c r="G789" s="3">
        <v>10</v>
      </c>
      <c r="K789" s="1" t="s">
        <v>1522</v>
      </c>
      <c r="L789" s="1">
        <v>7200</v>
      </c>
      <c r="M789" s="1">
        <v>6950</v>
      </c>
      <c r="N789" s="1" t="s">
        <v>1015</v>
      </c>
      <c r="O789" s="1">
        <v>100</v>
      </c>
      <c r="P789" s="1" t="s">
        <v>398</v>
      </c>
      <c r="Q789" s="1">
        <v>10</v>
      </c>
      <c r="R789" s="1">
        <v>30232</v>
      </c>
      <c r="S789" s="16">
        <v>1</v>
      </c>
      <c r="U789" s="1" t="s">
        <v>1370</v>
      </c>
      <c r="V789" s="17" t="s">
        <v>1382</v>
      </c>
      <c r="X789" s="17" t="s">
        <v>1383</v>
      </c>
      <c r="Y789" s="5" t="s">
        <v>1005</v>
      </c>
      <c r="Z789" s="21" t="s">
        <v>1135</v>
      </c>
      <c r="AA789" s="22" t="s">
        <v>1136</v>
      </c>
    </row>
    <row r="790" spans="1:27" s="1" customFormat="1" ht="49.5" x14ac:dyDescent="0.25">
      <c r="A790" s="13">
        <f t="shared" si="10"/>
        <v>933402</v>
      </c>
      <c r="B790" s="14">
        <v>9334</v>
      </c>
      <c r="C790" s="1" t="s">
        <v>764</v>
      </c>
      <c r="D790" s="12" t="s">
        <v>1380</v>
      </c>
      <c r="E790" s="3">
        <v>2</v>
      </c>
      <c r="F790" s="5" t="s">
        <v>712</v>
      </c>
      <c r="G790" s="3">
        <v>14</v>
      </c>
      <c r="K790" s="1" t="s">
        <v>1522</v>
      </c>
      <c r="L790" s="1">
        <v>7200</v>
      </c>
      <c r="M790" s="1">
        <v>6950</v>
      </c>
      <c r="N790" s="1" t="s">
        <v>1015</v>
      </c>
      <c r="O790" s="1">
        <v>100</v>
      </c>
      <c r="P790" s="1" t="s">
        <v>398</v>
      </c>
      <c r="Q790" s="1">
        <v>10</v>
      </c>
      <c r="R790" s="1">
        <v>30232</v>
      </c>
      <c r="S790" s="16">
        <v>1</v>
      </c>
      <c r="U790" s="1" t="s">
        <v>1370</v>
      </c>
      <c r="V790" s="17" t="s">
        <v>1382</v>
      </c>
      <c r="X790" s="17" t="s">
        <v>1383</v>
      </c>
      <c r="Y790" s="5" t="s">
        <v>1005</v>
      </c>
      <c r="Z790" s="21" t="s">
        <v>1135</v>
      </c>
      <c r="AA790" s="22" t="s">
        <v>1136</v>
      </c>
    </row>
    <row r="791" spans="1:27" s="1" customFormat="1" ht="49.5" x14ac:dyDescent="0.25">
      <c r="A791" s="13">
        <f t="shared" si="10"/>
        <v>933501</v>
      </c>
      <c r="B791" s="14">
        <v>9335</v>
      </c>
      <c r="C791" s="1" t="s">
        <v>764</v>
      </c>
      <c r="D791" s="12" t="s">
        <v>1354</v>
      </c>
      <c r="E791" s="3">
        <v>1</v>
      </c>
      <c r="F791" s="5" t="s">
        <v>712</v>
      </c>
      <c r="G791" s="3">
        <v>10</v>
      </c>
      <c r="K791" s="1">
        <v>9323</v>
      </c>
      <c r="L791" s="1">
        <v>7200</v>
      </c>
      <c r="M791" s="1">
        <v>6950</v>
      </c>
      <c r="N791" s="1" t="s">
        <v>1015</v>
      </c>
      <c r="O791" s="1">
        <v>100</v>
      </c>
      <c r="P791" s="1" t="s">
        <v>398</v>
      </c>
      <c r="Q791" s="1">
        <v>10</v>
      </c>
      <c r="R791" s="1">
        <v>20035</v>
      </c>
      <c r="S791" s="16">
        <v>1.4999999999999999E-2</v>
      </c>
      <c r="U791" s="1" t="s">
        <v>1354</v>
      </c>
      <c r="V791" s="17" t="s">
        <v>1355</v>
      </c>
      <c r="X791" s="17" t="s">
        <v>1356</v>
      </c>
      <c r="Y791" s="5" t="s">
        <v>1005</v>
      </c>
      <c r="Z791" s="21" t="s">
        <v>1322</v>
      </c>
      <c r="AA791" s="22" t="s">
        <v>1137</v>
      </c>
    </row>
    <row r="792" spans="1:27" s="1" customFormat="1" ht="49.5" x14ac:dyDescent="0.25">
      <c r="A792" s="13">
        <f t="shared" si="10"/>
        <v>933502</v>
      </c>
      <c r="B792" s="14">
        <v>9335</v>
      </c>
      <c r="C792" s="1" t="s">
        <v>764</v>
      </c>
      <c r="D792" s="12" t="s">
        <v>1354</v>
      </c>
      <c r="E792" s="3">
        <v>2</v>
      </c>
      <c r="F792" s="5" t="s">
        <v>712</v>
      </c>
      <c r="G792" s="3">
        <v>14</v>
      </c>
      <c r="K792" s="1">
        <v>9323</v>
      </c>
      <c r="L792" s="1">
        <v>7200</v>
      </c>
      <c r="M792" s="1">
        <v>6950</v>
      </c>
      <c r="N792" s="1" t="s">
        <v>1015</v>
      </c>
      <c r="O792" s="1">
        <v>100</v>
      </c>
      <c r="P792" s="1" t="s">
        <v>398</v>
      </c>
      <c r="Q792" s="1">
        <v>10</v>
      </c>
      <c r="R792" s="1">
        <v>20035</v>
      </c>
      <c r="S792" s="16">
        <v>1.4999999999999999E-2</v>
      </c>
      <c r="U792" s="1" t="s">
        <v>1354</v>
      </c>
      <c r="V792" s="17" t="s">
        <v>1355</v>
      </c>
      <c r="X792" s="17" t="s">
        <v>1356</v>
      </c>
      <c r="Y792" s="5" t="s">
        <v>1005</v>
      </c>
      <c r="Z792" s="21" t="s">
        <v>1322</v>
      </c>
      <c r="AA792" s="22" t="s">
        <v>1137</v>
      </c>
    </row>
    <row r="793" spans="1:27" s="1" customFormat="1" ht="49.5" x14ac:dyDescent="0.25">
      <c r="A793" s="13">
        <f t="shared" si="10"/>
        <v>934101</v>
      </c>
      <c r="B793" s="14">
        <v>9341</v>
      </c>
      <c r="C793" s="1" t="s">
        <v>764</v>
      </c>
      <c r="D793" s="12" t="s">
        <v>1351</v>
      </c>
      <c r="E793" s="3">
        <v>1</v>
      </c>
      <c r="F793" s="5" t="s">
        <v>712</v>
      </c>
      <c r="G793" s="3">
        <v>15</v>
      </c>
      <c r="K793" s="1">
        <v>9331</v>
      </c>
      <c r="L793" s="1">
        <v>9000</v>
      </c>
      <c r="M793" s="1">
        <v>7250</v>
      </c>
      <c r="N793" s="1" t="s">
        <v>1032</v>
      </c>
      <c r="O793" s="1">
        <v>100</v>
      </c>
      <c r="P793" s="1" t="s">
        <v>398</v>
      </c>
      <c r="Q793" s="1">
        <v>10</v>
      </c>
      <c r="R793" s="1">
        <v>20005</v>
      </c>
      <c r="S793" s="16">
        <v>1.4999999999999999E-2</v>
      </c>
      <c r="U793" s="1" t="s">
        <v>1351</v>
      </c>
      <c r="V793" s="17" t="s">
        <v>1352</v>
      </c>
      <c r="X793" s="17" t="s">
        <v>1353</v>
      </c>
      <c r="Y793" s="5" t="s">
        <v>1005</v>
      </c>
      <c r="Z793" s="21" t="s">
        <v>1315</v>
      </c>
      <c r="AA793" s="22" t="s">
        <v>1138</v>
      </c>
    </row>
    <row r="794" spans="1:27" s="1" customFormat="1" ht="49.5" x14ac:dyDescent="0.25">
      <c r="A794" s="13">
        <f t="shared" si="10"/>
        <v>934102</v>
      </c>
      <c r="B794" s="14">
        <v>9341</v>
      </c>
      <c r="C794" s="1" t="s">
        <v>764</v>
      </c>
      <c r="D794" s="12" t="s">
        <v>1351</v>
      </c>
      <c r="E794" s="3">
        <v>2</v>
      </c>
      <c r="F794" s="5" t="s">
        <v>712</v>
      </c>
      <c r="G794" s="3">
        <v>17</v>
      </c>
      <c r="K794" s="1">
        <v>9331</v>
      </c>
      <c r="L794" s="1">
        <v>9000</v>
      </c>
      <c r="M794" s="1">
        <v>7250</v>
      </c>
      <c r="N794" s="1" t="s">
        <v>1032</v>
      </c>
      <c r="O794" s="1">
        <v>100</v>
      </c>
      <c r="P794" s="1" t="s">
        <v>398</v>
      </c>
      <c r="Q794" s="1">
        <v>10</v>
      </c>
      <c r="R794" s="1">
        <v>20005</v>
      </c>
      <c r="S794" s="16">
        <v>1.4999999999999999E-2</v>
      </c>
      <c r="U794" s="1" t="s">
        <v>1351</v>
      </c>
      <c r="V794" s="17" t="s">
        <v>1352</v>
      </c>
      <c r="X794" s="17" t="s">
        <v>1353</v>
      </c>
      <c r="Y794" s="5" t="s">
        <v>1005</v>
      </c>
      <c r="Z794" s="21" t="s">
        <v>1315</v>
      </c>
      <c r="AA794" s="22" t="s">
        <v>1138</v>
      </c>
    </row>
    <row r="795" spans="1:27" s="1" customFormat="1" ht="49.5" x14ac:dyDescent="0.25">
      <c r="A795" s="13">
        <f t="shared" si="10"/>
        <v>934201</v>
      </c>
      <c r="B795" s="14">
        <v>9342</v>
      </c>
      <c r="C795" s="1" t="s">
        <v>764</v>
      </c>
      <c r="D795" s="12" t="s">
        <v>1359</v>
      </c>
      <c r="E795" s="3">
        <v>1</v>
      </c>
      <c r="F795" s="5" t="s">
        <v>712</v>
      </c>
      <c r="G795" s="3">
        <v>15</v>
      </c>
      <c r="K795" s="1">
        <v>9331</v>
      </c>
      <c r="L795" s="1">
        <v>9000</v>
      </c>
      <c r="M795" s="1">
        <v>7250</v>
      </c>
      <c r="N795" s="1" t="s">
        <v>1032</v>
      </c>
      <c r="O795" s="1">
        <v>100</v>
      </c>
      <c r="P795" s="1" t="s">
        <v>398</v>
      </c>
      <c r="Q795" s="1">
        <v>10</v>
      </c>
      <c r="R795" s="1">
        <v>20065</v>
      </c>
      <c r="S795" s="16">
        <v>7.4999999999999997E-3</v>
      </c>
      <c r="U795" s="1" t="s">
        <v>1359</v>
      </c>
      <c r="V795" s="17" t="s">
        <v>1360</v>
      </c>
      <c r="X795" s="17" t="s">
        <v>1361</v>
      </c>
      <c r="Y795" s="5" t="s">
        <v>1005</v>
      </c>
      <c r="Z795" s="21" t="s">
        <v>1311</v>
      </c>
      <c r="AA795" s="22" t="s">
        <v>1142</v>
      </c>
    </row>
    <row r="796" spans="1:27" s="1" customFormat="1" ht="49.5" x14ac:dyDescent="0.25">
      <c r="A796" s="13">
        <f t="shared" si="10"/>
        <v>934202</v>
      </c>
      <c r="B796" s="14">
        <v>9342</v>
      </c>
      <c r="C796" s="1" t="s">
        <v>764</v>
      </c>
      <c r="D796" s="12" t="s">
        <v>1359</v>
      </c>
      <c r="E796" s="3">
        <v>2</v>
      </c>
      <c r="F796" s="5" t="s">
        <v>712</v>
      </c>
      <c r="G796" s="3">
        <v>17</v>
      </c>
      <c r="K796" s="1">
        <v>9331</v>
      </c>
      <c r="L796" s="1">
        <v>9000</v>
      </c>
      <c r="M796" s="1">
        <v>7250</v>
      </c>
      <c r="N796" s="1" t="s">
        <v>1032</v>
      </c>
      <c r="O796" s="1">
        <v>100</v>
      </c>
      <c r="P796" s="1" t="s">
        <v>398</v>
      </c>
      <c r="Q796" s="1">
        <v>10</v>
      </c>
      <c r="R796" s="1">
        <v>20065</v>
      </c>
      <c r="S796" s="16">
        <v>7.4999999999999997E-3</v>
      </c>
      <c r="U796" s="1" t="s">
        <v>1359</v>
      </c>
      <c r="V796" s="17" t="s">
        <v>1360</v>
      </c>
      <c r="X796" s="17" t="s">
        <v>1361</v>
      </c>
      <c r="Y796" s="5" t="s">
        <v>1005</v>
      </c>
      <c r="Z796" s="21" t="s">
        <v>1311</v>
      </c>
      <c r="AA796" s="22" t="s">
        <v>1142</v>
      </c>
    </row>
    <row r="797" spans="1:27" s="1" customFormat="1" ht="49.5" x14ac:dyDescent="0.25">
      <c r="A797" s="13">
        <f t="shared" si="10"/>
        <v>934301</v>
      </c>
      <c r="B797" s="14">
        <v>9343</v>
      </c>
      <c r="C797" s="1" t="s">
        <v>764</v>
      </c>
      <c r="D797" s="12" t="s">
        <v>1523</v>
      </c>
      <c r="E797" s="3">
        <v>1</v>
      </c>
      <c r="F797" s="5" t="s">
        <v>712</v>
      </c>
      <c r="G797" s="3">
        <v>18</v>
      </c>
      <c r="K797" s="1" t="s">
        <v>1524</v>
      </c>
      <c r="L797" s="1">
        <v>9000</v>
      </c>
      <c r="M797" s="1">
        <v>7600</v>
      </c>
      <c r="N797" s="1" t="s">
        <v>1033</v>
      </c>
      <c r="O797" s="1">
        <v>100</v>
      </c>
      <c r="P797" s="1" t="s">
        <v>398</v>
      </c>
      <c r="Q797" s="1">
        <v>10</v>
      </c>
      <c r="R797" s="1" t="s">
        <v>1386</v>
      </c>
      <c r="S797" s="16" t="s">
        <v>1146</v>
      </c>
      <c r="U797" s="1" t="s">
        <v>1370</v>
      </c>
      <c r="V797" s="17" t="s">
        <v>1387</v>
      </c>
      <c r="X797" s="17" t="s">
        <v>1388</v>
      </c>
      <c r="Y797" s="5" t="s">
        <v>1005</v>
      </c>
      <c r="Z797" s="21" t="s">
        <v>1129</v>
      </c>
      <c r="AA797" s="22" t="s">
        <v>1149</v>
      </c>
    </row>
    <row r="798" spans="1:27" s="1" customFormat="1" ht="49.5" x14ac:dyDescent="0.25">
      <c r="A798" s="13">
        <f t="shared" si="10"/>
        <v>934401</v>
      </c>
      <c r="B798" s="14">
        <v>9344</v>
      </c>
      <c r="C798" s="1" t="s">
        <v>764</v>
      </c>
      <c r="D798" s="12" t="s">
        <v>1368</v>
      </c>
      <c r="E798" s="3">
        <v>1</v>
      </c>
      <c r="F798" s="5" t="s">
        <v>712</v>
      </c>
      <c r="G798" s="3">
        <v>20</v>
      </c>
      <c r="K798" s="1" t="s">
        <v>1525</v>
      </c>
      <c r="L798" s="1">
        <v>10800</v>
      </c>
      <c r="M798" s="1">
        <v>7900</v>
      </c>
      <c r="N798" s="1" t="s">
        <v>397</v>
      </c>
      <c r="O798" s="1">
        <v>100</v>
      </c>
      <c r="P798" s="1" t="s">
        <v>398</v>
      </c>
      <c r="Q798" s="1">
        <v>10</v>
      </c>
      <c r="R798" s="1" t="s">
        <v>1369</v>
      </c>
      <c r="S798" s="16" t="s">
        <v>222</v>
      </c>
      <c r="U798" s="1" t="s">
        <v>1370</v>
      </c>
      <c r="V798" s="17" t="s">
        <v>1371</v>
      </c>
      <c r="X798" s="17" t="s">
        <v>1372</v>
      </c>
      <c r="Y798" s="5" t="s">
        <v>1005</v>
      </c>
      <c r="Z798" s="21" t="s">
        <v>1113</v>
      </c>
      <c r="AA798" s="22" t="s">
        <v>1151</v>
      </c>
    </row>
    <row r="799" spans="1:27" s="1" customFormat="1" ht="49.5" x14ac:dyDescent="0.25">
      <c r="A799" s="13">
        <f t="shared" si="10"/>
        <v>934501</v>
      </c>
      <c r="B799" s="14">
        <v>9345</v>
      </c>
      <c r="C799" s="1" t="s">
        <v>764</v>
      </c>
      <c r="D799" s="12" t="s">
        <v>1390</v>
      </c>
      <c r="E799" s="3">
        <v>1</v>
      </c>
      <c r="F799" s="5" t="s">
        <v>712</v>
      </c>
      <c r="G799" s="3">
        <v>18</v>
      </c>
      <c r="K799" s="1" t="s">
        <v>1526</v>
      </c>
      <c r="L799" s="1">
        <v>9000</v>
      </c>
      <c r="M799" s="1">
        <v>7600</v>
      </c>
      <c r="N799" s="1" t="s">
        <v>1033</v>
      </c>
      <c r="O799" s="1">
        <v>100</v>
      </c>
      <c r="P799" s="1" t="s">
        <v>398</v>
      </c>
      <c r="Q799" s="1">
        <v>10</v>
      </c>
      <c r="R799" s="1" t="s">
        <v>1392</v>
      </c>
      <c r="S799" s="16" t="s">
        <v>1146</v>
      </c>
      <c r="U799" s="1" t="s">
        <v>1370</v>
      </c>
      <c r="V799" s="17" t="s">
        <v>1393</v>
      </c>
      <c r="X799" s="17" t="s">
        <v>1394</v>
      </c>
      <c r="Y799" s="5" t="s">
        <v>1005</v>
      </c>
      <c r="Z799" s="21" t="s">
        <v>1129</v>
      </c>
      <c r="AA799" s="22" t="s">
        <v>1157</v>
      </c>
    </row>
    <row r="800" spans="1:27" s="1" customFormat="1" ht="49.5" x14ac:dyDescent="0.25">
      <c r="A800" s="13">
        <f t="shared" si="10"/>
        <v>934601</v>
      </c>
      <c r="B800" s="14">
        <v>9346</v>
      </c>
      <c r="C800" s="1" t="s">
        <v>764</v>
      </c>
      <c r="D800" s="12" t="s">
        <v>1359</v>
      </c>
      <c r="E800" s="3">
        <v>1</v>
      </c>
      <c r="F800" s="5" t="s">
        <v>712</v>
      </c>
      <c r="G800" s="3">
        <v>15</v>
      </c>
      <c r="K800" s="1">
        <v>9335</v>
      </c>
      <c r="L800" s="1">
        <v>9000</v>
      </c>
      <c r="M800" s="1">
        <v>7250</v>
      </c>
      <c r="N800" s="1" t="s">
        <v>1032</v>
      </c>
      <c r="O800" s="1">
        <v>100</v>
      </c>
      <c r="P800" s="1" t="s">
        <v>398</v>
      </c>
      <c r="Q800" s="1">
        <v>10</v>
      </c>
      <c r="R800" s="1">
        <v>20065</v>
      </c>
      <c r="S800" s="16">
        <v>7.4999999999999997E-3</v>
      </c>
      <c r="U800" s="1" t="s">
        <v>1359</v>
      </c>
      <c r="V800" s="17" t="s">
        <v>1360</v>
      </c>
      <c r="X800" s="17" t="s">
        <v>1361</v>
      </c>
      <c r="Y800" s="5" t="s">
        <v>1005</v>
      </c>
      <c r="Z800" s="21" t="s">
        <v>1311</v>
      </c>
      <c r="AA800" s="22" t="s">
        <v>1158</v>
      </c>
    </row>
    <row r="801" spans="1:27" s="1" customFormat="1" ht="49.5" x14ac:dyDescent="0.25">
      <c r="A801" s="13">
        <f t="shared" si="10"/>
        <v>934602</v>
      </c>
      <c r="B801" s="14">
        <v>9346</v>
      </c>
      <c r="C801" s="1" t="s">
        <v>764</v>
      </c>
      <c r="D801" s="12" t="s">
        <v>1359</v>
      </c>
      <c r="E801" s="3">
        <v>2</v>
      </c>
      <c r="F801" s="5" t="s">
        <v>712</v>
      </c>
      <c r="G801" s="3">
        <v>17</v>
      </c>
      <c r="K801" s="1">
        <v>9335</v>
      </c>
      <c r="L801" s="1">
        <v>9000</v>
      </c>
      <c r="M801" s="1">
        <v>7250</v>
      </c>
      <c r="N801" s="1" t="s">
        <v>1032</v>
      </c>
      <c r="O801" s="1">
        <v>100</v>
      </c>
      <c r="P801" s="1" t="s">
        <v>398</v>
      </c>
      <c r="Q801" s="1">
        <v>10</v>
      </c>
      <c r="R801" s="1">
        <v>20065</v>
      </c>
      <c r="S801" s="16">
        <v>7.4999999999999997E-3</v>
      </c>
      <c r="U801" s="1" t="s">
        <v>1359</v>
      </c>
      <c r="V801" s="17" t="s">
        <v>1360</v>
      </c>
      <c r="X801" s="17" t="s">
        <v>1361</v>
      </c>
      <c r="Y801" s="5" t="s">
        <v>1005</v>
      </c>
      <c r="Z801" s="21" t="s">
        <v>1311</v>
      </c>
      <c r="AA801" s="22" t="s">
        <v>1158</v>
      </c>
    </row>
    <row r="802" spans="1:27" s="1" customFormat="1" ht="49.5" x14ac:dyDescent="0.25">
      <c r="A802" s="13">
        <f t="shared" si="10"/>
        <v>934701</v>
      </c>
      <c r="B802" s="14">
        <v>9347</v>
      </c>
      <c r="C802" s="1" t="s">
        <v>764</v>
      </c>
      <c r="D802" s="12" t="s">
        <v>1354</v>
      </c>
      <c r="E802" s="3">
        <v>1</v>
      </c>
      <c r="F802" s="5" t="s">
        <v>712</v>
      </c>
      <c r="G802" s="3">
        <v>15</v>
      </c>
      <c r="K802" s="1">
        <v>9335</v>
      </c>
      <c r="L802" s="1">
        <v>9000</v>
      </c>
      <c r="M802" s="1">
        <v>7250</v>
      </c>
      <c r="N802" s="1" t="s">
        <v>1032</v>
      </c>
      <c r="O802" s="1">
        <v>100</v>
      </c>
      <c r="P802" s="1" t="s">
        <v>398</v>
      </c>
      <c r="Q802" s="1">
        <v>10</v>
      </c>
      <c r="R802" s="1">
        <v>20035</v>
      </c>
      <c r="S802" s="16">
        <v>1.4999999999999999E-2</v>
      </c>
      <c r="U802" s="1" t="s">
        <v>1354</v>
      </c>
      <c r="V802" s="17" t="s">
        <v>1355</v>
      </c>
      <c r="X802" s="17" t="s">
        <v>1356</v>
      </c>
      <c r="Y802" s="5" t="s">
        <v>1005</v>
      </c>
      <c r="Z802" s="21" t="s">
        <v>1322</v>
      </c>
      <c r="AA802" s="22" t="s">
        <v>1159</v>
      </c>
    </row>
    <row r="803" spans="1:27" s="1" customFormat="1" ht="49.5" x14ac:dyDescent="0.25">
      <c r="A803" s="13">
        <f t="shared" si="10"/>
        <v>934702</v>
      </c>
      <c r="B803" s="14">
        <v>9347</v>
      </c>
      <c r="C803" s="1" t="s">
        <v>764</v>
      </c>
      <c r="D803" s="12" t="s">
        <v>1354</v>
      </c>
      <c r="E803" s="3">
        <v>2</v>
      </c>
      <c r="F803" s="5" t="s">
        <v>712</v>
      </c>
      <c r="G803" s="3">
        <v>15</v>
      </c>
      <c r="K803" s="1">
        <v>9335</v>
      </c>
      <c r="L803" s="1">
        <v>9000</v>
      </c>
      <c r="M803" s="1">
        <v>7250</v>
      </c>
      <c r="N803" s="1" t="s">
        <v>1032</v>
      </c>
      <c r="O803" s="1">
        <v>100</v>
      </c>
      <c r="P803" s="1" t="s">
        <v>398</v>
      </c>
      <c r="Q803" s="1">
        <v>10</v>
      </c>
      <c r="R803" s="1">
        <v>20035</v>
      </c>
      <c r="S803" s="16">
        <v>1.4999999999999999E-2</v>
      </c>
      <c r="U803" s="1" t="s">
        <v>1354</v>
      </c>
      <c r="V803" s="17" t="s">
        <v>1355</v>
      </c>
      <c r="X803" s="17" t="s">
        <v>1356</v>
      </c>
      <c r="Y803" s="5" t="s">
        <v>1005</v>
      </c>
      <c r="Z803" s="21" t="s">
        <v>1322</v>
      </c>
      <c r="AA803" s="22" t="s">
        <v>1159</v>
      </c>
    </row>
    <row r="804" spans="1:27" s="1" customFormat="1" x14ac:dyDescent="0.25">
      <c r="A804" s="11"/>
      <c r="D804" s="12"/>
      <c r="E804" s="3"/>
      <c r="G804" s="3"/>
      <c r="S804" s="16"/>
    </row>
    <row r="805" spans="1:27" x14ac:dyDescent="0.25">
      <c r="F805" s="1"/>
    </row>
    <row r="806" spans="1:27" x14ac:dyDescent="0.25">
      <c r="F806" s="1"/>
    </row>
    <row r="807" spans="1:27" x14ac:dyDescent="0.25">
      <c r="F807" s="1"/>
    </row>
    <row r="808" spans="1:27" x14ac:dyDescent="0.25">
      <c r="F808" s="1"/>
    </row>
    <row r="809" spans="1:27" x14ac:dyDescent="0.25">
      <c r="F809" s="1"/>
    </row>
    <row r="810" spans="1:27" x14ac:dyDescent="0.25">
      <c r="F810" s="1"/>
    </row>
    <row r="811" spans="1:27" x14ac:dyDescent="0.25">
      <c r="F811" s="1"/>
    </row>
    <row r="812" spans="1:27" x14ac:dyDescent="0.25">
      <c r="F812" s="1"/>
    </row>
    <row r="813" spans="1:27" x14ac:dyDescent="0.25">
      <c r="F813" s="1"/>
    </row>
    <row r="814" spans="1:27" x14ac:dyDescent="0.25">
      <c r="F814" s="1"/>
    </row>
    <row r="815" spans="1:27" x14ac:dyDescent="0.25">
      <c r="F815" s="1"/>
    </row>
    <row r="816" spans="1:27" x14ac:dyDescent="0.25">
      <c r="F816" s="1"/>
    </row>
    <row r="817" spans="6:6" x14ac:dyDescent="0.25">
      <c r="F817" s="1"/>
    </row>
    <row r="818" spans="6:6" x14ac:dyDescent="0.25">
      <c r="F818" s="1"/>
    </row>
    <row r="819" spans="6:6" x14ac:dyDescent="0.25">
      <c r="F819" s="1"/>
    </row>
    <row r="820" spans="6:6" x14ac:dyDescent="0.25">
      <c r="F820" s="1"/>
    </row>
    <row r="821" spans="6:6" x14ac:dyDescent="0.25">
      <c r="F821" s="1"/>
    </row>
    <row r="822" spans="6:6" x14ac:dyDescent="0.25">
      <c r="F822" s="1"/>
    </row>
    <row r="823" spans="6:6" x14ac:dyDescent="0.25">
      <c r="F823" s="1"/>
    </row>
    <row r="824" spans="6:6" x14ac:dyDescent="0.25">
      <c r="F824" s="1"/>
    </row>
    <row r="825" spans="6:6" x14ac:dyDescent="0.25">
      <c r="F825" s="1"/>
    </row>
    <row r="826" spans="6:6" x14ac:dyDescent="0.25">
      <c r="F826" s="1"/>
    </row>
    <row r="827" spans="6:6" x14ac:dyDescent="0.25">
      <c r="F827" s="1"/>
    </row>
  </sheetData>
  <phoneticPr fontId="14" type="noConversion"/>
  <conditionalFormatting sqref="U34">
    <cfRule type="duplicateValues" dxfId="211" priority="30"/>
  </conditionalFormatting>
  <conditionalFormatting sqref="U35">
    <cfRule type="duplicateValues" dxfId="210" priority="29"/>
  </conditionalFormatting>
  <conditionalFormatting sqref="U36">
    <cfRule type="duplicateValues" dxfId="209" priority="85"/>
  </conditionalFormatting>
  <conditionalFormatting sqref="U42">
    <cfRule type="duplicateValues" dxfId="208" priority="84"/>
  </conditionalFormatting>
  <conditionalFormatting sqref="U44">
    <cfRule type="duplicateValues" dxfId="207" priority="83"/>
  </conditionalFormatting>
  <conditionalFormatting sqref="U45">
    <cfRule type="duplicateValues" dxfId="206" priority="82"/>
  </conditionalFormatting>
  <conditionalFormatting sqref="U46">
    <cfRule type="duplicateValues" dxfId="205" priority="81"/>
  </conditionalFormatting>
  <conditionalFormatting sqref="U47">
    <cfRule type="duplicateValues" dxfId="204" priority="80"/>
  </conditionalFormatting>
  <conditionalFormatting sqref="R50">
    <cfRule type="duplicateValues" dxfId="203" priority="100"/>
    <cfRule type="duplicateValues" dxfId="202" priority="101"/>
  </conditionalFormatting>
  <conditionalFormatting sqref="R51">
    <cfRule type="duplicateValues" dxfId="201" priority="163"/>
    <cfRule type="duplicateValues" dxfId="200" priority="164"/>
  </conditionalFormatting>
  <conditionalFormatting sqref="R53">
    <cfRule type="duplicateValues" dxfId="199" priority="1"/>
    <cfRule type="duplicateValues" dxfId="198" priority="2"/>
  </conditionalFormatting>
  <conditionalFormatting sqref="R54">
    <cfRule type="duplicateValues" dxfId="197" priority="3"/>
    <cfRule type="duplicateValues" dxfId="196" priority="4"/>
  </conditionalFormatting>
  <conditionalFormatting sqref="R57">
    <cfRule type="duplicateValues" dxfId="195" priority="102"/>
    <cfRule type="duplicateValues" dxfId="194" priority="103"/>
  </conditionalFormatting>
  <conditionalFormatting sqref="R58">
    <cfRule type="duplicateValues" dxfId="193" priority="165"/>
    <cfRule type="duplicateValues" dxfId="192" priority="166"/>
  </conditionalFormatting>
  <conditionalFormatting sqref="R59">
    <cfRule type="duplicateValues" dxfId="191" priority="167"/>
    <cfRule type="duplicateValues" dxfId="190" priority="168"/>
  </conditionalFormatting>
  <conditionalFormatting sqref="R60">
    <cfRule type="duplicateValues" dxfId="189" priority="106"/>
    <cfRule type="duplicateValues" dxfId="188" priority="107"/>
  </conditionalFormatting>
  <conditionalFormatting sqref="R61">
    <cfRule type="duplicateValues" dxfId="187" priority="110"/>
    <cfRule type="duplicateValues" dxfId="186" priority="111"/>
  </conditionalFormatting>
  <conditionalFormatting sqref="R63">
    <cfRule type="duplicateValues" dxfId="185" priority="112"/>
    <cfRule type="duplicateValues" dxfId="184" priority="113"/>
  </conditionalFormatting>
  <conditionalFormatting sqref="R64">
    <cfRule type="duplicateValues" dxfId="183" priority="108"/>
    <cfRule type="duplicateValues" dxfId="182" priority="109"/>
  </conditionalFormatting>
  <conditionalFormatting sqref="R65">
    <cfRule type="duplicateValues" dxfId="181" priority="169"/>
    <cfRule type="duplicateValues" dxfId="180" priority="170"/>
  </conditionalFormatting>
  <conditionalFormatting sqref="R66">
    <cfRule type="duplicateValues" dxfId="179" priority="104"/>
    <cfRule type="duplicateValues" dxfId="178" priority="105"/>
  </conditionalFormatting>
  <conditionalFormatting sqref="R67">
    <cfRule type="duplicateValues" dxfId="177" priority="171"/>
    <cfRule type="duplicateValues" dxfId="176" priority="172"/>
  </conditionalFormatting>
  <conditionalFormatting sqref="U123">
    <cfRule type="duplicateValues" dxfId="175" priority="27"/>
  </conditionalFormatting>
  <conditionalFormatting sqref="U124">
    <cfRule type="duplicateValues" dxfId="174" priority="28"/>
  </conditionalFormatting>
  <conditionalFormatting sqref="U125">
    <cfRule type="duplicateValues" dxfId="173" priority="79"/>
  </conditionalFormatting>
  <conditionalFormatting sqref="U131">
    <cfRule type="duplicateValues" dxfId="172" priority="78"/>
  </conditionalFormatting>
  <conditionalFormatting sqref="U133">
    <cfRule type="duplicateValues" dxfId="171" priority="77"/>
  </conditionalFormatting>
  <conditionalFormatting sqref="U134">
    <cfRule type="duplicateValues" dxfId="170" priority="76"/>
  </conditionalFormatting>
  <conditionalFormatting sqref="U135">
    <cfRule type="duplicateValues" dxfId="169" priority="75"/>
  </conditionalFormatting>
  <conditionalFormatting sqref="U136">
    <cfRule type="duplicateValues" dxfId="168" priority="74"/>
  </conditionalFormatting>
  <conditionalFormatting sqref="R139">
    <cfRule type="duplicateValues" dxfId="167" priority="173"/>
  </conditionalFormatting>
  <conditionalFormatting sqref="R140">
    <cfRule type="duplicateValues" dxfId="166" priority="114"/>
  </conditionalFormatting>
  <conditionalFormatting sqref="R142">
    <cfRule type="duplicateValues" dxfId="165" priority="26"/>
  </conditionalFormatting>
  <conditionalFormatting sqref="R143">
    <cfRule type="duplicateValues" dxfId="164" priority="73"/>
  </conditionalFormatting>
  <conditionalFormatting sqref="R146">
    <cfRule type="duplicateValues" dxfId="163" priority="174"/>
  </conditionalFormatting>
  <conditionalFormatting sqref="R147">
    <cfRule type="duplicateValues" dxfId="162" priority="115"/>
  </conditionalFormatting>
  <conditionalFormatting sqref="R148">
    <cfRule type="duplicateValues" dxfId="161" priority="175"/>
  </conditionalFormatting>
  <conditionalFormatting sqref="R149">
    <cfRule type="duplicateValues" dxfId="160" priority="117"/>
  </conditionalFormatting>
  <conditionalFormatting sqref="R150">
    <cfRule type="duplicateValues" dxfId="159" priority="119"/>
  </conditionalFormatting>
  <conditionalFormatting sqref="R152">
    <cfRule type="duplicateValues" dxfId="158" priority="120"/>
  </conditionalFormatting>
  <conditionalFormatting sqref="R153">
    <cfRule type="duplicateValues" dxfId="157" priority="176"/>
  </conditionalFormatting>
  <conditionalFormatting sqref="R154">
    <cfRule type="duplicateValues" dxfId="156" priority="118"/>
  </conditionalFormatting>
  <conditionalFormatting sqref="R155">
    <cfRule type="duplicateValues" dxfId="155" priority="177"/>
  </conditionalFormatting>
  <conditionalFormatting sqref="R156">
    <cfRule type="duplicateValues" dxfId="154" priority="116"/>
  </conditionalFormatting>
  <conditionalFormatting sqref="U212">
    <cfRule type="duplicateValues" dxfId="153" priority="24"/>
  </conditionalFormatting>
  <conditionalFormatting sqref="U213">
    <cfRule type="duplicateValues" dxfId="152" priority="25"/>
  </conditionalFormatting>
  <conditionalFormatting sqref="U214">
    <cfRule type="duplicateValues" dxfId="151" priority="72"/>
  </conditionalFormatting>
  <conditionalFormatting sqref="U220">
    <cfRule type="duplicateValues" dxfId="150" priority="71"/>
  </conditionalFormatting>
  <conditionalFormatting sqref="U222">
    <cfRule type="duplicateValues" dxfId="149" priority="70"/>
  </conditionalFormatting>
  <conditionalFormatting sqref="U223">
    <cfRule type="duplicateValues" dxfId="148" priority="69"/>
  </conditionalFormatting>
  <conditionalFormatting sqref="U224">
    <cfRule type="duplicateValues" dxfId="147" priority="68"/>
  </conditionalFormatting>
  <conditionalFormatting sqref="U225">
    <cfRule type="duplicateValues" dxfId="146" priority="67"/>
  </conditionalFormatting>
  <conditionalFormatting sqref="R228">
    <cfRule type="duplicateValues" dxfId="145" priority="178"/>
  </conditionalFormatting>
  <conditionalFormatting sqref="R229">
    <cfRule type="duplicateValues" dxfId="144" priority="121"/>
  </conditionalFormatting>
  <conditionalFormatting sqref="R231">
    <cfRule type="duplicateValues" dxfId="143" priority="23"/>
  </conditionalFormatting>
  <conditionalFormatting sqref="R232">
    <cfRule type="duplicateValues" dxfId="142" priority="66"/>
  </conditionalFormatting>
  <conditionalFormatting sqref="R235">
    <cfRule type="duplicateValues" dxfId="141" priority="179"/>
  </conditionalFormatting>
  <conditionalFormatting sqref="R236">
    <cfRule type="duplicateValues" dxfId="140" priority="122"/>
  </conditionalFormatting>
  <conditionalFormatting sqref="R237">
    <cfRule type="duplicateValues" dxfId="139" priority="180"/>
  </conditionalFormatting>
  <conditionalFormatting sqref="R238">
    <cfRule type="duplicateValues" dxfId="138" priority="124"/>
  </conditionalFormatting>
  <conditionalFormatting sqref="R239">
    <cfRule type="duplicateValues" dxfId="137" priority="126"/>
  </conditionalFormatting>
  <conditionalFormatting sqref="R241">
    <cfRule type="duplicateValues" dxfId="136" priority="127"/>
  </conditionalFormatting>
  <conditionalFormatting sqref="R242">
    <cfRule type="duplicateValues" dxfId="135" priority="181"/>
  </conditionalFormatting>
  <conditionalFormatting sqref="R243">
    <cfRule type="duplicateValues" dxfId="134" priority="125"/>
  </conditionalFormatting>
  <conditionalFormatting sqref="R244">
    <cfRule type="duplicateValues" dxfId="133" priority="182"/>
  </conditionalFormatting>
  <conditionalFormatting sqref="R245">
    <cfRule type="duplicateValues" dxfId="132" priority="123"/>
  </conditionalFormatting>
  <conditionalFormatting sqref="U301">
    <cfRule type="duplicateValues" dxfId="131" priority="21"/>
  </conditionalFormatting>
  <conditionalFormatting sqref="U302">
    <cfRule type="duplicateValues" dxfId="130" priority="22"/>
  </conditionalFormatting>
  <conditionalFormatting sqref="U303">
    <cfRule type="duplicateValues" dxfId="129" priority="65"/>
  </conditionalFormatting>
  <conditionalFormatting sqref="U309">
    <cfRule type="duplicateValues" dxfId="128" priority="64"/>
  </conditionalFormatting>
  <conditionalFormatting sqref="U311">
    <cfRule type="duplicateValues" dxfId="127" priority="63"/>
  </conditionalFormatting>
  <conditionalFormatting sqref="U312">
    <cfRule type="duplicateValues" dxfId="126" priority="62"/>
  </conditionalFormatting>
  <conditionalFormatting sqref="U313">
    <cfRule type="duplicateValues" dxfId="125" priority="61"/>
  </conditionalFormatting>
  <conditionalFormatting sqref="U314">
    <cfRule type="duplicateValues" dxfId="124" priority="60"/>
  </conditionalFormatting>
  <conditionalFormatting sqref="R317">
    <cfRule type="duplicateValues" dxfId="123" priority="183"/>
  </conditionalFormatting>
  <conditionalFormatting sqref="R318">
    <cfRule type="duplicateValues" dxfId="122" priority="128"/>
  </conditionalFormatting>
  <conditionalFormatting sqref="R320">
    <cfRule type="duplicateValues" dxfId="121" priority="20"/>
  </conditionalFormatting>
  <conditionalFormatting sqref="R321">
    <cfRule type="duplicateValues" dxfId="120" priority="59"/>
  </conditionalFormatting>
  <conditionalFormatting sqref="R324">
    <cfRule type="duplicateValues" dxfId="119" priority="184"/>
  </conditionalFormatting>
  <conditionalFormatting sqref="R325">
    <cfRule type="duplicateValues" dxfId="118" priority="129"/>
  </conditionalFormatting>
  <conditionalFormatting sqref="R326">
    <cfRule type="duplicateValues" dxfId="117" priority="185"/>
  </conditionalFormatting>
  <conditionalFormatting sqref="R327">
    <cfRule type="duplicateValues" dxfId="116" priority="131"/>
  </conditionalFormatting>
  <conditionalFormatting sqref="R328">
    <cfRule type="duplicateValues" dxfId="115" priority="133"/>
  </conditionalFormatting>
  <conditionalFormatting sqref="R330">
    <cfRule type="duplicateValues" dxfId="114" priority="134"/>
  </conditionalFormatting>
  <conditionalFormatting sqref="R331">
    <cfRule type="duplicateValues" dxfId="113" priority="186"/>
  </conditionalFormatting>
  <conditionalFormatting sqref="R332">
    <cfRule type="duplicateValues" dxfId="112" priority="132"/>
  </conditionalFormatting>
  <conditionalFormatting sqref="R333">
    <cfRule type="duplicateValues" dxfId="111" priority="187"/>
  </conditionalFormatting>
  <conditionalFormatting sqref="R334">
    <cfRule type="duplicateValues" dxfId="110" priority="130"/>
  </conditionalFormatting>
  <conditionalFormatting sqref="U390">
    <cfRule type="duplicateValues" dxfId="109" priority="18"/>
  </conditionalFormatting>
  <conditionalFormatting sqref="U391">
    <cfRule type="duplicateValues" dxfId="108" priority="19"/>
  </conditionalFormatting>
  <conditionalFormatting sqref="U392">
    <cfRule type="duplicateValues" dxfId="107" priority="58"/>
  </conditionalFormatting>
  <conditionalFormatting sqref="U398">
    <cfRule type="duplicateValues" dxfId="106" priority="57"/>
  </conditionalFormatting>
  <conditionalFormatting sqref="U400">
    <cfRule type="duplicateValues" dxfId="105" priority="56"/>
  </conditionalFormatting>
  <conditionalFormatting sqref="U401">
    <cfRule type="duplicateValues" dxfId="104" priority="55"/>
  </conditionalFormatting>
  <conditionalFormatting sqref="U402">
    <cfRule type="duplicateValues" dxfId="103" priority="54"/>
  </conditionalFormatting>
  <conditionalFormatting sqref="U403">
    <cfRule type="duplicateValues" dxfId="102" priority="53"/>
  </conditionalFormatting>
  <conditionalFormatting sqref="R406">
    <cfRule type="duplicateValues" dxfId="101" priority="188"/>
  </conditionalFormatting>
  <conditionalFormatting sqref="R407">
    <cfRule type="duplicateValues" dxfId="100" priority="135"/>
  </conditionalFormatting>
  <conditionalFormatting sqref="R409">
    <cfRule type="duplicateValues" dxfId="99" priority="17"/>
  </conditionalFormatting>
  <conditionalFormatting sqref="R410">
    <cfRule type="duplicateValues" dxfId="98" priority="52"/>
  </conditionalFormatting>
  <conditionalFormatting sqref="R413">
    <cfRule type="duplicateValues" dxfId="97" priority="189"/>
  </conditionalFormatting>
  <conditionalFormatting sqref="R414">
    <cfRule type="duplicateValues" dxfId="96" priority="136"/>
  </conditionalFormatting>
  <conditionalFormatting sqref="R415">
    <cfRule type="duplicateValues" dxfId="95" priority="190"/>
  </conditionalFormatting>
  <conditionalFormatting sqref="R416">
    <cfRule type="duplicateValues" dxfId="94" priority="138"/>
  </conditionalFormatting>
  <conditionalFormatting sqref="R417">
    <cfRule type="duplicateValues" dxfId="93" priority="140"/>
  </conditionalFormatting>
  <conditionalFormatting sqref="R419">
    <cfRule type="duplicateValues" dxfId="92" priority="141"/>
  </conditionalFormatting>
  <conditionalFormatting sqref="R420">
    <cfRule type="duplicateValues" dxfId="91" priority="191"/>
  </conditionalFormatting>
  <conditionalFormatting sqref="R421">
    <cfRule type="duplicateValues" dxfId="90" priority="139"/>
  </conditionalFormatting>
  <conditionalFormatting sqref="R422">
    <cfRule type="duplicateValues" dxfId="89" priority="192"/>
  </conditionalFormatting>
  <conditionalFormatting sqref="R423">
    <cfRule type="duplicateValues" dxfId="88" priority="137"/>
  </conditionalFormatting>
  <conditionalFormatting sqref="U478">
    <cfRule type="duplicateValues" dxfId="87" priority="15"/>
  </conditionalFormatting>
  <conditionalFormatting sqref="U479">
    <cfRule type="duplicateValues" dxfId="86" priority="16"/>
  </conditionalFormatting>
  <conditionalFormatting sqref="U480">
    <cfRule type="duplicateValues" dxfId="85" priority="51"/>
  </conditionalFormatting>
  <conditionalFormatting sqref="U486">
    <cfRule type="duplicateValues" dxfId="84" priority="50"/>
  </conditionalFormatting>
  <conditionalFormatting sqref="U488">
    <cfRule type="duplicateValues" dxfId="83" priority="49"/>
  </conditionalFormatting>
  <conditionalFormatting sqref="U489">
    <cfRule type="duplicateValues" dxfId="82" priority="48"/>
  </conditionalFormatting>
  <conditionalFormatting sqref="U490">
    <cfRule type="duplicateValues" dxfId="81" priority="47"/>
  </conditionalFormatting>
  <conditionalFormatting sqref="U491">
    <cfRule type="duplicateValues" dxfId="80" priority="46"/>
  </conditionalFormatting>
  <conditionalFormatting sqref="R494">
    <cfRule type="duplicateValues" dxfId="79" priority="193"/>
  </conditionalFormatting>
  <conditionalFormatting sqref="R495">
    <cfRule type="duplicateValues" dxfId="78" priority="142"/>
  </conditionalFormatting>
  <conditionalFormatting sqref="R497">
    <cfRule type="duplicateValues" dxfId="77" priority="14"/>
  </conditionalFormatting>
  <conditionalFormatting sqref="R498">
    <cfRule type="duplicateValues" dxfId="76" priority="45"/>
  </conditionalFormatting>
  <conditionalFormatting sqref="R501">
    <cfRule type="duplicateValues" dxfId="75" priority="194"/>
  </conditionalFormatting>
  <conditionalFormatting sqref="R502">
    <cfRule type="duplicateValues" dxfId="74" priority="143"/>
  </conditionalFormatting>
  <conditionalFormatting sqref="R503">
    <cfRule type="duplicateValues" dxfId="73" priority="195"/>
  </conditionalFormatting>
  <conditionalFormatting sqref="R504">
    <cfRule type="duplicateValues" dxfId="72" priority="145"/>
  </conditionalFormatting>
  <conditionalFormatting sqref="R505">
    <cfRule type="duplicateValues" dxfId="71" priority="147"/>
  </conditionalFormatting>
  <conditionalFormatting sqref="R507">
    <cfRule type="duplicateValues" dxfId="70" priority="148"/>
  </conditionalFormatting>
  <conditionalFormatting sqref="R508">
    <cfRule type="duplicateValues" dxfId="69" priority="196"/>
  </conditionalFormatting>
  <conditionalFormatting sqref="R509">
    <cfRule type="duplicateValues" dxfId="68" priority="146"/>
  </conditionalFormatting>
  <conditionalFormatting sqref="R510">
    <cfRule type="duplicateValues" dxfId="67" priority="197"/>
  </conditionalFormatting>
  <conditionalFormatting sqref="R511">
    <cfRule type="duplicateValues" dxfId="66" priority="144"/>
  </conditionalFormatting>
  <conditionalFormatting sqref="U567">
    <cfRule type="duplicateValues" dxfId="65" priority="12"/>
  </conditionalFormatting>
  <conditionalFormatting sqref="U568">
    <cfRule type="duplicateValues" dxfId="64" priority="13"/>
  </conditionalFormatting>
  <conditionalFormatting sqref="U569">
    <cfRule type="duplicateValues" dxfId="63" priority="44"/>
  </conditionalFormatting>
  <conditionalFormatting sqref="U575">
    <cfRule type="duplicateValues" dxfId="62" priority="43"/>
  </conditionalFormatting>
  <conditionalFormatting sqref="U577">
    <cfRule type="duplicateValues" dxfId="61" priority="42"/>
  </conditionalFormatting>
  <conditionalFormatting sqref="U578">
    <cfRule type="duplicateValues" dxfId="60" priority="41"/>
  </conditionalFormatting>
  <conditionalFormatting sqref="U579">
    <cfRule type="duplicateValues" dxfId="59" priority="40"/>
  </conditionalFormatting>
  <conditionalFormatting sqref="U580">
    <cfRule type="duplicateValues" dxfId="58" priority="39"/>
  </conditionalFormatting>
  <conditionalFormatting sqref="R583">
    <cfRule type="duplicateValues" dxfId="57" priority="198"/>
  </conditionalFormatting>
  <conditionalFormatting sqref="R584">
    <cfRule type="duplicateValues" dxfId="56" priority="149"/>
  </conditionalFormatting>
  <conditionalFormatting sqref="R586">
    <cfRule type="duplicateValues" dxfId="55" priority="11"/>
  </conditionalFormatting>
  <conditionalFormatting sqref="R587">
    <cfRule type="duplicateValues" dxfId="54" priority="38"/>
  </conditionalFormatting>
  <conditionalFormatting sqref="R590">
    <cfRule type="duplicateValues" dxfId="53" priority="199"/>
  </conditionalFormatting>
  <conditionalFormatting sqref="R591">
    <cfRule type="duplicateValues" dxfId="52" priority="150"/>
  </conditionalFormatting>
  <conditionalFormatting sqref="R592">
    <cfRule type="duplicateValues" dxfId="51" priority="200"/>
  </conditionalFormatting>
  <conditionalFormatting sqref="R593">
    <cfRule type="duplicateValues" dxfId="50" priority="152"/>
  </conditionalFormatting>
  <conditionalFormatting sqref="R594">
    <cfRule type="duplicateValues" dxfId="49" priority="154"/>
  </conditionalFormatting>
  <conditionalFormatting sqref="R596">
    <cfRule type="duplicateValues" dxfId="48" priority="155"/>
  </conditionalFormatting>
  <conditionalFormatting sqref="R597">
    <cfRule type="duplicateValues" dxfId="47" priority="201"/>
  </conditionalFormatting>
  <conditionalFormatting sqref="R598">
    <cfRule type="duplicateValues" dxfId="46" priority="153"/>
  </conditionalFormatting>
  <conditionalFormatting sqref="R599">
    <cfRule type="duplicateValues" dxfId="45" priority="202"/>
  </conditionalFormatting>
  <conditionalFormatting sqref="R600">
    <cfRule type="duplicateValues" dxfId="44" priority="151"/>
  </conditionalFormatting>
  <conditionalFormatting sqref="U656">
    <cfRule type="duplicateValues" dxfId="43" priority="9"/>
  </conditionalFormatting>
  <conditionalFormatting sqref="U657">
    <cfRule type="duplicateValues" dxfId="42" priority="10"/>
  </conditionalFormatting>
  <conditionalFormatting sqref="U658">
    <cfRule type="duplicateValues" dxfId="41" priority="92"/>
  </conditionalFormatting>
  <conditionalFormatting sqref="U664">
    <cfRule type="duplicateValues" dxfId="40" priority="91"/>
  </conditionalFormatting>
  <conditionalFormatting sqref="U666">
    <cfRule type="duplicateValues" dxfId="39" priority="90"/>
  </conditionalFormatting>
  <conditionalFormatting sqref="U667">
    <cfRule type="duplicateValues" dxfId="38" priority="89"/>
  </conditionalFormatting>
  <conditionalFormatting sqref="U668">
    <cfRule type="duplicateValues" dxfId="37" priority="88"/>
  </conditionalFormatting>
  <conditionalFormatting sqref="U669">
    <cfRule type="duplicateValues" dxfId="36" priority="87"/>
  </conditionalFormatting>
  <conditionalFormatting sqref="R672">
    <cfRule type="duplicateValues" dxfId="35" priority="203"/>
  </conditionalFormatting>
  <conditionalFormatting sqref="R673">
    <cfRule type="duplicateValues" dxfId="34" priority="93"/>
  </conditionalFormatting>
  <conditionalFormatting sqref="R675">
    <cfRule type="duplicateValues" dxfId="33" priority="8"/>
  </conditionalFormatting>
  <conditionalFormatting sqref="R676">
    <cfRule type="duplicateValues" dxfId="32" priority="86"/>
  </conditionalFormatting>
  <conditionalFormatting sqref="R679">
    <cfRule type="duplicateValues" dxfId="31" priority="204"/>
  </conditionalFormatting>
  <conditionalFormatting sqref="R680">
    <cfRule type="duplicateValues" dxfId="30" priority="94"/>
  </conditionalFormatting>
  <conditionalFormatting sqref="R681">
    <cfRule type="duplicateValues" dxfId="29" priority="205"/>
  </conditionalFormatting>
  <conditionalFormatting sqref="R682">
    <cfRule type="duplicateValues" dxfId="28" priority="96"/>
  </conditionalFormatting>
  <conditionalFormatting sqref="R683">
    <cfRule type="duplicateValues" dxfId="27" priority="98"/>
  </conditionalFormatting>
  <conditionalFormatting sqref="R685">
    <cfRule type="duplicateValues" dxfId="26" priority="99"/>
  </conditionalFormatting>
  <conditionalFormatting sqref="R686">
    <cfRule type="duplicateValues" dxfId="25" priority="206"/>
  </conditionalFormatting>
  <conditionalFormatting sqref="R687">
    <cfRule type="duplicateValues" dxfId="24" priority="97"/>
  </conditionalFormatting>
  <conditionalFormatting sqref="R688">
    <cfRule type="duplicateValues" dxfId="23" priority="207"/>
  </conditionalFormatting>
  <conditionalFormatting sqref="R689">
    <cfRule type="duplicateValues" dxfId="22" priority="95"/>
  </conditionalFormatting>
  <conditionalFormatting sqref="U745">
    <cfRule type="duplicateValues" dxfId="21" priority="6"/>
  </conditionalFormatting>
  <conditionalFormatting sqref="U746">
    <cfRule type="duplicateValues" dxfId="20" priority="7"/>
  </conditionalFormatting>
  <conditionalFormatting sqref="U747">
    <cfRule type="duplicateValues" dxfId="19" priority="37"/>
  </conditionalFormatting>
  <conditionalFormatting sqref="U753">
    <cfRule type="duplicateValues" dxfId="18" priority="36"/>
  </conditionalFormatting>
  <conditionalFormatting sqref="U755">
    <cfRule type="duplicateValues" dxfId="17" priority="35"/>
  </conditionalFormatting>
  <conditionalFormatting sqref="U756">
    <cfRule type="duplicateValues" dxfId="16" priority="34"/>
  </conditionalFormatting>
  <conditionalFormatting sqref="U757">
    <cfRule type="duplicateValues" dxfId="15" priority="33"/>
  </conditionalFormatting>
  <conditionalFormatting sqref="U758">
    <cfRule type="duplicateValues" dxfId="14" priority="32"/>
  </conditionalFormatting>
  <conditionalFormatting sqref="R761">
    <cfRule type="duplicateValues" dxfId="13" priority="208"/>
  </conditionalFormatting>
  <conditionalFormatting sqref="R762">
    <cfRule type="duplicateValues" dxfId="12" priority="156"/>
  </conditionalFormatting>
  <conditionalFormatting sqref="R764">
    <cfRule type="duplicateValues" dxfId="11" priority="5"/>
  </conditionalFormatting>
  <conditionalFormatting sqref="R765">
    <cfRule type="duplicateValues" dxfId="10" priority="31"/>
  </conditionalFormatting>
  <conditionalFormatting sqref="R768">
    <cfRule type="duplicateValues" dxfId="9" priority="209"/>
  </conditionalFormatting>
  <conditionalFormatting sqref="R769">
    <cfRule type="duplicateValues" dxfId="8" priority="157"/>
  </conditionalFormatting>
  <conditionalFormatting sqref="R770">
    <cfRule type="duplicateValues" dxfId="7" priority="210"/>
  </conditionalFormatting>
  <conditionalFormatting sqref="R771">
    <cfRule type="duplicateValues" dxfId="6" priority="159"/>
  </conditionalFormatting>
  <conditionalFormatting sqref="R772">
    <cfRule type="duplicateValues" dxfId="5" priority="161"/>
  </conditionalFormatting>
  <conditionalFormatting sqref="R774">
    <cfRule type="duplicateValues" dxfId="4" priority="162"/>
  </conditionalFormatting>
  <conditionalFormatting sqref="R775">
    <cfRule type="duplicateValues" dxfId="3" priority="211"/>
  </conditionalFormatting>
  <conditionalFormatting sqref="R776">
    <cfRule type="duplicateValues" dxfId="2" priority="160"/>
  </conditionalFormatting>
  <conditionalFormatting sqref="R777">
    <cfRule type="duplicateValues" dxfId="1" priority="212"/>
  </conditionalFormatting>
  <conditionalFormatting sqref="R778">
    <cfRule type="duplicateValues" dxfId="0" priority="158"/>
  </conditionalFormatting>
  <dataValidations count="1">
    <dataValidation allowBlank="1" showErrorMessage="1" errorTitle="范围错误" error="buffid只能在1~65535范围内" promptTitle="范围" prompt="1~65535" sqref="R50:R51 R53:R61 R63:R67 R139:R140 R142:R150 R152:R156 R228:R229 R231:R239 R241:R245 R317:R318 R320:R328 R330:R334 R406:R407 R409:R417 R419:R423 R494:R495 R497:R505 R507:R511 R583:R584 R586:R594 R596:R600 R672:R673 R675:R683 R685:R689 R761:R762 R764:R772 R774:R778" xr:uid="{00000000-0002-0000-0900-000000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奇迹建筑模板</vt:lpstr>
      <vt:lpstr>奇迹特效</vt:lpstr>
      <vt:lpstr>奇迹建筑</vt:lpstr>
      <vt:lpstr>奇迹科技</vt:lpstr>
      <vt:lpstr>奇迹祝福</vt:lpstr>
      <vt:lpstr>联盟奇迹解锁配置</vt:lpstr>
      <vt:lpstr>奇迹建筑升星配置_replace</vt:lpstr>
      <vt:lpstr>#奇迹建筑模板-空中花园和金字塔已配置</vt:lpstr>
      <vt:lpstr>#奇迹建筑模板-国内</vt:lpstr>
      <vt:lpstr>#奇迹科技-旧科技临时备份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swingye(叶之颖)</cp:lastModifiedBy>
  <dcterms:created xsi:type="dcterms:W3CDTF">2006-09-16T00:00:00Z</dcterms:created>
  <dcterms:modified xsi:type="dcterms:W3CDTF">2024-09-10T13:29:13Z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4214A5EEB0994DE8A4864414A2732ED6_12</vt:lpwstr>
  </property>
  <property fmtid="{D5CDD505-2E9C-101B-9397-08002B2CF9AE}" pid="3" name="KSOProductBuildVer">
    <vt:lpwstr>2052-12.1.0.17147</vt:lpwstr>
  </property>
</Properties>
</file>