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7D059FC9-D3E5-4380-8604-C03B64317025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遗迹配置表" sheetId="1" r:id="rId1"/>
    <sheet name="#Sheet2" sheetId="2" r:id="rId2"/>
    <sheet name="#TID_base_up" sheetId="3" r:id="rId3"/>
  </sheets>
  <definedNames>
    <definedName name="_xlnm._FilterDatabase" localSheetId="0" hidden="1">遗迹配置表!$A$3:$S$17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N9" i="2"/>
  <c r="N8" i="2"/>
  <c r="N7" i="2"/>
  <c r="N6" i="2"/>
  <c r="N5" i="2"/>
  <c r="N4" i="2"/>
  <c r="R17" i="1"/>
  <c r="T17" i="1" s="1"/>
  <c r="Q17" i="1"/>
  <c r="L17" i="1"/>
  <c r="K17" i="1"/>
  <c r="R16" i="1"/>
  <c r="T16" i="1" s="1"/>
  <c r="Q16" i="1"/>
  <c r="L16" i="1"/>
  <c r="K16" i="1"/>
  <c r="R15" i="1"/>
  <c r="T15" i="1" s="1"/>
  <c r="Q15" i="1"/>
  <c r="L15" i="1"/>
  <c r="K15" i="1"/>
  <c r="R14" i="1"/>
  <c r="T14" i="1" s="1"/>
  <c r="Q14" i="1"/>
  <c r="L14" i="1"/>
  <c r="K14" i="1"/>
  <c r="D14" i="1"/>
  <c r="R13" i="1"/>
  <c r="T13" i="1" s="1"/>
  <c r="Q13" i="1"/>
  <c r="L13" i="1"/>
  <c r="K13" i="1"/>
  <c r="D13" i="1"/>
  <c r="T12" i="1"/>
  <c r="R12" i="1"/>
  <c r="Q12" i="1"/>
  <c r="L12" i="1"/>
  <c r="K12" i="1"/>
  <c r="D12" i="1"/>
  <c r="R11" i="1"/>
  <c r="T11" i="1" s="1"/>
  <c r="Q11" i="1"/>
  <c r="L11" i="1"/>
  <c r="K11" i="1"/>
  <c r="T10" i="1"/>
  <c r="R10" i="1"/>
  <c r="Q10" i="1"/>
  <c r="L10" i="1"/>
  <c r="K10" i="1"/>
  <c r="T9" i="1"/>
  <c r="R9" i="1"/>
  <c r="Q9" i="1"/>
  <c r="L9" i="1"/>
  <c r="K9" i="1"/>
  <c r="R8" i="1"/>
  <c r="T8" i="1" s="1"/>
  <c r="Q8" i="1"/>
  <c r="L8" i="1"/>
  <c r="K8" i="1"/>
  <c r="R7" i="1"/>
  <c r="T7" i="1" s="1"/>
  <c r="Q7" i="1"/>
  <c r="L7" i="1"/>
  <c r="K7" i="1"/>
  <c r="R6" i="1"/>
  <c r="T6" i="1" s="1"/>
  <c r="Q6" i="1"/>
  <c r="L6" i="1"/>
  <c r="K6" i="1"/>
  <c r="R5" i="1"/>
  <c r="T5" i="1" s="1"/>
  <c r="Q5" i="1"/>
  <c r="L5" i="1"/>
  <c r="K5" i="1"/>
  <c r="R4" i="1"/>
  <c r="T4" i="1" s="1"/>
  <c r="Q4" i="1"/>
  <c r="L4" i="1"/>
  <c r="K4" i="1"/>
</calcChain>
</file>

<file path=xl/sharedStrings.xml><?xml version="1.0" encoding="utf-8"?>
<sst xmlns="http://schemas.openxmlformats.org/spreadsheetml/2006/main" count="300" uniqueCount="131">
  <si>
    <t>convert(ResCity.proto,table_RelicConfData, RelicConfData.pbin)</t>
  </si>
  <si>
    <t>ID</t>
  </si>
  <si>
    <t>是否生效</t>
  </si>
  <si>
    <t>奖励id</t>
  </si>
  <si>
    <t>倒计时</t>
  </si>
  <si>
    <t>坐标</t>
  </si>
  <si>
    <t>宽度</t>
  </si>
  <si>
    <t>长度</t>
  </si>
  <si>
    <t>标题文本</t>
  </si>
  <si>
    <t>内容文本</t>
  </si>
  <si>
    <t>形象路径</t>
  </si>
  <si>
    <t>特效路径</t>
  </si>
  <si>
    <t>特效大小</t>
  </si>
  <si>
    <t>气泡偏移</t>
  </si>
  <si>
    <t>标题偏移X</t>
  </si>
  <si>
    <t>标题偏移Y</t>
  </si>
  <si>
    <t>标题偏移Z</t>
  </si>
  <si>
    <t>id</t>
  </si>
  <si>
    <t>isAvailable</t>
  </si>
  <si>
    <t>rewardId</t>
  </si>
  <si>
    <t>countDownSec</t>
  </si>
  <si>
    <t>posX</t>
  </si>
  <si>
    <t>posY</t>
  </si>
  <si>
    <t>posZ</t>
  </si>
  <si>
    <t>xSize</t>
  </si>
  <si>
    <t>zSize</t>
  </si>
  <si>
    <t>title</t>
  </si>
  <si>
    <t>content</t>
  </si>
  <si>
    <t>path</t>
  </si>
  <si>
    <t>fxPath</t>
  </si>
  <si>
    <t>fxScale</t>
  </si>
  <si>
    <t>bubbleX</t>
  </si>
  <si>
    <t>bubbleY</t>
  </si>
  <si>
    <t>bubbleZ</t>
  </si>
  <si>
    <t>titleX</t>
  </si>
  <si>
    <t>titleY</t>
  </si>
  <si>
    <t>titleZ</t>
  </si>
  <si>
    <t>小上左</t>
  </si>
  <si>
    <t>2小</t>
  </si>
  <si>
    <t>-45</t>
  </si>
  <si>
    <t>0</t>
  </si>
  <si>
    <t>-33</t>
  </si>
  <si>
    <t>1</t>
  </si>
  <si>
    <t>p_citiruin_7.prefab</t>
  </si>
  <si>
    <t>战争痕迹</t>
  </si>
  <si>
    <t>这里发生过防守蛮族的战斗，</t>
  </si>
  <si>
    <t>bundle/environment/building/ruins/p_citiruin_7.prefab.k</t>
  </si>
  <si>
    <t>bundle/effects/scene/p_dianji01_2x2.prefab.k</t>
  </si>
  <si>
    <t>小上左2长</t>
  </si>
  <si>
    <t>3小</t>
  </si>
  <si>
    <t>-36</t>
  </si>
  <si>
    <t>大左1</t>
  </si>
  <si>
    <t>最后时刻</t>
  </si>
  <si>
    <t>-19.5</t>
  </si>
  <si>
    <t>-58.5</t>
  </si>
  <si>
    <t>p_cityruin_2.prefab</t>
  </si>
  <si>
    <t>古代遗迹</t>
  </si>
  <si>
    <t>这里看起来有些年头了，</t>
  </si>
  <si>
    <t>bundle/environment/building/ruins/p_cityruin_2.prefab.k</t>
  </si>
  <si>
    <t>小下左</t>
  </si>
  <si>
    <t>普通</t>
  </si>
  <si>
    <t>中大左</t>
  </si>
  <si>
    <t>21</t>
  </si>
  <si>
    <t>-69</t>
  </si>
  <si>
    <t>p_citiruin_6.prefab</t>
  </si>
  <si>
    <t>bundle/environment/building/ruins/p_citiruin_6.prefab.k</t>
  </si>
  <si>
    <t>大下右</t>
  </si>
  <si>
    <t>隐藏的最后时刻</t>
  </si>
  <si>
    <t>61.5</t>
  </si>
  <si>
    <t>55.5</t>
  </si>
  <si>
    <t>右铁匠</t>
  </si>
  <si>
    <t>24</t>
  </si>
  <si>
    <t>54</t>
  </si>
  <si>
    <t>p_cityruin_4.prefab</t>
  </si>
  <si>
    <t>破旧铁匠铺</t>
  </si>
  <si>
    <t>炉火看起来再也没办法点燃了，</t>
  </si>
  <si>
    <t>bundle/environment/building/ruins/p_cityruin_4.prefab.k</t>
  </si>
  <si>
    <t>外下小</t>
  </si>
  <si>
    <t>141</t>
  </si>
  <si>
    <t>-9</t>
  </si>
  <si>
    <t>-21</t>
  </si>
  <si>
    <t>2</t>
  </si>
  <si>
    <t>p_cityruin_5.prefab</t>
  </si>
  <si>
    <t>小型遗迹</t>
  </si>
  <si>
    <t>bundle/environment/building/ruins/p_cityruin_5.prefab.k</t>
  </si>
  <si>
    <t>外下房舍</t>
  </si>
  <si>
    <t>106.5</t>
  </si>
  <si>
    <t>-80.5</t>
  </si>
  <si>
    <t>p_cityruin_3.prefab</t>
  </si>
  <si>
    <t>破旧房舍</t>
  </si>
  <si>
    <t>房子的主人早已离开，只剩下无法搬走的家具。</t>
  </si>
  <si>
    <t>bundle/environment/building/ruins/p_cityruin_3.prefab.k</t>
  </si>
  <si>
    <t>外下铁匠</t>
  </si>
  <si>
    <t>较久</t>
  </si>
  <si>
    <t>90</t>
  </si>
  <si>
    <t>-90</t>
  </si>
  <si>
    <t>115.5</t>
  </si>
  <si>
    <t>-100.5</t>
  </si>
  <si>
    <t>外左小</t>
  </si>
  <si>
    <t>30</t>
  </si>
  <si>
    <t>-112</t>
  </si>
  <si>
    <t>立即1</t>
  </si>
  <si>
    <t>121.5</t>
  </si>
  <si>
    <t>-31</t>
  </si>
  <si>
    <t>132</t>
  </si>
  <si>
    <t>-51</t>
  </si>
  <si>
    <t>bundle/environment/building/</t>
  </si>
  <si>
    <t>p_cityruin_7.prefab</t>
  </si>
  <si>
    <t>p_cityruin_1.prefab</t>
  </si>
  <si>
    <t>ruinTitle_1</t>
  </si>
  <si>
    <t>ruinContent_1</t>
  </si>
  <si>
    <t>清理这里可以获得发展需要的资源。</t>
  </si>
  <si>
    <t>ruinTitle_2</t>
  </si>
  <si>
    <t>ruinContent_2</t>
  </si>
  <si>
    <t>ruinTitle_3</t>
  </si>
  <si>
    <t>ruinContent_3</t>
  </si>
  <si>
    <t>ruinTitle_4</t>
  </si>
  <si>
    <t>ruinContent_4</t>
  </si>
  <si>
    <t>ruinTitle_5</t>
  </si>
  <si>
    <t>ruinContent_5</t>
  </si>
  <si>
    <t>ruinTitle_6</t>
  </si>
  <si>
    <t>ruinContent_6</t>
  </si>
  <si>
    <t>ruinTitle_7</t>
  </si>
  <si>
    <t>ruinContent_7</t>
  </si>
  <si>
    <t>这里看起来有些年头了，清理这里可以获得发展需要的资源。</t>
  </si>
  <si>
    <t>房子的主人早已离开，只剩下无法搬走的家具。清理这里可以获得发展需要的资源。</t>
  </si>
  <si>
    <t>炉火看起来再也没办法点燃了，清理这里可以获得发展需要的资源。</t>
  </si>
  <si>
    <t>这里发生过防守蛮族的战斗，清理这里可以获得发展需要的资源。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</si>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</sst>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selection activeCell="M28" sqref="M28"/>
    </sheetView>
  </sheetViews>
  <sheetFormatPr defaultRowHeight="14" x14ac:dyDescent="0.3"/>
  <cols>
    <col min="1" max="2" width="41" style="1" customWidth="1"/>
    <col min="3" max="3" width="20" style="8" customWidth="1"/>
    <col min="4" max="4" width="14.08203125" style="8" bestFit="1" customWidth="1"/>
    <col min="5" max="5" width="13.08203125" style="8" customWidth="1"/>
    <col min="6" max="6" width="15.08203125" style="8" bestFit="1" customWidth="1"/>
    <col min="7" max="9" width="14" style="3" customWidth="1"/>
    <col min="10" max="10" width="12.75" style="3" customWidth="1"/>
    <col min="11" max="11" width="12.33203125" style="8" customWidth="1"/>
    <col min="13" max="13" width="19.33203125" style="8" customWidth="1"/>
    <col min="14" max="14" width="22.75" style="8" customWidth="1"/>
    <col min="15" max="15" width="44.25" style="8" bestFit="1" customWidth="1"/>
    <col min="16" max="16" width="54.08203125" style="8" customWidth="1"/>
    <col min="17" max="17" width="12.33203125" style="8" customWidth="1"/>
    <col min="19" max="19" width="45.33203125" style="8" customWidth="1"/>
    <col min="20" max="20" width="16.08203125" style="1" customWidth="1"/>
    <col min="21" max="21" width="12.83203125" style="8" bestFit="1" customWidth="1"/>
  </cols>
  <sheetData>
    <row r="1" spans="1:26" x14ac:dyDescent="0.3">
      <c r="A1" s="2" t="s">
        <v>0</v>
      </c>
      <c r="B1" s="2"/>
    </row>
    <row r="2" spans="1:26" s="1" customFormat="1" x14ac:dyDescent="0.3">
      <c r="A2" s="1" t="s">
        <v>1</v>
      </c>
      <c r="B2" s="7" t="s">
        <v>2</v>
      </c>
      <c r="C2" s="1" t="s">
        <v>3</v>
      </c>
      <c r="D2" s="1" t="s">
        <v>4</v>
      </c>
      <c r="G2" s="4" t="s">
        <v>5</v>
      </c>
      <c r="H2" s="4" t="s">
        <v>5</v>
      </c>
      <c r="I2" s="4" t="s">
        <v>5</v>
      </c>
      <c r="J2" s="4"/>
      <c r="K2" s="1" t="s">
        <v>6</v>
      </c>
      <c r="L2" s="1" t="s">
        <v>7</v>
      </c>
      <c r="N2" s="1" t="s">
        <v>8</v>
      </c>
      <c r="O2" s="1" t="s">
        <v>9</v>
      </c>
      <c r="P2" s="1" t="s">
        <v>10</v>
      </c>
      <c r="Q2" s="1" t="s">
        <v>6</v>
      </c>
      <c r="R2" s="1" t="s">
        <v>7</v>
      </c>
      <c r="S2" s="1" t="s">
        <v>11</v>
      </c>
      <c r="T2" s="1" t="s">
        <v>12</v>
      </c>
      <c r="U2" s="1" t="s">
        <v>13</v>
      </c>
      <c r="V2" s="1" t="s">
        <v>13</v>
      </c>
      <c r="W2" s="1" t="s">
        <v>13</v>
      </c>
      <c r="X2" s="1" t="s">
        <v>14</v>
      </c>
      <c r="Y2" s="1" t="s">
        <v>15</v>
      </c>
      <c r="Z2" s="1" t="s">
        <v>16</v>
      </c>
    </row>
    <row r="3" spans="1:26" s="1" customFormat="1" x14ac:dyDescent="0.3">
      <c r="A3" s="1" t="s">
        <v>17</v>
      </c>
      <c r="B3" s="7" t="s">
        <v>18</v>
      </c>
      <c r="C3" s="1" t="s">
        <v>19</v>
      </c>
      <c r="D3" s="1" t="s">
        <v>20</v>
      </c>
      <c r="G3" s="4" t="s">
        <v>21</v>
      </c>
      <c r="H3" s="4" t="s">
        <v>22</v>
      </c>
      <c r="I3" s="4" t="s">
        <v>23</v>
      </c>
      <c r="J3" s="4"/>
      <c r="K3" s="1" t="s">
        <v>24</v>
      </c>
      <c r="L3" s="1" t="s">
        <v>25</v>
      </c>
      <c r="N3" s="1" t="s">
        <v>26</v>
      </c>
      <c r="O3" s="1" t="s">
        <v>27</v>
      </c>
      <c r="P3" s="1" t="s">
        <v>28</v>
      </c>
      <c r="Q3" s="1" t="s">
        <v>24</v>
      </c>
      <c r="R3" s="1" t="s">
        <v>25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</row>
    <row r="4" spans="1:26" s="1" customFormat="1" x14ac:dyDescent="0.3">
      <c r="A4" s="1">
        <v>1</v>
      </c>
      <c r="B4" s="1">
        <v>0</v>
      </c>
      <c r="C4" s="1">
        <v>1700001</v>
      </c>
      <c r="D4" s="1">
        <v>30</v>
      </c>
      <c r="E4" s="1" t="s">
        <v>37</v>
      </c>
      <c r="F4" s="1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1">
        <f>VLOOKUP($M4,'#Sheet2'!$E$4:$I$10,4,FALSE)</f>
        <v>2</v>
      </c>
      <c r="L4" s="1">
        <f>VLOOKUP($M4,'#Sheet2'!$E$4:$I$10,4,FALSE)</f>
        <v>2</v>
      </c>
      <c r="M4" t="s">
        <v>43</v>
      </c>
      <c r="N4" s="1" t="s">
        <v>44</v>
      </c>
      <c r="O4" s="1" t="s">
        <v>45</v>
      </c>
      <c r="P4" s="1" t="s">
        <v>46</v>
      </c>
      <c r="Q4" s="1">
        <f>VLOOKUP($M4,'#Sheet2'!$E$4:$I$10,4,FALSE)</f>
        <v>2</v>
      </c>
      <c r="R4" s="1">
        <f>VLOOKUP($M4,'#Sheet2'!$E$4:$I$10,4,FALSE)</f>
        <v>2</v>
      </c>
      <c r="S4" t="s">
        <v>47</v>
      </c>
      <c r="T4" s="1">
        <f t="shared" ref="T4:T17" si="0">R4+1</f>
        <v>3</v>
      </c>
      <c r="U4" s="1">
        <v>0</v>
      </c>
      <c r="V4" s="1">
        <v>8</v>
      </c>
      <c r="W4" s="1">
        <v>0</v>
      </c>
      <c r="X4" s="1">
        <v>0</v>
      </c>
      <c r="Y4" s="1">
        <v>6</v>
      </c>
      <c r="Z4" s="1">
        <v>0</v>
      </c>
    </row>
    <row r="5" spans="1:26" s="1" customFormat="1" x14ac:dyDescent="0.3">
      <c r="A5" s="1">
        <v>2</v>
      </c>
      <c r="B5" s="1">
        <v>0</v>
      </c>
      <c r="C5" s="1">
        <v>1700001</v>
      </c>
      <c r="D5" s="1">
        <v>60</v>
      </c>
      <c r="E5" s="1" t="s">
        <v>48</v>
      </c>
      <c r="F5" s="1" t="s">
        <v>49</v>
      </c>
      <c r="G5" s="4" t="s">
        <v>50</v>
      </c>
      <c r="H5" s="4" t="s">
        <v>40</v>
      </c>
      <c r="I5" s="4" t="s">
        <v>39</v>
      </c>
      <c r="J5" s="4" t="s">
        <v>42</v>
      </c>
      <c r="K5" s="1">
        <f>VLOOKUP($M5,'#Sheet2'!$E$4:$I$10,4,FALSE)</f>
        <v>2</v>
      </c>
      <c r="L5" s="1">
        <f>VLOOKUP($M5,'#Sheet2'!$E$4:$I$10,4,FALSE)</f>
        <v>2</v>
      </c>
      <c r="M5" t="s">
        <v>43</v>
      </c>
      <c r="N5" s="1" t="s">
        <v>44</v>
      </c>
      <c r="O5" s="1" t="s">
        <v>45</v>
      </c>
      <c r="P5" s="1" t="s">
        <v>46</v>
      </c>
      <c r="Q5" s="1">
        <f>VLOOKUP($M5,'#Sheet2'!$E$4:$I$10,4,FALSE)</f>
        <v>2</v>
      </c>
      <c r="R5" s="1">
        <f>VLOOKUP($M5,'#Sheet2'!$E$4:$I$10,4,FALSE)</f>
        <v>2</v>
      </c>
      <c r="S5" s="1" t="s">
        <v>47</v>
      </c>
      <c r="T5" s="1">
        <f t="shared" si="0"/>
        <v>3</v>
      </c>
      <c r="U5" s="1">
        <v>0</v>
      </c>
      <c r="V5" s="1">
        <v>8</v>
      </c>
      <c r="W5" s="1">
        <v>0</v>
      </c>
      <c r="X5" s="1">
        <v>0</v>
      </c>
      <c r="Y5" s="1">
        <v>6</v>
      </c>
      <c r="Z5" s="1">
        <v>0</v>
      </c>
    </row>
    <row r="6" spans="1:26" s="1" customFormat="1" x14ac:dyDescent="0.3">
      <c r="A6" s="1">
        <v>3</v>
      </c>
      <c r="B6" s="1">
        <v>0</v>
      </c>
      <c r="C6" s="1">
        <v>1700001</v>
      </c>
      <c r="D6" s="1">
        <v>420</v>
      </c>
      <c r="E6" s="1" t="s">
        <v>51</v>
      </c>
      <c r="F6" s="1" t="s">
        <v>52</v>
      </c>
      <c r="G6" s="4" t="s">
        <v>53</v>
      </c>
      <c r="H6" s="4" t="s">
        <v>40</v>
      </c>
      <c r="I6" s="4" t="s">
        <v>54</v>
      </c>
      <c r="J6" s="4" t="s">
        <v>42</v>
      </c>
      <c r="K6" s="5">
        <f>VLOOKUP($M6,'#Sheet2'!$E$4:$I$10,4,FALSE)</f>
        <v>3</v>
      </c>
      <c r="L6" s="5">
        <f>VLOOKUP($M6,'#Sheet2'!$E$4:$I$10,4,FALSE)</f>
        <v>3</v>
      </c>
      <c r="M6" t="s">
        <v>55</v>
      </c>
      <c r="N6" s="1" t="s">
        <v>56</v>
      </c>
      <c r="O6" s="1" t="s">
        <v>57</v>
      </c>
      <c r="P6" s="1" t="s">
        <v>58</v>
      </c>
      <c r="Q6" s="5">
        <f>VLOOKUP($M6,'#Sheet2'!$E$4:$I$10,4,FALSE)</f>
        <v>3</v>
      </c>
      <c r="R6" s="5">
        <f>VLOOKUP($M6,'#Sheet2'!$E$4:$I$10,4,FALSE)</f>
        <v>3</v>
      </c>
      <c r="S6" s="1" t="s">
        <v>47</v>
      </c>
      <c r="T6" s="1">
        <f t="shared" si="0"/>
        <v>4</v>
      </c>
      <c r="U6" s="1">
        <v>0</v>
      </c>
      <c r="V6" s="1">
        <v>8</v>
      </c>
      <c r="W6" s="1">
        <v>0</v>
      </c>
      <c r="X6" s="1">
        <v>0</v>
      </c>
      <c r="Y6" s="1">
        <v>6</v>
      </c>
      <c r="Z6" s="1">
        <v>0</v>
      </c>
    </row>
    <row r="7" spans="1:26" s="1" customFormat="1" x14ac:dyDescent="0.3">
      <c r="A7" s="1">
        <v>4</v>
      </c>
      <c r="B7" s="1">
        <v>0</v>
      </c>
      <c r="C7" s="1">
        <v>1700001</v>
      </c>
      <c r="D7" s="1">
        <v>180</v>
      </c>
      <c r="E7" s="1" t="s">
        <v>59</v>
      </c>
      <c r="F7" s="1" t="s">
        <v>60</v>
      </c>
      <c r="G7" s="1">
        <v>69</v>
      </c>
      <c r="H7" s="1">
        <v>0</v>
      </c>
      <c r="I7" s="1">
        <v>-9</v>
      </c>
      <c r="J7" s="1" t="s">
        <v>42</v>
      </c>
      <c r="K7" s="1">
        <f>VLOOKUP($M7,'#Sheet2'!$E$4:$I$10,4,FALSE)</f>
        <v>2</v>
      </c>
      <c r="L7" s="1">
        <f>VLOOKUP($M7,'#Sheet2'!$E$4:$I$10,4,FALSE)</f>
        <v>2</v>
      </c>
      <c r="M7" t="s">
        <v>43</v>
      </c>
      <c r="N7" s="1" t="s">
        <v>44</v>
      </c>
      <c r="O7" s="1" t="s">
        <v>45</v>
      </c>
      <c r="P7" s="1" t="s">
        <v>46</v>
      </c>
      <c r="Q7" s="1">
        <f>VLOOKUP($M7,'#Sheet2'!$E$4:$I$10,4,FALSE)</f>
        <v>2</v>
      </c>
      <c r="R7" s="1">
        <f>VLOOKUP($M7,'#Sheet2'!$E$4:$I$10,4,FALSE)</f>
        <v>2</v>
      </c>
      <c r="S7" s="1" t="s">
        <v>47</v>
      </c>
      <c r="T7" s="1">
        <f t="shared" si="0"/>
        <v>3</v>
      </c>
      <c r="U7" s="1">
        <v>0</v>
      </c>
      <c r="V7" s="1">
        <v>8</v>
      </c>
      <c r="W7" s="1">
        <v>0</v>
      </c>
      <c r="X7" s="1">
        <v>0</v>
      </c>
      <c r="Y7" s="1">
        <v>6</v>
      </c>
      <c r="Z7" s="1">
        <v>0</v>
      </c>
    </row>
    <row r="8" spans="1:26" s="1" customFormat="1" x14ac:dyDescent="0.3">
      <c r="A8" s="1">
        <v>5</v>
      </c>
      <c r="B8" s="1">
        <v>0</v>
      </c>
      <c r="C8" s="1">
        <v>1700001</v>
      </c>
      <c r="D8" s="1">
        <v>3</v>
      </c>
      <c r="E8" s="1" t="s">
        <v>61</v>
      </c>
      <c r="F8" s="1" t="s">
        <v>60</v>
      </c>
      <c r="G8" s="4" t="s">
        <v>62</v>
      </c>
      <c r="H8" s="4" t="s">
        <v>40</v>
      </c>
      <c r="I8" s="4" t="s">
        <v>63</v>
      </c>
      <c r="J8" s="4" t="s">
        <v>42</v>
      </c>
      <c r="K8" s="1">
        <f>VLOOKUP($M8,'#Sheet2'!$E$4:$I$10,4,FALSE)</f>
        <v>2</v>
      </c>
      <c r="L8" s="1">
        <f>VLOOKUP($M8,'#Sheet2'!$E$4:$I$10,4,FALSE)</f>
        <v>2</v>
      </c>
      <c r="M8" t="s">
        <v>64</v>
      </c>
      <c r="N8" s="1" t="s">
        <v>44</v>
      </c>
      <c r="O8" s="1" t="s">
        <v>45</v>
      </c>
      <c r="P8" s="1" t="s">
        <v>65</v>
      </c>
      <c r="Q8" s="1">
        <f>VLOOKUP($M8,'#Sheet2'!$E$4:$I$10,4,FALSE)</f>
        <v>2</v>
      </c>
      <c r="R8" s="1">
        <f>VLOOKUP($M8,'#Sheet2'!$E$4:$I$10,4,FALSE)</f>
        <v>2</v>
      </c>
      <c r="S8" s="1" t="s">
        <v>47</v>
      </c>
      <c r="T8" s="1">
        <f t="shared" si="0"/>
        <v>3</v>
      </c>
      <c r="U8" s="1">
        <v>0</v>
      </c>
      <c r="V8" s="1">
        <v>8</v>
      </c>
      <c r="W8" s="1">
        <v>0</v>
      </c>
      <c r="X8" s="1">
        <v>0</v>
      </c>
      <c r="Y8" s="1">
        <v>6</v>
      </c>
      <c r="Z8" s="1">
        <v>0</v>
      </c>
    </row>
    <row r="9" spans="1:26" s="1" customFormat="1" x14ac:dyDescent="0.3">
      <c r="A9" s="1">
        <v>7</v>
      </c>
      <c r="B9" s="1">
        <v>0</v>
      </c>
      <c r="C9" s="1">
        <v>1700001</v>
      </c>
      <c r="D9" s="1">
        <v>420</v>
      </c>
      <c r="E9" s="1" t="s">
        <v>66</v>
      </c>
      <c r="F9" s="1" t="s">
        <v>67</v>
      </c>
      <c r="G9" s="4" t="s">
        <v>68</v>
      </c>
      <c r="H9" s="4" t="s">
        <v>40</v>
      </c>
      <c r="I9" s="4" t="s">
        <v>69</v>
      </c>
      <c r="J9" s="4" t="s">
        <v>42</v>
      </c>
      <c r="K9" s="5">
        <f>VLOOKUP($M9,'#Sheet2'!$E$4:$I$10,4,FALSE)</f>
        <v>3</v>
      </c>
      <c r="L9" s="5">
        <f>VLOOKUP($M9,'#Sheet2'!$E$4:$I$10,4,FALSE)</f>
        <v>3</v>
      </c>
      <c r="M9" t="s">
        <v>55</v>
      </c>
      <c r="N9" s="1" t="s">
        <v>56</v>
      </c>
      <c r="O9" s="1" t="s">
        <v>57</v>
      </c>
      <c r="P9" s="1" t="s">
        <v>58</v>
      </c>
      <c r="Q9" s="5">
        <f>VLOOKUP($M9,'#Sheet2'!$E$4:$I$10,4,FALSE)</f>
        <v>3</v>
      </c>
      <c r="R9" s="5">
        <f>VLOOKUP($M9,'#Sheet2'!$E$4:$I$10,4,FALSE)</f>
        <v>3</v>
      </c>
      <c r="S9" s="1" t="s">
        <v>47</v>
      </c>
      <c r="T9" s="1">
        <f t="shared" si="0"/>
        <v>4</v>
      </c>
      <c r="U9" s="1">
        <v>0</v>
      </c>
      <c r="V9" s="1">
        <v>8</v>
      </c>
      <c r="W9" s="1">
        <v>0</v>
      </c>
      <c r="X9" s="1">
        <v>0</v>
      </c>
      <c r="Y9" s="1">
        <v>6</v>
      </c>
      <c r="Z9" s="1">
        <v>0</v>
      </c>
    </row>
    <row r="10" spans="1:26" s="1" customFormat="1" x14ac:dyDescent="0.3">
      <c r="A10" s="1">
        <v>8</v>
      </c>
      <c r="B10" s="1">
        <v>0</v>
      </c>
      <c r="C10" s="1">
        <v>1700001</v>
      </c>
      <c r="D10" s="1">
        <v>300</v>
      </c>
      <c r="E10" s="1" t="s">
        <v>70</v>
      </c>
      <c r="F10" s="1" t="s">
        <v>52</v>
      </c>
      <c r="G10" s="4" t="s">
        <v>71</v>
      </c>
      <c r="H10" s="4" t="s">
        <v>40</v>
      </c>
      <c r="I10" s="4" t="s">
        <v>72</v>
      </c>
      <c r="J10" s="4" t="s">
        <v>42</v>
      </c>
      <c r="K10" s="1">
        <f>VLOOKUP($M10,'#Sheet2'!$E$4:$I$10,4,FALSE)</f>
        <v>4</v>
      </c>
      <c r="L10" s="1">
        <f>VLOOKUP($M10,'#Sheet2'!$E$4:$I$10,4,FALSE)</f>
        <v>4</v>
      </c>
      <c r="M10" t="s">
        <v>73</v>
      </c>
      <c r="N10" s="1" t="s">
        <v>74</v>
      </c>
      <c r="O10" s="1" t="s">
        <v>75</v>
      </c>
      <c r="P10" s="1" t="s">
        <v>76</v>
      </c>
      <c r="Q10" s="1">
        <f>VLOOKUP($M10,'#Sheet2'!$E$4:$I$10,4,FALSE)</f>
        <v>4</v>
      </c>
      <c r="R10" s="1">
        <f>VLOOKUP($M10,'#Sheet2'!$E$4:$I$10,4,FALSE)</f>
        <v>4</v>
      </c>
      <c r="S10" s="1" t="s">
        <v>47</v>
      </c>
      <c r="T10" s="1">
        <f t="shared" si="0"/>
        <v>5</v>
      </c>
      <c r="U10" s="1">
        <v>0</v>
      </c>
      <c r="V10" s="1">
        <v>8</v>
      </c>
      <c r="W10" s="1">
        <v>0</v>
      </c>
      <c r="X10" s="1">
        <v>0</v>
      </c>
      <c r="Y10" s="1">
        <v>6</v>
      </c>
      <c r="Z10" s="1">
        <v>0</v>
      </c>
    </row>
    <row r="11" spans="1:26" s="1" customFormat="1" x14ac:dyDescent="0.3">
      <c r="A11" s="1">
        <v>9</v>
      </c>
      <c r="B11" s="1">
        <v>0</v>
      </c>
      <c r="C11" s="1">
        <v>1700001</v>
      </c>
      <c r="D11" s="1">
        <v>10</v>
      </c>
      <c r="E11" s="6" t="s">
        <v>77</v>
      </c>
      <c r="F11" s="6"/>
      <c r="G11" s="4" t="s">
        <v>78</v>
      </c>
      <c r="H11" s="4" t="s">
        <v>79</v>
      </c>
      <c r="I11" s="4" t="s">
        <v>80</v>
      </c>
      <c r="J11" s="4" t="s">
        <v>81</v>
      </c>
      <c r="K11" s="1">
        <f>VLOOKUP($M11,'#Sheet2'!$E$4:$I$10,4,FALSE)</f>
        <v>2</v>
      </c>
      <c r="L11" s="1">
        <f>VLOOKUP($M11,'#Sheet2'!$E$4:$I$10,4,FALSE)</f>
        <v>2</v>
      </c>
      <c r="M11" t="s">
        <v>82</v>
      </c>
      <c r="N11" s="1" t="s">
        <v>83</v>
      </c>
      <c r="O11" s="1" t="s">
        <v>57</v>
      </c>
      <c r="P11" s="1" t="s">
        <v>84</v>
      </c>
      <c r="Q11" s="1">
        <f>VLOOKUP($M11,'#Sheet2'!$E$4:$I$10,4,FALSE)</f>
        <v>2</v>
      </c>
      <c r="R11" s="1">
        <f>VLOOKUP($M11,'#Sheet2'!$E$4:$I$10,4,FALSE)</f>
        <v>2</v>
      </c>
      <c r="S11" s="1" t="s">
        <v>47</v>
      </c>
      <c r="T11" s="1">
        <f t="shared" si="0"/>
        <v>3</v>
      </c>
      <c r="U11" s="1">
        <v>0</v>
      </c>
      <c r="V11" s="1">
        <v>8</v>
      </c>
      <c r="W11" s="1">
        <v>0</v>
      </c>
      <c r="X11" s="1">
        <v>0</v>
      </c>
      <c r="Y11" s="1">
        <v>6</v>
      </c>
      <c r="Z11" s="1">
        <v>0</v>
      </c>
    </row>
    <row r="12" spans="1:26" s="1" customFormat="1" x14ac:dyDescent="0.3">
      <c r="A12" s="1">
        <v>10</v>
      </c>
      <c r="B12" s="1">
        <v>0</v>
      </c>
      <c r="C12" s="1">
        <v>1700001</v>
      </c>
      <c r="D12" s="1">
        <f>2*3600</f>
        <v>7200</v>
      </c>
      <c r="E12" s="6" t="s">
        <v>85</v>
      </c>
      <c r="F12" s="6"/>
      <c r="G12" s="4" t="s">
        <v>86</v>
      </c>
      <c r="H12" s="4" t="s">
        <v>79</v>
      </c>
      <c r="I12" s="4" t="s">
        <v>87</v>
      </c>
      <c r="J12" s="4" t="s">
        <v>81</v>
      </c>
      <c r="K12" s="5">
        <f>VLOOKUP($M12,'#Sheet2'!$E$4:$I$10,4,FALSE)</f>
        <v>3</v>
      </c>
      <c r="L12" s="5">
        <f>VLOOKUP($M12,'#Sheet2'!$E$4:$I$10,4,FALSE)</f>
        <v>3</v>
      </c>
      <c r="M12" t="s">
        <v>88</v>
      </c>
      <c r="N12" s="1" t="s">
        <v>89</v>
      </c>
      <c r="O12" s="1" t="s">
        <v>90</v>
      </c>
      <c r="P12" s="1" t="s">
        <v>91</v>
      </c>
      <c r="Q12" s="5">
        <f>VLOOKUP($M12,'#Sheet2'!$E$4:$I$10,4,FALSE)</f>
        <v>3</v>
      </c>
      <c r="R12" s="5">
        <f>VLOOKUP($M12,'#Sheet2'!$E$4:$I$10,4,FALSE)</f>
        <v>3</v>
      </c>
      <c r="S12" s="1" t="s">
        <v>47</v>
      </c>
      <c r="T12" s="1">
        <f t="shared" si="0"/>
        <v>4</v>
      </c>
      <c r="U12" s="1">
        <v>0</v>
      </c>
      <c r="V12" s="1">
        <v>8</v>
      </c>
      <c r="W12" s="1">
        <v>0</v>
      </c>
      <c r="X12" s="1">
        <v>0</v>
      </c>
      <c r="Y12" s="1">
        <v>6</v>
      </c>
      <c r="Z12" s="1">
        <v>0</v>
      </c>
    </row>
    <row r="13" spans="1:26" s="1" customFormat="1" x14ac:dyDescent="0.3">
      <c r="A13" s="1">
        <v>11</v>
      </c>
      <c r="B13" s="1">
        <v>0</v>
      </c>
      <c r="C13" s="1">
        <v>1700001</v>
      </c>
      <c r="D13" s="1">
        <f>12*3600</f>
        <v>43200</v>
      </c>
      <c r="E13" s="6" t="s">
        <v>92</v>
      </c>
      <c r="F13" s="6" t="s">
        <v>93</v>
      </c>
      <c r="G13" s="4" t="s">
        <v>94</v>
      </c>
      <c r="H13" s="4" t="s">
        <v>79</v>
      </c>
      <c r="I13" s="4" t="s">
        <v>95</v>
      </c>
      <c r="J13" s="4" t="s">
        <v>81</v>
      </c>
      <c r="K13" s="1">
        <f>VLOOKUP($M13,'#Sheet2'!$E$4:$I$10,4,FALSE)</f>
        <v>4</v>
      </c>
      <c r="L13" s="1">
        <f>VLOOKUP($M13,'#Sheet2'!$E$4:$I$10,4,FALSE)</f>
        <v>4</v>
      </c>
      <c r="M13" t="s">
        <v>73</v>
      </c>
      <c r="N13" s="1" t="s">
        <v>74</v>
      </c>
      <c r="O13" s="1" t="s">
        <v>75</v>
      </c>
      <c r="P13" s="1" t="s">
        <v>76</v>
      </c>
      <c r="Q13" s="1">
        <f>VLOOKUP($M13,'#Sheet2'!$E$4:$I$10,4,FALSE)</f>
        <v>4</v>
      </c>
      <c r="R13" s="1">
        <f>VLOOKUP($M13,'#Sheet2'!$E$4:$I$10,4,FALSE)</f>
        <v>4</v>
      </c>
      <c r="S13" s="1" t="s">
        <v>47</v>
      </c>
      <c r="T13" s="1">
        <f t="shared" si="0"/>
        <v>5</v>
      </c>
      <c r="U13" s="1">
        <v>0</v>
      </c>
      <c r="V13" s="1">
        <v>8</v>
      </c>
      <c r="W13" s="1">
        <v>0</v>
      </c>
      <c r="X13" s="1">
        <v>0</v>
      </c>
      <c r="Y13" s="1">
        <v>6</v>
      </c>
      <c r="Z13" s="1">
        <v>0</v>
      </c>
    </row>
    <row r="14" spans="1:26" s="1" customFormat="1" x14ac:dyDescent="0.3">
      <c r="A14" s="1">
        <v>12</v>
      </c>
      <c r="B14" s="1">
        <v>0</v>
      </c>
      <c r="C14" s="1">
        <v>1700001</v>
      </c>
      <c r="D14" s="1">
        <f>6*3600</f>
        <v>21600</v>
      </c>
      <c r="E14" s="6" t="s">
        <v>85</v>
      </c>
      <c r="F14" s="6" t="s">
        <v>93</v>
      </c>
      <c r="G14" s="4" t="s">
        <v>96</v>
      </c>
      <c r="H14" s="4" t="s">
        <v>79</v>
      </c>
      <c r="I14" s="4" t="s">
        <v>97</v>
      </c>
      <c r="J14" s="4" t="s">
        <v>81</v>
      </c>
      <c r="K14" s="5">
        <f>VLOOKUP($M14,'#Sheet2'!$E$4:$I$10,4,FALSE)</f>
        <v>3</v>
      </c>
      <c r="L14" s="5">
        <f>VLOOKUP($M14,'#Sheet2'!$E$4:$I$10,4,FALSE)</f>
        <v>3</v>
      </c>
      <c r="M14" t="s">
        <v>88</v>
      </c>
      <c r="N14" s="1" t="s">
        <v>89</v>
      </c>
      <c r="O14" s="1" t="s">
        <v>90</v>
      </c>
      <c r="P14" s="1" t="s">
        <v>91</v>
      </c>
      <c r="Q14" s="5">
        <f>VLOOKUP($M14,'#Sheet2'!$E$4:$I$10,4,FALSE)</f>
        <v>3</v>
      </c>
      <c r="R14" s="5">
        <f>VLOOKUP($M14,'#Sheet2'!$E$4:$I$10,4,FALSE)</f>
        <v>3</v>
      </c>
      <c r="S14" s="1" t="s">
        <v>47</v>
      </c>
      <c r="T14" s="1">
        <f t="shared" si="0"/>
        <v>4</v>
      </c>
      <c r="U14" s="1">
        <v>0</v>
      </c>
      <c r="V14" s="1">
        <v>8</v>
      </c>
      <c r="W14" s="1">
        <v>0</v>
      </c>
      <c r="X14" s="1">
        <v>0</v>
      </c>
      <c r="Y14" s="1">
        <v>6</v>
      </c>
      <c r="Z14" s="1">
        <v>0</v>
      </c>
    </row>
    <row r="15" spans="1:26" s="1" customFormat="1" x14ac:dyDescent="0.3">
      <c r="A15" s="1">
        <v>13</v>
      </c>
      <c r="B15" s="1">
        <v>0</v>
      </c>
      <c r="C15" s="1">
        <v>1700001</v>
      </c>
      <c r="D15" s="1">
        <v>10</v>
      </c>
      <c r="E15" s="6" t="s">
        <v>98</v>
      </c>
      <c r="F15" s="6"/>
      <c r="G15" s="4" t="s">
        <v>99</v>
      </c>
      <c r="H15" s="4" t="s">
        <v>79</v>
      </c>
      <c r="I15" s="4" t="s">
        <v>100</v>
      </c>
      <c r="J15" s="4" t="s">
        <v>81</v>
      </c>
      <c r="K15" s="1">
        <f>VLOOKUP($M15,'#Sheet2'!$E$4:$I$10,4,FALSE)</f>
        <v>2</v>
      </c>
      <c r="L15" s="1">
        <f>VLOOKUP($M15,'#Sheet2'!$E$4:$I$10,4,FALSE)</f>
        <v>2</v>
      </c>
      <c r="M15" t="s">
        <v>64</v>
      </c>
      <c r="N15" s="1" t="s">
        <v>44</v>
      </c>
      <c r="O15" s="1" t="s">
        <v>45</v>
      </c>
      <c r="P15" s="1" t="s">
        <v>65</v>
      </c>
      <c r="Q15" s="1">
        <f>VLOOKUP($M15,'#Sheet2'!$E$4:$I$10,4,FALSE)</f>
        <v>2</v>
      </c>
      <c r="R15" s="1">
        <f>VLOOKUP($M15,'#Sheet2'!$E$4:$I$10,4,FALSE)</f>
        <v>2</v>
      </c>
      <c r="S15" s="1" t="s">
        <v>47</v>
      </c>
      <c r="T15" s="1">
        <f t="shared" si="0"/>
        <v>3</v>
      </c>
      <c r="U15" s="1">
        <v>0</v>
      </c>
      <c r="V15" s="1">
        <v>8</v>
      </c>
      <c r="W15" s="1">
        <v>0</v>
      </c>
      <c r="X15" s="1">
        <v>0</v>
      </c>
      <c r="Y15" s="1">
        <v>6</v>
      </c>
      <c r="Z15" s="1">
        <v>0</v>
      </c>
    </row>
    <row r="16" spans="1:26" s="1" customFormat="1" x14ac:dyDescent="0.3">
      <c r="A16" s="1">
        <v>14</v>
      </c>
      <c r="B16" s="1">
        <v>0</v>
      </c>
      <c r="C16" s="1">
        <v>1700001</v>
      </c>
      <c r="D16" s="1">
        <v>10</v>
      </c>
      <c r="E16" s="6" t="s">
        <v>98</v>
      </c>
      <c r="F16" s="6" t="s">
        <v>101</v>
      </c>
      <c r="G16" s="4" t="s">
        <v>102</v>
      </c>
      <c r="H16" s="4" t="s">
        <v>79</v>
      </c>
      <c r="I16" s="4" t="s">
        <v>103</v>
      </c>
      <c r="J16" s="4" t="s">
        <v>81</v>
      </c>
      <c r="K16" s="1">
        <f>VLOOKUP($M16,'#Sheet2'!$E$4:$I$10,4,FALSE)</f>
        <v>2</v>
      </c>
      <c r="L16" s="1">
        <f>VLOOKUP($M16,'#Sheet2'!$E$4:$I$10,4,FALSE)</f>
        <v>2</v>
      </c>
      <c r="M16" t="s">
        <v>64</v>
      </c>
      <c r="N16" s="1" t="s">
        <v>44</v>
      </c>
      <c r="O16" s="1" t="s">
        <v>45</v>
      </c>
      <c r="P16" s="1" t="s">
        <v>65</v>
      </c>
      <c r="Q16" s="1">
        <f>VLOOKUP($M16,'#Sheet2'!$E$4:$I$10,4,FALSE)</f>
        <v>2</v>
      </c>
      <c r="R16" s="1">
        <f>VLOOKUP($M16,'#Sheet2'!$E$4:$I$10,4,FALSE)</f>
        <v>2</v>
      </c>
      <c r="S16" s="1" t="s">
        <v>47</v>
      </c>
      <c r="T16" s="1">
        <f t="shared" si="0"/>
        <v>3</v>
      </c>
      <c r="U16" s="1">
        <v>0</v>
      </c>
      <c r="V16" s="1">
        <v>8</v>
      </c>
      <c r="W16" s="1">
        <v>0</v>
      </c>
      <c r="X16" s="1">
        <v>0</v>
      </c>
      <c r="Y16" s="1">
        <v>6</v>
      </c>
      <c r="Z16" s="1">
        <v>0</v>
      </c>
    </row>
    <row r="17" spans="1:26" s="1" customFormat="1" x14ac:dyDescent="0.3">
      <c r="A17" s="1">
        <v>15</v>
      </c>
      <c r="B17" s="1">
        <v>0</v>
      </c>
      <c r="C17" s="1">
        <v>1700001</v>
      </c>
      <c r="D17" s="1">
        <v>5</v>
      </c>
      <c r="E17" s="6" t="s">
        <v>98</v>
      </c>
      <c r="F17" s="6" t="s">
        <v>101</v>
      </c>
      <c r="G17" s="4" t="s">
        <v>104</v>
      </c>
      <c r="H17" s="4" t="s">
        <v>79</v>
      </c>
      <c r="I17" s="4" t="s">
        <v>105</v>
      </c>
      <c r="J17" s="4" t="s">
        <v>81</v>
      </c>
      <c r="K17" s="1">
        <f>VLOOKUP($M17,'#Sheet2'!$E$4:$I$10,4,FALSE)</f>
        <v>2</v>
      </c>
      <c r="L17" s="1">
        <f>VLOOKUP($M17,'#Sheet2'!$E$4:$I$10,4,FALSE)</f>
        <v>2</v>
      </c>
      <c r="M17" t="s">
        <v>64</v>
      </c>
      <c r="N17" s="1" t="s">
        <v>44</v>
      </c>
      <c r="O17" s="1" t="s">
        <v>45</v>
      </c>
      <c r="P17" s="1" t="s">
        <v>65</v>
      </c>
      <c r="Q17" s="1">
        <f>VLOOKUP($M17,'#Sheet2'!$E$4:$I$10,4,FALSE)</f>
        <v>2</v>
      </c>
      <c r="R17" s="1">
        <f>VLOOKUP($M17,'#Sheet2'!$E$4:$I$10,4,FALSE)</f>
        <v>2</v>
      </c>
      <c r="S17" s="1" t="s">
        <v>47</v>
      </c>
      <c r="T17" s="1">
        <f t="shared" si="0"/>
        <v>3</v>
      </c>
      <c r="U17" s="1">
        <v>0</v>
      </c>
      <c r="V17" s="1">
        <v>8</v>
      </c>
      <c r="W17" s="1">
        <v>0</v>
      </c>
      <c r="X17" s="1">
        <v>0</v>
      </c>
      <c r="Y17" s="1">
        <v>6</v>
      </c>
      <c r="Z17" s="1">
        <v>0</v>
      </c>
    </row>
    <row r="18" spans="1:26" s="1" customFormat="1" x14ac:dyDescent="0.3">
      <c r="G18" s="4"/>
      <c r="H18" s="4"/>
      <c r="I18" s="4"/>
      <c r="J18" s="4"/>
    </row>
    <row r="19" spans="1:26" s="1" customFormat="1" x14ac:dyDescent="0.3">
      <c r="G19" s="4"/>
      <c r="H19" s="4"/>
      <c r="I19" s="4"/>
      <c r="J19" s="4"/>
    </row>
    <row r="20" spans="1:26" s="1" customFormat="1" x14ac:dyDescent="0.3">
      <c r="G20" s="4"/>
      <c r="H20" s="4"/>
      <c r="I20" s="4"/>
      <c r="J20" s="4"/>
    </row>
    <row r="21" spans="1:26" s="1" customFormat="1" x14ac:dyDescent="0.3">
      <c r="G21" s="4"/>
      <c r="H21" s="4"/>
      <c r="I21" s="4"/>
      <c r="J21" s="4"/>
    </row>
    <row r="22" spans="1:26" x14ac:dyDescent="0.3">
      <c r="C22" s="1"/>
      <c r="E22" s="1"/>
      <c r="F22" s="1"/>
      <c r="N22" s="1"/>
      <c r="P22" s="1"/>
    </row>
    <row r="23" spans="1:26" x14ac:dyDescent="0.3">
      <c r="C23" s="1"/>
      <c r="E23" s="1"/>
      <c r="F23" s="1"/>
      <c r="N23" s="1"/>
      <c r="P23" s="1"/>
    </row>
    <row r="24" spans="1:26" x14ac:dyDescent="0.3">
      <c r="C24" s="1"/>
      <c r="E24" s="1"/>
      <c r="F24" s="1"/>
      <c r="N24" s="1"/>
      <c r="P24" s="1"/>
    </row>
    <row r="25" spans="1:26" x14ac:dyDescent="0.3">
      <c r="C25" s="1"/>
      <c r="N25" s="1"/>
    </row>
    <row r="26" spans="1:26" x14ac:dyDescent="0.3">
      <c r="C26" s="1"/>
      <c r="N26" s="1"/>
    </row>
    <row r="27" spans="1:26" x14ac:dyDescent="0.3">
      <c r="C27" s="1"/>
      <c r="N27" s="1"/>
    </row>
    <row r="28" spans="1:26" x14ac:dyDescent="0.3">
      <c r="C28" s="1"/>
      <c r="G28"/>
      <c r="H28" s="1"/>
      <c r="I28" s="1"/>
      <c r="J28"/>
    </row>
    <row r="29" spans="1:26" x14ac:dyDescent="0.3">
      <c r="C29" s="1"/>
      <c r="G29"/>
      <c r="H29" s="1"/>
      <c r="I29" s="1"/>
      <c r="J29"/>
    </row>
    <row r="30" spans="1:26" x14ac:dyDescent="0.3">
      <c r="C30" s="1"/>
      <c r="G30"/>
      <c r="H30" s="1"/>
      <c r="I30" s="1"/>
      <c r="J30"/>
    </row>
    <row r="31" spans="1:26" x14ac:dyDescent="0.3">
      <c r="C31" s="1"/>
      <c r="G31"/>
      <c r="H31" s="1"/>
      <c r="I31" s="1"/>
      <c r="J31"/>
    </row>
    <row r="32" spans="1:26" x14ac:dyDescent="0.3">
      <c r="C32" s="1"/>
      <c r="G32"/>
      <c r="H32" s="1"/>
      <c r="I32" s="1"/>
      <c r="J32"/>
    </row>
    <row r="33" spans="3:10" x14ac:dyDescent="0.3">
      <c r="C33" s="1"/>
      <c r="G33"/>
      <c r="H33" s="1"/>
      <c r="I33" s="1"/>
      <c r="J33"/>
    </row>
    <row r="34" spans="3:10" x14ac:dyDescent="0.3">
      <c r="C34" s="1"/>
      <c r="G34"/>
      <c r="H34" s="1"/>
      <c r="I34" s="1"/>
      <c r="J34"/>
    </row>
    <row r="35" spans="3:10" x14ac:dyDescent="0.3">
      <c r="C35" s="1"/>
    </row>
    <row r="36" spans="3:10" x14ac:dyDescent="0.3">
      <c r="C36" s="1"/>
    </row>
    <row r="37" spans="3:10" x14ac:dyDescent="0.3">
      <c r="C37" s="1"/>
    </row>
  </sheetData>
  <autoFilter ref="A3:S17" xr:uid="{00000000-0009-0000-0000-000000000000}"/>
  <phoneticPr fontId="1" type="noConversion"/>
  <pageMargins left="0.7" right="0.7" top="0.75" bottom="0.75" header="0.3" footer="0.3"/>
  <pageSetup paperSize="9" orientation="portrait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1"/>
  <sheetViews>
    <sheetView workbookViewId="0">
      <selection activeCell="E4" sqref="E4:L10"/>
    </sheetView>
  </sheetViews>
  <sheetFormatPr defaultRowHeight="14" x14ac:dyDescent="0.3"/>
  <cols>
    <col min="1" max="1" width="54.08203125" style="8" customWidth="1"/>
    <col min="2" max="2" width="17.33203125" style="8" bestFit="1" customWidth="1"/>
    <col min="5" max="5" width="17.25" style="8" customWidth="1"/>
    <col min="6" max="6" width="9.58203125" style="8" bestFit="1" customWidth="1"/>
    <col min="7" max="7" width="13" style="8" bestFit="1" customWidth="1"/>
    <col min="12" max="12" width="25" style="8" customWidth="1"/>
  </cols>
  <sheetData>
    <row r="2" spans="1:14" x14ac:dyDescent="0.3">
      <c r="A2" s="1" t="s">
        <v>10</v>
      </c>
    </row>
    <row r="3" spans="1:14" x14ac:dyDescent="0.3">
      <c r="A3" s="1" t="s">
        <v>28</v>
      </c>
    </row>
    <row r="4" spans="1:14" x14ac:dyDescent="0.3">
      <c r="A4" s="1" t="s">
        <v>106</v>
      </c>
      <c r="B4" t="s">
        <v>107</v>
      </c>
      <c r="E4" t="s">
        <v>108</v>
      </c>
      <c r="F4" s="1" t="s">
        <v>109</v>
      </c>
      <c r="G4" s="1" t="s">
        <v>110</v>
      </c>
      <c r="H4">
        <v>2</v>
      </c>
      <c r="I4">
        <v>2</v>
      </c>
      <c r="K4" t="s">
        <v>56</v>
      </c>
      <c r="L4" t="s">
        <v>57</v>
      </c>
      <c r="M4" t="s">
        <v>111</v>
      </c>
      <c r="N4" t="str">
        <f t="shared" ref="N4:N10" si="0">L4&amp;M4</f>
        <v>这里看起来有些年头了，清理这里可以获得发展需要的资源。</v>
      </c>
    </row>
    <row r="5" spans="1:14" x14ac:dyDescent="0.3">
      <c r="A5" s="1" t="s">
        <v>106</v>
      </c>
      <c r="B5" t="s">
        <v>107</v>
      </c>
      <c r="E5" t="s">
        <v>55</v>
      </c>
      <c r="F5" s="1" t="s">
        <v>112</v>
      </c>
      <c r="G5" s="1" t="s">
        <v>113</v>
      </c>
      <c r="H5">
        <v>3</v>
      </c>
      <c r="I5">
        <v>3</v>
      </c>
      <c r="K5" t="s">
        <v>56</v>
      </c>
      <c r="L5" t="s">
        <v>57</v>
      </c>
      <c r="M5" t="s">
        <v>111</v>
      </c>
      <c r="N5" t="str">
        <f t="shared" si="0"/>
        <v>这里看起来有些年头了，清理这里可以获得发展需要的资源。</v>
      </c>
    </row>
    <row r="6" spans="1:14" x14ac:dyDescent="0.3">
      <c r="A6" s="1" t="s">
        <v>106</v>
      </c>
      <c r="B6" t="s">
        <v>55</v>
      </c>
      <c r="E6" t="s">
        <v>88</v>
      </c>
      <c r="F6" s="1" t="s">
        <v>114</v>
      </c>
      <c r="G6" s="1" t="s">
        <v>115</v>
      </c>
      <c r="H6">
        <v>3</v>
      </c>
      <c r="I6">
        <v>3</v>
      </c>
      <c r="K6" t="s">
        <v>89</v>
      </c>
      <c r="L6" t="s">
        <v>90</v>
      </c>
      <c r="M6" t="s">
        <v>111</v>
      </c>
      <c r="N6" t="str">
        <f t="shared" si="0"/>
        <v>房子的主人早已离开，只剩下无法搬走的家具。清理这里可以获得发展需要的资源。</v>
      </c>
    </row>
    <row r="7" spans="1:14" x14ac:dyDescent="0.3">
      <c r="A7" s="1" t="s">
        <v>106</v>
      </c>
      <c r="B7" t="s">
        <v>107</v>
      </c>
      <c r="E7" t="s">
        <v>73</v>
      </c>
      <c r="F7" s="1" t="s">
        <v>116</v>
      </c>
      <c r="G7" s="1" t="s">
        <v>117</v>
      </c>
      <c r="H7">
        <v>4</v>
      </c>
      <c r="I7">
        <v>4</v>
      </c>
      <c r="K7" t="s">
        <v>74</v>
      </c>
      <c r="L7" t="s">
        <v>75</v>
      </c>
      <c r="M7" t="s">
        <v>111</v>
      </c>
      <c r="N7" t="str">
        <f t="shared" si="0"/>
        <v>炉火看起来再也没办法点燃了，清理这里可以获得发展需要的资源。</v>
      </c>
    </row>
    <row r="8" spans="1:14" x14ac:dyDescent="0.3">
      <c r="A8" s="1" t="s">
        <v>106</v>
      </c>
      <c r="B8" t="s">
        <v>64</v>
      </c>
      <c r="E8" t="s">
        <v>82</v>
      </c>
      <c r="F8" s="1" t="s">
        <v>118</v>
      </c>
      <c r="G8" s="1" t="s">
        <v>119</v>
      </c>
      <c r="H8">
        <v>2</v>
      </c>
      <c r="I8">
        <v>2</v>
      </c>
      <c r="K8" t="s">
        <v>83</v>
      </c>
      <c r="L8" t="s">
        <v>57</v>
      </c>
      <c r="M8" t="s">
        <v>111</v>
      </c>
      <c r="N8" t="str">
        <f t="shared" si="0"/>
        <v>这里看起来有些年头了，清理这里可以获得发展需要的资源。</v>
      </c>
    </row>
    <row r="9" spans="1:14" x14ac:dyDescent="0.3">
      <c r="A9" s="1" t="s">
        <v>106</v>
      </c>
      <c r="B9" t="s">
        <v>107</v>
      </c>
      <c r="E9" t="s">
        <v>64</v>
      </c>
      <c r="F9" s="1" t="s">
        <v>120</v>
      </c>
      <c r="G9" s="1" t="s">
        <v>121</v>
      </c>
      <c r="H9">
        <v>2</v>
      </c>
      <c r="I9">
        <v>2</v>
      </c>
      <c r="K9" t="s">
        <v>44</v>
      </c>
      <c r="L9" t="s">
        <v>45</v>
      </c>
      <c r="M9" t="s">
        <v>111</v>
      </c>
      <c r="N9" t="str">
        <f t="shared" si="0"/>
        <v>这里发生过防守蛮族的战斗，清理这里可以获得发展需要的资源。</v>
      </c>
    </row>
    <row r="10" spans="1:14" x14ac:dyDescent="0.3">
      <c r="A10" s="1" t="s">
        <v>106</v>
      </c>
      <c r="B10" t="s">
        <v>55</v>
      </c>
      <c r="E10" t="s">
        <v>43</v>
      </c>
      <c r="F10" s="1" t="s">
        <v>122</v>
      </c>
      <c r="G10" s="1" t="s">
        <v>123</v>
      </c>
      <c r="H10">
        <v>2</v>
      </c>
      <c r="I10">
        <v>2</v>
      </c>
      <c r="K10" t="s">
        <v>44</v>
      </c>
      <c r="L10" t="s">
        <v>45</v>
      </c>
      <c r="M10" t="s">
        <v>111</v>
      </c>
      <c r="N10" t="str">
        <f t="shared" si="0"/>
        <v>这里发生过防守蛮族的战斗，清理这里可以获得发展需要的资源。</v>
      </c>
    </row>
    <row r="11" spans="1:14" x14ac:dyDescent="0.3">
      <c r="A11" s="1" t="s">
        <v>106</v>
      </c>
      <c r="B11" t="s">
        <v>73</v>
      </c>
    </row>
    <row r="12" spans="1:14" x14ac:dyDescent="0.3">
      <c r="A12" s="1" t="s">
        <v>106</v>
      </c>
      <c r="B12" t="s">
        <v>82</v>
      </c>
    </row>
    <row r="13" spans="1:14" x14ac:dyDescent="0.3">
      <c r="A13" s="1" t="s">
        <v>106</v>
      </c>
      <c r="B13" t="s">
        <v>88</v>
      </c>
    </row>
    <row r="14" spans="1:14" x14ac:dyDescent="0.3">
      <c r="A14" s="1" t="s">
        <v>106</v>
      </c>
      <c r="B14" t="s">
        <v>73</v>
      </c>
    </row>
    <row r="15" spans="1:14" x14ac:dyDescent="0.3">
      <c r="A15" s="1" t="s">
        <v>106</v>
      </c>
      <c r="B15" t="s">
        <v>88</v>
      </c>
      <c r="F15" s="1" t="s">
        <v>109</v>
      </c>
      <c r="G15" t="s">
        <v>56</v>
      </c>
      <c r="H15" s="1" t="s">
        <v>110</v>
      </c>
      <c r="I15" t="s">
        <v>124</v>
      </c>
    </row>
    <row r="16" spans="1:14" x14ac:dyDescent="0.3">
      <c r="A16" s="1" t="s">
        <v>106</v>
      </c>
      <c r="B16" t="s">
        <v>64</v>
      </c>
      <c r="F16" s="1" t="s">
        <v>112</v>
      </c>
      <c r="G16" t="s">
        <v>56</v>
      </c>
      <c r="H16" s="1" t="s">
        <v>113</v>
      </c>
      <c r="I16" t="s">
        <v>124</v>
      </c>
    </row>
    <row r="17" spans="1:9" x14ac:dyDescent="0.3">
      <c r="A17" s="1" t="s">
        <v>106</v>
      </c>
      <c r="B17" t="s">
        <v>64</v>
      </c>
      <c r="F17" s="1" t="s">
        <v>114</v>
      </c>
      <c r="G17" t="s">
        <v>89</v>
      </c>
      <c r="H17" s="1" t="s">
        <v>115</v>
      </c>
      <c r="I17" t="s">
        <v>125</v>
      </c>
    </row>
    <row r="18" spans="1:9" x14ac:dyDescent="0.3">
      <c r="A18" s="1" t="s">
        <v>106</v>
      </c>
      <c r="B18" t="s">
        <v>64</v>
      </c>
      <c r="F18" s="1" t="s">
        <v>116</v>
      </c>
      <c r="G18" t="s">
        <v>74</v>
      </c>
      <c r="H18" s="1" t="s">
        <v>117</v>
      </c>
      <c r="I18" t="s">
        <v>126</v>
      </c>
    </row>
    <row r="19" spans="1:9" x14ac:dyDescent="0.3">
      <c r="A19" s="1" t="s">
        <v>106</v>
      </c>
      <c r="B19" t="s">
        <v>108</v>
      </c>
      <c r="F19" s="1" t="s">
        <v>118</v>
      </c>
      <c r="G19" t="s">
        <v>83</v>
      </c>
      <c r="H19" s="1" t="s">
        <v>119</v>
      </c>
      <c r="I19" t="s">
        <v>124</v>
      </c>
    </row>
    <row r="20" spans="1:9" x14ac:dyDescent="0.3">
      <c r="A20" s="1"/>
      <c r="F20" s="1" t="s">
        <v>120</v>
      </c>
      <c r="G20" t="s">
        <v>44</v>
      </c>
      <c r="H20" s="1" t="s">
        <v>121</v>
      </c>
      <c r="I20" t="s">
        <v>127</v>
      </c>
    </row>
    <row r="21" spans="1:9" x14ac:dyDescent="0.3">
      <c r="A21" s="1"/>
      <c r="F21" s="1" t="s">
        <v>122</v>
      </c>
      <c r="G21" t="s">
        <v>44</v>
      </c>
      <c r="H21" s="1" t="s">
        <v>123</v>
      </c>
      <c r="I21" t="s">
        <v>127</v>
      </c>
    </row>
    <row r="22" spans="1:9" x14ac:dyDescent="0.3">
      <c r="A22" s="1"/>
    </row>
    <row r="23" spans="1:9" x14ac:dyDescent="0.3">
      <c r="A23" s="1"/>
    </row>
    <row r="24" spans="1:9" x14ac:dyDescent="0.3">
      <c r="A24" s="1"/>
    </row>
    <row r="25" spans="1:9" x14ac:dyDescent="0.3">
      <c r="A25" s="1"/>
    </row>
    <row r="26" spans="1:9" x14ac:dyDescent="0.3">
      <c r="A26" s="1"/>
      <c r="B26" s="1">
        <v>5</v>
      </c>
    </row>
    <row r="27" spans="1:9" x14ac:dyDescent="0.3">
      <c r="B27" s="1">
        <v>10</v>
      </c>
    </row>
    <row r="28" spans="1:9" x14ac:dyDescent="0.3">
      <c r="B28" s="1">
        <v>120</v>
      </c>
    </row>
    <row r="29" spans="1:9" x14ac:dyDescent="0.3">
      <c r="B29" s="1">
        <v>10</v>
      </c>
    </row>
    <row r="30" spans="1:9" x14ac:dyDescent="0.3">
      <c r="B30" s="1">
        <v>120</v>
      </c>
    </row>
    <row r="31" spans="1:9" x14ac:dyDescent="0.3">
      <c r="B31" s="1">
        <v>10</v>
      </c>
    </row>
    <row r="32" spans="1:9" x14ac:dyDescent="0.3">
      <c r="B32" s="1">
        <v>180</v>
      </c>
    </row>
    <row r="33" spans="2:2" x14ac:dyDescent="0.3">
      <c r="B33" s="1">
        <v>600</v>
      </c>
    </row>
    <row r="34" spans="2:2" x14ac:dyDescent="0.3">
      <c r="B34" s="1">
        <v>600</v>
      </c>
    </row>
    <row r="35" spans="2:2" x14ac:dyDescent="0.3">
      <c r="B35" s="1">
        <v>300</v>
      </c>
    </row>
    <row r="36" spans="2:2" x14ac:dyDescent="0.3">
      <c r="B36" s="1">
        <v>28800</v>
      </c>
    </row>
    <row r="37" spans="2:2" x14ac:dyDescent="0.3">
      <c r="B37" s="1">
        <v>300</v>
      </c>
    </row>
    <row r="38" spans="2:2" x14ac:dyDescent="0.3">
      <c r="B38" s="1">
        <v>10</v>
      </c>
    </row>
    <row r="39" spans="2:2" x14ac:dyDescent="0.3">
      <c r="B39" s="1">
        <v>30</v>
      </c>
    </row>
    <row r="40" spans="2:2" x14ac:dyDescent="0.3">
      <c r="B40" s="1">
        <v>10</v>
      </c>
    </row>
    <row r="41" spans="2:2" x14ac:dyDescent="0.3">
      <c r="B41" s="1">
        <v>43200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3"/>
  <cols>
    <col min="1" max="3" width="80" style="8" customWidth="1"/>
  </cols>
  <sheetData>
    <row r="1" spans="1:3" x14ac:dyDescent="0.3">
      <c r="A1" t="s">
        <v>128</v>
      </c>
      <c r="B1" t="s">
        <v>129</v>
      </c>
      <c r="C1" t="s">
        <v>130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遗迹配置表</vt:lpstr>
      <vt:lpstr>#Sheet2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wenshen(沈文)</cp:lastModifiedBy>
  <dcterms:created xsi:type="dcterms:W3CDTF">2020-05-11T02:56:56Z</dcterms:created>
  <dcterms:modified xsi:type="dcterms:W3CDTF">2023-05-29T04:03:45Z</dcterms:modified>
</cp:coreProperties>
</file>