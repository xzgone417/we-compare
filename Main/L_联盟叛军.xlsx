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AOEM\T+1_Release\common\excel\xls\Main\"/>
    </mc:Choice>
  </mc:AlternateContent>
  <xr:revisionPtr revIDLastSave="0" documentId="13_ncr:1_{5701499E-6591-40D2-9083-824761ACF81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杂项配置" sheetId="1" r:id="rId1"/>
    <sheet name="积分奖励表" sheetId="2" r:id="rId2"/>
    <sheet name="个人排名奖励" sheetId="3" r:id="rId3"/>
    <sheet name="联盟排名奖励" sheetId="4" r:id="rId4"/>
    <sheet name="普通怪波次刷新" sheetId="5" r:id="rId5"/>
    <sheet name="怪物额外技能" sheetId="6" r:id="rId6"/>
  </sheets>
  <definedNames>
    <definedName name="_xlnm._FilterDatabase" localSheetId="4" hidden="1">普通怪波次刷新!$A$2:$F$83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4" i="2"/>
</calcChain>
</file>

<file path=xl/sharedStrings.xml><?xml version="1.0" encoding="utf-8"?>
<sst xmlns="http://schemas.openxmlformats.org/spreadsheetml/2006/main" count="155" uniqueCount="100">
  <si>
    <t>convertTrans(ResAlliance.proto,table_AllianceRebelMiscConf,AllianceRebelMiscConf.pbin)</t>
  </si>
  <si>
    <t>值</t>
  </si>
  <si>
    <t>配置项</t>
  </si>
  <si>
    <t>id</t>
  </si>
  <si>
    <t>参与需要的联盟成员数量</t>
  </si>
  <si>
    <t>allianceMemberCount</t>
  </si>
  <si>
    <t>要塞活动结束后多少分钟删除</t>
  </si>
  <si>
    <t>fortressDeleteMinuteAfterActivityOver</t>
  </si>
  <si>
    <t>预约时间不晚于活动结束前多少分钟</t>
  </si>
  <si>
    <t>appointmentEndMinute</t>
  </si>
  <si>
    <t>普通怪物刷新时间（秒）</t>
  </si>
  <si>
    <t>normalMonsterRefreshSeconds</t>
  </si>
  <si>
    <t>特殊怪物持续时间 （秒）</t>
  </si>
  <si>
    <t>specialMonsterContinueSeconds</t>
  </si>
  <si>
    <t>参加需要的城镇等级</t>
  </si>
  <si>
    <t>joinCastleLevel</t>
  </si>
  <si>
    <t>要塞距离大于多少距离,附近直接生成怪</t>
  </si>
  <si>
    <t>castleFarawayGrid</t>
  </si>
  <si>
    <t>直接生成怪的距离</t>
  </si>
  <si>
    <t>farawayGridNear</t>
  </si>
  <si>
    <t>防御失败主城血量损失比例</t>
  </si>
  <si>
    <t>defenseFailedWallHpLoseRate</t>
  </si>
  <si>
    <t>防御失败淘汰次数</t>
  </si>
  <si>
    <t>defenseFailedEliminatedCount</t>
  </si>
  <si>
    <t xml:space="preserve">超时防御失败击杀比例 </t>
  </si>
  <si>
    <t>expireDefenseFailedKillRate</t>
  </si>
  <si>
    <t xml:space="preserve">援助击杀普通怪积分转换比例 </t>
  </si>
  <si>
    <t>assistNormalMonsterScoreRate</t>
  </si>
  <si>
    <t>特殊怪物行动回合时间（秒）</t>
  </si>
  <si>
    <t>specialMonsterActionRoundSeconds</t>
  </si>
  <si>
    <t>特殊怪物击杀额外积分</t>
  </si>
  <si>
    <t>specialMonsterKilledExtraScore</t>
  </si>
  <si>
    <t>怪物开始刷新前多少秒提示</t>
  </si>
  <si>
    <t>activityTipBeforeStartTime</t>
  </si>
  <si>
    <t>防御成功联盟成员数量</t>
  </si>
  <si>
    <t>defenceSuccessMemberCount</t>
  </si>
  <si>
    <t>活动界面奖励展示（仅展示）</t>
  </si>
  <si>
    <t>onlyShowRewardId</t>
  </si>
  <si>
    <t>特殊怪物技能施放间隔时间（秒）</t>
  </si>
  <si>
    <t>specialMonsterSkillCastIntervalSeconds</t>
  </si>
  <si>
    <t>普通怪物持续时间（秒）</t>
  </si>
  <si>
    <t>normalMonsterContinueSeconds</t>
  </si>
  <si>
    <t>特殊怪物刷新时间（秒）</t>
  </si>
  <si>
    <t>specialMonsterRefreshSeconds</t>
  </si>
  <si>
    <t>convert(ResAlliance.proto,table_AllianceRebelScoreRewardConf,AllianceRebelScoreRewardConf.pbin)</t>
  </si>
  <si>
    <t>奖励等级</t>
  </si>
  <si>
    <t>个人达标积分</t>
  </si>
  <si>
    <t>联盟达标积分</t>
  </si>
  <si>
    <t>奖励id</t>
  </si>
  <si>
    <t>level</t>
  </si>
  <si>
    <t>personMeetScore</t>
  </si>
  <si>
    <t>allianceMeetScore</t>
  </si>
  <si>
    <t>rewardId</t>
  </si>
  <si>
    <t>convert(ResAlliance.proto,table_AllianceRebelPersonRankRewardConf,AllianceRebelPersonRankRewardConf.pbin)</t>
  </si>
  <si>
    <t>起始排名（上闭下开）</t>
  </si>
  <si>
    <t>rank</t>
  </si>
  <si>
    <t>convert(ResAlliance.proto,table_AllianceRebelAllianceRankRewardConf,AllianceRebelAllianceRankRewardConf.pbin)</t>
  </si>
  <si>
    <t>convert(ResAlliance.proto,table_AllianceRebelMonsterConf,AllianceRebelMonsterConf.pbin)</t>
  </si>
  <si>
    <t xml:space="preserve"> 难度等级</t>
  </si>
  <si>
    <t>波次id</t>
  </si>
  <si>
    <t>普通怪id</t>
  </si>
  <si>
    <t>普通怪积分</t>
  </si>
  <si>
    <t>特殊怪id</t>
  </si>
  <si>
    <t>特殊怪积分</t>
  </si>
  <si>
    <t>monster.id</t>
  </si>
  <si>
    <t>monster.normalMonsterId</t>
  </si>
  <si>
    <t>monster.normalMonsterScore</t>
  </si>
  <si>
    <t>monster.specialMonsterId</t>
  </si>
  <si>
    <t>monster.specialMonsterScore</t>
  </si>
  <si>
    <t>convert(ResAlliance.proto,table_AllianceRebelMonsterExtraSkillConf,AllianceRebelMonsterExtraSkillConf.pbin)</t>
  </si>
  <si>
    <t>波次</t>
  </si>
  <si>
    <t>循环1</t>
  </si>
  <si>
    <t>循环2</t>
  </si>
  <si>
    <t>round</t>
  </si>
  <si>
    <t>cycle[0].id[,]</t>
  </si>
  <si>
    <t>cycle[1].id[,]</t>
  </si>
  <si>
    <t>对应难度</t>
    <phoneticPr fontId="6" type="noConversion"/>
  </si>
  <si>
    <t>hardLevel</t>
    <phoneticPr fontId="6" type="noConversion"/>
  </si>
  <si>
    <t>720001,720007,720010</t>
  </si>
  <si>
    <t>720001,720007,720010</t>
    <phoneticPr fontId="6" type="noConversion"/>
  </si>
  <si>
    <t>720001,720008,720011</t>
  </si>
  <si>
    <t>720001,720008,720011</t>
    <phoneticPr fontId="6" type="noConversion"/>
  </si>
  <si>
    <t>720001,720006,720010</t>
  </si>
  <si>
    <t>720001,720006,720010</t>
    <phoneticPr fontId="6" type="noConversion"/>
  </si>
  <si>
    <t>720003,720008,720011</t>
  </si>
  <si>
    <t>720003,720008,720011</t>
    <phoneticPr fontId="6" type="noConversion"/>
  </si>
  <si>
    <t>cycle[2].id[,]</t>
  </si>
  <si>
    <t>cycle[3].id[,]</t>
  </si>
  <si>
    <t>循环3</t>
  </si>
  <si>
    <t>循环4</t>
  </si>
  <si>
    <t>循环5</t>
  </si>
  <si>
    <t>循环6</t>
  </si>
  <si>
    <t>cycle[4].id[,]</t>
  </si>
  <si>
    <t>cycle[5].id[,]</t>
  </si>
  <si>
    <t>720002,720008,720010</t>
  </si>
  <si>
    <t>720002,720008,720010</t>
    <phoneticPr fontId="6" type="noConversion"/>
  </si>
  <si>
    <t>720003,720006,720011</t>
  </si>
  <si>
    <t>720003,720006,720011</t>
    <phoneticPr fontId="6" type="noConversion"/>
  </si>
  <si>
    <t>specialMonsterWalkAroundRadius</t>
    <phoneticPr fontId="5" type="noConversion"/>
  </si>
  <si>
    <t>特殊怪物巡逻半径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</si>
</sst>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29"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3" workbookViewId="0">
      <selection activeCell="A9" sqref="A9:XFD9"/>
    </sheetView>
  </sheetViews>
  <sheetFormatPr defaultColWidth="9" defaultRowHeight="15" x14ac:dyDescent="0.25"/>
  <cols>
    <col min="1" max="1" width="57.08203125" customWidth="1"/>
    <col min="2" max="2" width="40.83203125" customWidth="1"/>
    <col min="3" max="3" width="14.83203125" customWidth="1"/>
  </cols>
  <sheetData>
    <row r="1" spans="1:3" x14ac:dyDescent="0.25">
      <c r="A1" t="s">
        <v>0</v>
      </c>
      <c r="C1" t="s">
        <v>1</v>
      </c>
    </row>
    <row r="2" spans="1:3" ht="16.5" x14ac:dyDescent="0.25">
      <c r="A2" s="6" t="s">
        <v>2</v>
      </c>
      <c r="B2" s="6" t="s">
        <v>3</v>
      </c>
      <c r="C2" s="6">
        <v>1</v>
      </c>
    </row>
    <row r="3" spans="1:3" x14ac:dyDescent="0.25">
      <c r="A3" t="s">
        <v>4</v>
      </c>
      <c r="B3" t="s">
        <v>5</v>
      </c>
      <c r="C3">
        <v>30</v>
      </c>
    </row>
    <row r="4" spans="1:3" x14ac:dyDescent="0.25">
      <c r="A4" t="s">
        <v>6</v>
      </c>
      <c r="B4" t="s">
        <v>7</v>
      </c>
      <c r="C4">
        <f>60*12</f>
        <v>720</v>
      </c>
    </row>
    <row r="5" spans="1:3" x14ac:dyDescent="0.25">
      <c r="A5" t="s">
        <v>8</v>
      </c>
      <c r="B5" t="s">
        <v>9</v>
      </c>
      <c r="C5">
        <v>30</v>
      </c>
    </row>
    <row r="6" spans="1:3" x14ac:dyDescent="0.25">
      <c r="A6" t="s">
        <v>14</v>
      </c>
      <c r="B6" t="s">
        <v>15</v>
      </c>
      <c r="C6">
        <v>7</v>
      </c>
    </row>
    <row r="7" spans="1:3" x14ac:dyDescent="0.25">
      <c r="A7" t="s">
        <v>16</v>
      </c>
      <c r="B7" t="s">
        <v>17</v>
      </c>
      <c r="C7">
        <v>30</v>
      </c>
    </row>
    <row r="8" spans="1:3" x14ac:dyDescent="0.25">
      <c r="A8" t="s">
        <v>18</v>
      </c>
      <c r="B8" t="s">
        <v>19</v>
      </c>
      <c r="C8">
        <v>5</v>
      </c>
    </row>
    <row r="9" spans="1:3" x14ac:dyDescent="0.25">
      <c r="A9" t="s">
        <v>20</v>
      </c>
      <c r="B9" t="s">
        <v>21</v>
      </c>
      <c r="C9">
        <v>0.01</v>
      </c>
    </row>
    <row r="10" spans="1:3" x14ac:dyDescent="0.25">
      <c r="A10" t="s">
        <v>22</v>
      </c>
      <c r="B10" t="s">
        <v>23</v>
      </c>
      <c r="C10">
        <v>2</v>
      </c>
    </row>
    <row r="11" spans="1:3" x14ac:dyDescent="0.25">
      <c r="A11" t="s">
        <v>24</v>
      </c>
      <c r="B11" t="s">
        <v>25</v>
      </c>
      <c r="C11">
        <v>0</v>
      </c>
    </row>
    <row r="12" spans="1:3" x14ac:dyDescent="0.25">
      <c r="A12" t="s">
        <v>26</v>
      </c>
      <c r="B12" t="s">
        <v>27</v>
      </c>
      <c r="C12">
        <v>0.5</v>
      </c>
    </row>
    <row r="13" spans="1:3" x14ac:dyDescent="0.25">
      <c r="A13" t="s">
        <v>28</v>
      </c>
      <c r="B13" t="s">
        <v>29</v>
      </c>
      <c r="C13">
        <v>30</v>
      </c>
    </row>
    <row r="14" spans="1:3" x14ac:dyDescent="0.25">
      <c r="A14" t="s">
        <v>30</v>
      </c>
      <c r="B14" s="7" t="s">
        <v>31</v>
      </c>
      <c r="C14">
        <v>0</v>
      </c>
    </row>
    <row r="15" spans="1:3" x14ac:dyDescent="0.25">
      <c r="A15" s="7" t="s">
        <v>32</v>
      </c>
      <c r="B15" s="7" t="s">
        <v>33</v>
      </c>
      <c r="C15">
        <v>300</v>
      </c>
    </row>
    <row r="16" spans="1:3" x14ac:dyDescent="0.25">
      <c r="A16" t="s">
        <v>34</v>
      </c>
      <c r="B16" t="s">
        <v>35</v>
      </c>
      <c r="C16">
        <v>20</v>
      </c>
    </row>
    <row r="17" spans="1:3" x14ac:dyDescent="0.25">
      <c r="A17" s="8" t="s">
        <v>36</v>
      </c>
      <c r="B17" s="8" t="s">
        <v>37</v>
      </c>
      <c r="C17">
        <v>6658001</v>
      </c>
    </row>
    <row r="18" spans="1:3" x14ac:dyDescent="0.25">
      <c r="A18" s="7" t="s">
        <v>38</v>
      </c>
      <c r="B18" t="s">
        <v>39</v>
      </c>
      <c r="C18">
        <v>1</v>
      </c>
    </row>
    <row r="19" spans="1:3" x14ac:dyDescent="0.25">
      <c r="A19" t="s">
        <v>10</v>
      </c>
      <c r="B19" t="s">
        <v>11</v>
      </c>
      <c r="C19">
        <v>120</v>
      </c>
    </row>
    <row r="20" spans="1:3" x14ac:dyDescent="0.25">
      <c r="A20" t="s">
        <v>40</v>
      </c>
      <c r="B20" t="s">
        <v>41</v>
      </c>
      <c r="C20">
        <v>110</v>
      </c>
    </row>
    <row r="21" spans="1:3" x14ac:dyDescent="0.25">
      <c r="A21" t="s">
        <v>42</v>
      </c>
      <c r="B21" t="s">
        <v>43</v>
      </c>
      <c r="C21">
        <v>420</v>
      </c>
    </row>
    <row r="22" spans="1:3" x14ac:dyDescent="0.25">
      <c r="A22" t="s">
        <v>12</v>
      </c>
      <c r="B22" t="s">
        <v>13</v>
      </c>
      <c r="C22">
        <v>420</v>
      </c>
    </row>
    <row r="23" spans="1:3" x14ac:dyDescent="0.25">
      <c r="A23" s="8" t="s">
        <v>99</v>
      </c>
      <c r="B23" s="8" t="s">
        <v>98</v>
      </c>
      <c r="C23">
        <v>8</v>
      </c>
    </row>
  </sheetData>
  <phoneticPr fontId="5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B6" sqref="B6"/>
    </sheetView>
  </sheetViews>
  <sheetFormatPr defaultColWidth="9" defaultRowHeight="15" x14ac:dyDescent="0.25"/>
  <cols>
    <col min="1" max="1" width="34.33203125" customWidth="1"/>
    <col min="2" max="2" width="35.08203125" customWidth="1"/>
    <col min="3" max="3" width="28.58203125" customWidth="1"/>
    <col min="4" max="4" width="24.33203125" customWidth="1"/>
  </cols>
  <sheetData>
    <row r="1" spans="1:5" x14ac:dyDescent="0.25">
      <c r="A1" t="s">
        <v>44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s="8" t="s">
        <v>76</v>
      </c>
    </row>
    <row r="3" spans="1:5" x14ac:dyDescent="0.25">
      <c r="A3" t="s">
        <v>49</v>
      </c>
      <c r="B3" t="s">
        <v>50</v>
      </c>
      <c r="C3" t="s">
        <v>51</v>
      </c>
      <c r="D3" t="s">
        <v>52</v>
      </c>
      <c r="E3" s="8" t="s">
        <v>77</v>
      </c>
    </row>
    <row r="4" spans="1:5" x14ac:dyDescent="0.25">
      <c r="A4">
        <v>1</v>
      </c>
      <c r="B4">
        <v>200</v>
      </c>
      <c r="C4">
        <f>B4*10</f>
        <v>2000</v>
      </c>
      <c r="D4" s="2">
        <v>6655001</v>
      </c>
      <c r="E4">
        <v>1</v>
      </c>
    </row>
    <row r="5" spans="1:5" x14ac:dyDescent="0.25">
      <c r="A5">
        <v>2</v>
      </c>
      <c r="B5">
        <v>500</v>
      </c>
      <c r="C5">
        <f t="shared" ref="C5:C27" si="0">B5*10</f>
        <v>5000</v>
      </c>
      <c r="D5" s="2">
        <v>6655002</v>
      </c>
      <c r="E5">
        <v>1</v>
      </c>
    </row>
    <row r="6" spans="1:5" x14ac:dyDescent="0.25">
      <c r="A6">
        <v>3</v>
      </c>
      <c r="B6">
        <v>1000</v>
      </c>
      <c r="C6">
        <f t="shared" si="0"/>
        <v>10000</v>
      </c>
      <c r="D6" s="2">
        <v>6655003</v>
      </c>
      <c r="E6">
        <v>1</v>
      </c>
    </row>
    <row r="7" spans="1:5" x14ac:dyDescent="0.25">
      <c r="A7">
        <v>4</v>
      </c>
      <c r="B7">
        <v>1500</v>
      </c>
      <c r="C7">
        <f t="shared" si="0"/>
        <v>15000</v>
      </c>
      <c r="D7" s="2">
        <v>6655004</v>
      </c>
      <c r="E7">
        <v>1</v>
      </c>
    </row>
    <row r="8" spans="1:5" x14ac:dyDescent="0.25">
      <c r="A8">
        <v>5</v>
      </c>
      <c r="B8">
        <v>2000</v>
      </c>
      <c r="C8">
        <f t="shared" si="0"/>
        <v>20000</v>
      </c>
      <c r="D8" s="2">
        <v>6655005</v>
      </c>
      <c r="E8">
        <v>1</v>
      </c>
    </row>
    <row r="9" spans="1:5" x14ac:dyDescent="0.25">
      <c r="A9">
        <v>6</v>
      </c>
      <c r="B9">
        <v>3000</v>
      </c>
      <c r="C9">
        <f t="shared" si="0"/>
        <v>30000</v>
      </c>
      <c r="D9" s="2">
        <v>6655006</v>
      </c>
      <c r="E9">
        <v>1</v>
      </c>
    </row>
    <row r="10" spans="1:5" x14ac:dyDescent="0.25">
      <c r="A10">
        <v>7</v>
      </c>
      <c r="B10">
        <v>4500</v>
      </c>
      <c r="C10">
        <f t="shared" si="0"/>
        <v>45000</v>
      </c>
      <c r="D10" s="2">
        <v>6655007</v>
      </c>
      <c r="E10">
        <v>1</v>
      </c>
    </row>
    <row r="11" spans="1:5" x14ac:dyDescent="0.25">
      <c r="A11">
        <v>8</v>
      </c>
      <c r="B11">
        <v>5500</v>
      </c>
      <c r="C11">
        <f t="shared" si="0"/>
        <v>55000</v>
      </c>
      <c r="D11" s="2">
        <v>6655008</v>
      </c>
      <c r="E11">
        <v>1</v>
      </c>
    </row>
    <row r="12" spans="1:5" x14ac:dyDescent="0.25">
      <c r="A12">
        <v>9</v>
      </c>
      <c r="B12">
        <v>6000</v>
      </c>
      <c r="C12">
        <f t="shared" si="0"/>
        <v>60000</v>
      </c>
      <c r="D12" s="2">
        <v>6655009</v>
      </c>
      <c r="E12">
        <v>1</v>
      </c>
    </row>
    <row r="13" spans="1:5" x14ac:dyDescent="0.25">
      <c r="A13">
        <v>10</v>
      </c>
      <c r="B13">
        <v>7500</v>
      </c>
      <c r="C13">
        <f t="shared" si="0"/>
        <v>75000</v>
      </c>
      <c r="D13" s="2">
        <v>6655010</v>
      </c>
      <c r="E13">
        <v>1</v>
      </c>
    </row>
    <row r="14" spans="1:5" x14ac:dyDescent="0.25">
      <c r="A14">
        <v>11</v>
      </c>
      <c r="B14">
        <v>12500</v>
      </c>
      <c r="C14">
        <f t="shared" si="0"/>
        <v>125000</v>
      </c>
      <c r="D14" s="2">
        <v>6655011</v>
      </c>
      <c r="E14">
        <v>2</v>
      </c>
    </row>
    <row r="15" spans="1:5" x14ac:dyDescent="0.25">
      <c r="A15">
        <v>12</v>
      </c>
      <c r="B15">
        <v>13500</v>
      </c>
      <c r="C15">
        <f t="shared" si="0"/>
        <v>135000</v>
      </c>
      <c r="D15" s="2">
        <v>6655012</v>
      </c>
      <c r="E15">
        <v>2</v>
      </c>
    </row>
    <row r="16" spans="1:5" x14ac:dyDescent="0.25">
      <c r="A16">
        <v>13</v>
      </c>
      <c r="B16">
        <v>21500</v>
      </c>
      <c r="C16">
        <f t="shared" si="0"/>
        <v>215000</v>
      </c>
      <c r="D16" s="2">
        <v>6655013</v>
      </c>
      <c r="E16">
        <v>3</v>
      </c>
    </row>
    <row r="17" spans="1:5" x14ac:dyDescent="0.25">
      <c r="A17">
        <v>14</v>
      </c>
      <c r="B17">
        <v>23000</v>
      </c>
      <c r="C17">
        <f t="shared" si="0"/>
        <v>230000</v>
      </c>
      <c r="D17" s="2">
        <v>6655014</v>
      </c>
      <c r="E17">
        <v>3</v>
      </c>
    </row>
    <row r="18" spans="1:5" x14ac:dyDescent="0.25">
      <c r="A18">
        <v>15</v>
      </c>
      <c r="B18">
        <v>35000</v>
      </c>
      <c r="C18">
        <f t="shared" si="0"/>
        <v>350000</v>
      </c>
      <c r="D18" s="2">
        <v>6655015</v>
      </c>
      <c r="E18">
        <v>4</v>
      </c>
    </row>
    <row r="19" spans="1:5" x14ac:dyDescent="0.25">
      <c r="A19">
        <v>16</v>
      </c>
      <c r="B19">
        <v>40000</v>
      </c>
      <c r="C19">
        <f t="shared" si="0"/>
        <v>400000</v>
      </c>
      <c r="D19" s="2">
        <v>6655016</v>
      </c>
      <c r="E19">
        <v>4</v>
      </c>
    </row>
    <row r="20" spans="1:5" x14ac:dyDescent="0.25">
      <c r="A20">
        <v>17</v>
      </c>
      <c r="B20">
        <v>62500</v>
      </c>
      <c r="C20">
        <f t="shared" si="0"/>
        <v>625000</v>
      </c>
      <c r="D20" s="2">
        <v>6655017</v>
      </c>
      <c r="E20">
        <v>5</v>
      </c>
    </row>
    <row r="21" spans="1:5" x14ac:dyDescent="0.25">
      <c r="A21">
        <v>18</v>
      </c>
      <c r="B21">
        <v>68000</v>
      </c>
      <c r="C21">
        <f t="shared" si="0"/>
        <v>680000</v>
      </c>
      <c r="D21" s="2">
        <v>6655018</v>
      </c>
      <c r="E21">
        <v>5</v>
      </c>
    </row>
    <row r="22" spans="1:5" x14ac:dyDescent="0.25">
      <c r="A22">
        <v>19</v>
      </c>
      <c r="B22">
        <v>105000</v>
      </c>
      <c r="C22">
        <f t="shared" si="0"/>
        <v>1050000</v>
      </c>
      <c r="D22" s="2">
        <v>6655019</v>
      </c>
      <c r="E22">
        <v>6</v>
      </c>
    </row>
    <row r="23" spans="1:5" x14ac:dyDescent="0.25">
      <c r="A23">
        <v>20</v>
      </c>
      <c r="B23">
        <v>115000</v>
      </c>
      <c r="C23">
        <f t="shared" si="0"/>
        <v>1150000</v>
      </c>
      <c r="D23" s="2">
        <v>6655020</v>
      </c>
      <c r="E23">
        <v>6</v>
      </c>
    </row>
    <row r="24" spans="1:5" x14ac:dyDescent="0.25">
      <c r="A24">
        <v>21</v>
      </c>
      <c r="B24">
        <v>180000</v>
      </c>
      <c r="C24">
        <f t="shared" si="0"/>
        <v>1800000</v>
      </c>
      <c r="D24" s="2">
        <v>6655021</v>
      </c>
      <c r="E24">
        <v>7</v>
      </c>
    </row>
    <row r="25" spans="1:5" x14ac:dyDescent="0.25">
      <c r="A25">
        <v>22</v>
      </c>
      <c r="B25">
        <v>195000</v>
      </c>
      <c r="C25">
        <f t="shared" si="0"/>
        <v>1950000</v>
      </c>
      <c r="D25" s="2">
        <v>6655022</v>
      </c>
      <c r="E25">
        <v>7</v>
      </c>
    </row>
    <row r="26" spans="1:5" x14ac:dyDescent="0.25">
      <c r="A26">
        <v>23</v>
      </c>
      <c r="B26">
        <v>300000</v>
      </c>
      <c r="C26">
        <f t="shared" si="0"/>
        <v>3000000</v>
      </c>
      <c r="D26" s="2">
        <v>6655023</v>
      </c>
      <c r="E26">
        <v>8</v>
      </c>
    </row>
    <row r="27" spans="1:5" x14ac:dyDescent="0.25">
      <c r="A27">
        <v>24</v>
      </c>
      <c r="B27">
        <v>335000</v>
      </c>
      <c r="C27">
        <f t="shared" si="0"/>
        <v>3350000</v>
      </c>
      <c r="D27" s="2">
        <v>6655024</v>
      </c>
      <c r="E27">
        <v>8</v>
      </c>
    </row>
  </sheetData>
  <phoneticPr fontId="6" type="noConversion"/>
  <conditionalFormatting sqref="D4:D27">
    <cfRule type="expression" dxfId="28" priority="1" stopIfTrue="1">
      <formula>AND(COUNTIF($C$4:$C$13,D4)+COUNTIF($C$18:$C$18,D4)+COUNTIF($C$23:$C$29,D4)&gt;1,NOT(ISBLANK(D4)))</formula>
    </cfRule>
  </conditionalFormatting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20" sqref="B20"/>
    </sheetView>
  </sheetViews>
  <sheetFormatPr defaultColWidth="9" defaultRowHeight="15" x14ac:dyDescent="0.25"/>
  <cols>
    <col min="1" max="1" width="28.33203125" customWidth="1"/>
    <col min="2" max="2" width="24.33203125" customWidth="1"/>
    <col min="3" max="3" width="21.08203125" customWidth="1"/>
  </cols>
  <sheetData>
    <row r="1" spans="1:2" x14ac:dyDescent="0.25">
      <c r="A1" t="s">
        <v>53</v>
      </c>
    </row>
    <row r="2" spans="1:2" x14ac:dyDescent="0.25">
      <c r="A2" s="1" t="s">
        <v>54</v>
      </c>
      <c r="B2" s="1" t="s">
        <v>48</v>
      </c>
    </row>
    <row r="3" spans="1:2" x14ac:dyDescent="0.25">
      <c r="A3" s="1" t="s">
        <v>55</v>
      </c>
      <c r="B3" s="1" t="s">
        <v>52</v>
      </c>
    </row>
    <row r="4" spans="1:2" x14ac:dyDescent="0.25">
      <c r="A4" s="2">
        <v>1</v>
      </c>
      <c r="B4" s="2">
        <v>6656001</v>
      </c>
    </row>
    <row r="5" spans="1:2" x14ac:dyDescent="0.25">
      <c r="A5" s="2">
        <v>2</v>
      </c>
      <c r="B5" s="2">
        <v>6656002</v>
      </c>
    </row>
    <row r="6" spans="1:2" x14ac:dyDescent="0.25">
      <c r="A6" s="2">
        <v>3</v>
      </c>
      <c r="B6" s="2">
        <v>6656003</v>
      </c>
    </row>
    <row r="7" spans="1:2" x14ac:dyDescent="0.25">
      <c r="A7" s="2">
        <v>4</v>
      </c>
      <c r="B7" s="2">
        <v>6656004</v>
      </c>
    </row>
    <row r="8" spans="1:2" x14ac:dyDescent="0.25">
      <c r="A8" s="2">
        <v>5</v>
      </c>
      <c r="B8" s="2">
        <v>6656005</v>
      </c>
    </row>
    <row r="9" spans="1:2" x14ac:dyDescent="0.25">
      <c r="A9" s="2">
        <v>6</v>
      </c>
      <c r="B9" s="2">
        <v>6656006</v>
      </c>
    </row>
    <row r="10" spans="1:2" x14ac:dyDescent="0.25">
      <c r="A10" s="2">
        <v>11</v>
      </c>
      <c r="B10" s="2">
        <v>6656007</v>
      </c>
    </row>
    <row r="11" spans="1:2" x14ac:dyDescent="0.25">
      <c r="A11" s="2">
        <v>21</v>
      </c>
      <c r="B11" s="2">
        <v>6656008</v>
      </c>
    </row>
    <row r="12" spans="1:2" x14ac:dyDescent="0.25">
      <c r="A12" s="2">
        <v>51</v>
      </c>
      <c r="B12" s="2">
        <v>6656009</v>
      </c>
    </row>
    <row r="13" spans="1:2" x14ac:dyDescent="0.25">
      <c r="A13" s="2">
        <v>101</v>
      </c>
      <c r="B13" s="2">
        <v>6656010</v>
      </c>
    </row>
    <row r="14" spans="1:2" x14ac:dyDescent="0.25">
      <c r="A14" s="2">
        <v>3001</v>
      </c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</row>
  </sheetData>
  <phoneticPr fontId="6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B14" sqref="B14"/>
    </sheetView>
  </sheetViews>
  <sheetFormatPr defaultColWidth="9.08203125" defaultRowHeight="15" x14ac:dyDescent="0.25"/>
  <cols>
    <col min="1" max="1" width="34.58203125" customWidth="1"/>
    <col min="2" max="2" width="35.08203125" customWidth="1"/>
  </cols>
  <sheetData>
    <row r="1" spans="1:2" x14ac:dyDescent="0.25">
      <c r="A1" t="s">
        <v>56</v>
      </c>
    </row>
    <row r="2" spans="1:2" x14ac:dyDescent="0.25">
      <c r="A2" s="1" t="s">
        <v>54</v>
      </c>
      <c r="B2" s="1" t="s">
        <v>48</v>
      </c>
    </row>
    <row r="3" spans="1:2" x14ac:dyDescent="0.25">
      <c r="A3" s="1" t="s">
        <v>55</v>
      </c>
      <c r="B3" s="1" t="s">
        <v>52</v>
      </c>
    </row>
    <row r="4" spans="1:2" x14ac:dyDescent="0.25">
      <c r="A4" s="2">
        <v>1</v>
      </c>
      <c r="B4" s="2">
        <v>6657001</v>
      </c>
    </row>
    <row r="5" spans="1:2" x14ac:dyDescent="0.25">
      <c r="A5" s="2">
        <v>2</v>
      </c>
      <c r="B5" s="2">
        <v>6657002</v>
      </c>
    </row>
    <row r="6" spans="1:2" x14ac:dyDescent="0.25">
      <c r="A6" s="2">
        <v>3</v>
      </c>
      <c r="B6" s="2">
        <v>6657003</v>
      </c>
    </row>
    <row r="7" spans="1:2" x14ac:dyDescent="0.25">
      <c r="A7" s="2">
        <v>4</v>
      </c>
      <c r="B7" s="2">
        <v>6657004</v>
      </c>
    </row>
    <row r="8" spans="1:2" x14ac:dyDescent="0.25">
      <c r="A8" s="2">
        <v>5</v>
      </c>
      <c r="B8" s="2">
        <v>6657005</v>
      </c>
    </row>
    <row r="9" spans="1:2" x14ac:dyDescent="0.25">
      <c r="A9" s="2">
        <v>6</v>
      </c>
      <c r="B9" s="2">
        <v>6657006</v>
      </c>
    </row>
    <row r="10" spans="1:2" x14ac:dyDescent="0.25">
      <c r="A10" s="2">
        <v>11</v>
      </c>
      <c r="B10" s="2">
        <v>6657007</v>
      </c>
    </row>
    <row r="11" spans="1:2" x14ac:dyDescent="0.25">
      <c r="A11" s="2">
        <v>21</v>
      </c>
      <c r="B11" s="2">
        <v>6657008</v>
      </c>
    </row>
    <row r="12" spans="1:2" x14ac:dyDescent="0.25">
      <c r="A12" s="2">
        <v>51</v>
      </c>
      <c r="B12" s="2">
        <v>6657009</v>
      </c>
    </row>
    <row r="13" spans="1:2" x14ac:dyDescent="0.25">
      <c r="A13" s="2">
        <v>101</v>
      </c>
      <c r="B13" s="2">
        <v>6657010</v>
      </c>
    </row>
    <row r="14" spans="1:2" x14ac:dyDescent="0.25">
      <c r="A14" s="2">
        <v>201</v>
      </c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1" x14ac:dyDescent="0.25">
      <c r="A17" s="2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3"/>
  <sheetViews>
    <sheetView workbookViewId="0">
      <selection activeCell="E89" sqref="E89"/>
    </sheetView>
  </sheetViews>
  <sheetFormatPr defaultColWidth="9.08203125" defaultRowHeight="15" x14ac:dyDescent="0.25"/>
  <cols>
    <col min="1" max="1" width="30.58203125" customWidth="1"/>
    <col min="2" max="2" width="30" customWidth="1"/>
    <col min="3" max="3" width="37.25" customWidth="1"/>
    <col min="4" max="4" width="34" customWidth="1"/>
    <col min="5" max="5" width="30.25" customWidth="1"/>
    <col min="6" max="6" width="37.25" customWidth="1"/>
  </cols>
  <sheetData>
    <row r="1" spans="1:6" x14ac:dyDescent="0.25">
      <c r="A1" t="s">
        <v>57</v>
      </c>
    </row>
    <row r="2" spans="1:6" ht="16.5" x14ac:dyDescent="0.45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t="s">
        <v>63</v>
      </c>
    </row>
    <row r="3" spans="1:6" x14ac:dyDescent="0.25">
      <c r="A3" t="s">
        <v>49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</row>
    <row r="4" spans="1:6" x14ac:dyDescent="0.25">
      <c r="A4">
        <v>1</v>
      </c>
      <c r="B4">
        <v>1</v>
      </c>
      <c r="C4" s="5">
        <v>2770001</v>
      </c>
      <c r="D4">
        <v>500</v>
      </c>
    </row>
    <row r="5" spans="1:6" x14ac:dyDescent="0.25">
      <c r="B5">
        <v>2</v>
      </c>
      <c r="C5" s="5">
        <v>2770002</v>
      </c>
      <c r="D5">
        <v>600</v>
      </c>
    </row>
    <row r="6" spans="1:6" x14ac:dyDescent="0.25">
      <c r="B6">
        <v>3</v>
      </c>
      <c r="C6" s="5">
        <v>2770003</v>
      </c>
      <c r="D6">
        <v>700</v>
      </c>
    </row>
    <row r="7" spans="1:6" x14ac:dyDescent="0.25">
      <c r="B7">
        <v>4</v>
      </c>
      <c r="C7" s="5">
        <v>2770004</v>
      </c>
      <c r="D7">
        <v>800</v>
      </c>
    </row>
    <row r="8" spans="1:6" x14ac:dyDescent="0.25">
      <c r="B8">
        <v>5</v>
      </c>
      <c r="C8" s="5"/>
      <c r="E8" s="5">
        <v>2770005</v>
      </c>
      <c r="F8">
        <v>1450</v>
      </c>
    </row>
    <row r="9" spans="1:6" x14ac:dyDescent="0.25">
      <c r="B9">
        <v>6</v>
      </c>
      <c r="C9" s="5">
        <v>2770006</v>
      </c>
      <c r="D9">
        <v>900</v>
      </c>
    </row>
    <row r="10" spans="1:6" x14ac:dyDescent="0.25">
      <c r="B10">
        <v>7</v>
      </c>
      <c r="C10" s="5">
        <v>2770007</v>
      </c>
      <c r="D10">
        <v>1000</v>
      </c>
    </row>
    <row r="11" spans="1:6" x14ac:dyDescent="0.25">
      <c r="B11">
        <v>8</v>
      </c>
      <c r="C11" s="5">
        <v>2770008</v>
      </c>
      <c r="D11">
        <v>1200</v>
      </c>
    </row>
    <row r="12" spans="1:6" x14ac:dyDescent="0.25">
      <c r="B12">
        <v>9</v>
      </c>
      <c r="C12" s="5">
        <v>2770009</v>
      </c>
      <c r="D12">
        <v>1500</v>
      </c>
    </row>
    <row r="13" spans="1:6" x14ac:dyDescent="0.25">
      <c r="B13">
        <v>10</v>
      </c>
      <c r="C13" s="5"/>
      <c r="E13" s="5">
        <v>2770010</v>
      </c>
      <c r="F13">
        <v>2200</v>
      </c>
    </row>
    <row r="14" spans="1:6" x14ac:dyDescent="0.25">
      <c r="A14">
        <v>2</v>
      </c>
      <c r="B14">
        <v>1</v>
      </c>
      <c r="C14" s="5">
        <v>2770101</v>
      </c>
      <c r="D14">
        <v>900</v>
      </c>
    </row>
    <row r="15" spans="1:6" x14ac:dyDescent="0.25">
      <c r="B15">
        <v>2</v>
      </c>
      <c r="C15" s="5">
        <v>2770102</v>
      </c>
      <c r="D15">
        <v>1080</v>
      </c>
    </row>
    <row r="16" spans="1:6" x14ac:dyDescent="0.25">
      <c r="B16">
        <v>3</v>
      </c>
      <c r="C16" s="5">
        <v>2770103</v>
      </c>
      <c r="D16">
        <v>1260</v>
      </c>
    </row>
    <row r="17" spans="1:6" x14ac:dyDescent="0.25">
      <c r="B17">
        <v>4</v>
      </c>
      <c r="C17" s="5">
        <v>2770104</v>
      </c>
      <c r="D17">
        <v>1440</v>
      </c>
      <c r="E17" s="5"/>
    </row>
    <row r="18" spans="1:6" x14ac:dyDescent="0.25">
      <c r="B18">
        <v>5</v>
      </c>
      <c r="C18" s="5"/>
      <c r="E18" s="5">
        <v>2770105</v>
      </c>
      <c r="F18">
        <v>2600</v>
      </c>
    </row>
    <row r="19" spans="1:6" x14ac:dyDescent="0.25">
      <c r="B19">
        <v>6</v>
      </c>
      <c r="C19" s="5">
        <v>2770106</v>
      </c>
      <c r="D19">
        <v>1620</v>
      </c>
    </row>
    <row r="20" spans="1:6" x14ac:dyDescent="0.25">
      <c r="B20">
        <v>7</v>
      </c>
      <c r="C20" s="5">
        <v>2770107</v>
      </c>
      <c r="D20">
        <v>1800</v>
      </c>
    </row>
    <row r="21" spans="1:6" x14ac:dyDescent="0.25">
      <c r="B21">
        <v>8</v>
      </c>
      <c r="C21" s="5">
        <v>2770108</v>
      </c>
      <c r="D21">
        <v>2160</v>
      </c>
    </row>
    <row r="22" spans="1:6" x14ac:dyDescent="0.25">
      <c r="B22">
        <v>9</v>
      </c>
      <c r="C22" s="5">
        <v>2770109</v>
      </c>
      <c r="D22">
        <v>2700</v>
      </c>
    </row>
    <row r="23" spans="1:6" x14ac:dyDescent="0.25">
      <c r="B23">
        <v>10</v>
      </c>
      <c r="C23" s="5"/>
      <c r="E23" s="5">
        <v>2770110</v>
      </c>
      <c r="F23">
        <v>3900</v>
      </c>
    </row>
    <row r="24" spans="1:6" x14ac:dyDescent="0.25">
      <c r="A24">
        <v>3</v>
      </c>
      <c r="B24">
        <v>1</v>
      </c>
      <c r="C24" s="5">
        <v>2770201</v>
      </c>
      <c r="D24">
        <v>1500</v>
      </c>
    </row>
    <row r="25" spans="1:6" x14ac:dyDescent="0.25">
      <c r="B25">
        <v>2</v>
      </c>
      <c r="C25" s="5">
        <v>2770202</v>
      </c>
      <c r="D25">
        <v>1800</v>
      </c>
    </row>
    <row r="26" spans="1:6" x14ac:dyDescent="0.25">
      <c r="B26">
        <v>3</v>
      </c>
      <c r="C26" s="5">
        <v>2770203</v>
      </c>
      <c r="D26">
        <v>2100</v>
      </c>
    </row>
    <row r="27" spans="1:6" x14ac:dyDescent="0.25">
      <c r="B27">
        <v>4</v>
      </c>
      <c r="C27" s="5">
        <v>2770204</v>
      </c>
      <c r="D27">
        <v>2400</v>
      </c>
    </row>
    <row r="28" spans="1:6" x14ac:dyDescent="0.25">
      <c r="B28">
        <v>5</v>
      </c>
      <c r="C28" s="5"/>
      <c r="E28" s="5">
        <v>2770205</v>
      </c>
      <c r="F28">
        <v>4350</v>
      </c>
    </row>
    <row r="29" spans="1:6" x14ac:dyDescent="0.25">
      <c r="B29">
        <v>6</v>
      </c>
      <c r="C29" s="5">
        <v>2770206</v>
      </c>
      <c r="D29">
        <v>2700</v>
      </c>
    </row>
    <row r="30" spans="1:6" x14ac:dyDescent="0.25">
      <c r="B30">
        <v>7</v>
      </c>
      <c r="C30" s="5">
        <v>2770207</v>
      </c>
      <c r="D30">
        <v>3000</v>
      </c>
    </row>
    <row r="31" spans="1:6" x14ac:dyDescent="0.25">
      <c r="B31">
        <v>8</v>
      </c>
      <c r="C31" s="5">
        <v>2770208</v>
      </c>
      <c r="D31">
        <v>3600</v>
      </c>
    </row>
    <row r="32" spans="1:6" x14ac:dyDescent="0.25">
      <c r="B32">
        <v>9</v>
      </c>
      <c r="C32" s="5">
        <v>2770209</v>
      </c>
      <c r="D32">
        <v>4500</v>
      </c>
    </row>
    <row r="33" spans="1:6" x14ac:dyDescent="0.25">
      <c r="B33">
        <v>10</v>
      </c>
      <c r="C33" s="5"/>
      <c r="E33" s="5">
        <v>2770210</v>
      </c>
      <c r="F33">
        <v>6500</v>
      </c>
    </row>
    <row r="34" spans="1:6" x14ac:dyDescent="0.25">
      <c r="A34">
        <v>4</v>
      </c>
      <c r="B34">
        <v>1</v>
      </c>
      <c r="C34" s="5">
        <v>2770301</v>
      </c>
      <c r="D34">
        <v>2600</v>
      </c>
    </row>
    <row r="35" spans="1:6" x14ac:dyDescent="0.25">
      <c r="B35">
        <v>2</v>
      </c>
      <c r="C35" s="5">
        <v>2770302</v>
      </c>
      <c r="D35">
        <v>3120</v>
      </c>
    </row>
    <row r="36" spans="1:6" x14ac:dyDescent="0.25">
      <c r="B36">
        <v>3</v>
      </c>
      <c r="C36" s="5">
        <v>2770303</v>
      </c>
      <c r="D36">
        <v>3640</v>
      </c>
    </row>
    <row r="37" spans="1:6" x14ac:dyDescent="0.25">
      <c r="B37">
        <v>4</v>
      </c>
      <c r="C37" s="5">
        <v>2770304</v>
      </c>
      <c r="D37">
        <v>4160</v>
      </c>
      <c r="E37" s="5"/>
    </row>
    <row r="38" spans="1:6" x14ac:dyDescent="0.25">
      <c r="B38">
        <v>5</v>
      </c>
      <c r="C38" s="5"/>
      <c r="E38" s="5">
        <v>2770305</v>
      </c>
      <c r="F38">
        <v>7500</v>
      </c>
    </row>
    <row r="39" spans="1:6" x14ac:dyDescent="0.25">
      <c r="B39">
        <v>6</v>
      </c>
      <c r="C39" s="5">
        <v>2770306</v>
      </c>
      <c r="D39">
        <v>4680</v>
      </c>
    </row>
    <row r="40" spans="1:6" x14ac:dyDescent="0.25">
      <c r="B40">
        <v>7</v>
      </c>
      <c r="C40" s="5">
        <v>2770307</v>
      </c>
      <c r="D40">
        <v>5200</v>
      </c>
    </row>
    <row r="41" spans="1:6" x14ac:dyDescent="0.25">
      <c r="B41">
        <v>8</v>
      </c>
      <c r="C41" s="5">
        <v>2770308</v>
      </c>
      <c r="D41">
        <v>6240</v>
      </c>
    </row>
    <row r="42" spans="1:6" x14ac:dyDescent="0.25">
      <c r="B42">
        <v>9</v>
      </c>
      <c r="C42" s="5">
        <v>2770309</v>
      </c>
      <c r="D42">
        <v>7800</v>
      </c>
    </row>
    <row r="43" spans="1:6" x14ac:dyDescent="0.25">
      <c r="B43">
        <v>10</v>
      </c>
      <c r="C43" s="5"/>
      <c r="E43" s="5">
        <v>2770310</v>
      </c>
      <c r="F43">
        <v>11250</v>
      </c>
    </row>
    <row r="44" spans="1:6" x14ac:dyDescent="0.25">
      <c r="A44">
        <v>5</v>
      </c>
      <c r="B44">
        <v>1</v>
      </c>
      <c r="C44" s="5">
        <v>2770401</v>
      </c>
      <c r="D44">
        <v>4400</v>
      </c>
    </row>
    <row r="45" spans="1:6" x14ac:dyDescent="0.25">
      <c r="B45">
        <v>2</v>
      </c>
      <c r="C45" s="5">
        <v>2770402</v>
      </c>
      <c r="D45">
        <v>5280</v>
      </c>
    </row>
    <row r="46" spans="1:6" x14ac:dyDescent="0.25">
      <c r="B46">
        <v>3</v>
      </c>
      <c r="C46" s="5">
        <v>2770403</v>
      </c>
      <c r="D46">
        <v>6160</v>
      </c>
    </row>
    <row r="47" spans="1:6" x14ac:dyDescent="0.25">
      <c r="B47">
        <v>4</v>
      </c>
      <c r="C47" s="5">
        <v>2770404</v>
      </c>
      <c r="D47">
        <v>7040</v>
      </c>
    </row>
    <row r="48" spans="1:6" x14ac:dyDescent="0.25">
      <c r="B48">
        <v>5</v>
      </c>
      <c r="C48" s="5"/>
      <c r="E48" s="5">
        <v>2770405</v>
      </c>
      <c r="F48">
        <v>12700</v>
      </c>
    </row>
    <row r="49" spans="1:6" x14ac:dyDescent="0.25">
      <c r="B49">
        <v>6</v>
      </c>
      <c r="C49" s="5">
        <v>2770406</v>
      </c>
      <c r="D49">
        <v>7920</v>
      </c>
    </row>
    <row r="50" spans="1:6" x14ac:dyDescent="0.25">
      <c r="B50">
        <v>7</v>
      </c>
      <c r="C50" s="5">
        <v>2770407</v>
      </c>
      <c r="D50">
        <v>8800</v>
      </c>
    </row>
    <row r="51" spans="1:6" x14ac:dyDescent="0.25">
      <c r="B51">
        <v>8</v>
      </c>
      <c r="C51" s="5">
        <v>2770408</v>
      </c>
      <c r="D51">
        <v>10560</v>
      </c>
    </row>
    <row r="52" spans="1:6" x14ac:dyDescent="0.25">
      <c r="B52">
        <v>9</v>
      </c>
      <c r="C52" s="5">
        <v>2770409</v>
      </c>
      <c r="D52">
        <v>13200</v>
      </c>
    </row>
    <row r="53" spans="1:6" x14ac:dyDescent="0.25">
      <c r="B53">
        <v>10</v>
      </c>
      <c r="C53" s="5"/>
      <c r="E53" s="5">
        <v>2770410</v>
      </c>
      <c r="F53">
        <v>19050</v>
      </c>
    </row>
    <row r="54" spans="1:6" x14ac:dyDescent="0.25">
      <c r="A54">
        <v>6</v>
      </c>
      <c r="B54">
        <v>1</v>
      </c>
      <c r="C54" s="5">
        <v>2770501</v>
      </c>
      <c r="D54">
        <v>7500</v>
      </c>
    </row>
    <row r="55" spans="1:6" x14ac:dyDescent="0.25">
      <c r="B55">
        <v>2</v>
      </c>
      <c r="C55" s="5">
        <v>2770502</v>
      </c>
      <c r="D55">
        <v>9000</v>
      </c>
    </row>
    <row r="56" spans="1:6" x14ac:dyDescent="0.25">
      <c r="B56">
        <v>3</v>
      </c>
      <c r="C56" s="5">
        <v>2770503</v>
      </c>
      <c r="D56">
        <v>10500</v>
      </c>
    </row>
    <row r="57" spans="1:6" x14ac:dyDescent="0.25">
      <c r="B57">
        <v>4</v>
      </c>
      <c r="C57" s="5">
        <v>2770504</v>
      </c>
      <c r="D57">
        <v>12000</v>
      </c>
      <c r="E57" s="5"/>
    </row>
    <row r="58" spans="1:6" x14ac:dyDescent="0.25">
      <c r="B58">
        <v>5</v>
      </c>
      <c r="C58" s="5"/>
      <c r="E58" s="5">
        <v>2770505</v>
      </c>
      <c r="F58">
        <v>21600</v>
      </c>
    </row>
    <row r="59" spans="1:6" x14ac:dyDescent="0.25">
      <c r="B59">
        <v>6</v>
      </c>
      <c r="C59" s="5">
        <v>2770506</v>
      </c>
      <c r="D59">
        <v>13500</v>
      </c>
    </row>
    <row r="60" spans="1:6" x14ac:dyDescent="0.25">
      <c r="B60">
        <v>7</v>
      </c>
      <c r="C60" s="5">
        <v>2770507</v>
      </c>
      <c r="D60">
        <v>15000</v>
      </c>
    </row>
    <row r="61" spans="1:6" x14ac:dyDescent="0.25">
      <c r="B61">
        <v>8</v>
      </c>
      <c r="C61" s="5">
        <v>2770508</v>
      </c>
      <c r="D61">
        <v>18000</v>
      </c>
    </row>
    <row r="62" spans="1:6" x14ac:dyDescent="0.25">
      <c r="B62">
        <v>9</v>
      </c>
      <c r="C62" s="5">
        <v>2770509</v>
      </c>
      <c r="D62">
        <v>22500</v>
      </c>
    </row>
    <row r="63" spans="1:6" x14ac:dyDescent="0.25">
      <c r="B63">
        <v>10</v>
      </c>
      <c r="C63" s="5"/>
      <c r="E63" s="5">
        <v>2770510</v>
      </c>
      <c r="F63">
        <v>32400</v>
      </c>
    </row>
    <row r="64" spans="1:6" x14ac:dyDescent="0.25">
      <c r="A64">
        <v>7</v>
      </c>
      <c r="B64">
        <v>1</v>
      </c>
      <c r="C64" s="5">
        <v>2770601</v>
      </c>
      <c r="D64">
        <v>12800</v>
      </c>
    </row>
    <row r="65" spans="1:6" x14ac:dyDescent="0.25">
      <c r="B65">
        <v>2</v>
      </c>
      <c r="C65" s="5">
        <v>2770602</v>
      </c>
      <c r="D65">
        <v>15360</v>
      </c>
    </row>
    <row r="66" spans="1:6" x14ac:dyDescent="0.25">
      <c r="B66">
        <v>3</v>
      </c>
      <c r="C66" s="5">
        <v>2770603</v>
      </c>
      <c r="D66">
        <v>17920</v>
      </c>
    </row>
    <row r="67" spans="1:6" x14ac:dyDescent="0.25">
      <c r="B67">
        <v>4</v>
      </c>
      <c r="C67" s="5">
        <v>2770604</v>
      </c>
      <c r="D67">
        <v>20480</v>
      </c>
    </row>
    <row r="68" spans="1:6" x14ac:dyDescent="0.25">
      <c r="B68">
        <v>5</v>
      </c>
      <c r="C68" s="5"/>
      <c r="E68" s="5">
        <v>2770605</v>
      </c>
      <c r="F68">
        <v>36900</v>
      </c>
    </row>
    <row r="69" spans="1:6" x14ac:dyDescent="0.25">
      <c r="B69">
        <v>6</v>
      </c>
      <c r="C69" s="5">
        <v>2770606</v>
      </c>
      <c r="D69">
        <v>23040</v>
      </c>
    </row>
    <row r="70" spans="1:6" x14ac:dyDescent="0.25">
      <c r="B70">
        <v>7</v>
      </c>
      <c r="C70" s="5">
        <v>2770607</v>
      </c>
      <c r="D70">
        <v>25600</v>
      </c>
    </row>
    <row r="71" spans="1:6" x14ac:dyDescent="0.25">
      <c r="B71">
        <v>8</v>
      </c>
      <c r="C71" s="5">
        <v>2770608</v>
      </c>
      <c r="D71">
        <v>30720</v>
      </c>
    </row>
    <row r="72" spans="1:6" x14ac:dyDescent="0.25">
      <c r="B72">
        <v>9</v>
      </c>
      <c r="C72" s="5">
        <v>2770609</v>
      </c>
      <c r="D72">
        <v>38400</v>
      </c>
    </row>
    <row r="73" spans="1:6" x14ac:dyDescent="0.25">
      <c r="B73">
        <v>10</v>
      </c>
      <c r="C73" s="5"/>
      <c r="E73" s="5">
        <v>2770610</v>
      </c>
      <c r="F73">
        <v>55300</v>
      </c>
    </row>
    <row r="74" spans="1:6" x14ac:dyDescent="0.25">
      <c r="A74">
        <v>8</v>
      </c>
      <c r="B74">
        <v>1</v>
      </c>
      <c r="C74" s="5">
        <v>2770701</v>
      </c>
      <c r="D74">
        <v>21800</v>
      </c>
    </row>
    <row r="75" spans="1:6" x14ac:dyDescent="0.25">
      <c r="B75">
        <v>2</v>
      </c>
      <c r="C75" s="5">
        <v>2770702</v>
      </c>
      <c r="D75">
        <v>26160</v>
      </c>
    </row>
    <row r="76" spans="1:6" x14ac:dyDescent="0.25">
      <c r="B76">
        <v>3</v>
      </c>
      <c r="C76" s="5">
        <v>2770703</v>
      </c>
      <c r="D76">
        <v>30520</v>
      </c>
    </row>
    <row r="77" spans="1:6" x14ac:dyDescent="0.25">
      <c r="B77">
        <v>4</v>
      </c>
      <c r="C77" s="5">
        <v>2770704</v>
      </c>
      <c r="D77">
        <v>34880</v>
      </c>
      <c r="E77" s="5"/>
    </row>
    <row r="78" spans="1:6" x14ac:dyDescent="0.25">
      <c r="B78">
        <v>5</v>
      </c>
      <c r="C78" s="5"/>
      <c r="E78" s="5">
        <v>2770705</v>
      </c>
      <c r="F78">
        <v>62800</v>
      </c>
    </row>
    <row r="79" spans="1:6" x14ac:dyDescent="0.25">
      <c r="B79">
        <v>6</v>
      </c>
      <c r="C79" s="5">
        <v>2770706</v>
      </c>
      <c r="D79">
        <v>39240</v>
      </c>
    </row>
    <row r="80" spans="1:6" x14ac:dyDescent="0.25">
      <c r="B80">
        <v>7</v>
      </c>
      <c r="C80" s="5">
        <v>2770707</v>
      </c>
      <c r="D80">
        <v>43600</v>
      </c>
    </row>
    <row r="81" spans="2:6" x14ac:dyDescent="0.25">
      <c r="B81">
        <v>8</v>
      </c>
      <c r="C81" s="5">
        <v>2770708</v>
      </c>
      <c r="D81">
        <v>52320</v>
      </c>
    </row>
    <row r="82" spans="2:6" x14ac:dyDescent="0.25">
      <c r="B82">
        <v>9</v>
      </c>
      <c r="C82" s="5">
        <v>2770709</v>
      </c>
      <c r="D82">
        <v>65400</v>
      </c>
    </row>
    <row r="83" spans="2:6" x14ac:dyDescent="0.25">
      <c r="B83">
        <v>10</v>
      </c>
      <c r="C83" s="5"/>
      <c r="E83" s="5">
        <v>2770710</v>
      </c>
      <c r="F83">
        <v>94200</v>
      </c>
    </row>
    <row r="84" spans="2:6" x14ac:dyDescent="0.25">
      <c r="C84" s="5"/>
    </row>
    <row r="85" spans="2:6" x14ac:dyDescent="0.25">
      <c r="C85" s="5"/>
    </row>
    <row r="86" spans="2:6" x14ac:dyDescent="0.25">
      <c r="C86" s="5"/>
    </row>
    <row r="87" spans="2:6" x14ac:dyDescent="0.25">
      <c r="C87" s="5"/>
    </row>
    <row r="88" spans="2:6" x14ac:dyDescent="0.25">
      <c r="C88" s="5"/>
      <c r="E88" s="5"/>
    </row>
    <row r="89" spans="2:6" x14ac:dyDescent="0.25">
      <c r="C89" s="5"/>
    </row>
    <row r="90" spans="2:6" x14ac:dyDescent="0.25">
      <c r="C90" s="5"/>
    </row>
    <row r="91" spans="2:6" x14ac:dyDescent="0.25">
      <c r="C91" s="5"/>
    </row>
    <row r="92" spans="2:6" x14ac:dyDescent="0.25">
      <c r="C92" s="5"/>
    </row>
    <row r="93" spans="2:6" x14ac:dyDescent="0.25">
      <c r="C93" s="5"/>
      <c r="E93" s="5"/>
    </row>
    <row r="94" spans="2:6" x14ac:dyDescent="0.25">
      <c r="C94" s="5"/>
    </row>
    <row r="95" spans="2:6" x14ac:dyDescent="0.25">
      <c r="C95" s="5"/>
    </row>
    <row r="96" spans="2:6" x14ac:dyDescent="0.25">
      <c r="C96" s="5"/>
    </row>
    <row r="97" spans="3:5" x14ac:dyDescent="0.25">
      <c r="C97" s="5"/>
      <c r="E97" s="5"/>
    </row>
    <row r="98" spans="3:5" x14ac:dyDescent="0.25">
      <c r="C98" s="5"/>
      <c r="E98" s="5"/>
    </row>
    <row r="99" spans="3:5" x14ac:dyDescent="0.25">
      <c r="C99" s="5"/>
    </row>
    <row r="100" spans="3:5" x14ac:dyDescent="0.25">
      <c r="C100" s="5"/>
    </row>
    <row r="101" spans="3:5" x14ac:dyDescent="0.25">
      <c r="C101" s="5"/>
    </row>
    <row r="102" spans="3:5" x14ac:dyDescent="0.25">
      <c r="C102" s="5"/>
    </row>
    <row r="103" spans="3:5" x14ac:dyDescent="0.25">
      <c r="C103" s="5"/>
      <c r="E103" s="5"/>
    </row>
  </sheetData>
  <autoFilter ref="A2:F83" xr:uid="{00000000-0009-0000-0000-000004000000}"/>
  <phoneticPr fontId="6" type="noConversion"/>
  <conditionalFormatting sqref="E8">
    <cfRule type="duplicateValues" dxfId="27" priority="16"/>
  </conditionalFormatting>
  <conditionalFormatting sqref="E13">
    <cfRule type="duplicateValues" dxfId="26" priority="15"/>
  </conditionalFormatting>
  <conditionalFormatting sqref="E17">
    <cfRule type="duplicateValues" dxfId="25" priority="43" stopIfTrue="1"/>
  </conditionalFormatting>
  <conditionalFormatting sqref="E18">
    <cfRule type="duplicateValues" dxfId="24" priority="14"/>
  </conditionalFormatting>
  <conditionalFormatting sqref="E23">
    <cfRule type="duplicateValues" dxfId="23" priority="13"/>
  </conditionalFormatting>
  <conditionalFormatting sqref="E28">
    <cfRule type="duplicateValues" dxfId="22" priority="12"/>
  </conditionalFormatting>
  <conditionalFormatting sqref="E33">
    <cfRule type="duplicateValues" dxfId="21" priority="11"/>
  </conditionalFormatting>
  <conditionalFormatting sqref="E37">
    <cfRule type="duplicateValues" dxfId="20" priority="37" stopIfTrue="1"/>
  </conditionalFormatting>
  <conditionalFormatting sqref="E38">
    <cfRule type="duplicateValues" dxfId="19" priority="10"/>
  </conditionalFormatting>
  <conditionalFormatting sqref="E43">
    <cfRule type="duplicateValues" dxfId="18" priority="9"/>
  </conditionalFormatting>
  <conditionalFormatting sqref="E48">
    <cfRule type="duplicateValues" dxfId="17" priority="8"/>
  </conditionalFormatting>
  <conditionalFormatting sqref="E53">
    <cfRule type="duplicateValues" dxfId="16" priority="7"/>
  </conditionalFormatting>
  <conditionalFormatting sqref="E57">
    <cfRule type="duplicateValues" dxfId="15" priority="31" stopIfTrue="1"/>
  </conditionalFormatting>
  <conditionalFormatting sqref="E58">
    <cfRule type="duplicateValues" dxfId="14" priority="6"/>
  </conditionalFormatting>
  <conditionalFormatting sqref="E63">
    <cfRule type="duplicateValues" dxfId="13" priority="5"/>
  </conditionalFormatting>
  <conditionalFormatting sqref="E68">
    <cfRule type="duplicateValues" dxfId="12" priority="4"/>
  </conditionalFormatting>
  <conditionalFormatting sqref="E73">
    <cfRule type="duplicateValues" dxfId="11" priority="3"/>
  </conditionalFormatting>
  <conditionalFormatting sqref="E77">
    <cfRule type="duplicateValues" dxfId="10" priority="25" stopIfTrue="1"/>
  </conditionalFormatting>
  <conditionalFormatting sqref="E78">
    <cfRule type="duplicateValues" dxfId="9" priority="2"/>
  </conditionalFormatting>
  <conditionalFormatting sqref="E83">
    <cfRule type="duplicateValues" dxfId="8" priority="1"/>
  </conditionalFormatting>
  <conditionalFormatting sqref="E88">
    <cfRule type="duplicateValues" dxfId="7" priority="23" stopIfTrue="1"/>
  </conditionalFormatting>
  <conditionalFormatting sqref="E93">
    <cfRule type="duplicateValues" dxfId="6" priority="22" stopIfTrue="1"/>
  </conditionalFormatting>
  <conditionalFormatting sqref="E103">
    <cfRule type="duplicateValues" dxfId="5" priority="18" stopIfTrue="1"/>
  </conditionalFormatting>
  <conditionalFormatting sqref="C4:C83">
    <cfRule type="duplicateValues" dxfId="4" priority="17"/>
  </conditionalFormatting>
  <conditionalFormatting sqref="C94:C97">
    <cfRule type="duplicateValues" dxfId="3" priority="21" stopIfTrue="1"/>
  </conditionalFormatting>
  <conditionalFormatting sqref="C99:C102">
    <cfRule type="duplicateValues" dxfId="2" priority="20" stopIfTrue="1"/>
  </conditionalFormatting>
  <conditionalFormatting sqref="E97:E98">
    <cfRule type="duplicateValues" dxfId="1" priority="19" stopIfTrue="1"/>
  </conditionalFormatting>
  <conditionalFormatting sqref="C84:C93 C98 C103">
    <cfRule type="expression" dxfId="0" priority="48" stopIfTrue="1">
      <formula>AND(COUNTIF($C$4:$C$13,C84)+COUNTIF($C$18:$C$18,C84)+COUNTIF($C$23:$C$29,C84)&gt;1,NOT(ISBLANK(C84)))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>
      <selection activeCell="F21" sqref="F21"/>
    </sheetView>
  </sheetViews>
  <sheetFormatPr defaultColWidth="9.08203125" defaultRowHeight="15" x14ac:dyDescent="0.25"/>
  <cols>
    <col min="1" max="1" width="44.83203125" customWidth="1"/>
    <col min="2" max="2" width="47.58203125" customWidth="1"/>
    <col min="3" max="3" width="41.08203125" customWidth="1"/>
    <col min="4" max="4" width="34" customWidth="1"/>
    <col min="5" max="5" width="23.25" customWidth="1"/>
    <col min="6" max="6" width="47.58203125" customWidth="1"/>
    <col min="7" max="7" width="41.08203125" customWidth="1"/>
    <col min="8" max="8" width="34" customWidth="1"/>
    <col min="9" max="9" width="23.25" customWidth="1"/>
    <col min="10" max="10" width="47.58203125" customWidth="1"/>
    <col min="11" max="11" width="41.08203125" customWidth="1"/>
    <col min="12" max="12" width="34" customWidth="1"/>
    <col min="13" max="13" width="23.25" customWidth="1"/>
  </cols>
  <sheetData>
    <row r="1" spans="1:13" x14ac:dyDescent="0.25">
      <c r="A1" t="s">
        <v>69</v>
      </c>
    </row>
    <row r="2" spans="1:13" x14ac:dyDescent="0.25">
      <c r="A2" s="1" t="s">
        <v>70</v>
      </c>
      <c r="B2" s="1" t="s">
        <v>71</v>
      </c>
      <c r="C2" t="s">
        <v>72</v>
      </c>
      <c r="D2" s="1" t="s">
        <v>88</v>
      </c>
      <c r="E2" t="s">
        <v>89</v>
      </c>
      <c r="F2" s="1" t="s">
        <v>90</v>
      </c>
      <c r="G2" t="s">
        <v>91</v>
      </c>
      <c r="H2" s="1"/>
      <c r="J2" s="1"/>
      <c r="L2" s="1"/>
    </row>
    <row r="3" spans="1:13" x14ac:dyDescent="0.25">
      <c r="A3" s="1" t="s">
        <v>73</v>
      </c>
      <c r="B3" s="1" t="s">
        <v>74</v>
      </c>
      <c r="C3" t="s">
        <v>75</v>
      </c>
      <c r="D3" s="1" t="s">
        <v>86</v>
      </c>
      <c r="E3" t="s">
        <v>87</v>
      </c>
      <c r="F3" s="1" t="s">
        <v>92</v>
      </c>
      <c r="G3" t="s">
        <v>93</v>
      </c>
      <c r="H3" s="1"/>
      <c r="J3" s="1"/>
      <c r="L3" s="1"/>
    </row>
    <row r="4" spans="1:13" x14ac:dyDescent="0.25">
      <c r="A4" s="2">
        <v>1</v>
      </c>
      <c r="B4" s="3" t="s">
        <v>79</v>
      </c>
      <c r="C4" s="3" t="s">
        <v>81</v>
      </c>
      <c r="D4" s="3" t="s">
        <v>83</v>
      </c>
      <c r="E4" s="3" t="s">
        <v>85</v>
      </c>
      <c r="F4" s="3" t="s">
        <v>95</v>
      </c>
      <c r="G4" s="3" t="s">
        <v>97</v>
      </c>
      <c r="H4" s="3"/>
      <c r="I4" s="3"/>
      <c r="J4" s="3"/>
      <c r="K4" s="3"/>
      <c r="L4" s="3"/>
      <c r="M4" s="3"/>
    </row>
    <row r="5" spans="1:13" x14ac:dyDescent="0.25">
      <c r="A5" s="2">
        <v>2</v>
      </c>
      <c r="B5" s="3" t="s">
        <v>79</v>
      </c>
      <c r="C5" s="3" t="s">
        <v>81</v>
      </c>
      <c r="D5" s="3" t="s">
        <v>83</v>
      </c>
      <c r="E5" s="3" t="s">
        <v>85</v>
      </c>
      <c r="F5" s="3" t="s">
        <v>95</v>
      </c>
      <c r="G5" s="3" t="s">
        <v>97</v>
      </c>
      <c r="H5" s="2"/>
      <c r="J5" s="3"/>
      <c r="K5" s="3"/>
      <c r="L5" s="2"/>
    </row>
    <row r="6" spans="1:13" x14ac:dyDescent="0.25">
      <c r="A6" s="2">
        <v>3</v>
      </c>
      <c r="B6" s="3" t="s">
        <v>79</v>
      </c>
      <c r="C6" s="3" t="s">
        <v>81</v>
      </c>
      <c r="D6" s="3" t="s">
        <v>83</v>
      </c>
      <c r="E6" s="3" t="s">
        <v>85</v>
      </c>
      <c r="F6" s="3" t="s">
        <v>95</v>
      </c>
      <c r="G6" s="3" t="s">
        <v>97</v>
      </c>
      <c r="H6" s="2"/>
      <c r="J6" s="3"/>
      <c r="K6" s="3"/>
      <c r="L6" s="2"/>
    </row>
    <row r="7" spans="1:13" x14ac:dyDescent="0.25">
      <c r="A7" s="2">
        <v>4</v>
      </c>
      <c r="B7" s="3" t="s">
        <v>79</v>
      </c>
      <c r="C7" s="3" t="s">
        <v>81</v>
      </c>
      <c r="D7" s="3" t="s">
        <v>83</v>
      </c>
      <c r="E7" s="3" t="s">
        <v>85</v>
      </c>
      <c r="F7" s="3" t="s">
        <v>95</v>
      </c>
      <c r="G7" s="3" t="s">
        <v>97</v>
      </c>
      <c r="H7" s="2"/>
      <c r="J7" s="3"/>
      <c r="K7" s="3"/>
      <c r="L7" s="2"/>
    </row>
    <row r="8" spans="1:13" x14ac:dyDescent="0.25">
      <c r="A8" s="2">
        <v>5</v>
      </c>
      <c r="B8" s="3" t="s">
        <v>78</v>
      </c>
      <c r="C8" s="3" t="s">
        <v>80</v>
      </c>
      <c r="D8" s="3" t="s">
        <v>82</v>
      </c>
      <c r="E8" s="3" t="s">
        <v>84</v>
      </c>
      <c r="F8" s="3" t="s">
        <v>94</v>
      </c>
      <c r="G8" s="3" t="s">
        <v>96</v>
      </c>
      <c r="H8" s="2"/>
      <c r="J8" s="3"/>
      <c r="K8" s="3"/>
      <c r="L8" s="2"/>
    </row>
    <row r="9" spans="1:13" x14ac:dyDescent="0.25">
      <c r="A9" s="2">
        <v>6</v>
      </c>
      <c r="B9" s="3" t="s">
        <v>78</v>
      </c>
      <c r="C9" s="3" t="s">
        <v>80</v>
      </c>
      <c r="D9" s="3" t="s">
        <v>82</v>
      </c>
      <c r="E9" s="3" t="s">
        <v>84</v>
      </c>
      <c r="F9" s="3" t="s">
        <v>94</v>
      </c>
      <c r="G9" s="3" t="s">
        <v>96</v>
      </c>
      <c r="H9" s="2"/>
      <c r="J9" s="3"/>
      <c r="K9" s="3"/>
      <c r="L9" s="2"/>
    </row>
    <row r="10" spans="1:13" x14ac:dyDescent="0.25">
      <c r="A10" s="2">
        <v>7</v>
      </c>
      <c r="B10" s="3" t="s">
        <v>78</v>
      </c>
      <c r="C10" s="3" t="s">
        <v>80</v>
      </c>
      <c r="D10" s="3" t="s">
        <v>82</v>
      </c>
      <c r="E10" s="3" t="s">
        <v>84</v>
      </c>
      <c r="F10" s="3" t="s">
        <v>94</v>
      </c>
      <c r="G10" s="3" t="s">
        <v>96</v>
      </c>
      <c r="H10" s="2"/>
      <c r="J10" s="3"/>
      <c r="K10" s="3"/>
      <c r="L10" s="2"/>
    </row>
    <row r="11" spans="1:13" x14ac:dyDescent="0.25">
      <c r="A11" s="2">
        <v>8</v>
      </c>
      <c r="B11" s="3" t="s">
        <v>78</v>
      </c>
      <c r="C11" s="3" t="s">
        <v>80</v>
      </c>
      <c r="D11" s="3" t="s">
        <v>82</v>
      </c>
      <c r="E11" s="3" t="s">
        <v>84</v>
      </c>
      <c r="F11" s="3" t="s">
        <v>94</v>
      </c>
      <c r="G11" s="3" t="s">
        <v>96</v>
      </c>
      <c r="H11" s="2"/>
      <c r="J11" s="3"/>
      <c r="K11" s="3"/>
      <c r="L11" s="2"/>
    </row>
    <row r="12" spans="1:13" x14ac:dyDescent="0.25">
      <c r="A12" s="2">
        <v>9</v>
      </c>
      <c r="B12" s="3" t="s">
        <v>78</v>
      </c>
      <c r="C12" s="3" t="s">
        <v>80</v>
      </c>
      <c r="D12" s="3" t="s">
        <v>82</v>
      </c>
      <c r="E12" s="3" t="s">
        <v>84</v>
      </c>
      <c r="F12" s="3" t="s">
        <v>94</v>
      </c>
      <c r="G12" s="3" t="s">
        <v>96</v>
      </c>
      <c r="H12" s="2"/>
      <c r="J12" s="3"/>
      <c r="K12" s="3"/>
      <c r="L12" s="2"/>
    </row>
    <row r="13" spans="1:13" x14ac:dyDescent="0.25">
      <c r="A13" s="2">
        <v>10</v>
      </c>
      <c r="B13" s="3" t="s">
        <v>78</v>
      </c>
      <c r="C13" s="3" t="s">
        <v>80</v>
      </c>
      <c r="D13" s="3" t="s">
        <v>82</v>
      </c>
      <c r="E13" s="3" t="s">
        <v>84</v>
      </c>
      <c r="F13" s="3" t="s">
        <v>94</v>
      </c>
      <c r="G13" s="3" t="s">
        <v>96</v>
      </c>
      <c r="H13" s="2"/>
      <c r="J13" s="3"/>
      <c r="K13" s="3"/>
      <c r="L13" s="2"/>
    </row>
    <row r="14" spans="1:13" x14ac:dyDescent="0.25">
      <c r="A14" s="2"/>
      <c r="B14" s="2"/>
      <c r="F14" s="2"/>
      <c r="J14" s="2"/>
    </row>
    <row r="15" spans="1:13" x14ac:dyDescent="0.25">
      <c r="A15" s="2"/>
      <c r="B15" s="2"/>
      <c r="F15" s="2"/>
      <c r="J15" s="2"/>
    </row>
    <row r="16" spans="1:13" x14ac:dyDescent="0.25">
      <c r="A16" s="2"/>
      <c r="B16" s="2"/>
      <c r="F16" s="2"/>
      <c r="J16" s="2"/>
    </row>
    <row r="17" spans="1:1" x14ac:dyDescent="0.25">
      <c r="A17" s="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杂项配置</vt:lpstr>
      <vt:lpstr>积分奖励表</vt:lpstr>
      <vt:lpstr>个人排名奖励</vt:lpstr>
      <vt:lpstr>联盟排名奖励</vt:lpstr>
      <vt:lpstr>普通怪波次刷新</vt:lpstr>
      <vt:lpstr>怪物额外技能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huansyang(杨欢)</dc:creator>
  <cp:lastModifiedBy>swingye(叶之颖)</cp:lastModifiedBy>
  <dcterms:created xsi:type="dcterms:W3CDTF">2016-12-02T08:54:00Z</dcterms:created>
  <dcterms:modified xsi:type="dcterms:W3CDTF">2024-12-05T11:06:53Z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F0615325882B44D4BC877D55E7B3B3D2_13</vt:lpwstr>
  </property>
</Properties>
</file>