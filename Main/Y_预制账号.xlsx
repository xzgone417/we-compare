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projects\AOEM_server_trunk0921\NewKing\common\common\excel\xls\Main\"/>
    </mc:Choice>
  </mc:AlternateContent>
  <xr:revisionPtr revIDLastSave="0" documentId="13_ncr:1_{DE67E409-B51D-4CA0-9A5A-1F59902CA3BE}" xr6:coauthVersionLast="47" xr6:coauthVersionMax="47" xr10:uidLastSave="{00000000-0000-0000-0000-000000000000}"/>
  <bookViews>
    <workbookView xWindow="-120" yWindow="-120" windowWidth="38640" windowHeight="21240" tabRatio="797" firstSheet="3" activeTab="13" xr2:uid="{00000000-000D-0000-FFFF-FFFF00000000}"/>
  </bookViews>
  <sheets>
    <sheet name="#Sheet1" sheetId="1" r:id="rId1"/>
    <sheet name="#英雄配置表" sheetId="2" r:id="rId2"/>
    <sheet name="#TID_base_up" sheetId="3" r:id="rId3"/>
    <sheet name="预制账号" sheetId="4" r:id="rId4"/>
    <sheet name="法兰克预制建筑配置" sheetId="5" r:id="rId5"/>
    <sheet name="中国预制建筑配置" sheetId="7" r:id="rId6"/>
    <sheet name="拜占庭预制建筑配置" sheetId="6" r:id="rId7"/>
    <sheet name="罗马预制建筑配置" sheetId="8" r:id="rId8"/>
    <sheet name="不列颠预制建筑配置" sheetId="15" r:id="rId9"/>
    <sheet name="埃及预制建筑配置" sheetId="17" r:id="rId10"/>
    <sheet name="日本预制建筑配置" sheetId="18" r:id="rId11"/>
    <sheet name="韩国预制建筑配置" sheetId="16" r:id="rId12"/>
    <sheet name="#Sheet2" sheetId="9" r:id="rId13"/>
    <sheet name="预制战斗账号" sheetId="10" r:id="rId14"/>
    <sheet name="预支账号英雄模板（特殊用途）" sheetId="11" r:id="rId15"/>
    <sheet name="英雄预制账号" sheetId="12" r:id="rId16"/>
    <sheet name="#武将，技能ID" sheetId="13" r:id="rId17"/>
  </sheets>
  <definedNames>
    <definedName name="building2020102" localSheetId="4">罗马预制建筑配置!$B$4:$G$51</definedName>
    <definedName name="building2020102" localSheetId="3">中国预制建筑配置!#REF!</definedName>
    <definedName name="building2020102_1" localSheetId="4">罗马预制建筑配置!$B$4:$G$51</definedName>
    <definedName name="building2020102_1" localSheetId="3">中国预制建筑配置!#REF!</definedName>
    <definedName name="building2020102_2" localSheetId="4">罗马预制建筑配置!$B$69:$G$89</definedName>
    <definedName name="building2020102_3" localSheetId="4">罗马预制建筑配置!$B$69:$G$89</definedName>
    <definedName name="building2020102_4" localSheetId="4">罗马预制建筑配置!$B$102:$G$125</definedName>
    <definedName name="building2020102_5" localSheetId="4">罗马预制建筑配置!$B$102:$G$125</definedName>
    <definedName name="building2020102_6" localSheetId="4">罗马预制建筑配置!$B$138:$G$175</definedName>
    <definedName name="building2020102_7" localSheetId="4">罗马预制建筑配置!$B$138:$G$175</definedName>
    <definedName name="newbuilding7" localSheetId="4">罗马预制建筑配置!$B$4:$G$55</definedName>
    <definedName name="newbuilding7" localSheetId="3">中国预制建筑配置!#REF!</definedName>
    <definedName name="newbuilding7_1" localSheetId="4">罗马预制建筑配置!$B$4:$G$55</definedName>
    <definedName name="newbuilding7_1" localSheetId="3">中国预制建筑配置!#REF!</definedName>
    <definedName name="newbuilding7_2" localSheetId="4">罗马预制建筑配置!$B$69:$G$93</definedName>
    <definedName name="newbuilding7_3" localSheetId="4">罗马预制建筑配置!$B$69:$G$93</definedName>
    <definedName name="newbuilding7_4" localSheetId="4">罗马预制建筑配置!$B$102:$G$129</definedName>
    <definedName name="newbuilding7_5" localSheetId="4">罗马预制建筑配置!$B$102:$G$129</definedName>
    <definedName name="newbuilding7_6" localSheetId="4">罗马预制建筑配置!$B$138:$G$179</definedName>
    <definedName name="newbuilding7_7" localSheetId="4">罗马预制建筑配置!$B$138:$G$179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1" l="1"/>
  <c r="U11" i="11"/>
  <c r="U10" i="11"/>
  <c r="AA13" i="11"/>
  <c r="Z13" i="11"/>
  <c r="Y13" i="11"/>
  <c r="X13" i="11" s="1"/>
  <c r="U13" i="11" s="1"/>
  <c r="N15" i="11" s="1"/>
  <c r="AA12" i="11"/>
  <c r="Z12" i="11"/>
  <c r="Y12" i="11"/>
  <c r="X12" i="11" s="1"/>
  <c r="AA11" i="11"/>
  <c r="Z11" i="11"/>
  <c r="Y11" i="11"/>
  <c r="X11" i="11" s="1"/>
  <c r="AA10" i="11"/>
  <c r="Z10" i="11"/>
  <c r="Y10" i="11"/>
  <c r="X10" i="11" s="1"/>
  <c r="W13" i="11"/>
  <c r="W12" i="11"/>
  <c r="W11" i="11"/>
  <c r="W10" i="11"/>
</calcChain>
</file>

<file path=xl/sharedStrings.xml><?xml version="1.0" encoding="utf-8"?>
<sst xmlns="http://schemas.openxmlformats.org/spreadsheetml/2006/main" count="2606" uniqueCount="815">
  <si>
    <t>10101:10202:10303:10401:10502:10601:10701:10702:10802:10801:10901:11001:11002:11101:11201:11202:11203:11204:20101:20201:20301:20401:20501:20502:20503:20504:20601:20701:20801:20901:21001:21002:21101:21201:21202:21203:21204</t>
  </si>
  <si>
    <t>部队负重</t>
  </si>
  <si>
    <t>枪兵攻击 I</t>
  </si>
  <si>
    <t>10101:10202</t>
  </si>
  <si>
    <t>枪兵防御 I</t>
  </si>
  <si>
    <t>10101:10202:10302</t>
  </si>
  <si>
    <t>行军速度</t>
  </si>
  <si>
    <t>10301;10302;10303;10304</t>
  </si>
  <si>
    <t>10101:10202:10302:10401</t>
  </si>
  <si>
    <t>枪兵专精</t>
  </si>
  <si>
    <t>10101:10202:10302:10401:10502</t>
  </si>
  <si>
    <t>统御 I</t>
  </si>
  <si>
    <t>10501;10502;10503;10504</t>
  </si>
  <si>
    <t>10101:10202:10302:10401:10502:10601</t>
  </si>
  <si>
    <t>剑士攻击 II</t>
  </si>
  <si>
    <t>10101:10202:10302:10401:10502:10601:10701</t>
  </si>
  <si>
    <t>枪兵攻击 II</t>
  </si>
  <si>
    <t>10101:10202:10302:10401:10502:10601:10701:10702</t>
  </si>
  <si>
    <t>枪兵防御 II</t>
  </si>
  <si>
    <t>10101:10202:10302:10401:10502:10601:10701:10702:10802</t>
  </si>
  <si>
    <t>剑士防御 II</t>
  </si>
  <si>
    <t>10101:10202:10302:10401:10502:10601:10701:10702:10802:10801</t>
  </si>
  <si>
    <t>组队上限</t>
  </si>
  <si>
    <t>10801;10802;10803;10804</t>
  </si>
  <si>
    <t>10101:10202:10302:10401:10502:10601:10701:10702:10802:10801:10901</t>
  </si>
  <si>
    <t>精英剑士</t>
  </si>
  <si>
    <t>10101:10202:10302:10401:10502:10601:10701:10702:10802:10801:10901:11001</t>
  </si>
  <si>
    <t>精英枪兵</t>
  </si>
  <si>
    <t>10101:10202:10302:10401:10502:10601:10701:10702:10802:10801:10901:11001:11002</t>
  </si>
  <si>
    <t>统御 II</t>
  </si>
  <si>
    <t>11001;11002;11003;11004</t>
  </si>
  <si>
    <t>10101:10202:10302:10401:10502:10601:10701:10702:10802:10801:10901:11001:11002:11101</t>
  </si>
  <si>
    <t>全军攻击</t>
  </si>
  <si>
    <t>10101:10202:10302:10401:10502:10601:10701:10702:10802:10801:10901:11001:11002:11101:11201</t>
  </si>
  <si>
    <t>全军防御</t>
  </si>
  <si>
    <t>10101:10202:10302:10401:10502:10601:10701:10702:10802:10801:10901:11001:11002:11101:11201:11202</t>
  </si>
  <si>
    <t>全军伤害</t>
  </si>
  <si>
    <t>10101:10202:10302:10401:10502:10601:10701:10702:10802:10801:10901:11001:11002:11101:11201:11202:11203</t>
  </si>
  <si>
    <t>全军生命</t>
  </si>
  <si>
    <t>10101:10202:10302:10401:10502:10601:10701:10702:10802:10801:10901:11001:11002:11101:11201:11202:11203:11204</t>
  </si>
  <si>
    <t>建造速度 I</t>
  </si>
  <si>
    <t>10101:10202:10302:10401:10502:10601:10701:10702:10802:10801:10901:11001:11002:11101:11201:11202:11203:11204:20101</t>
  </si>
  <si>
    <t>食物生产</t>
  </si>
  <si>
    <t>10101:10202:10302:10401:10502:10601:10701:10702:10802:10801:10901:11001:11002:11101:11201:11202:11203:11204:20101:20201</t>
  </si>
  <si>
    <t>食物采集</t>
  </si>
  <si>
    <t>10101:10202:10302:10401:10502:10601:10701:10702:10802:10801:10901:11001:11002:11101:11201:11202:11203:11204:20101:20201:20301</t>
  </si>
  <si>
    <t>体力恢复 I</t>
  </si>
  <si>
    <t>20301;20302</t>
  </si>
  <si>
    <t>10101:10202:10302:10401:10502:10601:10701:10702:10802:10801:10901:11001:11002:11101:11201:11202:11203:11204:20101:20201:20301:20401</t>
  </si>
  <si>
    <t>剑士训练速度</t>
  </si>
  <si>
    <t>10101:10202:10302:10401:10502:10601:10701:10702:10802:10801:10901:11001:11002:11101:11201:11202:11203:11204:20101:20201:20301:20401:20501</t>
  </si>
  <si>
    <t>枪兵训练速度</t>
  </si>
  <si>
    <t>10101:10202:10302:10401:10502:10601:10701:10702:10802:10801:10901:11001:11002:11101:11201:11202:11203:11204:20101:20201:20301:20401:20501:20502</t>
  </si>
  <si>
    <t>骑士训练速度</t>
  </si>
  <si>
    <t>10101:10202:10302:10401:10502:10601:10701:10702:10802:10801:10901:11001:11002:11101:11201:11202:11203:11204:20101:20201:20301:20401:20501:20502:20503</t>
  </si>
  <si>
    <t>弓兵训练速度</t>
  </si>
  <si>
    <t>10101:10202:10302:10401:10502:10601:10701:10702:10802:10801:10901:11001:11002:11101:11201:11202:11203:11204:20101:20201:20301:20401:20501:20502:20503:20504</t>
  </si>
  <si>
    <t>建造速度 II</t>
  </si>
  <si>
    <t>20501;20502;20503;20504</t>
  </si>
  <si>
    <t>10101:10202:10302:10401:10502:10601:10701:10702:10802:10801:10901:11001:11002:11101:11201:11202:11203:11204:20101:20201:20301:20401:20501:20502:20503:20504:20601</t>
  </si>
  <si>
    <t>石材生产</t>
  </si>
  <si>
    <t>10101:10202:10302:10401:10502:10601:10701:10702:10802:10801:10901:11001:11002:11101:11201:11202:11203:11204:20101:20201:20301:20401:20501:20502:20503:20504:20601:20701</t>
  </si>
  <si>
    <t>石材采集</t>
  </si>
  <si>
    <t>10101:10202:10302:10401:10502:10601:10701:10702:10802:10801:10901:11001:11002:11101:11201:11202:11203:11204:20101:20201:20301:20401:20501:20502:20503:20504:20601:20701:20801</t>
  </si>
  <si>
    <t>科研速度</t>
  </si>
  <si>
    <t>20801;20802</t>
  </si>
  <si>
    <t>10101:10202:10302:10401:10502:10601:10701:10702:10802:10801:10901:11001:11002:11101:11201:11202:11203:11204:20101:20201:20301:20401:20501:20502:20503:20504:20601:20701:20801:20901</t>
  </si>
  <si>
    <t>医馆容量</t>
  </si>
  <si>
    <t>10101:10202:10302:10401:10502:10601:10701:10702:10802:10801:10901:11001:11002:11101:11201:11202:11203:11204:20101:20201:20301:20401:20501:20502:20503:20504:20601:20701:20801:20901:21001</t>
  </si>
  <si>
    <t>治疗速度</t>
  </si>
  <si>
    <t>10101:10202:10302:10401:10502:10601:10701:10702:10802:10801:10901:11001:11002:11101:11201:11202:11203:11204:20101:20201:20301:20401:20501:20502:20503:20504:20601:20701:20801:20901:21001:21002</t>
  </si>
  <si>
    <t>体力恢复 II</t>
  </si>
  <si>
    <t>21001;21002</t>
  </si>
  <si>
    <t>10101:10202:10302:10401:10502:10601:10701:10702:10802:10801:10901:11001:11002:11101:11201:11202:11203:11204:20101:20201:20301:20401:20501:20502:20503:20504:20601:20701:20801:20901:21001:21002:21101</t>
  </si>
  <si>
    <t>资源生产</t>
  </si>
  <si>
    <t>10101:10202:10302:10401:10502:10601:10701:10702:10802:10801:10901:11001:11002:11101:11201:11202:11203:11204:20101:20201:20301:20401:20501:20502:20503:20504:20601:20701:20801:20901:21001:21002:21101:21201</t>
  </si>
  <si>
    <t>资源采集</t>
  </si>
  <si>
    <t>10101:10202:10302:10401:10502:10601:10701:10702:10802:10801:10901:11001:11002:11101:11201:11202:11203:11204:20101:20201:20301:20401:20501:20502:20503:20504:20601:20701:20801:20901:21001:21002:21101:21201:21202</t>
  </si>
  <si>
    <t>全军训练速度</t>
  </si>
  <si>
    <t>10101:10202:10302:10401:10502:10601:10701:10702:10802:10801:10901:11001:11002:11101:11201:11202:11203:11204:20101:20201:20301:20401:20501:20502:20503:20504:20601:20701:20801:20901:21001:21002:21101:21201:21202:21203</t>
  </si>
  <si>
    <t>全军训练数量</t>
  </si>
  <si>
    <t>10101:10202:10302:10401:10502:10601:10701:10702:10802:10801:10901:11001:11002:11101:11201:11202:11203:11204:20101:20201:20301:20401:20501:20502:20503:20504:20601:20701:20801:20901:21001:21002:21101:21201:21202:21203:21204</t>
  </si>
  <si>
    <t>英雄配置编号</t>
  </si>
  <si>
    <t>英雄id</t>
  </si>
  <si>
    <t>英雄星级</t>
  </si>
  <si>
    <t>英雄等级</t>
  </si>
  <si>
    <t>英雄天赋</t>
  </si>
  <si>
    <t>英雄固有技能等级</t>
  </si>
  <si>
    <t>英雄装配1技能id</t>
  </si>
  <si>
    <t>英雄装配1技能阶级</t>
  </si>
  <si>
    <t>英雄装配1技能等级</t>
  </si>
  <si>
    <t>英雄装配2技能id</t>
  </si>
  <si>
    <t>英雄装配2技能阶级</t>
  </si>
  <si>
    <t>英雄装配2技能等级</t>
  </si>
  <si>
    <t>装备坐骑id</t>
  </si>
  <si>
    <t>坐骑等级</t>
  </si>
  <si>
    <t>坐骑部位1等级</t>
  </si>
  <si>
    <t>坐骑部位2等级</t>
  </si>
  <si>
    <t>坐骑部位3等级</t>
  </si>
  <si>
    <t>坐骑部位4等级</t>
  </si>
  <si>
    <t>旧Key</t>
  </si>
  <si>
    <t>新Key</t>
  </si>
  <si>
    <t>文本</t>
  </si>
  <si>
    <t>convert(ResCity.proto, table_PrefabAccountConfData, PrefabAccountConfData.pbin)</t>
  </si>
  <si>
    <t>ID</t>
  </si>
  <si>
    <t>时代</t>
  </si>
  <si>
    <t>账号名称</t>
  </si>
  <si>
    <t>建筑等级</t>
  </si>
  <si>
    <t xml:space="preserve">食物 </t>
  </si>
  <si>
    <t>木材</t>
  </si>
  <si>
    <t>石头</t>
  </si>
  <si>
    <t>黄金</t>
  </si>
  <si>
    <t>钻石</t>
  </si>
  <si>
    <t>科技时代进度</t>
  </si>
  <si>
    <t>科技等级</t>
  </si>
  <si>
    <t>预制的buff</t>
  </si>
  <si>
    <t>学院科技</t>
  </si>
  <si>
    <t>城堡科技</t>
  </si>
  <si>
    <t>君主技能</t>
  </si>
  <si>
    <t>治国方略点</t>
  </si>
  <si>
    <t>贵族经验</t>
  </si>
  <si>
    <t>新手完成</t>
  </si>
  <si>
    <t>城内士兵</t>
  </si>
  <si>
    <t>受伤士兵</t>
  </si>
  <si>
    <t>礼包</t>
  </si>
  <si>
    <t>农民数量</t>
  </si>
  <si>
    <t>君主等级</t>
  </si>
  <si>
    <t>战斗预制账号</t>
  </si>
  <si>
    <t>id</t>
  </si>
  <si>
    <t>age</t>
  </si>
  <si>
    <t>name</t>
  </si>
  <si>
    <t>buildingLevel</t>
  </si>
  <si>
    <t>food</t>
  </si>
  <si>
    <t>wood</t>
  </si>
  <si>
    <t>stone</t>
  </si>
  <si>
    <t>gold</t>
  </si>
  <si>
    <t>damond</t>
  </si>
  <si>
    <t>techAge</t>
  </si>
  <si>
    <t>techLevel</t>
  </si>
  <si>
    <t>prefabBuff[|]{buffId;value}</t>
  </si>
  <si>
    <t>academicTechs[|]{key:value}</t>
  </si>
  <si>
    <t>castleTechs[|]{key:value}</t>
  </si>
  <si>
    <t>newLordSkills[|]{key:value}</t>
  </si>
  <si>
    <t>lordSkillPoints[|]{key:value}</t>
  </si>
  <si>
    <t>vipExp</t>
  </si>
  <si>
    <t>newbieFinish</t>
  </si>
  <si>
    <t>defaultSoldier[|]{soldierId:num}</t>
  </si>
  <si>
    <t>wounderSoldier[|]{soldierId:num}</t>
  </si>
  <si>
    <t>itemPackageId</t>
  </si>
  <si>
    <t>peasantCnt</t>
  </si>
  <si>
    <t>lordExp</t>
  </si>
  <si>
    <t>combatConf</t>
  </si>
  <si>
    <t>账号名称1</t>
  </si>
  <si>
    <t xml:space="preserve">1010;10|1011;20 </t>
  </si>
  <si>
    <t>101001004:1000|102001004:1000|103001004:1000|103001004:1000</t>
  </si>
  <si>
    <t>101001001:1000|102001001:1000</t>
  </si>
  <si>
    <t>2时代到顶</t>
  </si>
  <si>
    <t>10101:3|10201:3|10202:3|10203:3|10204:3|10301:1|10302:1|10303:1|10304:1|10401:3|10501:3|10502:3|10503:3|10504:3|10601:1|10602:1|10603:1|10604:1|10701:3|10702:3|10703:3|10704:3|10801:1|20101:3|20201:3|20202:3|20203:3|20301:3|20401:3|20402:3|20501:3|20502</t>
  </si>
  <si>
    <t>50101:1|50201:1|50301:1|50401:1|50501:1|50601:1|50701:1|50801:1|50901:1|51001:1|60101:1|60201:1|60301:1|60401:1|60501:1|60601:1|60701:1|60801:1|60901:1|61001:1</t>
  </si>
  <si>
    <t>1:50000|2:50000|3:50000</t>
  </si>
  <si>
    <t>101001002:100000|102001002:100000|103001002:100000|104001002:100000</t>
  </si>
  <si>
    <t>3时代到顶</t>
  </si>
  <si>
    <t>10101:3|10201:3|10202:3|10203:3|10204:3|10301:1|10302:1|10303:1|10304:1|10401:3|10501:3|10502:3|10503:3|10504:3|10601:1|10602:1|10603:1|10604:1|10701:3|10702:3|10703:3|10704:3|10801:1|20101:3|20201:3|20202:3|20203:3|20301:3|20401:3|20402:3|20501:3|20502:3|10801:3|10901:3|10902:3|10903:3|10904:3|11001:1|11002:1|11003:1|11004:1|11101:1|20601:3|20602:3|20603:3|20604:3|20701:3|20702:3|20801:3|20802:3|20803:3|20804</t>
  </si>
  <si>
    <t>101001003:100000|102001003:100000|103001003:100000|104001003:100000</t>
  </si>
  <si>
    <t>4时代到顶</t>
  </si>
  <si>
    <t>10101:3|10201:3|10202:3|10203:3|10204:3|10301:1|10302:1|10303:1|10304:1|10401:3|10501:3|10502:3|10503:3|10504:3|10601:1|10602:1|10603:1|10604:1|10701:3|10702:3|10703:3|10704:3|10801:1|20101:3|20201:3|20202:3|20203:3|20301:3|20401:3|20402:3|20501:3|20502:3|10801:3|10901:3|10902:3|10903:3|10904:3|11001:1|11002:1|11003:1|11004:1|11101:1|20601:3|20602:3|20603:3|20604:3|20701:3|20702:3|20801:3|20802:3|20803:3|20804:3|11101:3|11201:3|11202:3|11203:3|11204:3|11301:3|11302:3|11303:3|11304:3|11401:1|11402:1|11403:1|11404:1|20901:3|20902:3|21001:3|21002:3|21003:3|21004</t>
  </si>
  <si>
    <t>101001004:100000|102001004:100000|103001004:100000|104001004:100000</t>
  </si>
  <si>
    <t>5时代到顶</t>
  </si>
  <si>
    <t>10101:3|10201:3|10202:3|10203:3|10204:3|10301:1|10302:1|10303:1|10304:1|10401:3|10501:3|10502:3|10503:3|10504:3|10601:1|10602:1|10603:1|10604:1|10701:3|10702:3|10703:3|10704:3|10801:1|20101:3|20201:3|20202:3|20203:3|20301:3|20401:3|20402:3|20501:3|20502:3|10801:3|10901:3|10902:3|10903:3|10904:3|11001:1|11002:1|11003:1|11004:1|11101:1|20601:3|20602:3|20603:3|20604:3|20701:3|20702:3|20801:3|20802:3|20803:3|20804:3|11101:3|11201:3|11202:3|11203:3|11204:3|11301:3|11302:3|11303:3|11304:3|11401:1|11402:1|11403:1|11404:1|20901:3|20902:3|21001:3|21002:3|21003:3|21004:3|11501:3|11502:3|11601:3|11602:3|11603:3|11604:3|11701:1|11702:1|11703:1|11704:1|11801:3|11802:3|11803:3|11804:3|11901:3|11902:3|11903:3|11904:3|12001:1|12002:1|12003:1|12004:1|12101:3|12102:3|12201:3|12202:3|12203:3|21101:3|21102:3|21201:3|21202:3|21203:3|21204:3|21301:3|21302:3|21401:3|21402:3|21403:3|21404:3|21501:3|21502:3|21601:3|21602</t>
  </si>
  <si>
    <t>101001005:100000|102001005:100000|103001005:100000|104001005:100000</t>
  </si>
  <si>
    <t>账号名称6</t>
  </si>
  <si>
    <t>1010;10|1011;25</t>
  </si>
  <si>
    <t>提审账号高</t>
  </si>
  <si>
    <t>账号名称7</t>
  </si>
  <si>
    <t>1010;10|1011;26</t>
  </si>
  <si>
    <t>提审账号中</t>
  </si>
  <si>
    <t>账号名称8</t>
  </si>
  <si>
    <t>1010;10|1011;27</t>
  </si>
  <si>
    <t>账号名称9</t>
  </si>
  <si>
    <t>1010;10|1011;28</t>
  </si>
  <si>
    <t>账号名称10</t>
  </si>
  <si>
    <t>1010;10|1011;29</t>
  </si>
  <si>
    <t>高级账号高</t>
  </si>
  <si>
    <t>账号名称11</t>
  </si>
  <si>
    <t>1010;10|1011;30</t>
  </si>
  <si>
    <t>1020101:10|1020701:10|2020101:10</t>
  </si>
  <si>
    <t>101:15|201:20</t>
  </si>
  <si>
    <t>20101:10|50101:1|60102:1</t>
  </si>
  <si>
    <t>1:1000|2:1000|3:1000</t>
  </si>
  <si>
    <t>高级账号中</t>
  </si>
  <si>
    <t>视频1</t>
  </si>
  <si>
    <t>20060;20|20030;20</t>
  </si>
  <si>
    <t>10101:3|10301:1|10302:1|10303:1|10304:1|10201:3|10202:3|10203:3|10204:3|10401:3|10501:3|10502:3|10601:3|10602:3|10603:3|10604:3|10701:3|10702:3|10703:3|10704:3|10801:1|10802:1|10803:1|10804:1|10901:3|10902:3|11001:3|11002:3|11101:3|11102:3|11103:3|11104:3|11201:3|11202:3|11203:3|11204:3|11301:3|11302:3|11303:3|11304:3|11401:1|11402:1|11403:1|11404:1|11501:3|11502:3</t>
  </si>
  <si>
    <t>视频2</t>
  </si>
  <si>
    <t>视频3</t>
  </si>
  <si>
    <t>1010;10|1011;21</t>
  </si>
  <si>
    <t>1010;10|1011;22</t>
  </si>
  <si>
    <t>1010;10|1011;23</t>
  </si>
  <si>
    <t>1010;10|1011;24</t>
  </si>
  <si>
    <t>1010;10|1011;31</t>
  </si>
  <si>
    <t>1010;10|1011;32</t>
  </si>
  <si>
    <t>1010;10|1011;33</t>
  </si>
  <si>
    <t>101001004:1000000|102001004:1000000|103001004:1000000|104001004:1000000</t>
  </si>
  <si>
    <t>最强阵容</t>
  </si>
  <si>
    <t>迷雾1</t>
  </si>
  <si>
    <t>迷雾2</t>
  </si>
  <si>
    <t>50101:1</t>
  </si>
  <si>
    <t>迷雾3</t>
  </si>
  <si>
    <t>迷雾4</t>
  </si>
  <si>
    <t>10101:3|10301:1|10302:1|10303:1|10304:1|10201:3|10202:3|10203:3|10204:3|10401:3|10501:3|10502:3|10601:3|10602:3|10603:3|10604:3|10701:3|10702:3|10703:3|10704:3</t>
  </si>
  <si>
    <t>50101:1|50201:1|50301:1|50401:1|60101:1|60201:1|60301:1|60401:1</t>
  </si>
  <si>
    <t>迷雾5</t>
  </si>
  <si>
    <t>10101:3|10301:1|10302:1|10303:1|10304:1|10201:3|10202:3|10203:3|10204:3|10401:3|10501:3|10502:3|10601:3|10602:3|10603:3|10604:3|10701:3|10702:3|10703:3|10704:3|10801:1|10802:1|10803:1|10804:1</t>
  </si>
  <si>
    <t>50101:1|50201:1|50301:1|50401:1|50501:1|50601:1|60101:1|60201:1|60301:1|60401:1|60501:1|60601:1</t>
  </si>
  <si>
    <t>迷雾6</t>
  </si>
  <si>
    <t>10101:3|10301:1|10302:1|10303:1|10304:1|10201:3|10202:3|10203:3|10204:3|10401:3|10501:3|10502:3|10601:3|10602:3|10603:3|10604:3|10701:3|10702:3|10703:3|10704:3|10801:1|10802:1|10803:1|10804:1|10901:3|10902:3</t>
  </si>
  <si>
    <t>迷雾7</t>
  </si>
  <si>
    <t>10101:3|10301:1|10302:1|10303:1|10304:1|10201:3|10202:3|10203:3|10204:3|10401:3|10501:3|10502:3|10601:3|10602:3|10603:3|10604:3|10701:3|10702:3|10703:3|10704:3|10801:1|10802:1|10803:1|10804:1|10901:3|10902:3|11001:3|11002:3</t>
  </si>
  <si>
    <t>迷雾8</t>
  </si>
  <si>
    <t>10101:3|10301:1|10302:1|10303:1|10304:1|10201:3|10202:3|10203:3|10204:3|10401:3|10501:3|10502:3|10601:3|10602:3|10603:3|10604:3|10701:3|10702:3|10703:3|10704:3|10801:1|10802:1|10803:1|10804:1|10901:3|10902:3|11001:3|11002:3|11101:3|11102:3|11103:3|11104:3</t>
  </si>
  <si>
    <t>迷雾9</t>
  </si>
  <si>
    <t>10101:3|10301:1|10302:1|10303:1|10304:1|10201:3|10202:3|10203:3|10204:3|10401:3|10501:3|10502:3|10601:3|10602:3|10603:3|10604:3|10701:3|10702:3|10703:3|10704:3|10801:1|10802:1|10803:1|10804:1|10901:3|10902:3|11001:3|11002:3|11101:3|11102:3|11103:3|11104:3|11201:3|11202:3|11203:3|11204:3</t>
  </si>
  <si>
    <t>迷雾10</t>
  </si>
  <si>
    <t>10101:3|10301:1|10302:1|10303:1|10304:1|10201:3|10202:3|10203:3|10204:3|10401:3|10501:3|10502:3|10601:3|10602:3|10603:3|10604:3|10701:3|10702:3|10703:3|10704:3|10801:1|10802:1|10803:1|10804:1|10901:3|10902:3|11001:3|11002:3|11101:3|11102:3|11103:3|11104:3|11201:3|11202:3|11203:3|11204:3|11301:3|11302:3|11303:3|11304:3|11401:1|11402:1|11403:1|11404:1</t>
  </si>
  <si>
    <t>50101:1|50201:1|50301:1|50401:1|50501:1|50601:1|50701:1|50801:1|50901:1|60101:1|60201:1|60301:1|60401:1|60501:1|60601:1|60701:1|60801:1|60901:1</t>
  </si>
  <si>
    <t>迷雾11</t>
  </si>
  <si>
    <t>测试30堡</t>
  </si>
  <si>
    <t>convert(ResCity.proto, table_PrefabBuildingConfData, PrefabBuildingConfDataFrank.pbin)</t>
  </si>
  <si>
    <t>type</t>
  </si>
  <si>
    <t>subtype</t>
  </si>
  <si>
    <t>posX</t>
  </si>
  <si>
    <t>posY</t>
  </si>
  <si>
    <t>posZ</t>
  </si>
  <si>
    <t>城镇中心</t>
  </si>
  <si>
    <t>居民房舍</t>
  </si>
  <si>
    <t>磨坊</t>
  </si>
  <si>
    <t>伐木场</t>
  </si>
  <si>
    <t>石矿场</t>
  </si>
  <si>
    <t>剑士营</t>
  </si>
  <si>
    <t>农田</t>
  </si>
  <si>
    <t>城堡</t>
  </si>
  <si>
    <t>马厩</t>
  </si>
  <si>
    <t>学院</t>
  </si>
  <si>
    <t>校场</t>
  </si>
  <si>
    <t>码头</t>
  </si>
  <si>
    <t>城墙</t>
  </si>
  <si>
    <t>治疗房舍</t>
  </si>
  <si>
    <t>射箭场</t>
  </si>
  <si>
    <t>瞭望塔</t>
  </si>
  <si>
    <t>防卫塔</t>
  </si>
  <si>
    <t>大使馆</t>
  </si>
  <si>
    <t>市集</t>
  </si>
  <si>
    <t>枪兵营</t>
  </si>
  <si>
    <t>点将台</t>
  </si>
  <si>
    <t>纪念碑</t>
  </si>
  <si>
    <t>酒馆</t>
  </si>
  <si>
    <t>公告板</t>
  </si>
  <si>
    <t>仓库</t>
  </si>
  <si>
    <t>副玩法入口建筑</t>
  </si>
  <si>
    <t>220600001,206,0,18,48.0,-0.020893097,18.0</t>
  </si>
  <si>
    <t>220700001,207,0,18,105.0,-8.011765,-93.0</t>
  </si>
  <si>
    <t>220700002,207,        0,18,117.0,-8.011765,-102.0</t>
  </si>
  <si>
    <t>220700003,207,0,18,129.0,-8.011765,-102.0</t>
  </si>
  <si>
    <t>220700004,207,0,18,105.0,-8.011765,-81.0</t>
  </si>
  <si>
    <t>220700005,207,0,18,129.0,-8.965397,-90.0</t>
  </si>
  <si>
    <t>220700006,207,0,18,129        .0,-8.965397,-78.0</t>
  </si>
  <si>
    <t>220700007,207,0,18,117.0,-8.965397,-78.0</t>
  </si>
  <si>
    <t>220700008,207,0,18,135.0,-9.035305,-30.0</t>
  </si>
  <si>
    <t>220700009,207,0,18,135.0,-8.858824,-66.0</t>
  </si>
  <si>
    <t>220700010,207,0,18,123.0,-9.0352        97,-30.0</t>
  </si>
  <si>
    <t>220700011,207,0,18,93.0,-9.040287,-105.0</t>
  </si>
  <si>
    <t>220700012,207,0,18,123.0,-9.035282,-42.0</t>
  </si>
  <si>
    <t>220700013,207,0,18,-36.0,-8.965397,-111.0</t>
  </si>
  <si>
    <t>220700014,207,0,18,135.0,-8.435293,-54.0</t>
  </si>
  <si>
    <t>        220700015,207,0,18,105.0,-8.011765,-105.0</t>
  </si>
  <si>
    <t>220700016,207,0,18,123.0,-8.011765,-54.0</t>
  </si>
  <si>
    <t>220800001,208,0,18,-69.0,13.0,78.0</t>
  </si>
  <si>
    <t>220900001,209,0,18,78.0,-0.020893097,45.0</t>
  </si>
  <si>
    <t>221100001,211,        0,18,60.0,-0.020896912,-45.0</t>
  </si>
  <si>
    <t>221200001,212,0,18,109.5,-4.6,69.0</t>
  </si>
  <si>
    <t>221300001,213,0,18,16.5,-18.48,130.5</t>
  </si>
  <si>
    <t>221500001,215,0,18,99.0,0.0,1.0</t>
  </si>
  <si>
    <t>222200001,222,0,18,30.0,-0.020885468,48.0        </t>
  </si>
  <si>
    <t>222400001,224,0,18,72.0,-0.020889282,18.0</t>
  </si>
  <si>
    <t>222600001,226,0,18,-21.0,3.0,69.0</t>
  </si>
  <si>
    <t>222700001,227,0,18,142.0,-8.9,20.0</t>
  </si>
  <si>
    <t>222700002,227,0,18,152.0,-8.9,-41.0</t>
  </si>
  <si>
    <t>222900001,229,0,18,-61.5,-        0.020900726,-46.5</t>
  </si>
  <si>
    <t>223000001,230,0,18,81.0,-0.020893097,-18.0</t>
  </si>
  <si>
    <t>223100001,231,0,18,-31.5,-0.020896912,-37.5</t>
  </si>
  <si>
    <t>223200001,232,0,18,51.0,-0.020885468,45.0</t>
  </si>
  <si>
    <t>223400001,234,0,18,-114.0,-        0.020896912,-15.0</t>
  </si>
  <si>
    <t>223400002,234,0,18,-108.0,-0.020893097,6.0</t>
  </si>
  <si>
    <t>223500001,235,0,18,-63.0,5.0,6.0</t>
  </si>
  <si>
    <t>223600001,236,0,18,-42.0,5.0,5.0</t>
  </si>
  <si>
    <t>223700001,237,0,18,18.0,-0.020900726,-48.0</t>
  </si>
  <si>
    <t>战争大厅</t>
  </si>
  <si>
    <t>金矿场</t>
  </si>
  <si>
    <t>骑兵营</t>
  </si>
  <si>
    <t>医馆</t>
  </si>
  <si>
    <t>弓兵营</t>
  </si>
  <si>
    <t>convert(ResCity.proto, table_PrefabBuildingConfData, PrefabBuildingConfDataChina.pbin)</t>
  </si>
  <si>
    <t>副玩法建筑入口</t>
  </si>
  <si>
    <t>220400002,204,0,18,30.0,-9.100903,-96.0</t>
  </si>
  <si>
    <t>220400003,204,0,18,27.0,-9.100906,-120.0</t>
  </si>
  <si>
    <t>220400004,204,0,18,45.0,-9.10091,-120.0</t>
  </si>
  <si>
    <t>220500001,205,0,18,-99.0,-8.9263916E-4,-66.0</t>
  </si>
  <si>
    <t>220500002,205,0,18,-102.0,-8.9645386E-4,-54.0</t>
  </si>
  <si>
    <t>220600001,206,0,18,36.0,-8.8882446E-4,21.0</t>
  </si>
  <si>
    <t>220700001,207,0,18,105.0,-9.100903,-87.0</t>
  </si>
  <si>
    <t>220700002,207,0,18,117.0,-9.100903,-99.0</t>
  </si>
  <si>
    <t>220700003,207,0,18,108.0,-9.100895,-51.0</t>
  </si>
  <si>
    <t>220700004,207,0,18,102.0,-9.100903,-75.0</t>
  </si>
  <si>
    <t>220700005,207,0,18,129.0,-9.100903,-87.0</t>
  </si>
  <si>
    <t>220700006,207,0,18,126.0,-9.100899,-75.0</t>
  </si>
  <si>
    <t>220700007,207,0,18,114.0,-9.100899,-75.0</t>
  </si>
  <si>
    <t>220700008,207,0,18,132.0,-9.100891,-39.0</t>
  </si>
  <si>
    <t>220700009,207,0,18,132.0,-9.100895,-63.0</t>
  </si>
  <si>
    <t>220700010,207,0,18,108.0,-9.100891,-39.0</t>
  </si>
  <si>
    <t>220700011,207,0,18,93.0,-9.100903,-99.0</t>
  </si>
  <si>
    <t>220700012,207,0,18,120.0,-9.100895,-51.0</t>
  </si>
  <si>
    <t>220700013,207,0,18,81.0,-9.100903,-93.0</t>
  </si>
  <si>
    <t>220700014,207,0,18,132.0,-9.100895,-51.0</t>
  </si>
  <si>
    <t>220700015,207,0,18,105.0,-9.100903,-99.0</t>
  </si>
  <si>
    <t>220700016,207,0,18,120.0,-9.100899,-63.0</t>
  </si>
  <si>
    <t>220900001,209,0,18,69.0,-8.735657E-4,51.0</t>
  </si>
  <si>
    <t>221100001,211,0,18,51.0,-8.9263916E-4,-36.0</t>
  </si>
  <si>
    <t>222200001,222,0,18,24.0,-8.735657E-4,42.0</t>
  </si>
  <si>
    <t>222400001,224,0,18,63.0,-8.8119507E-4,21.0</t>
  </si>
  <si>
    <t>222900001,229,0,18,-40.5,-8.8882446E-4,-49.5</t>
  </si>
  <si>
    <t>223000001,230,0,18,75.0,-8.8119507E-4,-18.0</t>
  </si>
  <si>
    <t>223100001,231,0,18,-10.5,-8.9645386E-4,-37.5</t>
  </si>
  <si>
    <t>223200001,232,0,18,45.0,-8.773804E-4,51.0</t>
  </si>
  <si>
    <t>223400001,234,0,18,-102.0,-8.9263916E-4,-30.0</t>
  </si>
  <si>
    <t>223400002,234,0,18,-99.0,-8.8119507E-4,-18.0</t>
  </si>
  <si>
    <t>223700001,237,0,18,27.0,-8.9645386E-4,-54.0</t>
  </si>
  <si>
    <t>convert(ResCity.proto, table_PrefabBuildingConfData, PrefabBuildingConfDataByzantine.pbin)</t>
  </si>
  <si>
    <t>convert(ResCity.proto, table_PrefabBuildingConfData, PrefabBuildingConfDataRome.pbin)</t>
  </si>
  <si>
    <t>复兴</t>
  </si>
  <si>
    <t>全盛</t>
  </si>
  <si>
    <t>-0.02090072        6</t>
  </si>
  <si>
    <t>205        </t>
  </si>
  <si>
    <t>        0</t>
  </si>
  <si>
    <t>48.0        </t>
  </si>
  <si>
    <t>convert(ResCity.proto, table_PrefabBuildingConfData, PrefabBuildingConfDataBritain.pbin)</t>
  </si>
  <si>
    <t>convert(ResCity.proto, table_PrefabBuildingConfData, PrefabBuildingConfDataEgypt.pbin)</t>
  </si>
  <si>
    <t>convert(ResCity.proto, table_PrefabBuildingConfData, PrefabBuildingConfDataJapan.pbin)</t>
  </si>
  <si>
    <t>convert(ResCity.proto, table_PrefabBuildingConfData, PrefabBuildingConfDataKorea.pbin)</t>
  </si>
  <si>
    <t>convert(ResLord.proto, table_LordSkillBaseConfigData, LordSkillBaseConfigData.pbin)</t>
  </si>
  <si>
    <t>索引ID</t>
  </si>
  <si>
    <t>策划备注</t>
  </si>
  <si>
    <t>解锁需要前置技能ID</t>
  </si>
  <si>
    <t>剑士攻击 I</t>
  </si>
  <si>
    <t>骑士攻击 I</t>
  </si>
  <si>
    <t>弓兵攻击 I</t>
  </si>
  <si>
    <t>剑士防御 I</t>
  </si>
  <si>
    <t>骑士防御 I</t>
  </si>
  <si>
    <t>弓兵防御 I</t>
  </si>
  <si>
    <t>剑士专精</t>
  </si>
  <si>
    <t>骑士专精</t>
  </si>
  <si>
    <t>弓兵专精</t>
  </si>
  <si>
    <t>骑士攻击 II</t>
  </si>
  <si>
    <t>弓兵攻击 II</t>
  </si>
  <si>
    <t>骑士防御 II</t>
  </si>
  <si>
    <t>弓兵防御 II</t>
  </si>
  <si>
    <t>精英骑士</t>
  </si>
  <si>
    <t>精英弓兵</t>
  </si>
  <si>
    <t>木材生产</t>
  </si>
  <si>
    <t>木材采集</t>
  </si>
  <si>
    <t>黄金生产</t>
  </si>
  <si>
    <t>黄金采集</t>
  </si>
  <si>
    <t>立刻返回</t>
  </si>
  <si>
    <t>战争动员</t>
  </si>
  <si>
    <t>寸步难行</t>
  </si>
  <si>
    <t>战场治疗</t>
  </si>
  <si>
    <t>丰收</t>
  </si>
  <si>
    <t>体力充沛</t>
  </si>
  <si>
    <t>紧急扩容</t>
  </si>
  <si>
    <t>沙场点兵</t>
  </si>
  <si>
    <t>DONT_CONVERT_TO_KEY</t>
  </si>
  <si>
    <t>配置编号</t>
  </si>
  <si>
    <t>配置名称（不填默认配置n）</t>
  </si>
  <si>
    <t xml:space="preserve">            是否在GM列表中显示                                    </t>
  </si>
  <si>
    <t>英雄星级（红度）</t>
  </si>
  <si>
    <t>英雄一技能等级</t>
  </si>
  <si>
    <t>BUFF ID</t>
  </si>
  <si>
    <t>士兵级别</t>
  </si>
  <si>
    <t>士兵总数量</t>
  </si>
  <si>
    <t>技能点</t>
  </si>
  <si>
    <t>英雄技能</t>
  </si>
  <si>
    <t>英雄碎片</t>
  </si>
  <si>
    <t>编队编号</t>
  </si>
  <si>
    <t>编队内士兵id：士兵数量（需小于士兵总数量）</t>
  </si>
  <si>
    <t>为了转表用(和presetTeam.id相同即可，不要改变列的相对位置)</t>
  </si>
  <si>
    <t>铜币</t>
  </si>
  <si>
    <t>accountDesc</t>
  </si>
  <si>
    <t>heroStar</t>
  </si>
  <si>
    <t>heroLevel</t>
  </si>
  <si>
    <t>heroFirstSkillLv</t>
  </si>
  <si>
    <t>buff[|]{buffId:value}</t>
  </si>
  <si>
    <t>soldierLv</t>
  </si>
  <si>
    <t>soldierNum</t>
  </si>
  <si>
    <t>heroSkillPoint</t>
  </si>
  <si>
    <t>heroSkill[|]{id:num}</t>
  </si>
  <si>
    <t>heroPiece[|]{id:num}</t>
  </si>
  <si>
    <t>presetTeam.id</t>
  </si>
  <si>
    <t>presetTeam.soldier[|]{soldierId:num}</t>
  </si>
  <si>
    <t>presetTeam.name</t>
  </si>
  <si>
    <t>presetTeam.hero[;]</t>
  </si>
  <si>
    <t>diamond</t>
  </si>
  <si>
    <t>预制账号1</t>
  </si>
  <si>
    <t>预制账号2</t>
  </si>
  <si>
    <t>920001:30000</t>
  </si>
  <si>
    <t>3:1</t>
  </si>
  <si>
    <t>1101:100</t>
  </si>
  <si>
    <t>101001001:20|102001001:23</t>
  </si>
  <si>
    <t>1;4</t>
  </si>
  <si>
    <t>预制账号3</t>
  </si>
  <si>
    <t>920001:50000</t>
  </si>
  <si>
    <t>4:1</t>
  </si>
  <si>
    <t>101001001:20|102001001:25</t>
  </si>
  <si>
    <t>1;5</t>
  </si>
  <si>
    <t>预制账号4</t>
  </si>
  <si>
    <t>920001:100000</t>
  </si>
  <si>
    <t>5:1</t>
  </si>
  <si>
    <t>1101:104</t>
  </si>
  <si>
    <t>101001001:20|102001001:27</t>
  </si>
  <si>
    <t>1;6</t>
  </si>
  <si>
    <t>预制账号5</t>
  </si>
  <si>
    <t>920001:150000</t>
  </si>
  <si>
    <t>6:1</t>
  </si>
  <si>
    <t>1101:105</t>
  </si>
  <si>
    <t>101001001:20|102001001:29</t>
  </si>
  <si>
    <t>1;7</t>
  </si>
  <si>
    <t>小</t>
  </si>
  <si>
    <t>920001:100000|2555:5|8025:3|2564:5|6001:100000</t>
  </si>
  <si>
    <t>1:3|2:3|3:3|4:3|5:3|6:3</t>
  </si>
  <si>
    <t>1101:45|1102:45|1103:45|1104:45|1106:45|1107:45|1108:45|1109:45|1111:45|1112:45|1113:45|1117:45</t>
  </si>
  <si>
    <t>101001003:100000</t>
  </si>
  <si>
    <t>3;2;1</t>
  </si>
  <si>
    <t>大</t>
  </si>
  <si>
    <t>21;91;8</t>
  </si>
  <si>
    <t>201;202;203</t>
  </si>
  <si>
    <t>102001003:100000</t>
  </si>
  <si>
    <t>14;41;16</t>
  </si>
  <si>
    <t>204;205;206</t>
  </si>
  <si>
    <t>103001003:100000</t>
  </si>
  <si>
    <t>3;34;64</t>
  </si>
  <si>
    <t>207;208;209</t>
  </si>
  <si>
    <t>104001003:100000</t>
  </si>
  <si>
    <t>47;12;63</t>
  </si>
  <si>
    <t>210;211;212</t>
  </si>
  <si>
    <t>9;36;32</t>
  </si>
  <si>
    <t>213;214;215</t>
  </si>
  <si>
    <t>零氪6级</t>
  </si>
  <si>
    <t>920001:100000|2555:3|8025:3|2564:3|6001:100000</t>
  </si>
  <si>
    <t>9;36;8</t>
  </si>
  <si>
    <t>6;208;212</t>
  </si>
  <si>
    <t>2555:5|8025:3|2564:5</t>
  </si>
  <si>
    <t>9;8;5</t>
  </si>
  <si>
    <t>13;17;6</t>
  </si>
  <si>
    <t>18;16;4</t>
  </si>
  <si>
    <t>10;11;12</t>
  </si>
  <si>
    <t>1101:45|1102:45|1103:45|1105:45|1106:45|1107:45|1108:45|1109:45|1111:45|1114:45|1113:45|1115:45|1117:45|1118:45|1126:45|1117:45|1127:45|1116:45</t>
  </si>
  <si>
    <t>14;18;16</t>
  </si>
  <si>
    <t>4;5;6</t>
  </si>
  <si>
    <t>7;11;17</t>
  </si>
  <si>
    <t>26;5;27</t>
  </si>
  <si>
    <t>15;12;1</t>
  </si>
  <si>
    <t>7;17;6</t>
  </si>
  <si>
    <t>101001007:100000</t>
  </si>
  <si>
    <t>301;302;303</t>
  </si>
  <si>
    <t>304;305;306</t>
  </si>
  <si>
    <t>103001007:100000</t>
  </si>
  <si>
    <t>307;308;309</t>
  </si>
  <si>
    <t>102001007:100000</t>
  </si>
  <si>
    <t>310;311;312</t>
  </si>
  <si>
    <t>104001007:100000</t>
  </si>
  <si>
    <t>313;314;315</t>
  </si>
  <si>
    <t>102001001:100</t>
  </si>
  <si>
    <t>36;56</t>
  </si>
  <si>
    <t>1001001;1001002</t>
  </si>
  <si>
    <t>101001001:100</t>
  </si>
  <si>
    <t>1002001;1002002</t>
  </si>
  <si>
    <t>1003001;1003002</t>
  </si>
  <si>
    <t>36;56;9</t>
  </si>
  <si>
    <t>1004001;1004002;1004003</t>
  </si>
  <si>
    <t>1;19;17</t>
  </si>
  <si>
    <t>1004004;1004005;1004006</t>
  </si>
  <si>
    <t>1005001;1005002;1005003</t>
  </si>
  <si>
    <t>1005004;1005005;1005006</t>
  </si>
  <si>
    <t>1006001;1006002;1006003</t>
  </si>
  <si>
    <t>1006004;1006005;1006006</t>
  </si>
  <si>
    <t>1007001;1007002;1007003</t>
  </si>
  <si>
    <t>1007004;1007005;1007006</t>
  </si>
  <si>
    <t>1008001;1008002;1008003</t>
  </si>
  <si>
    <t>1008004;1008005;1008006</t>
  </si>
  <si>
    <t>1009001;1009002;1009003</t>
  </si>
  <si>
    <t>1009004;1009005;1009006</t>
  </si>
  <si>
    <t>101001004:100</t>
  </si>
  <si>
    <t>1010001;1010002;1010003</t>
  </si>
  <si>
    <t>102001004:100</t>
  </si>
  <si>
    <t>1010004;1010005;1010006</t>
  </si>
  <si>
    <t>1011001;1011002;1011003</t>
  </si>
  <si>
    <t>1011004;1011005;1011006</t>
  </si>
  <si>
    <t>迷雾12</t>
  </si>
  <si>
    <t>21;41;22</t>
  </si>
  <si>
    <t>1012001;1012002;1012003</t>
  </si>
  <si>
    <t>视频1-外国</t>
  </si>
  <si>
    <t>20060:20|20030:20</t>
  </si>
  <si>
    <t>101001004:80000</t>
  </si>
  <si>
    <t>102001004:80000</t>
  </si>
  <si>
    <t>视频2-外国</t>
  </si>
  <si>
    <t>103001004:80000</t>
  </si>
  <si>
    <t>104001004:80000</t>
  </si>
  <si>
    <t>视频3-外国</t>
  </si>
  <si>
    <t>64;19;3</t>
  </si>
  <si>
    <t>112;113;114</t>
  </si>
  <si>
    <t>12;6;23</t>
  </si>
  <si>
    <t>115;116;117</t>
  </si>
  <si>
    <t>视频4-外国</t>
  </si>
  <si>
    <t>8;13;11</t>
  </si>
  <si>
    <t>118;119;120</t>
  </si>
  <si>
    <t>17;19;26</t>
  </si>
  <si>
    <t>121;122;123</t>
  </si>
  <si>
    <t>视频5-中国</t>
  </si>
  <si>
    <t>22;55;3</t>
  </si>
  <si>
    <t>124;125;126</t>
  </si>
  <si>
    <t>23;12;26</t>
  </si>
  <si>
    <t>127;128;129</t>
  </si>
  <si>
    <t>视频6-中国</t>
  </si>
  <si>
    <t>36;41;32</t>
  </si>
  <si>
    <t>130;131;132</t>
  </si>
  <si>
    <t>34;22;13</t>
  </si>
  <si>
    <t>133;134;135</t>
  </si>
  <si>
    <t>19;20;11</t>
  </si>
  <si>
    <t>136;137;138</t>
  </si>
  <si>
    <t>104001003:10000</t>
  </si>
  <si>
    <t>convert(ResCity.proto,table_PrefabHeroTemplateConfData,PrefabHeroTemplateConfData.pbin)</t>
  </si>
  <si>
    <t>模板id</t>
  </si>
  <si>
    <t>备注</t>
  </si>
  <si>
    <t>英雄天赋点</t>
  </si>
  <si>
    <t>主属性标签</t>
  </si>
  <si>
    <t>templateId</t>
  </si>
  <si>
    <t>hero.id</t>
  </si>
  <si>
    <t>hero.star</t>
  </si>
  <si>
    <t>hero.level</t>
  </si>
  <si>
    <t>hero.skills[|]{id;level;stage;category}</t>
  </si>
  <si>
    <t>hero.inbornPoint</t>
  </si>
  <si>
    <t>hero.mainAttrType</t>
  </si>
  <si>
    <t>老板现网账号改参数用</t>
  </si>
  <si>
    <t>200119;10;0;HSC_EquipSkill|200117;10;0;HSC_EquipSkill</t>
  </si>
  <si>
    <t>200069;10;0;HSC_EquipSkill|200122;10;0;HSC_EquipSkill</t>
  </si>
  <si>
    <t>200069;10;0;HSC_EquipSkill|200115;10;0;HSC_EquipSkill</t>
  </si>
  <si>
    <t>200113;10;0;HSC_EquipSkill|200030;10;0;HSC_EquipSkill</t>
  </si>
  <si>
    <t>200124;10;0;HSC_EquipSkill|200024;10;0;HSC_EquipSkill</t>
  </si>
  <si>
    <t>200030;10;0;HSC_EquipSkill|200113;10;0;HSC_EquipSkill</t>
  </si>
  <si>
    <t>200115;10;0;HSC_EquipSkill|200021;10;0;HSC_EquipSkill</t>
  </si>
  <si>
    <t>200040;10;0;HSC_EquipSkill|200119;10;0;HSC_EquipSkill</t>
  </si>
  <si>
    <t>200024;10;0;HSC_EquipSkill|200070;10;0;HSC_EquipSkill</t>
  </si>
  <si>
    <t>拍视频用</t>
  </si>
  <si>
    <t>性能测试用</t>
  </si>
  <si>
    <t>200005;40;1;HSC_EquipSkill|200015;40;1;HSC_EquipSkill</t>
  </si>
  <si>
    <t>200015;40;1;HSC_EquipSkill|200007;40;1;HSC_EquipSkill</t>
  </si>
  <si>
    <t>200010;40;1;HSC_EquipSkill|200042;40;1;HSC_EquipSkill</t>
  </si>
  <si>
    <t>200063;40;1;HSC_EquipSkill|200016;40;1;HSC_EquipSkill</t>
  </si>
  <si>
    <t>200047;40;1;HSC_EquipSkill|200060;40;1;HSC_EquipSkill</t>
  </si>
  <si>
    <t>200015;40;1;HSC_EquipSkill|200099;40;1;HSC_EquipSkill</t>
  </si>
  <si>
    <t>200121;40;1;HSC_EquipSkill|200080;40;1;HSC_EquipSkill</t>
  </si>
  <si>
    <t>200121;40;1;HSC_EquipSkill|200013;40;1;HSC_EquipSkill</t>
  </si>
  <si>
    <t>200042;40;1;HSC_EquipSkill|200010;40;1;HSC_EquipSkill</t>
  </si>
  <si>
    <t>200072;40;1;HSC_EquipSkill|200078;40;1;HSC_EquipSkill</t>
  </si>
  <si>
    <t>200031;40;1;HSC_EquipSkill|200072;40;1;HSC_EquipSkill</t>
  </si>
  <si>
    <t>200072;40;1;HSC_EquipSkill|200020;40;1;HSC_EquipSkill</t>
  </si>
  <si>
    <t>200072;40;1;HSC_EquipSkill|200031;40;1;HSC_EquipSkill</t>
  </si>
  <si>
    <t>最强阵容1-亚瑟</t>
  </si>
  <si>
    <t>最强阵容1-君士坦丁</t>
  </si>
  <si>
    <t>200042;40;5;HSC_EquipSkill|200010;40;5;HSC_EquipSkill</t>
  </si>
  <si>
    <t>最强阵容3-列奥</t>
  </si>
  <si>
    <t>200100;40;5;HSC_EquipSkill|200006;40;5;HSC_EquipSkill</t>
  </si>
  <si>
    <t>最强阵容3-巴巴</t>
  </si>
  <si>
    <t>最强阵容5-花木兰</t>
  </si>
  <si>
    <t>200072;40;5;HSC_EquipSkill|200020;40;5;HSC_EquipSkill</t>
  </si>
  <si>
    <t>最强阵容5-杜家瓦蒂</t>
  </si>
  <si>
    <t>200068;40;5;HSC_EquipSkill|200125;40;5;HSC_EquipSkill</t>
  </si>
  <si>
    <t>200007;3;0;HSC_EquipSkill</t>
  </si>
  <si>
    <t>200007;10;0;HSC_EquipSkill</t>
  </si>
  <si>
    <t>200041;10;0;HSC_EquipSkill</t>
  </si>
  <si>
    <t>200078;10;0;HSC_EquipSkill|200020;10;0;HSC_EquipSkill</t>
  </si>
  <si>
    <t>200068;10;0;HSC_EquipSkill|200011;10;0;HSC_EquipSkill</t>
  </si>
  <si>
    <t>200019;10;0;HSC_EquipSkill|200031;10;0;HSC_EquipSkill</t>
  </si>
  <si>
    <t>200068;10;0;HSC_EquipSkill|200007;10;0;HSC_EquipSkill</t>
  </si>
  <si>
    <t>200118;10;0;HSC_EquipSkill|200011;10;0;HSC_EquipSkill</t>
  </si>
  <si>
    <t>200078;40;0;HSC_EquipSkill|200020;40;0;HSC_EquipSkill</t>
  </si>
  <si>
    <t>convert(ResCity.proto, table_PrefabHeroConf, PrefabHeroConf.pbin)</t>
  </si>
  <si>
    <t>参数1</t>
  </si>
  <si>
    <t>英雄自带战法等级</t>
  </si>
  <si>
    <t>star</t>
  </si>
  <si>
    <t>level</t>
  </si>
  <si>
    <t>firstSkillLv</t>
  </si>
  <si>
    <t>名称</t>
  </si>
  <si>
    <t>类型</t>
  </si>
  <si>
    <t>品级</t>
  </si>
  <si>
    <t>武则天</t>
  </si>
  <si>
    <t>英雄</t>
  </si>
  <si>
    <t>SS</t>
  </si>
  <si>
    <t>亚瑟</t>
  </si>
  <si>
    <t>亚历克斯</t>
  </si>
  <si>
    <t>吕布</t>
  </si>
  <si>
    <t>S</t>
  </si>
  <si>
    <t>貂蝉</t>
  </si>
  <si>
    <t>李白</t>
  </si>
  <si>
    <t>孙尚香</t>
  </si>
  <si>
    <t>项楚</t>
  </si>
  <si>
    <t>萨拉德</t>
  </si>
  <si>
    <t>里奥尼德</t>
  </si>
  <si>
    <t>孙武</t>
  </si>
  <si>
    <t>曹操</t>
  </si>
  <si>
    <t>汉尼巴尔</t>
  </si>
  <si>
    <t>穆桂英</t>
  </si>
  <si>
    <t>兰陵王</t>
  </si>
  <si>
    <t>白起</t>
  </si>
  <si>
    <t>诸葛亮</t>
  </si>
  <si>
    <t>奥克塔维</t>
  </si>
  <si>
    <t>韩信</t>
  </si>
  <si>
    <t>查理曼</t>
  </si>
  <si>
    <t>A</t>
  </si>
  <si>
    <t>查理一世</t>
  </si>
  <si>
    <t>尤里乌斯</t>
  </si>
  <si>
    <t>关羽</t>
  </si>
  <si>
    <t>贾斯汀尼</t>
  </si>
  <si>
    <t>菲利普</t>
  </si>
  <si>
    <t>弗德里希</t>
  </si>
  <si>
    <t>黄月英</t>
  </si>
  <si>
    <t>赵云</t>
  </si>
  <si>
    <t>虞姬</t>
  </si>
  <si>
    <t>秦琼</t>
  </si>
  <si>
    <t>厄迪拉</t>
  </si>
  <si>
    <t>琼恩</t>
  </si>
  <si>
    <t>B</t>
  </si>
  <si>
    <t>影武者</t>
  </si>
  <si>
    <t>艳后</t>
  </si>
  <si>
    <t>亨利</t>
  </si>
  <si>
    <t>康斯坦丁</t>
  </si>
  <si>
    <t>魏兰</t>
  </si>
  <si>
    <t>波狄卡</t>
  </si>
  <si>
    <t>达里厄斯</t>
  </si>
  <si>
    <t>李鸣梁</t>
  </si>
  <si>
    <t>尉迟恭</t>
  </si>
  <si>
    <t>安德莉娅</t>
  </si>
  <si>
    <t>李道玄</t>
  </si>
  <si>
    <t>C</t>
  </si>
  <si>
    <t>纳尔西斯</t>
  </si>
  <si>
    <t>雷欧</t>
  </si>
  <si>
    <t>莱昂</t>
  </si>
  <si>
    <t>巴尔达斯</t>
  </si>
  <si>
    <t>阿克塞尔</t>
  </si>
  <si>
    <t>武威</t>
  </si>
  <si>
    <t>崔如意</t>
  </si>
  <si>
    <t>袁夏</t>
  </si>
  <si>
    <t>沉默誓言</t>
  </si>
  <si>
    <t>技能</t>
  </si>
  <si>
    <t>孤注一掷</t>
  </si>
  <si>
    <t>狂怒血脉</t>
  </si>
  <si>
    <t>胜利军规</t>
  </si>
  <si>
    <t>敏锐洞察</t>
  </si>
  <si>
    <t>胜利的代价</t>
  </si>
  <si>
    <t>侵蚀之焰</t>
  </si>
  <si>
    <t>波澜攻势</t>
  </si>
  <si>
    <t>灭却军锋</t>
  </si>
  <si>
    <t>命运恩宠</t>
  </si>
  <si>
    <t>绝对权力</t>
  </si>
  <si>
    <t>欺天之谋</t>
  </si>
  <si>
    <t>以下克上</t>
  </si>
  <si>
    <t>神圣之剑</t>
  </si>
  <si>
    <t>狂烈之骑</t>
  </si>
  <si>
    <t>侵彻之弓</t>
  </si>
  <si>
    <t>历战之枪</t>
  </si>
  <si>
    <t>怒火猛攻</t>
  </si>
  <si>
    <t>风卷残云</t>
  </si>
  <si>
    <t>毁灭的预示</t>
  </si>
  <si>
    <t>三重攻势</t>
  </si>
  <si>
    <t>军神赠礼</t>
  </si>
  <si>
    <t>破敌之眼</t>
  </si>
  <si>
    <t>反戈一击</t>
  </si>
  <si>
    <t>灵光乍现</t>
  </si>
  <si>
    <t>避芒击惰</t>
  </si>
  <si>
    <t>王者之剑</t>
  </si>
  <si>
    <t>弱点进攻</t>
  </si>
  <si>
    <t>英勇时刻</t>
  </si>
  <si>
    <t>决意强袭</t>
  </si>
  <si>
    <t>压迫之袭</t>
  </si>
  <si>
    <t>压制强攻</t>
  </si>
  <si>
    <t>长生军团</t>
  </si>
  <si>
    <t>万里平戎策</t>
  </si>
  <si>
    <t>不屈反击</t>
  </si>
  <si>
    <t>黑沼之刃</t>
  </si>
  <si>
    <t>王命谕令</t>
  </si>
  <si>
    <t>天地无双斩</t>
  </si>
  <si>
    <t>正义裁决</t>
  </si>
  <si>
    <t>恩泽庇护</t>
  </si>
  <si>
    <t>光明护佑</t>
  </si>
  <si>
    <t>战术冲锋</t>
  </si>
  <si>
    <t>冲锋的极意</t>
  </si>
  <si>
    <t>致命一击</t>
  </si>
  <si>
    <t>慈悲终结</t>
  </si>
  <si>
    <t>饥渴之刃</t>
  </si>
  <si>
    <t>百战之体</t>
  </si>
  <si>
    <t>以战养战</t>
  </si>
  <si>
    <t>燎天之火</t>
  </si>
  <si>
    <t>泰山压顶</t>
  </si>
  <si>
    <t>胜利怒吼</t>
  </si>
  <si>
    <t>蛮勇侵袭</t>
  </si>
  <si>
    <t>绿洲之佑</t>
  </si>
  <si>
    <t>制伏</t>
  </si>
  <si>
    <t>借势威吓</t>
  </si>
  <si>
    <t>剑盾突击</t>
  </si>
  <si>
    <t>火球轰击</t>
  </si>
  <si>
    <t>巨石冲击</t>
  </si>
  <si>
    <t>攻城大师</t>
  </si>
  <si>
    <t>迸裂</t>
  </si>
  <si>
    <t>命运操弄</t>
  </si>
  <si>
    <t>战争祝福</t>
  </si>
  <si>
    <t>名门之后</t>
  </si>
  <si>
    <t>连击</t>
  </si>
  <si>
    <t>丰收祝福</t>
  </si>
  <si>
    <t>怒不可遏</t>
  </si>
  <si>
    <t>钢铁之躯</t>
  </si>
  <si>
    <t>破怒斩</t>
  </si>
  <si>
    <t>战争狂热</t>
  </si>
  <si>
    <t>怒涛之击</t>
  </si>
  <si>
    <t>撕裂</t>
  </si>
  <si>
    <t>持久战</t>
  </si>
  <si>
    <t>惩戒者</t>
  </si>
  <si>
    <t>文武双全</t>
  </si>
  <si>
    <t>反击</t>
  </si>
  <si>
    <t>震慑猛击</t>
  </si>
  <si>
    <t>101001001:20000|102001001:20000|103001001:20000|104001001:20000</t>
  </si>
  <si>
    <t>101001002:20000|102001002:20000|103001002:20000|104001002:20000</t>
  </si>
  <si>
    <t>101001003:20000|102001003:20000|103001003:20000|104001003:20000</t>
  </si>
  <si>
    <t>101001004:20000|102001004:20000|103001004:20000|104001004:20000</t>
  </si>
  <si>
    <t>93;61;55</t>
    <phoneticPr fontId="13" type="noConversion"/>
  </si>
  <si>
    <t>145;101;102</t>
    <phoneticPr fontId="13" type="noConversion"/>
  </si>
  <si>
    <t>63;34;3</t>
    <phoneticPr fontId="13" type="noConversion"/>
  </si>
  <si>
    <t>146;107;108</t>
    <phoneticPr fontId="13" type="noConversion"/>
  </si>
  <si>
    <t>104001003:80000</t>
    <phoneticPr fontId="13" type="noConversion"/>
  </si>
  <si>
    <t>103001003:80000</t>
    <phoneticPr fontId="13" type="noConversion"/>
  </si>
  <si>
    <t>装备</t>
    <phoneticPr fontId="13" type="noConversion"/>
  </si>
  <si>
    <t>玺戒</t>
    <phoneticPr fontId="13" type="noConversion"/>
  </si>
  <si>
    <t>装备ID</t>
    <phoneticPr fontId="13" type="noConversion"/>
  </si>
  <si>
    <t>装备等级</t>
    <phoneticPr fontId="13" type="noConversion"/>
  </si>
  <si>
    <t>装备阶段</t>
    <phoneticPr fontId="13" type="noConversion"/>
  </si>
  <si>
    <t>宝石1</t>
    <phoneticPr fontId="13" type="noConversion"/>
  </si>
  <si>
    <t>宝石2</t>
    <phoneticPr fontId="13" type="noConversion"/>
  </si>
  <si>
    <t>宝石3</t>
    <phoneticPr fontId="13" type="noConversion"/>
  </si>
  <si>
    <t>宝石类型</t>
    <phoneticPr fontId="13" type="noConversion"/>
  </si>
  <si>
    <t>hero.gear[|]{confId;level;stage;gems[:]{slot#confId}}</t>
    <phoneticPr fontId="13" type="noConversion"/>
  </si>
  <si>
    <t>hero.equipment[|]{id;level}</t>
    <phoneticPr fontId="13" type="noConversion"/>
  </si>
  <si>
    <t>56108;80;20;1#56380:2#56380:3#56380|56109;80;20;1#56389:2#56389:3#56389|56110;80;20;1#56395:2#56395:3#56395|56111;80;20;1#56380:2#56389:3#56395</t>
  </si>
  <si>
    <t>56132;80;20;1#56380:2#56380:3#56380|56133;80;20;1#56389:2#56389:3#56389|56134;80;20;1#56395:2#56395:3#56395|56135;80;20;1#56380:2#56389:3#56395</t>
  </si>
  <si>
    <t>56144;80;20;1#56380:2#56380:3#56380|56145;80;20;1#56389:2#56389:3#56389|56146;80;20;1#56395:2#56395:3#56395|56147;80;20;1#56380:2#56389:3#56395</t>
  </si>
  <si>
    <t>56120;80;20;1#56380:2#56380:3#56380|56121;80;20;1#56389:2#56389:3#56389|56122;80;20;1#56395:2#56395:3#56395|56123;80;20;1#56380:2#56389:3#56395</t>
  </si>
  <si>
    <t>剑橙80</t>
  </si>
  <si>
    <t>骑橙80</t>
  </si>
  <si>
    <t>枪橙80</t>
  </si>
  <si>
    <t>弓橙80</t>
  </si>
  <si>
    <t>顶级装备，顶级宝石</t>
    <phoneticPr fontId="13" type="noConversion"/>
  </si>
  <si>
    <t>200005;40;5;HSC_EquipSkill|200015;40;5;HSC_EquipSkill</t>
    <phoneticPr fontId="13" type="noConversion"/>
  </si>
  <si>
    <t>最强阵容1-崔布瓦那</t>
    <phoneticPr fontId="13" type="noConversion"/>
  </si>
  <si>
    <t>200041;40;5;HSC_EquipSkill|200068;40;5;HSC_EquipSkill</t>
    <phoneticPr fontId="13" type="noConversion"/>
  </si>
  <si>
    <t>200042;40;5;HSC_EquipSkill|200010;40;5;HSC_EquipSkill</t>
    <phoneticPr fontId="13" type="noConversion"/>
  </si>
  <si>
    <t>最强阵容2-吕布</t>
    <phoneticPr fontId="13" type="noConversion"/>
  </si>
  <si>
    <t>最强阵容2-关羽</t>
    <phoneticPr fontId="13" type="noConversion"/>
  </si>
  <si>
    <t>最强阵容2-阿提拉</t>
    <phoneticPr fontId="13" type="noConversion"/>
  </si>
  <si>
    <t>210000;40;5;HSC_EquipSkill|200072;40;5;HSC_EquipSkill</t>
    <phoneticPr fontId="13" type="noConversion"/>
  </si>
  <si>
    <t>200036;40;5;HSC_EquipSkill|200027;40;5;HSC_EquipSkill</t>
    <phoneticPr fontId="13" type="noConversion"/>
  </si>
  <si>
    <t>200125;40;5;HSC_EquipSkill|200036;40;5;HSC_EquipSkill</t>
    <phoneticPr fontId="13" type="noConversion"/>
  </si>
  <si>
    <t>最强阵容5-贝利微</t>
    <phoneticPr fontId="13" type="noConversion"/>
  </si>
  <si>
    <t>210002;40;5;HSC_EquipSkill|200072;40;5;HSC_EquipSkill</t>
    <phoneticPr fontId="13" type="noConversion"/>
  </si>
  <si>
    <t>最强阵容3-布狄卡</t>
    <phoneticPr fontId="13" type="noConversion"/>
  </si>
  <si>
    <t>200006;40;5;HSC_EquipSkill|200100;40;5;HSC_EquipSkill</t>
    <phoneticPr fontId="13" type="noConversion"/>
  </si>
  <si>
    <t>最强阵容2-孙武</t>
  </si>
  <si>
    <t>200063;40;5;HSC_EquipSkill|200016;40;5;HSC_EquipSkill</t>
  </si>
  <si>
    <t>最强阵容2-腓力</t>
  </si>
  <si>
    <t>200015;40;5;HSC_EquipSkill|200016;40;5;HSC_EquipSkill</t>
  </si>
  <si>
    <t>最强阵容2-迪奥</t>
  </si>
  <si>
    <t>200047;40;5;HSC_EquipSkill|200099;40;5;HSC_EquipSkill</t>
  </si>
  <si>
    <t>110;50</t>
    <phoneticPr fontId="13" type="noConversion"/>
  </si>
  <si>
    <t>106;50</t>
    <phoneticPr fontId="13" type="noConversion"/>
  </si>
  <si>
    <t>113;50</t>
    <phoneticPr fontId="13" type="noConversion"/>
  </si>
  <si>
    <t>107;50</t>
    <phoneticPr fontId="13" type="noConversion"/>
  </si>
  <si>
    <t>212;40</t>
    <phoneticPr fontId="13" type="noConversion"/>
  </si>
  <si>
    <t>108;50</t>
    <phoneticPr fontId="13" type="noConversion"/>
  </si>
  <si>
    <t>206;50</t>
    <phoneticPr fontId="13" type="noConversion"/>
  </si>
  <si>
    <t>211;50</t>
    <phoneticPr fontId="13" type="noConversion"/>
  </si>
  <si>
    <t>105;50</t>
    <phoneticPr fontId="13" type="noConversion"/>
  </si>
  <si>
    <t>109;50</t>
    <phoneticPr fontId="13" type="noConversion"/>
  </si>
  <si>
    <t>111;50</t>
    <phoneticPr fontId="13" type="noConversion"/>
  </si>
  <si>
    <t>208;50</t>
    <phoneticPr fontId="13" type="noConversion"/>
  </si>
  <si>
    <t>210;50</t>
    <phoneticPr fontId="13" type="noConversion"/>
  </si>
  <si>
    <t>203;50</t>
    <phoneticPr fontId="13" type="noConversion"/>
  </si>
  <si>
    <t>21;77;8</t>
    <phoneticPr fontId="13" type="noConversion"/>
  </si>
  <si>
    <t>37;5;32</t>
    <phoneticPr fontId="13" type="noConversion"/>
  </si>
  <si>
    <t>11;13;17</t>
    <phoneticPr fontId="13" type="noConversion"/>
  </si>
  <si>
    <t>14;16;62</t>
    <phoneticPr fontId="13" type="noConversion"/>
  </si>
  <si>
    <t>9;69;76</t>
    <phoneticPr fontId="13" type="noConversion"/>
  </si>
  <si>
    <t>201;50</t>
    <phoneticPr fontId="13" type="noConversion"/>
  </si>
  <si>
    <t>10101:3|10301:1|10302:1|10303:1|10304:1|10201:3|10202:3|10203:3|10204:3|10401:3|10501:3|10502:3|10601:3|10602:3|10603:3|10604:3</t>
    <phoneticPr fontId="13" type="noConversion"/>
  </si>
  <si>
    <t>10101:5|10201:5|10202:5|10203:5|10204:5|10301:1|10302:1|10303:1|10304:1|10401:5|10501:5|10502:5|10503:5|10504:5|10601:1|10602:1|10603:1|10604:1|10701:5|10702:5|10703:5|10704:5|10801:1|10901:5|10902:5|10903:5|10904:5|11001:1|11002:1|11003:1|11004:1|11101:1|11201:5|11202:5|11203:5|11204:5|11301:5|11302:5|11303:5|11304:5|11401:1|11402:1|11403:1|11404:1|11501:5|11502:5|11601:5|11602:5|11603:5|11604:5|11701:1|11702:1|11703:1|11704:1|11801:5|11802:5|11803:5|11804:5|11901:5|11902:5|11903:5|11904:5|12001:1|12002:1|12003:1|12004:1|12101:5|12102:5|12201:10|12202:10|12203:10</t>
  </si>
  <si>
    <t>视频1-外国，全弓兵</t>
    <phoneticPr fontId="13" type="noConversion"/>
  </si>
  <si>
    <t>convert(ResCity.proto, table_PrefabAccount4CombatConf, PrefabAccount4CombatConf.pbin)</t>
    <phoneticPr fontId="13" type="noConversion"/>
  </si>
  <si>
    <t>视频1-外国，全弓兵+佣兵装扮</t>
    <phoneticPr fontId="13" type="noConversion"/>
  </si>
  <si>
    <t>presetTeam.heroTemplateId[;]</t>
    <phoneticPr fontId="13" type="noConversion"/>
  </si>
  <si>
    <t>presetTeam.mercenaryId</t>
    <phoneticPr fontId="13" type="noConversion"/>
  </si>
  <si>
    <t>佣兵配置id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</si>
</sst>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9C57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FF00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1" fillId="14" borderId="0">
      <alignment vertical="center"/>
    </xf>
    <xf numFmtId="0" fontId="3" fillId="6" borderId="0">
      <alignment vertical="center"/>
    </xf>
    <xf numFmtId="0" fontId="12" fillId="0" borderId="0">
      <alignment vertical="center"/>
    </xf>
    <xf numFmtId="0" fontId="10" fillId="0" borderId="0">
      <alignment vertical="center"/>
    </xf>
  </cellStyleXfs>
  <cellXfs count="7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3" borderId="2" xfId="3" applyFont="1" applyFill="1" applyBorder="1" applyAlignment="1">
      <alignment horizontal="center"/>
    </xf>
    <xf numFmtId="0" fontId="1" fillId="4" borderId="2" xfId="0" applyFont="1" applyFill="1" applyBorder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>
      <alignment vertical="center"/>
    </xf>
    <xf numFmtId="0" fontId="3" fillId="6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3" borderId="0" xfId="0" applyFont="1" applyFill="1" applyAlignment="1">
      <alignment horizontal="right" vertical="center"/>
    </xf>
    <xf numFmtId="0" fontId="0" fillId="3" borderId="0" xfId="0" applyFont="1" applyFill="1" applyAlignment="1">
      <alignment vertical="center"/>
    </xf>
    <xf numFmtId="0" fontId="0" fillId="3" borderId="0" xfId="0" applyFill="1" applyAlignment="1"/>
    <xf numFmtId="0" fontId="0" fillId="7" borderId="0" xfId="0" applyFont="1" applyFill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right" vertic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horizontal="right" vertical="center"/>
    </xf>
    <xf numFmtId="49" fontId="0" fillId="0" borderId="0" xfId="0" applyNumberFormat="1" applyFont="1" applyAlignment="1">
      <alignment vertical="center"/>
    </xf>
    <xf numFmtId="0" fontId="1" fillId="9" borderId="0" xfId="0" applyFont="1" applyFill="1" applyAlignment="1">
      <alignment vertical="center"/>
    </xf>
    <xf numFmtId="0" fontId="0" fillId="8" borderId="0" xfId="0" applyFont="1" applyFill="1" applyAlignment="1">
      <alignment vertical="center"/>
    </xf>
    <xf numFmtId="0" fontId="1" fillId="9" borderId="0" xfId="0" applyFont="1" applyFill="1" applyAlignment="1">
      <alignment horizontal="right" vertical="center"/>
    </xf>
    <xf numFmtId="0" fontId="0" fillId="10" borderId="0" xfId="0" applyFill="1">
      <alignment vertical="center"/>
    </xf>
    <xf numFmtId="0" fontId="0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11" borderId="0" xfId="0" applyFont="1" applyFill="1" applyAlignment="1">
      <alignment horizontal="left" vertical="center"/>
    </xf>
    <xf numFmtId="0" fontId="7" fillId="11" borderId="0" xfId="0" applyFont="1" applyFill="1">
      <alignment vertical="center"/>
    </xf>
    <xf numFmtId="0" fontId="1" fillId="12" borderId="0" xfId="0" applyFont="1" applyFill="1" applyAlignment="1">
      <alignment horizontal="center"/>
    </xf>
    <xf numFmtId="0" fontId="0" fillId="8" borderId="0" xfId="0" applyFont="1" applyFill="1">
      <alignment vertical="center"/>
    </xf>
    <xf numFmtId="0" fontId="8" fillId="0" borderId="0" xfId="0" applyFont="1">
      <alignment vertical="center"/>
    </xf>
    <xf numFmtId="176" fontId="0" fillId="10" borderId="0" xfId="0" applyNumberFormat="1" applyFont="1" applyFill="1" applyAlignment="1"/>
    <xf numFmtId="0" fontId="0" fillId="10" borderId="0" xfId="0" applyFont="1" applyFill="1">
      <alignment vertical="center"/>
    </xf>
    <xf numFmtId="176" fontId="9" fillId="10" borderId="0" xfId="0" applyNumberFormat="1" applyFont="1" applyFill="1" applyAlignment="1"/>
    <xf numFmtId="0" fontId="0" fillId="7" borderId="2" xfId="0" applyFont="1" applyFill="1" applyBorder="1">
      <alignment vertical="center"/>
    </xf>
    <xf numFmtId="0" fontId="0" fillId="13" borderId="2" xfId="0" applyFont="1" applyFill="1" applyBorder="1">
      <alignment vertical="center"/>
    </xf>
    <xf numFmtId="0" fontId="0" fillId="13" borderId="2" xfId="0" applyFont="1" applyFill="1" applyBorder="1" applyAlignment="1"/>
    <xf numFmtId="177" fontId="0" fillId="0" borderId="0" xfId="0" applyNumberFormat="1" applyFont="1" applyAlignment="1"/>
    <xf numFmtId="49" fontId="0" fillId="0" borderId="0" xfId="0" applyNumberFormat="1" applyFont="1" applyAlignment="1"/>
    <xf numFmtId="177" fontId="10" fillId="0" borderId="0" xfId="0" applyNumberFormat="1" applyFont="1" applyAlignment="1"/>
    <xf numFmtId="0" fontId="0" fillId="12" borderId="0" xfId="0" applyFont="1" applyFill="1" applyAlignment="1"/>
    <xf numFmtId="0" fontId="0" fillId="0" borderId="0" xfId="0" applyFont="1" applyAlignment="1"/>
    <xf numFmtId="0" fontId="1" fillId="8" borderId="2" xfId="0" applyFont="1" applyFill="1" applyBorder="1" applyAlignment="1">
      <alignment horizontal="left" vertical="center"/>
    </xf>
    <xf numFmtId="176" fontId="1" fillId="8" borderId="2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11" fontId="0" fillId="0" borderId="0" xfId="0" applyNumberFormat="1" applyFont="1">
      <alignment vertical="center"/>
    </xf>
    <xf numFmtId="0" fontId="6" fillId="11" borderId="0" xfId="0" applyFont="1" applyFill="1" applyAlignment="1">
      <alignment vertical="center"/>
    </xf>
    <xf numFmtId="0" fontId="0" fillId="10" borderId="0" xfId="0" applyFill="1" applyAlignment="1"/>
    <xf numFmtId="0" fontId="0" fillId="8" borderId="0" xfId="0" applyFill="1" applyAlignment="1"/>
    <xf numFmtId="0" fontId="11" fillId="14" borderId="2" xfId="1" applyBorder="1" applyAlignment="1">
      <alignment vertical="center"/>
    </xf>
    <xf numFmtId="0" fontId="3" fillId="6" borderId="2" xfId="2" applyBorder="1" applyAlignment="1">
      <alignment vertical="center"/>
    </xf>
    <xf numFmtId="0" fontId="0" fillId="0" borderId="2" xfId="0" applyBorder="1" applyAlignment="1">
      <alignment vertical="center"/>
    </xf>
    <xf numFmtId="0" fontId="0" fillId="12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1" fillId="5" borderId="0" xfId="0" applyFont="1" applyFill="1" applyAlignment="1"/>
    <xf numFmtId="0" fontId="14" fillId="0" borderId="2" xfId="0" applyFont="1" applyBorder="1" applyAlignment="1">
      <alignment horizontal="center" vertical="center"/>
    </xf>
    <xf numFmtId="0" fontId="1" fillId="8" borderId="2" xfId="4" applyFont="1" applyFill="1" applyBorder="1" applyAlignment="1"/>
    <xf numFmtId="0" fontId="1" fillId="8" borderId="2" xfId="0" applyFont="1" applyFill="1" applyBorder="1">
      <alignment vertical="center"/>
    </xf>
  </cellXfs>
  <cellStyles count="5">
    <cellStyle name="常规" xfId="0" builtinId="0"/>
    <cellStyle name="常规 2" xfId="3" xr:uid="{00000000-0005-0000-0000-000031000000}"/>
    <cellStyle name="常规 3" xfId="4" xr:uid="{00000000-0005-0000-0000-000032000000}"/>
    <cellStyle name="好" xfId="1" builtinId="26"/>
    <cellStyle name="适中" xfId="2" builtinId="28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N47"/>
  <sheetViews>
    <sheetView workbookViewId="0">
      <selection activeCell="I28" sqref="I28"/>
    </sheetView>
  </sheetViews>
  <sheetFormatPr defaultColWidth="9" defaultRowHeight="14.25" x14ac:dyDescent="0.2"/>
  <cols>
    <col min="5" max="5" width="13" style="1" customWidth="1"/>
    <col min="6" max="6" width="24" style="1" customWidth="1"/>
  </cols>
  <sheetData>
    <row r="1" spans="4:40" x14ac:dyDescent="0.2">
      <c r="D1">
        <v>10101</v>
      </c>
      <c r="E1">
        <v>10202</v>
      </c>
      <c r="F1">
        <v>10303</v>
      </c>
      <c r="G1">
        <v>10401</v>
      </c>
      <c r="H1">
        <v>10502</v>
      </c>
      <c r="I1">
        <v>10601</v>
      </c>
      <c r="J1">
        <v>10701</v>
      </c>
      <c r="K1">
        <v>10702</v>
      </c>
      <c r="L1">
        <v>10802</v>
      </c>
      <c r="M1">
        <v>10801</v>
      </c>
      <c r="N1">
        <v>10901</v>
      </c>
      <c r="O1">
        <v>11001</v>
      </c>
      <c r="P1">
        <v>11002</v>
      </c>
      <c r="Q1">
        <v>11101</v>
      </c>
      <c r="R1">
        <v>11201</v>
      </c>
      <c r="S1">
        <v>11202</v>
      </c>
      <c r="T1">
        <v>11203</v>
      </c>
      <c r="U1">
        <v>11204</v>
      </c>
      <c r="V1">
        <v>20101</v>
      </c>
      <c r="W1">
        <v>20201</v>
      </c>
      <c r="X1">
        <v>20301</v>
      </c>
      <c r="Y1">
        <v>20401</v>
      </c>
      <c r="Z1">
        <v>20501</v>
      </c>
      <c r="AA1">
        <v>20502</v>
      </c>
      <c r="AB1">
        <v>20503</v>
      </c>
      <c r="AC1">
        <v>20504</v>
      </c>
      <c r="AD1">
        <v>20601</v>
      </c>
      <c r="AE1">
        <v>20701</v>
      </c>
      <c r="AF1">
        <v>20801</v>
      </c>
      <c r="AG1">
        <v>20901</v>
      </c>
      <c r="AH1">
        <v>21001</v>
      </c>
      <c r="AI1">
        <v>21002</v>
      </c>
      <c r="AJ1">
        <v>21101</v>
      </c>
      <c r="AK1">
        <v>21201</v>
      </c>
      <c r="AL1">
        <v>21202</v>
      </c>
      <c r="AM1">
        <v>21203</v>
      </c>
      <c r="AN1">
        <v>21204</v>
      </c>
    </row>
    <row r="5" spans="4:40" x14ac:dyDescent="0.2">
      <c r="D5" s="69" t="s">
        <v>0</v>
      </c>
    </row>
    <row r="11" spans="4:40" x14ac:dyDescent="0.2">
      <c r="D11">
        <v>10101</v>
      </c>
      <c r="E11" t="s">
        <v>1</v>
      </c>
      <c r="F11">
        <v>0</v>
      </c>
      <c r="I11">
        <v>10101</v>
      </c>
    </row>
    <row r="12" spans="4:40" x14ac:dyDescent="0.2">
      <c r="D12">
        <v>10202</v>
      </c>
      <c r="E12" t="s">
        <v>2</v>
      </c>
      <c r="F12">
        <v>10101</v>
      </c>
      <c r="G12">
        <v>1</v>
      </c>
      <c r="I12" t="s">
        <v>3</v>
      </c>
    </row>
    <row r="13" spans="4:40" x14ac:dyDescent="0.2">
      <c r="D13">
        <v>10302</v>
      </c>
      <c r="E13" t="s">
        <v>4</v>
      </c>
      <c r="F13">
        <v>10202</v>
      </c>
      <c r="G13">
        <v>2</v>
      </c>
      <c r="I13" t="s">
        <v>5</v>
      </c>
    </row>
    <row r="14" spans="4:40" x14ac:dyDescent="0.2">
      <c r="D14">
        <v>10401</v>
      </c>
      <c r="E14" t="s">
        <v>6</v>
      </c>
      <c r="F14" t="s">
        <v>7</v>
      </c>
      <c r="G14" t="e">
        <v>#N/A</v>
      </c>
      <c r="I14" t="s">
        <v>8</v>
      </c>
    </row>
    <row r="15" spans="4:40" x14ac:dyDescent="0.2">
      <c r="D15">
        <v>10502</v>
      </c>
      <c r="E15" t="s">
        <v>9</v>
      </c>
      <c r="F15">
        <v>10401</v>
      </c>
      <c r="G15">
        <v>4</v>
      </c>
      <c r="I15" t="s">
        <v>10</v>
      </c>
    </row>
    <row r="16" spans="4:40" x14ac:dyDescent="0.2">
      <c r="D16">
        <v>10601</v>
      </c>
      <c r="E16" t="s">
        <v>11</v>
      </c>
      <c r="F16" t="s">
        <v>12</v>
      </c>
      <c r="G16" t="e">
        <v>#N/A</v>
      </c>
      <c r="I16" t="s">
        <v>13</v>
      </c>
    </row>
    <row r="17" spans="4:9" x14ac:dyDescent="0.2">
      <c r="D17">
        <v>10701</v>
      </c>
      <c r="E17" t="s">
        <v>14</v>
      </c>
      <c r="F17">
        <v>10601</v>
      </c>
      <c r="G17">
        <v>6</v>
      </c>
      <c r="I17" t="s">
        <v>15</v>
      </c>
    </row>
    <row r="18" spans="4:9" x14ac:dyDescent="0.2">
      <c r="D18">
        <v>10702</v>
      </c>
      <c r="E18" t="s">
        <v>16</v>
      </c>
      <c r="F18">
        <v>10601</v>
      </c>
      <c r="G18">
        <v>6</v>
      </c>
      <c r="I18" t="s">
        <v>17</v>
      </c>
    </row>
    <row r="19" spans="4:9" x14ac:dyDescent="0.2">
      <c r="D19">
        <v>10802</v>
      </c>
      <c r="E19" t="s">
        <v>18</v>
      </c>
      <c r="F19">
        <v>10702</v>
      </c>
      <c r="G19">
        <v>8</v>
      </c>
      <c r="I19" t="s">
        <v>19</v>
      </c>
    </row>
    <row r="20" spans="4:9" x14ac:dyDescent="0.2">
      <c r="D20">
        <v>10801</v>
      </c>
      <c r="E20" t="s">
        <v>20</v>
      </c>
      <c r="F20">
        <v>10701</v>
      </c>
      <c r="G20">
        <v>7</v>
      </c>
      <c r="I20" t="s">
        <v>21</v>
      </c>
    </row>
    <row r="21" spans="4:9" x14ac:dyDescent="0.2">
      <c r="D21">
        <v>10901</v>
      </c>
      <c r="E21" t="s">
        <v>22</v>
      </c>
      <c r="F21" t="s">
        <v>23</v>
      </c>
      <c r="G21" t="e">
        <v>#N/A</v>
      </c>
      <c r="I21" t="s">
        <v>24</v>
      </c>
    </row>
    <row r="22" spans="4:9" x14ac:dyDescent="0.2">
      <c r="D22">
        <v>11001</v>
      </c>
      <c r="E22" t="s">
        <v>25</v>
      </c>
      <c r="F22">
        <v>10901</v>
      </c>
      <c r="G22">
        <v>11</v>
      </c>
      <c r="I22" t="s">
        <v>26</v>
      </c>
    </row>
    <row r="23" spans="4:9" x14ac:dyDescent="0.2">
      <c r="D23">
        <v>11002</v>
      </c>
      <c r="E23" t="s">
        <v>27</v>
      </c>
      <c r="F23">
        <v>10901</v>
      </c>
      <c r="G23">
        <v>11</v>
      </c>
      <c r="I23" t="s">
        <v>28</v>
      </c>
    </row>
    <row r="24" spans="4:9" x14ac:dyDescent="0.2">
      <c r="D24">
        <v>11101</v>
      </c>
      <c r="E24" t="s">
        <v>29</v>
      </c>
      <c r="F24" t="s">
        <v>30</v>
      </c>
      <c r="G24" t="e">
        <v>#N/A</v>
      </c>
      <c r="I24" t="s">
        <v>31</v>
      </c>
    </row>
    <row r="25" spans="4:9" x14ac:dyDescent="0.2">
      <c r="D25">
        <v>11201</v>
      </c>
      <c r="E25" t="s">
        <v>32</v>
      </c>
      <c r="F25">
        <v>11101</v>
      </c>
      <c r="G25">
        <v>14</v>
      </c>
      <c r="I25" t="s">
        <v>33</v>
      </c>
    </row>
    <row r="26" spans="4:9" x14ac:dyDescent="0.2">
      <c r="D26">
        <v>11202</v>
      </c>
      <c r="E26" t="s">
        <v>34</v>
      </c>
      <c r="F26">
        <v>11101</v>
      </c>
      <c r="G26">
        <v>14</v>
      </c>
      <c r="I26" t="s">
        <v>35</v>
      </c>
    </row>
    <row r="27" spans="4:9" x14ac:dyDescent="0.2">
      <c r="D27">
        <v>11203</v>
      </c>
      <c r="E27" t="s">
        <v>36</v>
      </c>
      <c r="F27">
        <v>11101</v>
      </c>
      <c r="G27">
        <v>14</v>
      </c>
      <c r="I27" t="s">
        <v>37</v>
      </c>
    </row>
    <row r="28" spans="4:9" x14ac:dyDescent="0.2">
      <c r="D28">
        <v>11204</v>
      </c>
      <c r="E28" t="s">
        <v>38</v>
      </c>
      <c r="F28">
        <v>11101</v>
      </c>
      <c r="G28">
        <v>14</v>
      </c>
      <c r="I28" t="s">
        <v>39</v>
      </c>
    </row>
    <row r="29" spans="4:9" x14ac:dyDescent="0.2">
      <c r="D29">
        <v>20101</v>
      </c>
      <c r="E29" t="s">
        <v>40</v>
      </c>
      <c r="F29">
        <v>0</v>
      </c>
      <c r="G29" t="e">
        <v>#N/A</v>
      </c>
      <c r="I29" t="s">
        <v>41</v>
      </c>
    </row>
    <row r="30" spans="4:9" x14ac:dyDescent="0.2">
      <c r="D30">
        <v>20201</v>
      </c>
      <c r="E30" t="s">
        <v>42</v>
      </c>
      <c r="F30">
        <v>20101</v>
      </c>
      <c r="G30">
        <v>19</v>
      </c>
      <c r="I30" t="s">
        <v>43</v>
      </c>
    </row>
    <row r="31" spans="4:9" x14ac:dyDescent="0.2">
      <c r="D31">
        <v>20301</v>
      </c>
      <c r="E31" t="s">
        <v>44</v>
      </c>
      <c r="F31">
        <v>20201</v>
      </c>
      <c r="G31">
        <v>20</v>
      </c>
      <c r="I31" t="s">
        <v>45</v>
      </c>
    </row>
    <row r="32" spans="4:9" x14ac:dyDescent="0.2">
      <c r="D32">
        <v>20401</v>
      </c>
      <c r="E32" t="s">
        <v>46</v>
      </c>
      <c r="F32" t="s">
        <v>47</v>
      </c>
      <c r="G32" t="e">
        <v>#N/A</v>
      </c>
      <c r="I32" t="s">
        <v>48</v>
      </c>
    </row>
    <row r="33" spans="4:9" x14ac:dyDescent="0.2">
      <c r="D33">
        <v>20501</v>
      </c>
      <c r="E33" t="s">
        <v>49</v>
      </c>
      <c r="F33">
        <v>20401</v>
      </c>
      <c r="G33">
        <v>22</v>
      </c>
      <c r="I33" t="s">
        <v>50</v>
      </c>
    </row>
    <row r="34" spans="4:9" x14ac:dyDescent="0.2">
      <c r="D34">
        <v>20502</v>
      </c>
      <c r="E34" t="s">
        <v>51</v>
      </c>
      <c r="F34">
        <v>20401</v>
      </c>
      <c r="G34">
        <v>22</v>
      </c>
      <c r="I34" t="s">
        <v>52</v>
      </c>
    </row>
    <row r="35" spans="4:9" x14ac:dyDescent="0.2">
      <c r="D35">
        <v>20503</v>
      </c>
      <c r="E35" t="s">
        <v>53</v>
      </c>
      <c r="F35">
        <v>20401</v>
      </c>
      <c r="G35">
        <v>22</v>
      </c>
      <c r="I35" t="s">
        <v>54</v>
      </c>
    </row>
    <row r="36" spans="4:9" x14ac:dyDescent="0.2">
      <c r="D36">
        <v>20504</v>
      </c>
      <c r="E36" t="s">
        <v>55</v>
      </c>
      <c r="F36">
        <v>20401</v>
      </c>
      <c r="G36">
        <v>22</v>
      </c>
      <c r="I36" t="s">
        <v>56</v>
      </c>
    </row>
    <row r="37" spans="4:9" x14ac:dyDescent="0.2">
      <c r="D37">
        <v>20601</v>
      </c>
      <c r="E37" t="s">
        <v>57</v>
      </c>
      <c r="F37" t="s">
        <v>58</v>
      </c>
      <c r="G37" t="e">
        <v>#N/A</v>
      </c>
      <c r="I37" t="s">
        <v>59</v>
      </c>
    </row>
    <row r="38" spans="4:9" x14ac:dyDescent="0.2">
      <c r="D38">
        <v>20701</v>
      </c>
      <c r="E38" t="s">
        <v>60</v>
      </c>
      <c r="F38">
        <v>20601</v>
      </c>
      <c r="G38">
        <v>27</v>
      </c>
      <c r="I38" t="s">
        <v>61</v>
      </c>
    </row>
    <row r="39" spans="4:9" x14ac:dyDescent="0.2">
      <c r="D39">
        <v>20801</v>
      </c>
      <c r="E39" t="s">
        <v>62</v>
      </c>
      <c r="F39">
        <v>20701</v>
      </c>
      <c r="G39">
        <v>28</v>
      </c>
      <c r="I39" t="s">
        <v>63</v>
      </c>
    </row>
    <row r="40" spans="4:9" x14ac:dyDescent="0.2">
      <c r="D40">
        <v>20901</v>
      </c>
      <c r="E40" t="s">
        <v>64</v>
      </c>
      <c r="F40" t="s">
        <v>65</v>
      </c>
      <c r="G40" t="e">
        <v>#N/A</v>
      </c>
      <c r="I40" t="s">
        <v>66</v>
      </c>
    </row>
    <row r="41" spans="4:9" x14ac:dyDescent="0.2">
      <c r="D41">
        <v>21001</v>
      </c>
      <c r="E41" t="s">
        <v>67</v>
      </c>
      <c r="F41">
        <v>20901</v>
      </c>
      <c r="G41">
        <v>30</v>
      </c>
      <c r="I41" t="s">
        <v>68</v>
      </c>
    </row>
    <row r="42" spans="4:9" x14ac:dyDescent="0.2">
      <c r="D42">
        <v>21002</v>
      </c>
      <c r="E42" t="s">
        <v>69</v>
      </c>
      <c r="F42">
        <v>20901</v>
      </c>
      <c r="G42">
        <v>30</v>
      </c>
      <c r="I42" t="s">
        <v>70</v>
      </c>
    </row>
    <row r="43" spans="4:9" x14ac:dyDescent="0.2">
      <c r="D43">
        <v>21101</v>
      </c>
      <c r="E43" t="s">
        <v>71</v>
      </c>
      <c r="F43" t="s">
        <v>72</v>
      </c>
      <c r="G43" t="e">
        <v>#N/A</v>
      </c>
      <c r="I43" t="s">
        <v>73</v>
      </c>
    </row>
    <row r="44" spans="4:9" x14ac:dyDescent="0.2">
      <c r="D44">
        <v>21201</v>
      </c>
      <c r="E44" t="s">
        <v>74</v>
      </c>
      <c r="F44">
        <v>21101</v>
      </c>
      <c r="G44">
        <v>33</v>
      </c>
      <c r="I44" t="s">
        <v>75</v>
      </c>
    </row>
    <row r="45" spans="4:9" x14ac:dyDescent="0.2">
      <c r="D45">
        <v>21202</v>
      </c>
      <c r="E45" t="s">
        <v>76</v>
      </c>
      <c r="F45">
        <v>21101</v>
      </c>
      <c r="G45">
        <v>33</v>
      </c>
      <c r="I45" t="s">
        <v>77</v>
      </c>
    </row>
    <row r="46" spans="4:9" x14ac:dyDescent="0.2">
      <c r="D46">
        <v>21203</v>
      </c>
      <c r="E46" t="s">
        <v>78</v>
      </c>
      <c r="F46">
        <v>21101</v>
      </c>
      <c r="G46">
        <v>33</v>
      </c>
      <c r="I46" t="s">
        <v>79</v>
      </c>
    </row>
    <row r="47" spans="4:9" x14ac:dyDescent="0.2">
      <c r="D47">
        <v>21204</v>
      </c>
      <c r="E47" t="s">
        <v>80</v>
      </c>
      <c r="F47">
        <v>21101</v>
      </c>
      <c r="G47">
        <v>33</v>
      </c>
      <c r="I47" t="s">
        <v>81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2"/>
  <sheetViews>
    <sheetView topLeftCell="C1" workbookViewId="0">
      <selection activeCell="F55" sqref="F55"/>
    </sheetView>
  </sheetViews>
  <sheetFormatPr defaultColWidth="9" defaultRowHeight="14.25" x14ac:dyDescent="0.2"/>
  <cols>
    <col min="2" max="2" width="12.625" style="1" customWidth="1"/>
    <col min="3" max="6" width="10.375" style="1" customWidth="1"/>
    <col min="7" max="13" width="18.375" style="1" customWidth="1"/>
    <col min="14" max="14" width="12.625" style="1" customWidth="1"/>
    <col min="15" max="15" width="11.375" style="1" customWidth="1"/>
    <col min="16" max="19" width="14.625" style="1" customWidth="1"/>
  </cols>
  <sheetData>
    <row r="2" spans="2:19" x14ac:dyDescent="0.2">
      <c r="B2" s="66" t="s">
        <v>82</v>
      </c>
      <c r="C2" s="67" t="s">
        <v>83</v>
      </c>
      <c r="D2" s="67" t="s">
        <v>84</v>
      </c>
      <c r="E2" s="67" t="s">
        <v>85</v>
      </c>
      <c r="F2" s="67" t="s">
        <v>86</v>
      </c>
      <c r="G2" s="67" t="s">
        <v>87</v>
      </c>
      <c r="H2" s="67" t="s">
        <v>88</v>
      </c>
      <c r="I2" s="67" t="s">
        <v>89</v>
      </c>
      <c r="J2" s="67" t="s">
        <v>90</v>
      </c>
      <c r="K2" s="67" t="s">
        <v>91</v>
      </c>
      <c r="L2" s="67" t="s">
        <v>92</v>
      </c>
      <c r="M2" s="67" t="s">
        <v>93</v>
      </c>
      <c r="N2" s="67" t="s">
        <v>94</v>
      </c>
      <c r="O2" s="67" t="s">
        <v>95</v>
      </c>
      <c r="P2" s="67" t="s">
        <v>96</v>
      </c>
      <c r="Q2" s="67" t="s">
        <v>97</v>
      </c>
      <c r="R2" s="67" t="s">
        <v>98</v>
      </c>
      <c r="S2" s="67" t="s">
        <v>99</v>
      </c>
    </row>
    <row r="3" spans="2:19" x14ac:dyDescent="0.2">
      <c r="B3" s="6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2:19" x14ac:dyDescent="0.2">
      <c r="B4" s="66">
        <v>101</v>
      </c>
      <c r="C4" s="68">
        <v>1</v>
      </c>
      <c r="D4" s="68">
        <v>5</v>
      </c>
      <c r="E4" s="68">
        <v>50</v>
      </c>
      <c r="F4" s="68">
        <v>8</v>
      </c>
      <c r="G4" s="68">
        <v>10</v>
      </c>
      <c r="H4" s="68">
        <v>1</v>
      </c>
      <c r="I4" s="68">
        <v>5</v>
      </c>
      <c r="J4" s="68">
        <v>10</v>
      </c>
      <c r="K4" s="68">
        <v>10</v>
      </c>
      <c r="L4" s="68">
        <v>5</v>
      </c>
      <c r="M4" s="68">
        <v>10</v>
      </c>
      <c r="N4" s="68">
        <v>1</v>
      </c>
      <c r="O4" s="68">
        <v>10</v>
      </c>
      <c r="P4" s="68">
        <v>10</v>
      </c>
      <c r="Q4" s="68">
        <v>10</v>
      </c>
      <c r="R4" s="68">
        <v>10</v>
      </c>
      <c r="S4" s="68">
        <v>10</v>
      </c>
    </row>
    <row r="5" spans="2:19" x14ac:dyDescent="0.2">
      <c r="B5" s="66">
        <v>102</v>
      </c>
      <c r="C5" s="68">
        <v>2</v>
      </c>
      <c r="D5" s="68">
        <v>5</v>
      </c>
      <c r="E5" s="68">
        <v>50</v>
      </c>
      <c r="F5" s="68">
        <v>8</v>
      </c>
      <c r="G5" s="68">
        <v>10</v>
      </c>
      <c r="H5" s="68">
        <v>2</v>
      </c>
      <c r="I5" s="68">
        <v>5</v>
      </c>
      <c r="J5" s="68">
        <v>10</v>
      </c>
      <c r="K5" s="68">
        <v>11</v>
      </c>
      <c r="L5" s="68">
        <v>5</v>
      </c>
      <c r="M5" s="68">
        <v>10</v>
      </c>
      <c r="N5" s="68">
        <v>1</v>
      </c>
      <c r="O5" s="68">
        <v>10</v>
      </c>
      <c r="P5" s="68">
        <v>10</v>
      </c>
      <c r="Q5" s="68">
        <v>10</v>
      </c>
      <c r="R5" s="68">
        <v>10</v>
      </c>
      <c r="S5" s="68">
        <v>10</v>
      </c>
    </row>
    <row r="6" spans="2:19" x14ac:dyDescent="0.2">
      <c r="B6" s="66">
        <v>103</v>
      </c>
      <c r="C6" s="68">
        <v>3</v>
      </c>
      <c r="D6" s="68">
        <v>5</v>
      </c>
      <c r="E6" s="68">
        <v>50</v>
      </c>
      <c r="F6" s="68">
        <v>8</v>
      </c>
      <c r="G6" s="68">
        <v>10</v>
      </c>
      <c r="H6" s="68">
        <v>3</v>
      </c>
      <c r="I6" s="68">
        <v>5</v>
      </c>
      <c r="J6" s="68">
        <v>10</v>
      </c>
      <c r="K6" s="68">
        <v>12</v>
      </c>
      <c r="L6" s="68">
        <v>5</v>
      </c>
      <c r="M6" s="68">
        <v>10</v>
      </c>
      <c r="N6" s="68">
        <v>1</v>
      </c>
      <c r="O6" s="68">
        <v>10</v>
      </c>
      <c r="P6" s="68">
        <v>10</v>
      </c>
      <c r="Q6" s="68">
        <v>10</v>
      </c>
      <c r="R6" s="68">
        <v>10</v>
      </c>
      <c r="S6" s="68">
        <v>10</v>
      </c>
    </row>
    <row r="7" spans="2:19" x14ac:dyDescent="0.2">
      <c r="B7" s="66">
        <v>104</v>
      </c>
      <c r="C7" s="68">
        <v>4</v>
      </c>
      <c r="D7" s="68">
        <v>5</v>
      </c>
      <c r="E7" s="68">
        <v>50</v>
      </c>
      <c r="F7" s="68">
        <v>8</v>
      </c>
      <c r="G7" s="68">
        <v>10</v>
      </c>
      <c r="H7" s="68">
        <v>4</v>
      </c>
      <c r="I7" s="68">
        <v>5</v>
      </c>
      <c r="J7" s="68">
        <v>10</v>
      </c>
      <c r="K7" s="68">
        <v>13</v>
      </c>
      <c r="L7" s="68">
        <v>5</v>
      </c>
      <c r="M7" s="68">
        <v>10</v>
      </c>
      <c r="N7" s="68">
        <v>1</v>
      </c>
      <c r="O7" s="68">
        <v>10</v>
      </c>
      <c r="P7" s="68">
        <v>10</v>
      </c>
      <c r="Q7" s="68">
        <v>10</v>
      </c>
      <c r="R7" s="68">
        <v>10</v>
      </c>
      <c r="S7" s="68">
        <v>10</v>
      </c>
    </row>
    <row r="8" spans="2:19" x14ac:dyDescent="0.2">
      <c r="B8" s="66">
        <v>105</v>
      </c>
      <c r="C8" s="68">
        <v>5</v>
      </c>
      <c r="D8" s="68">
        <v>5</v>
      </c>
      <c r="E8" s="68">
        <v>50</v>
      </c>
      <c r="F8" s="68">
        <v>8</v>
      </c>
      <c r="G8" s="68">
        <v>10</v>
      </c>
      <c r="H8" s="68">
        <v>5</v>
      </c>
      <c r="I8" s="68">
        <v>5</v>
      </c>
      <c r="J8" s="68">
        <v>10</v>
      </c>
      <c r="K8" s="68">
        <v>14</v>
      </c>
      <c r="L8" s="68">
        <v>5</v>
      </c>
      <c r="M8" s="68">
        <v>10</v>
      </c>
      <c r="N8" s="68">
        <v>1</v>
      </c>
      <c r="O8" s="68">
        <v>10</v>
      </c>
      <c r="P8" s="68">
        <v>10</v>
      </c>
      <c r="Q8" s="68">
        <v>10</v>
      </c>
      <c r="R8" s="68">
        <v>10</v>
      </c>
      <c r="S8" s="68">
        <v>10</v>
      </c>
    </row>
    <row r="9" spans="2:19" x14ac:dyDescent="0.2">
      <c r="B9" s="66">
        <v>106</v>
      </c>
      <c r="C9" s="68">
        <v>6</v>
      </c>
      <c r="D9" s="68">
        <v>5</v>
      </c>
      <c r="E9" s="68">
        <v>50</v>
      </c>
      <c r="F9" s="68">
        <v>8</v>
      </c>
      <c r="G9" s="68">
        <v>10</v>
      </c>
      <c r="H9" s="68">
        <v>6</v>
      </c>
      <c r="I9" s="68">
        <v>5</v>
      </c>
      <c r="J9" s="68">
        <v>10</v>
      </c>
      <c r="K9" s="68">
        <v>15</v>
      </c>
      <c r="L9" s="68">
        <v>5</v>
      </c>
      <c r="M9" s="68">
        <v>10</v>
      </c>
      <c r="N9" s="68">
        <v>1</v>
      </c>
      <c r="O9" s="68">
        <v>10</v>
      </c>
      <c r="P9" s="68">
        <v>10</v>
      </c>
      <c r="Q9" s="68">
        <v>10</v>
      </c>
      <c r="R9" s="68">
        <v>10</v>
      </c>
      <c r="S9" s="68">
        <v>10</v>
      </c>
    </row>
    <row r="10" spans="2:19" x14ac:dyDescent="0.2">
      <c r="B10" s="66">
        <v>107</v>
      </c>
      <c r="C10" s="68">
        <v>7</v>
      </c>
      <c r="D10" s="68">
        <v>5</v>
      </c>
      <c r="E10" s="68">
        <v>50</v>
      </c>
      <c r="F10" s="68">
        <v>8</v>
      </c>
      <c r="G10" s="68">
        <v>10</v>
      </c>
      <c r="H10" s="68">
        <v>7</v>
      </c>
      <c r="I10" s="68">
        <v>5</v>
      </c>
      <c r="J10" s="68">
        <v>10</v>
      </c>
      <c r="K10" s="68">
        <v>16</v>
      </c>
      <c r="L10" s="68">
        <v>5</v>
      </c>
      <c r="M10" s="68">
        <v>10</v>
      </c>
      <c r="N10" s="68">
        <v>1</v>
      </c>
      <c r="O10" s="68">
        <v>10</v>
      </c>
      <c r="P10" s="68">
        <v>10</v>
      </c>
      <c r="Q10" s="68">
        <v>10</v>
      </c>
      <c r="R10" s="68">
        <v>10</v>
      </c>
      <c r="S10" s="68">
        <v>10</v>
      </c>
    </row>
    <row r="11" spans="2:19" x14ac:dyDescent="0.2">
      <c r="B11" s="66">
        <v>108</v>
      </c>
      <c r="C11" s="68">
        <v>8</v>
      </c>
      <c r="D11" s="68">
        <v>5</v>
      </c>
      <c r="E11" s="68">
        <v>50</v>
      </c>
      <c r="F11" s="68">
        <v>8</v>
      </c>
      <c r="G11" s="68">
        <v>10</v>
      </c>
      <c r="H11" s="68">
        <v>8</v>
      </c>
      <c r="I11" s="68">
        <v>5</v>
      </c>
      <c r="J11" s="68">
        <v>10</v>
      </c>
      <c r="K11" s="68">
        <v>17</v>
      </c>
      <c r="L11" s="68">
        <v>5</v>
      </c>
      <c r="M11" s="68">
        <v>10</v>
      </c>
      <c r="N11" s="68">
        <v>1</v>
      </c>
      <c r="O11" s="68">
        <v>10</v>
      </c>
      <c r="P11" s="68">
        <v>10</v>
      </c>
      <c r="Q11" s="68">
        <v>10</v>
      </c>
      <c r="R11" s="68">
        <v>10</v>
      </c>
      <c r="S11" s="68">
        <v>10</v>
      </c>
    </row>
    <row r="12" spans="2:19" x14ac:dyDescent="0.2">
      <c r="B12" s="66">
        <v>109</v>
      </c>
      <c r="C12" s="68">
        <v>9</v>
      </c>
      <c r="D12" s="68">
        <v>5</v>
      </c>
      <c r="E12" s="68">
        <v>50</v>
      </c>
      <c r="F12" s="68">
        <v>8</v>
      </c>
      <c r="G12" s="68">
        <v>10</v>
      </c>
      <c r="H12" s="68">
        <v>9</v>
      </c>
      <c r="I12" s="68">
        <v>5</v>
      </c>
      <c r="J12" s="68">
        <v>10</v>
      </c>
      <c r="K12" s="68">
        <v>18</v>
      </c>
      <c r="L12" s="68">
        <v>5</v>
      </c>
      <c r="M12" s="68">
        <v>10</v>
      </c>
      <c r="N12" s="68">
        <v>1</v>
      </c>
      <c r="O12" s="68">
        <v>10</v>
      </c>
      <c r="P12" s="68">
        <v>10</v>
      </c>
      <c r="Q12" s="68">
        <v>10</v>
      </c>
      <c r="R12" s="68">
        <v>10</v>
      </c>
      <c r="S12" s="68">
        <v>10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ColWidth="9" defaultRowHeight="14.25" x14ac:dyDescent="0.2"/>
  <cols>
    <col min="1" max="3" width="80" style="1" customWidth="1"/>
  </cols>
  <sheetData>
    <row r="1" spans="1:3" x14ac:dyDescent="0.2">
      <c r="A1" t="s">
        <v>100</v>
      </c>
      <c r="B1" t="s">
        <v>101</v>
      </c>
      <c r="C1" t="s">
        <v>102</v>
      </c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"/>
  <sheetViews>
    <sheetView topLeftCell="D1" workbookViewId="0">
      <selection activeCell="O21" sqref="O21"/>
    </sheetView>
  </sheetViews>
  <sheetFormatPr defaultColWidth="9" defaultRowHeight="14.25" x14ac:dyDescent="0.2"/>
  <cols>
    <col min="1" max="2" width="13" style="1" customWidth="1"/>
    <col min="3" max="3" width="23.25" style="1" customWidth="1"/>
    <col min="4" max="4" width="12.375" style="1" customWidth="1"/>
    <col min="5" max="5" width="11.625" style="1" customWidth="1"/>
    <col min="6" max="8" width="13" style="1" customWidth="1"/>
    <col min="9" max="9" width="12" style="1" customWidth="1"/>
    <col min="10" max="10" width="13" style="1" customWidth="1"/>
    <col min="11" max="11" width="9.125" style="1" customWidth="1"/>
    <col min="12" max="12" width="22.75" style="1" customWidth="1"/>
    <col min="13" max="13" width="35" style="1" customWidth="1"/>
    <col min="14" max="14" width="22.75" style="1" customWidth="1"/>
    <col min="15" max="16" width="13" style="1" customWidth="1"/>
    <col min="17" max="17" width="8.875" style="1" customWidth="1"/>
    <col min="18" max="18" width="13" style="1" customWidth="1"/>
    <col min="19" max="19" width="8.875" style="1" customWidth="1"/>
    <col min="20" max="20" width="78.25" style="1" customWidth="1"/>
    <col min="21" max="21" width="30.625" style="1" customWidth="1"/>
    <col min="22" max="22" width="24" style="1" customWidth="1"/>
    <col min="23" max="23" width="13" style="1" customWidth="1"/>
    <col min="24" max="24" width="8.375" style="1" customWidth="1"/>
    <col min="25" max="25" width="12.25" style="1" customWidth="1"/>
  </cols>
  <sheetData>
    <row r="1" spans="1:25" x14ac:dyDescent="0.2">
      <c r="A1" s="2" t="s">
        <v>103</v>
      </c>
    </row>
    <row r="2" spans="1:25" x14ac:dyDescent="0.2">
      <c r="A2" s="63" t="s">
        <v>104</v>
      </c>
      <c r="B2" s="63" t="s">
        <v>105</v>
      </c>
      <c r="C2" s="63" t="s">
        <v>106</v>
      </c>
      <c r="D2" s="63" t="s">
        <v>107</v>
      </c>
      <c r="E2" s="63" t="s">
        <v>108</v>
      </c>
      <c r="F2" s="63" t="s">
        <v>109</v>
      </c>
      <c r="G2" s="63" t="s">
        <v>110</v>
      </c>
      <c r="H2" s="63" t="s">
        <v>111</v>
      </c>
      <c r="I2" s="63" t="s">
        <v>112</v>
      </c>
      <c r="J2" s="63" t="s">
        <v>113</v>
      </c>
      <c r="K2" s="63" t="s">
        <v>114</v>
      </c>
      <c r="L2" s="63" t="s">
        <v>115</v>
      </c>
      <c r="M2" s="63" t="s">
        <v>116</v>
      </c>
      <c r="N2" s="63" t="s">
        <v>117</v>
      </c>
      <c r="O2" s="63" t="s">
        <v>118</v>
      </c>
      <c r="P2" s="63" t="s">
        <v>119</v>
      </c>
      <c r="Q2" s="63" t="s">
        <v>120</v>
      </c>
      <c r="R2" s="63" t="s">
        <v>121</v>
      </c>
      <c r="T2" s="2" t="s">
        <v>122</v>
      </c>
      <c r="U2" s="2" t="s">
        <v>123</v>
      </c>
      <c r="V2" s="2" t="s">
        <v>124</v>
      </c>
      <c r="W2" s="2" t="s">
        <v>125</v>
      </c>
      <c r="X2" s="2" t="s">
        <v>126</v>
      </c>
      <c r="Y2" s="2" t="s">
        <v>127</v>
      </c>
    </row>
    <row r="3" spans="1:25" x14ac:dyDescent="0.2">
      <c r="A3" s="63" t="s">
        <v>128</v>
      </c>
      <c r="B3" s="63" t="s">
        <v>129</v>
      </c>
      <c r="C3" s="63" t="s">
        <v>130</v>
      </c>
      <c r="D3" s="63" t="s">
        <v>131</v>
      </c>
      <c r="E3" s="63" t="s">
        <v>132</v>
      </c>
      <c r="F3" s="63" t="s">
        <v>133</v>
      </c>
      <c r="G3" s="63" t="s">
        <v>134</v>
      </c>
      <c r="H3" s="63" t="s">
        <v>135</v>
      </c>
      <c r="I3" s="63" t="s">
        <v>136</v>
      </c>
      <c r="J3" s="63" t="s">
        <v>137</v>
      </c>
      <c r="K3" s="63" t="s">
        <v>138</v>
      </c>
      <c r="L3" s="63" t="s">
        <v>139</v>
      </c>
      <c r="M3" s="63" t="s">
        <v>140</v>
      </c>
      <c r="N3" s="63" t="s">
        <v>141</v>
      </c>
      <c r="O3" s="63" t="s">
        <v>142</v>
      </c>
      <c r="P3" s="63" t="s">
        <v>143</v>
      </c>
      <c r="Q3" s="63" t="s">
        <v>144</v>
      </c>
      <c r="R3" s="63" t="s">
        <v>145</v>
      </c>
      <c r="T3" s="63" t="s">
        <v>146</v>
      </c>
      <c r="U3" s="63" t="s">
        <v>147</v>
      </c>
      <c r="V3" s="63" t="s">
        <v>148</v>
      </c>
      <c r="W3" s="63" t="s">
        <v>149</v>
      </c>
      <c r="X3" s="63" t="s">
        <v>150</v>
      </c>
      <c r="Y3" s="63" t="s">
        <v>151</v>
      </c>
    </row>
    <row r="4" spans="1:25" x14ac:dyDescent="0.2">
      <c r="A4" s="2">
        <v>1</v>
      </c>
      <c r="B4" s="2">
        <v>1</v>
      </c>
      <c r="C4" s="2" t="s">
        <v>152</v>
      </c>
      <c r="D4" s="2">
        <v>2</v>
      </c>
      <c r="E4" s="2">
        <v>500000000</v>
      </c>
      <c r="F4" s="2">
        <v>500000000</v>
      </c>
      <c r="G4" s="2">
        <v>500000000</v>
      </c>
      <c r="H4" s="2">
        <v>500000</v>
      </c>
      <c r="I4" s="2">
        <v>500000</v>
      </c>
      <c r="J4" s="2">
        <v>1</v>
      </c>
      <c r="K4" s="2">
        <v>1</v>
      </c>
      <c r="L4" s="2" t="s">
        <v>153</v>
      </c>
      <c r="Q4" s="2">
        <v>30000</v>
      </c>
      <c r="R4" s="2">
        <v>1</v>
      </c>
      <c r="T4" s="2" t="s">
        <v>154</v>
      </c>
      <c r="U4" s="2" t="s">
        <v>155</v>
      </c>
      <c r="V4" s="2">
        <v>103</v>
      </c>
      <c r="W4" s="2">
        <v>100</v>
      </c>
      <c r="X4" s="2">
        <v>1000</v>
      </c>
      <c r="Y4" s="44">
        <v>200</v>
      </c>
    </row>
    <row r="5" spans="1:25" x14ac:dyDescent="0.2">
      <c r="A5" s="2">
        <v>2</v>
      </c>
      <c r="B5" s="34">
        <v>2</v>
      </c>
      <c r="C5" s="34" t="s">
        <v>156</v>
      </c>
      <c r="D5" s="34">
        <v>10</v>
      </c>
      <c r="E5" s="47">
        <v>1000000000</v>
      </c>
      <c r="F5" s="47">
        <v>1000000000</v>
      </c>
      <c r="G5" s="47">
        <v>1000000000</v>
      </c>
      <c r="H5" s="47">
        <v>1000000000</v>
      </c>
      <c r="I5" s="47">
        <v>200000000</v>
      </c>
      <c r="J5" s="34">
        <v>2</v>
      </c>
      <c r="K5" s="34">
        <v>1</v>
      </c>
      <c r="L5" s="64"/>
      <c r="M5" s="64"/>
      <c r="N5" s="64" t="s">
        <v>157</v>
      </c>
      <c r="O5" s="47" t="s">
        <v>158</v>
      </c>
      <c r="P5" s="47" t="s">
        <v>159</v>
      </c>
      <c r="Q5" s="47">
        <v>50000</v>
      </c>
      <c r="R5" s="2">
        <v>1</v>
      </c>
      <c r="T5" s="47" t="s">
        <v>160</v>
      </c>
      <c r="V5" s="2">
        <v>103</v>
      </c>
      <c r="Y5" s="44">
        <v>200</v>
      </c>
    </row>
    <row r="6" spans="1:25" x14ac:dyDescent="0.2">
      <c r="A6" s="2">
        <v>3</v>
      </c>
      <c r="B6" s="34">
        <v>3</v>
      </c>
      <c r="C6" s="34" t="s">
        <v>161</v>
      </c>
      <c r="D6" s="34">
        <v>15</v>
      </c>
      <c r="E6" s="47">
        <v>1000000000</v>
      </c>
      <c r="F6" s="47">
        <v>1000000000</v>
      </c>
      <c r="G6" s="47">
        <v>1000000000</v>
      </c>
      <c r="H6" s="47">
        <v>1000000000</v>
      </c>
      <c r="I6" s="47">
        <v>200000000</v>
      </c>
      <c r="J6" s="34">
        <v>3</v>
      </c>
      <c r="K6" s="34">
        <v>1</v>
      </c>
      <c r="L6" s="64"/>
      <c r="M6" s="64"/>
      <c r="N6" s="64" t="s">
        <v>162</v>
      </c>
      <c r="O6" s="47" t="s">
        <v>158</v>
      </c>
      <c r="P6" s="47" t="s">
        <v>159</v>
      </c>
      <c r="Q6" s="47">
        <v>50000</v>
      </c>
      <c r="R6" s="2">
        <v>1</v>
      </c>
      <c r="T6" s="47" t="s">
        <v>163</v>
      </c>
      <c r="V6" s="2">
        <v>103</v>
      </c>
      <c r="Y6" s="44">
        <v>200</v>
      </c>
    </row>
    <row r="7" spans="1:25" x14ac:dyDescent="0.2">
      <c r="A7" s="2">
        <v>4</v>
      </c>
      <c r="B7" s="34">
        <v>4</v>
      </c>
      <c r="C7" s="34" t="s">
        <v>164</v>
      </c>
      <c r="D7" s="34">
        <v>20</v>
      </c>
      <c r="E7" s="47">
        <v>1000000000</v>
      </c>
      <c r="F7" s="47">
        <v>1000000000</v>
      </c>
      <c r="G7" s="47">
        <v>1000000000</v>
      </c>
      <c r="H7" s="47">
        <v>1000000000</v>
      </c>
      <c r="I7" s="47">
        <v>200000000</v>
      </c>
      <c r="J7" s="34">
        <v>4</v>
      </c>
      <c r="K7" s="34">
        <v>1</v>
      </c>
      <c r="L7" s="64"/>
      <c r="M7" s="64"/>
      <c r="N7" s="64" t="s">
        <v>165</v>
      </c>
      <c r="O7" s="47" t="s">
        <v>158</v>
      </c>
      <c r="P7" s="47" t="s">
        <v>159</v>
      </c>
      <c r="Q7" s="47">
        <v>50000</v>
      </c>
      <c r="R7" s="2">
        <v>1</v>
      </c>
      <c r="T7" s="64" t="s">
        <v>166</v>
      </c>
      <c r="V7" s="2">
        <v>103</v>
      </c>
      <c r="Y7" s="44">
        <v>200</v>
      </c>
    </row>
    <row r="8" spans="1:25" x14ac:dyDescent="0.2">
      <c r="A8" s="2">
        <v>5</v>
      </c>
      <c r="B8" s="34">
        <v>5</v>
      </c>
      <c r="C8" s="34" t="s">
        <v>167</v>
      </c>
      <c r="D8" s="34">
        <v>30</v>
      </c>
      <c r="E8" s="47">
        <v>1000000000</v>
      </c>
      <c r="F8" s="47">
        <v>1000000000</v>
      </c>
      <c r="G8" s="47">
        <v>1000000000</v>
      </c>
      <c r="H8" s="47">
        <v>1000000000</v>
      </c>
      <c r="I8" s="47">
        <v>200000000</v>
      </c>
      <c r="J8" s="34">
        <v>5</v>
      </c>
      <c r="K8" s="34">
        <v>1</v>
      </c>
      <c r="L8" s="64"/>
      <c r="M8" s="64"/>
      <c r="N8" s="64" t="s">
        <v>168</v>
      </c>
      <c r="O8" s="47" t="s">
        <v>158</v>
      </c>
      <c r="P8" s="47" t="s">
        <v>159</v>
      </c>
      <c r="Q8" s="47">
        <v>50000</v>
      </c>
      <c r="R8" s="2">
        <v>1</v>
      </c>
      <c r="T8" s="64" t="s">
        <v>169</v>
      </c>
      <c r="V8" s="2">
        <v>103</v>
      </c>
      <c r="Y8" s="44">
        <v>200</v>
      </c>
    </row>
    <row r="9" spans="1:25" x14ac:dyDescent="0.2">
      <c r="A9" s="2">
        <v>6</v>
      </c>
      <c r="B9" s="2">
        <v>4</v>
      </c>
      <c r="C9" s="2" t="s">
        <v>170</v>
      </c>
      <c r="D9" s="2">
        <v>19</v>
      </c>
      <c r="E9" s="2">
        <v>1000000000</v>
      </c>
      <c r="F9" s="2">
        <v>1000000000</v>
      </c>
      <c r="G9" s="2">
        <v>1000000000</v>
      </c>
      <c r="H9" s="2">
        <v>1000000000</v>
      </c>
      <c r="I9" s="2">
        <v>1000000000</v>
      </c>
      <c r="J9" s="2">
        <v>4</v>
      </c>
      <c r="K9" s="2">
        <v>10</v>
      </c>
      <c r="L9" s="2" t="s">
        <v>171</v>
      </c>
      <c r="Q9" s="2">
        <v>30000</v>
      </c>
      <c r="R9" s="2">
        <v>1</v>
      </c>
      <c r="S9" s="2" t="s">
        <v>172</v>
      </c>
      <c r="Y9" s="44">
        <v>200</v>
      </c>
    </row>
    <row r="10" spans="1:25" x14ac:dyDescent="0.2">
      <c r="A10" s="2">
        <v>7</v>
      </c>
      <c r="B10" s="2">
        <v>3</v>
      </c>
      <c r="C10" s="2" t="s">
        <v>173</v>
      </c>
      <c r="D10" s="2">
        <v>12</v>
      </c>
      <c r="E10" s="2">
        <v>1000000000</v>
      </c>
      <c r="F10" s="2">
        <v>1000000000</v>
      </c>
      <c r="G10" s="2">
        <v>1000000000</v>
      </c>
      <c r="H10" s="2">
        <v>1000000000</v>
      </c>
      <c r="I10" s="2">
        <v>1000000000</v>
      </c>
      <c r="J10" s="2">
        <v>3</v>
      </c>
      <c r="K10" s="2">
        <v>5</v>
      </c>
      <c r="L10" s="2" t="s">
        <v>174</v>
      </c>
      <c r="Q10" s="2">
        <v>30000</v>
      </c>
      <c r="R10" s="2">
        <v>1</v>
      </c>
      <c r="S10" s="2" t="s">
        <v>175</v>
      </c>
      <c r="Y10" s="44">
        <v>200</v>
      </c>
    </row>
    <row r="11" spans="1:25" x14ac:dyDescent="0.2">
      <c r="A11" s="2">
        <v>8</v>
      </c>
      <c r="B11" s="2">
        <v>4</v>
      </c>
      <c r="C11" s="2" t="s">
        <v>176</v>
      </c>
      <c r="D11" s="2">
        <v>12</v>
      </c>
      <c r="E11" s="2">
        <v>500000</v>
      </c>
      <c r="F11" s="2">
        <v>500000</v>
      </c>
      <c r="G11" s="2">
        <v>500000</v>
      </c>
      <c r="H11" s="2">
        <v>500000</v>
      </c>
      <c r="I11" s="2">
        <v>500000</v>
      </c>
      <c r="J11" s="2">
        <v>4</v>
      </c>
      <c r="K11" s="2">
        <v>0</v>
      </c>
      <c r="L11" s="2" t="s">
        <v>177</v>
      </c>
      <c r="Q11" s="2">
        <v>30000</v>
      </c>
      <c r="R11" s="2">
        <v>1</v>
      </c>
      <c r="Y11" s="44">
        <v>200</v>
      </c>
    </row>
    <row r="12" spans="1:25" x14ac:dyDescent="0.2">
      <c r="A12" s="2">
        <v>9</v>
      </c>
      <c r="B12" s="2">
        <v>1</v>
      </c>
      <c r="C12" s="2" t="s">
        <v>178</v>
      </c>
      <c r="D12" s="2">
        <v>2</v>
      </c>
      <c r="E12" s="2">
        <v>500000</v>
      </c>
      <c r="F12" s="2">
        <v>500000</v>
      </c>
      <c r="G12" s="2">
        <v>500000</v>
      </c>
      <c r="H12" s="2">
        <v>500000</v>
      </c>
      <c r="I12" s="2">
        <v>500000</v>
      </c>
      <c r="J12" s="2">
        <v>1</v>
      </c>
      <c r="K12" s="2">
        <v>1</v>
      </c>
      <c r="L12" s="2" t="s">
        <v>179</v>
      </c>
      <c r="Q12" s="2">
        <v>30000</v>
      </c>
      <c r="R12" s="2">
        <v>1</v>
      </c>
      <c r="Y12" s="44">
        <v>200</v>
      </c>
    </row>
    <row r="13" spans="1:25" x14ac:dyDescent="0.2">
      <c r="A13" s="2">
        <v>11</v>
      </c>
      <c r="B13" s="2">
        <v>4</v>
      </c>
      <c r="C13" s="2" t="s">
        <v>180</v>
      </c>
      <c r="D13" s="2">
        <v>19</v>
      </c>
      <c r="E13" s="2">
        <v>1000000000</v>
      </c>
      <c r="F13" s="2">
        <v>1000000000</v>
      </c>
      <c r="G13" s="2">
        <v>1000000000</v>
      </c>
      <c r="H13" s="2">
        <v>1000000000</v>
      </c>
      <c r="I13" s="2">
        <v>1000000000</v>
      </c>
      <c r="J13" s="2">
        <v>4</v>
      </c>
      <c r="K13" s="2">
        <v>10</v>
      </c>
      <c r="L13" s="2" t="s">
        <v>181</v>
      </c>
      <c r="Q13" s="2">
        <v>0</v>
      </c>
      <c r="R13" s="2">
        <v>1</v>
      </c>
      <c r="S13" s="2" t="s">
        <v>182</v>
      </c>
      <c r="Y13" s="44">
        <v>200</v>
      </c>
    </row>
    <row r="14" spans="1:25" x14ac:dyDescent="0.2">
      <c r="A14" s="2">
        <v>12</v>
      </c>
      <c r="B14" s="2">
        <v>3</v>
      </c>
      <c r="C14" s="2" t="s">
        <v>183</v>
      </c>
      <c r="D14" s="2">
        <v>12</v>
      </c>
      <c r="E14" s="2">
        <v>1000000000</v>
      </c>
      <c r="F14" s="2">
        <v>1000000000</v>
      </c>
      <c r="G14" s="2">
        <v>1000000000</v>
      </c>
      <c r="H14" s="2">
        <v>200000000</v>
      </c>
      <c r="I14" s="2">
        <v>200000000</v>
      </c>
      <c r="J14" s="2">
        <v>3</v>
      </c>
      <c r="K14" s="2">
        <v>5</v>
      </c>
      <c r="L14" s="2" t="s">
        <v>184</v>
      </c>
      <c r="M14" s="2" t="s">
        <v>185</v>
      </c>
      <c r="N14" s="2" t="s">
        <v>186</v>
      </c>
      <c r="O14" s="2" t="s">
        <v>187</v>
      </c>
      <c r="P14" s="2" t="s">
        <v>188</v>
      </c>
      <c r="Q14" s="2">
        <v>0</v>
      </c>
      <c r="R14" s="2">
        <v>1</v>
      </c>
      <c r="S14" s="2" t="s">
        <v>189</v>
      </c>
      <c r="Y14" s="44">
        <v>200</v>
      </c>
    </row>
    <row r="15" spans="1:25" x14ac:dyDescent="0.2">
      <c r="A15" s="2">
        <v>20</v>
      </c>
      <c r="B15" s="2">
        <v>4</v>
      </c>
      <c r="C15" s="2" t="s">
        <v>190</v>
      </c>
      <c r="D15" s="2">
        <v>25</v>
      </c>
      <c r="E15" s="2">
        <v>5000000</v>
      </c>
      <c r="F15" s="2">
        <v>5000000</v>
      </c>
      <c r="G15" s="2">
        <v>5000000</v>
      </c>
      <c r="H15" s="2">
        <v>5000000</v>
      </c>
      <c r="I15" s="2">
        <v>5000000</v>
      </c>
      <c r="J15" s="2">
        <v>4</v>
      </c>
      <c r="K15" s="2">
        <v>1</v>
      </c>
      <c r="L15" s="2" t="s">
        <v>191</v>
      </c>
      <c r="N15" s="2" t="s">
        <v>192</v>
      </c>
      <c r="O15" s="2" t="s">
        <v>158</v>
      </c>
      <c r="P15" s="2" t="s">
        <v>159</v>
      </c>
      <c r="R15" s="2">
        <v>1</v>
      </c>
      <c r="T15" s="2" t="s">
        <v>166</v>
      </c>
      <c r="Y15" s="44">
        <v>200</v>
      </c>
    </row>
    <row r="16" spans="1:25" x14ac:dyDescent="0.2">
      <c r="A16" s="2">
        <v>21</v>
      </c>
      <c r="B16" s="2">
        <v>4</v>
      </c>
      <c r="C16" s="2" t="s">
        <v>193</v>
      </c>
      <c r="D16" s="2">
        <v>25</v>
      </c>
      <c r="E16" s="2">
        <v>5000000</v>
      </c>
      <c r="F16" s="2">
        <v>5000000</v>
      </c>
      <c r="G16" s="2">
        <v>5000000</v>
      </c>
      <c r="H16" s="2">
        <v>5000000</v>
      </c>
      <c r="I16" s="2">
        <v>5000000</v>
      </c>
      <c r="J16" s="2">
        <v>4</v>
      </c>
      <c r="K16" s="2">
        <v>1</v>
      </c>
      <c r="L16" s="2" t="s">
        <v>191</v>
      </c>
      <c r="N16" s="2" t="s">
        <v>192</v>
      </c>
      <c r="O16" s="2" t="s">
        <v>158</v>
      </c>
      <c r="P16" s="2" t="s">
        <v>159</v>
      </c>
      <c r="R16" s="2">
        <v>1</v>
      </c>
      <c r="T16" s="2" t="s">
        <v>166</v>
      </c>
      <c r="Y16" s="44">
        <v>200</v>
      </c>
    </row>
    <row r="17" spans="1:25" x14ac:dyDescent="0.2">
      <c r="A17" s="2">
        <v>22</v>
      </c>
      <c r="B17" s="2">
        <v>4</v>
      </c>
      <c r="C17" s="2" t="s">
        <v>194</v>
      </c>
      <c r="D17" s="2">
        <v>25</v>
      </c>
      <c r="E17" s="2">
        <v>5000000</v>
      </c>
      <c r="F17" s="2">
        <v>5000000</v>
      </c>
      <c r="G17" s="2">
        <v>5000000</v>
      </c>
      <c r="H17" s="2">
        <v>5000000</v>
      </c>
      <c r="I17" s="2">
        <v>5000000</v>
      </c>
      <c r="J17" s="2">
        <v>4</v>
      </c>
      <c r="K17" s="2">
        <v>1</v>
      </c>
      <c r="L17" s="2" t="s">
        <v>191</v>
      </c>
      <c r="N17" s="2" t="s">
        <v>192</v>
      </c>
      <c r="O17" s="2" t="s">
        <v>158</v>
      </c>
      <c r="P17" s="2" t="s">
        <v>159</v>
      </c>
      <c r="R17" s="2">
        <v>1</v>
      </c>
      <c r="T17" s="2" t="s">
        <v>166</v>
      </c>
      <c r="Y17" s="44">
        <v>200</v>
      </c>
    </row>
    <row r="18" spans="1:25" x14ac:dyDescent="0.2">
      <c r="Y18" s="44">
        <v>200</v>
      </c>
    </row>
    <row r="19" spans="1:25" ht="15" customHeight="1" x14ac:dyDescent="0.2">
      <c r="A19" s="2">
        <v>101</v>
      </c>
      <c r="B19" s="2">
        <v>1</v>
      </c>
      <c r="D19" s="2">
        <v>1</v>
      </c>
      <c r="E19" s="2">
        <v>50000000</v>
      </c>
      <c r="F19" s="2">
        <v>50000000</v>
      </c>
      <c r="G19" s="2">
        <v>50000000</v>
      </c>
      <c r="H19" s="2">
        <v>50000000</v>
      </c>
      <c r="I19" s="2">
        <v>50000000</v>
      </c>
      <c r="J19" s="2">
        <v>1</v>
      </c>
      <c r="K19" s="2">
        <v>1</v>
      </c>
      <c r="L19" s="2" t="s">
        <v>153</v>
      </c>
      <c r="Q19" s="2">
        <v>0</v>
      </c>
      <c r="R19" s="2">
        <v>0</v>
      </c>
      <c r="Y19" s="44">
        <v>200</v>
      </c>
    </row>
    <row r="20" spans="1:25" ht="15" customHeight="1" x14ac:dyDescent="0.2">
      <c r="A20" s="2">
        <v>102</v>
      </c>
      <c r="B20" s="2">
        <v>1</v>
      </c>
      <c r="D20" s="2">
        <v>2</v>
      </c>
      <c r="E20" s="2">
        <v>50000000</v>
      </c>
      <c r="F20" s="2">
        <v>50000000</v>
      </c>
      <c r="G20" s="2">
        <v>50000000</v>
      </c>
      <c r="H20" s="2">
        <v>50000000</v>
      </c>
      <c r="I20" s="2">
        <v>50000000</v>
      </c>
      <c r="J20" s="2">
        <v>1</v>
      </c>
      <c r="K20" s="2">
        <v>1</v>
      </c>
      <c r="L20" s="2" t="s">
        <v>195</v>
      </c>
      <c r="Q20" s="2">
        <v>0</v>
      </c>
      <c r="R20" s="2">
        <v>0</v>
      </c>
      <c r="Y20" s="44">
        <v>200</v>
      </c>
    </row>
    <row r="21" spans="1:25" ht="15" customHeight="1" x14ac:dyDescent="0.2">
      <c r="A21" s="2">
        <v>103</v>
      </c>
      <c r="B21" s="2">
        <v>1</v>
      </c>
      <c r="D21" s="2">
        <v>3</v>
      </c>
      <c r="E21" s="2">
        <v>50000000</v>
      </c>
      <c r="F21" s="2">
        <v>50000000</v>
      </c>
      <c r="G21" s="2">
        <v>50000000</v>
      </c>
      <c r="H21" s="2">
        <v>50000000</v>
      </c>
      <c r="I21" s="2">
        <v>50000000</v>
      </c>
      <c r="J21" s="2">
        <v>1</v>
      </c>
      <c r="K21" s="2">
        <v>1</v>
      </c>
      <c r="L21" s="2" t="s">
        <v>196</v>
      </c>
      <c r="Q21" s="2">
        <v>0</v>
      </c>
      <c r="R21" s="2">
        <v>0</v>
      </c>
      <c r="Y21" s="44">
        <v>200</v>
      </c>
    </row>
    <row r="22" spans="1:25" ht="15" customHeight="1" x14ac:dyDescent="0.2">
      <c r="A22" s="2">
        <v>104</v>
      </c>
      <c r="B22" s="2">
        <v>1</v>
      </c>
      <c r="D22" s="2">
        <v>4</v>
      </c>
      <c r="E22" s="2">
        <v>50000000</v>
      </c>
      <c r="F22" s="2">
        <v>50000000</v>
      </c>
      <c r="G22" s="2">
        <v>50000000</v>
      </c>
      <c r="H22" s="2">
        <v>50000000</v>
      </c>
      <c r="I22" s="2">
        <v>50000000</v>
      </c>
      <c r="J22" s="2">
        <v>1</v>
      </c>
      <c r="K22" s="2">
        <v>1</v>
      </c>
      <c r="L22" s="2" t="s">
        <v>197</v>
      </c>
      <c r="Q22" s="2">
        <v>0</v>
      </c>
      <c r="R22" s="2">
        <v>0</v>
      </c>
      <c r="Y22" s="44">
        <v>200</v>
      </c>
    </row>
    <row r="23" spans="1:25" ht="15" customHeight="1" x14ac:dyDescent="0.2">
      <c r="A23" s="2">
        <v>105</v>
      </c>
      <c r="B23" s="2">
        <v>1</v>
      </c>
      <c r="D23" s="2">
        <v>5</v>
      </c>
      <c r="E23" s="2">
        <v>50000000</v>
      </c>
      <c r="F23" s="2">
        <v>50000000</v>
      </c>
      <c r="G23" s="2">
        <v>50000000</v>
      </c>
      <c r="H23" s="2">
        <v>50000000</v>
      </c>
      <c r="I23" s="2">
        <v>50000000</v>
      </c>
      <c r="J23" s="2">
        <v>1</v>
      </c>
      <c r="K23" s="2">
        <v>1</v>
      </c>
      <c r="L23" s="2" t="s">
        <v>198</v>
      </c>
      <c r="Q23" s="2">
        <v>0</v>
      </c>
      <c r="R23" s="2">
        <v>0</v>
      </c>
      <c r="Y23" s="44">
        <v>200</v>
      </c>
    </row>
    <row r="24" spans="1:25" ht="15" customHeight="1" x14ac:dyDescent="0.2">
      <c r="A24" s="2">
        <v>106</v>
      </c>
      <c r="B24" s="2">
        <v>2</v>
      </c>
      <c r="D24" s="2">
        <v>6</v>
      </c>
      <c r="E24" s="2">
        <v>50000000</v>
      </c>
      <c r="F24" s="2">
        <v>50000000</v>
      </c>
      <c r="G24" s="2">
        <v>50000000</v>
      </c>
      <c r="H24" s="2">
        <v>50000000</v>
      </c>
      <c r="I24" s="2">
        <v>50000000</v>
      </c>
      <c r="J24" s="2">
        <v>1</v>
      </c>
      <c r="K24" s="2">
        <v>1</v>
      </c>
      <c r="L24" s="2" t="s">
        <v>171</v>
      </c>
      <c r="Q24" s="2">
        <v>0</v>
      </c>
      <c r="R24" s="2">
        <v>0</v>
      </c>
      <c r="Y24" s="44">
        <v>200</v>
      </c>
    </row>
    <row r="25" spans="1:25" ht="15" customHeight="1" x14ac:dyDescent="0.2">
      <c r="A25" s="2">
        <v>107</v>
      </c>
      <c r="B25" s="2">
        <v>2</v>
      </c>
      <c r="D25" s="2">
        <v>7</v>
      </c>
      <c r="E25" s="2">
        <v>50000000</v>
      </c>
      <c r="F25" s="2">
        <v>50000000</v>
      </c>
      <c r="G25" s="2">
        <v>50000000</v>
      </c>
      <c r="H25" s="2">
        <v>50000000</v>
      </c>
      <c r="I25" s="2">
        <v>50000000</v>
      </c>
      <c r="J25" s="2">
        <v>1</v>
      </c>
      <c r="K25" s="2">
        <v>1</v>
      </c>
      <c r="L25" s="2" t="s">
        <v>174</v>
      </c>
      <c r="Q25" s="2">
        <v>0</v>
      </c>
      <c r="R25" s="2">
        <v>0</v>
      </c>
      <c r="Y25" s="44">
        <v>200</v>
      </c>
    </row>
    <row r="26" spans="1:25" ht="15" customHeight="1" x14ac:dyDescent="0.2">
      <c r="A26" s="2">
        <v>108</v>
      </c>
      <c r="B26" s="2">
        <v>2</v>
      </c>
      <c r="D26" s="2">
        <v>8</v>
      </c>
      <c r="E26" s="2">
        <v>50000000</v>
      </c>
      <c r="F26" s="2">
        <v>50000000</v>
      </c>
      <c r="G26" s="2">
        <v>50000000</v>
      </c>
      <c r="H26" s="2">
        <v>50000000</v>
      </c>
      <c r="I26" s="2">
        <v>50000000</v>
      </c>
      <c r="J26" s="2">
        <v>1</v>
      </c>
      <c r="K26" s="2">
        <v>1</v>
      </c>
      <c r="L26" s="2" t="s">
        <v>177</v>
      </c>
      <c r="Q26" s="2">
        <v>0</v>
      </c>
      <c r="R26" s="2">
        <v>0</v>
      </c>
      <c r="Y26" s="44">
        <v>200</v>
      </c>
    </row>
    <row r="27" spans="1:25" ht="15" customHeight="1" x14ac:dyDescent="0.2">
      <c r="A27" s="2">
        <v>109</v>
      </c>
      <c r="B27" s="2">
        <v>2</v>
      </c>
      <c r="D27" s="2">
        <v>9</v>
      </c>
      <c r="E27" s="2">
        <v>50000000</v>
      </c>
      <c r="F27" s="2">
        <v>50000000</v>
      </c>
      <c r="G27" s="2">
        <v>50000000</v>
      </c>
      <c r="H27" s="2">
        <v>50000000</v>
      </c>
      <c r="I27" s="2">
        <v>50000000</v>
      </c>
      <c r="J27" s="2">
        <v>1</v>
      </c>
      <c r="K27" s="2">
        <v>1</v>
      </c>
      <c r="L27" s="2" t="s">
        <v>179</v>
      </c>
      <c r="Q27" s="2">
        <v>0</v>
      </c>
      <c r="R27" s="2">
        <v>0</v>
      </c>
      <c r="Y27" s="44">
        <v>200</v>
      </c>
    </row>
    <row r="28" spans="1:25" ht="15" customHeight="1" x14ac:dyDescent="0.2">
      <c r="A28" s="2">
        <v>110</v>
      </c>
      <c r="B28" s="2">
        <v>2</v>
      </c>
      <c r="D28" s="2">
        <v>10</v>
      </c>
      <c r="E28" s="2">
        <v>50000000</v>
      </c>
      <c r="F28" s="2">
        <v>50000000</v>
      </c>
      <c r="G28" s="2">
        <v>50000000</v>
      </c>
      <c r="H28" s="2">
        <v>50000000</v>
      </c>
      <c r="I28" s="2">
        <v>50000000</v>
      </c>
      <c r="J28" s="2">
        <v>1</v>
      </c>
      <c r="K28" s="2">
        <v>1</v>
      </c>
      <c r="L28" s="2" t="s">
        <v>181</v>
      </c>
      <c r="Q28" s="2">
        <v>0</v>
      </c>
      <c r="R28" s="2">
        <v>0</v>
      </c>
      <c r="Y28" s="44">
        <v>200</v>
      </c>
    </row>
    <row r="29" spans="1:25" ht="15" customHeight="1" x14ac:dyDescent="0.2">
      <c r="A29" s="2">
        <v>111</v>
      </c>
      <c r="B29" s="2">
        <v>2</v>
      </c>
      <c r="D29" s="2">
        <v>11</v>
      </c>
      <c r="E29" s="2">
        <v>50000000</v>
      </c>
      <c r="F29" s="2">
        <v>50000000</v>
      </c>
      <c r="G29" s="2">
        <v>50000000</v>
      </c>
      <c r="H29" s="2">
        <v>50000000</v>
      </c>
      <c r="I29" s="2">
        <v>50000000</v>
      </c>
      <c r="J29" s="2">
        <v>1</v>
      </c>
      <c r="K29" s="2">
        <v>1</v>
      </c>
      <c r="L29" s="2" t="s">
        <v>184</v>
      </c>
      <c r="Q29" s="2">
        <v>0</v>
      </c>
      <c r="R29" s="2">
        <v>0</v>
      </c>
      <c r="Y29" s="44">
        <v>200</v>
      </c>
    </row>
    <row r="30" spans="1:25" ht="15" customHeight="1" x14ac:dyDescent="0.2">
      <c r="A30" s="2">
        <v>112</v>
      </c>
      <c r="B30" s="2">
        <v>2</v>
      </c>
      <c r="D30" s="2">
        <v>12</v>
      </c>
      <c r="E30" s="2">
        <v>50000000</v>
      </c>
      <c r="F30" s="2">
        <v>50000000</v>
      </c>
      <c r="G30" s="2">
        <v>50000000</v>
      </c>
      <c r="H30" s="2">
        <v>50000000</v>
      </c>
      <c r="I30" s="2">
        <v>50000000</v>
      </c>
      <c r="J30" s="2">
        <v>1</v>
      </c>
      <c r="K30" s="2">
        <v>1</v>
      </c>
      <c r="L30" s="2" t="s">
        <v>199</v>
      </c>
      <c r="Q30" s="2">
        <v>0</v>
      </c>
      <c r="R30" s="2">
        <v>0</v>
      </c>
      <c r="Y30" s="44">
        <v>200</v>
      </c>
    </row>
    <row r="31" spans="1:25" ht="15" customHeight="1" x14ac:dyDescent="0.2">
      <c r="A31" s="2">
        <v>113</v>
      </c>
      <c r="B31" s="2">
        <v>3</v>
      </c>
      <c r="D31" s="2">
        <v>13</v>
      </c>
      <c r="E31" s="2">
        <v>50000000</v>
      </c>
      <c r="F31" s="2">
        <v>50000000</v>
      </c>
      <c r="G31" s="2">
        <v>50000000</v>
      </c>
      <c r="H31" s="2">
        <v>50000000</v>
      </c>
      <c r="I31" s="2">
        <v>50000000</v>
      </c>
      <c r="J31" s="2">
        <v>1</v>
      </c>
      <c r="K31" s="2">
        <v>1</v>
      </c>
      <c r="L31" s="2" t="s">
        <v>200</v>
      </c>
      <c r="Q31" s="2">
        <v>0</v>
      </c>
      <c r="R31" s="2">
        <v>0</v>
      </c>
      <c r="Y31" s="44">
        <v>200</v>
      </c>
    </row>
    <row r="32" spans="1:25" ht="15" customHeight="1" x14ac:dyDescent="0.2">
      <c r="A32" s="2">
        <v>114</v>
      </c>
      <c r="B32" s="2">
        <v>3</v>
      </c>
      <c r="D32" s="2">
        <v>14</v>
      </c>
      <c r="E32" s="2">
        <v>50000000</v>
      </c>
      <c r="F32" s="2">
        <v>50000000</v>
      </c>
      <c r="G32" s="2">
        <v>50000000</v>
      </c>
      <c r="H32" s="2">
        <v>50000000</v>
      </c>
      <c r="I32" s="2">
        <v>50000000</v>
      </c>
      <c r="J32" s="2">
        <v>1</v>
      </c>
      <c r="K32" s="2">
        <v>1</v>
      </c>
      <c r="L32" s="2" t="s">
        <v>201</v>
      </c>
      <c r="Q32" s="2">
        <v>0</v>
      </c>
      <c r="R32" s="2">
        <v>0</v>
      </c>
      <c r="Y32" s="44">
        <v>200</v>
      </c>
    </row>
    <row r="33" spans="1:25" x14ac:dyDescent="0.2">
      <c r="A33" s="2">
        <v>115</v>
      </c>
      <c r="B33" s="2">
        <v>4</v>
      </c>
      <c r="D33" s="2">
        <v>19</v>
      </c>
      <c r="E33" s="2">
        <v>500000000</v>
      </c>
      <c r="F33" s="2">
        <v>500000000</v>
      </c>
      <c r="G33" s="2">
        <v>500000000</v>
      </c>
      <c r="H33" s="2">
        <v>500000000</v>
      </c>
      <c r="I33" s="2">
        <v>500000</v>
      </c>
      <c r="J33" s="2">
        <v>4</v>
      </c>
      <c r="K33" s="2">
        <v>4</v>
      </c>
      <c r="L33" s="2" t="s">
        <v>197</v>
      </c>
      <c r="Q33" s="2">
        <v>50000</v>
      </c>
      <c r="R33" s="2">
        <v>1</v>
      </c>
      <c r="T33" s="2" t="s">
        <v>202</v>
      </c>
      <c r="V33" s="2">
        <v>103</v>
      </c>
      <c r="Y33" s="44">
        <v>200</v>
      </c>
    </row>
    <row r="34" spans="1:25" s="4" customFormat="1" x14ac:dyDescent="0.2">
      <c r="A34" s="44">
        <v>1000</v>
      </c>
      <c r="B34" s="44">
        <v>4</v>
      </c>
      <c r="C34" s="44" t="s">
        <v>203</v>
      </c>
      <c r="D34" s="44">
        <v>30</v>
      </c>
      <c r="E34" s="44">
        <v>5000000</v>
      </c>
      <c r="F34" s="44">
        <v>5000000</v>
      </c>
      <c r="G34" s="44">
        <v>5000000</v>
      </c>
      <c r="H34" s="44">
        <v>5000000</v>
      </c>
      <c r="I34" s="44">
        <v>5000000</v>
      </c>
      <c r="J34" s="44">
        <v>4</v>
      </c>
      <c r="K34" s="44">
        <v>1</v>
      </c>
      <c r="L34" s="65"/>
      <c r="M34" s="65"/>
      <c r="N34" s="65" t="s">
        <v>808</v>
      </c>
      <c r="O34" s="44"/>
      <c r="P34" s="44"/>
      <c r="Q34" s="65"/>
      <c r="R34" s="44">
        <v>1</v>
      </c>
      <c r="S34" s="65"/>
      <c r="T34" s="44"/>
      <c r="U34" s="65"/>
      <c r="V34" s="65"/>
      <c r="W34" s="65"/>
      <c r="X34" s="65"/>
      <c r="Y34" s="44">
        <v>200</v>
      </c>
    </row>
    <row r="35" spans="1:25" x14ac:dyDescent="0.2">
      <c r="A35" s="2">
        <v>1001</v>
      </c>
      <c r="B35" s="2">
        <v>2</v>
      </c>
      <c r="C35" s="2" t="s">
        <v>204</v>
      </c>
      <c r="D35" s="2">
        <v>1</v>
      </c>
      <c r="E35" s="2">
        <v>5000000</v>
      </c>
      <c r="F35" s="2">
        <v>5000000</v>
      </c>
      <c r="G35" s="2">
        <v>5000000</v>
      </c>
      <c r="H35" s="2">
        <v>5000000</v>
      </c>
      <c r="I35" s="2">
        <v>5000000</v>
      </c>
      <c r="J35" s="2">
        <v>1</v>
      </c>
      <c r="K35" s="2">
        <v>1</v>
      </c>
      <c r="O35" s="2"/>
      <c r="P35" s="2" t="s">
        <v>159</v>
      </c>
      <c r="R35" s="2">
        <v>1</v>
      </c>
      <c r="T35" s="70" t="s">
        <v>737</v>
      </c>
      <c r="Y35" s="44">
        <v>200</v>
      </c>
    </row>
    <row r="36" spans="1:25" x14ac:dyDescent="0.2">
      <c r="A36" s="2">
        <v>1002</v>
      </c>
      <c r="B36" s="2">
        <v>2</v>
      </c>
      <c r="C36" s="2" t="s">
        <v>205</v>
      </c>
      <c r="D36" s="2">
        <v>3</v>
      </c>
      <c r="E36" s="2">
        <v>5000000</v>
      </c>
      <c r="F36" s="2">
        <v>5000000</v>
      </c>
      <c r="G36" s="2">
        <v>5000000</v>
      </c>
      <c r="H36" s="2">
        <v>5000000</v>
      </c>
      <c r="I36" s="2">
        <v>5000000</v>
      </c>
      <c r="J36" s="2">
        <v>1</v>
      </c>
      <c r="K36" s="2">
        <v>1</v>
      </c>
      <c r="O36" s="2" t="s">
        <v>206</v>
      </c>
      <c r="P36" s="2" t="s">
        <v>159</v>
      </c>
      <c r="R36" s="2">
        <v>1</v>
      </c>
      <c r="T36" s="2" t="s">
        <v>737</v>
      </c>
      <c r="Y36" s="44">
        <v>200</v>
      </c>
    </row>
    <row r="37" spans="1:25" x14ac:dyDescent="0.2">
      <c r="A37" s="2">
        <v>1003</v>
      </c>
      <c r="B37" s="2">
        <v>2</v>
      </c>
      <c r="C37" s="2" t="s">
        <v>207</v>
      </c>
      <c r="D37" s="2">
        <v>7</v>
      </c>
      <c r="E37" s="2">
        <v>5000000</v>
      </c>
      <c r="F37" s="2">
        <v>5000000</v>
      </c>
      <c r="G37" s="2">
        <v>5000000</v>
      </c>
      <c r="H37" s="2">
        <v>5000000</v>
      </c>
      <c r="I37" s="2">
        <v>5000000</v>
      </c>
      <c r="J37" s="2">
        <v>2</v>
      </c>
      <c r="K37" s="2">
        <v>1</v>
      </c>
      <c r="N37" s="70" t="s">
        <v>807</v>
      </c>
      <c r="O37" s="2" t="s">
        <v>206</v>
      </c>
      <c r="P37" s="2" t="s">
        <v>159</v>
      </c>
      <c r="R37" s="2">
        <v>1</v>
      </c>
      <c r="T37" s="2" t="s">
        <v>738</v>
      </c>
      <c r="Y37" s="44">
        <v>200</v>
      </c>
    </row>
    <row r="38" spans="1:25" x14ac:dyDescent="0.2">
      <c r="A38" s="2">
        <v>1004</v>
      </c>
      <c r="B38" s="2">
        <v>3</v>
      </c>
      <c r="C38" s="2" t="s">
        <v>208</v>
      </c>
      <c r="D38" s="2">
        <v>11</v>
      </c>
      <c r="E38" s="2">
        <v>5000000</v>
      </c>
      <c r="F38" s="2">
        <v>5000000</v>
      </c>
      <c r="G38" s="2">
        <v>5000000</v>
      </c>
      <c r="H38" s="2">
        <v>5000000</v>
      </c>
      <c r="I38" s="2">
        <v>5000000</v>
      </c>
      <c r="J38" s="2">
        <v>3</v>
      </c>
      <c r="K38" s="2">
        <v>1</v>
      </c>
      <c r="N38" s="2" t="s">
        <v>209</v>
      </c>
      <c r="O38" s="2" t="s">
        <v>210</v>
      </c>
      <c r="P38" s="2" t="s">
        <v>159</v>
      </c>
      <c r="R38" s="2">
        <v>1</v>
      </c>
      <c r="T38" s="2" t="s">
        <v>738</v>
      </c>
      <c r="Y38" s="44">
        <v>200</v>
      </c>
    </row>
    <row r="39" spans="1:25" x14ac:dyDescent="0.2">
      <c r="A39" s="2">
        <v>1005</v>
      </c>
      <c r="B39" s="2">
        <v>3</v>
      </c>
      <c r="C39" s="2" t="s">
        <v>211</v>
      </c>
      <c r="D39" s="2">
        <v>13</v>
      </c>
      <c r="E39" s="2">
        <v>5000000</v>
      </c>
      <c r="F39" s="2">
        <v>5000000</v>
      </c>
      <c r="G39" s="2">
        <v>5000000</v>
      </c>
      <c r="H39" s="2">
        <v>5000000</v>
      </c>
      <c r="I39" s="2">
        <v>5000000</v>
      </c>
      <c r="J39" s="2">
        <v>3</v>
      </c>
      <c r="K39" s="2">
        <v>1</v>
      </c>
      <c r="N39" s="2" t="s">
        <v>212</v>
      </c>
      <c r="O39" s="2" t="s">
        <v>213</v>
      </c>
      <c r="P39" s="2" t="s">
        <v>159</v>
      </c>
      <c r="R39" s="2">
        <v>1</v>
      </c>
      <c r="T39" s="2" t="s">
        <v>739</v>
      </c>
      <c r="Y39" s="44">
        <v>200</v>
      </c>
    </row>
    <row r="40" spans="1:25" x14ac:dyDescent="0.2">
      <c r="A40" s="2">
        <v>1006</v>
      </c>
      <c r="B40" s="2">
        <v>3</v>
      </c>
      <c r="C40" s="2" t="s">
        <v>214</v>
      </c>
      <c r="D40" s="2">
        <v>14</v>
      </c>
      <c r="E40" s="2">
        <v>5000000</v>
      </c>
      <c r="F40" s="2">
        <v>5000000</v>
      </c>
      <c r="G40" s="2">
        <v>5000000</v>
      </c>
      <c r="H40" s="2">
        <v>5000000</v>
      </c>
      <c r="I40" s="2">
        <v>5000000</v>
      </c>
      <c r="J40" s="2">
        <v>3</v>
      </c>
      <c r="K40" s="2">
        <v>1</v>
      </c>
      <c r="N40" s="2" t="s">
        <v>215</v>
      </c>
      <c r="O40" s="2" t="s">
        <v>213</v>
      </c>
      <c r="P40" s="2" t="s">
        <v>159</v>
      </c>
      <c r="R40" s="2">
        <v>1</v>
      </c>
      <c r="T40" s="2" t="s">
        <v>739</v>
      </c>
      <c r="Y40" s="44">
        <v>200</v>
      </c>
    </row>
    <row r="41" spans="1:25" x14ac:dyDescent="0.2">
      <c r="A41" s="2">
        <v>1007</v>
      </c>
      <c r="B41" s="2">
        <v>4</v>
      </c>
      <c r="C41" s="2" t="s">
        <v>216</v>
      </c>
      <c r="D41" s="2">
        <v>15</v>
      </c>
      <c r="E41" s="2">
        <v>5000000</v>
      </c>
      <c r="F41" s="2">
        <v>5000000</v>
      </c>
      <c r="G41" s="2">
        <v>5000000</v>
      </c>
      <c r="H41" s="2">
        <v>5000000</v>
      </c>
      <c r="I41" s="2">
        <v>5000000</v>
      </c>
      <c r="J41" s="2">
        <v>4</v>
      </c>
      <c r="K41" s="2">
        <v>1</v>
      </c>
      <c r="N41" s="2" t="s">
        <v>217</v>
      </c>
      <c r="O41" s="2" t="s">
        <v>213</v>
      </c>
      <c r="P41" s="2" t="s">
        <v>159</v>
      </c>
      <c r="R41" s="2">
        <v>1</v>
      </c>
      <c r="T41" s="2" t="s">
        <v>739</v>
      </c>
      <c r="Y41" s="44">
        <v>200</v>
      </c>
    </row>
    <row r="42" spans="1:25" x14ac:dyDescent="0.2">
      <c r="A42" s="2">
        <v>1008</v>
      </c>
      <c r="B42" s="2">
        <v>4</v>
      </c>
      <c r="C42" s="2" t="s">
        <v>218</v>
      </c>
      <c r="D42" s="2">
        <v>16</v>
      </c>
      <c r="E42" s="2">
        <v>5000000</v>
      </c>
      <c r="F42" s="2">
        <v>5000000</v>
      </c>
      <c r="G42" s="2">
        <v>5000000</v>
      </c>
      <c r="H42" s="2">
        <v>5000000</v>
      </c>
      <c r="I42" s="2">
        <v>5000000</v>
      </c>
      <c r="J42" s="2">
        <v>4</v>
      </c>
      <c r="K42" s="2">
        <v>1</v>
      </c>
      <c r="N42" s="2" t="s">
        <v>219</v>
      </c>
      <c r="O42" s="2" t="s">
        <v>213</v>
      </c>
      <c r="P42" s="2" t="s">
        <v>159</v>
      </c>
      <c r="R42" s="2">
        <v>1</v>
      </c>
      <c r="T42" s="2" t="s">
        <v>739</v>
      </c>
      <c r="Y42" s="44">
        <v>200</v>
      </c>
    </row>
    <row r="43" spans="1:25" x14ac:dyDescent="0.2">
      <c r="A43" s="2">
        <v>1009</v>
      </c>
      <c r="B43" s="2">
        <v>4</v>
      </c>
      <c r="C43" s="2" t="s">
        <v>220</v>
      </c>
      <c r="D43" s="2">
        <v>17</v>
      </c>
      <c r="E43" s="2">
        <v>5000000</v>
      </c>
      <c r="F43" s="2">
        <v>5000000</v>
      </c>
      <c r="G43" s="2">
        <v>5000000</v>
      </c>
      <c r="H43" s="2">
        <v>5000000</v>
      </c>
      <c r="I43" s="2">
        <v>5000000</v>
      </c>
      <c r="J43" s="2">
        <v>4</v>
      </c>
      <c r="K43" s="2">
        <v>1</v>
      </c>
      <c r="N43" s="2" t="s">
        <v>221</v>
      </c>
      <c r="O43" s="2" t="s">
        <v>213</v>
      </c>
      <c r="P43" s="2" t="s">
        <v>159</v>
      </c>
      <c r="R43" s="2">
        <v>1</v>
      </c>
      <c r="T43" s="2" t="s">
        <v>740</v>
      </c>
      <c r="Y43" s="44">
        <v>200</v>
      </c>
    </row>
    <row r="44" spans="1:25" x14ac:dyDescent="0.2">
      <c r="A44" s="2">
        <v>1010</v>
      </c>
      <c r="B44" s="2">
        <v>4</v>
      </c>
      <c r="C44" s="2" t="s">
        <v>222</v>
      </c>
      <c r="D44" s="2">
        <v>18</v>
      </c>
      <c r="E44" s="2">
        <v>5000000</v>
      </c>
      <c r="F44" s="2">
        <v>5000000</v>
      </c>
      <c r="G44" s="2">
        <v>5000000</v>
      </c>
      <c r="H44" s="2">
        <v>5000000</v>
      </c>
      <c r="I44" s="2">
        <v>5000000</v>
      </c>
      <c r="J44" s="2">
        <v>4</v>
      </c>
      <c r="K44" s="2">
        <v>1</v>
      </c>
      <c r="N44" s="2" t="s">
        <v>223</v>
      </c>
      <c r="O44" s="2" t="s">
        <v>224</v>
      </c>
      <c r="P44" s="2" t="s">
        <v>159</v>
      </c>
      <c r="R44" s="2">
        <v>1</v>
      </c>
      <c r="T44" s="2" t="s">
        <v>740</v>
      </c>
      <c r="Y44" s="44">
        <v>200</v>
      </c>
    </row>
    <row r="45" spans="1:25" x14ac:dyDescent="0.2">
      <c r="A45" s="2">
        <v>1011</v>
      </c>
      <c r="B45" s="2">
        <v>4</v>
      </c>
      <c r="C45" s="2" t="s">
        <v>225</v>
      </c>
      <c r="D45" s="2">
        <v>19</v>
      </c>
      <c r="E45" s="2">
        <v>5000000</v>
      </c>
      <c r="F45" s="2">
        <v>5000000</v>
      </c>
      <c r="G45" s="2">
        <v>5000000</v>
      </c>
      <c r="H45" s="2">
        <v>5000000</v>
      </c>
      <c r="I45" s="2">
        <v>5000000</v>
      </c>
      <c r="J45" s="2">
        <v>4</v>
      </c>
      <c r="K45" s="2">
        <v>1</v>
      </c>
      <c r="N45" s="2" t="s">
        <v>192</v>
      </c>
      <c r="O45" s="2" t="s">
        <v>158</v>
      </c>
      <c r="P45" s="2" t="s">
        <v>159</v>
      </c>
      <c r="R45" s="2">
        <v>1</v>
      </c>
      <c r="T45" s="2" t="s">
        <v>740</v>
      </c>
      <c r="Y45" s="44">
        <v>200</v>
      </c>
    </row>
    <row r="46" spans="1:25" x14ac:dyDescent="0.2">
      <c r="A46" s="2">
        <v>1012</v>
      </c>
      <c r="B46" s="2">
        <v>4</v>
      </c>
      <c r="C46" s="2" t="s">
        <v>226</v>
      </c>
      <c r="D46" s="2">
        <v>30</v>
      </c>
      <c r="E46" s="2">
        <v>1000000000</v>
      </c>
      <c r="F46" s="2">
        <v>1000000000</v>
      </c>
      <c r="G46" s="2">
        <v>1000000000</v>
      </c>
      <c r="H46" s="2">
        <v>1000000000</v>
      </c>
      <c r="I46" s="2">
        <v>200000000</v>
      </c>
      <c r="J46" s="2">
        <v>4</v>
      </c>
      <c r="K46" s="2">
        <v>1</v>
      </c>
      <c r="N46" s="2" t="s">
        <v>192</v>
      </c>
      <c r="O46" s="2" t="s">
        <v>158</v>
      </c>
      <c r="P46" s="2" t="s">
        <v>159</v>
      </c>
      <c r="Q46" s="2">
        <v>50000</v>
      </c>
      <c r="R46" s="2">
        <v>1</v>
      </c>
      <c r="T46" s="2" t="s">
        <v>740</v>
      </c>
      <c r="Y46" s="44">
        <v>200</v>
      </c>
    </row>
    <row r="47" spans="1:25" s="34" customFormat="1" x14ac:dyDescent="0.2">
      <c r="A47" s="34">
        <v>100002</v>
      </c>
      <c r="B47" s="34">
        <v>2</v>
      </c>
      <c r="C47" s="34" t="s">
        <v>156</v>
      </c>
      <c r="D47" s="34">
        <v>10</v>
      </c>
      <c r="E47" s="47">
        <v>1000000000</v>
      </c>
      <c r="F47" s="47">
        <v>1000000000</v>
      </c>
      <c r="G47" s="47">
        <v>1000000000</v>
      </c>
      <c r="H47" s="47">
        <v>1000000000</v>
      </c>
      <c r="I47" s="47">
        <v>200000000</v>
      </c>
      <c r="J47" s="34">
        <v>2</v>
      </c>
      <c r="K47" s="34">
        <v>1</v>
      </c>
      <c r="L47" s="64"/>
      <c r="M47" s="64"/>
      <c r="N47" s="64" t="s">
        <v>157</v>
      </c>
      <c r="O47" s="47" t="s">
        <v>158</v>
      </c>
      <c r="P47" s="47" t="s">
        <v>159</v>
      </c>
      <c r="Q47" s="47">
        <v>50000</v>
      </c>
      <c r="R47" s="47">
        <v>1</v>
      </c>
      <c r="S47" s="64"/>
      <c r="T47" s="47" t="s">
        <v>160</v>
      </c>
      <c r="U47" s="64"/>
      <c r="V47" s="64"/>
      <c r="W47" s="64"/>
      <c r="X47" s="64"/>
      <c r="Y47" s="44">
        <v>200</v>
      </c>
    </row>
    <row r="48" spans="1:25" s="34" customFormat="1" x14ac:dyDescent="0.2">
      <c r="A48" s="34">
        <v>100003</v>
      </c>
      <c r="B48" s="34">
        <v>3</v>
      </c>
      <c r="C48" s="34" t="s">
        <v>161</v>
      </c>
      <c r="D48" s="34">
        <v>15</v>
      </c>
      <c r="E48" s="47">
        <v>1000000000</v>
      </c>
      <c r="F48" s="47">
        <v>1000000000</v>
      </c>
      <c r="G48" s="47">
        <v>1000000000</v>
      </c>
      <c r="H48" s="47">
        <v>1000000000</v>
      </c>
      <c r="I48" s="47">
        <v>200000000</v>
      </c>
      <c r="J48" s="34">
        <v>3</v>
      </c>
      <c r="K48" s="34">
        <v>1</v>
      </c>
      <c r="L48" s="64"/>
      <c r="M48" s="64"/>
      <c r="N48" s="64" t="s">
        <v>162</v>
      </c>
      <c r="O48" s="47" t="s">
        <v>158</v>
      </c>
      <c r="P48" s="47" t="s">
        <v>159</v>
      </c>
      <c r="Q48" s="47">
        <v>50000</v>
      </c>
      <c r="R48" s="47">
        <v>1</v>
      </c>
      <c r="S48" s="64"/>
      <c r="T48" s="47" t="s">
        <v>163</v>
      </c>
      <c r="U48" s="64"/>
      <c r="V48" s="64"/>
      <c r="W48" s="64"/>
      <c r="X48" s="64"/>
      <c r="Y48" s="44">
        <v>200</v>
      </c>
    </row>
    <row r="49" spans="1:25" s="34" customFormat="1" x14ac:dyDescent="0.2">
      <c r="A49" s="34">
        <v>100004</v>
      </c>
      <c r="B49" s="34">
        <v>4</v>
      </c>
      <c r="C49" s="34" t="s">
        <v>164</v>
      </c>
      <c r="D49" s="34">
        <v>20</v>
      </c>
      <c r="E49" s="47">
        <v>1000000000</v>
      </c>
      <c r="F49" s="47">
        <v>1000000000</v>
      </c>
      <c r="G49" s="47">
        <v>1000000000</v>
      </c>
      <c r="H49" s="47">
        <v>1000000000</v>
      </c>
      <c r="I49" s="47">
        <v>200000000</v>
      </c>
      <c r="J49" s="34">
        <v>4</v>
      </c>
      <c r="K49" s="34">
        <v>1</v>
      </c>
      <c r="L49" s="64"/>
      <c r="M49" s="64"/>
      <c r="N49" s="64" t="s">
        <v>165</v>
      </c>
      <c r="O49" s="47" t="s">
        <v>158</v>
      </c>
      <c r="P49" s="47" t="s">
        <v>159</v>
      </c>
      <c r="Q49" s="47">
        <v>50000</v>
      </c>
      <c r="R49" s="47">
        <v>1</v>
      </c>
      <c r="S49" s="64"/>
      <c r="T49" s="64" t="s">
        <v>166</v>
      </c>
      <c r="U49" s="64"/>
      <c r="V49" s="64"/>
      <c r="W49" s="64"/>
      <c r="X49" s="64"/>
      <c r="Y49" s="44">
        <v>200</v>
      </c>
    </row>
    <row r="50" spans="1:25" s="34" customFormat="1" x14ac:dyDescent="0.2">
      <c r="A50" s="34">
        <v>100005</v>
      </c>
      <c r="B50" s="34">
        <v>5</v>
      </c>
      <c r="C50" s="34" t="s">
        <v>167</v>
      </c>
      <c r="D50" s="34">
        <v>30</v>
      </c>
      <c r="E50" s="47">
        <v>1000000000</v>
      </c>
      <c r="F50" s="47">
        <v>1000000000</v>
      </c>
      <c r="G50" s="47">
        <v>1000000000</v>
      </c>
      <c r="H50" s="47">
        <v>1000000000</v>
      </c>
      <c r="I50" s="47">
        <v>200000000</v>
      </c>
      <c r="J50" s="34">
        <v>5</v>
      </c>
      <c r="K50" s="34">
        <v>1</v>
      </c>
      <c r="L50" s="64"/>
      <c r="M50" s="64"/>
      <c r="N50" s="64" t="s">
        <v>168</v>
      </c>
      <c r="O50" s="47" t="s">
        <v>158</v>
      </c>
      <c r="P50" s="47" t="s">
        <v>159</v>
      </c>
      <c r="Q50" s="47">
        <v>50000</v>
      </c>
      <c r="R50" s="47">
        <v>1</v>
      </c>
      <c r="S50" s="64"/>
      <c r="T50" s="64" t="s">
        <v>169</v>
      </c>
      <c r="U50" s="64"/>
      <c r="V50" s="64"/>
      <c r="W50" s="64"/>
      <c r="X50" s="64"/>
      <c r="Y50" s="44">
        <v>200</v>
      </c>
    </row>
  </sheetData>
  <phoneticPr fontId="13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246"/>
  <sheetViews>
    <sheetView workbookViewId="0"/>
  </sheetViews>
  <sheetFormatPr defaultColWidth="8.625" defaultRowHeight="14.25" x14ac:dyDescent="0.2"/>
  <cols>
    <col min="1" max="1" width="13" style="1" customWidth="1"/>
    <col min="2" max="2" width="11.125" style="1" customWidth="1"/>
    <col min="3" max="3" width="7.125" style="1" customWidth="1"/>
    <col min="4" max="4" width="10" style="1" customWidth="1"/>
    <col min="5" max="5" width="7.625" style="1" customWidth="1"/>
    <col min="6" max="6" width="13.875" style="1" customWidth="1"/>
    <col min="7" max="7" width="7.625" style="1" customWidth="1"/>
    <col min="8" max="9" width="13" style="1" customWidth="1"/>
    <col min="10" max="10" width="10.375" style="1" customWidth="1"/>
    <col min="11" max="61" width="13" style="1" customWidth="1"/>
    <col min="62" max="16384" width="8.625" style="4"/>
  </cols>
  <sheetData>
    <row r="1" spans="1:7" x14ac:dyDescent="0.2">
      <c r="A1" s="35" t="s">
        <v>227</v>
      </c>
    </row>
    <row r="2" spans="1:7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</row>
    <row r="3" spans="1:7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</row>
    <row r="4" spans="1:7" x14ac:dyDescent="0.2">
      <c r="A4" s="35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</row>
    <row r="5" spans="1:7" x14ac:dyDescent="0.2">
      <c r="A5" s="35">
        <v>1</v>
      </c>
      <c r="B5" s="35">
        <v>220200001</v>
      </c>
      <c r="C5" s="35">
        <v>202</v>
      </c>
      <c r="D5" s="35">
        <v>0</v>
      </c>
      <c r="E5" s="35">
        <v>54</v>
      </c>
      <c r="F5" s="35">
        <v>-0.47058867999999998</v>
      </c>
      <c r="G5" s="35">
        <v>-51</v>
      </c>
    </row>
    <row r="6" spans="1:7" x14ac:dyDescent="0.2">
      <c r="A6" s="35">
        <v>1</v>
      </c>
      <c r="B6" s="35">
        <v>220200002</v>
      </c>
      <c r="C6" s="35">
        <v>202</v>
      </c>
      <c r="D6" s="35">
        <v>0</v>
      </c>
      <c r="E6" s="35">
        <v>-30</v>
      </c>
      <c r="F6" s="35">
        <v>-0.47058867999999998</v>
      </c>
      <c r="G6" s="35">
        <v>-60</v>
      </c>
    </row>
    <row r="7" spans="1:7" x14ac:dyDescent="0.2">
      <c r="A7" s="35">
        <v>1</v>
      </c>
      <c r="B7" s="35">
        <v>220200003</v>
      </c>
      <c r="C7" s="35">
        <v>202</v>
      </c>
      <c r="D7" s="35">
        <v>0</v>
      </c>
      <c r="E7" s="35">
        <v>-36</v>
      </c>
      <c r="F7" s="35">
        <v>-0.47058867999999998</v>
      </c>
      <c r="G7" s="35">
        <v>-33</v>
      </c>
    </row>
    <row r="8" spans="1:7" x14ac:dyDescent="0.2">
      <c r="A8" s="35">
        <v>1</v>
      </c>
      <c r="B8" s="35">
        <v>220200004</v>
      </c>
      <c r="C8" s="35">
        <v>202</v>
      </c>
      <c r="D8" s="35">
        <v>0</v>
      </c>
      <c r="E8" s="35">
        <v>63</v>
      </c>
      <c r="F8" s="35">
        <v>-0.47058867999999998</v>
      </c>
      <c r="G8" s="35">
        <v>-18</v>
      </c>
    </row>
    <row r="9" spans="1:7" x14ac:dyDescent="0.2">
      <c r="A9" s="35">
        <v>1</v>
      </c>
      <c r="B9" s="35">
        <v>220200013</v>
      </c>
      <c r="C9" s="35">
        <v>202</v>
      </c>
      <c r="D9" s="35">
        <v>0</v>
      </c>
      <c r="E9" s="35">
        <v>-42</v>
      </c>
      <c r="F9" s="35">
        <v>-0.47058867999999998</v>
      </c>
      <c r="G9" s="35">
        <v>-57</v>
      </c>
    </row>
    <row r="10" spans="1:7" x14ac:dyDescent="0.2">
      <c r="A10" s="35">
        <v>1</v>
      </c>
      <c r="B10" s="35">
        <v>220200014</v>
      </c>
      <c r="C10" s="35">
        <v>202</v>
      </c>
      <c r="D10" s="35">
        <v>0</v>
      </c>
      <c r="E10" s="35">
        <v>66</v>
      </c>
      <c r="F10" s="35">
        <v>-0.47058867999999998</v>
      </c>
      <c r="G10" s="35">
        <v>-30</v>
      </c>
    </row>
    <row r="11" spans="1:7" x14ac:dyDescent="0.2">
      <c r="A11" s="35">
        <v>1</v>
      </c>
      <c r="B11" s="35">
        <v>220300001</v>
      </c>
      <c r="C11" s="35">
        <v>203</v>
      </c>
      <c r="D11" s="35">
        <v>0</v>
      </c>
      <c r="E11" s="35">
        <v>45</v>
      </c>
      <c r="F11" s="35">
        <v>-8.9653969999999994</v>
      </c>
      <c r="G11" s="35">
        <v>-117</v>
      </c>
    </row>
    <row r="12" spans="1:7" x14ac:dyDescent="0.2">
      <c r="A12" s="35">
        <v>1</v>
      </c>
      <c r="B12" s="35">
        <v>220300002</v>
      </c>
      <c r="C12" s="35">
        <v>203</v>
      </c>
      <c r="D12" s="35">
        <v>0</v>
      </c>
      <c r="E12" s="35">
        <v>-24</v>
      </c>
      <c r="F12" s="35">
        <v>-8.9653969999999994</v>
      </c>
      <c r="G12" s="35">
        <v>-111</v>
      </c>
    </row>
    <row r="13" spans="1:7" x14ac:dyDescent="0.2">
      <c r="A13" s="35">
        <v>1</v>
      </c>
      <c r="B13" s="35">
        <v>220300003</v>
      </c>
      <c r="C13" s="35">
        <v>203</v>
      </c>
      <c r="D13" s="35">
        <v>0</v>
      </c>
      <c r="E13" s="35">
        <v>117</v>
      </c>
      <c r="F13" s="35">
        <v>-9.1450980000000008</v>
      </c>
      <c r="G13" s="35">
        <v>-78</v>
      </c>
    </row>
    <row r="14" spans="1:7" x14ac:dyDescent="0.2">
      <c r="A14" s="35">
        <v>1</v>
      </c>
      <c r="B14" s="35">
        <v>220300004</v>
      </c>
      <c r="C14" s="35">
        <v>203</v>
      </c>
      <c r="D14" s="35">
        <v>0</v>
      </c>
      <c r="E14" s="35">
        <v>-12</v>
      </c>
      <c r="F14" s="35">
        <v>-0.47058867999999998</v>
      </c>
      <c r="G14" s="35">
        <v>-60</v>
      </c>
    </row>
    <row r="15" spans="1:7" x14ac:dyDescent="0.2">
      <c r="A15" s="35">
        <v>1</v>
      </c>
      <c r="B15" s="35">
        <v>220300005</v>
      </c>
      <c r="C15" s="35">
        <v>203</v>
      </c>
      <c r="D15" s="35">
        <v>0</v>
      </c>
      <c r="E15" s="35">
        <v>-90</v>
      </c>
      <c r="F15" s="35">
        <v>-0.47058867999999998</v>
      </c>
      <c r="G15" s="35">
        <v>-42</v>
      </c>
    </row>
    <row r="16" spans="1:7" x14ac:dyDescent="0.2">
      <c r="A16" s="35">
        <v>1</v>
      </c>
      <c r="B16" s="35">
        <v>220300006</v>
      </c>
      <c r="C16" s="35">
        <v>203</v>
      </c>
      <c r="D16" s="35">
        <v>0</v>
      </c>
      <c r="E16" s="35">
        <v>54</v>
      </c>
      <c r="F16" s="35">
        <v>-0.47058867999999998</v>
      </c>
      <c r="G16" s="35">
        <v>33</v>
      </c>
    </row>
    <row r="17" spans="1:7" x14ac:dyDescent="0.2">
      <c r="A17" s="35">
        <v>1</v>
      </c>
      <c r="B17" s="35">
        <v>220400001</v>
      </c>
      <c r="C17" s="35">
        <v>204</v>
      </c>
      <c r="D17" s="35">
        <v>0</v>
      </c>
      <c r="E17" s="35">
        <v>115.5</v>
      </c>
      <c r="F17" s="35">
        <v>-9.4549009999999996</v>
      </c>
      <c r="G17" s="35">
        <v>-100.5</v>
      </c>
    </row>
    <row r="18" spans="1:7" x14ac:dyDescent="0.2">
      <c r="A18" s="35">
        <v>1</v>
      </c>
      <c r="B18" s="35">
        <v>220400002</v>
      </c>
      <c r="C18" s="35">
        <v>204</v>
      </c>
      <c r="D18" s="35">
        <v>0</v>
      </c>
      <c r="E18" s="35">
        <v>118.5</v>
      </c>
      <c r="F18" s="35">
        <v>-9.1450980000000008</v>
      </c>
      <c r="G18" s="35">
        <v>-52.5</v>
      </c>
    </row>
    <row r="19" spans="1:7" x14ac:dyDescent="0.2">
      <c r="A19" s="35">
        <v>1</v>
      </c>
      <c r="B19" s="35">
        <v>220400003</v>
      </c>
      <c r="C19" s="35">
        <v>204</v>
      </c>
      <c r="D19" s="35">
        <v>0</v>
      </c>
      <c r="E19" s="35">
        <v>112.5</v>
      </c>
      <c r="F19" s="35">
        <v>-9.1450980000000008</v>
      </c>
      <c r="G19" s="35">
        <v>-31.5</v>
      </c>
    </row>
    <row r="20" spans="1:7" x14ac:dyDescent="0.2">
      <c r="A20" s="35">
        <v>1</v>
      </c>
      <c r="B20" s="35">
        <v>220400004</v>
      </c>
      <c r="C20" s="35">
        <v>204</v>
      </c>
      <c r="D20" s="35">
        <v>0</v>
      </c>
      <c r="E20" s="35">
        <v>-46.5</v>
      </c>
      <c r="F20" s="35">
        <v>-9.1450980000000008</v>
      </c>
      <c r="G20" s="35">
        <v>-106.5</v>
      </c>
    </row>
    <row r="21" spans="1:7" x14ac:dyDescent="0.2">
      <c r="A21" s="35">
        <v>1</v>
      </c>
      <c r="B21" s="35">
        <v>220400005</v>
      </c>
      <c r="C21" s="35">
        <v>204</v>
      </c>
      <c r="D21" s="35">
        <v>0</v>
      </c>
      <c r="E21" s="35">
        <v>55.5</v>
      </c>
      <c r="F21" s="35">
        <v>-9.4549009999999996</v>
      </c>
      <c r="G21" s="35">
        <v>-115.5</v>
      </c>
    </row>
    <row r="22" spans="1:7" x14ac:dyDescent="0.2">
      <c r="A22" s="35">
        <v>1</v>
      </c>
      <c r="B22" s="35">
        <v>220400006</v>
      </c>
      <c r="C22" s="35">
        <v>204</v>
      </c>
      <c r="D22" s="35">
        <v>0</v>
      </c>
      <c r="E22" s="35">
        <v>136.5</v>
      </c>
      <c r="F22" s="35">
        <v>-8.9653969999999994</v>
      </c>
      <c r="G22" s="35">
        <v>-43.5</v>
      </c>
    </row>
    <row r="23" spans="1:7" x14ac:dyDescent="0.2">
      <c r="A23" s="35">
        <v>1</v>
      </c>
      <c r="B23" s="35">
        <v>220500001</v>
      </c>
      <c r="C23" s="35">
        <v>205</v>
      </c>
      <c r="D23" s="35">
        <v>0</v>
      </c>
      <c r="E23" s="35">
        <v>-93</v>
      </c>
      <c r="F23" s="35">
        <v>-0.47058867999999998</v>
      </c>
      <c r="G23" s="35">
        <v>-18</v>
      </c>
    </row>
    <row r="24" spans="1:7" x14ac:dyDescent="0.2">
      <c r="A24" s="35">
        <v>1</v>
      </c>
      <c r="B24" s="35">
        <v>220500002</v>
      </c>
      <c r="C24" s="35">
        <v>205</v>
      </c>
      <c r="D24" s="35">
        <v>0</v>
      </c>
      <c r="E24" s="35">
        <v>-48</v>
      </c>
      <c r="F24" s="35">
        <v>-0.47058867999999998</v>
      </c>
      <c r="G24" s="35">
        <v>-45</v>
      </c>
    </row>
    <row r="25" spans="1:7" x14ac:dyDescent="0.2">
      <c r="A25" s="35">
        <v>1</v>
      </c>
      <c r="B25" s="35">
        <v>220500003</v>
      </c>
      <c r="C25" s="35">
        <v>205</v>
      </c>
      <c r="D25" s="35">
        <v>0</v>
      </c>
      <c r="E25" s="35">
        <v>-90</v>
      </c>
      <c r="F25" s="35">
        <v>-0.47058867999999998</v>
      </c>
      <c r="G25" s="35">
        <v>-63</v>
      </c>
    </row>
    <row r="26" spans="1:7" x14ac:dyDescent="0.2">
      <c r="A26" s="35">
        <v>1</v>
      </c>
      <c r="B26" s="35">
        <v>220500004</v>
      </c>
      <c r="C26" s="35">
        <v>205</v>
      </c>
      <c r="D26" s="35">
        <v>0</v>
      </c>
      <c r="E26" s="35">
        <v>39</v>
      </c>
      <c r="F26" s="35">
        <v>-0.47058867999999998</v>
      </c>
      <c r="G26" s="35">
        <v>-54</v>
      </c>
    </row>
    <row r="27" spans="1:7" x14ac:dyDescent="0.2">
      <c r="A27" s="35">
        <v>1</v>
      </c>
      <c r="B27" s="35">
        <v>220500005</v>
      </c>
      <c r="C27" s="35">
        <v>205</v>
      </c>
      <c r="D27" s="35">
        <v>0</v>
      </c>
      <c r="E27" s="35">
        <v>45</v>
      </c>
      <c r="F27" s="35">
        <v>-9.4549009999999996</v>
      </c>
      <c r="G27" s="35">
        <v>-102</v>
      </c>
    </row>
    <row r="28" spans="1:7" x14ac:dyDescent="0.2">
      <c r="A28" s="35">
        <v>1</v>
      </c>
      <c r="B28" s="35">
        <v>220500006</v>
      </c>
      <c r="C28" s="35">
        <v>205</v>
      </c>
      <c r="D28" s="35">
        <v>0</v>
      </c>
      <c r="E28" s="35">
        <v>93</v>
      </c>
      <c r="F28" s="35">
        <v>-9.4549009999999996</v>
      </c>
      <c r="G28" s="35">
        <v>-99</v>
      </c>
    </row>
    <row r="29" spans="1:7" x14ac:dyDescent="0.2">
      <c r="A29" s="35">
        <v>1</v>
      </c>
      <c r="B29" s="35">
        <v>220600001</v>
      </c>
      <c r="C29" s="35">
        <v>206</v>
      </c>
      <c r="D29" s="35">
        <v>0</v>
      </c>
      <c r="E29" s="35">
        <v>42</v>
      </c>
      <c r="F29" s="35">
        <v>-0.47058867999999998</v>
      </c>
      <c r="G29" s="35">
        <v>18</v>
      </c>
    </row>
    <row r="30" spans="1:7" x14ac:dyDescent="0.2">
      <c r="A30" s="35">
        <v>1</v>
      </c>
      <c r="B30" s="35">
        <v>220700001</v>
      </c>
      <c r="C30" s="35">
        <v>207</v>
      </c>
      <c r="D30" s="35">
        <v>0</v>
      </c>
      <c r="E30" s="35">
        <v>105</v>
      </c>
      <c r="F30" s="35">
        <v>-8.4549009999999996</v>
      </c>
      <c r="G30" s="35">
        <v>-87</v>
      </c>
    </row>
    <row r="31" spans="1:7" x14ac:dyDescent="0.2">
      <c r="A31" s="35">
        <v>1</v>
      </c>
      <c r="B31" s="35">
        <v>220800001</v>
      </c>
      <c r="C31" s="35">
        <v>208</v>
      </c>
      <c r="D31" s="35">
        <v>0</v>
      </c>
      <c r="E31" s="17">
        <v>-72</v>
      </c>
      <c r="F31" s="17">
        <v>15.5</v>
      </c>
      <c r="G31" s="17">
        <v>78</v>
      </c>
    </row>
    <row r="32" spans="1:7" x14ac:dyDescent="0.2">
      <c r="A32" s="35">
        <v>1</v>
      </c>
      <c r="B32" s="35">
        <v>220900001</v>
      </c>
      <c r="C32" s="35">
        <v>209</v>
      </c>
      <c r="D32" s="35">
        <v>0</v>
      </c>
      <c r="E32" s="35">
        <v>36</v>
      </c>
      <c r="F32" s="35">
        <v>7.3199459999999999E-3</v>
      </c>
      <c r="G32" s="35">
        <v>48</v>
      </c>
    </row>
    <row r="33" spans="1:7" ht="16.5" customHeight="1" x14ac:dyDescent="0.3">
      <c r="A33" s="35">
        <v>1</v>
      </c>
      <c r="B33" s="35">
        <v>221200001</v>
      </c>
      <c r="C33" s="35">
        <v>212</v>
      </c>
      <c r="D33" s="35">
        <v>0</v>
      </c>
      <c r="E33" s="43">
        <v>39</v>
      </c>
      <c r="F33" s="43">
        <v>0</v>
      </c>
      <c r="G33" s="43">
        <v>0</v>
      </c>
    </row>
    <row r="34" spans="1:7" x14ac:dyDescent="0.2">
      <c r="A34" s="35">
        <v>1</v>
      </c>
      <c r="B34" s="35">
        <v>221300001</v>
      </c>
      <c r="C34" s="35">
        <v>213</v>
      </c>
      <c r="D34" s="35">
        <v>0</v>
      </c>
      <c r="E34" s="35">
        <v>16.5</v>
      </c>
      <c r="F34" s="35">
        <v>-18.48</v>
      </c>
      <c r="G34" s="35">
        <v>130.5</v>
      </c>
    </row>
    <row r="35" spans="1:7" x14ac:dyDescent="0.2">
      <c r="A35" s="35">
        <v>1</v>
      </c>
      <c r="B35" s="35">
        <v>221500001</v>
      </c>
      <c r="C35" s="35">
        <v>215</v>
      </c>
      <c r="D35" s="35">
        <v>0</v>
      </c>
      <c r="E35" s="35">
        <v>91</v>
      </c>
      <c r="F35" s="35">
        <v>0</v>
      </c>
      <c r="G35" s="35">
        <v>1</v>
      </c>
    </row>
    <row r="36" spans="1:7" x14ac:dyDescent="0.2">
      <c r="A36" s="35">
        <v>1</v>
      </c>
      <c r="B36" s="35">
        <v>222200001</v>
      </c>
      <c r="C36" s="35">
        <v>222</v>
      </c>
      <c r="D36" s="35">
        <v>0</v>
      </c>
      <c r="E36" s="35">
        <v>-36</v>
      </c>
      <c r="F36" s="35">
        <v>-0.47058867999999998</v>
      </c>
      <c r="G36" s="35">
        <v>-45</v>
      </c>
    </row>
    <row r="37" spans="1:7" x14ac:dyDescent="0.2">
      <c r="A37" s="35">
        <v>1</v>
      </c>
      <c r="B37" s="35">
        <v>222400001</v>
      </c>
      <c r="C37" s="35">
        <v>224</v>
      </c>
      <c r="D37" s="35">
        <v>0</v>
      </c>
      <c r="E37" s="35">
        <v>69</v>
      </c>
      <c r="F37" s="35">
        <v>-0.47058867999999998</v>
      </c>
      <c r="G37" s="35">
        <v>15</v>
      </c>
    </row>
    <row r="38" spans="1:7" x14ac:dyDescent="0.2">
      <c r="A38" s="35">
        <v>1</v>
      </c>
      <c r="B38" s="35">
        <v>222600001</v>
      </c>
      <c r="C38" s="35">
        <v>226</v>
      </c>
      <c r="D38" s="35">
        <v>0</v>
      </c>
      <c r="E38" s="35">
        <v>-21</v>
      </c>
      <c r="F38" s="35">
        <v>3</v>
      </c>
      <c r="G38" s="35">
        <v>69</v>
      </c>
    </row>
    <row r="39" spans="1:7" x14ac:dyDescent="0.2">
      <c r="A39" s="35">
        <v>1</v>
      </c>
      <c r="B39" s="35">
        <v>222700001</v>
      </c>
      <c r="C39" s="35">
        <v>227</v>
      </c>
      <c r="D39" s="35">
        <v>0</v>
      </c>
      <c r="E39" s="35">
        <v>155</v>
      </c>
      <c r="F39" s="35">
        <v>-8.9</v>
      </c>
      <c r="G39" s="35">
        <v>-40</v>
      </c>
    </row>
    <row r="40" spans="1:7" x14ac:dyDescent="0.2">
      <c r="A40" s="35">
        <v>1</v>
      </c>
      <c r="B40" s="35">
        <v>222700002</v>
      </c>
      <c r="C40" s="35">
        <v>227</v>
      </c>
      <c r="D40" s="35">
        <v>0</v>
      </c>
      <c r="E40" s="35">
        <v>155</v>
      </c>
      <c r="F40" s="35">
        <v>-8.9</v>
      </c>
      <c r="G40" s="35">
        <v>25</v>
      </c>
    </row>
    <row r="41" spans="1:7" x14ac:dyDescent="0.2">
      <c r="A41" s="35">
        <v>1</v>
      </c>
      <c r="B41" s="35">
        <v>222900001</v>
      </c>
      <c r="C41" s="35">
        <v>229</v>
      </c>
      <c r="D41" s="35">
        <v>0</v>
      </c>
      <c r="E41" s="35">
        <v>48</v>
      </c>
      <c r="F41" s="35">
        <v>-0.47058867999999998</v>
      </c>
      <c r="G41" s="35">
        <v>-36</v>
      </c>
    </row>
    <row r="42" spans="1:7" x14ac:dyDescent="0.2">
      <c r="A42" s="35">
        <v>1</v>
      </c>
      <c r="B42" s="35">
        <v>223000001</v>
      </c>
      <c r="C42" s="35">
        <v>230</v>
      </c>
      <c r="D42" s="35">
        <v>0</v>
      </c>
      <c r="E42" s="35">
        <v>33</v>
      </c>
      <c r="F42" s="35">
        <v>-0.47058867999999998</v>
      </c>
      <c r="G42" s="35">
        <v>-18</v>
      </c>
    </row>
    <row r="43" spans="1:7" x14ac:dyDescent="0.2">
      <c r="A43" s="35">
        <v>1</v>
      </c>
      <c r="B43" s="35">
        <v>223100001</v>
      </c>
      <c r="C43" s="35">
        <v>231</v>
      </c>
      <c r="D43" s="35">
        <v>0</v>
      </c>
      <c r="E43" s="35">
        <v>-9</v>
      </c>
      <c r="F43" s="35">
        <v>-0.47058867999999998</v>
      </c>
      <c r="G43" s="35">
        <v>-36</v>
      </c>
    </row>
    <row r="44" spans="1:7" x14ac:dyDescent="0.2">
      <c r="A44" s="35">
        <v>1</v>
      </c>
      <c r="B44" s="35">
        <v>223200001</v>
      </c>
      <c r="C44" s="35">
        <v>232</v>
      </c>
      <c r="D44" s="35">
        <v>0</v>
      </c>
      <c r="E44" s="35">
        <v>69</v>
      </c>
      <c r="F44" s="35">
        <v>-0.47058867999999998</v>
      </c>
      <c r="G44" s="35">
        <v>48</v>
      </c>
    </row>
    <row r="45" spans="1:7" x14ac:dyDescent="0.2">
      <c r="A45" s="35">
        <v>1</v>
      </c>
      <c r="B45" s="35">
        <v>223400001</v>
      </c>
      <c r="C45" s="35">
        <v>234</v>
      </c>
      <c r="D45" s="35">
        <v>0</v>
      </c>
      <c r="E45" s="35">
        <v>-94.5</v>
      </c>
      <c r="F45" s="35">
        <v>-0.47058867999999998</v>
      </c>
      <c r="G45" s="35">
        <v>-52.5</v>
      </c>
    </row>
    <row r="46" spans="1:7" x14ac:dyDescent="0.2">
      <c r="A46" s="35">
        <v>1</v>
      </c>
      <c r="B46" s="35">
        <v>223400002</v>
      </c>
      <c r="C46" s="35">
        <v>234</v>
      </c>
      <c r="D46" s="35">
        <v>0</v>
      </c>
      <c r="E46" s="35">
        <v>127.5</v>
      </c>
      <c r="F46" s="35">
        <v>-9.4549009999999996</v>
      </c>
      <c r="G46" s="35">
        <v>-100.5</v>
      </c>
    </row>
    <row r="47" spans="1:7" x14ac:dyDescent="0.2">
      <c r="A47" s="35">
        <v>1</v>
      </c>
      <c r="B47" s="35">
        <v>223400003</v>
      </c>
      <c r="C47" s="35">
        <v>234</v>
      </c>
      <c r="D47" s="35">
        <v>0</v>
      </c>
      <c r="E47" s="35">
        <v>-97.5</v>
      </c>
      <c r="F47" s="35">
        <v>-0.47058867999999998</v>
      </c>
      <c r="G47" s="35">
        <v>-28.5</v>
      </c>
    </row>
    <row r="48" spans="1:7" x14ac:dyDescent="0.2">
      <c r="A48" s="35">
        <v>1</v>
      </c>
      <c r="B48" s="35">
        <v>223400004</v>
      </c>
      <c r="C48" s="35">
        <v>234</v>
      </c>
      <c r="D48" s="35">
        <v>0</v>
      </c>
      <c r="E48" s="35">
        <v>-88.5</v>
      </c>
      <c r="F48" s="35">
        <v>-0.47058867999999998</v>
      </c>
      <c r="G48" s="35">
        <v>-31.5</v>
      </c>
    </row>
    <row r="49" spans="1:8" x14ac:dyDescent="0.2">
      <c r="A49" s="35">
        <v>1</v>
      </c>
      <c r="B49" s="35">
        <v>223400005</v>
      </c>
      <c r="C49" s="35">
        <v>234</v>
      </c>
      <c r="D49" s="35">
        <v>0</v>
      </c>
      <c r="E49" s="35">
        <v>-100.5</v>
      </c>
      <c r="F49" s="35">
        <v>-0.47058867999999998</v>
      </c>
      <c r="G49" s="35">
        <v>-67.5</v>
      </c>
    </row>
    <row r="50" spans="1:8" x14ac:dyDescent="0.2">
      <c r="A50" s="35">
        <v>1</v>
      </c>
      <c r="B50" s="35">
        <v>223400006</v>
      </c>
      <c r="C50" s="35">
        <v>234</v>
      </c>
      <c r="D50" s="35">
        <v>0</v>
      </c>
      <c r="E50" s="35">
        <v>-46.5</v>
      </c>
      <c r="F50" s="35">
        <v>-9.1450980000000008</v>
      </c>
      <c r="G50" s="35">
        <v>-115.5</v>
      </c>
    </row>
    <row r="51" spans="1:8" x14ac:dyDescent="0.2">
      <c r="A51" s="35">
        <v>1</v>
      </c>
      <c r="B51" s="35">
        <v>223500001</v>
      </c>
      <c r="C51" s="35">
        <v>235</v>
      </c>
      <c r="D51" s="35">
        <v>0</v>
      </c>
      <c r="E51" s="35">
        <v>-53</v>
      </c>
      <c r="F51" s="35">
        <v>5</v>
      </c>
      <c r="G51" s="35">
        <v>6</v>
      </c>
    </row>
    <row r="52" spans="1:8" x14ac:dyDescent="0.2">
      <c r="A52" s="35">
        <v>1</v>
      </c>
      <c r="B52" s="35">
        <v>223600001</v>
      </c>
      <c r="C52" s="35">
        <v>236</v>
      </c>
      <c r="D52" s="35">
        <v>0</v>
      </c>
      <c r="E52" s="35">
        <v>-35</v>
      </c>
      <c r="F52" s="35">
        <v>5</v>
      </c>
      <c r="G52" s="35">
        <v>6</v>
      </c>
    </row>
    <row r="53" spans="1:8" x14ac:dyDescent="0.2">
      <c r="A53" s="35">
        <v>1</v>
      </c>
      <c r="B53" s="35">
        <v>223700001</v>
      </c>
      <c r="C53" s="35">
        <v>237</v>
      </c>
      <c r="D53" s="35">
        <v>0</v>
      </c>
      <c r="E53" s="35">
        <v>66</v>
      </c>
      <c r="F53" s="35">
        <v>-0.47058867999999998</v>
      </c>
      <c r="G53" s="35">
        <v>-42</v>
      </c>
    </row>
    <row r="54" spans="1:8" x14ac:dyDescent="0.2">
      <c r="A54" s="35">
        <v>1</v>
      </c>
      <c r="B54" s="35">
        <v>4040001</v>
      </c>
      <c r="C54" s="35">
        <v>404</v>
      </c>
      <c r="D54" s="35">
        <v>0</v>
      </c>
      <c r="E54" s="35">
        <v>181.17</v>
      </c>
      <c r="F54" s="35">
        <v>0</v>
      </c>
      <c r="G54" s="35">
        <v>75.650000000000006</v>
      </c>
    </row>
    <row r="55" spans="1:8" x14ac:dyDescent="0.2">
      <c r="A55" s="35">
        <v>2</v>
      </c>
      <c r="B55" s="35">
        <v>220100001</v>
      </c>
      <c r="C55" s="35">
        <v>201</v>
      </c>
      <c r="D55" s="35">
        <v>0</v>
      </c>
      <c r="E55" s="35">
        <v>0</v>
      </c>
      <c r="F55" s="35">
        <v>0</v>
      </c>
      <c r="G55" s="35">
        <v>0</v>
      </c>
      <c r="H55" s="1" t="s">
        <v>233</v>
      </c>
    </row>
    <row r="56" spans="1:8" x14ac:dyDescent="0.2">
      <c r="A56" s="35">
        <v>2</v>
      </c>
      <c r="B56" s="35">
        <v>220200001</v>
      </c>
      <c r="C56" s="35">
        <v>202</v>
      </c>
      <c r="D56" s="35">
        <v>0</v>
      </c>
      <c r="E56" s="35">
        <v>-37</v>
      </c>
      <c r="F56" s="35">
        <v>0</v>
      </c>
      <c r="G56" s="35">
        <v>-28</v>
      </c>
      <c r="H56" s="1" t="s">
        <v>234</v>
      </c>
    </row>
    <row r="57" spans="1:8" x14ac:dyDescent="0.2">
      <c r="A57" s="35">
        <v>2</v>
      </c>
      <c r="B57" s="35">
        <v>220200002</v>
      </c>
      <c r="C57" s="35">
        <v>202</v>
      </c>
      <c r="D57" s="35">
        <v>0</v>
      </c>
      <c r="E57" s="35">
        <v>-50</v>
      </c>
      <c r="F57" s="35">
        <v>0</v>
      </c>
      <c r="G57" s="35">
        <v>-38</v>
      </c>
    </row>
    <row r="58" spans="1:8" x14ac:dyDescent="0.2">
      <c r="A58" s="35">
        <v>2</v>
      </c>
      <c r="B58" s="35">
        <v>220200003</v>
      </c>
      <c r="C58" s="35">
        <v>202</v>
      </c>
      <c r="D58" s="35">
        <v>0</v>
      </c>
      <c r="E58" s="35">
        <v>-37</v>
      </c>
      <c r="F58" s="35">
        <v>0</v>
      </c>
      <c r="G58" s="35">
        <v>-44</v>
      </c>
    </row>
    <row r="59" spans="1:8" x14ac:dyDescent="0.2">
      <c r="A59" s="35">
        <v>2</v>
      </c>
      <c r="B59" s="35">
        <v>220200004</v>
      </c>
      <c r="C59" s="35">
        <v>202</v>
      </c>
      <c r="D59" s="35">
        <v>0</v>
      </c>
      <c r="E59" s="35">
        <v>-37</v>
      </c>
      <c r="F59" s="35">
        <v>0</v>
      </c>
      <c r="G59" s="35">
        <v>-58</v>
      </c>
    </row>
    <row r="60" spans="1:8" x14ac:dyDescent="0.2">
      <c r="A60" s="35">
        <v>2</v>
      </c>
      <c r="B60" s="35">
        <v>220300001</v>
      </c>
      <c r="C60" s="35">
        <v>203</v>
      </c>
      <c r="D60" s="35">
        <v>0</v>
      </c>
      <c r="E60" s="35">
        <v>130</v>
      </c>
      <c r="F60" s="35">
        <v>-9</v>
      </c>
      <c r="G60" s="35">
        <v>-42</v>
      </c>
      <c r="H60" s="1" t="s">
        <v>235</v>
      </c>
    </row>
    <row r="61" spans="1:8" x14ac:dyDescent="0.2">
      <c r="A61" s="35">
        <v>2</v>
      </c>
      <c r="B61" s="35">
        <v>220300002</v>
      </c>
      <c r="C61" s="35">
        <v>203</v>
      </c>
      <c r="D61" s="35">
        <v>0</v>
      </c>
      <c r="E61" s="35">
        <v>145</v>
      </c>
      <c r="F61" s="35">
        <v>-9</v>
      </c>
      <c r="G61" s="35">
        <v>-42</v>
      </c>
    </row>
    <row r="62" spans="1:8" x14ac:dyDescent="0.2">
      <c r="A62" s="35">
        <v>2</v>
      </c>
      <c r="B62" s="35">
        <v>220400001</v>
      </c>
      <c r="C62" s="35">
        <v>204</v>
      </c>
      <c r="D62" s="35">
        <v>0</v>
      </c>
      <c r="E62" s="35">
        <v>41</v>
      </c>
      <c r="F62" s="35">
        <v>-9</v>
      </c>
      <c r="G62" s="35">
        <v>-114</v>
      </c>
      <c r="H62" s="1" t="s">
        <v>236</v>
      </c>
    </row>
    <row r="63" spans="1:8" x14ac:dyDescent="0.2">
      <c r="A63" s="35">
        <v>2</v>
      </c>
      <c r="B63" s="35">
        <v>220400002</v>
      </c>
      <c r="C63" s="35">
        <v>204</v>
      </c>
      <c r="D63" s="35">
        <v>0</v>
      </c>
      <c r="E63" s="35">
        <v>51</v>
      </c>
      <c r="F63" s="35">
        <v>-9</v>
      </c>
      <c r="G63" s="35">
        <v>-100</v>
      </c>
    </row>
    <row r="64" spans="1:8" x14ac:dyDescent="0.2">
      <c r="A64" s="35">
        <v>2</v>
      </c>
      <c r="B64" s="35">
        <v>220500001</v>
      </c>
      <c r="C64" s="35">
        <v>205</v>
      </c>
      <c r="D64" s="35">
        <v>0</v>
      </c>
      <c r="E64" s="35">
        <v>-89</v>
      </c>
      <c r="F64" s="35">
        <v>0</v>
      </c>
      <c r="G64" s="35">
        <v>-47</v>
      </c>
      <c r="H64" s="1" t="s">
        <v>237</v>
      </c>
    </row>
    <row r="65" spans="1:8" x14ac:dyDescent="0.2">
      <c r="A65" s="35">
        <v>2</v>
      </c>
      <c r="B65" s="35">
        <v>220500002</v>
      </c>
      <c r="C65" s="35">
        <v>205</v>
      </c>
      <c r="D65" s="35">
        <v>0</v>
      </c>
      <c r="E65" s="35">
        <v>-88</v>
      </c>
      <c r="F65" s="35">
        <v>0</v>
      </c>
      <c r="G65" s="35">
        <v>-23</v>
      </c>
    </row>
    <row r="66" spans="1:8" x14ac:dyDescent="0.2">
      <c r="A66" s="35">
        <v>2</v>
      </c>
      <c r="B66" s="35">
        <v>220600001</v>
      </c>
      <c r="C66" s="35">
        <v>206</v>
      </c>
      <c r="D66" s="35">
        <v>0</v>
      </c>
      <c r="E66" s="35">
        <v>48</v>
      </c>
      <c r="F66" s="17">
        <v>0</v>
      </c>
      <c r="G66" s="17">
        <v>48</v>
      </c>
      <c r="H66" s="1" t="s">
        <v>238</v>
      </c>
    </row>
    <row r="67" spans="1:8" x14ac:dyDescent="0.2">
      <c r="A67" s="35">
        <v>2</v>
      </c>
      <c r="B67" s="35">
        <v>220700001</v>
      </c>
      <c r="C67" s="35">
        <v>207</v>
      </c>
      <c r="D67" s="35">
        <v>0</v>
      </c>
      <c r="E67" s="17">
        <v>128</v>
      </c>
      <c r="F67" s="35">
        <v>-9</v>
      </c>
      <c r="G67" s="35">
        <v>-54</v>
      </c>
      <c r="H67" s="1" t="s">
        <v>239</v>
      </c>
    </row>
    <row r="68" spans="1:8" x14ac:dyDescent="0.2">
      <c r="A68" s="35">
        <v>2</v>
      </c>
      <c r="B68" s="35">
        <v>220700002</v>
      </c>
      <c r="C68" s="35">
        <v>207</v>
      </c>
      <c r="D68" s="35">
        <v>0</v>
      </c>
      <c r="E68" s="35">
        <v>132</v>
      </c>
      <c r="F68" s="35">
        <v>-9</v>
      </c>
      <c r="G68" s="35">
        <v>-91</v>
      </c>
    </row>
    <row r="69" spans="1:8" x14ac:dyDescent="0.2">
      <c r="A69" s="35">
        <v>2</v>
      </c>
      <c r="B69" s="35">
        <v>220700003</v>
      </c>
      <c r="C69" s="35">
        <v>207</v>
      </c>
      <c r="D69" s="35">
        <v>0</v>
      </c>
      <c r="E69" s="35">
        <v>115</v>
      </c>
      <c r="F69" s="35">
        <v>-9</v>
      </c>
      <c r="G69" s="35">
        <v>-53</v>
      </c>
    </row>
    <row r="70" spans="1:8" x14ac:dyDescent="0.2">
      <c r="A70" s="35">
        <v>2</v>
      </c>
      <c r="B70" s="35">
        <v>220700004</v>
      </c>
      <c r="C70" s="35">
        <v>207</v>
      </c>
      <c r="D70" s="35">
        <v>0</v>
      </c>
      <c r="E70" s="35">
        <v>141</v>
      </c>
      <c r="F70" s="35">
        <v>-9</v>
      </c>
      <c r="G70" s="35">
        <v>-54</v>
      </c>
    </row>
    <row r="71" spans="1:8" x14ac:dyDescent="0.2">
      <c r="A71" s="35">
        <v>2</v>
      </c>
      <c r="B71" s="35">
        <v>220800001</v>
      </c>
      <c r="C71" s="35">
        <v>208</v>
      </c>
      <c r="D71" s="35">
        <v>0</v>
      </c>
      <c r="E71" s="35">
        <v>-69</v>
      </c>
      <c r="F71" s="35">
        <v>13</v>
      </c>
      <c r="G71" s="35">
        <v>78</v>
      </c>
      <c r="H71" s="1" t="s">
        <v>240</v>
      </c>
    </row>
    <row r="72" spans="1:8" x14ac:dyDescent="0.2">
      <c r="A72" s="35">
        <v>2</v>
      </c>
      <c r="B72" s="35">
        <v>220900001</v>
      </c>
      <c r="C72" s="35">
        <v>209</v>
      </c>
      <c r="D72" s="35">
        <v>0</v>
      </c>
      <c r="E72" s="35">
        <v>45</v>
      </c>
      <c r="F72" s="35">
        <v>0</v>
      </c>
      <c r="G72" s="35">
        <v>18</v>
      </c>
      <c r="H72" s="1" t="s">
        <v>241</v>
      </c>
    </row>
    <row r="73" spans="1:8" x14ac:dyDescent="0.2">
      <c r="A73" s="35">
        <v>2</v>
      </c>
      <c r="B73" s="35">
        <v>221100001</v>
      </c>
      <c r="C73" s="35">
        <v>211</v>
      </c>
      <c r="D73" s="35">
        <v>0</v>
      </c>
      <c r="E73" s="35">
        <v>21</v>
      </c>
      <c r="F73" s="35">
        <v>0</v>
      </c>
      <c r="G73" s="35">
        <v>-37</v>
      </c>
      <c r="H73" s="1" t="s">
        <v>242</v>
      </c>
    </row>
    <row r="74" spans="1:8" x14ac:dyDescent="0.2">
      <c r="A74" s="35">
        <v>2</v>
      </c>
      <c r="B74" s="35">
        <v>221200001</v>
      </c>
      <c r="C74" s="35">
        <v>212</v>
      </c>
      <c r="D74" s="35">
        <v>0</v>
      </c>
      <c r="E74" s="35">
        <v>109.5</v>
      </c>
      <c r="F74" s="35">
        <v>-4.5999999999999996</v>
      </c>
      <c r="G74" s="35">
        <v>69</v>
      </c>
      <c r="H74" s="1" t="s">
        <v>243</v>
      </c>
    </row>
    <row r="75" spans="1:8" x14ac:dyDescent="0.2">
      <c r="A75" s="35">
        <v>2</v>
      </c>
      <c r="B75" s="35">
        <v>221300001</v>
      </c>
      <c r="C75" s="35">
        <v>213</v>
      </c>
      <c r="D75" s="35">
        <v>0</v>
      </c>
      <c r="E75" s="35">
        <v>16</v>
      </c>
      <c r="F75" s="35">
        <v>-18.5</v>
      </c>
      <c r="G75" s="35">
        <v>130</v>
      </c>
      <c r="H75" s="1" t="s">
        <v>244</v>
      </c>
    </row>
    <row r="76" spans="1:8" x14ac:dyDescent="0.2">
      <c r="A76" s="35">
        <v>2</v>
      </c>
      <c r="B76" s="35">
        <v>221500001</v>
      </c>
      <c r="C76" s="35">
        <v>215</v>
      </c>
      <c r="D76" s="35">
        <v>0</v>
      </c>
      <c r="E76" s="35">
        <v>99</v>
      </c>
      <c r="F76" s="35">
        <v>0</v>
      </c>
      <c r="G76" s="35">
        <v>1</v>
      </c>
      <c r="H76" s="1" t="s">
        <v>245</v>
      </c>
    </row>
    <row r="77" spans="1:8" x14ac:dyDescent="0.2">
      <c r="A77" s="35">
        <v>2</v>
      </c>
      <c r="B77" s="35">
        <v>222200001</v>
      </c>
      <c r="C77" s="35">
        <v>222</v>
      </c>
      <c r="D77" s="35">
        <v>0</v>
      </c>
      <c r="E77" s="35">
        <v>48</v>
      </c>
      <c r="F77" s="35">
        <v>0</v>
      </c>
      <c r="G77" s="35">
        <v>-16</v>
      </c>
      <c r="H77" s="1" t="s">
        <v>246</v>
      </c>
    </row>
    <row r="78" spans="1:8" x14ac:dyDescent="0.2">
      <c r="A78" s="35">
        <v>2</v>
      </c>
      <c r="B78" s="35">
        <v>222400001</v>
      </c>
      <c r="C78" s="35">
        <v>224</v>
      </c>
      <c r="D78" s="35">
        <v>0</v>
      </c>
      <c r="E78" s="35">
        <v>72</v>
      </c>
      <c r="F78" s="35">
        <v>0</v>
      </c>
      <c r="G78" s="35">
        <v>18</v>
      </c>
      <c r="H78" s="1" t="s">
        <v>247</v>
      </c>
    </row>
    <row r="79" spans="1:8" x14ac:dyDescent="0.2">
      <c r="A79" s="35">
        <v>2</v>
      </c>
      <c r="B79" s="35">
        <v>222600001</v>
      </c>
      <c r="C79" s="35">
        <v>226</v>
      </c>
      <c r="D79" s="35">
        <v>0</v>
      </c>
      <c r="E79" s="35">
        <v>-22</v>
      </c>
      <c r="F79" s="35">
        <v>3</v>
      </c>
      <c r="G79" s="35">
        <v>69</v>
      </c>
      <c r="H79" s="1" t="s">
        <v>248</v>
      </c>
    </row>
    <row r="80" spans="1:8" x14ac:dyDescent="0.2">
      <c r="A80" s="35">
        <v>2</v>
      </c>
      <c r="B80" s="35">
        <v>222700001</v>
      </c>
      <c r="C80" s="35">
        <v>227</v>
      </c>
      <c r="D80" s="35">
        <v>0</v>
      </c>
      <c r="E80" s="35">
        <v>162</v>
      </c>
      <c r="F80" s="35">
        <v>-9</v>
      </c>
      <c r="G80" s="35">
        <v>14</v>
      </c>
      <c r="H80" s="1" t="s">
        <v>249</v>
      </c>
    </row>
    <row r="81" spans="1:8" x14ac:dyDescent="0.2">
      <c r="A81" s="35">
        <v>2</v>
      </c>
      <c r="B81" s="35">
        <v>222700002</v>
      </c>
      <c r="C81" s="35">
        <v>227</v>
      </c>
      <c r="D81" s="35">
        <v>0</v>
      </c>
      <c r="E81" s="35">
        <v>162</v>
      </c>
      <c r="F81" s="35">
        <v>-9</v>
      </c>
      <c r="G81" s="35">
        <v>-15</v>
      </c>
    </row>
    <row r="82" spans="1:8" x14ac:dyDescent="0.2">
      <c r="A82" s="35">
        <v>2</v>
      </c>
      <c r="B82" s="35">
        <v>223000001</v>
      </c>
      <c r="C82" s="35">
        <v>230</v>
      </c>
      <c r="D82" s="35">
        <v>0</v>
      </c>
      <c r="E82" s="35">
        <v>30</v>
      </c>
      <c r="F82" s="35">
        <v>0</v>
      </c>
      <c r="G82" s="35">
        <v>-16</v>
      </c>
      <c r="H82" s="1" t="s">
        <v>250</v>
      </c>
    </row>
    <row r="83" spans="1:8" x14ac:dyDescent="0.2">
      <c r="A83" s="35">
        <v>2</v>
      </c>
      <c r="B83" s="35">
        <v>223100001</v>
      </c>
      <c r="C83" s="35">
        <v>231</v>
      </c>
      <c r="D83" s="35">
        <v>0</v>
      </c>
      <c r="E83" s="35">
        <v>-10</v>
      </c>
      <c r="F83" s="35">
        <v>0</v>
      </c>
      <c r="G83" s="35">
        <v>-40</v>
      </c>
      <c r="H83" s="1" t="s">
        <v>251</v>
      </c>
    </row>
    <row r="84" spans="1:8" x14ac:dyDescent="0.2">
      <c r="A84" s="35">
        <v>2</v>
      </c>
      <c r="B84" s="35">
        <v>223200001</v>
      </c>
      <c r="C84" s="35">
        <v>232</v>
      </c>
      <c r="D84" s="35">
        <v>0</v>
      </c>
      <c r="E84" s="35">
        <v>72</v>
      </c>
      <c r="F84" s="35">
        <v>0</v>
      </c>
      <c r="G84" s="35">
        <v>48</v>
      </c>
      <c r="H84" s="1" t="s">
        <v>252</v>
      </c>
    </row>
    <row r="85" spans="1:8" x14ac:dyDescent="0.2">
      <c r="A85" s="35">
        <v>2</v>
      </c>
      <c r="B85" s="35">
        <v>223500001</v>
      </c>
      <c r="C85" s="35">
        <v>235</v>
      </c>
      <c r="D85" s="35">
        <v>0</v>
      </c>
      <c r="E85" s="35">
        <v>-57</v>
      </c>
      <c r="F85" s="35">
        <v>5</v>
      </c>
      <c r="G85" s="35">
        <v>6</v>
      </c>
      <c r="H85" s="1" t="s">
        <v>253</v>
      </c>
    </row>
    <row r="86" spans="1:8" x14ac:dyDescent="0.2">
      <c r="A86" s="35">
        <v>2</v>
      </c>
      <c r="B86" s="35">
        <v>223600001</v>
      </c>
      <c r="C86" s="35">
        <v>236</v>
      </c>
      <c r="D86" s="35">
        <v>0</v>
      </c>
      <c r="E86" s="35">
        <v>-35</v>
      </c>
      <c r="F86" s="35">
        <v>5</v>
      </c>
      <c r="G86" s="35">
        <v>6</v>
      </c>
      <c r="H86" s="1" t="s">
        <v>254</v>
      </c>
    </row>
    <row r="87" spans="1:8" x14ac:dyDescent="0.2">
      <c r="A87" s="35">
        <v>2</v>
      </c>
      <c r="B87" s="35">
        <v>223700001</v>
      </c>
      <c r="C87" s="35">
        <v>237</v>
      </c>
      <c r="D87" s="35">
        <v>0</v>
      </c>
      <c r="E87" s="35">
        <v>63</v>
      </c>
      <c r="F87" s="35">
        <v>0</v>
      </c>
      <c r="G87" s="35">
        <v>-40</v>
      </c>
      <c r="H87" s="1" t="s">
        <v>255</v>
      </c>
    </row>
    <row r="88" spans="1:8" x14ac:dyDescent="0.2">
      <c r="A88" s="35">
        <v>2</v>
      </c>
      <c r="B88" s="35">
        <v>230000001</v>
      </c>
      <c r="C88" s="35">
        <v>300</v>
      </c>
      <c r="D88" s="35">
        <v>0</v>
      </c>
      <c r="E88" s="35">
        <v>80</v>
      </c>
      <c r="F88" s="35">
        <v>-9</v>
      </c>
      <c r="G88" s="35">
        <v>106</v>
      </c>
      <c r="H88" s="1" t="s">
        <v>256</v>
      </c>
    </row>
    <row r="89" spans="1:8" x14ac:dyDescent="0.2">
      <c r="A89" s="35">
        <v>2</v>
      </c>
      <c r="B89" s="35">
        <v>240000001</v>
      </c>
      <c r="C89" s="35">
        <v>400</v>
      </c>
      <c r="D89" s="35">
        <v>0</v>
      </c>
      <c r="E89" s="35">
        <v>-18</v>
      </c>
      <c r="F89" s="35">
        <v>0</v>
      </c>
      <c r="G89" s="35">
        <v>-63</v>
      </c>
      <c r="H89" s="1" t="s">
        <v>257</v>
      </c>
    </row>
    <row r="90" spans="1:8" x14ac:dyDescent="0.2">
      <c r="A90" s="35">
        <v>2</v>
      </c>
      <c r="B90" s="35">
        <v>240400001</v>
      </c>
      <c r="C90" s="35">
        <v>404</v>
      </c>
      <c r="D90" s="35">
        <v>0</v>
      </c>
      <c r="E90" s="35">
        <v>181.17</v>
      </c>
      <c r="F90" s="35">
        <v>0</v>
      </c>
      <c r="G90" s="35">
        <v>75.650000000000006</v>
      </c>
      <c r="H90" s="1" t="s">
        <v>258</v>
      </c>
    </row>
    <row r="91" spans="1:8" x14ac:dyDescent="0.2">
      <c r="A91" s="35">
        <v>3</v>
      </c>
      <c r="B91" s="35">
        <v>220100001</v>
      </c>
      <c r="C91" s="35">
        <v>201</v>
      </c>
      <c r="D91" s="35">
        <v>0</v>
      </c>
      <c r="E91" s="35">
        <v>0</v>
      </c>
      <c r="F91" s="35">
        <v>0</v>
      </c>
      <c r="G91" s="35">
        <v>0</v>
      </c>
      <c r="H91" s="1" t="s">
        <v>233</v>
      </c>
    </row>
    <row r="92" spans="1:8" x14ac:dyDescent="0.2">
      <c r="A92" s="35">
        <v>3</v>
      </c>
      <c r="B92" s="35">
        <v>220200001</v>
      </c>
      <c r="C92" s="35">
        <v>202</v>
      </c>
      <c r="D92" s="35">
        <v>0</v>
      </c>
      <c r="E92" s="35">
        <v>-37</v>
      </c>
      <c r="F92" s="35">
        <v>0</v>
      </c>
      <c r="G92" s="35">
        <v>-28</v>
      </c>
      <c r="H92" s="1" t="s">
        <v>234</v>
      </c>
    </row>
    <row r="93" spans="1:8" x14ac:dyDescent="0.2">
      <c r="A93" s="35">
        <v>3</v>
      </c>
      <c r="B93" s="35">
        <v>220200002</v>
      </c>
      <c r="C93" s="35">
        <v>202</v>
      </c>
      <c r="D93" s="35">
        <v>0</v>
      </c>
      <c r="E93" s="35">
        <v>-50</v>
      </c>
      <c r="F93" s="35">
        <v>0</v>
      </c>
      <c r="G93" s="35">
        <v>-38</v>
      </c>
    </row>
    <row r="94" spans="1:8" x14ac:dyDescent="0.2">
      <c r="A94" s="35">
        <v>3</v>
      </c>
      <c r="B94" s="35">
        <v>220200003</v>
      </c>
      <c r="C94" s="35">
        <v>202</v>
      </c>
      <c r="D94" s="35">
        <v>0</v>
      </c>
      <c r="E94" s="35">
        <v>-37</v>
      </c>
      <c r="F94" s="35">
        <v>0</v>
      </c>
      <c r="G94" s="35">
        <v>-44</v>
      </c>
    </row>
    <row r="95" spans="1:8" x14ac:dyDescent="0.2">
      <c r="A95" s="35">
        <v>3</v>
      </c>
      <c r="B95" s="35">
        <v>220200004</v>
      </c>
      <c r="C95" s="35">
        <v>202</v>
      </c>
      <c r="D95" s="35">
        <v>0</v>
      </c>
      <c r="E95" s="35">
        <v>-37</v>
      </c>
      <c r="F95" s="35">
        <v>0</v>
      </c>
      <c r="G95" s="35">
        <v>-58</v>
      </c>
    </row>
    <row r="96" spans="1:8" x14ac:dyDescent="0.2">
      <c r="A96" s="35">
        <v>3</v>
      </c>
      <c r="B96" s="35">
        <v>220300001</v>
      </c>
      <c r="C96" s="35">
        <v>203</v>
      </c>
      <c r="D96" s="35">
        <v>0</v>
      </c>
      <c r="E96" s="35">
        <v>130</v>
      </c>
      <c r="F96" s="35">
        <v>-9</v>
      </c>
      <c r="G96" s="35">
        <v>-42</v>
      </c>
      <c r="H96" s="1" t="s">
        <v>235</v>
      </c>
    </row>
    <row r="97" spans="1:8" x14ac:dyDescent="0.2">
      <c r="A97" s="35">
        <v>3</v>
      </c>
      <c r="B97" s="35">
        <v>220300002</v>
      </c>
      <c r="C97" s="35">
        <v>203</v>
      </c>
      <c r="D97" s="35">
        <v>0</v>
      </c>
      <c r="E97" s="35">
        <v>145</v>
      </c>
      <c r="F97" s="17">
        <v>-9</v>
      </c>
      <c r="G97" s="17">
        <v>-42</v>
      </c>
    </row>
    <row r="98" spans="1:8" x14ac:dyDescent="0.2">
      <c r="A98" s="35">
        <v>3</v>
      </c>
      <c r="B98" s="35">
        <v>220300003</v>
      </c>
      <c r="C98" s="35">
        <v>203</v>
      </c>
      <c r="D98" s="35">
        <v>0</v>
      </c>
      <c r="E98" s="17">
        <v>95</v>
      </c>
      <c r="F98" s="35">
        <v>-9</v>
      </c>
      <c r="G98" s="35">
        <v>-91</v>
      </c>
    </row>
    <row r="99" spans="1:8" x14ac:dyDescent="0.2">
      <c r="A99" s="35">
        <v>3</v>
      </c>
      <c r="B99" s="35">
        <v>220400001</v>
      </c>
      <c r="C99" s="35">
        <v>204</v>
      </c>
      <c r="D99" s="35">
        <v>0</v>
      </c>
      <c r="E99" s="35">
        <v>41</v>
      </c>
      <c r="F99" s="35">
        <v>-9</v>
      </c>
      <c r="G99" s="35">
        <v>-114</v>
      </c>
      <c r="H99" s="1" t="s">
        <v>236</v>
      </c>
    </row>
    <row r="100" spans="1:8" x14ac:dyDescent="0.2">
      <c r="A100" s="35">
        <v>3</v>
      </c>
      <c r="B100" s="35">
        <v>220400002</v>
      </c>
      <c r="C100" s="35">
        <v>204</v>
      </c>
      <c r="D100" s="35">
        <v>0</v>
      </c>
      <c r="E100" s="35">
        <v>51</v>
      </c>
      <c r="F100" s="35">
        <v>-9</v>
      </c>
      <c r="G100" s="35">
        <v>-100</v>
      </c>
    </row>
    <row r="101" spans="1:8" x14ac:dyDescent="0.2">
      <c r="A101" s="35">
        <v>3</v>
      </c>
      <c r="B101" s="35">
        <v>220400003</v>
      </c>
      <c r="C101" s="35">
        <v>204</v>
      </c>
      <c r="D101" s="35">
        <v>0</v>
      </c>
      <c r="E101" s="35">
        <v>64</v>
      </c>
      <c r="F101" s="35">
        <v>-9</v>
      </c>
      <c r="G101" s="35">
        <v>-114</v>
      </c>
    </row>
    <row r="102" spans="1:8" x14ac:dyDescent="0.2">
      <c r="A102" s="35">
        <v>3</v>
      </c>
      <c r="B102" s="35">
        <v>220500001</v>
      </c>
      <c r="C102" s="35">
        <v>205</v>
      </c>
      <c r="D102" s="35">
        <v>0</v>
      </c>
      <c r="E102" s="35">
        <v>-89</v>
      </c>
      <c r="F102" s="35">
        <v>0</v>
      </c>
      <c r="G102" s="35">
        <v>-47</v>
      </c>
      <c r="H102" s="1" t="s">
        <v>237</v>
      </c>
    </row>
    <row r="103" spans="1:8" x14ac:dyDescent="0.2">
      <c r="A103" s="35">
        <v>3</v>
      </c>
      <c r="B103" s="35">
        <v>220500002</v>
      </c>
      <c r="C103" s="35">
        <v>205</v>
      </c>
      <c r="D103" s="35">
        <v>0</v>
      </c>
      <c r="E103" s="35">
        <v>-88</v>
      </c>
      <c r="F103" s="35">
        <v>0</v>
      </c>
      <c r="G103" s="35">
        <v>-23</v>
      </c>
    </row>
    <row r="104" spans="1:8" x14ac:dyDescent="0.2">
      <c r="A104" s="35">
        <v>3</v>
      </c>
      <c r="B104" s="35">
        <v>220600001</v>
      </c>
      <c r="C104" s="35">
        <v>206</v>
      </c>
      <c r="D104" s="35">
        <v>0</v>
      </c>
      <c r="E104" s="35">
        <v>48</v>
      </c>
      <c r="F104" s="35">
        <v>0</v>
      </c>
      <c r="G104" s="35">
        <v>48</v>
      </c>
      <c r="H104" s="1" t="s">
        <v>238</v>
      </c>
    </row>
    <row r="105" spans="1:8" x14ac:dyDescent="0.2">
      <c r="A105" s="35">
        <v>3</v>
      </c>
      <c r="B105" s="35">
        <v>220700001</v>
      </c>
      <c r="C105" s="35">
        <v>207</v>
      </c>
      <c r="D105" s="35">
        <v>0</v>
      </c>
      <c r="E105" s="35">
        <v>128</v>
      </c>
      <c r="F105" s="35">
        <v>-9</v>
      </c>
      <c r="G105" s="35">
        <v>-54</v>
      </c>
      <c r="H105" s="1" t="s">
        <v>239</v>
      </c>
    </row>
    <row r="106" spans="1:8" x14ac:dyDescent="0.2">
      <c r="A106" s="35">
        <v>3</v>
      </c>
      <c r="B106" s="35">
        <v>220700002</v>
      </c>
      <c r="C106" s="35">
        <v>207</v>
      </c>
      <c r="D106" s="35">
        <v>0</v>
      </c>
      <c r="E106" s="35">
        <v>132</v>
      </c>
      <c r="F106" s="35">
        <v>-9</v>
      </c>
      <c r="G106" s="35">
        <v>-91</v>
      </c>
    </row>
    <row r="107" spans="1:8" x14ac:dyDescent="0.2">
      <c r="A107" s="35">
        <v>3</v>
      </c>
      <c r="B107" s="35">
        <v>220700003</v>
      </c>
      <c r="C107" s="35">
        <v>207</v>
      </c>
      <c r="D107" s="35">
        <v>0</v>
      </c>
      <c r="E107" s="35">
        <v>115</v>
      </c>
      <c r="F107" s="35">
        <v>-9</v>
      </c>
      <c r="G107" s="35">
        <v>-53</v>
      </c>
    </row>
    <row r="108" spans="1:8" x14ac:dyDescent="0.2">
      <c r="A108" s="35">
        <v>3</v>
      </c>
      <c r="B108" s="35">
        <v>220700004</v>
      </c>
      <c r="C108" s="35">
        <v>207</v>
      </c>
      <c r="D108" s="35">
        <v>0</v>
      </c>
      <c r="E108" s="35">
        <v>141</v>
      </c>
      <c r="F108" s="35">
        <v>-9</v>
      </c>
      <c r="G108" s="35">
        <v>-54</v>
      </c>
    </row>
    <row r="109" spans="1:8" x14ac:dyDescent="0.2">
      <c r="A109" s="35">
        <v>3</v>
      </c>
      <c r="B109" s="35">
        <v>220700005</v>
      </c>
      <c r="C109" s="35">
        <v>207</v>
      </c>
      <c r="D109" s="35">
        <v>0</v>
      </c>
      <c r="E109" s="35">
        <v>104</v>
      </c>
      <c r="F109" s="35">
        <v>-9</v>
      </c>
      <c r="G109" s="35">
        <v>-66</v>
      </c>
    </row>
    <row r="110" spans="1:8" x14ac:dyDescent="0.2">
      <c r="A110" s="35">
        <v>3</v>
      </c>
      <c r="B110" s="35">
        <v>220700006</v>
      </c>
      <c r="C110" s="35">
        <v>207</v>
      </c>
      <c r="D110" s="35">
        <v>0</v>
      </c>
      <c r="E110" s="35">
        <v>141</v>
      </c>
      <c r="F110" s="35">
        <v>-9</v>
      </c>
      <c r="G110" s="35">
        <v>-67</v>
      </c>
    </row>
    <row r="111" spans="1:8" x14ac:dyDescent="0.2">
      <c r="A111" s="35">
        <v>3</v>
      </c>
      <c r="B111" s="35">
        <v>220700007</v>
      </c>
      <c r="C111" s="35">
        <v>207</v>
      </c>
      <c r="D111" s="35">
        <v>0</v>
      </c>
      <c r="E111" s="35">
        <v>132</v>
      </c>
      <c r="F111" s="35">
        <v>-9</v>
      </c>
      <c r="G111" s="35">
        <v>-79</v>
      </c>
    </row>
    <row r="112" spans="1:8" x14ac:dyDescent="0.2">
      <c r="A112" s="35">
        <v>3</v>
      </c>
      <c r="B112" s="35">
        <v>220700008</v>
      </c>
      <c r="C112" s="35">
        <v>207</v>
      </c>
      <c r="D112" s="35">
        <v>0</v>
      </c>
      <c r="E112" s="35">
        <v>107</v>
      </c>
      <c r="F112" s="35">
        <v>-9</v>
      </c>
      <c r="G112" s="35">
        <v>-91</v>
      </c>
    </row>
    <row r="113" spans="1:61" x14ac:dyDescent="0.2">
      <c r="A113" s="35">
        <v>3</v>
      </c>
      <c r="B113" s="35">
        <v>220800001</v>
      </c>
      <c r="C113" s="35">
        <v>208</v>
      </c>
      <c r="D113" s="35">
        <v>0</v>
      </c>
      <c r="E113" s="35">
        <v>-69</v>
      </c>
      <c r="F113" s="35">
        <v>13</v>
      </c>
      <c r="G113" s="35">
        <v>78</v>
      </c>
      <c r="H113" s="1" t="s">
        <v>240</v>
      </c>
    </row>
    <row r="114" spans="1:61" x14ac:dyDescent="0.2">
      <c r="A114" s="35">
        <v>3</v>
      </c>
      <c r="B114" s="35">
        <v>220900001</v>
      </c>
      <c r="C114" s="35">
        <v>209</v>
      </c>
      <c r="D114" s="35">
        <v>0</v>
      </c>
      <c r="E114" s="35">
        <v>45</v>
      </c>
      <c r="F114" s="35">
        <v>0</v>
      </c>
      <c r="G114" s="35">
        <v>18</v>
      </c>
      <c r="H114" s="1" t="s">
        <v>241</v>
      </c>
      <c r="Y114" s="35" t="s">
        <v>259</v>
      </c>
      <c r="Z114" s="35" t="s">
        <v>260</v>
      </c>
      <c r="AA114" s="35" t="s">
        <v>261</v>
      </c>
      <c r="AB114" s="35" t="s">
        <v>262</v>
      </c>
      <c r="AC114" s="35" t="s">
        <v>263</v>
      </c>
      <c r="AD114" s="35" t="s">
        <v>264</v>
      </c>
      <c r="AE114" s="35" t="s">
        <v>265</v>
      </c>
      <c r="AF114" s="35" t="s">
        <v>266</v>
      </c>
      <c r="AG114" s="35" t="s">
        <v>267</v>
      </c>
      <c r="AH114" s="35" t="s">
        <v>268</v>
      </c>
      <c r="AI114" s="35" t="s">
        <v>269</v>
      </c>
      <c r="AJ114" s="35" t="s">
        <v>270</v>
      </c>
      <c r="AK114" s="35" t="s">
        <v>271</v>
      </c>
      <c r="AL114" s="35" t="s">
        <v>272</v>
      </c>
      <c r="AM114" s="35" t="s">
        <v>273</v>
      </c>
      <c r="AN114" s="35" t="s">
        <v>274</v>
      </c>
      <c r="AO114" s="35" t="s">
        <v>275</v>
      </c>
      <c r="AP114" s="35" t="s">
        <v>276</v>
      </c>
      <c r="AQ114" s="35" t="s">
        <v>277</v>
      </c>
      <c r="AR114" s="35" t="s">
        <v>278</v>
      </c>
      <c r="AS114" s="35" t="s">
        <v>279</v>
      </c>
      <c r="AT114" s="35" t="s">
        <v>280</v>
      </c>
      <c r="AU114" s="35" t="s">
        <v>281</v>
      </c>
      <c r="AV114" s="35" t="s">
        <v>282</v>
      </c>
      <c r="AW114" s="35" t="s">
        <v>283</v>
      </c>
      <c r="AX114" s="35" t="s">
        <v>284</v>
      </c>
      <c r="AY114" s="35" t="s">
        <v>285</v>
      </c>
      <c r="AZ114" s="35" t="s">
        <v>286</v>
      </c>
      <c r="BA114" s="35" t="s">
        <v>287</v>
      </c>
      <c r="BB114" s="35" t="s">
        <v>288</v>
      </c>
      <c r="BC114" s="35" t="s">
        <v>289</v>
      </c>
      <c r="BD114" s="35" t="s">
        <v>290</v>
      </c>
      <c r="BE114" s="35" t="s">
        <v>291</v>
      </c>
      <c r="BF114" s="35" t="s">
        <v>292</v>
      </c>
      <c r="BG114" s="35" t="s">
        <v>293</v>
      </c>
      <c r="BH114" s="35" t="s">
        <v>294</v>
      </c>
      <c r="BI114" s="35" t="s">
        <v>295</v>
      </c>
    </row>
    <row r="115" spans="1:61" x14ac:dyDescent="0.2">
      <c r="A115" s="35">
        <v>3</v>
      </c>
      <c r="B115" s="35">
        <v>221100001</v>
      </c>
      <c r="C115" s="35">
        <v>211</v>
      </c>
      <c r="D115" s="35">
        <v>0</v>
      </c>
      <c r="E115" s="35">
        <v>21</v>
      </c>
      <c r="F115" s="35">
        <v>0</v>
      </c>
      <c r="G115" s="35">
        <v>-37</v>
      </c>
      <c r="H115" s="1" t="s">
        <v>242</v>
      </c>
    </row>
    <row r="116" spans="1:61" x14ac:dyDescent="0.2">
      <c r="A116" s="35">
        <v>3</v>
      </c>
      <c r="B116" s="35">
        <v>221200001</v>
      </c>
      <c r="C116" s="35">
        <v>212</v>
      </c>
      <c r="D116" s="35">
        <v>0</v>
      </c>
      <c r="E116" s="35">
        <v>109.5</v>
      </c>
      <c r="F116" s="35">
        <v>-4.5999999999999996</v>
      </c>
      <c r="G116" s="35">
        <v>69</v>
      </c>
      <c r="H116" s="1" t="s">
        <v>243</v>
      </c>
    </row>
    <row r="117" spans="1:61" x14ac:dyDescent="0.2">
      <c r="A117" s="35">
        <v>3</v>
      </c>
      <c r="B117" s="35">
        <v>221300001</v>
      </c>
      <c r="C117" s="35">
        <v>213</v>
      </c>
      <c r="D117" s="35">
        <v>0</v>
      </c>
      <c r="E117" s="35">
        <v>16</v>
      </c>
      <c r="F117" s="35">
        <v>-18.5</v>
      </c>
      <c r="G117" s="35">
        <v>130</v>
      </c>
      <c r="H117" s="1" t="s">
        <v>244</v>
      </c>
    </row>
    <row r="118" spans="1:61" x14ac:dyDescent="0.2">
      <c r="A118" s="35">
        <v>3</v>
      </c>
      <c r="B118" s="35">
        <v>221500001</v>
      </c>
      <c r="C118" s="35">
        <v>215</v>
      </c>
      <c r="D118" s="35">
        <v>0</v>
      </c>
      <c r="E118" s="35">
        <v>99</v>
      </c>
      <c r="F118" s="35">
        <v>0</v>
      </c>
      <c r="G118" s="35">
        <v>1</v>
      </c>
      <c r="H118" s="1" t="s">
        <v>245</v>
      </c>
    </row>
    <row r="119" spans="1:61" x14ac:dyDescent="0.2">
      <c r="A119" s="35">
        <v>3</v>
      </c>
      <c r="B119" s="35">
        <v>222200001</v>
      </c>
      <c r="C119" s="35">
        <v>222</v>
      </c>
      <c r="D119" s="35">
        <v>0</v>
      </c>
      <c r="E119" s="35">
        <v>48</v>
      </c>
      <c r="F119" s="35">
        <v>0</v>
      </c>
      <c r="G119" s="35">
        <v>-16</v>
      </c>
      <c r="H119" s="1" t="s">
        <v>246</v>
      </c>
    </row>
    <row r="120" spans="1:61" x14ac:dyDescent="0.2">
      <c r="A120" s="35">
        <v>3</v>
      </c>
      <c r="B120" s="35">
        <v>222400001</v>
      </c>
      <c r="C120" s="35">
        <v>224</v>
      </c>
      <c r="D120" s="35">
        <v>0</v>
      </c>
      <c r="E120" s="35">
        <v>72</v>
      </c>
      <c r="F120" s="35">
        <v>0</v>
      </c>
      <c r="G120" s="35">
        <v>18</v>
      </c>
      <c r="H120" s="1" t="s">
        <v>247</v>
      </c>
    </row>
    <row r="121" spans="1:61" x14ac:dyDescent="0.2">
      <c r="A121" s="35">
        <v>3</v>
      </c>
      <c r="B121" s="35">
        <v>222600001</v>
      </c>
      <c r="C121" s="35">
        <v>226</v>
      </c>
      <c r="D121" s="35">
        <v>0</v>
      </c>
      <c r="E121" s="35">
        <v>-22</v>
      </c>
      <c r="F121" s="35">
        <v>3</v>
      </c>
      <c r="G121" s="35">
        <v>69</v>
      </c>
      <c r="H121" s="1" t="s">
        <v>248</v>
      </c>
    </row>
    <row r="122" spans="1:61" x14ac:dyDescent="0.2">
      <c r="A122" s="35">
        <v>3</v>
      </c>
      <c r="B122" s="35">
        <v>222700001</v>
      </c>
      <c r="C122" s="35">
        <v>227</v>
      </c>
      <c r="D122" s="35">
        <v>0</v>
      </c>
      <c r="E122" s="35">
        <v>162</v>
      </c>
      <c r="F122" s="35">
        <v>-9</v>
      </c>
      <c r="G122" s="35">
        <v>14</v>
      </c>
      <c r="H122" s="1" t="s">
        <v>249</v>
      </c>
    </row>
    <row r="123" spans="1:61" x14ac:dyDescent="0.2">
      <c r="A123" s="35">
        <v>3</v>
      </c>
      <c r="B123" s="35">
        <v>222700002</v>
      </c>
      <c r="C123" s="35">
        <v>227</v>
      </c>
      <c r="D123" s="35">
        <v>0</v>
      </c>
      <c r="E123" s="35">
        <v>162</v>
      </c>
      <c r="F123" s="35">
        <v>-9</v>
      </c>
      <c r="G123" s="35">
        <v>-15</v>
      </c>
    </row>
    <row r="124" spans="1:61" x14ac:dyDescent="0.2">
      <c r="A124" s="35">
        <v>3</v>
      </c>
      <c r="B124" s="35">
        <v>222900001</v>
      </c>
      <c r="C124" s="35">
        <v>229</v>
      </c>
      <c r="D124" s="35">
        <v>0</v>
      </c>
      <c r="E124" s="35">
        <v>27</v>
      </c>
      <c r="F124" s="35">
        <v>0</v>
      </c>
      <c r="G124" s="35">
        <v>36</v>
      </c>
      <c r="H124" s="1" t="s">
        <v>296</v>
      </c>
    </row>
    <row r="125" spans="1:61" x14ac:dyDescent="0.2">
      <c r="A125" s="35">
        <v>3</v>
      </c>
      <c r="B125" s="35">
        <v>223000001</v>
      </c>
      <c r="C125" s="35">
        <v>230</v>
      </c>
      <c r="D125" s="35">
        <v>0</v>
      </c>
      <c r="E125" s="35">
        <v>30</v>
      </c>
      <c r="F125" s="35">
        <v>0</v>
      </c>
      <c r="G125" s="35">
        <v>-16</v>
      </c>
      <c r="H125" s="1" t="s">
        <v>250</v>
      </c>
    </row>
    <row r="126" spans="1:61" x14ac:dyDescent="0.2">
      <c r="A126" s="35">
        <v>3</v>
      </c>
      <c r="B126" s="35">
        <v>223100001</v>
      </c>
      <c r="C126" s="35">
        <v>231</v>
      </c>
      <c r="D126" s="35">
        <v>0</v>
      </c>
      <c r="E126" s="35">
        <v>-10</v>
      </c>
      <c r="F126" s="35">
        <v>0</v>
      </c>
      <c r="G126" s="35">
        <v>-40</v>
      </c>
      <c r="H126" s="1" t="s">
        <v>251</v>
      </c>
    </row>
    <row r="127" spans="1:61" x14ac:dyDescent="0.2">
      <c r="A127" s="35">
        <v>3</v>
      </c>
      <c r="B127" s="35">
        <v>223200001</v>
      </c>
      <c r="C127" s="35">
        <v>232</v>
      </c>
      <c r="D127" s="35">
        <v>0</v>
      </c>
      <c r="E127" s="35">
        <v>72</v>
      </c>
      <c r="F127" s="35">
        <v>0</v>
      </c>
      <c r="G127" s="35">
        <v>48</v>
      </c>
      <c r="H127" s="1" t="s">
        <v>252</v>
      </c>
    </row>
    <row r="128" spans="1:61" x14ac:dyDescent="0.2">
      <c r="A128" s="35">
        <v>3</v>
      </c>
      <c r="B128" s="35">
        <v>223400001</v>
      </c>
      <c r="C128" s="35">
        <v>234</v>
      </c>
      <c r="D128" s="35">
        <v>0</v>
      </c>
      <c r="E128" s="35">
        <v>-99</v>
      </c>
      <c r="F128" s="35">
        <v>0</v>
      </c>
      <c r="G128" s="35">
        <v>-56</v>
      </c>
      <c r="H128" s="1" t="s">
        <v>297</v>
      </c>
    </row>
    <row r="129" spans="1:8" x14ac:dyDescent="0.2">
      <c r="A129" s="35">
        <v>3</v>
      </c>
      <c r="B129" s="35">
        <v>223500001</v>
      </c>
      <c r="C129" s="35">
        <v>235</v>
      </c>
      <c r="D129" s="35">
        <v>0</v>
      </c>
      <c r="E129" s="35">
        <v>-57</v>
      </c>
      <c r="F129" s="35">
        <v>5</v>
      </c>
      <c r="G129" s="35">
        <v>6</v>
      </c>
      <c r="H129" s="1" t="s">
        <v>253</v>
      </c>
    </row>
    <row r="130" spans="1:8" x14ac:dyDescent="0.2">
      <c r="A130" s="35">
        <v>3</v>
      </c>
      <c r="B130" s="35">
        <v>223600001</v>
      </c>
      <c r="C130" s="35">
        <v>236</v>
      </c>
      <c r="D130" s="35">
        <v>0</v>
      </c>
      <c r="E130" s="35">
        <v>-35</v>
      </c>
      <c r="F130" s="35">
        <v>5</v>
      </c>
      <c r="G130" s="35">
        <v>6</v>
      </c>
      <c r="H130" s="1" t="s">
        <v>254</v>
      </c>
    </row>
    <row r="131" spans="1:8" x14ac:dyDescent="0.2">
      <c r="A131" s="35">
        <v>3</v>
      </c>
      <c r="B131" s="35">
        <v>223700001</v>
      </c>
      <c r="C131" s="35">
        <v>237</v>
      </c>
      <c r="D131" s="35">
        <v>0</v>
      </c>
      <c r="E131" s="35">
        <v>63</v>
      </c>
      <c r="F131" s="35">
        <v>0</v>
      </c>
      <c r="G131" s="35">
        <v>-40</v>
      </c>
      <c r="H131" s="1" t="s">
        <v>255</v>
      </c>
    </row>
    <row r="132" spans="1:8" x14ac:dyDescent="0.2">
      <c r="A132" s="35">
        <v>3</v>
      </c>
      <c r="B132" s="35">
        <v>230000001</v>
      </c>
      <c r="C132" s="35">
        <v>300</v>
      </c>
      <c r="D132" s="35">
        <v>0</v>
      </c>
      <c r="E132" s="35">
        <v>80</v>
      </c>
      <c r="F132" s="35">
        <v>-9</v>
      </c>
      <c r="G132" s="35">
        <v>106</v>
      </c>
      <c r="H132" s="1" t="s">
        <v>256</v>
      </c>
    </row>
    <row r="133" spans="1:8" x14ac:dyDescent="0.2">
      <c r="A133" s="35">
        <v>3</v>
      </c>
      <c r="B133" s="35">
        <v>240000001</v>
      </c>
      <c r="C133" s="35">
        <v>400</v>
      </c>
      <c r="D133" s="35">
        <v>0</v>
      </c>
      <c r="E133" s="35">
        <v>-18</v>
      </c>
      <c r="F133" s="35">
        <v>0</v>
      </c>
      <c r="G133" s="35">
        <v>-63</v>
      </c>
      <c r="H133" s="1" t="s">
        <v>257</v>
      </c>
    </row>
    <row r="134" spans="1:8" x14ac:dyDescent="0.2">
      <c r="A134" s="35">
        <v>3</v>
      </c>
      <c r="B134" s="35">
        <v>240400001</v>
      </c>
      <c r="C134" s="35">
        <v>404</v>
      </c>
      <c r="D134" s="35">
        <v>0</v>
      </c>
      <c r="E134" s="35">
        <v>181.17</v>
      </c>
      <c r="F134" s="35">
        <v>0</v>
      </c>
      <c r="G134" s="35">
        <v>75.650000000000006</v>
      </c>
      <c r="H134" s="1" t="s">
        <v>258</v>
      </c>
    </row>
    <row r="135" spans="1:8" x14ac:dyDescent="0.2">
      <c r="A135" s="35">
        <v>4</v>
      </c>
      <c r="B135" s="35">
        <v>220100001</v>
      </c>
      <c r="C135" s="35">
        <v>201</v>
      </c>
      <c r="D135" s="35">
        <v>0</v>
      </c>
      <c r="E135" s="35">
        <v>0</v>
      </c>
      <c r="F135" s="35">
        <v>0</v>
      </c>
      <c r="G135" s="35">
        <v>0</v>
      </c>
      <c r="H135" s="1" t="s">
        <v>233</v>
      </c>
    </row>
    <row r="136" spans="1:8" x14ac:dyDescent="0.2">
      <c r="A136" s="35">
        <v>4</v>
      </c>
      <c r="B136" s="35">
        <v>220200001</v>
      </c>
      <c r="C136" s="35">
        <v>202</v>
      </c>
      <c r="D136" s="35">
        <v>0</v>
      </c>
      <c r="E136" s="35">
        <v>-37</v>
      </c>
      <c r="F136" s="35">
        <v>0</v>
      </c>
      <c r="G136" s="35">
        <v>-28</v>
      </c>
      <c r="H136" s="1" t="s">
        <v>234</v>
      </c>
    </row>
    <row r="137" spans="1:8" x14ac:dyDescent="0.2">
      <c r="A137" s="35">
        <v>4</v>
      </c>
      <c r="B137" s="35">
        <v>220200002</v>
      </c>
      <c r="C137" s="35">
        <v>202</v>
      </c>
      <c r="D137" s="35">
        <v>0</v>
      </c>
      <c r="E137" s="35">
        <v>-50</v>
      </c>
      <c r="F137" s="35">
        <v>0</v>
      </c>
      <c r="G137" s="35">
        <v>-38</v>
      </c>
    </row>
    <row r="138" spans="1:8" x14ac:dyDescent="0.2">
      <c r="A138" s="35">
        <v>4</v>
      </c>
      <c r="B138" s="35">
        <v>220200003</v>
      </c>
      <c r="C138" s="35">
        <v>202</v>
      </c>
      <c r="D138" s="35">
        <v>0</v>
      </c>
      <c r="E138" s="35">
        <v>-37</v>
      </c>
      <c r="F138" s="35">
        <v>0</v>
      </c>
      <c r="G138" s="35">
        <v>-44</v>
      </c>
    </row>
    <row r="139" spans="1:8" x14ac:dyDescent="0.2">
      <c r="A139" s="35">
        <v>4</v>
      </c>
      <c r="B139" s="35">
        <v>220200004</v>
      </c>
      <c r="C139" s="35">
        <v>202</v>
      </c>
      <c r="D139" s="35">
        <v>0</v>
      </c>
      <c r="E139" s="35">
        <v>-37</v>
      </c>
      <c r="F139" s="35">
        <v>0</v>
      </c>
      <c r="G139" s="35">
        <v>-58</v>
      </c>
    </row>
    <row r="140" spans="1:8" x14ac:dyDescent="0.2">
      <c r="A140" s="35">
        <v>4</v>
      </c>
      <c r="B140" s="35">
        <v>220300001</v>
      </c>
      <c r="C140" s="35">
        <v>203</v>
      </c>
      <c r="D140" s="35">
        <v>0</v>
      </c>
      <c r="E140" s="35">
        <v>130</v>
      </c>
      <c r="F140" s="35">
        <v>-9</v>
      </c>
      <c r="G140" s="35">
        <v>-42</v>
      </c>
      <c r="H140" s="1" t="s">
        <v>235</v>
      </c>
    </row>
    <row r="141" spans="1:8" x14ac:dyDescent="0.2">
      <c r="A141" s="35">
        <v>4</v>
      </c>
      <c r="B141" s="35">
        <v>220300002</v>
      </c>
      <c r="C141" s="35">
        <v>203</v>
      </c>
      <c r="D141" s="35">
        <v>0</v>
      </c>
      <c r="E141" s="35">
        <v>145</v>
      </c>
      <c r="F141" s="35">
        <v>-9</v>
      </c>
      <c r="G141" s="35">
        <v>-42</v>
      </c>
    </row>
    <row r="142" spans="1:8" x14ac:dyDescent="0.2">
      <c r="A142" s="35">
        <v>4</v>
      </c>
      <c r="B142" s="35">
        <v>220300003</v>
      </c>
      <c r="C142" s="35">
        <v>203</v>
      </c>
      <c r="D142" s="35">
        <v>0</v>
      </c>
      <c r="E142" s="35">
        <v>95</v>
      </c>
      <c r="F142" s="35">
        <v>-9</v>
      </c>
      <c r="G142" s="35">
        <v>-91</v>
      </c>
    </row>
    <row r="143" spans="1:8" x14ac:dyDescent="0.2">
      <c r="A143" s="35">
        <v>4</v>
      </c>
      <c r="B143" s="35">
        <v>220300004</v>
      </c>
      <c r="C143" s="35">
        <v>203</v>
      </c>
      <c r="D143" s="35">
        <v>0</v>
      </c>
      <c r="E143" s="35">
        <v>129</v>
      </c>
      <c r="F143" s="35">
        <v>-9</v>
      </c>
      <c r="G143" s="35">
        <v>-67</v>
      </c>
    </row>
    <row r="144" spans="1:8" x14ac:dyDescent="0.2">
      <c r="A144" s="35">
        <v>4</v>
      </c>
      <c r="B144" s="35">
        <v>220400001</v>
      </c>
      <c r="C144" s="35">
        <v>204</v>
      </c>
      <c r="D144" s="35">
        <v>0</v>
      </c>
      <c r="E144" s="35">
        <v>41</v>
      </c>
      <c r="F144" s="35">
        <v>-9</v>
      </c>
      <c r="G144" s="35">
        <v>-114</v>
      </c>
      <c r="H144" s="1" t="s">
        <v>236</v>
      </c>
    </row>
    <row r="145" spans="1:61" x14ac:dyDescent="0.2">
      <c r="A145" s="35">
        <v>4</v>
      </c>
      <c r="B145" s="35">
        <v>220400002</v>
      </c>
      <c r="C145" s="35">
        <v>204</v>
      </c>
      <c r="D145" s="35">
        <v>0</v>
      </c>
      <c r="E145" s="35">
        <v>51</v>
      </c>
      <c r="F145" s="35">
        <v>-9</v>
      </c>
      <c r="G145" s="35">
        <v>-100</v>
      </c>
    </row>
    <row r="146" spans="1:61" x14ac:dyDescent="0.2">
      <c r="A146" s="35">
        <v>4</v>
      </c>
      <c r="B146" s="35">
        <v>220400003</v>
      </c>
      <c r="C146" s="35">
        <v>204</v>
      </c>
      <c r="D146" s="35">
        <v>0</v>
      </c>
      <c r="E146" s="35">
        <v>64</v>
      </c>
      <c r="F146" s="35">
        <v>-9</v>
      </c>
      <c r="G146" s="35">
        <v>-114</v>
      </c>
    </row>
    <row r="147" spans="1:61" x14ac:dyDescent="0.2">
      <c r="A147" s="35">
        <v>4</v>
      </c>
      <c r="B147" s="35">
        <v>220400004</v>
      </c>
      <c r="C147" s="35">
        <v>204</v>
      </c>
      <c r="D147" s="35">
        <v>0</v>
      </c>
      <c r="E147" s="35">
        <v>54</v>
      </c>
      <c r="F147" s="35">
        <v>-9</v>
      </c>
      <c r="G147" s="35">
        <v>-119</v>
      </c>
    </row>
    <row r="148" spans="1:61" x14ac:dyDescent="0.2">
      <c r="A148" s="35">
        <v>4</v>
      </c>
      <c r="B148" s="35">
        <v>220500001</v>
      </c>
      <c r="C148" s="35">
        <v>205</v>
      </c>
      <c r="D148" s="35">
        <v>0</v>
      </c>
      <c r="E148" s="35">
        <v>-89</v>
      </c>
      <c r="F148" s="35">
        <v>0</v>
      </c>
      <c r="G148" s="35">
        <v>-47</v>
      </c>
      <c r="H148" s="1" t="s">
        <v>237</v>
      </c>
    </row>
    <row r="149" spans="1:61" x14ac:dyDescent="0.2">
      <c r="A149" s="35">
        <v>4</v>
      </c>
      <c r="B149" s="35">
        <v>220500002</v>
      </c>
      <c r="C149" s="35">
        <v>205</v>
      </c>
      <c r="D149" s="35">
        <v>0</v>
      </c>
      <c r="E149" s="35">
        <v>-88</v>
      </c>
      <c r="F149" s="35">
        <v>0</v>
      </c>
      <c r="G149" s="35">
        <v>-23</v>
      </c>
    </row>
    <row r="150" spans="1:61" x14ac:dyDescent="0.2">
      <c r="A150" s="35">
        <v>4</v>
      </c>
      <c r="B150" s="35">
        <v>220500003</v>
      </c>
      <c r="C150" s="35">
        <v>205</v>
      </c>
      <c r="D150" s="35">
        <v>0</v>
      </c>
      <c r="E150" s="35">
        <v>-93</v>
      </c>
      <c r="F150" s="35">
        <v>0</v>
      </c>
      <c r="G150" s="35">
        <v>-34</v>
      </c>
      <c r="Y150" s="35" t="s">
        <v>259</v>
      </c>
      <c r="Z150" s="35" t="s">
        <v>260</v>
      </c>
      <c r="AA150" s="35" t="s">
        <v>261</v>
      </c>
      <c r="AB150" s="35" t="s">
        <v>262</v>
      </c>
      <c r="AC150" s="35" t="s">
        <v>263</v>
      </c>
      <c r="AD150" s="35" t="s">
        <v>264</v>
      </c>
      <c r="AE150" s="35" t="s">
        <v>265</v>
      </c>
      <c r="AF150" s="35" t="s">
        <v>266</v>
      </c>
      <c r="AG150" s="35" t="s">
        <v>267</v>
      </c>
      <c r="AH150" s="35" t="s">
        <v>268</v>
      </c>
      <c r="AI150" s="35" t="s">
        <v>269</v>
      </c>
      <c r="AJ150" s="35" t="s">
        <v>270</v>
      </c>
      <c r="AK150" s="35" t="s">
        <v>271</v>
      </c>
      <c r="AL150" s="35" t="s">
        <v>272</v>
      </c>
      <c r="AM150" s="35" t="s">
        <v>273</v>
      </c>
      <c r="AN150" s="35" t="s">
        <v>274</v>
      </c>
      <c r="AO150" s="35" t="s">
        <v>275</v>
      </c>
      <c r="AP150" s="35" t="s">
        <v>276</v>
      </c>
      <c r="AQ150" s="35" t="s">
        <v>277</v>
      </c>
      <c r="AR150" s="35" t="s">
        <v>278</v>
      </c>
      <c r="AS150" s="35" t="s">
        <v>279</v>
      </c>
      <c r="AT150" s="35" t="s">
        <v>280</v>
      </c>
      <c r="AU150" s="35" t="s">
        <v>281</v>
      </c>
      <c r="AV150" s="35" t="s">
        <v>282</v>
      </c>
      <c r="AW150" s="35" t="s">
        <v>283</v>
      </c>
      <c r="AX150" s="35" t="s">
        <v>284</v>
      </c>
      <c r="AY150" s="35" t="s">
        <v>285</v>
      </c>
      <c r="AZ150" s="35" t="s">
        <v>286</v>
      </c>
      <c r="BA150" s="35" t="s">
        <v>287</v>
      </c>
      <c r="BB150" s="35" t="s">
        <v>288</v>
      </c>
      <c r="BC150" s="35" t="s">
        <v>289</v>
      </c>
      <c r="BD150" s="35" t="s">
        <v>290</v>
      </c>
      <c r="BE150" s="35" t="s">
        <v>291</v>
      </c>
      <c r="BF150" s="35" t="s">
        <v>292</v>
      </c>
      <c r="BG150" s="35" t="s">
        <v>293</v>
      </c>
      <c r="BH150" s="35" t="s">
        <v>294</v>
      </c>
      <c r="BI150" s="35" t="s">
        <v>295</v>
      </c>
    </row>
    <row r="151" spans="1:61" x14ac:dyDescent="0.2">
      <c r="A151" s="35">
        <v>4</v>
      </c>
      <c r="B151" s="35">
        <v>220600001</v>
      </c>
      <c r="C151" s="35">
        <v>206</v>
      </c>
      <c r="D151" s="35">
        <v>0</v>
      </c>
      <c r="E151" s="35">
        <v>48</v>
      </c>
      <c r="F151" s="35">
        <v>0</v>
      </c>
      <c r="G151" s="35">
        <v>48</v>
      </c>
      <c r="H151" s="1" t="s">
        <v>238</v>
      </c>
    </row>
    <row r="152" spans="1:61" x14ac:dyDescent="0.2">
      <c r="A152" s="35">
        <v>4</v>
      </c>
      <c r="B152" s="35">
        <v>220700001</v>
      </c>
      <c r="C152" s="35">
        <v>207</v>
      </c>
      <c r="D152" s="35">
        <v>0</v>
      </c>
      <c r="E152" s="35">
        <v>128</v>
      </c>
      <c r="F152" s="35">
        <v>-9</v>
      </c>
      <c r="G152" s="35">
        <v>-54</v>
      </c>
      <c r="H152" s="1" t="s">
        <v>239</v>
      </c>
    </row>
    <row r="153" spans="1:61" x14ac:dyDescent="0.2">
      <c r="A153" s="35">
        <v>4</v>
      </c>
      <c r="B153" s="35">
        <v>220700002</v>
      </c>
      <c r="C153" s="35">
        <v>207</v>
      </c>
      <c r="D153" s="35">
        <v>0</v>
      </c>
      <c r="E153" s="35">
        <v>132</v>
      </c>
      <c r="F153" s="35">
        <v>-9</v>
      </c>
      <c r="G153" s="35">
        <v>-91</v>
      </c>
    </row>
    <row r="154" spans="1:61" x14ac:dyDescent="0.2">
      <c r="A154" s="35">
        <v>4</v>
      </c>
      <c r="B154" s="35">
        <v>220700003</v>
      </c>
      <c r="C154" s="35">
        <v>207</v>
      </c>
      <c r="D154" s="35">
        <v>0</v>
      </c>
      <c r="E154" s="35">
        <v>115</v>
      </c>
      <c r="F154" s="35">
        <v>-9</v>
      </c>
      <c r="G154" s="35">
        <v>-53</v>
      </c>
    </row>
    <row r="155" spans="1:61" x14ac:dyDescent="0.2">
      <c r="A155" s="35">
        <v>4</v>
      </c>
      <c r="B155" s="35">
        <v>220700004</v>
      </c>
      <c r="C155" s="35">
        <v>207</v>
      </c>
      <c r="D155" s="35">
        <v>0</v>
      </c>
      <c r="E155" s="35">
        <v>141</v>
      </c>
      <c r="F155" s="35">
        <v>-9</v>
      </c>
      <c r="G155" s="35">
        <v>-54</v>
      </c>
    </row>
    <row r="156" spans="1:61" x14ac:dyDescent="0.2">
      <c r="A156" s="35">
        <v>4</v>
      </c>
      <c r="B156" s="35">
        <v>220700005</v>
      </c>
      <c r="C156" s="35">
        <v>207</v>
      </c>
      <c r="D156" s="35">
        <v>0</v>
      </c>
      <c r="E156" s="35">
        <v>104</v>
      </c>
      <c r="F156" s="35">
        <v>-9</v>
      </c>
      <c r="G156" s="35">
        <v>-66</v>
      </c>
    </row>
    <row r="157" spans="1:61" x14ac:dyDescent="0.2">
      <c r="A157" s="35">
        <v>4</v>
      </c>
      <c r="B157" s="35">
        <v>220700006</v>
      </c>
      <c r="C157" s="35">
        <v>207</v>
      </c>
      <c r="D157" s="35">
        <v>0</v>
      </c>
      <c r="E157" s="35">
        <v>141</v>
      </c>
      <c r="F157" s="35">
        <v>-9</v>
      </c>
      <c r="G157" s="35">
        <v>-67</v>
      </c>
    </row>
    <row r="158" spans="1:61" x14ac:dyDescent="0.2">
      <c r="A158" s="35">
        <v>4</v>
      </c>
      <c r="B158" s="35">
        <v>220700007</v>
      </c>
      <c r="C158" s="35">
        <v>207</v>
      </c>
      <c r="D158" s="35">
        <v>0</v>
      </c>
      <c r="E158" s="35">
        <v>132</v>
      </c>
      <c r="F158" s="35">
        <v>-9</v>
      </c>
      <c r="G158" s="35">
        <v>-79</v>
      </c>
    </row>
    <row r="159" spans="1:61" x14ac:dyDescent="0.2">
      <c r="A159" s="35">
        <v>4</v>
      </c>
      <c r="B159" s="35">
        <v>220700008</v>
      </c>
      <c r="C159" s="35">
        <v>207</v>
      </c>
      <c r="D159" s="35">
        <v>0</v>
      </c>
      <c r="E159" s="35">
        <v>107</v>
      </c>
      <c r="F159" s="35">
        <v>-9</v>
      </c>
      <c r="G159" s="35">
        <v>-91</v>
      </c>
    </row>
    <row r="160" spans="1:61" x14ac:dyDescent="0.2">
      <c r="A160" s="35">
        <v>4</v>
      </c>
      <c r="B160" s="35">
        <v>220700009</v>
      </c>
      <c r="C160" s="35">
        <v>207</v>
      </c>
      <c r="D160" s="35">
        <v>0</v>
      </c>
      <c r="E160" s="35">
        <v>119</v>
      </c>
      <c r="F160" s="35">
        <v>-9</v>
      </c>
      <c r="G160" s="35">
        <v>-79</v>
      </c>
    </row>
    <row r="161" spans="1:8" x14ac:dyDescent="0.2">
      <c r="A161" s="35">
        <v>4</v>
      </c>
      <c r="B161" s="35">
        <v>220700010</v>
      </c>
      <c r="C161" s="35">
        <v>207</v>
      </c>
      <c r="D161" s="35">
        <v>0</v>
      </c>
      <c r="E161" s="35">
        <v>107</v>
      </c>
      <c r="F161" s="35">
        <v>-9</v>
      </c>
      <c r="G161" s="35">
        <v>-79</v>
      </c>
    </row>
    <row r="162" spans="1:8" x14ac:dyDescent="0.2">
      <c r="A162" s="35">
        <v>4</v>
      </c>
      <c r="B162" s="35">
        <v>220700011</v>
      </c>
      <c r="C162" s="35">
        <v>207</v>
      </c>
      <c r="D162" s="35">
        <v>0</v>
      </c>
      <c r="E162" s="35">
        <v>116</v>
      </c>
      <c r="F162" s="35">
        <v>-9</v>
      </c>
      <c r="G162" s="35">
        <v>-66</v>
      </c>
    </row>
    <row r="163" spans="1:8" x14ac:dyDescent="0.2">
      <c r="A163" s="35">
        <v>4</v>
      </c>
      <c r="B163" s="35">
        <v>220700012</v>
      </c>
      <c r="C163" s="35">
        <v>207</v>
      </c>
      <c r="D163" s="35">
        <v>0</v>
      </c>
      <c r="E163" s="35">
        <v>119</v>
      </c>
      <c r="F163" s="35">
        <v>-9</v>
      </c>
      <c r="G163" s="35">
        <v>-92</v>
      </c>
    </row>
    <row r="164" spans="1:8" x14ac:dyDescent="0.2">
      <c r="A164" s="35">
        <v>4</v>
      </c>
      <c r="B164" s="35">
        <v>220800001</v>
      </c>
      <c r="C164" s="35">
        <v>208</v>
      </c>
      <c r="D164" s="35">
        <v>0</v>
      </c>
      <c r="E164" s="35">
        <v>-69</v>
      </c>
      <c r="F164" s="35">
        <v>13</v>
      </c>
      <c r="G164" s="35">
        <v>78</v>
      </c>
      <c r="H164" s="1" t="s">
        <v>240</v>
      </c>
    </row>
    <row r="165" spans="1:8" x14ac:dyDescent="0.2">
      <c r="A165" s="35">
        <v>4</v>
      </c>
      <c r="B165" s="35">
        <v>220900001</v>
      </c>
      <c r="C165" s="35">
        <v>209</v>
      </c>
      <c r="D165" s="35">
        <v>0</v>
      </c>
      <c r="E165" s="35">
        <v>45</v>
      </c>
      <c r="F165" s="35">
        <v>0</v>
      </c>
      <c r="G165" s="35">
        <v>18</v>
      </c>
      <c r="H165" s="1" t="s">
        <v>298</v>
      </c>
    </row>
    <row r="166" spans="1:8" x14ac:dyDescent="0.2">
      <c r="A166" s="35">
        <v>4</v>
      </c>
      <c r="B166" s="35">
        <v>221100001</v>
      </c>
      <c r="C166" s="35">
        <v>211</v>
      </c>
      <c r="D166" s="35">
        <v>0</v>
      </c>
      <c r="E166" s="35">
        <v>21</v>
      </c>
      <c r="F166" s="35">
        <v>0</v>
      </c>
      <c r="G166" s="35">
        <v>-37</v>
      </c>
      <c r="H166" s="1" t="s">
        <v>242</v>
      </c>
    </row>
    <row r="167" spans="1:8" x14ac:dyDescent="0.2">
      <c r="A167" s="35">
        <v>4</v>
      </c>
      <c r="B167" s="35">
        <v>221200001</v>
      </c>
      <c r="C167" s="35">
        <v>212</v>
      </c>
      <c r="D167" s="35">
        <v>0</v>
      </c>
      <c r="E167" s="35">
        <v>109.5</v>
      </c>
      <c r="F167" s="35">
        <v>-4.5999999999999996</v>
      </c>
      <c r="G167" s="35">
        <v>69</v>
      </c>
      <c r="H167" s="1" t="s">
        <v>243</v>
      </c>
    </row>
    <row r="168" spans="1:8" x14ac:dyDescent="0.2">
      <c r="A168" s="35">
        <v>4</v>
      </c>
      <c r="B168" s="35">
        <v>221300001</v>
      </c>
      <c r="C168" s="35">
        <v>213</v>
      </c>
      <c r="D168" s="35">
        <v>0</v>
      </c>
      <c r="E168" s="35">
        <v>16</v>
      </c>
      <c r="F168" s="35">
        <v>-18.5</v>
      </c>
      <c r="G168" s="35">
        <v>130</v>
      </c>
      <c r="H168" s="1" t="s">
        <v>244</v>
      </c>
    </row>
    <row r="169" spans="1:8" x14ac:dyDescent="0.2">
      <c r="A169" s="35">
        <v>4</v>
      </c>
      <c r="B169" s="35">
        <v>221500001</v>
      </c>
      <c r="C169" s="35">
        <v>215</v>
      </c>
      <c r="D169" s="35">
        <v>0</v>
      </c>
      <c r="E169" s="35">
        <v>99</v>
      </c>
      <c r="F169" s="35">
        <v>0</v>
      </c>
      <c r="G169" s="35">
        <v>1</v>
      </c>
      <c r="H169" s="1" t="s">
        <v>245</v>
      </c>
    </row>
    <row r="170" spans="1:8" x14ac:dyDescent="0.2">
      <c r="A170" s="35">
        <v>4</v>
      </c>
      <c r="B170" s="35">
        <v>222200001</v>
      </c>
      <c r="C170" s="35">
        <v>222</v>
      </c>
      <c r="D170" s="35">
        <v>0</v>
      </c>
      <c r="E170" s="35">
        <v>48</v>
      </c>
      <c r="F170" s="35">
        <v>0</v>
      </c>
      <c r="G170" s="35">
        <v>-16</v>
      </c>
      <c r="H170" s="1" t="s">
        <v>299</v>
      </c>
    </row>
    <row r="171" spans="1:8" x14ac:dyDescent="0.2">
      <c r="A171" s="35">
        <v>4</v>
      </c>
      <c r="B171" s="35">
        <v>222400001</v>
      </c>
      <c r="C171" s="35">
        <v>224</v>
      </c>
      <c r="D171" s="35">
        <v>0</v>
      </c>
      <c r="E171" s="35">
        <v>72</v>
      </c>
      <c r="F171" s="35">
        <v>0</v>
      </c>
      <c r="G171" s="35">
        <v>18</v>
      </c>
      <c r="H171" s="1" t="s">
        <v>300</v>
      </c>
    </row>
    <row r="172" spans="1:8" x14ac:dyDescent="0.2">
      <c r="A172" s="35">
        <v>4</v>
      </c>
      <c r="B172" s="35">
        <v>222600001</v>
      </c>
      <c r="C172" s="35">
        <v>226</v>
      </c>
      <c r="D172" s="35">
        <v>0</v>
      </c>
      <c r="E172" s="35">
        <v>-22</v>
      </c>
      <c r="F172" s="35">
        <v>3</v>
      </c>
      <c r="G172" s="35">
        <v>69</v>
      </c>
      <c r="H172" s="1" t="s">
        <v>248</v>
      </c>
    </row>
    <row r="173" spans="1:8" x14ac:dyDescent="0.2">
      <c r="A173" s="35">
        <v>4</v>
      </c>
      <c r="B173" s="35">
        <v>222700001</v>
      </c>
      <c r="C173" s="35">
        <v>227</v>
      </c>
      <c r="D173" s="35">
        <v>0</v>
      </c>
      <c r="E173" s="35">
        <v>162</v>
      </c>
      <c r="F173" s="35">
        <v>-9</v>
      </c>
      <c r="G173" s="35">
        <v>14</v>
      </c>
      <c r="H173" s="1" t="s">
        <v>249</v>
      </c>
    </row>
    <row r="174" spans="1:8" x14ac:dyDescent="0.2">
      <c r="A174" s="35">
        <v>4</v>
      </c>
      <c r="B174" s="35">
        <v>222700002</v>
      </c>
      <c r="C174" s="35">
        <v>227</v>
      </c>
      <c r="D174" s="35">
        <v>0</v>
      </c>
      <c r="E174" s="35">
        <v>162</v>
      </c>
      <c r="F174" s="35">
        <v>-9</v>
      </c>
      <c r="G174" s="35">
        <v>-15</v>
      </c>
    </row>
    <row r="175" spans="1:8" x14ac:dyDescent="0.2">
      <c r="A175" s="35">
        <v>4</v>
      </c>
      <c r="B175" s="35">
        <v>222900001</v>
      </c>
      <c r="C175" s="35">
        <v>229</v>
      </c>
      <c r="D175" s="35">
        <v>0</v>
      </c>
      <c r="E175" s="35">
        <v>27</v>
      </c>
      <c r="F175" s="35">
        <v>0</v>
      </c>
      <c r="G175" s="35">
        <v>36</v>
      </c>
      <c r="H175" s="1" t="s">
        <v>296</v>
      </c>
    </row>
    <row r="176" spans="1:8" x14ac:dyDescent="0.2">
      <c r="A176" s="35">
        <v>4</v>
      </c>
      <c r="B176" s="35">
        <v>223000001</v>
      </c>
      <c r="C176" s="35">
        <v>230</v>
      </c>
      <c r="D176" s="35">
        <v>0</v>
      </c>
      <c r="E176" s="35">
        <v>30</v>
      </c>
      <c r="F176" s="35">
        <v>0</v>
      </c>
      <c r="G176" s="35">
        <v>-16</v>
      </c>
      <c r="H176" s="1" t="s">
        <v>250</v>
      </c>
    </row>
    <row r="177" spans="1:8" x14ac:dyDescent="0.2">
      <c r="A177" s="35">
        <v>4</v>
      </c>
      <c r="B177" s="35">
        <v>223100001</v>
      </c>
      <c r="C177" s="35">
        <v>231</v>
      </c>
      <c r="D177" s="35">
        <v>0</v>
      </c>
      <c r="E177" s="35">
        <v>-10</v>
      </c>
      <c r="F177" s="35">
        <v>0</v>
      </c>
      <c r="G177" s="35">
        <v>-40</v>
      </c>
      <c r="H177" s="1" t="s">
        <v>251</v>
      </c>
    </row>
    <row r="178" spans="1:8" x14ac:dyDescent="0.2">
      <c r="A178" s="35">
        <v>4</v>
      </c>
      <c r="B178" s="35">
        <v>223200001</v>
      </c>
      <c r="C178" s="35">
        <v>232</v>
      </c>
      <c r="D178" s="35">
        <v>0</v>
      </c>
      <c r="E178" s="35">
        <v>72</v>
      </c>
      <c r="F178" s="35">
        <v>0</v>
      </c>
      <c r="G178" s="35">
        <v>48</v>
      </c>
      <c r="H178" s="1" t="s">
        <v>252</v>
      </c>
    </row>
    <row r="179" spans="1:8" x14ac:dyDescent="0.2">
      <c r="A179" s="35">
        <v>4</v>
      </c>
      <c r="B179" s="35">
        <v>223400001</v>
      </c>
      <c r="C179" s="35">
        <v>234</v>
      </c>
      <c r="D179" s="35">
        <v>0</v>
      </c>
      <c r="E179" s="35">
        <v>-99</v>
      </c>
      <c r="F179" s="35">
        <v>0</v>
      </c>
      <c r="G179" s="35">
        <v>-56</v>
      </c>
      <c r="H179" s="1" t="s">
        <v>297</v>
      </c>
    </row>
    <row r="180" spans="1:8" x14ac:dyDescent="0.2">
      <c r="A180" s="35">
        <v>4</v>
      </c>
      <c r="B180" s="35">
        <v>223400002</v>
      </c>
      <c r="C180" s="35">
        <v>234</v>
      </c>
      <c r="D180" s="35">
        <v>0</v>
      </c>
      <c r="E180" s="35">
        <v>-111</v>
      </c>
      <c r="F180" s="35">
        <v>0</v>
      </c>
      <c r="G180" s="35">
        <v>-63</v>
      </c>
    </row>
    <row r="181" spans="1:8" x14ac:dyDescent="0.2">
      <c r="A181" s="35">
        <v>4</v>
      </c>
      <c r="B181" s="35">
        <v>223400003</v>
      </c>
      <c r="C181" s="35">
        <v>234</v>
      </c>
      <c r="D181" s="35">
        <v>0</v>
      </c>
      <c r="E181" s="35">
        <v>-89</v>
      </c>
      <c r="F181" s="35">
        <v>0</v>
      </c>
      <c r="G181" s="35">
        <v>-68</v>
      </c>
    </row>
    <row r="182" spans="1:8" x14ac:dyDescent="0.2">
      <c r="A182" s="35">
        <v>4</v>
      </c>
      <c r="B182" s="35">
        <v>223500001</v>
      </c>
      <c r="C182" s="35">
        <v>235</v>
      </c>
      <c r="D182" s="35">
        <v>0</v>
      </c>
      <c r="E182" s="35">
        <v>-57</v>
      </c>
      <c r="F182" s="35">
        <v>5</v>
      </c>
      <c r="G182" s="35">
        <v>6</v>
      </c>
      <c r="H182" s="1" t="s">
        <v>253</v>
      </c>
    </row>
    <row r="183" spans="1:8" x14ac:dyDescent="0.2">
      <c r="A183" s="35">
        <v>4</v>
      </c>
      <c r="B183" s="35">
        <v>223600001</v>
      </c>
      <c r="C183" s="35">
        <v>236</v>
      </c>
      <c r="D183" s="35">
        <v>0</v>
      </c>
      <c r="E183" s="35">
        <v>-35</v>
      </c>
      <c r="F183" s="35">
        <v>5</v>
      </c>
      <c r="G183" s="35">
        <v>6</v>
      </c>
      <c r="H183" s="1" t="s">
        <v>254</v>
      </c>
    </row>
    <row r="184" spans="1:8" x14ac:dyDescent="0.2">
      <c r="A184" s="35">
        <v>4</v>
      </c>
      <c r="B184" s="35">
        <v>223700001</v>
      </c>
      <c r="C184" s="35">
        <v>237</v>
      </c>
      <c r="D184" s="35">
        <v>0</v>
      </c>
      <c r="E184" s="35">
        <v>63</v>
      </c>
      <c r="F184" s="35">
        <v>0</v>
      </c>
      <c r="G184" s="35">
        <v>-40</v>
      </c>
      <c r="H184" s="1" t="s">
        <v>255</v>
      </c>
    </row>
    <row r="185" spans="1:8" x14ac:dyDescent="0.2">
      <c r="A185" s="35">
        <v>4</v>
      </c>
      <c r="B185" s="35">
        <v>230000001</v>
      </c>
      <c r="C185" s="35">
        <v>300</v>
      </c>
      <c r="D185" s="35">
        <v>0</v>
      </c>
      <c r="E185" s="35">
        <v>80</v>
      </c>
      <c r="F185" s="35">
        <v>-9</v>
      </c>
      <c r="G185" s="35">
        <v>106</v>
      </c>
      <c r="H185" s="1" t="s">
        <v>256</v>
      </c>
    </row>
    <row r="186" spans="1:8" x14ac:dyDescent="0.2">
      <c r="A186" s="35">
        <v>4</v>
      </c>
      <c r="B186" s="35">
        <v>240000001</v>
      </c>
      <c r="C186" s="35">
        <v>400</v>
      </c>
      <c r="D186" s="35">
        <v>0</v>
      </c>
      <c r="E186" s="35">
        <v>-18</v>
      </c>
      <c r="F186" s="35">
        <v>0</v>
      </c>
      <c r="G186" s="35">
        <v>-63</v>
      </c>
      <c r="H186" s="1" t="s">
        <v>257</v>
      </c>
    </row>
    <row r="187" spans="1:8" x14ac:dyDescent="0.2">
      <c r="A187" s="35">
        <v>4</v>
      </c>
      <c r="B187" s="35">
        <v>240400001</v>
      </c>
      <c r="C187" s="35">
        <v>404</v>
      </c>
      <c r="D187" s="35">
        <v>0</v>
      </c>
      <c r="E187" s="35">
        <v>181.17</v>
      </c>
      <c r="F187" s="35">
        <v>0</v>
      </c>
      <c r="G187" s="35">
        <v>75.650000000000006</v>
      </c>
      <c r="H187" s="1" t="s">
        <v>258</v>
      </c>
    </row>
    <row r="188" spans="1:8" x14ac:dyDescent="0.2">
      <c r="A188" s="35">
        <v>5</v>
      </c>
      <c r="B188" s="35">
        <v>220100001</v>
      </c>
      <c r="C188" s="35">
        <v>201</v>
      </c>
      <c r="D188" s="35">
        <v>0</v>
      </c>
      <c r="E188" s="35">
        <v>0</v>
      </c>
      <c r="F188" s="35">
        <v>0</v>
      </c>
      <c r="G188" s="35">
        <v>0</v>
      </c>
      <c r="H188" s="1" t="s">
        <v>233</v>
      </c>
    </row>
    <row r="189" spans="1:8" x14ac:dyDescent="0.2">
      <c r="A189" s="35">
        <v>5</v>
      </c>
      <c r="B189" s="35">
        <v>220200001</v>
      </c>
      <c r="C189" s="35">
        <v>202</v>
      </c>
      <c r="D189" s="35">
        <v>0</v>
      </c>
      <c r="E189" s="35">
        <v>-37</v>
      </c>
      <c r="F189" s="1">
        <v>0</v>
      </c>
      <c r="G189" s="1">
        <v>-28</v>
      </c>
      <c r="H189" s="1" t="s">
        <v>234</v>
      </c>
    </row>
    <row r="190" spans="1:8" x14ac:dyDescent="0.2">
      <c r="A190" s="35">
        <v>5</v>
      </c>
      <c r="B190" s="35">
        <v>220200002</v>
      </c>
      <c r="C190" s="35">
        <v>202</v>
      </c>
      <c r="D190" s="35">
        <v>0</v>
      </c>
      <c r="E190" s="35">
        <v>-50</v>
      </c>
      <c r="F190" s="35">
        <v>0</v>
      </c>
      <c r="G190" s="35">
        <v>-38</v>
      </c>
    </row>
    <row r="191" spans="1:8" x14ac:dyDescent="0.2">
      <c r="A191" s="35">
        <v>5</v>
      </c>
      <c r="B191" s="1">
        <v>220200003</v>
      </c>
      <c r="C191" s="1">
        <v>202</v>
      </c>
      <c r="D191" s="1">
        <v>0</v>
      </c>
      <c r="E191" s="1">
        <v>-37</v>
      </c>
      <c r="F191" s="1">
        <v>0</v>
      </c>
      <c r="G191" s="1">
        <v>-44</v>
      </c>
    </row>
    <row r="192" spans="1:8" x14ac:dyDescent="0.2">
      <c r="A192" s="35">
        <v>5</v>
      </c>
      <c r="B192" s="1">
        <v>220200004</v>
      </c>
      <c r="C192" s="1">
        <v>202</v>
      </c>
      <c r="D192" s="1">
        <v>0</v>
      </c>
      <c r="E192" s="1">
        <v>-37</v>
      </c>
      <c r="F192" s="1">
        <v>0</v>
      </c>
      <c r="G192" s="1">
        <v>-58</v>
      </c>
    </row>
    <row r="193" spans="1:8" x14ac:dyDescent="0.2">
      <c r="A193" s="35">
        <v>5</v>
      </c>
      <c r="B193" s="1">
        <v>220300001</v>
      </c>
      <c r="C193" s="1">
        <v>203</v>
      </c>
      <c r="D193" s="1">
        <v>0</v>
      </c>
      <c r="E193" s="1">
        <v>130</v>
      </c>
      <c r="F193" s="1">
        <v>-9</v>
      </c>
      <c r="G193" s="1">
        <v>-42</v>
      </c>
      <c r="H193" s="1" t="s">
        <v>235</v>
      </c>
    </row>
    <row r="194" spans="1:8" x14ac:dyDescent="0.2">
      <c r="A194" s="35">
        <v>5</v>
      </c>
      <c r="B194" s="1">
        <v>220300002</v>
      </c>
      <c r="C194" s="1">
        <v>203</v>
      </c>
      <c r="D194" s="1">
        <v>0</v>
      </c>
      <c r="E194" s="1">
        <v>145</v>
      </c>
      <c r="F194" s="1">
        <v>-9</v>
      </c>
      <c r="G194" s="1">
        <v>-42</v>
      </c>
    </row>
    <row r="195" spans="1:8" x14ac:dyDescent="0.2">
      <c r="A195" s="35">
        <v>5</v>
      </c>
      <c r="B195" s="1">
        <v>220300003</v>
      </c>
      <c r="C195" s="1">
        <v>203</v>
      </c>
      <c r="D195" s="1">
        <v>0</v>
      </c>
      <c r="E195" s="1">
        <v>95</v>
      </c>
      <c r="F195" s="1">
        <v>-9</v>
      </c>
      <c r="G195" s="1">
        <v>-91</v>
      </c>
    </row>
    <row r="196" spans="1:8" x14ac:dyDescent="0.2">
      <c r="A196" s="35">
        <v>5</v>
      </c>
      <c r="B196" s="1">
        <v>220300004</v>
      </c>
      <c r="C196" s="1">
        <v>203</v>
      </c>
      <c r="D196" s="1">
        <v>0</v>
      </c>
      <c r="E196" s="1">
        <v>129</v>
      </c>
      <c r="F196" s="1">
        <v>-9</v>
      </c>
      <c r="G196" s="1">
        <v>-67</v>
      </c>
    </row>
    <row r="197" spans="1:8" x14ac:dyDescent="0.2">
      <c r="A197" s="35">
        <v>5</v>
      </c>
      <c r="B197" s="1">
        <v>220400001</v>
      </c>
      <c r="C197" s="1">
        <v>204</v>
      </c>
      <c r="D197" s="1">
        <v>0</v>
      </c>
      <c r="E197" s="1">
        <v>41</v>
      </c>
      <c r="F197" s="1">
        <v>-9</v>
      </c>
      <c r="G197" s="1">
        <v>-114</v>
      </c>
      <c r="H197" s="1" t="s">
        <v>236</v>
      </c>
    </row>
    <row r="198" spans="1:8" x14ac:dyDescent="0.2">
      <c r="A198" s="35">
        <v>5</v>
      </c>
      <c r="B198" s="1">
        <v>220400002</v>
      </c>
      <c r="C198" s="1">
        <v>204</v>
      </c>
      <c r="D198" s="1">
        <v>0</v>
      </c>
      <c r="E198" s="1">
        <v>51</v>
      </c>
      <c r="F198" s="1">
        <v>-9</v>
      </c>
      <c r="G198" s="1">
        <v>-100</v>
      </c>
    </row>
    <row r="199" spans="1:8" x14ac:dyDescent="0.2">
      <c r="A199" s="35">
        <v>5</v>
      </c>
      <c r="B199" s="1">
        <v>220400003</v>
      </c>
      <c r="C199" s="1">
        <v>204</v>
      </c>
      <c r="D199" s="1">
        <v>0</v>
      </c>
      <c r="E199" s="1">
        <v>64</v>
      </c>
      <c r="F199" s="1">
        <v>-9</v>
      </c>
      <c r="G199" s="1">
        <v>-114</v>
      </c>
    </row>
    <row r="200" spans="1:8" x14ac:dyDescent="0.2">
      <c r="A200" s="35">
        <v>5</v>
      </c>
      <c r="B200" s="1">
        <v>220400004</v>
      </c>
      <c r="C200" s="1">
        <v>204</v>
      </c>
      <c r="D200" s="1">
        <v>0</v>
      </c>
      <c r="E200" s="1">
        <v>54</v>
      </c>
      <c r="F200" s="1">
        <v>-9</v>
      </c>
      <c r="G200" s="1">
        <v>-119</v>
      </c>
    </row>
    <row r="201" spans="1:8" x14ac:dyDescent="0.2">
      <c r="A201" s="35">
        <v>5</v>
      </c>
      <c r="B201" s="1">
        <v>220500001</v>
      </c>
      <c r="C201" s="1">
        <v>205</v>
      </c>
      <c r="D201" s="1">
        <v>0</v>
      </c>
      <c r="E201" s="1">
        <v>-89</v>
      </c>
      <c r="F201" s="1">
        <v>0</v>
      </c>
      <c r="G201" s="1">
        <v>-47</v>
      </c>
      <c r="H201" s="1" t="s">
        <v>237</v>
      </c>
    </row>
    <row r="202" spans="1:8" x14ac:dyDescent="0.2">
      <c r="A202" s="35">
        <v>5</v>
      </c>
      <c r="B202" s="1">
        <v>220500002</v>
      </c>
      <c r="C202" s="1">
        <v>205</v>
      </c>
      <c r="D202" s="1">
        <v>0</v>
      </c>
      <c r="E202" s="1">
        <v>-88</v>
      </c>
      <c r="F202" s="1">
        <v>0</v>
      </c>
      <c r="G202" s="1">
        <v>-23</v>
      </c>
    </row>
    <row r="203" spans="1:8" x14ac:dyDescent="0.2">
      <c r="A203" s="35">
        <v>5</v>
      </c>
      <c r="B203" s="1">
        <v>220500003</v>
      </c>
      <c r="C203" s="1">
        <v>205</v>
      </c>
      <c r="D203" s="1">
        <v>0</v>
      </c>
      <c r="E203" s="1">
        <v>-93</v>
      </c>
      <c r="F203" s="1">
        <v>0</v>
      </c>
      <c r="G203" s="1">
        <v>-34</v>
      </c>
    </row>
    <row r="204" spans="1:8" x14ac:dyDescent="0.2">
      <c r="A204" s="35">
        <v>5</v>
      </c>
      <c r="B204" s="1">
        <v>220500004</v>
      </c>
      <c r="C204" s="1">
        <v>205</v>
      </c>
      <c r="D204" s="1">
        <v>0</v>
      </c>
      <c r="E204" s="1">
        <v>-85</v>
      </c>
      <c r="F204" s="1">
        <v>0</v>
      </c>
      <c r="G204" s="1">
        <v>3</v>
      </c>
    </row>
    <row r="205" spans="1:8" x14ac:dyDescent="0.2">
      <c r="A205" s="35">
        <v>5</v>
      </c>
      <c r="B205" s="1">
        <v>220600001</v>
      </c>
      <c r="C205" s="1">
        <v>206</v>
      </c>
      <c r="D205" s="1">
        <v>0</v>
      </c>
      <c r="E205" s="1">
        <v>48</v>
      </c>
      <c r="F205" s="1">
        <v>0</v>
      </c>
      <c r="G205" s="1">
        <v>48</v>
      </c>
      <c r="H205" s="1" t="s">
        <v>238</v>
      </c>
    </row>
    <row r="206" spans="1:8" x14ac:dyDescent="0.2">
      <c r="A206" s="35">
        <v>5</v>
      </c>
      <c r="B206" s="1">
        <v>220700001</v>
      </c>
      <c r="C206" s="1">
        <v>207</v>
      </c>
      <c r="D206" s="1">
        <v>0</v>
      </c>
      <c r="E206" s="1">
        <v>128</v>
      </c>
      <c r="F206" s="1">
        <v>-9</v>
      </c>
      <c r="G206" s="1">
        <v>-54</v>
      </c>
      <c r="H206" s="1" t="s">
        <v>239</v>
      </c>
    </row>
    <row r="207" spans="1:8" x14ac:dyDescent="0.2">
      <c r="A207" s="35">
        <v>5</v>
      </c>
      <c r="B207" s="1">
        <v>220700002</v>
      </c>
      <c r="C207" s="1">
        <v>207</v>
      </c>
      <c r="D207" s="1">
        <v>0</v>
      </c>
      <c r="E207" s="1">
        <v>132</v>
      </c>
      <c r="F207" s="1">
        <v>-9</v>
      </c>
      <c r="G207" s="1">
        <v>-91</v>
      </c>
    </row>
    <row r="208" spans="1:8" x14ac:dyDescent="0.2">
      <c r="A208" s="35">
        <v>5</v>
      </c>
      <c r="B208" s="1">
        <v>220700003</v>
      </c>
      <c r="C208" s="1">
        <v>207</v>
      </c>
      <c r="D208" s="1">
        <v>0</v>
      </c>
      <c r="E208" s="1">
        <v>115</v>
      </c>
      <c r="F208" s="1">
        <v>-9</v>
      </c>
      <c r="G208" s="1">
        <v>-53</v>
      </c>
    </row>
    <row r="209" spans="1:8" x14ac:dyDescent="0.2">
      <c r="A209" s="35">
        <v>5</v>
      </c>
      <c r="B209" s="1">
        <v>220700004</v>
      </c>
      <c r="C209" s="1">
        <v>207</v>
      </c>
      <c r="D209" s="1">
        <v>0</v>
      </c>
      <c r="E209" s="1">
        <v>141</v>
      </c>
      <c r="F209" s="1">
        <v>-9</v>
      </c>
      <c r="G209" s="1">
        <v>-54</v>
      </c>
    </row>
    <row r="210" spans="1:8" x14ac:dyDescent="0.2">
      <c r="A210" s="35">
        <v>5</v>
      </c>
      <c r="B210" s="1">
        <v>220700005</v>
      </c>
      <c r="C210" s="1">
        <v>207</v>
      </c>
      <c r="D210" s="1">
        <v>0</v>
      </c>
      <c r="E210" s="1">
        <v>104</v>
      </c>
      <c r="F210" s="1">
        <v>-9</v>
      </c>
      <c r="G210" s="1">
        <v>-66</v>
      </c>
    </row>
    <row r="211" spans="1:8" x14ac:dyDescent="0.2">
      <c r="A211" s="35">
        <v>5</v>
      </c>
      <c r="B211" s="1">
        <v>220700006</v>
      </c>
      <c r="C211" s="1">
        <v>207</v>
      </c>
      <c r="D211" s="1">
        <v>0</v>
      </c>
      <c r="E211" s="1">
        <v>141</v>
      </c>
      <c r="F211" s="1">
        <v>-9</v>
      </c>
      <c r="G211" s="1">
        <v>-67</v>
      </c>
    </row>
    <row r="212" spans="1:8" x14ac:dyDescent="0.2">
      <c r="A212" s="35">
        <v>5</v>
      </c>
      <c r="B212" s="1">
        <v>220700007</v>
      </c>
      <c r="C212" s="1">
        <v>207</v>
      </c>
      <c r="D212" s="1">
        <v>0</v>
      </c>
      <c r="E212" s="1">
        <v>132</v>
      </c>
      <c r="F212" s="1">
        <v>-9</v>
      </c>
      <c r="G212" s="1">
        <v>-79</v>
      </c>
    </row>
    <row r="213" spans="1:8" x14ac:dyDescent="0.2">
      <c r="A213" s="1">
        <v>5</v>
      </c>
      <c r="B213" s="1">
        <v>220700008</v>
      </c>
      <c r="C213" s="1">
        <v>207</v>
      </c>
      <c r="D213" s="1">
        <v>0</v>
      </c>
      <c r="E213" s="1">
        <v>107</v>
      </c>
      <c r="F213" s="1">
        <v>-9</v>
      </c>
      <c r="G213" s="1">
        <v>-91</v>
      </c>
    </row>
    <row r="214" spans="1:8" x14ac:dyDescent="0.2">
      <c r="A214" s="1">
        <v>5</v>
      </c>
      <c r="B214" s="1">
        <v>220700009</v>
      </c>
      <c r="C214" s="1">
        <v>207</v>
      </c>
      <c r="D214" s="1">
        <v>0</v>
      </c>
      <c r="E214" s="1">
        <v>119</v>
      </c>
      <c r="F214" s="1">
        <v>-9</v>
      </c>
      <c r="G214" s="1">
        <v>-79</v>
      </c>
    </row>
    <row r="215" spans="1:8" x14ac:dyDescent="0.2">
      <c r="A215" s="1">
        <v>5</v>
      </c>
      <c r="B215" s="1">
        <v>220700010</v>
      </c>
      <c r="C215" s="1">
        <v>207</v>
      </c>
      <c r="D215" s="1">
        <v>0</v>
      </c>
      <c r="E215" s="1">
        <v>107</v>
      </c>
      <c r="F215" s="1">
        <v>-9</v>
      </c>
      <c r="G215" s="1">
        <v>-79</v>
      </c>
    </row>
    <row r="216" spans="1:8" x14ac:dyDescent="0.2">
      <c r="A216" s="1">
        <v>5</v>
      </c>
      <c r="B216" s="1">
        <v>220700011</v>
      </c>
      <c r="C216" s="1">
        <v>207</v>
      </c>
      <c r="D216" s="1">
        <v>0</v>
      </c>
      <c r="E216" s="1">
        <v>116</v>
      </c>
      <c r="F216" s="1">
        <v>-9</v>
      </c>
      <c r="G216" s="1">
        <v>-66</v>
      </c>
    </row>
    <row r="217" spans="1:8" x14ac:dyDescent="0.2">
      <c r="A217" s="1">
        <v>5</v>
      </c>
      <c r="B217" s="1">
        <v>220700012</v>
      </c>
      <c r="C217" s="1">
        <v>207</v>
      </c>
      <c r="D217" s="1">
        <v>0</v>
      </c>
      <c r="E217" s="1">
        <v>119</v>
      </c>
      <c r="F217" s="1">
        <v>-9</v>
      </c>
      <c r="G217" s="1">
        <v>-92</v>
      </c>
    </row>
    <row r="218" spans="1:8" x14ac:dyDescent="0.2">
      <c r="A218" s="1">
        <v>5</v>
      </c>
      <c r="B218" s="1">
        <v>220700013</v>
      </c>
      <c r="C218" s="1">
        <v>207</v>
      </c>
      <c r="D218" s="1">
        <v>0</v>
      </c>
      <c r="E218" s="1">
        <v>82</v>
      </c>
      <c r="F218" s="1">
        <v>-9</v>
      </c>
      <c r="G218" s="1">
        <v>-90</v>
      </c>
    </row>
    <row r="219" spans="1:8" x14ac:dyDescent="0.2">
      <c r="A219" s="1">
        <v>5</v>
      </c>
      <c r="B219" s="1">
        <v>220700014</v>
      </c>
      <c r="C219" s="1">
        <v>207</v>
      </c>
      <c r="D219" s="1">
        <v>0</v>
      </c>
      <c r="E219" s="1">
        <v>115</v>
      </c>
      <c r="F219" s="1">
        <v>-9</v>
      </c>
      <c r="G219" s="1">
        <v>-41</v>
      </c>
    </row>
    <row r="220" spans="1:8" x14ac:dyDescent="0.2">
      <c r="A220" s="1">
        <v>5</v>
      </c>
      <c r="B220" s="1">
        <v>220700015</v>
      </c>
      <c r="C220" s="1">
        <v>207</v>
      </c>
      <c r="D220" s="1">
        <v>0</v>
      </c>
      <c r="E220" s="1">
        <v>107</v>
      </c>
      <c r="F220" s="1">
        <v>-9</v>
      </c>
      <c r="G220" s="1">
        <v>-104</v>
      </c>
    </row>
    <row r="221" spans="1:8" x14ac:dyDescent="0.2">
      <c r="A221" s="1">
        <v>5</v>
      </c>
      <c r="B221" s="1">
        <v>220700016</v>
      </c>
      <c r="C221" s="1">
        <v>207</v>
      </c>
      <c r="D221" s="1">
        <v>0</v>
      </c>
      <c r="E221" s="1">
        <v>95</v>
      </c>
      <c r="F221" s="1">
        <v>-9</v>
      </c>
      <c r="G221" s="1">
        <v>-104</v>
      </c>
    </row>
    <row r="222" spans="1:8" x14ac:dyDescent="0.2">
      <c r="A222" s="1">
        <v>5</v>
      </c>
      <c r="B222" s="1">
        <v>220800001</v>
      </c>
      <c r="C222" s="1">
        <v>208</v>
      </c>
      <c r="D222" s="1">
        <v>0</v>
      </c>
      <c r="E222" s="1">
        <v>-69</v>
      </c>
      <c r="F222" s="1">
        <v>13</v>
      </c>
      <c r="G222" s="1">
        <v>78</v>
      </c>
      <c r="H222" s="1" t="s">
        <v>240</v>
      </c>
    </row>
    <row r="223" spans="1:8" x14ac:dyDescent="0.2">
      <c r="A223" s="1">
        <v>5</v>
      </c>
      <c r="B223" s="1">
        <v>220900001</v>
      </c>
      <c r="C223" s="1">
        <v>209</v>
      </c>
      <c r="D223" s="1">
        <v>0</v>
      </c>
      <c r="E223" s="1">
        <v>45</v>
      </c>
      <c r="F223" s="1">
        <v>0</v>
      </c>
      <c r="G223" s="1">
        <v>18</v>
      </c>
      <c r="H223" s="1" t="s">
        <v>241</v>
      </c>
    </row>
    <row r="224" spans="1:8" x14ac:dyDescent="0.2">
      <c r="A224" s="1">
        <v>5</v>
      </c>
      <c r="B224" s="1">
        <v>221100001</v>
      </c>
      <c r="C224" s="1">
        <v>211</v>
      </c>
      <c r="D224" s="1">
        <v>0</v>
      </c>
      <c r="E224" s="1">
        <v>21</v>
      </c>
      <c r="F224" s="1">
        <v>0</v>
      </c>
      <c r="G224" s="1">
        <v>-37</v>
      </c>
      <c r="H224" s="1" t="s">
        <v>242</v>
      </c>
    </row>
    <row r="225" spans="1:8" x14ac:dyDescent="0.2">
      <c r="A225" s="1">
        <v>5</v>
      </c>
      <c r="B225" s="1">
        <v>221200001</v>
      </c>
      <c r="C225" s="1">
        <v>212</v>
      </c>
      <c r="D225" s="1">
        <v>0</v>
      </c>
      <c r="E225" s="1">
        <v>109.5</v>
      </c>
      <c r="F225" s="1">
        <v>-4.5999999999999996</v>
      </c>
      <c r="G225" s="1">
        <v>69</v>
      </c>
      <c r="H225" s="1" t="s">
        <v>243</v>
      </c>
    </row>
    <row r="226" spans="1:8" x14ac:dyDescent="0.2">
      <c r="A226" s="1">
        <v>5</v>
      </c>
      <c r="B226" s="1">
        <v>221300001</v>
      </c>
      <c r="C226" s="1">
        <v>213</v>
      </c>
      <c r="D226" s="1">
        <v>0</v>
      </c>
      <c r="E226" s="1">
        <v>16</v>
      </c>
      <c r="F226" s="1">
        <v>-18.5</v>
      </c>
      <c r="G226" s="1">
        <v>130</v>
      </c>
      <c r="H226" s="1" t="s">
        <v>244</v>
      </c>
    </row>
    <row r="227" spans="1:8" x14ac:dyDescent="0.2">
      <c r="A227" s="1">
        <v>5</v>
      </c>
      <c r="B227" s="1">
        <v>221500001</v>
      </c>
      <c r="C227" s="1">
        <v>215</v>
      </c>
      <c r="D227" s="1">
        <v>0</v>
      </c>
      <c r="E227" s="1">
        <v>99</v>
      </c>
      <c r="F227" s="1">
        <v>0</v>
      </c>
      <c r="G227" s="1">
        <v>1</v>
      </c>
      <c r="H227" s="1" t="s">
        <v>245</v>
      </c>
    </row>
    <row r="228" spans="1:8" x14ac:dyDescent="0.2">
      <c r="A228" s="1">
        <v>5</v>
      </c>
      <c r="B228" s="1">
        <v>222200001</v>
      </c>
      <c r="C228" s="1">
        <v>222</v>
      </c>
      <c r="D228" s="1">
        <v>0</v>
      </c>
      <c r="E228" s="1">
        <v>48</v>
      </c>
      <c r="F228" s="1">
        <v>0</v>
      </c>
      <c r="G228" s="1">
        <v>-16</v>
      </c>
      <c r="H228" s="1" t="s">
        <v>246</v>
      </c>
    </row>
    <row r="229" spans="1:8" x14ac:dyDescent="0.2">
      <c r="A229" s="1">
        <v>5</v>
      </c>
      <c r="B229" s="1">
        <v>222400001</v>
      </c>
      <c r="C229" s="1">
        <v>224</v>
      </c>
      <c r="D229" s="1">
        <v>0</v>
      </c>
      <c r="E229" s="1">
        <v>72</v>
      </c>
      <c r="F229" s="1">
        <v>0</v>
      </c>
      <c r="G229" s="1">
        <v>18</v>
      </c>
      <c r="H229" s="1" t="s">
        <v>247</v>
      </c>
    </row>
    <row r="230" spans="1:8" x14ac:dyDescent="0.2">
      <c r="A230" s="1">
        <v>5</v>
      </c>
      <c r="B230" s="1">
        <v>222600001</v>
      </c>
      <c r="C230" s="1">
        <v>226</v>
      </c>
      <c r="D230" s="1">
        <v>0</v>
      </c>
      <c r="E230" s="1">
        <v>-22</v>
      </c>
      <c r="F230" s="1">
        <v>3</v>
      </c>
      <c r="G230" s="1">
        <v>69</v>
      </c>
      <c r="H230" s="1" t="s">
        <v>248</v>
      </c>
    </row>
    <row r="231" spans="1:8" x14ac:dyDescent="0.2">
      <c r="A231" s="1">
        <v>5</v>
      </c>
      <c r="B231" s="1">
        <v>222700001</v>
      </c>
      <c r="C231" s="1">
        <v>227</v>
      </c>
      <c r="D231" s="1">
        <v>0</v>
      </c>
      <c r="E231" s="1">
        <v>162</v>
      </c>
      <c r="F231" s="1">
        <v>-9</v>
      </c>
      <c r="G231" s="1">
        <v>14</v>
      </c>
      <c r="H231" s="1" t="s">
        <v>249</v>
      </c>
    </row>
    <row r="232" spans="1:8" x14ac:dyDescent="0.2">
      <c r="A232" s="1">
        <v>5</v>
      </c>
      <c r="B232" s="1">
        <v>222700002</v>
      </c>
      <c r="C232" s="1">
        <v>227</v>
      </c>
      <c r="D232" s="1">
        <v>0</v>
      </c>
      <c r="E232" s="1">
        <v>162</v>
      </c>
      <c r="F232" s="1">
        <v>-9</v>
      </c>
      <c r="G232" s="1">
        <v>-15</v>
      </c>
    </row>
    <row r="233" spans="1:8" x14ac:dyDescent="0.2">
      <c r="A233" s="1">
        <v>5</v>
      </c>
      <c r="B233" s="1">
        <v>222900001</v>
      </c>
      <c r="C233" s="1">
        <v>229</v>
      </c>
      <c r="D233" s="1">
        <v>0</v>
      </c>
      <c r="E233" s="1">
        <v>27</v>
      </c>
      <c r="F233" s="1">
        <v>0</v>
      </c>
      <c r="G233" s="1">
        <v>36</v>
      </c>
      <c r="H233" s="1" t="s">
        <v>296</v>
      </c>
    </row>
    <row r="234" spans="1:8" x14ac:dyDescent="0.2">
      <c r="A234" s="1">
        <v>5</v>
      </c>
      <c r="B234" s="1">
        <v>223000001</v>
      </c>
      <c r="C234" s="1">
        <v>230</v>
      </c>
      <c r="D234" s="1">
        <v>0</v>
      </c>
      <c r="E234" s="1">
        <v>30</v>
      </c>
      <c r="F234" s="1">
        <v>0</v>
      </c>
      <c r="G234" s="1">
        <v>-16</v>
      </c>
      <c r="H234" s="1" t="s">
        <v>250</v>
      </c>
    </row>
    <row r="235" spans="1:8" x14ac:dyDescent="0.2">
      <c r="A235" s="1">
        <v>5</v>
      </c>
      <c r="B235" s="1">
        <v>223100001</v>
      </c>
      <c r="C235" s="1">
        <v>231</v>
      </c>
      <c r="D235" s="1">
        <v>0</v>
      </c>
      <c r="E235" s="1">
        <v>-10</v>
      </c>
      <c r="F235" s="1">
        <v>0</v>
      </c>
      <c r="G235" s="1">
        <v>-40</v>
      </c>
      <c r="H235" s="1" t="s">
        <v>251</v>
      </c>
    </row>
    <row r="236" spans="1:8" x14ac:dyDescent="0.2">
      <c r="A236" s="1">
        <v>5</v>
      </c>
      <c r="B236" s="1">
        <v>223200001</v>
      </c>
      <c r="C236" s="1">
        <v>232</v>
      </c>
      <c r="D236" s="1">
        <v>0</v>
      </c>
      <c r="E236" s="1">
        <v>72</v>
      </c>
      <c r="F236" s="1">
        <v>0</v>
      </c>
      <c r="G236" s="1">
        <v>48</v>
      </c>
      <c r="H236" s="1" t="s">
        <v>252</v>
      </c>
    </row>
    <row r="237" spans="1:8" x14ac:dyDescent="0.2">
      <c r="A237" s="1">
        <v>5</v>
      </c>
      <c r="B237" s="1">
        <v>223400001</v>
      </c>
      <c r="C237" s="1">
        <v>234</v>
      </c>
      <c r="D237" s="1">
        <v>0</v>
      </c>
      <c r="E237" s="1">
        <v>-99</v>
      </c>
      <c r="F237" s="1">
        <v>0</v>
      </c>
      <c r="G237" s="1">
        <v>-56</v>
      </c>
      <c r="H237" s="1" t="s">
        <v>297</v>
      </c>
    </row>
    <row r="238" spans="1:8" x14ac:dyDescent="0.2">
      <c r="A238" s="1">
        <v>5</v>
      </c>
      <c r="B238" s="1">
        <v>223400002</v>
      </c>
      <c r="C238" s="1">
        <v>234</v>
      </c>
      <c r="D238" s="1">
        <v>0</v>
      </c>
      <c r="E238" s="1">
        <v>-111</v>
      </c>
      <c r="F238" s="1">
        <v>0</v>
      </c>
      <c r="G238" s="1">
        <v>-63</v>
      </c>
    </row>
    <row r="239" spans="1:8" x14ac:dyDescent="0.2">
      <c r="A239" s="1">
        <v>5</v>
      </c>
      <c r="B239" s="1">
        <v>223400003</v>
      </c>
      <c r="C239" s="1">
        <v>234</v>
      </c>
      <c r="D239" s="1">
        <v>0</v>
      </c>
      <c r="E239" s="1">
        <v>-89</v>
      </c>
      <c r="F239" s="1">
        <v>0</v>
      </c>
      <c r="G239" s="1">
        <v>-68</v>
      </c>
    </row>
    <row r="240" spans="1:8" x14ac:dyDescent="0.2">
      <c r="A240" s="1">
        <v>5</v>
      </c>
      <c r="B240" s="1">
        <v>223400004</v>
      </c>
      <c r="C240" s="1">
        <v>234</v>
      </c>
      <c r="D240" s="1">
        <v>0</v>
      </c>
      <c r="E240" s="1">
        <v>-101</v>
      </c>
      <c r="F240" s="1">
        <v>0</v>
      </c>
      <c r="G240" s="1">
        <v>-69</v>
      </c>
    </row>
    <row r="241" spans="1:8" x14ac:dyDescent="0.2">
      <c r="A241" s="1">
        <v>5</v>
      </c>
      <c r="B241" s="1">
        <v>223500001</v>
      </c>
      <c r="C241" s="1">
        <v>235</v>
      </c>
      <c r="D241" s="1">
        <v>0</v>
      </c>
      <c r="E241" s="1">
        <v>-57</v>
      </c>
      <c r="F241" s="1">
        <v>5</v>
      </c>
      <c r="G241" s="1">
        <v>6</v>
      </c>
      <c r="H241" s="1" t="s">
        <v>253</v>
      </c>
    </row>
    <row r="242" spans="1:8" x14ac:dyDescent="0.2">
      <c r="A242" s="1">
        <v>5</v>
      </c>
      <c r="B242" s="1">
        <v>223600001</v>
      </c>
      <c r="C242" s="1">
        <v>236</v>
      </c>
      <c r="D242" s="1">
        <v>0</v>
      </c>
      <c r="E242" s="1">
        <v>-35</v>
      </c>
      <c r="F242" s="1">
        <v>5</v>
      </c>
      <c r="G242" s="1">
        <v>6</v>
      </c>
      <c r="H242" s="1" t="s">
        <v>254</v>
      </c>
    </row>
    <row r="243" spans="1:8" x14ac:dyDescent="0.2">
      <c r="A243" s="1">
        <v>5</v>
      </c>
      <c r="B243" s="1">
        <v>223700001</v>
      </c>
      <c r="C243" s="1">
        <v>237</v>
      </c>
      <c r="D243" s="1">
        <v>0</v>
      </c>
      <c r="E243" s="1">
        <v>63</v>
      </c>
      <c r="F243" s="1">
        <v>0</v>
      </c>
      <c r="G243" s="1">
        <v>-40</v>
      </c>
      <c r="H243" s="1" t="s">
        <v>255</v>
      </c>
    </row>
    <row r="244" spans="1:8" x14ac:dyDescent="0.2">
      <c r="A244" s="1">
        <v>5</v>
      </c>
      <c r="B244" s="1">
        <v>230000001</v>
      </c>
      <c r="C244" s="1">
        <v>300</v>
      </c>
      <c r="D244" s="1">
        <v>0</v>
      </c>
      <c r="E244" s="1">
        <v>80</v>
      </c>
      <c r="F244" s="1">
        <v>-9</v>
      </c>
      <c r="G244" s="1">
        <v>106</v>
      </c>
      <c r="H244" s="1" t="s">
        <v>256</v>
      </c>
    </row>
    <row r="245" spans="1:8" x14ac:dyDescent="0.2">
      <c r="A245" s="1">
        <v>5</v>
      </c>
      <c r="B245" s="1">
        <v>240000001</v>
      </c>
      <c r="C245" s="1">
        <v>400</v>
      </c>
      <c r="D245" s="1">
        <v>0</v>
      </c>
      <c r="E245" s="1">
        <v>-18</v>
      </c>
      <c r="F245" s="1">
        <v>0</v>
      </c>
      <c r="G245" s="1">
        <v>-63</v>
      </c>
      <c r="H245" s="1" t="s">
        <v>257</v>
      </c>
    </row>
    <row r="246" spans="1:8" x14ac:dyDescent="0.2">
      <c r="A246" s="1">
        <v>5</v>
      </c>
      <c r="B246" s="1">
        <v>240400001</v>
      </c>
      <c r="C246" s="1">
        <v>404</v>
      </c>
      <c r="D246" s="1">
        <v>0</v>
      </c>
      <c r="E246" s="1">
        <v>181.17</v>
      </c>
      <c r="F246" s="1">
        <v>0</v>
      </c>
      <c r="G246" s="1">
        <v>75.650000000000006</v>
      </c>
      <c r="H246" s="1" t="s">
        <v>258</v>
      </c>
    </row>
  </sheetData>
  <phoneticPr fontId="13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44"/>
  <sheetViews>
    <sheetView workbookViewId="0"/>
  </sheetViews>
  <sheetFormatPr defaultColWidth="8.625" defaultRowHeight="14.25" x14ac:dyDescent="0.2"/>
  <cols>
    <col min="1" max="1" width="13" style="1" customWidth="1"/>
    <col min="2" max="2" width="11.125" style="1" customWidth="1"/>
    <col min="3" max="3" width="7.125" style="1" customWidth="1"/>
    <col min="4" max="4" width="10" style="1" customWidth="1"/>
    <col min="5" max="5" width="7.625" style="1" customWidth="1"/>
    <col min="6" max="6" width="13.875" style="1" customWidth="1"/>
    <col min="7" max="7" width="7.625" style="1" customWidth="1"/>
    <col min="8" max="8" width="10.375" style="1" customWidth="1"/>
    <col min="9" max="61" width="13" style="1" customWidth="1"/>
    <col min="62" max="16384" width="8.625" style="4"/>
  </cols>
  <sheetData>
    <row r="1" spans="1:7" x14ac:dyDescent="0.2">
      <c r="A1" s="18" t="s">
        <v>301</v>
      </c>
    </row>
    <row r="2" spans="1:7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</row>
    <row r="3" spans="1:7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</row>
    <row r="4" spans="1:7" x14ac:dyDescent="0.2">
      <c r="A4" s="35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</row>
    <row r="5" spans="1:7" x14ac:dyDescent="0.2">
      <c r="A5" s="35">
        <v>1</v>
      </c>
      <c r="B5" s="35">
        <v>220200001</v>
      </c>
      <c r="C5" s="35">
        <v>202</v>
      </c>
      <c r="D5" s="35">
        <v>0</v>
      </c>
      <c r="E5" s="35">
        <v>57</v>
      </c>
      <c r="F5" s="35">
        <v>-0.11764526</v>
      </c>
      <c r="G5" s="35">
        <v>-57</v>
      </c>
    </row>
    <row r="6" spans="1:7" x14ac:dyDescent="0.2">
      <c r="A6" s="35">
        <v>1</v>
      </c>
      <c r="B6" s="35">
        <v>220200002</v>
      </c>
      <c r="C6" s="35">
        <v>202</v>
      </c>
      <c r="D6" s="35">
        <v>0</v>
      </c>
      <c r="E6" s="35">
        <v>39</v>
      </c>
      <c r="F6" s="35">
        <v>-0.11764526</v>
      </c>
      <c r="G6" s="35">
        <v>54</v>
      </c>
    </row>
    <row r="7" spans="1:7" x14ac:dyDescent="0.2">
      <c r="A7" s="35">
        <v>1</v>
      </c>
      <c r="B7" s="35">
        <v>220200003</v>
      </c>
      <c r="C7" s="35">
        <v>202</v>
      </c>
      <c r="D7" s="35">
        <v>0</v>
      </c>
      <c r="E7" s="35">
        <v>42</v>
      </c>
      <c r="F7" s="35">
        <v>-0.11764526</v>
      </c>
      <c r="G7" s="35">
        <v>-54</v>
      </c>
    </row>
    <row r="8" spans="1:7" x14ac:dyDescent="0.2">
      <c r="A8" s="35">
        <v>1</v>
      </c>
      <c r="B8" s="35">
        <v>220200004</v>
      </c>
      <c r="C8" s="35">
        <v>202</v>
      </c>
      <c r="D8" s="35">
        <v>0</v>
      </c>
      <c r="E8" s="35">
        <v>78</v>
      </c>
      <c r="F8" s="35">
        <v>-0.11764526</v>
      </c>
      <c r="G8" s="35">
        <v>-39</v>
      </c>
    </row>
    <row r="9" spans="1:7" x14ac:dyDescent="0.2">
      <c r="A9" s="35">
        <v>1</v>
      </c>
      <c r="B9" s="35">
        <v>220300001</v>
      </c>
      <c r="C9" s="35">
        <v>203</v>
      </c>
      <c r="D9" s="35">
        <v>0</v>
      </c>
      <c r="E9" s="35">
        <v>-30</v>
      </c>
      <c r="F9" s="35">
        <v>-0.11764526</v>
      </c>
      <c r="G9" s="35">
        <v>-54</v>
      </c>
    </row>
    <row r="10" spans="1:7" x14ac:dyDescent="0.2">
      <c r="A10" s="35">
        <v>1</v>
      </c>
      <c r="B10" s="35">
        <v>220300002</v>
      </c>
      <c r="C10" s="35">
        <v>203</v>
      </c>
      <c r="D10" s="35">
        <v>0</v>
      </c>
      <c r="E10" s="35">
        <v>60</v>
      </c>
      <c r="F10" s="35">
        <v>-9.0117650000000005</v>
      </c>
      <c r="G10" s="35">
        <v>-120</v>
      </c>
    </row>
    <row r="11" spans="1:7" x14ac:dyDescent="0.2">
      <c r="A11" s="35">
        <v>1</v>
      </c>
      <c r="B11" s="35">
        <v>220300003</v>
      </c>
      <c r="C11" s="35">
        <v>203</v>
      </c>
      <c r="D11" s="35">
        <v>0</v>
      </c>
      <c r="E11" s="35">
        <v>-12</v>
      </c>
      <c r="F11" s="35">
        <v>-0.11764526</v>
      </c>
      <c r="G11" s="35">
        <v>-111</v>
      </c>
    </row>
    <row r="12" spans="1:7" x14ac:dyDescent="0.2">
      <c r="A12" s="35">
        <v>1</v>
      </c>
      <c r="B12" s="35">
        <v>220300004</v>
      </c>
      <c r="C12" s="35">
        <v>203</v>
      </c>
      <c r="D12" s="35">
        <v>0</v>
      </c>
      <c r="E12" s="35">
        <v>-60</v>
      </c>
      <c r="F12" s="35">
        <v>-0.11764706</v>
      </c>
      <c r="G12" s="35">
        <v>-90</v>
      </c>
    </row>
    <row r="13" spans="1:7" x14ac:dyDescent="0.2">
      <c r="A13" s="35">
        <v>1</v>
      </c>
      <c r="B13" s="35">
        <v>220300005</v>
      </c>
      <c r="C13" s="35">
        <v>203</v>
      </c>
      <c r="D13" s="35">
        <v>0</v>
      </c>
      <c r="E13" s="35">
        <v>123</v>
      </c>
      <c r="F13" s="35">
        <v>-9.0117650000000005</v>
      </c>
      <c r="G13" s="35">
        <v>-66</v>
      </c>
    </row>
    <row r="14" spans="1:7" x14ac:dyDescent="0.2">
      <c r="A14" s="35">
        <v>1</v>
      </c>
      <c r="B14" s="35">
        <v>220300006</v>
      </c>
      <c r="C14" s="35">
        <v>203</v>
      </c>
      <c r="D14" s="35">
        <v>0</v>
      </c>
      <c r="E14" s="35">
        <v>93</v>
      </c>
      <c r="F14" s="35">
        <v>-9.0117650000000005</v>
      </c>
      <c r="G14" s="35">
        <v>-108</v>
      </c>
    </row>
    <row r="15" spans="1:7" x14ac:dyDescent="0.2">
      <c r="A15" s="35">
        <v>1</v>
      </c>
      <c r="B15" s="35">
        <v>220400001</v>
      </c>
      <c r="C15" s="35">
        <v>204</v>
      </c>
      <c r="D15" s="35">
        <v>0</v>
      </c>
      <c r="E15" s="35">
        <v>136.5</v>
      </c>
      <c r="F15" s="35">
        <v>-8.9653969999999994</v>
      </c>
      <c r="G15" s="35">
        <v>-28.5</v>
      </c>
    </row>
    <row r="16" spans="1:7" x14ac:dyDescent="0.2">
      <c r="A16" s="35">
        <v>1</v>
      </c>
      <c r="B16" s="35">
        <v>220400002</v>
      </c>
      <c r="C16" s="35">
        <v>204</v>
      </c>
      <c r="D16" s="35">
        <v>0</v>
      </c>
      <c r="E16" s="35">
        <v>121.5</v>
      </c>
      <c r="F16" s="35">
        <v>-8.9013059999999999</v>
      </c>
      <c r="G16" s="35">
        <v>-37.5</v>
      </c>
    </row>
    <row r="17" spans="1:7" x14ac:dyDescent="0.2">
      <c r="A17" s="35">
        <v>1</v>
      </c>
      <c r="B17" s="35">
        <v>220400003</v>
      </c>
      <c r="C17" s="35">
        <v>204</v>
      </c>
      <c r="D17" s="35">
        <v>0</v>
      </c>
      <c r="E17" s="35">
        <v>82.5</v>
      </c>
      <c r="F17" s="35">
        <v>-9.0117650000000005</v>
      </c>
      <c r="G17" s="35">
        <v>-100.5</v>
      </c>
    </row>
    <row r="18" spans="1:7" x14ac:dyDescent="0.2">
      <c r="A18" s="35">
        <v>1</v>
      </c>
      <c r="B18" s="35">
        <v>220400004</v>
      </c>
      <c r="C18" s="35">
        <v>204</v>
      </c>
      <c r="D18" s="35">
        <v>0</v>
      </c>
      <c r="E18" s="35">
        <v>118.5</v>
      </c>
      <c r="F18" s="35">
        <v>-9.0117650000000005</v>
      </c>
      <c r="G18" s="35">
        <v>-88.5</v>
      </c>
    </row>
    <row r="19" spans="1:7" x14ac:dyDescent="0.2">
      <c r="A19" s="35">
        <v>1</v>
      </c>
      <c r="B19" s="35">
        <v>220400005</v>
      </c>
      <c r="C19" s="35">
        <v>204</v>
      </c>
      <c r="D19" s="35">
        <v>0</v>
      </c>
      <c r="E19" s="35">
        <v>148.5</v>
      </c>
      <c r="F19" s="35">
        <v>-9.0117650000000005</v>
      </c>
      <c r="G19" s="35">
        <v>-55.5</v>
      </c>
    </row>
    <row r="20" spans="1:7" x14ac:dyDescent="0.2">
      <c r="A20" s="35">
        <v>1</v>
      </c>
      <c r="B20" s="35">
        <v>220400006</v>
      </c>
      <c r="C20" s="35">
        <v>204</v>
      </c>
      <c r="D20" s="35">
        <v>0</v>
      </c>
      <c r="E20" s="35">
        <v>-10.5</v>
      </c>
      <c r="F20" s="35">
        <v>-0.11764526</v>
      </c>
      <c r="G20" s="35">
        <v>-94.5</v>
      </c>
    </row>
    <row r="21" spans="1:7" x14ac:dyDescent="0.2">
      <c r="A21" s="35">
        <v>1</v>
      </c>
      <c r="B21" s="35">
        <v>220500001</v>
      </c>
      <c r="C21" s="35">
        <v>205</v>
      </c>
      <c r="D21" s="35">
        <v>0</v>
      </c>
      <c r="E21" s="35">
        <v>-102</v>
      </c>
      <c r="F21" s="35">
        <v>-0.11764526</v>
      </c>
      <c r="G21" s="35">
        <v>-90</v>
      </c>
    </row>
    <row r="22" spans="1:7" x14ac:dyDescent="0.2">
      <c r="A22" s="35">
        <v>1</v>
      </c>
      <c r="B22" s="35">
        <v>220500002</v>
      </c>
      <c r="C22" s="35">
        <v>205</v>
      </c>
      <c r="D22" s="35">
        <v>0</v>
      </c>
      <c r="E22" s="35">
        <v>-48</v>
      </c>
      <c r="F22" s="35">
        <v>-0.11764526</v>
      </c>
      <c r="G22" s="35">
        <v>-87</v>
      </c>
    </row>
    <row r="23" spans="1:7" x14ac:dyDescent="0.2">
      <c r="A23" s="35">
        <v>1</v>
      </c>
      <c r="B23" s="35">
        <v>220500003</v>
      </c>
      <c r="C23" s="35">
        <v>205</v>
      </c>
      <c r="D23" s="35">
        <v>0</v>
      </c>
      <c r="E23" s="35">
        <v>-75</v>
      </c>
      <c r="F23" s="35">
        <v>-0.11764526</v>
      </c>
      <c r="G23" s="35">
        <v>-45</v>
      </c>
    </row>
    <row r="24" spans="1:7" x14ac:dyDescent="0.2">
      <c r="A24" s="35">
        <v>1</v>
      </c>
      <c r="B24" s="35">
        <v>220500004</v>
      </c>
      <c r="C24" s="35">
        <v>205</v>
      </c>
      <c r="D24" s="35">
        <v>0</v>
      </c>
      <c r="E24" s="35">
        <v>-105</v>
      </c>
      <c r="F24" s="35">
        <v>-0.11764706</v>
      </c>
      <c r="G24" s="35">
        <v>0</v>
      </c>
    </row>
    <row r="25" spans="1:7" x14ac:dyDescent="0.2">
      <c r="A25" s="35">
        <v>1</v>
      </c>
      <c r="B25" s="35">
        <v>220500005</v>
      </c>
      <c r="C25" s="35">
        <v>205</v>
      </c>
      <c r="D25" s="35">
        <v>0</v>
      </c>
      <c r="E25" s="35">
        <v>69</v>
      </c>
      <c r="F25" s="35">
        <v>-9.0117650000000005</v>
      </c>
      <c r="G25" s="35">
        <v>-105</v>
      </c>
    </row>
    <row r="26" spans="1:7" x14ac:dyDescent="0.2">
      <c r="A26" s="35">
        <v>1</v>
      </c>
      <c r="B26" s="35">
        <v>220500006</v>
      </c>
      <c r="C26" s="35">
        <v>205</v>
      </c>
      <c r="D26" s="35">
        <v>0</v>
      </c>
      <c r="E26" s="35">
        <v>-54</v>
      </c>
      <c r="F26" s="35">
        <v>-0.11764526</v>
      </c>
      <c r="G26" s="35">
        <v>-36</v>
      </c>
    </row>
    <row r="27" spans="1:7" x14ac:dyDescent="0.2">
      <c r="A27" s="35">
        <v>1</v>
      </c>
      <c r="B27" s="35">
        <v>220600001</v>
      </c>
      <c r="C27" s="35">
        <v>206</v>
      </c>
      <c r="D27" s="35">
        <v>0</v>
      </c>
      <c r="E27" s="35">
        <v>51</v>
      </c>
      <c r="F27" s="35">
        <v>-0.11764526</v>
      </c>
      <c r="G27" s="35">
        <v>21</v>
      </c>
    </row>
    <row r="28" spans="1:7" x14ac:dyDescent="0.2">
      <c r="A28" s="35">
        <v>1</v>
      </c>
      <c r="B28" s="35">
        <v>220700001</v>
      </c>
      <c r="C28" s="35">
        <v>207</v>
      </c>
      <c r="D28" s="35">
        <v>0</v>
      </c>
      <c r="E28" s="35">
        <v>105</v>
      </c>
      <c r="F28" s="35">
        <v>-8.0117650000000005</v>
      </c>
      <c r="G28" s="35">
        <v>-93</v>
      </c>
    </row>
    <row r="29" spans="1:7" x14ac:dyDescent="0.2">
      <c r="A29" s="35">
        <v>1</v>
      </c>
      <c r="B29" s="35">
        <v>220800001</v>
      </c>
      <c r="C29" s="35">
        <v>208</v>
      </c>
      <c r="D29" s="35">
        <v>0</v>
      </c>
      <c r="E29" s="35">
        <v>-69</v>
      </c>
      <c r="F29" s="35">
        <v>13</v>
      </c>
      <c r="G29" s="35">
        <v>78</v>
      </c>
    </row>
    <row r="30" spans="1:7" x14ac:dyDescent="0.2">
      <c r="A30" s="35">
        <v>1</v>
      </c>
      <c r="B30" s="35">
        <v>220900001</v>
      </c>
      <c r="C30" s="35">
        <v>209</v>
      </c>
      <c r="D30" s="35">
        <v>0</v>
      </c>
      <c r="E30" s="35">
        <v>57</v>
      </c>
      <c r="F30" s="35">
        <v>-0.11764526</v>
      </c>
      <c r="G30" s="35">
        <v>45</v>
      </c>
    </row>
    <row r="31" spans="1:7" x14ac:dyDescent="0.2">
      <c r="A31" s="35">
        <v>1</v>
      </c>
      <c r="B31" s="35">
        <v>221200001</v>
      </c>
      <c r="C31" s="35">
        <v>212</v>
      </c>
      <c r="D31" s="35">
        <v>0</v>
      </c>
      <c r="E31" s="55">
        <v>51</v>
      </c>
      <c r="F31" s="55">
        <v>0</v>
      </c>
      <c r="G31" s="55">
        <v>1.5</v>
      </c>
    </row>
    <row r="32" spans="1:7" x14ac:dyDescent="0.2">
      <c r="A32" s="35">
        <v>1</v>
      </c>
      <c r="B32" s="35">
        <v>221300001</v>
      </c>
      <c r="C32" s="35">
        <v>213</v>
      </c>
      <c r="D32" s="35">
        <v>0</v>
      </c>
      <c r="E32" s="35">
        <v>16.5</v>
      </c>
      <c r="F32" s="35">
        <v>-18.48</v>
      </c>
      <c r="G32" s="35">
        <v>130.5</v>
      </c>
    </row>
    <row r="33" spans="1:7" x14ac:dyDescent="0.2">
      <c r="A33" s="35">
        <v>1</v>
      </c>
      <c r="B33" s="35">
        <v>221500001</v>
      </c>
      <c r="C33" s="35">
        <v>215</v>
      </c>
      <c r="D33" s="35">
        <v>0</v>
      </c>
      <c r="E33" s="56">
        <v>99</v>
      </c>
      <c r="F33" s="56">
        <v>0</v>
      </c>
      <c r="G33" s="56">
        <v>1</v>
      </c>
    </row>
    <row r="34" spans="1:7" x14ac:dyDescent="0.2">
      <c r="A34" s="35">
        <v>1</v>
      </c>
      <c r="B34" s="35">
        <v>222200001</v>
      </c>
      <c r="C34" s="35">
        <v>222</v>
      </c>
      <c r="D34" s="35">
        <v>0</v>
      </c>
      <c r="E34" s="35">
        <v>60</v>
      </c>
      <c r="F34" s="35">
        <v>-0.11764526</v>
      </c>
      <c r="G34" s="35">
        <v>-15</v>
      </c>
    </row>
    <row r="35" spans="1:7" x14ac:dyDescent="0.2">
      <c r="A35" s="35">
        <v>1</v>
      </c>
      <c r="B35" s="35">
        <v>222400001</v>
      </c>
      <c r="C35" s="35">
        <v>224</v>
      </c>
      <c r="D35" s="35">
        <v>0</v>
      </c>
      <c r="E35" s="35">
        <v>78</v>
      </c>
      <c r="F35" s="35">
        <v>-0.11764526</v>
      </c>
      <c r="G35" s="35">
        <v>18</v>
      </c>
    </row>
    <row r="36" spans="1:7" x14ac:dyDescent="0.2">
      <c r="A36" s="35">
        <v>1</v>
      </c>
      <c r="B36" s="35">
        <v>222600001</v>
      </c>
      <c r="C36" s="35">
        <v>226</v>
      </c>
      <c r="D36" s="35">
        <v>0</v>
      </c>
      <c r="E36" s="35">
        <v>-21</v>
      </c>
      <c r="F36" s="35">
        <v>3</v>
      </c>
      <c r="G36" s="35">
        <v>69</v>
      </c>
    </row>
    <row r="37" spans="1:7" x14ac:dyDescent="0.2">
      <c r="A37" s="35">
        <v>1</v>
      </c>
      <c r="B37" s="35">
        <v>222700001</v>
      </c>
      <c r="C37" s="35">
        <v>227</v>
      </c>
      <c r="D37" s="35">
        <v>0</v>
      </c>
      <c r="E37" s="35">
        <v>142</v>
      </c>
      <c r="F37" s="35">
        <v>-8.9</v>
      </c>
      <c r="G37" s="35">
        <v>20</v>
      </c>
    </row>
    <row r="38" spans="1:7" x14ac:dyDescent="0.2">
      <c r="A38" s="35">
        <v>1</v>
      </c>
      <c r="B38" s="35">
        <v>222700002</v>
      </c>
      <c r="C38" s="35">
        <v>227</v>
      </c>
      <c r="D38" s="35">
        <v>0</v>
      </c>
      <c r="E38" s="35">
        <v>152</v>
      </c>
      <c r="F38" s="35">
        <v>-8.9</v>
      </c>
      <c r="G38" s="35">
        <v>-41</v>
      </c>
    </row>
    <row r="39" spans="1:7" x14ac:dyDescent="0.2">
      <c r="A39" s="35">
        <v>1</v>
      </c>
      <c r="B39" s="35">
        <v>222900001</v>
      </c>
      <c r="C39" s="35">
        <v>229</v>
      </c>
      <c r="D39" s="35">
        <v>0</v>
      </c>
      <c r="E39" s="35">
        <v>57</v>
      </c>
      <c r="F39" s="35">
        <v>-0.11764526</v>
      </c>
      <c r="G39" s="35">
        <v>-39</v>
      </c>
    </row>
    <row r="40" spans="1:7" x14ac:dyDescent="0.2">
      <c r="A40" s="35">
        <v>1</v>
      </c>
      <c r="B40" s="35">
        <v>223000001</v>
      </c>
      <c r="C40" s="35">
        <v>230</v>
      </c>
      <c r="D40" s="35">
        <v>0</v>
      </c>
      <c r="E40" s="35">
        <v>45</v>
      </c>
      <c r="F40" s="35">
        <v>-0.11764526</v>
      </c>
      <c r="G40" s="35">
        <v>-12</v>
      </c>
    </row>
    <row r="41" spans="1:7" x14ac:dyDescent="0.2">
      <c r="A41" s="35">
        <v>1</v>
      </c>
      <c r="B41" s="35">
        <v>223100001</v>
      </c>
      <c r="C41" s="35">
        <v>231</v>
      </c>
      <c r="D41" s="35">
        <v>0</v>
      </c>
      <c r="E41" s="35">
        <v>-33</v>
      </c>
      <c r="F41" s="35">
        <v>-0.11764526</v>
      </c>
      <c r="G41" s="35">
        <v>-33</v>
      </c>
    </row>
    <row r="42" spans="1:7" x14ac:dyDescent="0.2">
      <c r="A42" s="35">
        <v>1</v>
      </c>
      <c r="B42" s="35">
        <v>223200001</v>
      </c>
      <c r="C42" s="35">
        <v>232</v>
      </c>
      <c r="D42" s="35">
        <v>0</v>
      </c>
      <c r="E42" s="35">
        <v>78</v>
      </c>
      <c r="F42" s="35">
        <v>-0.11764526</v>
      </c>
      <c r="G42" s="35">
        <v>45</v>
      </c>
    </row>
    <row r="43" spans="1:7" x14ac:dyDescent="0.2">
      <c r="A43" s="35">
        <v>1</v>
      </c>
      <c r="B43" s="35">
        <v>223400001</v>
      </c>
      <c r="C43" s="35">
        <v>234</v>
      </c>
      <c r="D43" s="35">
        <v>0</v>
      </c>
      <c r="E43" s="35">
        <v>-55.5</v>
      </c>
      <c r="F43" s="35">
        <v>-0.11764526</v>
      </c>
      <c r="G43" s="35">
        <v>-55.5</v>
      </c>
    </row>
    <row r="44" spans="1:7" x14ac:dyDescent="0.2">
      <c r="A44" s="35">
        <v>1</v>
      </c>
      <c r="B44" s="35">
        <v>223400002</v>
      </c>
      <c r="C44" s="35">
        <v>234</v>
      </c>
      <c r="D44" s="35">
        <v>0</v>
      </c>
      <c r="E44" s="35">
        <v>-103.5</v>
      </c>
      <c r="F44" s="35">
        <v>-0.11764706</v>
      </c>
      <c r="G44" s="35">
        <v>-16.5</v>
      </c>
    </row>
    <row r="45" spans="1:7" x14ac:dyDescent="0.2">
      <c r="A45" s="35">
        <v>1</v>
      </c>
      <c r="B45" s="35">
        <v>223400003</v>
      </c>
      <c r="C45" s="35">
        <v>234</v>
      </c>
      <c r="D45" s="35">
        <v>0</v>
      </c>
      <c r="E45" s="35">
        <v>-100.5</v>
      </c>
      <c r="F45" s="35">
        <v>-0.11764526</v>
      </c>
      <c r="G45" s="35">
        <v>-55.5</v>
      </c>
    </row>
    <row r="46" spans="1:7" x14ac:dyDescent="0.2">
      <c r="A46" s="35">
        <v>1</v>
      </c>
      <c r="B46" s="35">
        <v>223400004</v>
      </c>
      <c r="C46" s="35">
        <v>234</v>
      </c>
      <c r="D46" s="35">
        <v>0</v>
      </c>
      <c r="E46" s="35">
        <v>-70.5</v>
      </c>
      <c r="F46" s="35">
        <v>-0.11764526</v>
      </c>
      <c r="G46" s="35">
        <v>-55.5</v>
      </c>
    </row>
    <row r="47" spans="1:7" x14ac:dyDescent="0.2">
      <c r="A47" s="35">
        <v>1</v>
      </c>
      <c r="B47" s="35">
        <v>223400005</v>
      </c>
      <c r="C47" s="35">
        <v>234</v>
      </c>
      <c r="D47" s="35">
        <v>0</v>
      </c>
      <c r="E47" s="35">
        <v>-106.5</v>
      </c>
      <c r="F47" s="35">
        <v>-0.11764526</v>
      </c>
      <c r="G47" s="35">
        <v>-31.5</v>
      </c>
    </row>
    <row r="48" spans="1:7" x14ac:dyDescent="0.2">
      <c r="A48" s="35">
        <v>1</v>
      </c>
      <c r="B48" s="35">
        <v>223400006</v>
      </c>
      <c r="C48" s="35">
        <v>234</v>
      </c>
      <c r="D48" s="35">
        <v>0</v>
      </c>
      <c r="E48" s="35">
        <v>-70.5</v>
      </c>
      <c r="F48" s="35">
        <v>-0.11764526</v>
      </c>
      <c r="G48" s="35">
        <v>-34.5</v>
      </c>
    </row>
    <row r="49" spans="1:8" x14ac:dyDescent="0.2">
      <c r="A49" s="35">
        <v>1</v>
      </c>
      <c r="B49" s="35">
        <v>223500001</v>
      </c>
      <c r="C49" s="35">
        <v>235</v>
      </c>
      <c r="D49" s="35">
        <v>0</v>
      </c>
      <c r="E49" s="35">
        <v>-53</v>
      </c>
      <c r="F49" s="35">
        <v>5</v>
      </c>
      <c r="G49" s="35">
        <v>6</v>
      </c>
      <c r="H49" s="56"/>
    </row>
    <row r="50" spans="1:8" x14ac:dyDescent="0.2">
      <c r="A50" s="35">
        <v>1</v>
      </c>
      <c r="B50" s="35">
        <v>223600001</v>
      </c>
      <c r="C50" s="35">
        <v>236</v>
      </c>
      <c r="D50" s="35">
        <v>0</v>
      </c>
      <c r="E50" s="35">
        <v>-35</v>
      </c>
      <c r="F50" s="35">
        <v>5</v>
      </c>
      <c r="G50" s="35">
        <v>5</v>
      </c>
      <c r="H50" s="56"/>
    </row>
    <row r="51" spans="1:8" x14ac:dyDescent="0.2">
      <c r="A51" s="35">
        <v>1</v>
      </c>
      <c r="B51" s="35">
        <v>223700001</v>
      </c>
      <c r="C51" s="35">
        <v>237</v>
      </c>
      <c r="D51" s="35">
        <v>0</v>
      </c>
      <c r="E51" s="35">
        <v>72</v>
      </c>
      <c r="F51" s="35">
        <v>-0.11764526</v>
      </c>
      <c r="G51" s="35">
        <v>-24</v>
      </c>
    </row>
    <row r="52" spans="1:8" x14ac:dyDescent="0.2">
      <c r="A52" s="35">
        <v>1</v>
      </c>
      <c r="B52" s="35">
        <v>4040001</v>
      </c>
      <c r="C52" s="35">
        <v>404</v>
      </c>
      <c r="D52" s="35">
        <v>0</v>
      </c>
      <c r="E52" s="35">
        <v>196.53</v>
      </c>
      <c r="F52" s="35">
        <v>0</v>
      </c>
      <c r="G52" s="35">
        <v>91.8</v>
      </c>
    </row>
    <row r="53" spans="1:8" ht="16.5" x14ac:dyDescent="0.2">
      <c r="A53" s="1">
        <v>2</v>
      </c>
      <c r="B53" s="1">
        <v>220100001</v>
      </c>
      <c r="C53" s="57">
        <v>201</v>
      </c>
      <c r="D53" s="57">
        <v>0</v>
      </c>
      <c r="E53" s="58">
        <v>0</v>
      </c>
      <c r="F53" s="58">
        <v>0</v>
      </c>
      <c r="G53" s="58">
        <v>0</v>
      </c>
      <c r="H53" s="57" t="s">
        <v>233</v>
      </c>
    </row>
    <row r="54" spans="1:8" ht="16.5" x14ac:dyDescent="0.2">
      <c r="A54" s="1">
        <v>2</v>
      </c>
      <c r="B54" s="1">
        <v>220200001</v>
      </c>
      <c r="C54" s="59">
        <v>202</v>
      </c>
      <c r="D54" s="59">
        <v>0</v>
      </c>
      <c r="E54" s="60">
        <v>-55</v>
      </c>
      <c r="F54" s="60">
        <v>0</v>
      </c>
      <c r="G54" s="60">
        <v>-53</v>
      </c>
      <c r="H54" s="57" t="s">
        <v>234</v>
      </c>
    </row>
    <row r="55" spans="1:8" ht="16.5" x14ac:dyDescent="0.2">
      <c r="A55" s="1">
        <v>2</v>
      </c>
      <c r="B55" s="1">
        <v>220200002</v>
      </c>
      <c r="C55" s="59">
        <v>202</v>
      </c>
      <c r="D55" s="59">
        <v>0</v>
      </c>
      <c r="E55" s="60">
        <v>-71</v>
      </c>
      <c r="F55" s="60">
        <v>0</v>
      </c>
      <c r="G55" s="60">
        <v>-51</v>
      </c>
      <c r="H55" s="57"/>
    </row>
    <row r="56" spans="1:8" ht="16.5" x14ac:dyDescent="0.2">
      <c r="A56" s="1">
        <v>2</v>
      </c>
      <c r="B56" s="1">
        <v>220200003</v>
      </c>
      <c r="C56" s="59">
        <v>202</v>
      </c>
      <c r="D56" s="59">
        <v>0</v>
      </c>
      <c r="E56" s="60">
        <v>-53</v>
      </c>
      <c r="F56" s="60">
        <v>0</v>
      </c>
      <c r="G56" s="60">
        <v>-38</v>
      </c>
      <c r="H56" s="57"/>
    </row>
    <row r="57" spans="1:8" ht="16.5" x14ac:dyDescent="0.2">
      <c r="A57" s="1">
        <v>2</v>
      </c>
      <c r="B57" s="1">
        <v>220200004</v>
      </c>
      <c r="C57" s="59">
        <v>202</v>
      </c>
      <c r="D57" s="59">
        <v>0</v>
      </c>
      <c r="E57" s="60">
        <v>-71</v>
      </c>
      <c r="F57" s="60">
        <v>0</v>
      </c>
      <c r="G57" s="60">
        <v>-35</v>
      </c>
      <c r="H57" s="57"/>
    </row>
    <row r="58" spans="1:8" ht="16.5" x14ac:dyDescent="0.2">
      <c r="A58" s="1">
        <v>2</v>
      </c>
      <c r="B58" s="1">
        <v>220300001</v>
      </c>
      <c r="C58" s="59">
        <v>203</v>
      </c>
      <c r="D58" s="59">
        <v>0</v>
      </c>
      <c r="E58" s="60">
        <v>141</v>
      </c>
      <c r="F58" s="60">
        <v>-9</v>
      </c>
      <c r="G58" s="60">
        <v>-42</v>
      </c>
      <c r="H58" s="57" t="s">
        <v>235</v>
      </c>
    </row>
    <row r="59" spans="1:8" ht="16.5" x14ac:dyDescent="0.2">
      <c r="A59" s="1">
        <v>2</v>
      </c>
      <c r="B59" s="1">
        <v>220300002</v>
      </c>
      <c r="C59" s="59">
        <v>203</v>
      </c>
      <c r="D59" s="59">
        <v>0</v>
      </c>
      <c r="E59" s="60">
        <v>120</v>
      </c>
      <c r="F59" s="60">
        <v>-9</v>
      </c>
      <c r="G59" s="60">
        <v>-92</v>
      </c>
      <c r="H59" s="57"/>
    </row>
    <row r="60" spans="1:8" ht="16.5" x14ac:dyDescent="0.2">
      <c r="A60" s="1">
        <v>2</v>
      </c>
      <c r="B60" s="1">
        <v>220400001</v>
      </c>
      <c r="C60" s="59">
        <v>204</v>
      </c>
      <c r="D60" s="59">
        <v>0</v>
      </c>
      <c r="E60" s="60">
        <v>68</v>
      </c>
      <c r="F60" s="60">
        <v>-9</v>
      </c>
      <c r="G60" s="60">
        <v>-103</v>
      </c>
      <c r="H60" s="57" t="s">
        <v>236</v>
      </c>
    </row>
    <row r="61" spans="1:8" ht="16.5" x14ac:dyDescent="0.2">
      <c r="A61" s="1">
        <v>2</v>
      </c>
      <c r="B61" s="1">
        <v>220400002</v>
      </c>
      <c r="C61" s="59">
        <v>204</v>
      </c>
      <c r="D61" s="59">
        <v>0</v>
      </c>
      <c r="E61" s="60">
        <v>53</v>
      </c>
      <c r="F61" s="60">
        <v>-9</v>
      </c>
      <c r="G61" s="60">
        <v>-106</v>
      </c>
      <c r="H61" s="57"/>
    </row>
    <row r="62" spans="1:8" ht="16.5" x14ac:dyDescent="0.2">
      <c r="A62" s="1">
        <v>2</v>
      </c>
      <c r="B62" s="1">
        <v>220500001</v>
      </c>
      <c r="C62" s="59">
        <v>205</v>
      </c>
      <c r="D62" s="59">
        <v>0</v>
      </c>
      <c r="E62" s="60">
        <v>-57</v>
      </c>
      <c r="F62" s="60">
        <v>0</v>
      </c>
      <c r="G62" s="60">
        <v>-90</v>
      </c>
      <c r="H62" s="57" t="s">
        <v>237</v>
      </c>
    </row>
    <row r="63" spans="1:8" ht="16.5" x14ac:dyDescent="0.2">
      <c r="A63" s="1">
        <v>2</v>
      </c>
      <c r="B63" s="1">
        <v>220500002</v>
      </c>
      <c r="C63" s="59">
        <v>205</v>
      </c>
      <c r="D63" s="59">
        <v>0</v>
      </c>
      <c r="E63" s="60">
        <v>-78</v>
      </c>
      <c r="F63" s="60">
        <v>0</v>
      </c>
      <c r="G63" s="60">
        <v>-89</v>
      </c>
      <c r="H63" s="57"/>
    </row>
    <row r="64" spans="1:8" ht="16.5" x14ac:dyDescent="0.2">
      <c r="A64" s="1">
        <v>2</v>
      </c>
      <c r="B64" s="1">
        <v>220600001</v>
      </c>
      <c r="C64" s="59">
        <v>206</v>
      </c>
      <c r="D64" s="59">
        <v>0</v>
      </c>
      <c r="E64" s="60">
        <v>60</v>
      </c>
      <c r="F64" s="60">
        <v>0</v>
      </c>
      <c r="G64" s="60">
        <v>48</v>
      </c>
      <c r="H64" s="57" t="s">
        <v>238</v>
      </c>
    </row>
    <row r="65" spans="1:8" ht="16.5" x14ac:dyDescent="0.2">
      <c r="A65" s="1">
        <v>2</v>
      </c>
      <c r="B65" s="1">
        <v>220700001</v>
      </c>
      <c r="C65" s="59">
        <v>207</v>
      </c>
      <c r="D65" s="59">
        <v>0</v>
      </c>
      <c r="E65" s="60">
        <v>128</v>
      </c>
      <c r="F65" s="60">
        <v>-9</v>
      </c>
      <c r="G65" s="60">
        <v>-54</v>
      </c>
      <c r="H65" s="57" t="s">
        <v>239</v>
      </c>
    </row>
    <row r="66" spans="1:8" ht="16.5" x14ac:dyDescent="0.2">
      <c r="A66" s="1">
        <v>2</v>
      </c>
      <c r="B66" s="1">
        <v>220700002</v>
      </c>
      <c r="C66" s="59">
        <v>207</v>
      </c>
      <c r="D66" s="59">
        <v>0</v>
      </c>
      <c r="E66" s="60">
        <v>132</v>
      </c>
      <c r="F66" s="60">
        <v>-9</v>
      </c>
      <c r="G66" s="60">
        <v>-91</v>
      </c>
      <c r="H66" s="57"/>
    </row>
    <row r="67" spans="1:8" ht="16.5" x14ac:dyDescent="0.2">
      <c r="A67" s="1">
        <v>2</v>
      </c>
      <c r="B67" s="1">
        <v>220700003</v>
      </c>
      <c r="C67" s="59">
        <v>207</v>
      </c>
      <c r="D67" s="59">
        <v>0</v>
      </c>
      <c r="E67" s="61">
        <v>115</v>
      </c>
      <c r="F67" s="61">
        <v>-9</v>
      </c>
      <c r="G67" s="61">
        <v>-53</v>
      </c>
      <c r="H67" s="57"/>
    </row>
    <row r="68" spans="1:8" ht="16.5" x14ac:dyDescent="0.2">
      <c r="A68" s="1">
        <v>2</v>
      </c>
      <c r="B68" s="1">
        <v>220700004</v>
      </c>
      <c r="C68" s="59">
        <v>207</v>
      </c>
      <c r="D68" s="59">
        <v>0</v>
      </c>
      <c r="E68" s="60">
        <v>141</v>
      </c>
      <c r="F68" s="60">
        <v>-9</v>
      </c>
      <c r="G68" s="60">
        <v>-54</v>
      </c>
      <c r="H68" s="57"/>
    </row>
    <row r="69" spans="1:8" ht="16.5" x14ac:dyDescent="0.2">
      <c r="A69" s="1">
        <v>2</v>
      </c>
      <c r="B69" s="1">
        <v>220800001</v>
      </c>
      <c r="C69" s="59">
        <v>208</v>
      </c>
      <c r="D69" s="59">
        <v>0</v>
      </c>
      <c r="E69" s="60">
        <v>-69</v>
      </c>
      <c r="F69" s="60">
        <v>13</v>
      </c>
      <c r="G69" s="60">
        <v>78</v>
      </c>
      <c r="H69" s="57" t="s">
        <v>240</v>
      </c>
    </row>
    <row r="70" spans="1:8" ht="16.5" x14ac:dyDescent="0.2">
      <c r="A70" s="1">
        <v>2</v>
      </c>
      <c r="B70" s="1">
        <v>220900001</v>
      </c>
      <c r="C70" s="59">
        <v>209</v>
      </c>
      <c r="D70" s="59">
        <v>0</v>
      </c>
      <c r="E70" s="60">
        <v>60</v>
      </c>
      <c r="F70" s="60">
        <v>0</v>
      </c>
      <c r="G70" s="60">
        <v>24</v>
      </c>
      <c r="H70" s="57" t="s">
        <v>241</v>
      </c>
    </row>
    <row r="71" spans="1:8" ht="16.5" x14ac:dyDescent="0.2">
      <c r="A71" s="1">
        <v>2</v>
      </c>
      <c r="B71" s="1">
        <v>221100001</v>
      </c>
      <c r="C71" s="59">
        <v>211</v>
      </c>
      <c r="D71" s="59">
        <v>0</v>
      </c>
      <c r="E71" s="60">
        <v>21</v>
      </c>
      <c r="F71" s="60">
        <v>0</v>
      </c>
      <c r="G71" s="60">
        <v>-49</v>
      </c>
      <c r="H71" s="57" t="s">
        <v>242</v>
      </c>
    </row>
    <row r="72" spans="1:8" ht="16.5" x14ac:dyDescent="0.2">
      <c r="A72" s="1">
        <v>2</v>
      </c>
      <c r="B72" s="1">
        <v>221200001</v>
      </c>
      <c r="C72" s="59">
        <v>212</v>
      </c>
      <c r="D72" s="59">
        <v>0</v>
      </c>
      <c r="E72" s="60">
        <v>109.5</v>
      </c>
      <c r="F72" s="60">
        <v>-4.5999999999999996</v>
      </c>
      <c r="G72" s="60">
        <v>69</v>
      </c>
      <c r="H72" s="57" t="s">
        <v>243</v>
      </c>
    </row>
    <row r="73" spans="1:8" ht="16.5" x14ac:dyDescent="0.2">
      <c r="A73" s="1">
        <v>2</v>
      </c>
      <c r="B73" s="1">
        <v>221300001</v>
      </c>
      <c r="C73" s="59">
        <v>213</v>
      </c>
      <c r="D73" s="59">
        <v>0</v>
      </c>
      <c r="E73" s="60">
        <v>16</v>
      </c>
      <c r="F73" s="60">
        <v>-18.5</v>
      </c>
      <c r="G73" s="60">
        <v>130</v>
      </c>
      <c r="H73" s="57" t="s">
        <v>244</v>
      </c>
    </row>
    <row r="74" spans="1:8" ht="16.5" x14ac:dyDescent="0.2">
      <c r="A74" s="1">
        <v>2</v>
      </c>
      <c r="B74" s="1">
        <v>221500001</v>
      </c>
      <c r="C74" s="59">
        <v>215</v>
      </c>
      <c r="D74" s="59">
        <v>0</v>
      </c>
      <c r="E74" s="60">
        <v>99</v>
      </c>
      <c r="F74" s="60">
        <v>0</v>
      </c>
      <c r="G74" s="60">
        <v>1</v>
      </c>
      <c r="H74" s="57" t="s">
        <v>245</v>
      </c>
    </row>
    <row r="75" spans="1:8" ht="16.5" x14ac:dyDescent="0.2">
      <c r="A75" s="1">
        <v>2</v>
      </c>
      <c r="B75" s="1">
        <v>222200001</v>
      </c>
      <c r="C75" s="59">
        <v>222</v>
      </c>
      <c r="D75" s="59">
        <v>0</v>
      </c>
      <c r="E75" s="60">
        <v>43</v>
      </c>
      <c r="F75" s="60">
        <v>0</v>
      </c>
      <c r="G75" s="60">
        <v>21</v>
      </c>
      <c r="H75" s="57" t="s">
        <v>246</v>
      </c>
    </row>
    <row r="76" spans="1:8" ht="16.5" x14ac:dyDescent="0.2">
      <c r="A76" s="1">
        <v>2</v>
      </c>
      <c r="B76" s="1">
        <v>222400001</v>
      </c>
      <c r="C76" s="59">
        <v>224</v>
      </c>
      <c r="D76" s="59">
        <v>0</v>
      </c>
      <c r="E76" s="60">
        <v>81</v>
      </c>
      <c r="F76" s="60">
        <v>0</v>
      </c>
      <c r="G76" s="60">
        <v>15</v>
      </c>
      <c r="H76" s="57" t="s">
        <v>247</v>
      </c>
    </row>
    <row r="77" spans="1:8" ht="16.5" x14ac:dyDescent="0.2">
      <c r="A77" s="1">
        <v>2</v>
      </c>
      <c r="B77" s="1">
        <v>222600001</v>
      </c>
      <c r="C77" s="59">
        <v>226</v>
      </c>
      <c r="D77" s="59">
        <v>0</v>
      </c>
      <c r="E77" s="60">
        <v>-22</v>
      </c>
      <c r="F77" s="60">
        <v>3</v>
      </c>
      <c r="G77" s="60">
        <v>69</v>
      </c>
      <c r="H77" s="57" t="s">
        <v>248</v>
      </c>
    </row>
    <row r="78" spans="1:8" ht="16.5" x14ac:dyDescent="0.2">
      <c r="A78" s="1">
        <v>2</v>
      </c>
      <c r="B78" s="1">
        <v>222700001</v>
      </c>
      <c r="C78" s="59">
        <v>227</v>
      </c>
      <c r="D78" s="59">
        <v>0</v>
      </c>
      <c r="E78" s="60">
        <v>152</v>
      </c>
      <c r="F78" s="60">
        <v>-9</v>
      </c>
      <c r="G78" s="60">
        <v>-30</v>
      </c>
      <c r="H78" s="57" t="s">
        <v>249</v>
      </c>
    </row>
    <row r="79" spans="1:8" ht="16.5" x14ac:dyDescent="0.2">
      <c r="A79" s="1">
        <v>2</v>
      </c>
      <c r="B79" s="1">
        <v>222700002</v>
      </c>
      <c r="C79" s="59">
        <v>227</v>
      </c>
      <c r="D79" s="59">
        <v>0</v>
      </c>
      <c r="E79" s="60">
        <v>141</v>
      </c>
      <c r="F79" s="60">
        <v>-9</v>
      </c>
      <c r="G79" s="60">
        <v>20</v>
      </c>
      <c r="H79" s="57"/>
    </row>
    <row r="80" spans="1:8" ht="16.5" x14ac:dyDescent="0.2">
      <c r="A80" s="1">
        <v>2</v>
      </c>
      <c r="B80" s="1">
        <v>223000001</v>
      </c>
      <c r="C80" s="59">
        <v>230</v>
      </c>
      <c r="D80" s="59">
        <v>0</v>
      </c>
      <c r="E80" s="60">
        <v>45</v>
      </c>
      <c r="F80" s="60">
        <v>0</v>
      </c>
      <c r="G80" s="60">
        <v>-19</v>
      </c>
      <c r="H80" s="57" t="s">
        <v>250</v>
      </c>
    </row>
    <row r="81" spans="1:8" ht="16.5" x14ac:dyDescent="0.2">
      <c r="A81" s="1">
        <v>2</v>
      </c>
      <c r="B81" s="1">
        <v>223100001</v>
      </c>
      <c r="C81" s="59">
        <v>231</v>
      </c>
      <c r="D81" s="59">
        <v>0</v>
      </c>
      <c r="E81" s="60">
        <v>-31</v>
      </c>
      <c r="F81" s="60">
        <v>0</v>
      </c>
      <c r="G81" s="60">
        <v>-34</v>
      </c>
      <c r="H81" s="57" t="s">
        <v>251</v>
      </c>
    </row>
    <row r="82" spans="1:8" ht="16.5" x14ac:dyDescent="0.2">
      <c r="A82" s="1">
        <v>2</v>
      </c>
      <c r="B82" s="1">
        <v>223200001</v>
      </c>
      <c r="C82" s="59">
        <v>232</v>
      </c>
      <c r="D82" s="59">
        <v>0</v>
      </c>
      <c r="E82" s="60">
        <v>84</v>
      </c>
      <c r="F82" s="60">
        <v>0</v>
      </c>
      <c r="G82" s="60">
        <v>45</v>
      </c>
      <c r="H82" s="57" t="s">
        <v>252</v>
      </c>
    </row>
    <row r="83" spans="1:8" ht="16.5" x14ac:dyDescent="0.2">
      <c r="A83" s="1">
        <v>2</v>
      </c>
      <c r="B83" s="1">
        <v>223500001</v>
      </c>
      <c r="C83" s="59">
        <v>235</v>
      </c>
      <c r="D83" s="59">
        <v>0</v>
      </c>
      <c r="E83" s="61">
        <v>-57</v>
      </c>
      <c r="F83" s="61">
        <v>5</v>
      </c>
      <c r="G83" s="61">
        <v>6</v>
      </c>
      <c r="H83" s="57" t="s">
        <v>253</v>
      </c>
    </row>
    <row r="84" spans="1:8" ht="16.5" x14ac:dyDescent="0.2">
      <c r="A84" s="1">
        <v>2</v>
      </c>
      <c r="B84" s="1">
        <v>223600001</v>
      </c>
      <c r="C84" s="59">
        <v>236</v>
      </c>
      <c r="D84" s="59">
        <v>0</v>
      </c>
      <c r="E84" s="60">
        <v>-42</v>
      </c>
      <c r="F84" s="60">
        <v>5</v>
      </c>
      <c r="G84" s="60">
        <v>5</v>
      </c>
      <c r="H84" s="57" t="s">
        <v>254</v>
      </c>
    </row>
    <row r="85" spans="1:8" ht="16.5" x14ac:dyDescent="0.2">
      <c r="A85" s="1">
        <v>2</v>
      </c>
      <c r="B85" s="1">
        <v>223700001</v>
      </c>
      <c r="C85" s="59">
        <v>237</v>
      </c>
      <c r="D85" s="59">
        <v>0</v>
      </c>
      <c r="E85" s="60">
        <v>70</v>
      </c>
      <c r="F85" s="60">
        <v>0</v>
      </c>
      <c r="G85" s="60">
        <v>-44</v>
      </c>
      <c r="H85" s="57" t="s">
        <v>255</v>
      </c>
    </row>
    <row r="86" spans="1:8" ht="16.5" x14ac:dyDescent="0.2">
      <c r="A86" s="1">
        <v>2</v>
      </c>
      <c r="B86" s="1">
        <v>230000001</v>
      </c>
      <c r="C86" s="59">
        <v>300</v>
      </c>
      <c r="D86" s="59">
        <v>0</v>
      </c>
      <c r="E86" s="60">
        <v>80</v>
      </c>
      <c r="F86" s="60">
        <v>-9</v>
      </c>
      <c r="G86" s="60">
        <v>106</v>
      </c>
      <c r="H86" s="57" t="s">
        <v>256</v>
      </c>
    </row>
    <row r="87" spans="1:8" ht="16.5" x14ac:dyDescent="0.2">
      <c r="A87" s="1">
        <v>2</v>
      </c>
      <c r="B87" s="1">
        <v>240000001</v>
      </c>
      <c r="C87" s="59">
        <v>400</v>
      </c>
      <c r="D87" s="59">
        <v>0</v>
      </c>
      <c r="E87" s="60">
        <v>-37</v>
      </c>
      <c r="F87" s="60">
        <v>0</v>
      </c>
      <c r="G87" s="60">
        <v>-55</v>
      </c>
      <c r="H87" s="57" t="s">
        <v>257</v>
      </c>
    </row>
    <row r="88" spans="1:8" ht="16.5" x14ac:dyDescent="0.2">
      <c r="A88" s="1">
        <v>2</v>
      </c>
      <c r="B88" s="1">
        <v>240400001</v>
      </c>
      <c r="C88" s="59">
        <v>404</v>
      </c>
      <c r="D88" s="59">
        <v>0</v>
      </c>
      <c r="E88" s="60">
        <v>196.5</v>
      </c>
      <c r="F88" s="60">
        <v>0</v>
      </c>
      <c r="G88" s="60">
        <v>91.8</v>
      </c>
      <c r="H88" s="57" t="s">
        <v>302</v>
      </c>
    </row>
    <row r="89" spans="1:8" ht="16.5" x14ac:dyDescent="0.2">
      <c r="A89" s="1">
        <v>3</v>
      </c>
      <c r="B89" s="1">
        <v>220100001</v>
      </c>
      <c r="C89" s="57">
        <v>201</v>
      </c>
      <c r="D89" s="57">
        <v>0</v>
      </c>
      <c r="E89" s="58">
        <v>0</v>
      </c>
      <c r="F89" s="58">
        <v>0</v>
      </c>
      <c r="G89" s="58">
        <v>0</v>
      </c>
      <c r="H89" s="57" t="s">
        <v>233</v>
      </c>
    </row>
    <row r="90" spans="1:8" ht="16.5" x14ac:dyDescent="0.2">
      <c r="A90" s="1">
        <v>3</v>
      </c>
      <c r="B90" s="1">
        <v>220200001</v>
      </c>
      <c r="C90" s="59">
        <v>202</v>
      </c>
      <c r="D90" s="59">
        <v>0</v>
      </c>
      <c r="E90" s="60">
        <v>-55</v>
      </c>
      <c r="F90" s="60">
        <v>0</v>
      </c>
      <c r="G90" s="60">
        <v>-53</v>
      </c>
      <c r="H90" s="57" t="s">
        <v>234</v>
      </c>
    </row>
    <row r="91" spans="1:8" ht="16.5" x14ac:dyDescent="0.2">
      <c r="A91" s="1">
        <v>3</v>
      </c>
      <c r="B91" s="1">
        <v>220200002</v>
      </c>
      <c r="C91" s="59">
        <v>202</v>
      </c>
      <c r="D91" s="59">
        <v>0</v>
      </c>
      <c r="E91" s="60">
        <v>-71</v>
      </c>
      <c r="F91" s="60">
        <v>0</v>
      </c>
      <c r="G91" s="60">
        <v>-51</v>
      </c>
      <c r="H91" s="57"/>
    </row>
    <row r="92" spans="1:8" ht="16.5" x14ac:dyDescent="0.2">
      <c r="A92" s="1">
        <v>3</v>
      </c>
      <c r="B92" s="1">
        <v>220200003</v>
      </c>
      <c r="C92" s="59">
        <v>202</v>
      </c>
      <c r="D92" s="59">
        <v>0</v>
      </c>
      <c r="E92" s="60">
        <v>-53</v>
      </c>
      <c r="F92" s="60">
        <v>0</v>
      </c>
      <c r="G92" s="60">
        <v>-38</v>
      </c>
      <c r="H92" s="57"/>
    </row>
    <row r="93" spans="1:8" ht="16.5" x14ac:dyDescent="0.2">
      <c r="A93" s="1">
        <v>3</v>
      </c>
      <c r="B93" s="1">
        <v>220200004</v>
      </c>
      <c r="C93" s="59">
        <v>202</v>
      </c>
      <c r="D93" s="59">
        <v>0</v>
      </c>
      <c r="E93" s="60">
        <v>-71</v>
      </c>
      <c r="F93" s="60">
        <v>0</v>
      </c>
      <c r="G93" s="60">
        <v>-35</v>
      </c>
      <c r="H93" s="57"/>
    </row>
    <row r="94" spans="1:8" ht="16.5" x14ac:dyDescent="0.2">
      <c r="A94" s="1">
        <v>3</v>
      </c>
      <c r="B94" s="1">
        <v>220300001</v>
      </c>
      <c r="C94" s="59">
        <v>203</v>
      </c>
      <c r="D94" s="59">
        <v>0</v>
      </c>
      <c r="E94" s="60">
        <v>141</v>
      </c>
      <c r="F94" s="60">
        <v>-9</v>
      </c>
      <c r="G94" s="60">
        <v>-42</v>
      </c>
      <c r="H94" s="57" t="s">
        <v>235</v>
      </c>
    </row>
    <row r="95" spans="1:8" ht="16.5" x14ac:dyDescent="0.2">
      <c r="A95" s="1">
        <v>3</v>
      </c>
      <c r="B95" s="1">
        <v>220300002</v>
      </c>
      <c r="C95" s="59">
        <v>203</v>
      </c>
      <c r="D95" s="59">
        <v>0</v>
      </c>
      <c r="E95" s="60">
        <v>120</v>
      </c>
      <c r="F95" s="60">
        <v>-9</v>
      </c>
      <c r="G95" s="60">
        <v>-92</v>
      </c>
      <c r="H95" s="57"/>
    </row>
    <row r="96" spans="1:8" ht="16.5" x14ac:dyDescent="0.2">
      <c r="A96" s="1">
        <v>3</v>
      </c>
      <c r="B96" s="1">
        <v>220300003</v>
      </c>
      <c r="C96" s="59">
        <v>203</v>
      </c>
      <c r="D96" s="59">
        <v>0</v>
      </c>
      <c r="E96" s="60">
        <v>130</v>
      </c>
      <c r="F96" s="60">
        <v>-9</v>
      </c>
      <c r="G96" s="60">
        <v>-29</v>
      </c>
      <c r="H96" s="57"/>
    </row>
    <row r="97" spans="1:8" ht="16.5" x14ac:dyDescent="0.2">
      <c r="A97" s="1">
        <v>3</v>
      </c>
      <c r="B97" s="1">
        <v>220400001</v>
      </c>
      <c r="C97" s="59">
        <v>204</v>
      </c>
      <c r="D97" s="59">
        <v>0</v>
      </c>
      <c r="E97" s="60">
        <v>68</v>
      </c>
      <c r="F97" s="60">
        <v>-9</v>
      </c>
      <c r="G97" s="60">
        <v>-103</v>
      </c>
      <c r="H97" s="57" t="s">
        <v>236</v>
      </c>
    </row>
    <row r="98" spans="1:8" ht="16.5" x14ac:dyDescent="0.2">
      <c r="A98" s="1">
        <v>3</v>
      </c>
      <c r="B98" s="1">
        <v>220400002</v>
      </c>
      <c r="C98" s="59">
        <v>204</v>
      </c>
      <c r="D98" s="59">
        <v>0</v>
      </c>
      <c r="E98" s="60">
        <v>53</v>
      </c>
      <c r="F98" s="60">
        <v>-9</v>
      </c>
      <c r="G98" s="60">
        <v>-106</v>
      </c>
      <c r="H98" s="57"/>
    </row>
    <row r="99" spans="1:8" ht="16.5" x14ac:dyDescent="0.2">
      <c r="A99" s="1">
        <v>3</v>
      </c>
      <c r="B99" s="1">
        <v>220400003</v>
      </c>
      <c r="C99" s="59">
        <v>204</v>
      </c>
      <c r="D99" s="59">
        <v>0</v>
      </c>
      <c r="E99" s="60">
        <v>52</v>
      </c>
      <c r="F99" s="60">
        <v>-9</v>
      </c>
      <c r="G99" s="60">
        <v>-120</v>
      </c>
      <c r="H99" s="57"/>
    </row>
    <row r="100" spans="1:8" ht="16.5" x14ac:dyDescent="0.2">
      <c r="A100" s="1">
        <v>3</v>
      </c>
      <c r="B100" s="1">
        <v>220500001</v>
      </c>
      <c r="C100" s="59">
        <v>205</v>
      </c>
      <c r="D100" s="59">
        <v>0</v>
      </c>
      <c r="E100" s="60">
        <v>-57</v>
      </c>
      <c r="F100" s="60">
        <v>0</v>
      </c>
      <c r="G100" s="60">
        <v>-90</v>
      </c>
      <c r="H100" s="57" t="s">
        <v>237</v>
      </c>
    </row>
    <row r="101" spans="1:8" ht="16.5" x14ac:dyDescent="0.2">
      <c r="A101" s="1">
        <v>3</v>
      </c>
      <c r="B101" s="1">
        <v>220500002</v>
      </c>
      <c r="C101" s="59">
        <v>205</v>
      </c>
      <c r="D101" s="59">
        <v>0</v>
      </c>
      <c r="E101" s="60">
        <v>-78</v>
      </c>
      <c r="F101" s="60">
        <v>0</v>
      </c>
      <c r="G101" s="60">
        <v>-89</v>
      </c>
      <c r="H101" s="57"/>
    </row>
    <row r="102" spans="1:8" ht="16.5" x14ac:dyDescent="0.2">
      <c r="A102" s="1">
        <v>3</v>
      </c>
      <c r="B102" s="1">
        <v>220600001</v>
      </c>
      <c r="C102" s="59">
        <v>206</v>
      </c>
      <c r="D102" s="59">
        <v>0</v>
      </c>
      <c r="E102" s="60">
        <v>60</v>
      </c>
      <c r="F102" s="60">
        <v>0</v>
      </c>
      <c r="G102" s="60">
        <v>48</v>
      </c>
      <c r="H102" s="57" t="s">
        <v>238</v>
      </c>
    </row>
    <row r="103" spans="1:8" ht="16.5" x14ac:dyDescent="0.2">
      <c r="A103" s="1">
        <v>3</v>
      </c>
      <c r="B103" s="1">
        <v>220700001</v>
      </c>
      <c r="C103" s="59">
        <v>207</v>
      </c>
      <c r="D103" s="59">
        <v>0</v>
      </c>
      <c r="E103" s="60">
        <v>128</v>
      </c>
      <c r="F103" s="60">
        <v>-9</v>
      </c>
      <c r="G103" s="60">
        <v>-54</v>
      </c>
      <c r="H103" s="57" t="s">
        <v>239</v>
      </c>
    </row>
    <row r="104" spans="1:8" ht="16.5" x14ac:dyDescent="0.2">
      <c r="A104" s="1">
        <v>3</v>
      </c>
      <c r="B104" s="1">
        <v>220700002</v>
      </c>
      <c r="C104" s="59">
        <v>207</v>
      </c>
      <c r="D104" s="59">
        <v>0</v>
      </c>
      <c r="E104" s="60">
        <v>132</v>
      </c>
      <c r="F104" s="60">
        <v>-9</v>
      </c>
      <c r="G104" s="60">
        <v>-91</v>
      </c>
      <c r="H104" s="57"/>
    </row>
    <row r="105" spans="1:8" ht="16.5" x14ac:dyDescent="0.2">
      <c r="A105" s="1">
        <v>3</v>
      </c>
      <c r="B105" s="1">
        <v>220700003</v>
      </c>
      <c r="C105" s="59">
        <v>207</v>
      </c>
      <c r="D105" s="59">
        <v>0</v>
      </c>
      <c r="E105" s="61">
        <v>115</v>
      </c>
      <c r="F105" s="61">
        <v>-9</v>
      </c>
      <c r="G105" s="61">
        <v>-53</v>
      </c>
      <c r="H105" s="57"/>
    </row>
    <row r="106" spans="1:8" ht="16.5" x14ac:dyDescent="0.2">
      <c r="A106" s="1">
        <v>3</v>
      </c>
      <c r="B106" s="1">
        <v>220700004</v>
      </c>
      <c r="C106" s="59">
        <v>207</v>
      </c>
      <c r="D106" s="59">
        <v>0</v>
      </c>
      <c r="E106" s="60">
        <v>141</v>
      </c>
      <c r="F106" s="60">
        <v>-9</v>
      </c>
      <c r="G106" s="60">
        <v>-54</v>
      </c>
      <c r="H106" s="57"/>
    </row>
    <row r="107" spans="1:8" ht="16.5" x14ac:dyDescent="0.2">
      <c r="A107" s="1">
        <v>3</v>
      </c>
      <c r="B107" s="1">
        <v>220700005</v>
      </c>
      <c r="C107" s="59">
        <v>207</v>
      </c>
      <c r="D107" s="59">
        <v>0</v>
      </c>
      <c r="E107" s="60">
        <v>128</v>
      </c>
      <c r="F107" s="60">
        <v>-9</v>
      </c>
      <c r="G107" s="60">
        <v>-41</v>
      </c>
      <c r="H107" s="57"/>
    </row>
    <row r="108" spans="1:8" ht="16.5" x14ac:dyDescent="0.2">
      <c r="A108" s="1">
        <v>3</v>
      </c>
      <c r="B108" s="1">
        <v>220700006</v>
      </c>
      <c r="C108" s="59">
        <v>207</v>
      </c>
      <c r="D108" s="59">
        <v>0</v>
      </c>
      <c r="E108" s="60">
        <v>140</v>
      </c>
      <c r="F108" s="60">
        <v>-9</v>
      </c>
      <c r="G108" s="60">
        <v>-67</v>
      </c>
      <c r="H108" s="57"/>
    </row>
    <row r="109" spans="1:8" ht="16.5" x14ac:dyDescent="0.2">
      <c r="A109" s="1">
        <v>3</v>
      </c>
      <c r="B109" s="1">
        <v>220700007</v>
      </c>
      <c r="C109" s="59">
        <v>207</v>
      </c>
      <c r="D109" s="59">
        <v>0</v>
      </c>
      <c r="E109" s="60">
        <v>136</v>
      </c>
      <c r="F109" s="60">
        <v>-9</v>
      </c>
      <c r="G109" s="60">
        <v>-79</v>
      </c>
      <c r="H109" s="57"/>
    </row>
    <row r="110" spans="1:8" ht="16.5" x14ac:dyDescent="0.2">
      <c r="A110" s="1">
        <v>3</v>
      </c>
      <c r="B110" s="1">
        <v>220700008</v>
      </c>
      <c r="C110" s="59">
        <v>207</v>
      </c>
      <c r="D110" s="59">
        <v>0</v>
      </c>
      <c r="E110" s="60">
        <v>107</v>
      </c>
      <c r="F110" s="60">
        <v>-9</v>
      </c>
      <c r="G110" s="60">
        <v>-91</v>
      </c>
      <c r="H110" s="57"/>
    </row>
    <row r="111" spans="1:8" ht="16.5" x14ac:dyDescent="0.2">
      <c r="A111" s="1">
        <v>3</v>
      </c>
      <c r="B111" s="1">
        <v>220800001</v>
      </c>
      <c r="C111" s="59">
        <v>208</v>
      </c>
      <c r="D111" s="59">
        <v>0</v>
      </c>
      <c r="E111" s="60">
        <v>-69</v>
      </c>
      <c r="F111" s="60">
        <v>13</v>
      </c>
      <c r="G111" s="60">
        <v>78</v>
      </c>
      <c r="H111" s="57" t="s">
        <v>240</v>
      </c>
    </row>
    <row r="112" spans="1:8" ht="16.5" x14ac:dyDescent="0.2">
      <c r="A112" s="1">
        <v>3</v>
      </c>
      <c r="B112" s="1">
        <v>220900001</v>
      </c>
      <c r="C112" s="59">
        <v>209</v>
      </c>
      <c r="D112" s="59">
        <v>0</v>
      </c>
      <c r="E112" s="60">
        <v>60</v>
      </c>
      <c r="F112" s="60">
        <v>0</v>
      </c>
      <c r="G112" s="60">
        <v>24</v>
      </c>
      <c r="H112" s="57" t="s">
        <v>241</v>
      </c>
    </row>
    <row r="113" spans="1:61" ht="16.5" x14ac:dyDescent="0.2">
      <c r="A113" s="1">
        <v>3</v>
      </c>
      <c r="B113" s="1">
        <v>221100001</v>
      </c>
      <c r="C113" s="59">
        <v>211</v>
      </c>
      <c r="D113" s="59">
        <v>0</v>
      </c>
      <c r="E113" s="60">
        <v>21</v>
      </c>
      <c r="F113" s="60">
        <v>0</v>
      </c>
      <c r="G113" s="60">
        <v>-49</v>
      </c>
      <c r="H113" s="57" t="s">
        <v>242</v>
      </c>
    </row>
    <row r="114" spans="1:61" ht="16.5" x14ac:dyDescent="0.2">
      <c r="A114" s="1">
        <v>3</v>
      </c>
      <c r="B114" s="1">
        <v>221200001</v>
      </c>
      <c r="C114" s="59">
        <v>212</v>
      </c>
      <c r="D114" s="59">
        <v>0</v>
      </c>
      <c r="E114" s="60">
        <v>109.5</v>
      </c>
      <c r="F114" s="60">
        <v>-4.5999999999999996</v>
      </c>
      <c r="G114" s="60">
        <v>69</v>
      </c>
      <c r="H114" s="57" t="s">
        <v>243</v>
      </c>
      <c r="J114" s="35">
        <v>220100001</v>
      </c>
      <c r="K114" s="35">
        <v>201</v>
      </c>
      <c r="L114" s="35">
        <v>0</v>
      </c>
      <c r="M114" s="35">
        <v>0</v>
      </c>
      <c r="N114" s="35">
        <v>0</v>
      </c>
      <c r="O114" s="35">
        <v>0</v>
      </c>
      <c r="T114" s="35" t="s">
        <v>303</v>
      </c>
      <c r="U114" s="35" t="s">
        <v>304</v>
      </c>
      <c r="V114" s="35" t="s">
        <v>305</v>
      </c>
      <c r="W114" s="35" t="s">
        <v>306</v>
      </c>
      <c r="X114" s="35" t="s">
        <v>307</v>
      </c>
      <c r="Y114" s="35" t="s">
        <v>308</v>
      </c>
      <c r="Z114" s="35" t="s">
        <v>309</v>
      </c>
      <c r="AA114" s="35" t="s">
        <v>310</v>
      </c>
      <c r="AB114" s="35" t="s">
        <v>311</v>
      </c>
      <c r="AC114" s="35" t="s">
        <v>312</v>
      </c>
      <c r="AD114" s="35" t="s">
        <v>313</v>
      </c>
      <c r="AE114" s="35" t="s">
        <v>314</v>
      </c>
      <c r="AF114" s="35" t="s">
        <v>315</v>
      </c>
      <c r="AG114" s="35" t="s">
        <v>316</v>
      </c>
      <c r="AH114" s="35" t="s">
        <v>317</v>
      </c>
      <c r="AI114" s="35" t="s">
        <v>318</v>
      </c>
      <c r="AJ114" s="35" t="s">
        <v>319</v>
      </c>
      <c r="AK114" s="35" t="s">
        <v>320</v>
      </c>
      <c r="AL114" s="35" t="s">
        <v>321</v>
      </c>
      <c r="AM114" s="35" t="s">
        <v>322</v>
      </c>
      <c r="AN114" s="35" t="s">
        <v>323</v>
      </c>
      <c r="AO114" s="35" t="s">
        <v>324</v>
      </c>
      <c r="AP114" s="35" t="s">
        <v>276</v>
      </c>
      <c r="AQ114" s="35" t="s">
        <v>325</v>
      </c>
      <c r="AR114" s="35" t="s">
        <v>326</v>
      </c>
      <c r="AS114" s="35" t="s">
        <v>279</v>
      </c>
      <c r="AT114" s="35" t="s">
        <v>280</v>
      </c>
      <c r="AU114" s="35" t="s">
        <v>281</v>
      </c>
      <c r="AV114" s="35" t="s">
        <v>327</v>
      </c>
      <c r="AW114" s="35" t="s">
        <v>328</v>
      </c>
      <c r="AX114" s="35" t="s">
        <v>284</v>
      </c>
      <c r="AY114" s="35" t="s">
        <v>285</v>
      </c>
      <c r="AZ114" s="35" t="s">
        <v>286</v>
      </c>
      <c r="BA114" s="35" t="s">
        <v>329</v>
      </c>
      <c r="BB114" s="35" t="s">
        <v>330</v>
      </c>
      <c r="BC114" s="35" t="s">
        <v>331</v>
      </c>
      <c r="BD114" s="35" t="s">
        <v>332</v>
      </c>
      <c r="BE114" s="35" t="s">
        <v>333</v>
      </c>
      <c r="BF114" s="35" t="s">
        <v>334</v>
      </c>
      <c r="BG114" s="35" t="s">
        <v>293</v>
      </c>
      <c r="BH114" s="35" t="s">
        <v>294</v>
      </c>
      <c r="BI114" s="35" t="s">
        <v>335</v>
      </c>
    </row>
    <row r="115" spans="1:61" ht="16.5" x14ac:dyDescent="0.2">
      <c r="A115" s="1">
        <v>3</v>
      </c>
      <c r="B115" s="1">
        <v>221300001</v>
      </c>
      <c r="C115" s="59">
        <v>213</v>
      </c>
      <c r="D115" s="59">
        <v>0</v>
      </c>
      <c r="E115" s="60">
        <v>16</v>
      </c>
      <c r="F115" s="60">
        <v>-18.5</v>
      </c>
      <c r="G115" s="60">
        <v>130</v>
      </c>
      <c r="H115" s="57" t="s">
        <v>244</v>
      </c>
      <c r="J115" s="35">
        <v>220200001</v>
      </c>
      <c r="K115" s="35">
        <v>202</v>
      </c>
      <c r="L115" s="35">
        <v>0</v>
      </c>
      <c r="M115" s="35">
        <v>18</v>
      </c>
      <c r="N115" s="62">
        <v>-8.9263915999999999E-4</v>
      </c>
      <c r="O115" s="35">
        <v>-33</v>
      </c>
    </row>
    <row r="116" spans="1:61" ht="16.5" x14ac:dyDescent="0.2">
      <c r="A116" s="1">
        <v>3</v>
      </c>
      <c r="B116" s="1">
        <v>221500001</v>
      </c>
      <c r="C116" s="59">
        <v>215</v>
      </c>
      <c r="D116" s="59">
        <v>0</v>
      </c>
      <c r="E116" s="60">
        <v>99</v>
      </c>
      <c r="F116" s="60">
        <v>0</v>
      </c>
      <c r="G116" s="60">
        <v>1</v>
      </c>
      <c r="H116" s="57" t="s">
        <v>245</v>
      </c>
    </row>
    <row r="117" spans="1:61" ht="16.5" x14ac:dyDescent="0.2">
      <c r="A117" s="1">
        <v>3</v>
      </c>
      <c r="B117" s="1">
        <v>222200001</v>
      </c>
      <c r="C117" s="59">
        <v>222</v>
      </c>
      <c r="D117" s="59">
        <v>0</v>
      </c>
      <c r="E117" s="60">
        <v>43</v>
      </c>
      <c r="F117" s="60">
        <v>0</v>
      </c>
      <c r="G117" s="60">
        <v>21</v>
      </c>
      <c r="H117" s="57" t="s">
        <v>246</v>
      </c>
      <c r="J117" s="35">
        <v>220200002</v>
      </c>
      <c r="K117" s="35">
        <v>202</v>
      </c>
      <c r="L117" s="35">
        <v>0</v>
      </c>
      <c r="M117" s="35">
        <v>51</v>
      </c>
      <c r="N117" s="62">
        <v>-8.8882445999999998E-4</v>
      </c>
      <c r="O117" s="35">
        <v>-15</v>
      </c>
    </row>
    <row r="118" spans="1:61" ht="16.5" x14ac:dyDescent="0.2">
      <c r="A118" s="1">
        <v>3</v>
      </c>
      <c r="B118" s="1">
        <v>222400001</v>
      </c>
      <c r="C118" s="59">
        <v>224</v>
      </c>
      <c r="D118" s="59">
        <v>0</v>
      </c>
      <c r="E118" s="60">
        <v>81</v>
      </c>
      <c r="F118" s="60">
        <v>0</v>
      </c>
      <c r="G118" s="60">
        <v>15</v>
      </c>
      <c r="H118" s="57" t="s">
        <v>247</v>
      </c>
      <c r="J118" s="35">
        <v>220200003</v>
      </c>
      <c r="K118" s="35">
        <v>202</v>
      </c>
      <c r="L118" s="35">
        <v>0</v>
      </c>
      <c r="M118" s="35">
        <v>36</v>
      </c>
      <c r="N118" s="62">
        <v>-8.8500977000000004E-4</v>
      </c>
      <c r="O118" s="35">
        <v>-15</v>
      </c>
    </row>
    <row r="119" spans="1:61" ht="16.5" x14ac:dyDescent="0.2">
      <c r="A119" s="1">
        <v>3</v>
      </c>
      <c r="B119" s="1">
        <v>222600001</v>
      </c>
      <c r="C119" s="59">
        <v>226</v>
      </c>
      <c r="D119" s="59">
        <v>0</v>
      </c>
      <c r="E119" s="60">
        <v>-22</v>
      </c>
      <c r="F119" s="60">
        <v>3</v>
      </c>
      <c r="G119" s="60">
        <v>69</v>
      </c>
      <c r="H119" s="57" t="s">
        <v>248</v>
      </c>
      <c r="J119" s="35">
        <v>220200004</v>
      </c>
      <c r="K119" s="35">
        <v>202</v>
      </c>
      <c r="L119" s="35">
        <v>0</v>
      </c>
      <c r="M119" s="35">
        <v>30</v>
      </c>
      <c r="N119" s="62">
        <v>-8.8882445999999998E-4</v>
      </c>
      <c r="O119" s="35">
        <v>-27</v>
      </c>
    </row>
    <row r="120" spans="1:61" ht="16.5" x14ac:dyDescent="0.2">
      <c r="A120" s="1">
        <v>3</v>
      </c>
      <c r="B120" s="1">
        <v>222700001</v>
      </c>
      <c r="C120" s="59">
        <v>227</v>
      </c>
      <c r="D120" s="59">
        <v>0</v>
      </c>
      <c r="E120" s="60">
        <v>152</v>
      </c>
      <c r="F120" s="60">
        <v>-9</v>
      </c>
      <c r="G120" s="60">
        <v>-30</v>
      </c>
      <c r="H120" s="57" t="s">
        <v>249</v>
      </c>
      <c r="J120" s="35">
        <v>220300001</v>
      </c>
      <c r="K120" s="35">
        <v>203</v>
      </c>
      <c r="L120" s="35">
        <v>0</v>
      </c>
      <c r="M120" s="35">
        <v>108</v>
      </c>
      <c r="N120" s="35">
        <v>-9.1009030000000006</v>
      </c>
      <c r="O120" s="35">
        <v>-63</v>
      </c>
    </row>
    <row r="121" spans="1:61" ht="16.5" x14ac:dyDescent="0.2">
      <c r="A121" s="1">
        <v>3</v>
      </c>
      <c r="B121" s="1">
        <v>222700002</v>
      </c>
      <c r="C121" s="59">
        <v>227</v>
      </c>
      <c r="D121" s="59">
        <v>0</v>
      </c>
      <c r="E121" s="60">
        <v>141</v>
      </c>
      <c r="F121" s="60">
        <v>-9</v>
      </c>
      <c r="G121" s="60">
        <v>20</v>
      </c>
      <c r="H121" s="57"/>
      <c r="J121" s="35">
        <v>220300002</v>
      </c>
      <c r="K121" s="35">
        <v>203</v>
      </c>
      <c r="L121" s="35">
        <v>0</v>
      </c>
      <c r="M121" s="35">
        <v>117</v>
      </c>
      <c r="N121" s="35">
        <v>-9.1008990000000001</v>
      </c>
      <c r="O121" s="35">
        <v>-87</v>
      </c>
    </row>
    <row r="122" spans="1:61" ht="16.5" x14ac:dyDescent="0.2">
      <c r="A122" s="1">
        <v>3</v>
      </c>
      <c r="B122" s="1">
        <v>222900001</v>
      </c>
      <c r="C122" s="59">
        <v>229</v>
      </c>
      <c r="D122" s="59">
        <v>0</v>
      </c>
      <c r="E122" s="60">
        <v>39</v>
      </c>
      <c r="F122" s="60">
        <v>0</v>
      </c>
      <c r="G122" s="60">
        <v>42</v>
      </c>
      <c r="H122" s="57" t="s">
        <v>296</v>
      </c>
      <c r="J122" s="35">
        <v>220300003</v>
      </c>
      <c r="K122" s="35">
        <v>203</v>
      </c>
      <c r="L122" s="35">
        <v>0</v>
      </c>
      <c r="M122" s="35">
        <v>93</v>
      </c>
      <c r="N122" s="35">
        <v>-9.1009030000000006</v>
      </c>
      <c r="O122" s="35">
        <v>-87</v>
      </c>
    </row>
    <row r="123" spans="1:61" ht="16.5" x14ac:dyDescent="0.2">
      <c r="A123" s="1">
        <v>3</v>
      </c>
      <c r="B123" s="1">
        <v>223000001</v>
      </c>
      <c r="C123" s="59">
        <v>230</v>
      </c>
      <c r="D123" s="59">
        <v>0</v>
      </c>
      <c r="E123" s="60">
        <v>45</v>
      </c>
      <c r="F123" s="60">
        <v>0</v>
      </c>
      <c r="G123" s="60">
        <v>-19</v>
      </c>
      <c r="H123" s="57" t="s">
        <v>250</v>
      </c>
      <c r="J123" s="35">
        <v>220300004</v>
      </c>
      <c r="K123" s="35">
        <v>203</v>
      </c>
      <c r="L123" s="35">
        <v>0</v>
      </c>
      <c r="M123" s="35">
        <v>120</v>
      </c>
      <c r="N123" s="35">
        <v>-9.1008949999999995</v>
      </c>
      <c r="O123" s="35">
        <v>-39</v>
      </c>
    </row>
    <row r="124" spans="1:61" ht="16.5" x14ac:dyDescent="0.2">
      <c r="A124" s="1">
        <v>3</v>
      </c>
      <c r="B124" s="1">
        <v>223100001</v>
      </c>
      <c r="C124" s="59">
        <v>231</v>
      </c>
      <c r="D124" s="59">
        <v>0</v>
      </c>
      <c r="E124" s="60">
        <v>-31</v>
      </c>
      <c r="F124" s="60">
        <v>0</v>
      </c>
      <c r="G124" s="60">
        <v>-34</v>
      </c>
      <c r="H124" s="57" t="s">
        <v>251</v>
      </c>
      <c r="J124" s="35">
        <v>220400001</v>
      </c>
      <c r="K124" s="35">
        <v>204</v>
      </c>
      <c r="L124" s="35">
        <v>0</v>
      </c>
      <c r="M124" s="35">
        <v>45</v>
      </c>
      <c r="N124" s="35">
        <v>-9.1009030000000006</v>
      </c>
      <c r="O124" s="35">
        <v>-96</v>
      </c>
    </row>
    <row r="125" spans="1:61" ht="16.5" x14ac:dyDescent="0.2">
      <c r="A125" s="1">
        <v>3</v>
      </c>
      <c r="B125" s="1">
        <v>223200001</v>
      </c>
      <c r="C125" s="59">
        <v>232</v>
      </c>
      <c r="D125" s="59">
        <v>0</v>
      </c>
      <c r="E125" s="60">
        <v>84</v>
      </c>
      <c r="F125" s="60">
        <v>0</v>
      </c>
      <c r="G125" s="60">
        <v>45</v>
      </c>
      <c r="H125" s="57" t="s">
        <v>252</v>
      </c>
      <c r="J125" s="35">
        <v>220400002</v>
      </c>
      <c r="K125" s="35">
        <v>204</v>
      </c>
      <c r="L125" s="35">
        <v>0</v>
      </c>
      <c r="M125" s="35">
        <v>30</v>
      </c>
      <c r="N125" s="35">
        <v>-9.1009030000000006</v>
      </c>
      <c r="O125" s="35">
        <v>-96</v>
      </c>
    </row>
    <row r="126" spans="1:61" ht="16.5" x14ac:dyDescent="0.2">
      <c r="A126" s="1">
        <v>3</v>
      </c>
      <c r="B126" s="1">
        <v>223400001</v>
      </c>
      <c r="C126" s="59">
        <v>234</v>
      </c>
      <c r="D126" s="59">
        <v>0</v>
      </c>
      <c r="E126" s="60">
        <v>-114</v>
      </c>
      <c r="F126" s="60">
        <v>0</v>
      </c>
      <c r="G126" s="60">
        <v>-34</v>
      </c>
      <c r="H126" s="57" t="s">
        <v>297</v>
      </c>
      <c r="J126" s="35">
        <v>220400003</v>
      </c>
      <c r="K126" s="35">
        <v>204</v>
      </c>
      <c r="L126" s="35">
        <v>0</v>
      </c>
      <c r="M126" s="35">
        <v>27</v>
      </c>
      <c r="N126" s="35">
        <v>-9.1009060000000002</v>
      </c>
      <c r="O126" s="35">
        <v>-120</v>
      </c>
    </row>
    <row r="127" spans="1:61" ht="16.5" x14ac:dyDescent="0.2">
      <c r="A127" s="1">
        <v>3</v>
      </c>
      <c r="B127" s="1">
        <v>223500001</v>
      </c>
      <c r="C127" s="59">
        <v>235</v>
      </c>
      <c r="D127" s="59">
        <v>0</v>
      </c>
      <c r="E127" s="61">
        <v>-57</v>
      </c>
      <c r="F127" s="61">
        <v>5</v>
      </c>
      <c r="G127" s="61">
        <v>6</v>
      </c>
      <c r="H127" s="57" t="s">
        <v>253</v>
      </c>
      <c r="J127" s="35">
        <v>220400004</v>
      </c>
      <c r="K127" s="35">
        <v>204</v>
      </c>
      <c r="L127" s="35">
        <v>0</v>
      </c>
      <c r="M127" s="35">
        <v>45</v>
      </c>
      <c r="N127" s="35">
        <v>-9.1009100000000007</v>
      </c>
      <c r="O127" s="35">
        <v>-120</v>
      </c>
    </row>
    <row r="128" spans="1:61" ht="16.5" x14ac:dyDescent="0.2">
      <c r="A128" s="1">
        <v>3</v>
      </c>
      <c r="B128" s="1">
        <v>223600001</v>
      </c>
      <c r="C128" s="59">
        <v>236</v>
      </c>
      <c r="D128" s="59">
        <v>0</v>
      </c>
      <c r="E128" s="60">
        <v>-42</v>
      </c>
      <c r="F128" s="60">
        <v>5</v>
      </c>
      <c r="G128" s="60">
        <v>5</v>
      </c>
      <c r="H128" s="57" t="s">
        <v>254</v>
      </c>
      <c r="J128" s="35">
        <v>220500001</v>
      </c>
      <c r="K128" s="35">
        <v>205</v>
      </c>
      <c r="L128" s="35">
        <v>0</v>
      </c>
      <c r="M128" s="35">
        <v>-99</v>
      </c>
      <c r="N128" s="62">
        <v>-8.9263915999999999E-4</v>
      </c>
      <c r="O128" s="35">
        <v>-66</v>
      </c>
    </row>
    <row r="129" spans="1:15" ht="16.5" x14ac:dyDescent="0.2">
      <c r="A129" s="1">
        <v>3</v>
      </c>
      <c r="B129" s="1">
        <v>223700001</v>
      </c>
      <c r="C129" s="59">
        <v>237</v>
      </c>
      <c r="D129" s="59">
        <v>0</v>
      </c>
      <c r="E129" s="60">
        <v>70</v>
      </c>
      <c r="F129" s="60">
        <v>0</v>
      </c>
      <c r="G129" s="60">
        <v>-44</v>
      </c>
      <c r="H129" s="57" t="s">
        <v>255</v>
      </c>
      <c r="J129" s="35">
        <v>220500002</v>
      </c>
      <c r="K129" s="35">
        <v>205</v>
      </c>
      <c r="L129" s="35">
        <v>0</v>
      </c>
      <c r="M129" s="35">
        <v>-102</v>
      </c>
      <c r="N129" s="62">
        <v>-8.9645386E-4</v>
      </c>
      <c r="O129" s="35">
        <v>-54</v>
      </c>
    </row>
    <row r="130" spans="1:15" ht="16.5" x14ac:dyDescent="0.2">
      <c r="A130" s="1">
        <v>3</v>
      </c>
      <c r="B130" s="1">
        <v>230000001</v>
      </c>
      <c r="C130" s="59">
        <v>300</v>
      </c>
      <c r="D130" s="59">
        <v>0</v>
      </c>
      <c r="E130" s="60">
        <v>80</v>
      </c>
      <c r="F130" s="60">
        <v>-9</v>
      </c>
      <c r="G130" s="60">
        <v>106</v>
      </c>
      <c r="H130" s="57" t="s">
        <v>256</v>
      </c>
      <c r="J130" s="35">
        <v>220600001</v>
      </c>
      <c r="K130" s="35">
        <v>206</v>
      </c>
      <c r="L130" s="35">
        <v>0</v>
      </c>
      <c r="M130" s="35">
        <v>36</v>
      </c>
      <c r="N130" s="62">
        <v>-8.8882445999999998E-4</v>
      </c>
      <c r="O130" s="35">
        <v>21</v>
      </c>
    </row>
    <row r="131" spans="1:15" ht="16.5" x14ac:dyDescent="0.2">
      <c r="A131" s="1">
        <v>3</v>
      </c>
      <c r="B131" s="1">
        <v>240000001</v>
      </c>
      <c r="C131" s="59">
        <v>400</v>
      </c>
      <c r="D131" s="59">
        <v>0</v>
      </c>
      <c r="E131" s="60">
        <v>-37</v>
      </c>
      <c r="F131" s="60">
        <v>0</v>
      </c>
      <c r="G131" s="60">
        <v>-55</v>
      </c>
      <c r="H131" s="57" t="s">
        <v>257</v>
      </c>
      <c r="J131" s="35">
        <v>220700001</v>
      </c>
      <c r="K131" s="35">
        <v>207</v>
      </c>
      <c r="L131" s="35">
        <v>0</v>
      </c>
      <c r="M131" s="35">
        <v>105</v>
      </c>
      <c r="N131" s="35">
        <v>-9.1009030000000006</v>
      </c>
      <c r="O131" s="35">
        <v>-87</v>
      </c>
    </row>
    <row r="132" spans="1:15" ht="16.5" x14ac:dyDescent="0.2">
      <c r="A132" s="1">
        <v>3</v>
      </c>
      <c r="B132" s="1">
        <v>240400001</v>
      </c>
      <c r="C132" s="59">
        <v>404</v>
      </c>
      <c r="D132" s="59">
        <v>0</v>
      </c>
      <c r="E132" s="60">
        <v>196.5</v>
      </c>
      <c r="F132" s="60">
        <v>0</v>
      </c>
      <c r="G132" s="60">
        <v>91.8</v>
      </c>
      <c r="H132" s="57" t="s">
        <v>302</v>
      </c>
      <c r="J132" s="35">
        <v>220800001</v>
      </c>
      <c r="K132" s="35">
        <v>208</v>
      </c>
      <c r="L132" s="35">
        <v>0</v>
      </c>
      <c r="M132" s="35">
        <v>-69</v>
      </c>
      <c r="N132" s="35">
        <v>13</v>
      </c>
      <c r="O132" s="35">
        <v>78</v>
      </c>
    </row>
    <row r="133" spans="1:15" ht="16.5" x14ac:dyDescent="0.2">
      <c r="A133" s="1">
        <v>4</v>
      </c>
      <c r="B133" s="1">
        <v>220100001</v>
      </c>
      <c r="C133" s="57">
        <v>201</v>
      </c>
      <c r="D133" s="57">
        <v>0</v>
      </c>
      <c r="E133" s="58">
        <v>0</v>
      </c>
      <c r="F133" s="58">
        <v>0</v>
      </c>
      <c r="G133" s="58">
        <v>0</v>
      </c>
      <c r="H133" s="57" t="s">
        <v>233</v>
      </c>
      <c r="J133" s="35">
        <v>220900001</v>
      </c>
      <c r="K133" s="35">
        <v>209</v>
      </c>
      <c r="L133" s="35">
        <v>0</v>
      </c>
      <c r="M133" s="35">
        <v>69</v>
      </c>
      <c r="N133" s="62">
        <v>-8.735657E-4</v>
      </c>
      <c r="O133" s="35">
        <v>51</v>
      </c>
    </row>
    <row r="134" spans="1:15" ht="16.5" x14ac:dyDescent="0.2">
      <c r="A134" s="1">
        <v>4</v>
      </c>
      <c r="B134" s="1">
        <v>220200001</v>
      </c>
      <c r="C134" s="59">
        <v>202</v>
      </c>
      <c r="D134" s="59">
        <v>0</v>
      </c>
      <c r="E134" s="60">
        <v>-55</v>
      </c>
      <c r="F134" s="60">
        <v>0</v>
      </c>
      <c r="G134" s="60">
        <v>-53</v>
      </c>
      <c r="H134" s="57" t="s">
        <v>234</v>
      </c>
      <c r="J134" s="35">
        <v>221200001</v>
      </c>
      <c r="K134" s="35">
        <v>212</v>
      </c>
      <c r="L134" s="35">
        <v>0</v>
      </c>
      <c r="M134" s="35">
        <v>109.5</v>
      </c>
      <c r="N134" s="35">
        <v>-4.5999999999999996</v>
      </c>
      <c r="O134" s="35">
        <v>69</v>
      </c>
    </row>
    <row r="135" spans="1:15" ht="16.5" x14ac:dyDescent="0.2">
      <c r="A135" s="1">
        <v>4</v>
      </c>
      <c r="B135" s="1">
        <v>220200002</v>
      </c>
      <c r="C135" s="59">
        <v>202</v>
      </c>
      <c r="D135" s="59">
        <v>0</v>
      </c>
      <c r="E135" s="60">
        <v>-71</v>
      </c>
      <c r="F135" s="60">
        <v>0</v>
      </c>
      <c r="G135" s="60">
        <v>-51</v>
      </c>
      <c r="H135" s="57"/>
      <c r="J135" s="35">
        <v>221300001</v>
      </c>
      <c r="K135" s="35">
        <v>213</v>
      </c>
      <c r="L135" s="35">
        <v>0</v>
      </c>
      <c r="M135" s="35">
        <v>16.5</v>
      </c>
      <c r="N135" s="35">
        <v>-18.48</v>
      </c>
      <c r="O135" s="35">
        <v>130.5</v>
      </c>
    </row>
    <row r="136" spans="1:15" ht="16.5" x14ac:dyDescent="0.2">
      <c r="A136" s="1">
        <v>4</v>
      </c>
      <c r="B136" s="1">
        <v>220200003</v>
      </c>
      <c r="C136" s="59">
        <v>202</v>
      </c>
      <c r="D136" s="59">
        <v>0</v>
      </c>
      <c r="E136" s="60">
        <v>-53</v>
      </c>
      <c r="F136" s="60">
        <v>0</v>
      </c>
      <c r="G136" s="60">
        <v>-38</v>
      </c>
      <c r="H136" s="57"/>
      <c r="J136" s="35">
        <v>221500001</v>
      </c>
      <c r="K136" s="35">
        <v>215</v>
      </c>
      <c r="L136" s="35">
        <v>0</v>
      </c>
      <c r="M136" s="35">
        <v>99</v>
      </c>
      <c r="N136" s="35">
        <v>0</v>
      </c>
      <c r="O136" s="35">
        <v>1</v>
      </c>
    </row>
    <row r="137" spans="1:15" ht="16.5" x14ac:dyDescent="0.2">
      <c r="A137" s="1">
        <v>4</v>
      </c>
      <c r="B137" s="1">
        <v>220200004</v>
      </c>
      <c r="C137" s="59">
        <v>202</v>
      </c>
      <c r="D137" s="59">
        <v>0</v>
      </c>
      <c r="E137" s="60">
        <v>-71</v>
      </c>
      <c r="F137" s="60">
        <v>0</v>
      </c>
      <c r="G137" s="60">
        <v>-35</v>
      </c>
      <c r="H137" s="57"/>
      <c r="J137" s="35">
        <v>222200001</v>
      </c>
      <c r="K137" s="35">
        <v>222</v>
      </c>
      <c r="L137" s="35">
        <v>0</v>
      </c>
      <c r="M137" s="35">
        <v>24</v>
      </c>
      <c r="N137" s="62">
        <v>-8.735657E-4</v>
      </c>
      <c r="O137" s="35">
        <v>42</v>
      </c>
    </row>
    <row r="138" spans="1:15" ht="16.5" x14ac:dyDescent="0.2">
      <c r="A138" s="1">
        <v>4</v>
      </c>
      <c r="B138" s="1">
        <v>220300001</v>
      </c>
      <c r="C138" s="59">
        <v>203</v>
      </c>
      <c r="D138" s="59">
        <v>0</v>
      </c>
      <c r="E138" s="60">
        <v>141</v>
      </c>
      <c r="F138" s="60">
        <v>-9</v>
      </c>
      <c r="G138" s="60">
        <v>-42</v>
      </c>
      <c r="H138" s="57" t="s">
        <v>235</v>
      </c>
      <c r="J138" s="35">
        <v>222400001</v>
      </c>
      <c r="K138" s="35">
        <v>224</v>
      </c>
      <c r="L138" s="35">
        <v>0</v>
      </c>
      <c r="M138" s="35">
        <v>63</v>
      </c>
      <c r="N138" s="62">
        <v>-8.8119507000000003E-4</v>
      </c>
      <c r="O138" s="35">
        <v>21</v>
      </c>
    </row>
    <row r="139" spans="1:15" ht="16.5" x14ac:dyDescent="0.2">
      <c r="A139" s="1">
        <v>4</v>
      </c>
      <c r="B139" s="1">
        <v>220300002</v>
      </c>
      <c r="C139" s="59">
        <v>203</v>
      </c>
      <c r="D139" s="59">
        <v>0</v>
      </c>
      <c r="E139" s="60">
        <v>120</v>
      </c>
      <c r="F139" s="60">
        <v>-9</v>
      </c>
      <c r="G139" s="60">
        <v>-92</v>
      </c>
      <c r="H139" s="57"/>
      <c r="J139" s="35">
        <v>222600001</v>
      </c>
      <c r="K139" s="35">
        <v>226</v>
      </c>
      <c r="L139" s="35">
        <v>0</v>
      </c>
      <c r="M139" s="35">
        <v>-21</v>
      </c>
      <c r="N139" s="35">
        <v>3</v>
      </c>
      <c r="O139" s="35">
        <v>69</v>
      </c>
    </row>
    <row r="140" spans="1:15" ht="16.5" x14ac:dyDescent="0.2">
      <c r="A140" s="1">
        <v>4</v>
      </c>
      <c r="B140" s="1">
        <v>220300003</v>
      </c>
      <c r="C140" s="59">
        <v>203</v>
      </c>
      <c r="D140" s="59">
        <v>0</v>
      </c>
      <c r="E140" s="60">
        <v>130</v>
      </c>
      <c r="F140" s="60">
        <v>-9</v>
      </c>
      <c r="G140" s="60">
        <v>-29</v>
      </c>
      <c r="H140" s="57"/>
      <c r="J140" s="35">
        <v>222700001</v>
      </c>
      <c r="K140" s="35">
        <v>227</v>
      </c>
      <c r="L140" s="35">
        <v>0</v>
      </c>
      <c r="M140" s="35">
        <v>142</v>
      </c>
      <c r="N140" s="35">
        <v>-8.9</v>
      </c>
      <c r="O140" s="35">
        <v>20</v>
      </c>
    </row>
    <row r="141" spans="1:15" ht="16.5" x14ac:dyDescent="0.2">
      <c r="A141" s="1">
        <v>4</v>
      </c>
      <c r="B141" s="1">
        <v>220300004</v>
      </c>
      <c r="C141" s="59">
        <v>203</v>
      </c>
      <c r="D141" s="59">
        <v>0</v>
      </c>
      <c r="E141" s="60">
        <v>129</v>
      </c>
      <c r="F141" s="60">
        <v>-9</v>
      </c>
      <c r="G141" s="60">
        <v>-67</v>
      </c>
      <c r="H141" s="57"/>
      <c r="J141" s="35">
        <v>222700002</v>
      </c>
      <c r="K141" s="35">
        <v>227</v>
      </c>
      <c r="L141" s="35">
        <v>0</v>
      </c>
      <c r="M141" s="35">
        <v>152</v>
      </c>
      <c r="N141" s="35">
        <v>-8.9</v>
      </c>
      <c r="O141" s="35">
        <v>-41</v>
      </c>
    </row>
    <row r="142" spans="1:15" ht="16.5" x14ac:dyDescent="0.2">
      <c r="A142" s="1">
        <v>4</v>
      </c>
      <c r="B142" s="1">
        <v>220400001</v>
      </c>
      <c r="C142" s="59">
        <v>204</v>
      </c>
      <c r="D142" s="59">
        <v>0</v>
      </c>
      <c r="E142" s="60">
        <v>68</v>
      </c>
      <c r="F142" s="60">
        <v>-9</v>
      </c>
      <c r="G142" s="60">
        <v>-103</v>
      </c>
      <c r="H142" s="57" t="s">
        <v>236</v>
      </c>
      <c r="J142" s="35">
        <v>222900001</v>
      </c>
      <c r="K142" s="35">
        <v>229</v>
      </c>
      <c r="L142" s="35">
        <v>0</v>
      </c>
      <c r="M142" s="35">
        <v>-40.5</v>
      </c>
      <c r="N142" s="62">
        <v>-8.8882445999999998E-4</v>
      </c>
      <c r="O142" s="35">
        <v>-49.5</v>
      </c>
    </row>
    <row r="143" spans="1:15" ht="16.5" x14ac:dyDescent="0.2">
      <c r="A143" s="1">
        <v>4</v>
      </c>
      <c r="B143" s="1">
        <v>220400002</v>
      </c>
      <c r="C143" s="59">
        <v>204</v>
      </c>
      <c r="D143" s="59">
        <v>0</v>
      </c>
      <c r="E143" s="60">
        <v>53</v>
      </c>
      <c r="F143" s="60">
        <v>-9</v>
      </c>
      <c r="G143" s="60">
        <v>-106</v>
      </c>
      <c r="H143" s="57"/>
      <c r="J143" s="35">
        <v>223000001</v>
      </c>
      <c r="K143" s="35">
        <v>230</v>
      </c>
      <c r="L143" s="35">
        <v>0</v>
      </c>
      <c r="M143" s="35">
        <v>75</v>
      </c>
      <c r="N143" s="62">
        <v>-8.8119507000000003E-4</v>
      </c>
      <c r="O143" s="35">
        <v>-18</v>
      </c>
    </row>
    <row r="144" spans="1:15" ht="16.5" x14ac:dyDescent="0.2">
      <c r="A144" s="1">
        <v>4</v>
      </c>
      <c r="B144" s="1">
        <v>220400003</v>
      </c>
      <c r="C144" s="59">
        <v>204</v>
      </c>
      <c r="D144" s="59">
        <v>0</v>
      </c>
      <c r="E144" s="60">
        <v>52</v>
      </c>
      <c r="F144" s="60">
        <v>-9</v>
      </c>
      <c r="G144" s="60">
        <v>-120</v>
      </c>
      <c r="H144" s="57"/>
      <c r="J144" s="35">
        <v>223100001</v>
      </c>
      <c r="K144" s="35">
        <v>231</v>
      </c>
      <c r="L144" s="35">
        <v>0</v>
      </c>
      <c r="M144" s="35">
        <v>-10.5</v>
      </c>
      <c r="N144" s="62">
        <v>-8.9645386E-4</v>
      </c>
      <c r="O144" s="35">
        <v>-37.5</v>
      </c>
    </row>
    <row r="145" spans="1:61" ht="16.5" x14ac:dyDescent="0.2">
      <c r="A145" s="1">
        <v>4</v>
      </c>
      <c r="B145" s="1">
        <v>220400004</v>
      </c>
      <c r="C145" s="59">
        <v>204</v>
      </c>
      <c r="D145" s="59">
        <v>0</v>
      </c>
      <c r="E145" s="60">
        <v>64</v>
      </c>
      <c r="F145" s="60">
        <v>-9</v>
      </c>
      <c r="G145" s="60">
        <v>-116</v>
      </c>
      <c r="H145" s="57"/>
      <c r="J145" s="35">
        <v>223200001</v>
      </c>
      <c r="K145" s="35">
        <v>232</v>
      </c>
      <c r="L145" s="35">
        <v>0</v>
      </c>
      <c r="M145" s="35">
        <v>45</v>
      </c>
      <c r="N145" s="62">
        <v>-8.7738040000000001E-4</v>
      </c>
      <c r="O145" s="35">
        <v>51</v>
      </c>
    </row>
    <row r="146" spans="1:61" ht="16.5" x14ac:dyDescent="0.2">
      <c r="A146" s="1">
        <v>4</v>
      </c>
      <c r="B146" s="1">
        <v>220500001</v>
      </c>
      <c r="C146" s="59">
        <v>205</v>
      </c>
      <c r="D146" s="59">
        <v>0</v>
      </c>
      <c r="E146" s="60">
        <v>-57</v>
      </c>
      <c r="F146" s="60">
        <v>0</v>
      </c>
      <c r="G146" s="60">
        <v>-90</v>
      </c>
      <c r="H146" s="57" t="s">
        <v>237</v>
      </c>
      <c r="J146" s="35">
        <v>223400001</v>
      </c>
      <c r="K146" s="35">
        <v>234</v>
      </c>
      <c r="L146" s="35">
        <v>0</v>
      </c>
      <c r="M146" s="35">
        <v>-102</v>
      </c>
      <c r="N146" s="62">
        <v>-8.9263915999999999E-4</v>
      </c>
      <c r="O146" s="35">
        <v>-30</v>
      </c>
    </row>
    <row r="147" spans="1:61" ht="16.5" x14ac:dyDescent="0.2">
      <c r="A147" s="1">
        <v>4</v>
      </c>
      <c r="B147" s="1">
        <v>220500002</v>
      </c>
      <c r="C147" s="59">
        <v>205</v>
      </c>
      <c r="D147" s="59">
        <v>0</v>
      </c>
      <c r="E147" s="60">
        <v>-78</v>
      </c>
      <c r="F147" s="60">
        <v>0</v>
      </c>
      <c r="G147" s="60">
        <v>-89</v>
      </c>
      <c r="H147" s="57"/>
      <c r="J147" s="35">
        <v>223400002</v>
      </c>
      <c r="K147" s="35">
        <v>234</v>
      </c>
      <c r="L147" s="35">
        <v>0</v>
      </c>
      <c r="M147" s="35">
        <v>-99</v>
      </c>
      <c r="N147" s="62">
        <v>-8.8119507000000003E-4</v>
      </c>
      <c r="O147" s="35">
        <v>-18</v>
      </c>
    </row>
    <row r="148" spans="1:61" ht="16.5" x14ac:dyDescent="0.2">
      <c r="A148" s="1">
        <v>4</v>
      </c>
      <c r="B148" s="1">
        <v>220500003</v>
      </c>
      <c r="C148" s="59">
        <v>205</v>
      </c>
      <c r="D148" s="59">
        <v>0</v>
      </c>
      <c r="E148" s="60">
        <v>-54</v>
      </c>
      <c r="F148" s="60">
        <v>0</v>
      </c>
      <c r="G148" s="60">
        <v>-103</v>
      </c>
      <c r="H148" s="57"/>
      <c r="J148" s="35">
        <v>223500001</v>
      </c>
      <c r="K148" s="35">
        <v>235</v>
      </c>
      <c r="L148" s="35">
        <v>0</v>
      </c>
      <c r="M148" s="35">
        <v>-63</v>
      </c>
      <c r="N148" s="35">
        <v>5</v>
      </c>
      <c r="O148" s="35">
        <v>6</v>
      </c>
    </row>
    <row r="149" spans="1:61" ht="16.5" x14ac:dyDescent="0.2">
      <c r="A149" s="1">
        <v>4</v>
      </c>
      <c r="B149" s="1">
        <v>220600001</v>
      </c>
      <c r="C149" s="59">
        <v>206</v>
      </c>
      <c r="D149" s="59">
        <v>0</v>
      </c>
      <c r="E149" s="60">
        <v>60</v>
      </c>
      <c r="F149" s="60">
        <v>0</v>
      </c>
      <c r="G149" s="60">
        <v>48</v>
      </c>
      <c r="H149" s="57" t="s">
        <v>238</v>
      </c>
      <c r="J149" s="35">
        <v>223600001</v>
      </c>
      <c r="K149" s="35">
        <v>236</v>
      </c>
      <c r="L149" s="35">
        <v>0</v>
      </c>
      <c r="M149" s="35">
        <v>-42</v>
      </c>
      <c r="N149" s="35">
        <v>5</v>
      </c>
      <c r="O149" s="35">
        <v>5</v>
      </c>
    </row>
    <row r="150" spans="1:61" ht="16.5" x14ac:dyDescent="0.2">
      <c r="A150" s="1">
        <v>4</v>
      </c>
      <c r="B150" s="1">
        <v>220700001</v>
      </c>
      <c r="C150" s="59">
        <v>207</v>
      </c>
      <c r="D150" s="59">
        <v>0</v>
      </c>
      <c r="E150" s="60">
        <v>128</v>
      </c>
      <c r="F150" s="60">
        <v>-9</v>
      </c>
      <c r="G150" s="60">
        <v>-54</v>
      </c>
      <c r="H150" s="57" t="s">
        <v>239</v>
      </c>
      <c r="J150" s="35">
        <v>223700001</v>
      </c>
      <c r="K150" s="35">
        <v>237</v>
      </c>
      <c r="L150" s="35">
        <v>0</v>
      </c>
      <c r="M150" s="35">
        <v>27</v>
      </c>
      <c r="N150" s="62">
        <v>-8.9645386E-4</v>
      </c>
      <c r="O150" s="35">
        <v>-54</v>
      </c>
    </row>
    <row r="151" spans="1:61" ht="16.5" x14ac:dyDescent="0.2">
      <c r="A151" s="1">
        <v>4</v>
      </c>
      <c r="B151" s="1">
        <v>220700002</v>
      </c>
      <c r="C151" s="59">
        <v>207</v>
      </c>
      <c r="D151" s="59">
        <v>0</v>
      </c>
      <c r="E151" s="60">
        <v>132</v>
      </c>
      <c r="F151" s="60">
        <v>-9</v>
      </c>
      <c r="G151" s="60">
        <v>-91</v>
      </c>
      <c r="H151" s="57"/>
      <c r="J151" s="35">
        <v>220100001</v>
      </c>
      <c r="K151" s="35">
        <v>201</v>
      </c>
      <c r="L151" s="35">
        <v>0</v>
      </c>
      <c r="M151" s="35">
        <v>0</v>
      </c>
      <c r="N151" s="35">
        <v>0</v>
      </c>
      <c r="O151" s="35">
        <v>0</v>
      </c>
      <c r="T151" s="35" t="s">
        <v>303</v>
      </c>
      <c r="U151" s="35" t="s">
        <v>304</v>
      </c>
      <c r="V151" s="35" t="s">
        <v>305</v>
      </c>
      <c r="W151" s="35" t="s">
        <v>306</v>
      </c>
      <c r="X151" s="35" t="s">
        <v>307</v>
      </c>
      <c r="Y151" s="35" t="s">
        <v>308</v>
      </c>
      <c r="Z151" s="35" t="s">
        <v>309</v>
      </c>
      <c r="AA151" s="35" t="s">
        <v>310</v>
      </c>
      <c r="AB151" s="35" t="s">
        <v>311</v>
      </c>
      <c r="AC151" s="35" t="s">
        <v>312</v>
      </c>
      <c r="AD151" s="35" t="s">
        <v>313</v>
      </c>
      <c r="AE151" s="35" t="s">
        <v>314</v>
      </c>
      <c r="AF151" s="35" t="s">
        <v>315</v>
      </c>
      <c r="AG151" s="35" t="s">
        <v>316</v>
      </c>
      <c r="AH151" s="35" t="s">
        <v>317</v>
      </c>
      <c r="AI151" s="35" t="s">
        <v>318</v>
      </c>
      <c r="AJ151" s="35" t="s">
        <v>319</v>
      </c>
      <c r="AK151" s="35" t="s">
        <v>320</v>
      </c>
      <c r="AL151" s="35" t="s">
        <v>321</v>
      </c>
      <c r="AM151" s="35" t="s">
        <v>322</v>
      </c>
      <c r="AN151" s="35" t="s">
        <v>323</v>
      </c>
      <c r="AO151" s="35" t="s">
        <v>324</v>
      </c>
      <c r="AP151" s="35" t="s">
        <v>276</v>
      </c>
      <c r="AQ151" s="35" t="s">
        <v>325</v>
      </c>
      <c r="AR151" s="35" t="s">
        <v>326</v>
      </c>
      <c r="AS151" s="35" t="s">
        <v>279</v>
      </c>
      <c r="AT151" s="35" t="s">
        <v>280</v>
      </c>
      <c r="AU151" s="35" t="s">
        <v>281</v>
      </c>
      <c r="AV151" s="35" t="s">
        <v>327</v>
      </c>
      <c r="AW151" s="35" t="s">
        <v>328</v>
      </c>
      <c r="AX151" s="35" t="s">
        <v>284</v>
      </c>
      <c r="AY151" s="35" t="s">
        <v>285</v>
      </c>
      <c r="AZ151" s="35" t="s">
        <v>286</v>
      </c>
      <c r="BA151" s="35" t="s">
        <v>329</v>
      </c>
      <c r="BB151" s="35" t="s">
        <v>330</v>
      </c>
      <c r="BC151" s="35" t="s">
        <v>331</v>
      </c>
      <c r="BD151" s="35" t="s">
        <v>332</v>
      </c>
      <c r="BE151" s="35" t="s">
        <v>333</v>
      </c>
      <c r="BF151" s="35" t="s">
        <v>334</v>
      </c>
      <c r="BG151" s="35" t="s">
        <v>293</v>
      </c>
      <c r="BH151" s="35" t="s">
        <v>294</v>
      </c>
      <c r="BI151" s="35" t="s">
        <v>335</v>
      </c>
    </row>
    <row r="152" spans="1:61" ht="16.5" x14ac:dyDescent="0.2">
      <c r="A152" s="1">
        <v>4</v>
      </c>
      <c r="B152" s="1">
        <v>220700003</v>
      </c>
      <c r="C152" s="59">
        <v>207</v>
      </c>
      <c r="D152" s="59">
        <v>0</v>
      </c>
      <c r="E152" s="61">
        <v>115</v>
      </c>
      <c r="F152" s="61">
        <v>-9</v>
      </c>
      <c r="G152" s="61">
        <v>-53</v>
      </c>
      <c r="H152" s="57"/>
      <c r="J152" s="35">
        <v>220200001</v>
      </c>
      <c r="K152" s="35">
        <v>202</v>
      </c>
      <c r="L152" s="35">
        <v>0</v>
      </c>
      <c r="M152" s="35">
        <v>18</v>
      </c>
      <c r="N152" s="62">
        <v>-8.9263915999999999E-4</v>
      </c>
      <c r="O152" s="35">
        <v>-33</v>
      </c>
    </row>
    <row r="153" spans="1:61" ht="16.5" x14ac:dyDescent="0.2">
      <c r="A153" s="1">
        <v>4</v>
      </c>
      <c r="B153" s="1">
        <v>220700004</v>
      </c>
      <c r="C153" s="59">
        <v>207</v>
      </c>
      <c r="D153" s="59">
        <v>0</v>
      </c>
      <c r="E153" s="60">
        <v>141</v>
      </c>
      <c r="F153" s="60">
        <v>-9</v>
      </c>
      <c r="G153" s="60">
        <v>-54</v>
      </c>
      <c r="H153" s="57"/>
    </row>
    <row r="154" spans="1:61" ht="16.5" x14ac:dyDescent="0.2">
      <c r="A154" s="1">
        <v>4</v>
      </c>
      <c r="B154" s="1">
        <v>220700005</v>
      </c>
      <c r="C154" s="59">
        <v>207</v>
      </c>
      <c r="D154" s="59">
        <v>0</v>
      </c>
      <c r="E154" s="60">
        <v>128</v>
      </c>
      <c r="F154" s="60">
        <v>-9</v>
      </c>
      <c r="G154" s="60">
        <v>-41</v>
      </c>
      <c r="H154" s="57"/>
      <c r="J154" s="35">
        <v>220200002</v>
      </c>
      <c r="K154" s="35">
        <v>202</v>
      </c>
      <c r="L154" s="35">
        <v>0</v>
      </c>
      <c r="M154" s="35">
        <v>51</v>
      </c>
      <c r="N154" s="62">
        <v>-8.8882445999999998E-4</v>
      </c>
      <c r="O154" s="35">
        <v>-15</v>
      </c>
    </row>
    <row r="155" spans="1:61" ht="16.5" x14ac:dyDescent="0.2">
      <c r="A155" s="1">
        <v>4</v>
      </c>
      <c r="B155" s="1">
        <v>220700006</v>
      </c>
      <c r="C155" s="59">
        <v>207</v>
      </c>
      <c r="D155" s="59">
        <v>0</v>
      </c>
      <c r="E155" s="60">
        <v>140</v>
      </c>
      <c r="F155" s="60">
        <v>-9</v>
      </c>
      <c r="G155" s="60">
        <v>-67</v>
      </c>
      <c r="H155" s="57"/>
      <c r="J155" s="35">
        <v>220200003</v>
      </c>
      <c r="K155" s="35">
        <v>202</v>
      </c>
      <c r="L155" s="35">
        <v>0</v>
      </c>
      <c r="M155" s="35">
        <v>36</v>
      </c>
      <c r="N155" s="62">
        <v>-8.8500977000000004E-4</v>
      </c>
      <c r="O155" s="35">
        <v>-15</v>
      </c>
    </row>
    <row r="156" spans="1:61" ht="16.5" x14ac:dyDescent="0.2">
      <c r="A156" s="1">
        <v>4</v>
      </c>
      <c r="B156" s="1">
        <v>220700007</v>
      </c>
      <c r="C156" s="59">
        <v>207</v>
      </c>
      <c r="D156" s="59">
        <v>0</v>
      </c>
      <c r="E156" s="60">
        <v>136</v>
      </c>
      <c r="F156" s="60">
        <v>-9</v>
      </c>
      <c r="G156" s="60">
        <v>-79</v>
      </c>
      <c r="H156" s="57"/>
      <c r="J156" s="35">
        <v>220200004</v>
      </c>
      <c r="K156" s="35">
        <v>202</v>
      </c>
      <c r="L156" s="35">
        <v>0</v>
      </c>
      <c r="M156" s="35">
        <v>30</v>
      </c>
      <c r="N156" s="62">
        <v>-8.8882445999999998E-4</v>
      </c>
      <c r="O156" s="35">
        <v>-27</v>
      </c>
    </row>
    <row r="157" spans="1:61" ht="16.5" x14ac:dyDescent="0.2">
      <c r="A157" s="1">
        <v>4</v>
      </c>
      <c r="B157" s="1">
        <v>220700008</v>
      </c>
      <c r="C157" s="59">
        <v>207</v>
      </c>
      <c r="D157" s="59">
        <v>0</v>
      </c>
      <c r="E157" s="60">
        <v>107</v>
      </c>
      <c r="F157" s="60">
        <v>-9</v>
      </c>
      <c r="G157" s="60">
        <v>-91</v>
      </c>
      <c r="H157" s="57"/>
      <c r="J157" s="35">
        <v>220300001</v>
      </c>
      <c r="K157" s="35">
        <v>203</v>
      </c>
      <c r="L157" s="35">
        <v>0</v>
      </c>
      <c r="M157" s="35">
        <v>108</v>
      </c>
      <c r="N157" s="35">
        <v>-9.1009030000000006</v>
      </c>
      <c r="O157" s="35">
        <v>-63</v>
      </c>
    </row>
    <row r="158" spans="1:61" ht="16.5" x14ac:dyDescent="0.2">
      <c r="A158" s="1">
        <v>4</v>
      </c>
      <c r="B158" s="1">
        <v>220700009</v>
      </c>
      <c r="C158" s="59">
        <v>207</v>
      </c>
      <c r="D158" s="59">
        <v>0</v>
      </c>
      <c r="E158" s="60">
        <v>124</v>
      </c>
      <c r="F158" s="60">
        <v>-9</v>
      </c>
      <c r="G158" s="60">
        <v>-79</v>
      </c>
      <c r="H158" s="57"/>
      <c r="J158" s="35">
        <v>220300002</v>
      </c>
      <c r="K158" s="35">
        <v>203</v>
      </c>
      <c r="L158" s="35">
        <v>0</v>
      </c>
      <c r="M158" s="35">
        <v>117</v>
      </c>
      <c r="N158" s="35">
        <v>-9.1008990000000001</v>
      </c>
      <c r="O158" s="35">
        <v>-87</v>
      </c>
    </row>
    <row r="159" spans="1:61" ht="16.5" x14ac:dyDescent="0.2">
      <c r="A159" s="1">
        <v>4</v>
      </c>
      <c r="B159" s="1">
        <v>220700010</v>
      </c>
      <c r="C159" s="59">
        <v>207</v>
      </c>
      <c r="D159" s="59">
        <v>0</v>
      </c>
      <c r="E159" s="60">
        <v>111</v>
      </c>
      <c r="F159" s="60">
        <v>-9</v>
      </c>
      <c r="G159" s="60">
        <v>-79</v>
      </c>
      <c r="H159" s="57"/>
      <c r="J159" s="35">
        <v>220300003</v>
      </c>
      <c r="K159" s="35">
        <v>203</v>
      </c>
      <c r="L159" s="35">
        <v>0</v>
      </c>
      <c r="M159" s="35">
        <v>93</v>
      </c>
      <c r="N159" s="35">
        <v>-9.1009030000000006</v>
      </c>
      <c r="O159" s="35">
        <v>-87</v>
      </c>
    </row>
    <row r="160" spans="1:61" ht="16.5" x14ac:dyDescent="0.2">
      <c r="A160" s="1">
        <v>4</v>
      </c>
      <c r="B160" s="1">
        <v>220700011</v>
      </c>
      <c r="C160" s="59">
        <v>207</v>
      </c>
      <c r="D160" s="59">
        <v>0</v>
      </c>
      <c r="E160" s="60">
        <v>116</v>
      </c>
      <c r="F160" s="60">
        <v>-9</v>
      </c>
      <c r="G160" s="60">
        <v>-66</v>
      </c>
      <c r="H160" s="57"/>
      <c r="J160" s="35">
        <v>220300004</v>
      </c>
      <c r="K160" s="35">
        <v>203</v>
      </c>
      <c r="L160" s="35">
        <v>0</v>
      </c>
      <c r="M160" s="35">
        <v>120</v>
      </c>
      <c r="N160" s="35">
        <v>-9.1008949999999995</v>
      </c>
      <c r="O160" s="35">
        <v>-39</v>
      </c>
    </row>
    <row r="161" spans="1:15" ht="16.5" x14ac:dyDescent="0.2">
      <c r="A161" s="1">
        <v>4</v>
      </c>
      <c r="B161" s="1">
        <v>220700012</v>
      </c>
      <c r="C161" s="59">
        <v>207</v>
      </c>
      <c r="D161" s="59">
        <v>0</v>
      </c>
      <c r="E161" s="60">
        <v>95</v>
      </c>
      <c r="F161" s="60">
        <v>-9</v>
      </c>
      <c r="G161" s="60">
        <v>-92</v>
      </c>
      <c r="H161" s="57"/>
      <c r="J161" s="35">
        <v>220400001</v>
      </c>
      <c r="K161" s="35">
        <v>204</v>
      </c>
      <c r="L161" s="35">
        <v>0</v>
      </c>
      <c r="M161" s="35">
        <v>45</v>
      </c>
      <c r="N161" s="35">
        <v>-9.1009030000000006</v>
      </c>
      <c r="O161" s="35">
        <v>-96</v>
      </c>
    </row>
    <row r="162" spans="1:15" ht="16.5" x14ac:dyDescent="0.2">
      <c r="A162" s="1">
        <v>4</v>
      </c>
      <c r="B162" s="1">
        <v>220800001</v>
      </c>
      <c r="C162" s="59">
        <v>208</v>
      </c>
      <c r="D162" s="59">
        <v>0</v>
      </c>
      <c r="E162" s="60">
        <v>-69</v>
      </c>
      <c r="F162" s="60">
        <v>13</v>
      </c>
      <c r="G162" s="60">
        <v>78</v>
      </c>
      <c r="H162" s="57" t="s">
        <v>240</v>
      </c>
      <c r="J162" s="35">
        <v>220400002</v>
      </c>
      <c r="K162" s="35">
        <v>204</v>
      </c>
      <c r="L162" s="35">
        <v>0</v>
      </c>
      <c r="M162" s="35">
        <v>30</v>
      </c>
      <c r="N162" s="35">
        <v>-9.1009030000000006</v>
      </c>
      <c r="O162" s="35">
        <v>-96</v>
      </c>
    </row>
    <row r="163" spans="1:15" ht="16.5" x14ac:dyDescent="0.2">
      <c r="A163" s="1">
        <v>4</v>
      </c>
      <c r="B163" s="1">
        <v>220900001</v>
      </c>
      <c r="C163" s="59">
        <v>209</v>
      </c>
      <c r="D163" s="59">
        <v>0</v>
      </c>
      <c r="E163" s="60">
        <v>60</v>
      </c>
      <c r="F163" s="60">
        <v>0</v>
      </c>
      <c r="G163" s="60">
        <v>24</v>
      </c>
      <c r="H163" s="57" t="s">
        <v>241</v>
      </c>
      <c r="J163" s="35">
        <v>220400003</v>
      </c>
      <c r="K163" s="35">
        <v>204</v>
      </c>
      <c r="L163" s="35">
        <v>0</v>
      </c>
      <c r="M163" s="35">
        <v>27</v>
      </c>
      <c r="N163" s="35">
        <v>-9.1009060000000002</v>
      </c>
      <c r="O163" s="35">
        <v>-120</v>
      </c>
    </row>
    <row r="164" spans="1:15" ht="16.5" x14ac:dyDescent="0.2">
      <c r="A164" s="1">
        <v>4</v>
      </c>
      <c r="B164" s="1">
        <v>221100001</v>
      </c>
      <c r="C164" s="59">
        <v>211</v>
      </c>
      <c r="D164" s="59">
        <v>0</v>
      </c>
      <c r="E164" s="60">
        <v>21</v>
      </c>
      <c r="F164" s="60">
        <v>0</v>
      </c>
      <c r="G164" s="60">
        <v>-49</v>
      </c>
      <c r="H164" s="57" t="s">
        <v>242</v>
      </c>
      <c r="J164" s="35">
        <v>220400004</v>
      </c>
      <c r="K164" s="35">
        <v>204</v>
      </c>
      <c r="L164" s="35">
        <v>0</v>
      </c>
      <c r="M164" s="35">
        <v>45</v>
      </c>
      <c r="N164" s="35">
        <v>-9.1009100000000007</v>
      </c>
      <c r="O164" s="35">
        <v>-120</v>
      </c>
    </row>
    <row r="165" spans="1:15" ht="16.5" x14ac:dyDescent="0.2">
      <c r="A165" s="1">
        <v>4</v>
      </c>
      <c r="B165" s="1">
        <v>221200001</v>
      </c>
      <c r="C165" s="59">
        <v>212</v>
      </c>
      <c r="D165" s="59">
        <v>0</v>
      </c>
      <c r="E165" s="60">
        <v>109.5</v>
      </c>
      <c r="F165" s="60">
        <v>-4.5999999999999996</v>
      </c>
      <c r="G165" s="60">
        <v>69</v>
      </c>
      <c r="H165" s="57" t="s">
        <v>243</v>
      </c>
      <c r="J165" s="35">
        <v>220500001</v>
      </c>
      <c r="K165" s="35">
        <v>205</v>
      </c>
      <c r="L165" s="35">
        <v>0</v>
      </c>
      <c r="M165" s="35">
        <v>-99</v>
      </c>
      <c r="N165" s="62">
        <v>-8.9263915999999999E-4</v>
      </c>
      <c r="O165" s="35">
        <v>-66</v>
      </c>
    </row>
    <row r="166" spans="1:15" ht="16.5" x14ac:dyDescent="0.2">
      <c r="A166" s="1">
        <v>4</v>
      </c>
      <c r="B166" s="1">
        <v>221300001</v>
      </c>
      <c r="C166" s="59">
        <v>213</v>
      </c>
      <c r="D166" s="59">
        <v>0</v>
      </c>
      <c r="E166" s="60">
        <v>16</v>
      </c>
      <c r="F166" s="60">
        <v>-18.5</v>
      </c>
      <c r="G166" s="60">
        <v>130</v>
      </c>
      <c r="H166" s="57" t="s">
        <v>244</v>
      </c>
      <c r="J166" s="35">
        <v>220500002</v>
      </c>
      <c r="K166" s="35">
        <v>205</v>
      </c>
      <c r="L166" s="35">
        <v>0</v>
      </c>
      <c r="M166" s="35">
        <v>-102</v>
      </c>
      <c r="N166" s="62">
        <v>-8.9645386E-4</v>
      </c>
      <c r="O166" s="35">
        <v>-54</v>
      </c>
    </row>
    <row r="167" spans="1:15" ht="16.5" x14ac:dyDescent="0.2">
      <c r="A167" s="1">
        <v>4</v>
      </c>
      <c r="B167" s="1">
        <v>221500001</v>
      </c>
      <c r="C167" s="59">
        <v>215</v>
      </c>
      <c r="D167" s="59">
        <v>0</v>
      </c>
      <c r="E167" s="60">
        <v>99</v>
      </c>
      <c r="F167" s="60">
        <v>0</v>
      </c>
      <c r="G167" s="60">
        <v>1</v>
      </c>
      <c r="H167" s="57" t="s">
        <v>245</v>
      </c>
      <c r="J167" s="35">
        <v>220600001</v>
      </c>
      <c r="K167" s="35">
        <v>206</v>
      </c>
      <c r="L167" s="35">
        <v>0</v>
      </c>
      <c r="M167" s="35">
        <v>36</v>
      </c>
      <c r="N167" s="62">
        <v>-8.8882445999999998E-4</v>
      </c>
      <c r="O167" s="35">
        <v>21</v>
      </c>
    </row>
    <row r="168" spans="1:15" ht="16.5" x14ac:dyDescent="0.2">
      <c r="A168" s="1">
        <v>4</v>
      </c>
      <c r="B168" s="1">
        <v>222200001</v>
      </c>
      <c r="C168" s="59">
        <v>222</v>
      </c>
      <c r="D168" s="59">
        <v>0</v>
      </c>
      <c r="E168" s="60">
        <v>43</v>
      </c>
      <c r="F168" s="60">
        <v>0</v>
      </c>
      <c r="G168" s="60">
        <v>21</v>
      </c>
      <c r="H168" s="57" t="s">
        <v>246</v>
      </c>
      <c r="J168" s="35">
        <v>220700001</v>
      </c>
      <c r="K168" s="35">
        <v>207</v>
      </c>
      <c r="L168" s="35">
        <v>0</v>
      </c>
      <c r="M168" s="35">
        <v>105</v>
      </c>
      <c r="N168" s="35">
        <v>-9.1009030000000006</v>
      </c>
      <c r="O168" s="35">
        <v>-87</v>
      </c>
    </row>
    <row r="169" spans="1:15" ht="16.5" x14ac:dyDescent="0.2">
      <c r="A169" s="1">
        <v>4</v>
      </c>
      <c r="B169" s="1">
        <v>222400001</v>
      </c>
      <c r="C169" s="59">
        <v>224</v>
      </c>
      <c r="D169" s="59">
        <v>0</v>
      </c>
      <c r="E169" s="60">
        <v>81</v>
      </c>
      <c r="F169" s="60">
        <v>0</v>
      </c>
      <c r="G169" s="60">
        <v>15</v>
      </c>
      <c r="H169" s="57" t="s">
        <v>247</v>
      </c>
      <c r="J169" s="35">
        <v>220800001</v>
      </c>
      <c r="K169" s="35">
        <v>208</v>
      </c>
      <c r="L169" s="35">
        <v>0</v>
      </c>
      <c r="M169" s="35">
        <v>-69</v>
      </c>
      <c r="N169" s="35">
        <v>13</v>
      </c>
      <c r="O169" s="35">
        <v>78</v>
      </c>
    </row>
    <row r="170" spans="1:15" ht="16.5" x14ac:dyDescent="0.2">
      <c r="A170" s="1">
        <v>4</v>
      </c>
      <c r="B170" s="1">
        <v>222600001</v>
      </c>
      <c r="C170" s="59">
        <v>226</v>
      </c>
      <c r="D170" s="59">
        <v>0</v>
      </c>
      <c r="E170" s="60">
        <v>-22</v>
      </c>
      <c r="F170" s="60">
        <v>3</v>
      </c>
      <c r="G170" s="60">
        <v>69</v>
      </c>
      <c r="H170" s="57" t="s">
        <v>248</v>
      </c>
      <c r="J170" s="35">
        <v>220900001</v>
      </c>
      <c r="K170" s="35">
        <v>209</v>
      </c>
      <c r="L170" s="35">
        <v>0</v>
      </c>
      <c r="M170" s="35">
        <v>69</v>
      </c>
      <c r="N170" s="62">
        <v>-8.735657E-4</v>
      </c>
      <c r="O170" s="35">
        <v>51</v>
      </c>
    </row>
    <row r="171" spans="1:15" ht="16.5" x14ac:dyDescent="0.2">
      <c r="A171" s="1">
        <v>4</v>
      </c>
      <c r="B171" s="1">
        <v>222700001</v>
      </c>
      <c r="C171" s="59">
        <v>227</v>
      </c>
      <c r="D171" s="59">
        <v>0</v>
      </c>
      <c r="E171" s="60">
        <v>152</v>
      </c>
      <c r="F171" s="60">
        <v>-9</v>
      </c>
      <c r="G171" s="60">
        <v>-30</v>
      </c>
      <c r="H171" s="57" t="s">
        <v>249</v>
      </c>
      <c r="J171" s="35">
        <v>221200001</v>
      </c>
      <c r="K171" s="35">
        <v>212</v>
      </c>
      <c r="L171" s="35">
        <v>0</v>
      </c>
      <c r="M171" s="35">
        <v>109.5</v>
      </c>
      <c r="N171" s="35">
        <v>-4.5999999999999996</v>
      </c>
      <c r="O171" s="35">
        <v>69</v>
      </c>
    </row>
    <row r="172" spans="1:15" ht="16.5" x14ac:dyDescent="0.2">
      <c r="A172" s="1">
        <v>4</v>
      </c>
      <c r="B172" s="1">
        <v>222700002</v>
      </c>
      <c r="C172" s="59">
        <v>227</v>
      </c>
      <c r="D172" s="59">
        <v>0</v>
      </c>
      <c r="E172" s="60">
        <v>141</v>
      </c>
      <c r="F172" s="60">
        <v>-9</v>
      </c>
      <c r="G172" s="60">
        <v>20</v>
      </c>
      <c r="H172" s="57"/>
      <c r="J172" s="35">
        <v>221300001</v>
      </c>
      <c r="K172" s="35">
        <v>213</v>
      </c>
      <c r="L172" s="35">
        <v>0</v>
      </c>
      <c r="M172" s="35">
        <v>16.5</v>
      </c>
      <c r="N172" s="35">
        <v>-18.48</v>
      </c>
      <c r="O172" s="35">
        <v>130.5</v>
      </c>
    </row>
    <row r="173" spans="1:15" ht="16.5" x14ac:dyDescent="0.2">
      <c r="A173" s="1">
        <v>4</v>
      </c>
      <c r="B173" s="1">
        <v>222900001</v>
      </c>
      <c r="C173" s="59">
        <v>229</v>
      </c>
      <c r="D173" s="59">
        <v>0</v>
      </c>
      <c r="E173" s="60">
        <v>39</v>
      </c>
      <c r="F173" s="60">
        <v>0</v>
      </c>
      <c r="G173" s="60">
        <v>42</v>
      </c>
      <c r="H173" s="57" t="s">
        <v>296</v>
      </c>
      <c r="J173" s="35">
        <v>221500001</v>
      </c>
      <c r="K173" s="35">
        <v>215</v>
      </c>
      <c r="L173" s="35">
        <v>0</v>
      </c>
      <c r="M173" s="35">
        <v>99</v>
      </c>
      <c r="N173" s="35">
        <v>0</v>
      </c>
      <c r="O173" s="35">
        <v>1</v>
      </c>
    </row>
    <row r="174" spans="1:15" ht="16.5" x14ac:dyDescent="0.2">
      <c r="A174" s="1">
        <v>4</v>
      </c>
      <c r="B174" s="1">
        <v>223000001</v>
      </c>
      <c r="C174" s="59">
        <v>230</v>
      </c>
      <c r="D174" s="59">
        <v>0</v>
      </c>
      <c r="E174" s="60">
        <v>45</v>
      </c>
      <c r="F174" s="60">
        <v>0</v>
      </c>
      <c r="G174" s="60">
        <v>-19</v>
      </c>
      <c r="H174" s="57" t="s">
        <v>250</v>
      </c>
      <c r="J174" s="35">
        <v>222200001</v>
      </c>
      <c r="K174" s="35">
        <v>222</v>
      </c>
      <c r="L174" s="35">
        <v>0</v>
      </c>
      <c r="M174" s="35">
        <v>24</v>
      </c>
      <c r="N174" s="62">
        <v>-8.735657E-4</v>
      </c>
      <c r="O174" s="35">
        <v>42</v>
      </c>
    </row>
    <row r="175" spans="1:15" ht="16.5" x14ac:dyDescent="0.2">
      <c r="A175" s="1">
        <v>4</v>
      </c>
      <c r="B175" s="1">
        <v>223100001</v>
      </c>
      <c r="C175" s="59">
        <v>231</v>
      </c>
      <c r="D175" s="59">
        <v>0</v>
      </c>
      <c r="E175" s="60">
        <v>-31</v>
      </c>
      <c r="F175" s="60">
        <v>0</v>
      </c>
      <c r="G175" s="60">
        <v>-34</v>
      </c>
      <c r="H175" s="57" t="s">
        <v>251</v>
      </c>
      <c r="J175" s="35">
        <v>222400001</v>
      </c>
      <c r="K175" s="35">
        <v>224</v>
      </c>
      <c r="L175" s="35">
        <v>0</v>
      </c>
      <c r="M175" s="35">
        <v>63</v>
      </c>
      <c r="N175" s="62">
        <v>-8.8119507000000003E-4</v>
      </c>
      <c r="O175" s="35">
        <v>21</v>
      </c>
    </row>
    <row r="176" spans="1:15" ht="16.5" x14ac:dyDescent="0.2">
      <c r="A176" s="1">
        <v>4</v>
      </c>
      <c r="B176" s="1">
        <v>223200001</v>
      </c>
      <c r="C176" s="59">
        <v>232</v>
      </c>
      <c r="D176" s="59">
        <v>0</v>
      </c>
      <c r="E176" s="60">
        <v>84</v>
      </c>
      <c r="F176" s="60">
        <v>0</v>
      </c>
      <c r="G176" s="60">
        <v>45</v>
      </c>
      <c r="H176" s="57" t="s">
        <v>252</v>
      </c>
      <c r="J176" s="35">
        <v>222600001</v>
      </c>
      <c r="K176" s="35">
        <v>226</v>
      </c>
      <c r="L176" s="35">
        <v>0</v>
      </c>
      <c r="M176" s="35">
        <v>-21</v>
      </c>
      <c r="N176" s="35">
        <v>3</v>
      </c>
      <c r="O176" s="35">
        <v>69</v>
      </c>
    </row>
    <row r="177" spans="1:15" ht="16.5" x14ac:dyDescent="0.2">
      <c r="A177" s="1">
        <v>4</v>
      </c>
      <c r="B177" s="1">
        <v>223400001</v>
      </c>
      <c r="C177" s="59">
        <v>234</v>
      </c>
      <c r="D177" s="59">
        <v>0</v>
      </c>
      <c r="E177" s="60">
        <v>-114</v>
      </c>
      <c r="F177" s="60">
        <v>0</v>
      </c>
      <c r="G177" s="60">
        <v>-34</v>
      </c>
      <c r="H177" s="57" t="s">
        <v>297</v>
      </c>
      <c r="J177" s="35">
        <v>222700001</v>
      </c>
      <c r="K177" s="35">
        <v>227</v>
      </c>
      <c r="L177" s="35">
        <v>0</v>
      </c>
      <c r="M177" s="35">
        <v>142</v>
      </c>
      <c r="N177" s="35">
        <v>-8.9</v>
      </c>
      <c r="O177" s="35">
        <v>20</v>
      </c>
    </row>
    <row r="178" spans="1:15" ht="16.5" x14ac:dyDescent="0.2">
      <c r="A178" s="1">
        <v>4</v>
      </c>
      <c r="B178" s="1">
        <v>223400002</v>
      </c>
      <c r="C178" s="59">
        <v>234</v>
      </c>
      <c r="D178" s="59">
        <v>0</v>
      </c>
      <c r="E178" s="60">
        <v>-101</v>
      </c>
      <c r="F178" s="60">
        <v>0</v>
      </c>
      <c r="G178" s="60">
        <v>-47</v>
      </c>
      <c r="H178" s="57"/>
      <c r="J178" s="35">
        <v>222700002</v>
      </c>
      <c r="K178" s="35">
        <v>227</v>
      </c>
      <c r="L178" s="35">
        <v>0</v>
      </c>
      <c r="M178" s="35">
        <v>152</v>
      </c>
      <c r="N178" s="35">
        <v>-8.9</v>
      </c>
      <c r="O178" s="35">
        <v>-41</v>
      </c>
    </row>
    <row r="179" spans="1:15" ht="16.5" x14ac:dyDescent="0.2">
      <c r="A179" s="1">
        <v>4</v>
      </c>
      <c r="B179" s="1">
        <v>223400003</v>
      </c>
      <c r="C179" s="59">
        <v>234</v>
      </c>
      <c r="D179" s="59">
        <v>0</v>
      </c>
      <c r="E179" s="60">
        <v>-108</v>
      </c>
      <c r="F179" s="60">
        <v>0</v>
      </c>
      <c r="G179" s="60">
        <v>-58</v>
      </c>
      <c r="H179" s="57"/>
      <c r="J179" s="35">
        <v>222900001</v>
      </c>
      <c r="K179" s="35">
        <v>229</v>
      </c>
      <c r="L179" s="35">
        <v>0</v>
      </c>
      <c r="M179" s="35">
        <v>-40.5</v>
      </c>
      <c r="N179" s="62">
        <v>-8.8882445999999998E-4</v>
      </c>
      <c r="O179" s="35">
        <v>-49.5</v>
      </c>
    </row>
    <row r="180" spans="1:15" ht="16.5" x14ac:dyDescent="0.2">
      <c r="A180" s="1">
        <v>4</v>
      </c>
      <c r="B180" s="1">
        <v>223500001</v>
      </c>
      <c r="C180" s="59">
        <v>235</v>
      </c>
      <c r="D180" s="59">
        <v>0</v>
      </c>
      <c r="E180" s="61">
        <v>-57</v>
      </c>
      <c r="F180" s="61">
        <v>5</v>
      </c>
      <c r="G180" s="61">
        <v>6</v>
      </c>
      <c r="H180" s="57" t="s">
        <v>253</v>
      </c>
      <c r="J180" s="35">
        <v>223000001</v>
      </c>
      <c r="K180" s="35">
        <v>230</v>
      </c>
      <c r="L180" s="35">
        <v>0</v>
      </c>
      <c r="M180" s="35">
        <v>75</v>
      </c>
      <c r="N180" s="62">
        <v>-8.8119507000000003E-4</v>
      </c>
      <c r="O180" s="35">
        <v>-18</v>
      </c>
    </row>
    <row r="181" spans="1:15" ht="16.5" x14ac:dyDescent="0.2">
      <c r="A181" s="1">
        <v>4</v>
      </c>
      <c r="B181" s="1">
        <v>223600001</v>
      </c>
      <c r="C181" s="59">
        <v>236</v>
      </c>
      <c r="D181" s="59">
        <v>0</v>
      </c>
      <c r="E181" s="60">
        <v>-42</v>
      </c>
      <c r="F181" s="60">
        <v>5</v>
      </c>
      <c r="G181" s="60">
        <v>5</v>
      </c>
      <c r="H181" s="57" t="s">
        <v>254</v>
      </c>
      <c r="J181" s="35">
        <v>223100001</v>
      </c>
      <c r="K181" s="35">
        <v>231</v>
      </c>
      <c r="L181" s="35">
        <v>0</v>
      </c>
      <c r="M181" s="35">
        <v>-10.5</v>
      </c>
      <c r="N181" s="62">
        <v>-8.9645386E-4</v>
      </c>
      <c r="O181" s="35">
        <v>-37.5</v>
      </c>
    </row>
    <row r="182" spans="1:15" ht="16.5" x14ac:dyDescent="0.2">
      <c r="A182" s="1">
        <v>4</v>
      </c>
      <c r="B182" s="1">
        <v>223700001</v>
      </c>
      <c r="C182" s="59">
        <v>237</v>
      </c>
      <c r="D182" s="59">
        <v>0</v>
      </c>
      <c r="E182" s="60">
        <v>70</v>
      </c>
      <c r="F182" s="60">
        <v>0</v>
      </c>
      <c r="G182" s="60">
        <v>-44</v>
      </c>
      <c r="H182" s="57" t="s">
        <v>255</v>
      </c>
      <c r="J182" s="35">
        <v>223200001</v>
      </c>
      <c r="K182" s="35">
        <v>232</v>
      </c>
      <c r="L182" s="35">
        <v>0</v>
      </c>
      <c r="M182" s="35">
        <v>45</v>
      </c>
      <c r="N182" s="62">
        <v>-8.7738040000000001E-4</v>
      </c>
      <c r="O182" s="35">
        <v>51</v>
      </c>
    </row>
    <row r="183" spans="1:15" ht="16.5" x14ac:dyDescent="0.2">
      <c r="A183" s="1">
        <v>4</v>
      </c>
      <c r="B183" s="1">
        <v>230000001</v>
      </c>
      <c r="C183" s="59">
        <v>300</v>
      </c>
      <c r="D183" s="59">
        <v>0</v>
      </c>
      <c r="E183" s="60">
        <v>80</v>
      </c>
      <c r="F183" s="60">
        <v>-9</v>
      </c>
      <c r="G183" s="60">
        <v>106</v>
      </c>
      <c r="H183" s="57" t="s">
        <v>256</v>
      </c>
      <c r="J183" s="35">
        <v>223400001</v>
      </c>
      <c r="K183" s="35">
        <v>234</v>
      </c>
      <c r="L183" s="35">
        <v>0</v>
      </c>
      <c r="M183" s="35">
        <v>-102</v>
      </c>
      <c r="N183" s="62">
        <v>-8.9263915999999999E-4</v>
      </c>
      <c r="O183" s="35">
        <v>-30</v>
      </c>
    </row>
    <row r="184" spans="1:15" ht="16.5" x14ac:dyDescent="0.2">
      <c r="A184" s="1">
        <v>4</v>
      </c>
      <c r="B184" s="1">
        <v>240000001</v>
      </c>
      <c r="C184" s="59">
        <v>400</v>
      </c>
      <c r="D184" s="59">
        <v>0</v>
      </c>
      <c r="E184" s="60">
        <v>-37</v>
      </c>
      <c r="F184" s="60">
        <v>0</v>
      </c>
      <c r="G184" s="60">
        <v>-55</v>
      </c>
      <c r="H184" s="57" t="s">
        <v>257</v>
      </c>
      <c r="J184" s="35">
        <v>223400002</v>
      </c>
      <c r="K184" s="35">
        <v>234</v>
      </c>
      <c r="L184" s="35">
        <v>0</v>
      </c>
      <c r="M184" s="35">
        <v>-99</v>
      </c>
      <c r="N184" s="62">
        <v>-8.8119507000000003E-4</v>
      </c>
      <c r="O184" s="35">
        <v>-18</v>
      </c>
    </row>
    <row r="185" spans="1:15" ht="16.5" x14ac:dyDescent="0.2">
      <c r="A185" s="1">
        <v>4</v>
      </c>
      <c r="B185" s="1">
        <v>240400001</v>
      </c>
      <c r="C185" s="59">
        <v>404</v>
      </c>
      <c r="D185" s="59">
        <v>0</v>
      </c>
      <c r="E185" s="60">
        <v>196.5</v>
      </c>
      <c r="F185" s="60">
        <v>0</v>
      </c>
      <c r="G185" s="60">
        <v>91.8</v>
      </c>
      <c r="H185" s="57" t="s">
        <v>302</v>
      </c>
      <c r="J185" s="35">
        <v>223500001</v>
      </c>
      <c r="K185" s="35">
        <v>235</v>
      </c>
      <c r="L185" s="35">
        <v>0</v>
      </c>
      <c r="M185" s="35">
        <v>-63</v>
      </c>
      <c r="N185" s="35">
        <v>5</v>
      </c>
      <c r="O185" s="35">
        <v>6</v>
      </c>
    </row>
    <row r="186" spans="1:15" ht="16.5" x14ac:dyDescent="0.2">
      <c r="A186" s="1">
        <v>5</v>
      </c>
      <c r="B186" s="1">
        <v>220100001</v>
      </c>
      <c r="C186" s="57">
        <v>201</v>
      </c>
      <c r="D186" s="57">
        <v>0</v>
      </c>
      <c r="E186" s="58">
        <v>0</v>
      </c>
      <c r="F186" s="58">
        <v>0</v>
      </c>
      <c r="G186" s="58">
        <v>0</v>
      </c>
      <c r="H186" s="57" t="s">
        <v>233</v>
      </c>
      <c r="J186" s="35">
        <v>223600001</v>
      </c>
      <c r="K186" s="35">
        <v>236</v>
      </c>
      <c r="L186" s="35">
        <v>0</v>
      </c>
      <c r="M186" s="35">
        <v>-42</v>
      </c>
      <c r="N186" s="35">
        <v>5</v>
      </c>
      <c r="O186" s="35">
        <v>5</v>
      </c>
    </row>
    <row r="187" spans="1:15" ht="16.5" x14ac:dyDescent="0.2">
      <c r="A187" s="1">
        <v>5</v>
      </c>
      <c r="B187" s="1">
        <v>220200001</v>
      </c>
      <c r="C187" s="59">
        <v>202</v>
      </c>
      <c r="D187" s="59">
        <v>0</v>
      </c>
      <c r="E187" s="60">
        <v>-55</v>
      </c>
      <c r="F187" s="60">
        <v>0</v>
      </c>
      <c r="G187" s="60">
        <v>-53</v>
      </c>
      <c r="H187" s="57" t="s">
        <v>234</v>
      </c>
      <c r="J187" s="35">
        <v>223700001</v>
      </c>
      <c r="K187" s="35">
        <v>237</v>
      </c>
      <c r="L187" s="35">
        <v>0</v>
      </c>
      <c r="M187" s="35">
        <v>27</v>
      </c>
      <c r="N187" s="62">
        <v>-8.9645386E-4</v>
      </c>
      <c r="O187" s="35">
        <v>-54</v>
      </c>
    </row>
    <row r="188" spans="1:15" ht="16.5" x14ac:dyDescent="0.2">
      <c r="A188" s="1">
        <v>5</v>
      </c>
      <c r="B188" s="1">
        <v>220200002</v>
      </c>
      <c r="C188" s="59">
        <v>202</v>
      </c>
      <c r="D188" s="59">
        <v>0</v>
      </c>
      <c r="E188" s="60">
        <v>-71</v>
      </c>
      <c r="F188" s="60">
        <v>0</v>
      </c>
      <c r="G188" s="60">
        <v>-51</v>
      </c>
      <c r="H188" s="57"/>
    </row>
    <row r="189" spans="1:15" ht="16.5" x14ac:dyDescent="0.2">
      <c r="A189" s="1">
        <v>5</v>
      </c>
      <c r="B189" s="1">
        <v>220200003</v>
      </c>
      <c r="C189" s="59">
        <v>202</v>
      </c>
      <c r="D189" s="59">
        <v>0</v>
      </c>
      <c r="E189" s="60">
        <v>-53</v>
      </c>
      <c r="F189" s="60">
        <v>0</v>
      </c>
      <c r="G189" s="60">
        <v>-38</v>
      </c>
      <c r="H189" s="57"/>
    </row>
    <row r="190" spans="1:15" ht="16.5" x14ac:dyDescent="0.2">
      <c r="A190" s="1">
        <v>5</v>
      </c>
      <c r="B190" s="1">
        <v>220200004</v>
      </c>
      <c r="C190" s="59">
        <v>202</v>
      </c>
      <c r="D190" s="59">
        <v>0</v>
      </c>
      <c r="E190" s="60">
        <v>-71</v>
      </c>
      <c r="F190" s="60">
        <v>0</v>
      </c>
      <c r="G190" s="60">
        <v>-35</v>
      </c>
      <c r="H190" s="57"/>
    </row>
    <row r="191" spans="1:15" ht="16.5" x14ac:dyDescent="0.2">
      <c r="A191" s="1">
        <v>5</v>
      </c>
      <c r="B191" s="1">
        <v>220300001</v>
      </c>
      <c r="C191" s="59">
        <v>203</v>
      </c>
      <c r="D191" s="59">
        <v>0</v>
      </c>
      <c r="E191" s="60">
        <v>141</v>
      </c>
      <c r="F191" s="60">
        <v>-9</v>
      </c>
      <c r="G191" s="60">
        <v>-42</v>
      </c>
      <c r="H191" s="57" t="s">
        <v>235</v>
      </c>
    </row>
    <row r="192" spans="1:15" ht="16.5" x14ac:dyDescent="0.2">
      <c r="A192" s="1">
        <v>5</v>
      </c>
      <c r="B192" s="1">
        <v>220300002</v>
      </c>
      <c r="C192" s="59">
        <v>203</v>
      </c>
      <c r="D192" s="59">
        <v>0</v>
      </c>
      <c r="E192" s="60">
        <v>120</v>
      </c>
      <c r="F192" s="60">
        <v>-9</v>
      </c>
      <c r="G192" s="60">
        <v>-92</v>
      </c>
      <c r="H192" s="57"/>
    </row>
    <row r="193" spans="1:8" ht="16.5" x14ac:dyDescent="0.2">
      <c r="A193" s="1">
        <v>5</v>
      </c>
      <c r="B193" s="1">
        <v>220300003</v>
      </c>
      <c r="C193" s="59">
        <v>203</v>
      </c>
      <c r="D193" s="59">
        <v>0</v>
      </c>
      <c r="E193" s="60">
        <v>130</v>
      </c>
      <c r="F193" s="60">
        <v>-9</v>
      </c>
      <c r="G193" s="60">
        <v>-29</v>
      </c>
      <c r="H193" s="57"/>
    </row>
    <row r="194" spans="1:8" ht="16.5" x14ac:dyDescent="0.2">
      <c r="A194" s="1">
        <v>5</v>
      </c>
      <c r="B194" s="1">
        <v>220300004</v>
      </c>
      <c r="C194" s="59">
        <v>203</v>
      </c>
      <c r="D194" s="59">
        <v>0</v>
      </c>
      <c r="E194" s="60">
        <v>129</v>
      </c>
      <c r="F194" s="60">
        <v>-9</v>
      </c>
      <c r="G194" s="60">
        <v>-67</v>
      </c>
      <c r="H194" s="57"/>
    </row>
    <row r="195" spans="1:8" ht="16.5" x14ac:dyDescent="0.2">
      <c r="A195" s="1">
        <v>5</v>
      </c>
      <c r="B195" s="1">
        <v>220400001</v>
      </c>
      <c r="C195" s="59">
        <v>204</v>
      </c>
      <c r="D195" s="59">
        <v>0</v>
      </c>
      <c r="E195" s="60">
        <v>68</v>
      </c>
      <c r="F195" s="60">
        <v>-9</v>
      </c>
      <c r="G195" s="60">
        <v>-103</v>
      </c>
      <c r="H195" s="57" t="s">
        <v>236</v>
      </c>
    </row>
    <row r="196" spans="1:8" ht="16.5" x14ac:dyDescent="0.2">
      <c r="A196" s="1">
        <v>5</v>
      </c>
      <c r="B196" s="1">
        <v>220400002</v>
      </c>
      <c r="C196" s="59">
        <v>204</v>
      </c>
      <c r="D196" s="59">
        <v>0</v>
      </c>
      <c r="E196" s="60">
        <v>53</v>
      </c>
      <c r="F196" s="60">
        <v>-9</v>
      </c>
      <c r="G196" s="60">
        <v>-106</v>
      </c>
      <c r="H196" s="57"/>
    </row>
    <row r="197" spans="1:8" ht="16.5" x14ac:dyDescent="0.2">
      <c r="A197" s="1">
        <v>5</v>
      </c>
      <c r="B197" s="1">
        <v>220400003</v>
      </c>
      <c r="C197" s="59">
        <v>204</v>
      </c>
      <c r="D197" s="59">
        <v>0</v>
      </c>
      <c r="E197" s="60">
        <v>52</v>
      </c>
      <c r="F197" s="60">
        <v>-9</v>
      </c>
      <c r="G197" s="60">
        <v>-120</v>
      </c>
      <c r="H197" s="57"/>
    </row>
    <row r="198" spans="1:8" ht="16.5" x14ac:dyDescent="0.2">
      <c r="A198" s="1">
        <v>5</v>
      </c>
      <c r="B198" s="1">
        <v>220400004</v>
      </c>
      <c r="C198" s="59">
        <v>204</v>
      </c>
      <c r="D198" s="59">
        <v>0</v>
      </c>
      <c r="E198" s="60">
        <v>64</v>
      </c>
      <c r="F198" s="60">
        <v>-9</v>
      </c>
      <c r="G198" s="60">
        <v>-116</v>
      </c>
      <c r="H198" s="57"/>
    </row>
    <row r="199" spans="1:8" ht="16.5" x14ac:dyDescent="0.2">
      <c r="A199" s="1">
        <v>5</v>
      </c>
      <c r="B199" s="1">
        <v>220500001</v>
      </c>
      <c r="C199" s="59">
        <v>205</v>
      </c>
      <c r="D199" s="59">
        <v>0</v>
      </c>
      <c r="E199" s="60">
        <v>-57</v>
      </c>
      <c r="F199" s="60">
        <v>0</v>
      </c>
      <c r="G199" s="60">
        <v>-90</v>
      </c>
      <c r="H199" s="57" t="s">
        <v>237</v>
      </c>
    </row>
    <row r="200" spans="1:8" ht="16.5" x14ac:dyDescent="0.2">
      <c r="A200" s="1">
        <v>5</v>
      </c>
      <c r="B200" s="1">
        <v>220500002</v>
      </c>
      <c r="C200" s="59">
        <v>205</v>
      </c>
      <c r="D200" s="59">
        <v>0</v>
      </c>
      <c r="E200" s="60">
        <v>-78</v>
      </c>
      <c r="F200" s="60">
        <v>0</v>
      </c>
      <c r="G200" s="60">
        <v>-89</v>
      </c>
      <c r="H200" s="57"/>
    </row>
    <row r="201" spans="1:8" ht="16.5" x14ac:dyDescent="0.2">
      <c r="A201" s="1">
        <v>5</v>
      </c>
      <c r="B201" s="1">
        <v>220500003</v>
      </c>
      <c r="C201" s="59">
        <v>205</v>
      </c>
      <c r="D201" s="59">
        <v>0</v>
      </c>
      <c r="E201" s="60">
        <v>-54</v>
      </c>
      <c r="F201" s="60">
        <v>0</v>
      </c>
      <c r="G201" s="60">
        <v>-103</v>
      </c>
      <c r="H201" s="57"/>
    </row>
    <row r="202" spans="1:8" ht="16.5" x14ac:dyDescent="0.2">
      <c r="A202" s="1">
        <v>5</v>
      </c>
      <c r="B202" s="1">
        <v>220500004</v>
      </c>
      <c r="C202" s="59">
        <v>205</v>
      </c>
      <c r="D202" s="59">
        <v>0</v>
      </c>
      <c r="E202" s="60">
        <v>-78</v>
      </c>
      <c r="F202" s="60">
        <v>0</v>
      </c>
      <c r="G202" s="60">
        <v>-101</v>
      </c>
      <c r="H202" s="57"/>
    </row>
    <row r="203" spans="1:8" ht="16.5" x14ac:dyDescent="0.2">
      <c r="A203" s="1">
        <v>5</v>
      </c>
      <c r="B203" s="1">
        <v>220600001</v>
      </c>
      <c r="C203" s="59">
        <v>206</v>
      </c>
      <c r="D203" s="59">
        <v>0</v>
      </c>
      <c r="E203" s="60">
        <v>60</v>
      </c>
      <c r="F203" s="60">
        <v>0</v>
      </c>
      <c r="G203" s="60">
        <v>48</v>
      </c>
      <c r="H203" s="57" t="s">
        <v>238</v>
      </c>
    </row>
    <row r="204" spans="1:8" ht="16.5" x14ac:dyDescent="0.2">
      <c r="A204" s="1">
        <v>5</v>
      </c>
      <c r="B204" s="1">
        <v>220700001</v>
      </c>
      <c r="C204" s="59">
        <v>207</v>
      </c>
      <c r="D204" s="59">
        <v>0</v>
      </c>
      <c r="E204" s="60">
        <v>128</v>
      </c>
      <c r="F204" s="60">
        <v>-9</v>
      </c>
      <c r="G204" s="60">
        <v>-54</v>
      </c>
      <c r="H204" s="57" t="s">
        <v>239</v>
      </c>
    </row>
    <row r="205" spans="1:8" ht="16.5" x14ac:dyDescent="0.2">
      <c r="A205" s="1">
        <v>5</v>
      </c>
      <c r="B205" s="1">
        <v>220700002</v>
      </c>
      <c r="C205" s="59">
        <v>207</v>
      </c>
      <c r="D205" s="59">
        <v>0</v>
      </c>
      <c r="E205" s="60">
        <v>132</v>
      </c>
      <c r="F205" s="60">
        <v>-9</v>
      </c>
      <c r="G205" s="60">
        <v>-91</v>
      </c>
      <c r="H205" s="57"/>
    </row>
    <row r="206" spans="1:8" ht="16.5" x14ac:dyDescent="0.2">
      <c r="A206" s="1">
        <v>5</v>
      </c>
      <c r="B206" s="1">
        <v>220700003</v>
      </c>
      <c r="C206" s="59">
        <v>207</v>
      </c>
      <c r="D206" s="59">
        <v>0</v>
      </c>
      <c r="E206" s="61">
        <v>115</v>
      </c>
      <c r="F206" s="61">
        <v>-9</v>
      </c>
      <c r="G206" s="61">
        <v>-53</v>
      </c>
      <c r="H206" s="57"/>
    </row>
    <row r="207" spans="1:8" ht="16.5" x14ac:dyDescent="0.2">
      <c r="A207" s="1">
        <v>5</v>
      </c>
      <c r="B207" s="1">
        <v>220700004</v>
      </c>
      <c r="C207" s="59">
        <v>207</v>
      </c>
      <c r="D207" s="59">
        <v>0</v>
      </c>
      <c r="E207" s="60">
        <v>141</v>
      </c>
      <c r="F207" s="60">
        <v>-9</v>
      </c>
      <c r="G207" s="60">
        <v>-54</v>
      </c>
      <c r="H207" s="57"/>
    </row>
    <row r="208" spans="1:8" ht="16.5" x14ac:dyDescent="0.2">
      <c r="A208" s="1">
        <v>5</v>
      </c>
      <c r="B208" s="1">
        <v>220700005</v>
      </c>
      <c r="C208" s="59">
        <v>207</v>
      </c>
      <c r="D208" s="59">
        <v>0</v>
      </c>
      <c r="E208" s="60">
        <v>128</v>
      </c>
      <c r="F208" s="60">
        <v>-9</v>
      </c>
      <c r="G208" s="60">
        <v>-41</v>
      </c>
      <c r="H208" s="57"/>
    </row>
    <row r="209" spans="1:8" ht="16.5" x14ac:dyDescent="0.2">
      <c r="A209" s="1">
        <v>5</v>
      </c>
      <c r="B209" s="1">
        <v>220700006</v>
      </c>
      <c r="C209" s="59">
        <v>207</v>
      </c>
      <c r="D209" s="59">
        <v>0</v>
      </c>
      <c r="E209" s="60">
        <v>140</v>
      </c>
      <c r="F209" s="60">
        <v>-9</v>
      </c>
      <c r="G209" s="60">
        <v>-67</v>
      </c>
      <c r="H209" s="57"/>
    </row>
    <row r="210" spans="1:8" ht="16.5" x14ac:dyDescent="0.2">
      <c r="A210" s="1">
        <v>5</v>
      </c>
      <c r="B210" s="1">
        <v>220700007</v>
      </c>
      <c r="C210" s="59">
        <v>207</v>
      </c>
      <c r="D210" s="59">
        <v>0</v>
      </c>
      <c r="E210" s="60">
        <v>136</v>
      </c>
      <c r="F210" s="60">
        <v>-9</v>
      </c>
      <c r="G210" s="60">
        <v>-79</v>
      </c>
      <c r="H210" s="57"/>
    </row>
    <row r="211" spans="1:8" ht="16.5" x14ac:dyDescent="0.2">
      <c r="A211" s="1">
        <v>5</v>
      </c>
      <c r="B211" s="1">
        <v>220700008</v>
      </c>
      <c r="C211" s="59">
        <v>207</v>
      </c>
      <c r="D211" s="59">
        <v>0</v>
      </c>
      <c r="E211" s="60">
        <v>107</v>
      </c>
      <c r="F211" s="60">
        <v>-9</v>
      </c>
      <c r="G211" s="60">
        <v>-91</v>
      </c>
      <c r="H211" s="57"/>
    </row>
    <row r="212" spans="1:8" ht="16.5" x14ac:dyDescent="0.2">
      <c r="A212" s="1">
        <v>5</v>
      </c>
      <c r="B212" s="1">
        <v>220700009</v>
      </c>
      <c r="C212" s="59">
        <v>207</v>
      </c>
      <c r="D212" s="59">
        <v>0</v>
      </c>
      <c r="E212" s="60">
        <v>124</v>
      </c>
      <c r="F212" s="60">
        <v>-9</v>
      </c>
      <c r="G212" s="60">
        <v>-79</v>
      </c>
      <c r="H212" s="57"/>
    </row>
    <row r="213" spans="1:8" ht="16.5" x14ac:dyDescent="0.2">
      <c r="A213" s="1">
        <v>5</v>
      </c>
      <c r="B213" s="1">
        <v>220700010</v>
      </c>
      <c r="C213" s="59">
        <v>207</v>
      </c>
      <c r="D213" s="59">
        <v>0</v>
      </c>
      <c r="E213" s="60">
        <v>111</v>
      </c>
      <c r="F213" s="60">
        <v>-9</v>
      </c>
      <c r="G213" s="60">
        <v>-79</v>
      </c>
      <c r="H213" s="57"/>
    </row>
    <row r="214" spans="1:8" ht="16.5" x14ac:dyDescent="0.2">
      <c r="A214" s="1">
        <v>5</v>
      </c>
      <c r="B214" s="1">
        <v>220700011</v>
      </c>
      <c r="C214" s="59">
        <v>207</v>
      </c>
      <c r="D214" s="59">
        <v>0</v>
      </c>
      <c r="E214" s="60">
        <v>116</v>
      </c>
      <c r="F214" s="60">
        <v>-9</v>
      </c>
      <c r="G214" s="60">
        <v>-66</v>
      </c>
      <c r="H214" s="57"/>
    </row>
    <row r="215" spans="1:8" ht="16.5" x14ac:dyDescent="0.2">
      <c r="A215" s="1">
        <v>5</v>
      </c>
      <c r="B215" s="1">
        <v>220700012</v>
      </c>
      <c r="C215" s="59">
        <v>207</v>
      </c>
      <c r="D215" s="59">
        <v>0</v>
      </c>
      <c r="E215" s="60">
        <v>95</v>
      </c>
      <c r="F215" s="60">
        <v>-9</v>
      </c>
      <c r="G215" s="60">
        <v>-92</v>
      </c>
      <c r="H215" s="57"/>
    </row>
    <row r="216" spans="1:8" ht="16.5" x14ac:dyDescent="0.2">
      <c r="A216" s="1">
        <v>5</v>
      </c>
      <c r="B216" s="1">
        <v>220700013</v>
      </c>
      <c r="C216" s="59">
        <v>207</v>
      </c>
      <c r="D216" s="59">
        <v>0</v>
      </c>
      <c r="E216" s="60">
        <v>119</v>
      </c>
      <c r="F216" s="60">
        <v>-9</v>
      </c>
      <c r="G216" s="60">
        <v>-104</v>
      </c>
      <c r="H216" s="57"/>
    </row>
    <row r="217" spans="1:8" ht="16.5" x14ac:dyDescent="0.2">
      <c r="A217" s="1">
        <v>5</v>
      </c>
      <c r="B217" s="1">
        <v>220700014</v>
      </c>
      <c r="C217" s="59">
        <v>207</v>
      </c>
      <c r="D217" s="59">
        <v>0</v>
      </c>
      <c r="E217" s="60">
        <v>107</v>
      </c>
      <c r="F217" s="60">
        <v>-9</v>
      </c>
      <c r="G217" s="60">
        <v>-105</v>
      </c>
      <c r="H217" s="57"/>
    </row>
    <row r="218" spans="1:8" ht="16.5" x14ac:dyDescent="0.2">
      <c r="A218" s="1">
        <v>5</v>
      </c>
      <c r="B218" s="1">
        <v>220700015</v>
      </c>
      <c r="C218" s="59">
        <v>207</v>
      </c>
      <c r="D218" s="59">
        <v>0</v>
      </c>
      <c r="E218" s="60">
        <v>94</v>
      </c>
      <c r="F218" s="60">
        <v>-9</v>
      </c>
      <c r="G218" s="60">
        <v>-105</v>
      </c>
      <c r="H218" s="57"/>
    </row>
    <row r="219" spans="1:8" ht="16.5" x14ac:dyDescent="0.2">
      <c r="A219" s="1">
        <v>5</v>
      </c>
      <c r="B219" s="1">
        <v>220700016</v>
      </c>
      <c r="C219" s="59">
        <v>207</v>
      </c>
      <c r="D219" s="59">
        <v>0</v>
      </c>
      <c r="E219" s="60">
        <v>116</v>
      </c>
      <c r="F219" s="60">
        <v>-9</v>
      </c>
      <c r="G219" s="60">
        <v>-41</v>
      </c>
      <c r="H219" s="57"/>
    </row>
    <row r="220" spans="1:8" ht="16.5" x14ac:dyDescent="0.2">
      <c r="A220" s="1">
        <v>5</v>
      </c>
      <c r="B220" s="1">
        <v>220800001</v>
      </c>
      <c r="C220" s="59">
        <v>208</v>
      </c>
      <c r="D220" s="59">
        <v>0</v>
      </c>
      <c r="E220" s="60">
        <v>-69</v>
      </c>
      <c r="F220" s="60">
        <v>13</v>
      </c>
      <c r="G220" s="60">
        <v>78</v>
      </c>
      <c r="H220" s="57" t="s">
        <v>240</v>
      </c>
    </row>
    <row r="221" spans="1:8" ht="16.5" x14ac:dyDescent="0.2">
      <c r="A221" s="1">
        <v>5</v>
      </c>
      <c r="B221" s="1">
        <v>220900001</v>
      </c>
      <c r="C221" s="59">
        <v>209</v>
      </c>
      <c r="D221" s="59">
        <v>0</v>
      </c>
      <c r="E221" s="60">
        <v>60</v>
      </c>
      <c r="F221" s="60">
        <v>0</v>
      </c>
      <c r="G221" s="60">
        <v>24</v>
      </c>
      <c r="H221" s="57" t="s">
        <v>241</v>
      </c>
    </row>
    <row r="222" spans="1:8" ht="16.5" x14ac:dyDescent="0.2">
      <c r="A222" s="1">
        <v>5</v>
      </c>
      <c r="B222" s="1">
        <v>221100001</v>
      </c>
      <c r="C222" s="59">
        <v>211</v>
      </c>
      <c r="D222" s="59">
        <v>0</v>
      </c>
      <c r="E222" s="60">
        <v>21</v>
      </c>
      <c r="F222" s="60">
        <v>0</v>
      </c>
      <c r="G222" s="60">
        <v>-49</v>
      </c>
      <c r="H222" s="57" t="s">
        <v>242</v>
      </c>
    </row>
    <row r="223" spans="1:8" ht="16.5" x14ac:dyDescent="0.2">
      <c r="A223" s="1">
        <v>5</v>
      </c>
      <c r="B223" s="1">
        <v>221200001</v>
      </c>
      <c r="C223" s="59">
        <v>212</v>
      </c>
      <c r="D223" s="59">
        <v>0</v>
      </c>
      <c r="E223" s="60">
        <v>109.5</v>
      </c>
      <c r="F223" s="60">
        <v>-4.5999999999999996</v>
      </c>
      <c r="G223" s="60">
        <v>69</v>
      </c>
      <c r="H223" s="57" t="s">
        <v>243</v>
      </c>
    </row>
    <row r="224" spans="1:8" ht="16.5" x14ac:dyDescent="0.2">
      <c r="A224" s="1">
        <v>5</v>
      </c>
      <c r="B224" s="1">
        <v>221300001</v>
      </c>
      <c r="C224" s="59">
        <v>213</v>
      </c>
      <c r="D224" s="59">
        <v>0</v>
      </c>
      <c r="E224" s="60">
        <v>16</v>
      </c>
      <c r="F224" s="60">
        <v>-18.5</v>
      </c>
      <c r="G224" s="60">
        <v>130</v>
      </c>
      <c r="H224" s="57" t="s">
        <v>244</v>
      </c>
    </row>
    <row r="225" spans="1:8" ht="16.5" x14ac:dyDescent="0.2">
      <c r="A225" s="1">
        <v>5</v>
      </c>
      <c r="B225" s="1">
        <v>221500001</v>
      </c>
      <c r="C225" s="59">
        <v>215</v>
      </c>
      <c r="D225" s="59">
        <v>0</v>
      </c>
      <c r="E225" s="60">
        <v>99</v>
      </c>
      <c r="F225" s="60">
        <v>0</v>
      </c>
      <c r="G225" s="60">
        <v>1</v>
      </c>
      <c r="H225" s="57" t="s">
        <v>245</v>
      </c>
    </row>
    <row r="226" spans="1:8" ht="16.5" x14ac:dyDescent="0.2">
      <c r="A226" s="1">
        <v>5</v>
      </c>
      <c r="B226" s="1">
        <v>222200001</v>
      </c>
      <c r="C226" s="59">
        <v>222</v>
      </c>
      <c r="D226" s="59">
        <v>0</v>
      </c>
      <c r="E226" s="60">
        <v>43</v>
      </c>
      <c r="F226" s="60">
        <v>0</v>
      </c>
      <c r="G226" s="60">
        <v>21</v>
      </c>
      <c r="H226" s="57" t="s">
        <v>246</v>
      </c>
    </row>
    <row r="227" spans="1:8" ht="16.5" x14ac:dyDescent="0.2">
      <c r="A227" s="1">
        <v>5</v>
      </c>
      <c r="B227" s="1">
        <v>222400001</v>
      </c>
      <c r="C227" s="59">
        <v>224</v>
      </c>
      <c r="D227" s="59">
        <v>0</v>
      </c>
      <c r="E227" s="60">
        <v>81</v>
      </c>
      <c r="F227" s="60">
        <v>0</v>
      </c>
      <c r="G227" s="60">
        <v>15</v>
      </c>
      <c r="H227" s="57" t="s">
        <v>247</v>
      </c>
    </row>
    <row r="228" spans="1:8" ht="16.5" x14ac:dyDescent="0.2">
      <c r="A228" s="1">
        <v>5</v>
      </c>
      <c r="B228" s="1">
        <v>222600001</v>
      </c>
      <c r="C228" s="59">
        <v>226</v>
      </c>
      <c r="D228" s="59">
        <v>0</v>
      </c>
      <c r="E228" s="60">
        <v>-22</v>
      </c>
      <c r="F228" s="60">
        <v>3</v>
      </c>
      <c r="G228" s="60">
        <v>69</v>
      </c>
      <c r="H228" s="57" t="s">
        <v>248</v>
      </c>
    </row>
    <row r="229" spans="1:8" ht="16.5" x14ac:dyDescent="0.2">
      <c r="A229" s="1">
        <v>5</v>
      </c>
      <c r="B229" s="1">
        <v>222700001</v>
      </c>
      <c r="C229" s="59">
        <v>227</v>
      </c>
      <c r="D229" s="59">
        <v>0</v>
      </c>
      <c r="E229" s="60">
        <v>152</v>
      </c>
      <c r="F229" s="60">
        <v>-9</v>
      </c>
      <c r="G229" s="60">
        <v>-30</v>
      </c>
      <c r="H229" s="57" t="s">
        <v>249</v>
      </c>
    </row>
    <row r="230" spans="1:8" ht="16.5" x14ac:dyDescent="0.2">
      <c r="A230" s="1">
        <v>5</v>
      </c>
      <c r="B230" s="1">
        <v>222700002</v>
      </c>
      <c r="C230" s="59">
        <v>227</v>
      </c>
      <c r="D230" s="59">
        <v>0</v>
      </c>
      <c r="E230" s="60">
        <v>141</v>
      </c>
      <c r="F230" s="60">
        <v>-9</v>
      </c>
      <c r="G230" s="60">
        <v>20</v>
      </c>
      <c r="H230" s="57"/>
    </row>
    <row r="231" spans="1:8" ht="16.5" x14ac:dyDescent="0.2">
      <c r="A231" s="1">
        <v>5</v>
      </c>
      <c r="B231" s="1">
        <v>222900001</v>
      </c>
      <c r="C231" s="59">
        <v>229</v>
      </c>
      <c r="D231" s="59">
        <v>0</v>
      </c>
      <c r="E231" s="60">
        <v>39</v>
      </c>
      <c r="F231" s="60">
        <v>0</v>
      </c>
      <c r="G231" s="60">
        <v>42</v>
      </c>
      <c r="H231" s="57" t="s">
        <v>296</v>
      </c>
    </row>
    <row r="232" spans="1:8" ht="16.5" x14ac:dyDescent="0.2">
      <c r="A232" s="1">
        <v>5</v>
      </c>
      <c r="B232" s="1">
        <v>223000001</v>
      </c>
      <c r="C232" s="59">
        <v>230</v>
      </c>
      <c r="D232" s="59">
        <v>0</v>
      </c>
      <c r="E232" s="60">
        <v>45</v>
      </c>
      <c r="F232" s="60">
        <v>0</v>
      </c>
      <c r="G232" s="60">
        <v>-19</v>
      </c>
      <c r="H232" s="57" t="s">
        <v>250</v>
      </c>
    </row>
    <row r="233" spans="1:8" ht="16.5" x14ac:dyDescent="0.2">
      <c r="A233" s="1">
        <v>5</v>
      </c>
      <c r="B233" s="1">
        <v>223100001</v>
      </c>
      <c r="C233" s="59">
        <v>231</v>
      </c>
      <c r="D233" s="59">
        <v>0</v>
      </c>
      <c r="E233" s="60">
        <v>-31</v>
      </c>
      <c r="F233" s="60">
        <v>0</v>
      </c>
      <c r="G233" s="60">
        <v>-34</v>
      </c>
      <c r="H233" s="57" t="s">
        <v>251</v>
      </c>
    </row>
    <row r="234" spans="1:8" ht="16.5" x14ac:dyDescent="0.2">
      <c r="A234" s="1">
        <v>5</v>
      </c>
      <c r="B234" s="1">
        <v>223200001</v>
      </c>
      <c r="C234" s="59">
        <v>232</v>
      </c>
      <c r="D234" s="59">
        <v>0</v>
      </c>
      <c r="E234" s="60">
        <v>84</v>
      </c>
      <c r="F234" s="60">
        <v>0</v>
      </c>
      <c r="G234" s="60">
        <v>45</v>
      </c>
      <c r="H234" s="57" t="s">
        <v>252</v>
      </c>
    </row>
    <row r="235" spans="1:8" ht="16.5" x14ac:dyDescent="0.2">
      <c r="A235" s="1">
        <v>5</v>
      </c>
      <c r="B235" s="1">
        <v>223400001</v>
      </c>
      <c r="C235" s="59">
        <v>234</v>
      </c>
      <c r="D235" s="59">
        <v>0</v>
      </c>
      <c r="E235" s="60">
        <v>-114</v>
      </c>
      <c r="F235" s="60">
        <v>0</v>
      </c>
      <c r="G235" s="60">
        <v>-34</v>
      </c>
      <c r="H235" s="57" t="s">
        <v>297</v>
      </c>
    </row>
    <row r="236" spans="1:8" ht="16.5" x14ac:dyDescent="0.2">
      <c r="A236" s="1">
        <v>5</v>
      </c>
      <c r="B236" s="1">
        <v>223400002</v>
      </c>
      <c r="C236" s="59">
        <v>234</v>
      </c>
      <c r="D236" s="59">
        <v>0</v>
      </c>
      <c r="E236" s="60">
        <v>-101</v>
      </c>
      <c r="F236" s="60">
        <v>0</v>
      </c>
      <c r="G236" s="60">
        <v>-47</v>
      </c>
      <c r="H236" s="57"/>
    </row>
    <row r="237" spans="1:8" ht="16.5" x14ac:dyDescent="0.2">
      <c r="A237" s="1">
        <v>5</v>
      </c>
      <c r="B237" s="1">
        <v>223400003</v>
      </c>
      <c r="C237" s="59">
        <v>234</v>
      </c>
      <c r="D237" s="59">
        <v>0</v>
      </c>
      <c r="E237" s="60">
        <v>-108</v>
      </c>
      <c r="F237" s="60">
        <v>0</v>
      </c>
      <c r="G237" s="60">
        <v>-58</v>
      </c>
      <c r="H237" s="57"/>
    </row>
    <row r="238" spans="1:8" ht="16.5" x14ac:dyDescent="0.2">
      <c r="A238" s="1">
        <v>5</v>
      </c>
      <c r="B238" s="1">
        <v>223400004</v>
      </c>
      <c r="C238" s="59">
        <v>234</v>
      </c>
      <c r="D238" s="59">
        <v>0</v>
      </c>
      <c r="E238" s="60">
        <v>-101</v>
      </c>
      <c r="F238" s="60">
        <v>0</v>
      </c>
      <c r="G238" s="60">
        <v>-31</v>
      </c>
      <c r="H238" s="57"/>
    </row>
    <row r="239" spans="1:8" ht="16.5" x14ac:dyDescent="0.2">
      <c r="A239" s="1">
        <v>5</v>
      </c>
      <c r="B239" s="1">
        <v>223500001</v>
      </c>
      <c r="C239" s="59">
        <v>235</v>
      </c>
      <c r="D239" s="59">
        <v>0</v>
      </c>
      <c r="E239" s="61">
        <v>-57</v>
      </c>
      <c r="F239" s="61">
        <v>5</v>
      </c>
      <c r="G239" s="61">
        <v>6</v>
      </c>
      <c r="H239" s="57" t="s">
        <v>253</v>
      </c>
    </row>
    <row r="240" spans="1:8" ht="16.5" x14ac:dyDescent="0.2">
      <c r="A240" s="1">
        <v>5</v>
      </c>
      <c r="B240" s="1">
        <v>223600001</v>
      </c>
      <c r="C240" s="59">
        <v>236</v>
      </c>
      <c r="D240" s="59">
        <v>0</v>
      </c>
      <c r="E240" s="60">
        <v>-42</v>
      </c>
      <c r="F240" s="60">
        <v>5</v>
      </c>
      <c r="G240" s="60">
        <v>5</v>
      </c>
      <c r="H240" s="57" t="s">
        <v>254</v>
      </c>
    </row>
    <row r="241" spans="1:8" ht="16.5" x14ac:dyDescent="0.2">
      <c r="A241" s="1">
        <v>5</v>
      </c>
      <c r="B241" s="1">
        <v>223700001</v>
      </c>
      <c r="C241" s="59">
        <v>237</v>
      </c>
      <c r="D241" s="59">
        <v>0</v>
      </c>
      <c r="E241" s="60">
        <v>70</v>
      </c>
      <c r="F241" s="60">
        <v>0</v>
      </c>
      <c r="G241" s="60">
        <v>-44</v>
      </c>
      <c r="H241" s="57" t="s">
        <v>255</v>
      </c>
    </row>
    <row r="242" spans="1:8" ht="16.5" x14ac:dyDescent="0.2">
      <c r="A242" s="1">
        <v>5</v>
      </c>
      <c r="B242" s="1">
        <v>230000001</v>
      </c>
      <c r="C242" s="59">
        <v>300</v>
      </c>
      <c r="D242" s="59">
        <v>0</v>
      </c>
      <c r="E242" s="60">
        <v>80</v>
      </c>
      <c r="F242" s="60">
        <v>-9</v>
      </c>
      <c r="G242" s="60">
        <v>106</v>
      </c>
      <c r="H242" s="57" t="s">
        <v>256</v>
      </c>
    </row>
    <row r="243" spans="1:8" ht="16.5" x14ac:dyDescent="0.2">
      <c r="A243" s="1">
        <v>5</v>
      </c>
      <c r="B243" s="1">
        <v>240000001</v>
      </c>
      <c r="C243" s="59">
        <v>400</v>
      </c>
      <c r="D243" s="59">
        <v>0</v>
      </c>
      <c r="E243" s="60">
        <v>-37</v>
      </c>
      <c r="F243" s="60">
        <v>0</v>
      </c>
      <c r="G243" s="60">
        <v>-55</v>
      </c>
      <c r="H243" s="57" t="s">
        <v>257</v>
      </c>
    </row>
    <row r="244" spans="1:8" ht="16.5" x14ac:dyDescent="0.2">
      <c r="A244" s="1">
        <v>5</v>
      </c>
      <c r="B244" s="1">
        <v>240400001</v>
      </c>
      <c r="C244" s="59">
        <v>404</v>
      </c>
      <c r="D244" s="59">
        <v>0</v>
      </c>
      <c r="E244" s="60">
        <v>196.5</v>
      </c>
      <c r="F244" s="60">
        <v>0</v>
      </c>
      <c r="G244" s="60">
        <v>91.8</v>
      </c>
      <c r="H244" s="57" t="s">
        <v>302</v>
      </c>
    </row>
  </sheetData>
  <phoneticPr fontId="1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4"/>
  <sheetViews>
    <sheetView workbookViewId="0">
      <selection activeCell="J49" sqref="J49"/>
    </sheetView>
  </sheetViews>
  <sheetFormatPr defaultColWidth="8.625" defaultRowHeight="14.25" x14ac:dyDescent="0.2"/>
  <cols>
    <col min="1" max="1" width="9" style="1" customWidth="1"/>
    <col min="2" max="2" width="13.75" style="1" customWidth="1"/>
    <col min="3" max="3" width="7.125" style="1" customWidth="1"/>
    <col min="4" max="4" width="10" style="1" customWidth="1"/>
    <col min="5" max="5" width="7.625" style="1" customWidth="1"/>
    <col min="6" max="6" width="13.875" style="1" customWidth="1"/>
    <col min="7" max="7" width="7.625" style="1" customWidth="1"/>
    <col min="8" max="8" width="10.375" style="1" customWidth="1"/>
    <col min="9" max="9" width="9" style="1" customWidth="1"/>
    <col min="10" max="10" width="13" style="1" customWidth="1"/>
    <col min="11" max="16384" width="8.625" style="4"/>
  </cols>
  <sheetData>
    <row r="1" spans="1:7" x14ac:dyDescent="0.2">
      <c r="A1" s="18" t="s">
        <v>336</v>
      </c>
      <c r="B1" s="18"/>
    </row>
    <row r="2" spans="1:7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</row>
    <row r="3" spans="1:7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</row>
    <row r="4" spans="1:7" x14ac:dyDescent="0.2">
      <c r="A4" s="49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</row>
    <row r="5" spans="1:7" x14ac:dyDescent="0.2">
      <c r="A5" s="50">
        <v>1</v>
      </c>
      <c r="B5" s="35">
        <v>220200001</v>
      </c>
      <c r="C5" s="35">
        <v>202</v>
      </c>
      <c r="D5" s="35">
        <v>0</v>
      </c>
      <c r="E5" s="35">
        <v>54</v>
      </c>
      <c r="F5" s="35">
        <v>-0.47058867999999998</v>
      </c>
      <c r="G5" s="35">
        <v>-51</v>
      </c>
    </row>
    <row r="6" spans="1:7" x14ac:dyDescent="0.2">
      <c r="A6" s="50">
        <v>1</v>
      </c>
      <c r="B6" s="35">
        <v>220200002</v>
      </c>
      <c r="C6" s="35">
        <v>202</v>
      </c>
      <c r="D6" s="35">
        <v>0</v>
      </c>
      <c r="E6" s="35">
        <v>-30</v>
      </c>
      <c r="F6" s="35">
        <v>-0.47058867999999998</v>
      </c>
      <c r="G6" s="35">
        <v>-60</v>
      </c>
    </row>
    <row r="7" spans="1:7" x14ac:dyDescent="0.2">
      <c r="A7" s="50">
        <v>1</v>
      </c>
      <c r="B7" s="35">
        <v>220200003</v>
      </c>
      <c r="C7" s="35">
        <v>202</v>
      </c>
      <c r="D7" s="35">
        <v>0</v>
      </c>
      <c r="E7" s="35">
        <v>-36</v>
      </c>
      <c r="F7" s="35">
        <v>-0.47058867999999998</v>
      </c>
      <c r="G7" s="35">
        <v>-33</v>
      </c>
    </row>
    <row r="8" spans="1:7" x14ac:dyDescent="0.2">
      <c r="A8" s="50">
        <v>1</v>
      </c>
      <c r="B8" s="35">
        <v>220200004</v>
      </c>
      <c r="C8" s="35">
        <v>202</v>
      </c>
      <c r="D8" s="35">
        <v>0</v>
      </c>
      <c r="E8" s="35">
        <v>63</v>
      </c>
      <c r="F8" s="35">
        <v>-0.47058867999999998</v>
      </c>
      <c r="G8" s="35">
        <v>-18</v>
      </c>
    </row>
    <row r="9" spans="1:7" x14ac:dyDescent="0.2">
      <c r="A9" s="50">
        <v>1</v>
      </c>
      <c r="B9" s="35">
        <v>220300001</v>
      </c>
      <c r="C9" s="35">
        <v>203</v>
      </c>
      <c r="D9" s="35">
        <v>0</v>
      </c>
      <c r="E9" s="35">
        <v>45</v>
      </c>
      <c r="F9" s="35">
        <v>-8.9653969999999994</v>
      </c>
      <c r="G9" s="35">
        <v>-117</v>
      </c>
    </row>
    <row r="10" spans="1:7" x14ac:dyDescent="0.2">
      <c r="A10" s="50">
        <v>1</v>
      </c>
      <c r="B10" s="35">
        <v>220300002</v>
      </c>
      <c r="C10" s="35">
        <v>203</v>
      </c>
      <c r="D10" s="35">
        <v>0</v>
      </c>
      <c r="E10" s="35">
        <v>-24</v>
      </c>
      <c r="F10" s="35">
        <v>-8.9653969999999994</v>
      </c>
      <c r="G10" s="35">
        <v>-111</v>
      </c>
    </row>
    <row r="11" spans="1:7" x14ac:dyDescent="0.2">
      <c r="A11" s="50">
        <v>1</v>
      </c>
      <c r="B11" s="35">
        <v>220300003</v>
      </c>
      <c r="C11" s="35">
        <v>203</v>
      </c>
      <c r="D11" s="35">
        <v>0</v>
      </c>
      <c r="E11" s="35">
        <v>117</v>
      </c>
      <c r="F11" s="35">
        <v>-9.1450980000000008</v>
      </c>
      <c r="G11" s="35">
        <v>-78</v>
      </c>
    </row>
    <row r="12" spans="1:7" x14ac:dyDescent="0.2">
      <c r="A12" s="50">
        <v>1</v>
      </c>
      <c r="B12" s="35">
        <v>220300004</v>
      </c>
      <c r="C12" s="35">
        <v>203</v>
      </c>
      <c r="D12" s="35">
        <v>0</v>
      </c>
      <c r="E12" s="35">
        <v>-12</v>
      </c>
      <c r="F12" s="35">
        <v>-0.47058867999999998</v>
      </c>
      <c r="G12" s="35">
        <v>-60</v>
      </c>
    </row>
    <row r="13" spans="1:7" x14ac:dyDescent="0.2">
      <c r="A13" s="50">
        <v>1</v>
      </c>
      <c r="B13" s="35">
        <v>220300005</v>
      </c>
      <c r="C13" s="35">
        <v>203</v>
      </c>
      <c r="D13" s="35">
        <v>0</v>
      </c>
      <c r="E13" s="35">
        <v>-90</v>
      </c>
      <c r="F13" s="35">
        <v>-0.47058867999999998</v>
      </c>
      <c r="G13" s="35">
        <v>-42</v>
      </c>
    </row>
    <row r="14" spans="1:7" x14ac:dyDescent="0.2">
      <c r="A14" s="50">
        <v>1</v>
      </c>
      <c r="B14" s="35">
        <v>220300006</v>
      </c>
      <c r="C14" s="35">
        <v>203</v>
      </c>
      <c r="D14" s="35">
        <v>0</v>
      </c>
      <c r="E14" s="35">
        <v>54</v>
      </c>
      <c r="F14" s="35">
        <v>-0.47058867999999998</v>
      </c>
      <c r="G14" s="35">
        <v>33</v>
      </c>
    </row>
    <row r="15" spans="1:7" x14ac:dyDescent="0.2">
      <c r="A15" s="50">
        <v>1</v>
      </c>
      <c r="B15" s="35">
        <v>220400001</v>
      </c>
      <c r="C15" s="35">
        <v>204</v>
      </c>
      <c r="D15" s="35">
        <v>0</v>
      </c>
      <c r="E15" s="35">
        <v>115.5</v>
      </c>
      <c r="F15" s="35">
        <v>-9.4549009999999996</v>
      </c>
      <c r="G15" s="35">
        <v>-100.5</v>
      </c>
    </row>
    <row r="16" spans="1:7" x14ac:dyDescent="0.2">
      <c r="A16" s="50">
        <v>1</v>
      </c>
      <c r="B16" s="35">
        <v>220400002</v>
      </c>
      <c r="C16" s="35">
        <v>204</v>
      </c>
      <c r="D16" s="35">
        <v>0</v>
      </c>
      <c r="E16" s="35">
        <v>118.5</v>
      </c>
      <c r="F16" s="35">
        <v>-9.1450980000000008</v>
      </c>
      <c r="G16" s="35">
        <v>-52.5</v>
      </c>
    </row>
    <row r="17" spans="1:7" x14ac:dyDescent="0.2">
      <c r="A17" s="50">
        <v>1</v>
      </c>
      <c r="B17" s="35">
        <v>220400003</v>
      </c>
      <c r="C17" s="35">
        <v>204</v>
      </c>
      <c r="D17" s="35">
        <v>0</v>
      </c>
      <c r="E17" s="35">
        <v>112.5</v>
      </c>
      <c r="F17" s="35">
        <v>-9.1450980000000008</v>
      </c>
      <c r="G17" s="35">
        <v>-31.5</v>
      </c>
    </row>
    <row r="18" spans="1:7" x14ac:dyDescent="0.2">
      <c r="A18" s="50">
        <v>1</v>
      </c>
      <c r="B18" s="35">
        <v>220400004</v>
      </c>
      <c r="C18" s="35">
        <v>204</v>
      </c>
      <c r="D18" s="35">
        <v>0</v>
      </c>
      <c r="E18" s="35">
        <v>-46.5</v>
      </c>
      <c r="F18" s="35">
        <v>-9.1450980000000008</v>
      </c>
      <c r="G18" s="35">
        <v>-106.5</v>
      </c>
    </row>
    <row r="19" spans="1:7" x14ac:dyDescent="0.2">
      <c r="A19" s="50">
        <v>1</v>
      </c>
      <c r="B19" s="35">
        <v>220400005</v>
      </c>
      <c r="C19" s="35">
        <v>204</v>
      </c>
      <c r="D19" s="35">
        <v>0</v>
      </c>
      <c r="E19" s="35">
        <v>55.5</v>
      </c>
      <c r="F19" s="35">
        <v>-9.4549009999999996</v>
      </c>
      <c r="G19" s="35">
        <v>-115.5</v>
      </c>
    </row>
    <row r="20" spans="1:7" x14ac:dyDescent="0.2">
      <c r="A20" s="50">
        <v>1</v>
      </c>
      <c r="B20" s="35">
        <v>220400006</v>
      </c>
      <c r="C20" s="35">
        <v>204</v>
      </c>
      <c r="D20" s="35">
        <v>0</v>
      </c>
      <c r="E20" s="35">
        <v>136.5</v>
      </c>
      <c r="F20" s="35">
        <v>-8.9653969999999994</v>
      </c>
      <c r="G20" s="35">
        <v>-43.5</v>
      </c>
    </row>
    <row r="21" spans="1:7" x14ac:dyDescent="0.2">
      <c r="A21" s="50">
        <v>1</v>
      </c>
      <c r="B21" s="35">
        <v>220500001</v>
      </c>
      <c r="C21" s="35">
        <v>205</v>
      </c>
      <c r="D21" s="35">
        <v>0</v>
      </c>
      <c r="E21" s="35">
        <v>-93</v>
      </c>
      <c r="F21" s="35">
        <v>-0.47058867999999998</v>
      </c>
      <c r="G21" s="35">
        <v>-18</v>
      </c>
    </row>
    <row r="22" spans="1:7" x14ac:dyDescent="0.2">
      <c r="A22" s="50">
        <v>1</v>
      </c>
      <c r="B22" s="35">
        <v>220500002</v>
      </c>
      <c r="C22" s="35">
        <v>205</v>
      </c>
      <c r="D22" s="35">
        <v>0</v>
      </c>
      <c r="E22" s="35">
        <v>-48</v>
      </c>
      <c r="F22" s="35">
        <v>-0.47058867999999998</v>
      </c>
      <c r="G22" s="35">
        <v>-45</v>
      </c>
    </row>
    <row r="23" spans="1:7" x14ac:dyDescent="0.2">
      <c r="A23" s="50">
        <v>1</v>
      </c>
      <c r="B23" s="35">
        <v>220500003</v>
      </c>
      <c r="C23" s="35">
        <v>205</v>
      </c>
      <c r="D23" s="35">
        <v>0</v>
      </c>
      <c r="E23" s="35">
        <v>-90</v>
      </c>
      <c r="F23" s="35">
        <v>-0.47058867999999998</v>
      </c>
      <c r="G23" s="35">
        <v>-63</v>
      </c>
    </row>
    <row r="24" spans="1:7" x14ac:dyDescent="0.2">
      <c r="A24" s="50">
        <v>1</v>
      </c>
      <c r="B24" s="35">
        <v>220500004</v>
      </c>
      <c r="C24" s="35">
        <v>205</v>
      </c>
      <c r="D24" s="35">
        <v>0</v>
      </c>
      <c r="E24" s="35">
        <v>39</v>
      </c>
      <c r="F24" s="35">
        <v>-0.47058867999999998</v>
      </c>
      <c r="G24" s="35">
        <v>-54</v>
      </c>
    </row>
    <row r="25" spans="1:7" x14ac:dyDescent="0.2">
      <c r="A25" s="50">
        <v>1</v>
      </c>
      <c r="B25" s="35">
        <v>220500005</v>
      </c>
      <c r="C25" s="35">
        <v>205</v>
      </c>
      <c r="D25" s="35">
        <v>0</v>
      </c>
      <c r="E25" s="35">
        <v>45</v>
      </c>
      <c r="F25" s="35">
        <v>-9.4549009999999996</v>
      </c>
      <c r="G25" s="35">
        <v>-102</v>
      </c>
    </row>
    <row r="26" spans="1:7" x14ac:dyDescent="0.2">
      <c r="A26" s="50">
        <v>1</v>
      </c>
      <c r="B26" s="35">
        <v>220500006</v>
      </c>
      <c r="C26" s="35">
        <v>205</v>
      </c>
      <c r="D26" s="35">
        <v>0</v>
      </c>
      <c r="E26" s="35">
        <v>93</v>
      </c>
      <c r="F26" s="35">
        <v>-9.4549009999999996</v>
      </c>
      <c r="G26" s="35">
        <v>-99</v>
      </c>
    </row>
    <row r="27" spans="1:7" x14ac:dyDescent="0.2">
      <c r="A27" s="50">
        <v>1</v>
      </c>
      <c r="B27" s="35">
        <v>220600001</v>
      </c>
      <c r="C27" s="35">
        <v>206</v>
      </c>
      <c r="D27" s="35">
        <v>0</v>
      </c>
      <c r="E27" s="35">
        <v>42</v>
      </c>
      <c r="F27" s="35">
        <v>-0.47058867999999998</v>
      </c>
      <c r="G27" s="35">
        <v>18</v>
      </c>
    </row>
    <row r="28" spans="1:7" x14ac:dyDescent="0.2">
      <c r="A28" s="50">
        <v>1</v>
      </c>
      <c r="B28" s="35">
        <v>220700001</v>
      </c>
      <c r="C28" s="35">
        <v>207</v>
      </c>
      <c r="D28" s="35">
        <v>0</v>
      </c>
      <c r="E28" s="35">
        <v>105</v>
      </c>
      <c r="F28" s="35">
        <v>-8.4549009999999996</v>
      </c>
      <c r="G28" s="35">
        <v>-87</v>
      </c>
    </row>
    <row r="29" spans="1:7" x14ac:dyDescent="0.2">
      <c r="A29" s="35">
        <v>1</v>
      </c>
      <c r="B29" s="35">
        <v>220800001</v>
      </c>
      <c r="C29" s="35">
        <v>208</v>
      </c>
      <c r="D29" s="35">
        <v>0</v>
      </c>
      <c r="E29" s="17">
        <v>-72</v>
      </c>
      <c r="F29" s="17">
        <v>15.5</v>
      </c>
      <c r="G29" s="17">
        <v>78</v>
      </c>
    </row>
    <row r="30" spans="1:7" x14ac:dyDescent="0.2">
      <c r="A30" s="50">
        <v>1</v>
      </c>
      <c r="B30" s="35">
        <v>220900001</v>
      </c>
      <c r="C30" s="35">
        <v>209</v>
      </c>
      <c r="D30" s="35">
        <v>0</v>
      </c>
      <c r="E30" s="35">
        <v>36</v>
      </c>
      <c r="F30" s="35">
        <v>7.3199459999999999E-3</v>
      </c>
      <c r="G30" s="35">
        <v>48</v>
      </c>
    </row>
    <row r="31" spans="1:7" ht="16.5" customHeight="1" x14ac:dyDescent="0.3">
      <c r="A31" s="50">
        <v>1</v>
      </c>
      <c r="B31" s="35">
        <v>221200001</v>
      </c>
      <c r="C31" s="35">
        <v>212</v>
      </c>
      <c r="D31" s="35">
        <v>0</v>
      </c>
      <c r="E31" s="43">
        <v>51</v>
      </c>
      <c r="F31" s="43">
        <v>0</v>
      </c>
      <c r="G31" s="43">
        <v>1.5</v>
      </c>
    </row>
    <row r="32" spans="1:7" x14ac:dyDescent="0.2">
      <c r="A32" s="50">
        <v>1</v>
      </c>
      <c r="B32" s="35">
        <v>221300001</v>
      </c>
      <c r="C32" s="35">
        <v>213</v>
      </c>
      <c r="D32" s="35">
        <v>0</v>
      </c>
      <c r="E32" s="35">
        <v>16.5</v>
      </c>
      <c r="F32" s="35">
        <v>-18.48</v>
      </c>
      <c r="G32" s="35">
        <v>130.5</v>
      </c>
    </row>
    <row r="33" spans="1:7" x14ac:dyDescent="0.2">
      <c r="A33" s="50">
        <v>1</v>
      </c>
      <c r="B33" s="35">
        <v>221500001</v>
      </c>
      <c r="C33" s="35">
        <v>215</v>
      </c>
      <c r="D33" s="35">
        <v>0</v>
      </c>
      <c r="E33" s="35">
        <v>91</v>
      </c>
      <c r="F33" s="35">
        <v>0</v>
      </c>
      <c r="G33" s="35">
        <v>1</v>
      </c>
    </row>
    <row r="34" spans="1:7" x14ac:dyDescent="0.2">
      <c r="A34" s="50">
        <v>1</v>
      </c>
      <c r="B34" s="35">
        <v>222200001</v>
      </c>
      <c r="C34" s="35">
        <v>222</v>
      </c>
      <c r="D34" s="35">
        <v>0</v>
      </c>
      <c r="E34" s="35">
        <v>-36</v>
      </c>
      <c r="F34" s="35">
        <v>-0.47058867999999998</v>
      </c>
      <c r="G34" s="35">
        <v>-45</v>
      </c>
    </row>
    <row r="35" spans="1:7" x14ac:dyDescent="0.2">
      <c r="A35" s="50">
        <v>1</v>
      </c>
      <c r="B35" s="35">
        <v>222400001</v>
      </c>
      <c r="C35" s="35">
        <v>224</v>
      </c>
      <c r="D35" s="35">
        <v>0</v>
      </c>
      <c r="E35" s="35">
        <v>69</v>
      </c>
      <c r="F35" s="35">
        <v>-0.47058867999999998</v>
      </c>
      <c r="G35" s="35">
        <v>15</v>
      </c>
    </row>
    <row r="36" spans="1:7" x14ac:dyDescent="0.2">
      <c r="A36" s="50">
        <v>1</v>
      </c>
      <c r="B36" s="35">
        <v>222600001</v>
      </c>
      <c r="C36" s="35">
        <v>226</v>
      </c>
      <c r="D36" s="35">
        <v>0</v>
      </c>
      <c r="E36" s="35">
        <v>-27</v>
      </c>
      <c r="F36" s="35">
        <v>3</v>
      </c>
      <c r="G36" s="35">
        <v>69</v>
      </c>
    </row>
    <row r="37" spans="1:7" x14ac:dyDescent="0.2">
      <c r="A37" s="50">
        <v>1</v>
      </c>
      <c r="B37" s="35">
        <v>222700001</v>
      </c>
      <c r="C37" s="35">
        <v>227</v>
      </c>
      <c r="D37" s="35">
        <v>0</v>
      </c>
      <c r="E37" s="35">
        <v>155</v>
      </c>
      <c r="F37" s="35">
        <v>-8.9</v>
      </c>
      <c r="G37" s="35">
        <v>-40</v>
      </c>
    </row>
    <row r="38" spans="1:7" x14ac:dyDescent="0.2">
      <c r="A38" s="50">
        <v>1</v>
      </c>
      <c r="B38" s="35">
        <v>222700002</v>
      </c>
      <c r="C38" s="35">
        <v>227</v>
      </c>
      <c r="D38" s="35">
        <v>0</v>
      </c>
      <c r="E38" s="35">
        <v>155</v>
      </c>
      <c r="F38" s="35">
        <v>-8.9</v>
      </c>
      <c r="G38" s="35">
        <v>25</v>
      </c>
    </row>
    <row r="39" spans="1:7" x14ac:dyDescent="0.2">
      <c r="A39" s="50">
        <v>1</v>
      </c>
      <c r="B39" s="35">
        <v>222900001</v>
      </c>
      <c r="C39" s="35">
        <v>229</v>
      </c>
      <c r="D39" s="35">
        <v>0</v>
      </c>
      <c r="E39" s="35">
        <v>48</v>
      </c>
      <c r="F39" s="35">
        <v>-0.47058867999999998</v>
      </c>
      <c r="G39" s="35">
        <v>-36</v>
      </c>
    </row>
    <row r="40" spans="1:7" x14ac:dyDescent="0.2">
      <c r="A40" s="50">
        <v>1</v>
      </c>
      <c r="B40" s="35">
        <v>223000001</v>
      </c>
      <c r="C40" s="35">
        <v>230</v>
      </c>
      <c r="D40" s="35">
        <v>0</v>
      </c>
      <c r="E40" s="35">
        <v>33</v>
      </c>
      <c r="F40" s="35">
        <v>-0.47058867999999998</v>
      </c>
      <c r="G40" s="35">
        <v>-18</v>
      </c>
    </row>
    <row r="41" spans="1:7" x14ac:dyDescent="0.2">
      <c r="A41" s="50">
        <v>1</v>
      </c>
      <c r="B41" s="35">
        <v>223100001</v>
      </c>
      <c r="C41" s="35">
        <v>231</v>
      </c>
      <c r="D41" s="35">
        <v>0</v>
      </c>
      <c r="E41" s="35">
        <v>-9</v>
      </c>
      <c r="F41" s="35">
        <v>-0.47058867999999998</v>
      </c>
      <c r="G41" s="35">
        <v>-36</v>
      </c>
    </row>
    <row r="42" spans="1:7" x14ac:dyDescent="0.2">
      <c r="A42" s="50">
        <v>1</v>
      </c>
      <c r="B42" s="35">
        <v>223200001</v>
      </c>
      <c r="C42" s="35">
        <v>232</v>
      </c>
      <c r="D42" s="35">
        <v>0</v>
      </c>
      <c r="E42" s="35">
        <v>69</v>
      </c>
      <c r="F42" s="35">
        <v>-0.47058867999999998</v>
      </c>
      <c r="G42" s="35">
        <v>48</v>
      </c>
    </row>
    <row r="43" spans="1:7" x14ac:dyDescent="0.2">
      <c r="A43" s="50">
        <v>1</v>
      </c>
      <c r="B43" s="35">
        <v>223400001</v>
      </c>
      <c r="C43" s="35">
        <v>234</v>
      </c>
      <c r="D43" s="35">
        <v>0</v>
      </c>
      <c r="E43" s="35">
        <v>-94.5</v>
      </c>
      <c r="F43" s="35">
        <v>-0.47058867999999998</v>
      </c>
      <c r="G43" s="35">
        <v>-52.5</v>
      </c>
    </row>
    <row r="44" spans="1:7" x14ac:dyDescent="0.2">
      <c r="A44" s="50">
        <v>1</v>
      </c>
      <c r="B44" s="35">
        <v>223400002</v>
      </c>
      <c r="C44" s="35">
        <v>234</v>
      </c>
      <c r="D44" s="35">
        <v>0</v>
      </c>
      <c r="E44" s="35">
        <v>127.5</v>
      </c>
      <c r="F44" s="35">
        <v>-9.4549009999999996</v>
      </c>
      <c r="G44" s="35">
        <v>-100.5</v>
      </c>
    </row>
    <row r="45" spans="1:7" x14ac:dyDescent="0.2">
      <c r="A45" s="50">
        <v>1</v>
      </c>
      <c r="B45" s="35">
        <v>223400003</v>
      </c>
      <c r="C45" s="35">
        <v>234</v>
      </c>
      <c r="D45" s="35">
        <v>0</v>
      </c>
      <c r="E45" s="35">
        <v>-97.5</v>
      </c>
      <c r="F45" s="35">
        <v>-0.47058867999999998</v>
      </c>
      <c r="G45" s="35">
        <v>-28.5</v>
      </c>
    </row>
    <row r="46" spans="1:7" x14ac:dyDescent="0.2">
      <c r="A46" s="50">
        <v>1</v>
      </c>
      <c r="B46" s="35">
        <v>223400004</v>
      </c>
      <c r="C46" s="35">
        <v>234</v>
      </c>
      <c r="D46" s="35">
        <v>0</v>
      </c>
      <c r="E46" s="35">
        <v>-88.5</v>
      </c>
      <c r="F46" s="35">
        <v>-0.47058867999999998</v>
      </c>
      <c r="G46" s="35">
        <v>-31.5</v>
      </c>
    </row>
    <row r="47" spans="1:7" x14ac:dyDescent="0.2">
      <c r="A47" s="50">
        <v>1</v>
      </c>
      <c r="B47" s="35">
        <v>223400005</v>
      </c>
      <c r="C47" s="35">
        <v>234</v>
      </c>
      <c r="D47" s="35">
        <v>0</v>
      </c>
      <c r="E47" s="35">
        <v>-100.5</v>
      </c>
      <c r="F47" s="35">
        <v>-0.47058867999999998</v>
      </c>
      <c r="G47" s="35">
        <v>-67.5</v>
      </c>
    </row>
    <row r="48" spans="1:7" x14ac:dyDescent="0.2">
      <c r="A48" s="50">
        <v>1</v>
      </c>
      <c r="B48" s="35">
        <v>223400006</v>
      </c>
      <c r="C48" s="35">
        <v>234</v>
      </c>
      <c r="D48" s="35">
        <v>0</v>
      </c>
      <c r="E48" s="35">
        <v>-46.5</v>
      </c>
      <c r="F48" s="35">
        <v>-9.1450980000000008</v>
      </c>
      <c r="G48" s="35">
        <v>-115.5</v>
      </c>
    </row>
    <row r="49" spans="1:8" x14ac:dyDescent="0.2">
      <c r="A49" s="50">
        <v>1</v>
      </c>
      <c r="B49" s="35">
        <v>223500001</v>
      </c>
      <c r="C49" s="35">
        <v>235</v>
      </c>
      <c r="D49" s="35">
        <v>0</v>
      </c>
      <c r="E49" s="35">
        <v>-53</v>
      </c>
      <c r="F49" s="35">
        <v>5</v>
      </c>
      <c r="G49" s="35">
        <v>6</v>
      </c>
      <c r="H49" s="51"/>
    </row>
    <row r="50" spans="1:8" x14ac:dyDescent="0.2">
      <c r="A50" s="50">
        <v>1</v>
      </c>
      <c r="B50" s="35">
        <v>223600001</v>
      </c>
      <c r="C50" s="35">
        <v>236</v>
      </c>
      <c r="D50" s="35">
        <v>0</v>
      </c>
      <c r="E50" s="35">
        <v>-35</v>
      </c>
      <c r="F50" s="35">
        <v>5</v>
      </c>
      <c r="G50" s="35">
        <v>6</v>
      </c>
      <c r="H50" s="51"/>
    </row>
    <row r="51" spans="1:8" x14ac:dyDescent="0.2">
      <c r="A51" s="50">
        <v>1</v>
      </c>
      <c r="B51" s="35">
        <v>223700001</v>
      </c>
      <c r="C51" s="35">
        <v>237</v>
      </c>
      <c r="D51" s="35">
        <v>0</v>
      </c>
      <c r="E51" s="35">
        <v>66</v>
      </c>
      <c r="F51" s="35">
        <v>-0.47058867999999998</v>
      </c>
      <c r="G51" s="35">
        <v>-42</v>
      </c>
    </row>
    <row r="52" spans="1:8" x14ac:dyDescent="0.2">
      <c r="A52" s="50">
        <v>1</v>
      </c>
      <c r="B52" s="35">
        <v>4040001</v>
      </c>
      <c r="C52" s="35">
        <v>404</v>
      </c>
      <c r="D52" s="35">
        <v>0</v>
      </c>
      <c r="E52" s="35">
        <v>214.97</v>
      </c>
      <c r="F52" s="35">
        <v>-4.2</v>
      </c>
      <c r="G52" s="35">
        <v>89.09</v>
      </c>
    </row>
    <row r="53" spans="1:8" x14ac:dyDescent="0.2">
      <c r="A53" s="49">
        <v>2</v>
      </c>
      <c r="B53" s="4">
        <v>220100001</v>
      </c>
      <c r="C53" s="4">
        <v>201</v>
      </c>
      <c r="D53" s="4">
        <v>0</v>
      </c>
      <c r="E53" s="4">
        <v>0</v>
      </c>
      <c r="F53" s="4">
        <v>0</v>
      </c>
      <c r="G53" s="4">
        <v>0</v>
      </c>
      <c r="H53" s="1" t="s">
        <v>233</v>
      </c>
    </row>
    <row r="54" spans="1:8" x14ac:dyDescent="0.2">
      <c r="A54" s="50">
        <v>2</v>
      </c>
      <c r="B54" s="4">
        <v>220200001</v>
      </c>
      <c r="C54" s="4">
        <v>202</v>
      </c>
      <c r="D54" s="4">
        <v>0</v>
      </c>
      <c r="E54" s="4">
        <v>-37</v>
      </c>
      <c r="F54" s="4">
        <v>0</v>
      </c>
      <c r="G54" s="4">
        <v>-28</v>
      </c>
      <c r="H54" s="1" t="s">
        <v>234</v>
      </c>
    </row>
    <row r="55" spans="1:8" x14ac:dyDescent="0.2">
      <c r="A55" s="50">
        <v>2</v>
      </c>
      <c r="B55" s="4">
        <v>220200002</v>
      </c>
      <c r="C55" s="4">
        <v>202</v>
      </c>
      <c r="D55" s="4">
        <v>0</v>
      </c>
      <c r="E55" s="4">
        <v>-50</v>
      </c>
      <c r="F55" s="4">
        <v>0</v>
      </c>
      <c r="G55" s="4">
        <v>-38</v>
      </c>
    </row>
    <row r="56" spans="1:8" x14ac:dyDescent="0.2">
      <c r="A56" s="50">
        <v>2</v>
      </c>
      <c r="B56" s="4">
        <v>220200003</v>
      </c>
      <c r="C56" s="4">
        <v>202</v>
      </c>
      <c r="D56" s="4">
        <v>0</v>
      </c>
      <c r="E56" s="4">
        <v>-37</v>
      </c>
      <c r="F56" s="4">
        <v>0</v>
      </c>
      <c r="G56" s="4">
        <v>-44</v>
      </c>
    </row>
    <row r="57" spans="1:8" x14ac:dyDescent="0.2">
      <c r="A57" s="50">
        <v>2</v>
      </c>
      <c r="B57" s="4">
        <v>220200004</v>
      </c>
      <c r="C57" s="4">
        <v>202</v>
      </c>
      <c r="D57" s="4">
        <v>0</v>
      </c>
      <c r="E57" s="4">
        <v>-37</v>
      </c>
      <c r="F57" s="4">
        <v>0</v>
      </c>
      <c r="G57" s="4">
        <v>-58</v>
      </c>
    </row>
    <row r="58" spans="1:8" x14ac:dyDescent="0.2">
      <c r="A58" s="50">
        <v>2</v>
      </c>
      <c r="B58" s="4">
        <v>220300001</v>
      </c>
      <c r="C58" s="4">
        <v>203</v>
      </c>
      <c r="D58" s="4">
        <v>0</v>
      </c>
      <c r="E58" s="4">
        <v>140</v>
      </c>
      <c r="F58" s="4">
        <v>-9</v>
      </c>
      <c r="G58" s="4">
        <v>-34</v>
      </c>
      <c r="H58" s="1" t="s">
        <v>235</v>
      </c>
    </row>
    <row r="59" spans="1:8" x14ac:dyDescent="0.2">
      <c r="A59" s="50">
        <v>2</v>
      </c>
      <c r="B59" s="4">
        <v>220300002</v>
      </c>
      <c r="C59" s="4">
        <v>203</v>
      </c>
      <c r="D59" s="4">
        <v>0</v>
      </c>
      <c r="E59" s="4">
        <v>27</v>
      </c>
      <c r="F59" s="17">
        <v>-6</v>
      </c>
      <c r="G59" s="17">
        <v>-116</v>
      </c>
    </row>
    <row r="60" spans="1:8" x14ac:dyDescent="0.2">
      <c r="A60" s="50">
        <v>2</v>
      </c>
      <c r="B60" s="35">
        <v>220400001</v>
      </c>
      <c r="C60" s="35">
        <v>204</v>
      </c>
      <c r="D60" s="35">
        <v>0</v>
      </c>
      <c r="E60" s="17">
        <v>-30</v>
      </c>
      <c r="F60" s="4">
        <v>-6</v>
      </c>
      <c r="G60" s="4">
        <v>-105</v>
      </c>
      <c r="H60" s="1" t="s">
        <v>236</v>
      </c>
    </row>
    <row r="61" spans="1:8" x14ac:dyDescent="0.2">
      <c r="A61" s="50">
        <v>2</v>
      </c>
      <c r="B61" s="4">
        <v>220400002</v>
      </c>
      <c r="C61" s="4">
        <v>204</v>
      </c>
      <c r="D61" s="4">
        <v>0</v>
      </c>
      <c r="E61" s="4">
        <v>-29</v>
      </c>
      <c r="F61" s="4">
        <v>-6</v>
      </c>
      <c r="G61" s="4">
        <v>-94</v>
      </c>
    </row>
    <row r="62" spans="1:8" x14ac:dyDescent="0.2">
      <c r="A62" s="50">
        <v>2</v>
      </c>
      <c r="B62" s="4">
        <v>220500001</v>
      </c>
      <c r="C62" s="4">
        <v>205</v>
      </c>
      <c r="D62" s="4">
        <v>0</v>
      </c>
      <c r="E62" s="4">
        <v>-110</v>
      </c>
      <c r="F62" s="4">
        <v>0</v>
      </c>
      <c r="G62" s="4">
        <v>-20</v>
      </c>
      <c r="H62" s="1" t="s">
        <v>237</v>
      </c>
    </row>
    <row r="63" spans="1:8" x14ac:dyDescent="0.2">
      <c r="A63" s="50">
        <v>2</v>
      </c>
      <c r="B63" s="4">
        <v>220500002</v>
      </c>
      <c r="C63" s="4">
        <v>205</v>
      </c>
      <c r="D63" s="4">
        <v>0</v>
      </c>
      <c r="E63" s="4">
        <v>-120</v>
      </c>
      <c r="F63" s="4">
        <v>0</v>
      </c>
      <c r="G63" s="4">
        <v>-26</v>
      </c>
    </row>
    <row r="64" spans="1:8" x14ac:dyDescent="0.2">
      <c r="A64" s="50">
        <v>2</v>
      </c>
      <c r="B64" s="4">
        <v>220600001</v>
      </c>
      <c r="C64" s="4">
        <v>206</v>
      </c>
      <c r="D64" s="4">
        <v>0</v>
      </c>
      <c r="E64" s="4">
        <v>66</v>
      </c>
      <c r="F64" s="4">
        <v>0</v>
      </c>
      <c r="G64" s="4">
        <v>42</v>
      </c>
      <c r="H64" s="1" t="s">
        <v>238</v>
      </c>
    </row>
    <row r="65" spans="1:8" x14ac:dyDescent="0.2">
      <c r="A65" s="50">
        <v>2</v>
      </c>
      <c r="B65" s="4">
        <v>220700001</v>
      </c>
      <c r="C65" s="4">
        <v>207</v>
      </c>
      <c r="D65" s="4">
        <v>0</v>
      </c>
      <c r="E65" s="4">
        <v>149</v>
      </c>
      <c r="F65" s="4">
        <v>-9</v>
      </c>
      <c r="G65" s="4">
        <v>-57</v>
      </c>
      <c r="H65" s="1" t="s">
        <v>239</v>
      </c>
    </row>
    <row r="66" spans="1:8" x14ac:dyDescent="0.2">
      <c r="A66" s="50">
        <v>2</v>
      </c>
      <c r="B66" s="4">
        <v>220700002</v>
      </c>
      <c r="C66" s="4">
        <v>207</v>
      </c>
      <c r="D66" s="4">
        <v>0</v>
      </c>
      <c r="E66" s="4">
        <v>137</v>
      </c>
      <c r="F66" s="35">
        <v>-9</v>
      </c>
      <c r="G66" s="35">
        <v>-45</v>
      </c>
    </row>
    <row r="67" spans="1:8" x14ac:dyDescent="0.2">
      <c r="A67" s="50">
        <v>2</v>
      </c>
      <c r="B67" s="4">
        <v>220700003</v>
      </c>
      <c r="C67" s="4">
        <v>207</v>
      </c>
      <c r="D67" s="4">
        <v>0</v>
      </c>
      <c r="E67" s="35">
        <v>136</v>
      </c>
      <c r="F67" s="4">
        <v>-9</v>
      </c>
      <c r="G67" s="4">
        <v>-57</v>
      </c>
    </row>
    <row r="68" spans="1:8" x14ac:dyDescent="0.2">
      <c r="A68" s="50">
        <v>2</v>
      </c>
      <c r="B68" s="4">
        <v>220700004</v>
      </c>
      <c r="C68" s="4">
        <v>207</v>
      </c>
      <c r="D68" s="4">
        <v>0</v>
      </c>
      <c r="E68" s="4">
        <v>149</v>
      </c>
      <c r="F68" s="4">
        <v>-9</v>
      </c>
      <c r="G68" s="4">
        <v>-32</v>
      </c>
    </row>
    <row r="69" spans="1:8" x14ac:dyDescent="0.2">
      <c r="A69" s="50">
        <v>2</v>
      </c>
      <c r="B69" s="4">
        <v>220800001</v>
      </c>
      <c r="C69" s="4">
        <v>208</v>
      </c>
      <c r="D69" s="50">
        <v>0</v>
      </c>
      <c r="E69" s="4">
        <v>-69</v>
      </c>
      <c r="F69" s="4">
        <v>13</v>
      </c>
      <c r="G69" s="4">
        <v>78</v>
      </c>
      <c r="H69" s="1" t="s">
        <v>240</v>
      </c>
    </row>
    <row r="70" spans="1:8" x14ac:dyDescent="0.2">
      <c r="A70" s="50">
        <v>2</v>
      </c>
      <c r="B70" s="4">
        <v>220900001</v>
      </c>
      <c r="C70" s="4">
        <v>209</v>
      </c>
      <c r="D70" s="4">
        <v>0</v>
      </c>
      <c r="E70" s="4">
        <v>42</v>
      </c>
      <c r="F70" s="4">
        <v>0</v>
      </c>
      <c r="G70" s="4">
        <v>18</v>
      </c>
      <c r="H70" s="1" t="s">
        <v>241</v>
      </c>
    </row>
    <row r="71" spans="1:8" x14ac:dyDescent="0.2">
      <c r="A71" s="50">
        <v>2</v>
      </c>
      <c r="B71" s="4">
        <v>221100001</v>
      </c>
      <c r="C71" s="4">
        <v>211</v>
      </c>
      <c r="D71" s="4">
        <v>0</v>
      </c>
      <c r="E71" s="4">
        <v>27</v>
      </c>
      <c r="F71" s="4">
        <v>0</v>
      </c>
      <c r="G71" s="4">
        <v>-37</v>
      </c>
      <c r="H71" s="1" t="s">
        <v>242</v>
      </c>
    </row>
    <row r="72" spans="1:8" x14ac:dyDescent="0.2">
      <c r="A72" s="50">
        <v>2</v>
      </c>
      <c r="B72" s="4">
        <v>221200001</v>
      </c>
      <c r="C72" s="4">
        <v>212</v>
      </c>
      <c r="D72" s="4">
        <v>0</v>
      </c>
      <c r="E72" s="4">
        <v>129</v>
      </c>
      <c r="F72" s="4">
        <v>-4.5999999999999996</v>
      </c>
      <c r="G72" s="4">
        <v>52</v>
      </c>
      <c r="H72" s="1" t="s">
        <v>243</v>
      </c>
    </row>
    <row r="73" spans="1:8" x14ac:dyDescent="0.2">
      <c r="A73" s="50">
        <v>2</v>
      </c>
      <c r="B73" s="4">
        <v>221300001</v>
      </c>
      <c r="C73" s="4">
        <v>213</v>
      </c>
      <c r="D73" s="4">
        <v>0</v>
      </c>
      <c r="E73" s="4">
        <v>16</v>
      </c>
      <c r="F73" s="4">
        <v>-18.5</v>
      </c>
      <c r="G73" s="4">
        <v>130</v>
      </c>
      <c r="H73" s="1" t="s">
        <v>244</v>
      </c>
    </row>
    <row r="74" spans="1:8" x14ac:dyDescent="0.2">
      <c r="A74" s="50">
        <v>2</v>
      </c>
      <c r="B74" s="4">
        <v>221500001</v>
      </c>
      <c r="C74" s="4">
        <v>215</v>
      </c>
      <c r="D74" s="4">
        <v>0</v>
      </c>
      <c r="E74" s="4">
        <v>90</v>
      </c>
      <c r="F74" s="4">
        <v>0</v>
      </c>
      <c r="G74" s="4">
        <v>1</v>
      </c>
      <c r="H74" s="1" t="s">
        <v>245</v>
      </c>
    </row>
    <row r="75" spans="1:8" x14ac:dyDescent="0.2">
      <c r="A75" s="50">
        <v>2</v>
      </c>
      <c r="B75" s="4">
        <v>222200001</v>
      </c>
      <c r="C75" s="4">
        <v>222</v>
      </c>
      <c r="D75" s="4">
        <v>0</v>
      </c>
      <c r="E75" s="4">
        <v>48</v>
      </c>
      <c r="F75" s="4">
        <v>0</v>
      </c>
      <c r="G75" s="4">
        <v>-17</v>
      </c>
      <c r="H75" s="1" t="s">
        <v>246</v>
      </c>
    </row>
    <row r="76" spans="1:8" x14ac:dyDescent="0.2">
      <c r="A76" s="50">
        <v>2</v>
      </c>
      <c r="B76" s="4">
        <v>222400001</v>
      </c>
      <c r="C76" s="4">
        <v>224</v>
      </c>
      <c r="D76" s="4">
        <v>0</v>
      </c>
      <c r="E76" s="4">
        <v>66</v>
      </c>
      <c r="F76" s="4">
        <v>0</v>
      </c>
      <c r="G76" s="4">
        <v>18</v>
      </c>
      <c r="H76" s="1" t="s">
        <v>247</v>
      </c>
    </row>
    <row r="77" spans="1:8" x14ac:dyDescent="0.2">
      <c r="A77" s="35">
        <v>2</v>
      </c>
      <c r="B77" s="4">
        <v>222600001</v>
      </c>
      <c r="C77" s="4">
        <v>226</v>
      </c>
      <c r="D77" s="4">
        <v>0</v>
      </c>
      <c r="E77" s="4">
        <v>-28</v>
      </c>
      <c r="F77" s="4">
        <v>3</v>
      </c>
      <c r="G77" s="4">
        <v>69</v>
      </c>
      <c r="H77" s="1" t="s">
        <v>248</v>
      </c>
    </row>
    <row r="78" spans="1:8" x14ac:dyDescent="0.2">
      <c r="A78" s="50">
        <v>2</v>
      </c>
      <c r="B78" s="4">
        <v>222700001</v>
      </c>
      <c r="C78" s="4">
        <v>227</v>
      </c>
      <c r="D78" s="4">
        <v>0</v>
      </c>
      <c r="E78" s="4">
        <v>176</v>
      </c>
      <c r="F78" s="4">
        <v>-9</v>
      </c>
      <c r="G78" s="4">
        <v>-27</v>
      </c>
      <c r="H78" s="1" t="s">
        <v>249</v>
      </c>
    </row>
    <row r="79" spans="1:8" x14ac:dyDescent="0.2">
      <c r="A79" s="50">
        <v>2</v>
      </c>
      <c r="B79" s="4">
        <v>222700002</v>
      </c>
      <c r="C79" s="4">
        <v>227</v>
      </c>
      <c r="D79" s="4">
        <v>0</v>
      </c>
      <c r="E79" s="4">
        <v>165</v>
      </c>
      <c r="F79" s="4">
        <v>-9</v>
      </c>
      <c r="G79" s="4">
        <v>13</v>
      </c>
    </row>
    <row r="80" spans="1:8" x14ac:dyDescent="0.2">
      <c r="A80" s="50">
        <v>2</v>
      </c>
      <c r="B80" s="4">
        <v>223000001</v>
      </c>
      <c r="C80" s="4">
        <v>230</v>
      </c>
      <c r="D80" s="4">
        <v>0</v>
      </c>
      <c r="E80" s="4">
        <v>33</v>
      </c>
      <c r="F80" s="4">
        <v>0</v>
      </c>
      <c r="G80" s="4">
        <v>-16</v>
      </c>
      <c r="H80" s="1" t="s">
        <v>250</v>
      </c>
    </row>
    <row r="81" spans="1:8" x14ac:dyDescent="0.2">
      <c r="A81" s="50">
        <v>2</v>
      </c>
      <c r="B81" s="4">
        <v>223100001</v>
      </c>
      <c r="C81" s="4">
        <v>231</v>
      </c>
      <c r="D81" s="4">
        <v>0</v>
      </c>
      <c r="E81" s="4">
        <v>-10</v>
      </c>
      <c r="F81" s="4">
        <v>0</v>
      </c>
      <c r="G81" s="4">
        <v>-37</v>
      </c>
      <c r="H81" s="1" t="s">
        <v>251</v>
      </c>
    </row>
    <row r="82" spans="1:8" x14ac:dyDescent="0.2">
      <c r="A82" s="50">
        <v>2</v>
      </c>
      <c r="B82" s="4">
        <v>223200001</v>
      </c>
      <c r="C82" s="4">
        <v>232</v>
      </c>
      <c r="D82" s="4">
        <v>0</v>
      </c>
      <c r="E82" s="4">
        <v>42</v>
      </c>
      <c r="F82" s="4">
        <v>0</v>
      </c>
      <c r="G82" s="4">
        <v>39</v>
      </c>
      <c r="H82" s="1" t="s">
        <v>252</v>
      </c>
    </row>
    <row r="83" spans="1:8" x14ac:dyDescent="0.2">
      <c r="A83" s="50">
        <v>2</v>
      </c>
      <c r="B83" s="4">
        <v>223500001</v>
      </c>
      <c r="C83" s="4">
        <v>235</v>
      </c>
      <c r="D83" s="4">
        <v>0</v>
      </c>
      <c r="E83" s="4">
        <v>-57</v>
      </c>
      <c r="F83" s="4">
        <v>5</v>
      </c>
      <c r="G83" s="4">
        <v>6</v>
      </c>
      <c r="H83" s="1" t="s">
        <v>253</v>
      </c>
    </row>
    <row r="84" spans="1:8" x14ac:dyDescent="0.2">
      <c r="A84" s="50">
        <v>2</v>
      </c>
      <c r="B84" s="35">
        <v>223600001</v>
      </c>
      <c r="C84" s="35">
        <v>236</v>
      </c>
      <c r="D84" s="35">
        <v>0</v>
      </c>
      <c r="E84" s="35">
        <v>-35</v>
      </c>
      <c r="F84" s="35">
        <v>5</v>
      </c>
      <c r="G84" s="35">
        <v>6</v>
      </c>
      <c r="H84" s="1" t="s">
        <v>254</v>
      </c>
    </row>
    <row r="85" spans="1:8" x14ac:dyDescent="0.2">
      <c r="A85" s="49">
        <v>2</v>
      </c>
      <c r="B85" s="4">
        <v>223700001</v>
      </c>
      <c r="C85" s="4">
        <v>237</v>
      </c>
      <c r="D85" s="4">
        <v>0</v>
      </c>
      <c r="E85" s="4">
        <v>70</v>
      </c>
      <c r="F85" s="4">
        <v>0</v>
      </c>
      <c r="G85" s="4">
        <v>-44</v>
      </c>
      <c r="H85" s="1" t="s">
        <v>255</v>
      </c>
    </row>
    <row r="86" spans="1:8" x14ac:dyDescent="0.2">
      <c r="A86" s="50">
        <v>2</v>
      </c>
      <c r="B86" s="4">
        <v>230000001</v>
      </c>
      <c r="C86" s="4">
        <v>300</v>
      </c>
      <c r="D86" s="4">
        <v>0</v>
      </c>
      <c r="E86" s="4">
        <v>130</v>
      </c>
      <c r="F86" s="4">
        <v>-9</v>
      </c>
      <c r="G86" s="4">
        <v>66</v>
      </c>
      <c r="H86" s="1" t="s">
        <v>256</v>
      </c>
    </row>
    <row r="87" spans="1:8" x14ac:dyDescent="0.2">
      <c r="A87" s="50">
        <v>2</v>
      </c>
      <c r="B87" s="4">
        <v>240000001</v>
      </c>
      <c r="C87" s="4">
        <v>400</v>
      </c>
      <c r="D87" s="4">
        <v>0</v>
      </c>
      <c r="E87" s="4">
        <v>-18</v>
      </c>
      <c r="F87" s="4">
        <v>0</v>
      </c>
      <c r="G87" s="4">
        <v>-61</v>
      </c>
      <c r="H87" s="1" t="s">
        <v>257</v>
      </c>
    </row>
    <row r="88" spans="1:8" x14ac:dyDescent="0.2">
      <c r="A88" s="50">
        <v>2</v>
      </c>
      <c r="B88" s="4">
        <v>240400001</v>
      </c>
      <c r="C88" s="4">
        <v>404</v>
      </c>
      <c r="D88" s="4">
        <v>0</v>
      </c>
      <c r="E88" s="4">
        <v>214.97</v>
      </c>
      <c r="F88" s="4">
        <v>-4.2</v>
      </c>
      <c r="G88" s="4">
        <v>89.09</v>
      </c>
      <c r="H88" s="1" t="s">
        <v>258</v>
      </c>
    </row>
    <row r="89" spans="1:8" x14ac:dyDescent="0.2">
      <c r="A89" s="50">
        <v>3</v>
      </c>
      <c r="B89" s="4">
        <v>220100001</v>
      </c>
      <c r="C89" s="4">
        <v>201</v>
      </c>
      <c r="D89" s="4">
        <v>0</v>
      </c>
      <c r="E89" s="4">
        <v>0</v>
      </c>
      <c r="F89" s="4">
        <v>0</v>
      </c>
      <c r="G89" s="4">
        <v>0</v>
      </c>
      <c r="H89" s="1" t="s">
        <v>233</v>
      </c>
    </row>
    <row r="90" spans="1:8" x14ac:dyDescent="0.2">
      <c r="A90" s="50">
        <v>3</v>
      </c>
      <c r="B90" s="4">
        <v>220200001</v>
      </c>
      <c r="C90" s="4">
        <v>202</v>
      </c>
      <c r="D90" s="4">
        <v>0</v>
      </c>
      <c r="E90" s="4">
        <v>-37</v>
      </c>
      <c r="F90" s="4">
        <v>0</v>
      </c>
      <c r="G90" s="4">
        <v>-28</v>
      </c>
      <c r="H90" s="1" t="s">
        <v>234</v>
      </c>
    </row>
    <row r="91" spans="1:8" x14ac:dyDescent="0.2">
      <c r="A91" s="50">
        <v>3</v>
      </c>
      <c r="B91" s="4">
        <v>220200002</v>
      </c>
      <c r="C91" s="4">
        <v>202</v>
      </c>
      <c r="D91" s="4">
        <v>0</v>
      </c>
      <c r="E91" s="4">
        <v>-50</v>
      </c>
      <c r="F91" s="4">
        <v>0</v>
      </c>
      <c r="G91" s="4">
        <v>-38</v>
      </c>
    </row>
    <row r="92" spans="1:8" x14ac:dyDescent="0.2">
      <c r="A92" s="50">
        <v>3</v>
      </c>
      <c r="B92" s="4">
        <v>220200003</v>
      </c>
      <c r="C92" s="4">
        <v>202</v>
      </c>
      <c r="D92" s="4">
        <v>0</v>
      </c>
      <c r="E92" s="4">
        <v>-37</v>
      </c>
      <c r="F92" s="17">
        <v>0</v>
      </c>
      <c r="G92" s="17">
        <v>-44</v>
      </c>
    </row>
    <row r="93" spans="1:8" x14ac:dyDescent="0.2">
      <c r="A93" s="35">
        <v>3</v>
      </c>
      <c r="B93" s="35">
        <v>220200004</v>
      </c>
      <c r="C93" s="35">
        <v>202</v>
      </c>
      <c r="D93" s="35">
        <v>0</v>
      </c>
      <c r="E93" s="17">
        <v>-37</v>
      </c>
      <c r="F93" s="4">
        <v>0</v>
      </c>
      <c r="G93" s="4">
        <v>-58</v>
      </c>
    </row>
    <row r="94" spans="1:8" x14ac:dyDescent="0.2">
      <c r="A94" s="50">
        <v>3</v>
      </c>
      <c r="B94" s="4">
        <v>220300001</v>
      </c>
      <c r="C94" s="4">
        <v>203</v>
      </c>
      <c r="D94" s="4">
        <v>0</v>
      </c>
      <c r="E94" s="4">
        <v>140</v>
      </c>
      <c r="F94" s="4">
        <v>-9</v>
      </c>
      <c r="G94" s="4">
        <v>-34</v>
      </c>
      <c r="H94" s="1" t="s">
        <v>235</v>
      </c>
    </row>
    <row r="95" spans="1:8" x14ac:dyDescent="0.2">
      <c r="A95" s="50">
        <v>3</v>
      </c>
      <c r="B95" s="4">
        <v>220300002</v>
      </c>
      <c r="C95" s="4">
        <v>203</v>
      </c>
      <c r="D95" s="4">
        <v>0</v>
      </c>
      <c r="E95" s="4">
        <v>27</v>
      </c>
      <c r="F95" s="4">
        <v>-6</v>
      </c>
      <c r="G95" s="4">
        <v>-116</v>
      </c>
    </row>
    <row r="96" spans="1:8" x14ac:dyDescent="0.2">
      <c r="A96" s="50">
        <v>3</v>
      </c>
      <c r="B96" s="4">
        <v>220300003</v>
      </c>
      <c r="C96" s="4">
        <v>203</v>
      </c>
      <c r="D96" s="4">
        <v>0</v>
      </c>
      <c r="E96" s="4">
        <v>27</v>
      </c>
      <c r="F96" s="4">
        <v>-6</v>
      </c>
      <c r="G96" s="4">
        <v>-100</v>
      </c>
    </row>
    <row r="97" spans="1:8" x14ac:dyDescent="0.2">
      <c r="A97" s="50">
        <v>3</v>
      </c>
      <c r="B97" s="4">
        <v>220400001</v>
      </c>
      <c r="C97" s="4">
        <v>204</v>
      </c>
      <c r="D97" s="4">
        <v>0</v>
      </c>
      <c r="E97" s="4">
        <v>-30</v>
      </c>
      <c r="F97" s="4">
        <v>-6</v>
      </c>
      <c r="G97" s="4">
        <v>-105</v>
      </c>
      <c r="H97" s="1" t="s">
        <v>236</v>
      </c>
    </row>
    <row r="98" spans="1:8" x14ac:dyDescent="0.2">
      <c r="A98" s="50">
        <v>3</v>
      </c>
      <c r="B98" s="4">
        <v>220400002</v>
      </c>
      <c r="C98" s="4">
        <v>204</v>
      </c>
      <c r="D98" s="4">
        <v>0</v>
      </c>
      <c r="E98" s="4">
        <v>-29</v>
      </c>
      <c r="F98" s="4">
        <v>-6</v>
      </c>
      <c r="G98" s="4">
        <v>-94</v>
      </c>
    </row>
    <row r="99" spans="1:8" x14ac:dyDescent="0.2">
      <c r="A99" s="50">
        <v>3</v>
      </c>
      <c r="B99" s="4">
        <v>220400003</v>
      </c>
      <c r="C99" s="4">
        <v>204</v>
      </c>
      <c r="D99" s="4">
        <v>0</v>
      </c>
      <c r="E99" s="4">
        <v>-44</v>
      </c>
      <c r="F99" s="35">
        <v>-6</v>
      </c>
      <c r="G99" s="35">
        <v>-95</v>
      </c>
    </row>
    <row r="100" spans="1:8" x14ac:dyDescent="0.2">
      <c r="A100" s="50">
        <v>3</v>
      </c>
      <c r="B100" s="4">
        <v>220500001</v>
      </c>
      <c r="C100" s="4">
        <v>205</v>
      </c>
      <c r="D100" s="4">
        <v>0</v>
      </c>
      <c r="E100" s="35">
        <v>-110</v>
      </c>
      <c r="F100" s="4">
        <v>0</v>
      </c>
      <c r="G100" s="4">
        <v>-20</v>
      </c>
      <c r="H100" s="1" t="s">
        <v>237</v>
      </c>
    </row>
    <row r="101" spans="1:8" x14ac:dyDescent="0.2">
      <c r="A101" s="50">
        <v>3</v>
      </c>
      <c r="B101" s="4">
        <v>220500002</v>
      </c>
      <c r="C101" s="4">
        <v>205</v>
      </c>
      <c r="D101" s="4">
        <v>0</v>
      </c>
      <c r="E101" s="4">
        <v>-120</v>
      </c>
      <c r="F101" s="4">
        <v>0</v>
      </c>
      <c r="G101" s="4">
        <v>-26</v>
      </c>
    </row>
    <row r="102" spans="1:8" x14ac:dyDescent="0.2">
      <c r="A102" s="50">
        <v>3</v>
      </c>
      <c r="B102" s="4">
        <v>220600001</v>
      </c>
      <c r="C102" s="4">
        <v>206</v>
      </c>
      <c r="D102" s="50">
        <v>0</v>
      </c>
      <c r="E102" s="4">
        <v>66</v>
      </c>
      <c r="F102" s="4">
        <v>0</v>
      </c>
      <c r="G102" s="4">
        <v>42</v>
      </c>
      <c r="H102" s="1" t="s">
        <v>238</v>
      </c>
    </row>
    <row r="103" spans="1:8" x14ac:dyDescent="0.2">
      <c r="A103" s="50">
        <v>3</v>
      </c>
      <c r="B103" s="4">
        <v>220700001</v>
      </c>
      <c r="C103" s="4">
        <v>207</v>
      </c>
      <c r="D103" s="4">
        <v>0</v>
      </c>
      <c r="E103" s="4">
        <v>149</v>
      </c>
      <c r="F103" s="4">
        <v>-9</v>
      </c>
      <c r="G103" s="4">
        <v>-57</v>
      </c>
      <c r="H103" s="1" t="s">
        <v>239</v>
      </c>
    </row>
    <row r="104" spans="1:8" x14ac:dyDescent="0.2">
      <c r="A104" s="50">
        <v>3</v>
      </c>
      <c r="B104" s="4">
        <v>220700002</v>
      </c>
      <c r="C104" s="4">
        <v>207</v>
      </c>
      <c r="D104" s="4">
        <v>0</v>
      </c>
      <c r="E104" s="4">
        <v>137</v>
      </c>
      <c r="F104" s="4">
        <v>-9</v>
      </c>
      <c r="G104" s="4">
        <v>-45</v>
      </c>
    </row>
    <row r="105" spans="1:8" x14ac:dyDescent="0.2">
      <c r="A105" s="50">
        <v>3</v>
      </c>
      <c r="B105" s="4">
        <v>220700003</v>
      </c>
      <c r="C105" s="4">
        <v>207</v>
      </c>
      <c r="D105" s="4">
        <v>0</v>
      </c>
      <c r="E105" s="4">
        <v>136</v>
      </c>
      <c r="F105" s="4">
        <v>-9</v>
      </c>
      <c r="G105" s="4">
        <v>-57</v>
      </c>
    </row>
    <row r="106" spans="1:8" x14ac:dyDescent="0.2">
      <c r="A106" s="50">
        <v>3</v>
      </c>
      <c r="B106" s="4">
        <v>220700004</v>
      </c>
      <c r="C106" s="4">
        <v>207</v>
      </c>
      <c r="D106" s="4">
        <v>0</v>
      </c>
      <c r="E106" s="4">
        <v>149</v>
      </c>
      <c r="F106" s="4">
        <v>-9</v>
      </c>
      <c r="G106" s="4">
        <v>-32</v>
      </c>
    </row>
    <row r="107" spans="1:8" x14ac:dyDescent="0.2">
      <c r="A107" s="50">
        <v>3</v>
      </c>
      <c r="B107" s="4">
        <v>220700005</v>
      </c>
      <c r="C107" s="4">
        <v>207</v>
      </c>
      <c r="D107" s="4">
        <v>0</v>
      </c>
      <c r="E107" s="4">
        <v>52</v>
      </c>
      <c r="F107" s="4">
        <v>-6</v>
      </c>
      <c r="G107" s="4">
        <v>-102</v>
      </c>
    </row>
    <row r="108" spans="1:8" x14ac:dyDescent="0.2">
      <c r="A108" s="50">
        <v>3</v>
      </c>
      <c r="B108" s="4">
        <v>220700006</v>
      </c>
      <c r="C108" s="4">
        <v>207</v>
      </c>
      <c r="D108" s="4">
        <v>0</v>
      </c>
      <c r="E108" s="4">
        <v>161</v>
      </c>
      <c r="F108" s="4">
        <v>-9</v>
      </c>
      <c r="G108" s="4">
        <v>-32</v>
      </c>
    </row>
    <row r="109" spans="1:8" x14ac:dyDescent="0.2">
      <c r="A109" s="50">
        <v>3</v>
      </c>
      <c r="B109" s="4">
        <v>220700007</v>
      </c>
      <c r="C109" s="4">
        <v>207</v>
      </c>
      <c r="D109" s="4">
        <v>0</v>
      </c>
      <c r="E109" s="4">
        <v>149</v>
      </c>
      <c r="F109" s="4">
        <v>-9</v>
      </c>
      <c r="G109" s="4">
        <v>-69</v>
      </c>
    </row>
    <row r="110" spans="1:8" x14ac:dyDescent="0.2">
      <c r="A110" s="50">
        <v>3</v>
      </c>
      <c r="B110" s="4">
        <v>220700008</v>
      </c>
      <c r="C110" s="4">
        <v>207</v>
      </c>
      <c r="D110" s="4">
        <v>0</v>
      </c>
      <c r="E110" s="4">
        <v>38</v>
      </c>
      <c r="F110" s="4">
        <v>-6</v>
      </c>
      <c r="G110" s="4">
        <v>-114</v>
      </c>
    </row>
    <row r="111" spans="1:8" x14ac:dyDescent="0.2">
      <c r="A111" s="50">
        <v>3</v>
      </c>
      <c r="B111" s="4">
        <v>220800001</v>
      </c>
      <c r="C111" s="4">
        <v>208</v>
      </c>
      <c r="D111" s="4">
        <v>0</v>
      </c>
      <c r="E111" s="4">
        <v>-69</v>
      </c>
      <c r="F111" s="4">
        <v>13</v>
      </c>
      <c r="G111" s="4">
        <v>78</v>
      </c>
      <c r="H111" s="1" t="s">
        <v>240</v>
      </c>
    </row>
    <row r="112" spans="1:8" x14ac:dyDescent="0.2">
      <c r="A112" s="50">
        <v>3</v>
      </c>
      <c r="B112" s="4">
        <v>220900001</v>
      </c>
      <c r="C112" s="4">
        <v>209</v>
      </c>
      <c r="D112" s="4">
        <v>0</v>
      </c>
      <c r="E112" s="4">
        <v>42</v>
      </c>
      <c r="F112" s="4">
        <v>0</v>
      </c>
      <c r="G112" s="4">
        <v>18</v>
      </c>
      <c r="H112" s="1" t="s">
        <v>241</v>
      </c>
    </row>
    <row r="113" spans="1:8" x14ac:dyDescent="0.2">
      <c r="A113" s="50">
        <v>3</v>
      </c>
      <c r="B113" s="4">
        <v>221100001</v>
      </c>
      <c r="C113" s="4">
        <v>211</v>
      </c>
      <c r="D113" s="4">
        <v>0</v>
      </c>
      <c r="E113" s="4">
        <v>27</v>
      </c>
      <c r="F113" s="4">
        <v>0</v>
      </c>
      <c r="G113" s="4">
        <v>-37</v>
      </c>
      <c r="H113" s="1" t="s">
        <v>242</v>
      </c>
    </row>
    <row r="114" spans="1:8" x14ac:dyDescent="0.2">
      <c r="A114" s="50">
        <v>3</v>
      </c>
      <c r="B114" s="4">
        <v>221200001</v>
      </c>
      <c r="C114" s="4">
        <v>212</v>
      </c>
      <c r="D114" s="4">
        <v>0</v>
      </c>
      <c r="E114" s="4">
        <v>129</v>
      </c>
      <c r="F114" s="4">
        <v>-4.5999999999999996</v>
      </c>
      <c r="G114" s="4">
        <v>52</v>
      </c>
      <c r="H114" s="1" t="s">
        <v>243</v>
      </c>
    </row>
    <row r="115" spans="1:8" x14ac:dyDescent="0.2">
      <c r="A115" s="50">
        <v>3</v>
      </c>
      <c r="B115" s="4">
        <v>221300001</v>
      </c>
      <c r="C115" s="4">
        <v>213</v>
      </c>
      <c r="D115" s="4">
        <v>0</v>
      </c>
      <c r="E115" s="4">
        <v>16</v>
      </c>
      <c r="F115" s="4">
        <v>-18.5</v>
      </c>
      <c r="G115" s="4">
        <v>130</v>
      </c>
      <c r="H115" s="1" t="s">
        <v>244</v>
      </c>
    </row>
    <row r="116" spans="1:8" x14ac:dyDescent="0.2">
      <c r="A116" s="50">
        <v>3</v>
      </c>
      <c r="B116" s="4">
        <v>221500001</v>
      </c>
      <c r="C116" s="4">
        <v>215</v>
      </c>
      <c r="D116" s="4">
        <v>0</v>
      </c>
      <c r="E116" s="4">
        <v>90</v>
      </c>
      <c r="F116" s="4">
        <v>0</v>
      </c>
      <c r="G116" s="4">
        <v>1</v>
      </c>
      <c r="H116" s="1" t="s">
        <v>245</v>
      </c>
    </row>
    <row r="117" spans="1:8" x14ac:dyDescent="0.2">
      <c r="A117" s="50">
        <v>3</v>
      </c>
      <c r="B117" s="4">
        <v>222200001</v>
      </c>
      <c r="C117" s="4">
        <v>222</v>
      </c>
      <c r="D117" s="4">
        <v>0</v>
      </c>
      <c r="E117" s="4">
        <v>48</v>
      </c>
      <c r="F117" s="52">
        <v>0</v>
      </c>
      <c r="G117" s="52">
        <v>-17</v>
      </c>
      <c r="H117" s="1" t="s">
        <v>246</v>
      </c>
    </row>
    <row r="118" spans="1:8" x14ac:dyDescent="0.2">
      <c r="A118" s="50">
        <v>3</v>
      </c>
      <c r="B118" s="35">
        <v>222400001</v>
      </c>
      <c r="C118" s="35">
        <v>224</v>
      </c>
      <c r="D118" s="35">
        <v>0</v>
      </c>
      <c r="E118" s="35">
        <v>66</v>
      </c>
      <c r="F118" s="35">
        <v>0</v>
      </c>
      <c r="G118" s="35">
        <v>18</v>
      </c>
      <c r="H118" s="1" t="s">
        <v>247</v>
      </c>
    </row>
    <row r="119" spans="1:8" x14ac:dyDescent="0.2">
      <c r="A119" s="49">
        <v>3</v>
      </c>
      <c r="B119" s="53">
        <v>222600001</v>
      </c>
      <c r="C119" s="53">
        <v>226</v>
      </c>
      <c r="D119" s="52">
        <v>0</v>
      </c>
      <c r="E119" s="52">
        <v>-28</v>
      </c>
      <c r="F119" s="52">
        <v>3</v>
      </c>
      <c r="G119" s="52">
        <v>69</v>
      </c>
      <c r="H119" s="1" t="s">
        <v>248</v>
      </c>
    </row>
    <row r="120" spans="1:8" x14ac:dyDescent="0.2">
      <c r="A120" s="50">
        <v>3</v>
      </c>
      <c r="B120" s="53">
        <v>222700001</v>
      </c>
      <c r="C120" s="53">
        <v>227</v>
      </c>
      <c r="D120" s="52">
        <v>0</v>
      </c>
      <c r="E120" s="52">
        <v>176</v>
      </c>
      <c r="F120" s="52">
        <v>-9</v>
      </c>
      <c r="G120" s="52">
        <v>-27</v>
      </c>
      <c r="H120" s="1" t="s">
        <v>249</v>
      </c>
    </row>
    <row r="121" spans="1:8" x14ac:dyDescent="0.2">
      <c r="A121" s="50">
        <v>3</v>
      </c>
      <c r="B121" s="53">
        <v>222700002</v>
      </c>
      <c r="C121" s="53">
        <v>227</v>
      </c>
      <c r="D121" s="52">
        <v>0</v>
      </c>
      <c r="E121" s="52">
        <v>165</v>
      </c>
      <c r="F121" s="52">
        <v>-9</v>
      </c>
      <c r="G121" s="52">
        <v>13</v>
      </c>
    </row>
    <row r="122" spans="1:8" x14ac:dyDescent="0.2">
      <c r="A122" s="50">
        <v>3</v>
      </c>
      <c r="B122" s="53">
        <v>222900001</v>
      </c>
      <c r="C122" s="53">
        <v>229</v>
      </c>
      <c r="D122" s="52">
        <v>0</v>
      </c>
      <c r="E122" s="52">
        <v>45</v>
      </c>
      <c r="F122" s="52">
        <v>0</v>
      </c>
      <c r="G122" s="52">
        <v>66</v>
      </c>
      <c r="H122" s="1" t="s">
        <v>296</v>
      </c>
    </row>
    <row r="123" spans="1:8" x14ac:dyDescent="0.2">
      <c r="A123" s="50">
        <v>3</v>
      </c>
      <c r="B123" s="53">
        <v>223000001</v>
      </c>
      <c r="C123" s="53">
        <v>230</v>
      </c>
      <c r="D123" s="52">
        <v>0</v>
      </c>
      <c r="E123" s="52">
        <v>33</v>
      </c>
      <c r="F123" s="52">
        <v>0</v>
      </c>
      <c r="G123" s="52">
        <v>-16</v>
      </c>
      <c r="H123" s="1" t="s">
        <v>250</v>
      </c>
    </row>
    <row r="124" spans="1:8" x14ac:dyDescent="0.2">
      <c r="A124" s="50">
        <v>3</v>
      </c>
      <c r="B124" s="53">
        <v>223100001</v>
      </c>
      <c r="C124" s="53">
        <v>231</v>
      </c>
      <c r="D124" s="52">
        <v>0</v>
      </c>
      <c r="E124" s="52">
        <v>-10</v>
      </c>
      <c r="F124" s="54">
        <v>0</v>
      </c>
      <c r="G124" s="52">
        <v>-37</v>
      </c>
      <c r="H124" s="1" t="s">
        <v>251</v>
      </c>
    </row>
    <row r="125" spans="1:8" x14ac:dyDescent="0.2">
      <c r="A125" s="50">
        <v>3</v>
      </c>
      <c r="B125" s="53">
        <v>223200001</v>
      </c>
      <c r="C125" s="53">
        <v>232</v>
      </c>
      <c r="D125" s="52">
        <v>0</v>
      </c>
      <c r="E125" s="52">
        <v>42</v>
      </c>
      <c r="F125" s="52">
        <v>0</v>
      </c>
      <c r="G125" s="52">
        <v>39</v>
      </c>
      <c r="H125" s="1" t="s">
        <v>252</v>
      </c>
    </row>
    <row r="126" spans="1:8" x14ac:dyDescent="0.2">
      <c r="A126" s="50">
        <v>3</v>
      </c>
      <c r="B126" s="53">
        <v>223400001</v>
      </c>
      <c r="C126" s="53">
        <v>234</v>
      </c>
      <c r="D126" s="52">
        <v>0</v>
      </c>
      <c r="E126" s="52">
        <v>-116</v>
      </c>
      <c r="F126" s="52">
        <v>0</v>
      </c>
      <c r="G126" s="52">
        <v>-41</v>
      </c>
      <c r="H126" s="1" t="s">
        <v>297</v>
      </c>
    </row>
    <row r="127" spans="1:8" x14ac:dyDescent="0.2">
      <c r="A127" s="50">
        <v>3</v>
      </c>
      <c r="B127" s="53">
        <v>223500001</v>
      </c>
      <c r="C127" s="53">
        <v>235</v>
      </c>
      <c r="D127" s="52">
        <v>0</v>
      </c>
      <c r="E127" s="52">
        <v>-57</v>
      </c>
      <c r="F127" s="52">
        <v>5</v>
      </c>
      <c r="G127" s="52">
        <v>6</v>
      </c>
      <c r="H127" s="1" t="s">
        <v>253</v>
      </c>
    </row>
    <row r="128" spans="1:8" x14ac:dyDescent="0.2">
      <c r="A128" s="50">
        <v>3</v>
      </c>
      <c r="B128" s="53">
        <v>223600001</v>
      </c>
      <c r="C128" s="53">
        <v>236</v>
      </c>
      <c r="D128" s="52">
        <v>0</v>
      </c>
      <c r="E128" s="52">
        <v>-35</v>
      </c>
      <c r="F128" s="52">
        <v>5</v>
      </c>
      <c r="G128" s="52">
        <v>6</v>
      </c>
      <c r="H128" s="1" t="s">
        <v>254</v>
      </c>
    </row>
    <row r="129" spans="1:8" x14ac:dyDescent="0.2">
      <c r="A129" s="50">
        <v>3</v>
      </c>
      <c r="B129" s="53">
        <v>223700001</v>
      </c>
      <c r="C129" s="53">
        <v>237</v>
      </c>
      <c r="D129" s="52">
        <v>0</v>
      </c>
      <c r="E129" s="52">
        <v>70</v>
      </c>
      <c r="F129" s="52">
        <v>0</v>
      </c>
      <c r="G129" s="52">
        <v>-44</v>
      </c>
      <c r="H129" s="1" t="s">
        <v>255</v>
      </c>
    </row>
    <row r="130" spans="1:8" x14ac:dyDescent="0.2">
      <c r="A130" s="50">
        <v>3</v>
      </c>
      <c r="B130" s="53">
        <v>230000001</v>
      </c>
      <c r="C130" s="53">
        <v>300</v>
      </c>
      <c r="D130" s="52">
        <v>0</v>
      </c>
      <c r="E130" s="52">
        <v>130</v>
      </c>
      <c r="F130" s="52">
        <v>-9</v>
      </c>
      <c r="G130" s="52">
        <v>66</v>
      </c>
      <c r="H130" s="1" t="s">
        <v>256</v>
      </c>
    </row>
    <row r="131" spans="1:8" x14ac:dyDescent="0.2">
      <c r="A131" s="35">
        <v>3</v>
      </c>
      <c r="B131" s="53">
        <v>240000001</v>
      </c>
      <c r="C131" s="53">
        <v>400</v>
      </c>
      <c r="D131" s="52">
        <v>0</v>
      </c>
      <c r="E131" s="52">
        <v>-18</v>
      </c>
      <c r="F131" s="52">
        <v>0</v>
      </c>
      <c r="G131" s="52">
        <v>-61</v>
      </c>
      <c r="H131" s="1" t="s">
        <v>257</v>
      </c>
    </row>
    <row r="132" spans="1:8" x14ac:dyDescent="0.2">
      <c r="A132" s="50">
        <v>3</v>
      </c>
      <c r="B132" s="53">
        <v>240400001</v>
      </c>
      <c r="C132" s="53">
        <v>404</v>
      </c>
      <c r="D132" s="52">
        <v>0</v>
      </c>
      <c r="E132" s="52">
        <v>214.97</v>
      </c>
      <c r="F132" s="52">
        <v>-4.2</v>
      </c>
      <c r="G132" s="52">
        <v>89.09</v>
      </c>
      <c r="H132" s="1" t="s">
        <v>258</v>
      </c>
    </row>
    <row r="133" spans="1:8" x14ac:dyDescent="0.2">
      <c r="A133" s="50">
        <v>4</v>
      </c>
      <c r="B133" s="53">
        <v>220100001</v>
      </c>
      <c r="C133" s="53">
        <v>201</v>
      </c>
      <c r="D133" s="52">
        <v>0</v>
      </c>
      <c r="E133" s="52">
        <v>0</v>
      </c>
      <c r="F133" s="52">
        <v>0</v>
      </c>
      <c r="G133" s="52">
        <v>0</v>
      </c>
      <c r="H133" s="1" t="s">
        <v>233</v>
      </c>
    </row>
    <row r="134" spans="1:8" x14ac:dyDescent="0.2">
      <c r="A134" s="50">
        <v>4</v>
      </c>
      <c r="B134" s="53">
        <v>220200001</v>
      </c>
      <c r="C134" s="53">
        <v>202</v>
      </c>
      <c r="D134" s="52">
        <v>0</v>
      </c>
      <c r="E134" s="52">
        <v>-37</v>
      </c>
      <c r="F134" s="52">
        <v>0</v>
      </c>
      <c r="G134" s="52">
        <v>-28</v>
      </c>
      <c r="H134" s="1" t="s">
        <v>234</v>
      </c>
    </row>
    <row r="135" spans="1:8" x14ac:dyDescent="0.2">
      <c r="A135" s="50">
        <v>4</v>
      </c>
      <c r="B135" s="53">
        <v>220200002</v>
      </c>
      <c r="C135" s="53">
        <v>202</v>
      </c>
      <c r="D135" s="52">
        <v>0</v>
      </c>
      <c r="E135" s="52">
        <v>-50</v>
      </c>
      <c r="F135" s="52">
        <v>0</v>
      </c>
      <c r="G135" s="52">
        <v>-38</v>
      </c>
    </row>
    <row r="136" spans="1:8" x14ac:dyDescent="0.2">
      <c r="A136" s="50">
        <v>4</v>
      </c>
      <c r="B136" s="53">
        <v>220200003</v>
      </c>
      <c r="C136" s="53">
        <v>202</v>
      </c>
      <c r="D136" s="52">
        <v>0</v>
      </c>
      <c r="E136" s="52">
        <v>-37</v>
      </c>
      <c r="F136" s="52">
        <v>0</v>
      </c>
      <c r="G136" s="52">
        <v>-44</v>
      </c>
    </row>
    <row r="137" spans="1:8" x14ac:dyDescent="0.2">
      <c r="A137" s="50">
        <v>4</v>
      </c>
      <c r="B137" s="53">
        <v>220200004</v>
      </c>
      <c r="C137" s="53">
        <v>202</v>
      </c>
      <c r="D137" s="52">
        <v>0</v>
      </c>
      <c r="E137" s="52">
        <v>-37</v>
      </c>
      <c r="F137" s="52">
        <v>0</v>
      </c>
      <c r="G137" s="52">
        <v>-58</v>
      </c>
    </row>
    <row r="138" spans="1:8" x14ac:dyDescent="0.2">
      <c r="A138" s="50">
        <v>4</v>
      </c>
      <c r="B138" s="53">
        <v>220300001</v>
      </c>
      <c r="C138" s="53">
        <v>203</v>
      </c>
      <c r="D138" s="52">
        <v>0</v>
      </c>
      <c r="E138" s="52">
        <v>140</v>
      </c>
      <c r="F138" s="52">
        <v>-9</v>
      </c>
      <c r="G138" s="52">
        <v>-34</v>
      </c>
      <c r="H138" s="1" t="s">
        <v>235</v>
      </c>
    </row>
    <row r="139" spans="1:8" x14ac:dyDescent="0.2">
      <c r="A139" s="50">
        <v>4</v>
      </c>
      <c r="B139" s="53">
        <v>220300002</v>
      </c>
      <c r="C139" s="53">
        <v>203</v>
      </c>
      <c r="D139" s="52">
        <v>0</v>
      </c>
      <c r="E139" s="52">
        <v>27</v>
      </c>
      <c r="F139" s="52">
        <v>-6</v>
      </c>
      <c r="G139" s="52">
        <v>-116</v>
      </c>
    </row>
    <row r="140" spans="1:8" x14ac:dyDescent="0.2">
      <c r="A140" s="50">
        <v>4</v>
      </c>
      <c r="B140" s="53">
        <v>220300003</v>
      </c>
      <c r="C140" s="53">
        <v>203</v>
      </c>
      <c r="D140" s="52">
        <v>0</v>
      </c>
      <c r="E140" s="52">
        <v>27</v>
      </c>
      <c r="F140" s="52">
        <v>-6</v>
      </c>
      <c r="G140" s="52">
        <v>-100</v>
      </c>
    </row>
    <row r="141" spans="1:8" x14ac:dyDescent="0.2">
      <c r="A141" s="50">
        <v>4</v>
      </c>
      <c r="B141" s="53">
        <v>220300004</v>
      </c>
      <c r="C141" s="53">
        <v>203</v>
      </c>
      <c r="D141" s="52">
        <v>0</v>
      </c>
      <c r="E141" s="52">
        <v>151</v>
      </c>
      <c r="F141" s="52">
        <v>-9</v>
      </c>
      <c r="G141" s="52">
        <v>-45</v>
      </c>
    </row>
    <row r="142" spans="1:8" x14ac:dyDescent="0.2">
      <c r="A142" s="49">
        <v>4</v>
      </c>
      <c r="B142" s="53">
        <v>220400001</v>
      </c>
      <c r="C142" s="53">
        <v>204</v>
      </c>
      <c r="D142" s="54">
        <v>0</v>
      </c>
      <c r="E142" s="52">
        <v>-30</v>
      </c>
      <c r="F142" s="52">
        <v>-6</v>
      </c>
      <c r="G142" s="52">
        <v>-105</v>
      </c>
      <c r="H142" s="1" t="s">
        <v>236</v>
      </c>
    </row>
    <row r="143" spans="1:8" x14ac:dyDescent="0.2">
      <c r="A143" s="49">
        <v>4</v>
      </c>
      <c r="B143" s="53">
        <v>220400002</v>
      </c>
      <c r="C143" s="53">
        <v>204</v>
      </c>
      <c r="D143" s="52">
        <v>0</v>
      </c>
      <c r="E143" s="52">
        <v>-29</v>
      </c>
      <c r="F143" s="52">
        <v>-6</v>
      </c>
      <c r="G143" s="52">
        <v>-94</v>
      </c>
    </row>
    <row r="144" spans="1:8" x14ac:dyDescent="0.2">
      <c r="A144" s="49">
        <v>4</v>
      </c>
      <c r="B144" s="53">
        <v>220400003</v>
      </c>
      <c r="C144" s="53">
        <v>204</v>
      </c>
      <c r="D144" s="52">
        <v>0</v>
      </c>
      <c r="E144" s="52">
        <v>-44</v>
      </c>
      <c r="F144" s="52">
        <v>-6</v>
      </c>
      <c r="G144" s="52">
        <v>-95</v>
      </c>
    </row>
    <row r="145" spans="1:8" x14ac:dyDescent="0.2">
      <c r="A145" s="49">
        <v>4</v>
      </c>
      <c r="B145" s="53">
        <v>220400004</v>
      </c>
      <c r="C145" s="53">
        <v>204</v>
      </c>
      <c r="D145" s="52">
        <v>0</v>
      </c>
      <c r="E145" s="52">
        <v>-45</v>
      </c>
      <c r="F145" s="52">
        <v>-6</v>
      </c>
      <c r="G145" s="52">
        <v>-105</v>
      </c>
    </row>
    <row r="146" spans="1:8" x14ac:dyDescent="0.2">
      <c r="A146" s="49">
        <v>4</v>
      </c>
      <c r="B146" s="53">
        <v>220500001</v>
      </c>
      <c r="C146" s="53">
        <v>205</v>
      </c>
      <c r="D146" s="52">
        <v>0</v>
      </c>
      <c r="E146" s="52">
        <v>-110</v>
      </c>
      <c r="F146" s="52">
        <v>0</v>
      </c>
      <c r="G146" s="52">
        <v>-20</v>
      </c>
      <c r="H146" s="1" t="s">
        <v>237</v>
      </c>
    </row>
    <row r="147" spans="1:8" x14ac:dyDescent="0.2">
      <c r="A147" s="50">
        <v>4</v>
      </c>
      <c r="B147" s="53">
        <v>220500002</v>
      </c>
      <c r="C147" s="53">
        <v>205</v>
      </c>
      <c r="D147" s="52">
        <v>0</v>
      </c>
      <c r="E147" s="52">
        <v>-120</v>
      </c>
      <c r="F147" s="52">
        <v>0</v>
      </c>
      <c r="G147" s="52">
        <v>-26</v>
      </c>
    </row>
    <row r="148" spans="1:8" x14ac:dyDescent="0.2">
      <c r="A148" s="50">
        <v>4</v>
      </c>
      <c r="B148" s="53">
        <v>220500003</v>
      </c>
      <c r="C148" s="53">
        <v>205</v>
      </c>
      <c r="D148" s="52">
        <v>0</v>
      </c>
      <c r="E148" s="52">
        <v>-98</v>
      </c>
      <c r="F148" s="52">
        <v>0</v>
      </c>
      <c r="G148" s="52">
        <v>-17</v>
      </c>
    </row>
    <row r="149" spans="1:8" x14ac:dyDescent="0.2">
      <c r="A149" s="50">
        <v>4</v>
      </c>
      <c r="B149" s="53">
        <v>220600001</v>
      </c>
      <c r="C149" s="53">
        <v>206</v>
      </c>
      <c r="D149" s="52">
        <v>0</v>
      </c>
      <c r="E149" s="52">
        <v>66</v>
      </c>
      <c r="F149" s="52">
        <v>0</v>
      </c>
      <c r="G149" s="52">
        <v>42</v>
      </c>
      <c r="H149" s="1" t="s">
        <v>238</v>
      </c>
    </row>
    <row r="150" spans="1:8" x14ac:dyDescent="0.2">
      <c r="A150" s="50">
        <v>4</v>
      </c>
      <c r="B150" s="53">
        <v>220700001</v>
      </c>
      <c r="C150" s="53">
        <v>207</v>
      </c>
      <c r="D150" s="52">
        <v>0</v>
      </c>
      <c r="E150" s="52">
        <v>149</v>
      </c>
      <c r="F150" s="52">
        <v>-9</v>
      </c>
      <c r="G150" s="52">
        <v>-57</v>
      </c>
      <c r="H150" s="1" t="s">
        <v>239</v>
      </c>
    </row>
    <row r="151" spans="1:8" x14ac:dyDescent="0.2">
      <c r="A151" s="50">
        <v>4</v>
      </c>
      <c r="B151" s="53">
        <v>220700002</v>
      </c>
      <c r="C151" s="53">
        <v>207</v>
      </c>
      <c r="D151" s="52">
        <v>0</v>
      </c>
      <c r="E151" s="52">
        <v>137</v>
      </c>
      <c r="F151" s="52">
        <v>-9</v>
      </c>
      <c r="G151" s="52">
        <v>-45</v>
      </c>
    </row>
    <row r="152" spans="1:8" x14ac:dyDescent="0.2">
      <c r="A152" s="50">
        <v>4</v>
      </c>
      <c r="B152" s="53">
        <v>220700003</v>
      </c>
      <c r="C152" s="53">
        <v>207</v>
      </c>
      <c r="D152" s="52">
        <v>0</v>
      </c>
      <c r="E152" s="52">
        <v>136</v>
      </c>
      <c r="F152" s="52">
        <v>-9</v>
      </c>
      <c r="G152" s="52">
        <v>-57</v>
      </c>
    </row>
    <row r="153" spans="1:8" x14ac:dyDescent="0.2">
      <c r="A153" s="50">
        <v>4</v>
      </c>
      <c r="B153" s="53">
        <v>220700004</v>
      </c>
      <c r="C153" s="53">
        <v>207</v>
      </c>
      <c r="D153" s="52">
        <v>0</v>
      </c>
      <c r="E153" s="52">
        <v>149</v>
      </c>
      <c r="F153" s="52">
        <v>-9</v>
      </c>
      <c r="G153" s="52">
        <v>-32</v>
      </c>
    </row>
    <row r="154" spans="1:8" x14ac:dyDescent="0.2">
      <c r="A154" s="50">
        <v>4</v>
      </c>
      <c r="B154" s="53">
        <v>220700005</v>
      </c>
      <c r="C154" s="53">
        <v>207</v>
      </c>
      <c r="D154" s="52">
        <v>0</v>
      </c>
      <c r="E154" s="52">
        <v>52</v>
      </c>
      <c r="F154" s="52">
        <v>-6</v>
      </c>
      <c r="G154" s="52">
        <v>-102</v>
      </c>
    </row>
    <row r="155" spans="1:8" x14ac:dyDescent="0.2">
      <c r="A155" s="50">
        <v>4</v>
      </c>
      <c r="B155" s="53">
        <v>220700006</v>
      </c>
      <c r="C155" s="53">
        <v>207</v>
      </c>
      <c r="D155" s="52">
        <v>0</v>
      </c>
      <c r="E155" s="52">
        <v>161</v>
      </c>
      <c r="F155" s="52">
        <v>-9</v>
      </c>
      <c r="G155" s="52">
        <v>-32</v>
      </c>
    </row>
    <row r="156" spans="1:8" x14ac:dyDescent="0.2">
      <c r="A156" s="50">
        <v>4</v>
      </c>
      <c r="B156" s="53">
        <v>220700007</v>
      </c>
      <c r="C156" s="53">
        <v>207</v>
      </c>
      <c r="D156" s="52">
        <v>0</v>
      </c>
      <c r="E156" s="52">
        <v>149</v>
      </c>
      <c r="F156" s="52">
        <v>-9</v>
      </c>
      <c r="G156" s="52">
        <v>-69</v>
      </c>
    </row>
    <row r="157" spans="1:8" x14ac:dyDescent="0.2">
      <c r="A157" s="50">
        <v>4</v>
      </c>
      <c r="B157" s="53">
        <v>220700008</v>
      </c>
      <c r="C157" s="53">
        <v>207</v>
      </c>
      <c r="D157" s="52">
        <v>0</v>
      </c>
      <c r="E157" s="52">
        <v>38</v>
      </c>
      <c r="F157" s="52">
        <v>-6</v>
      </c>
      <c r="G157" s="52">
        <v>-114</v>
      </c>
    </row>
    <row r="158" spans="1:8" x14ac:dyDescent="0.2">
      <c r="A158" s="50">
        <v>4</v>
      </c>
      <c r="B158" s="53">
        <v>220700009</v>
      </c>
      <c r="C158" s="53">
        <v>207</v>
      </c>
      <c r="D158" s="52">
        <v>0</v>
      </c>
      <c r="E158" s="52">
        <v>162</v>
      </c>
      <c r="F158" s="52">
        <v>-9</v>
      </c>
      <c r="G158" s="52">
        <v>-59</v>
      </c>
    </row>
    <row r="159" spans="1:8" x14ac:dyDescent="0.2">
      <c r="A159" s="50">
        <v>4</v>
      </c>
      <c r="B159" s="53">
        <v>220700010</v>
      </c>
      <c r="C159" s="53">
        <v>207</v>
      </c>
      <c r="D159" s="52">
        <v>0</v>
      </c>
      <c r="E159" s="52">
        <v>162</v>
      </c>
      <c r="F159" s="52">
        <v>-9</v>
      </c>
      <c r="G159" s="52">
        <v>-45</v>
      </c>
    </row>
    <row r="160" spans="1:8" x14ac:dyDescent="0.2">
      <c r="A160" s="50">
        <v>4</v>
      </c>
      <c r="B160" s="53">
        <v>220700011</v>
      </c>
      <c r="C160" s="53">
        <v>207</v>
      </c>
      <c r="D160" s="52">
        <v>0</v>
      </c>
      <c r="E160" s="52">
        <v>136</v>
      </c>
      <c r="F160" s="52">
        <v>-9</v>
      </c>
      <c r="G160" s="52">
        <v>-69</v>
      </c>
    </row>
    <row r="161" spans="1:8" x14ac:dyDescent="0.2">
      <c r="A161" s="50">
        <v>4</v>
      </c>
      <c r="B161" s="53">
        <v>220700012</v>
      </c>
      <c r="C161" s="53">
        <v>207</v>
      </c>
      <c r="D161" s="52">
        <v>0</v>
      </c>
      <c r="E161" s="52">
        <v>39</v>
      </c>
      <c r="F161" s="52">
        <v>-6</v>
      </c>
      <c r="G161" s="52">
        <v>-102</v>
      </c>
    </row>
    <row r="162" spans="1:8" x14ac:dyDescent="0.2">
      <c r="A162" s="50">
        <v>4</v>
      </c>
      <c r="B162" s="53">
        <v>220800001</v>
      </c>
      <c r="C162" s="53">
        <v>208</v>
      </c>
      <c r="D162" s="52">
        <v>0</v>
      </c>
      <c r="E162" s="52">
        <v>-69</v>
      </c>
      <c r="F162" s="52">
        <v>13</v>
      </c>
      <c r="G162" s="52">
        <v>78</v>
      </c>
      <c r="H162" s="1" t="s">
        <v>240</v>
      </c>
    </row>
    <row r="163" spans="1:8" x14ac:dyDescent="0.2">
      <c r="A163" s="50">
        <v>4</v>
      </c>
      <c r="B163" s="53">
        <v>220900001</v>
      </c>
      <c r="C163" s="53">
        <v>209</v>
      </c>
      <c r="D163" s="52">
        <v>0</v>
      </c>
      <c r="E163" s="52">
        <v>42</v>
      </c>
      <c r="F163" s="52">
        <v>0</v>
      </c>
      <c r="G163" s="52">
        <v>18</v>
      </c>
      <c r="H163" s="1" t="s">
        <v>241</v>
      </c>
    </row>
    <row r="164" spans="1:8" x14ac:dyDescent="0.2">
      <c r="A164" s="50">
        <v>4</v>
      </c>
      <c r="B164" s="53">
        <v>221100001</v>
      </c>
      <c r="C164" s="53">
        <v>211</v>
      </c>
      <c r="D164" s="52">
        <v>0</v>
      </c>
      <c r="E164" s="52">
        <v>27</v>
      </c>
      <c r="F164" s="52">
        <v>0</v>
      </c>
      <c r="G164" s="52">
        <v>-37</v>
      </c>
      <c r="H164" s="1" t="s">
        <v>242</v>
      </c>
    </row>
    <row r="165" spans="1:8" x14ac:dyDescent="0.2">
      <c r="A165" s="50">
        <v>4</v>
      </c>
      <c r="B165" s="53">
        <v>221200001</v>
      </c>
      <c r="C165" s="53">
        <v>212</v>
      </c>
      <c r="D165" s="52">
        <v>0</v>
      </c>
      <c r="E165" s="52">
        <v>129</v>
      </c>
      <c r="F165" s="52">
        <v>-4.5999999999999996</v>
      </c>
      <c r="G165" s="52">
        <v>52</v>
      </c>
      <c r="H165" s="1" t="s">
        <v>243</v>
      </c>
    </row>
    <row r="166" spans="1:8" x14ac:dyDescent="0.2">
      <c r="A166" s="50">
        <v>4</v>
      </c>
      <c r="B166" s="53">
        <v>221300001</v>
      </c>
      <c r="C166" s="53">
        <v>213</v>
      </c>
      <c r="D166" s="52">
        <v>0</v>
      </c>
      <c r="E166" s="52">
        <v>16</v>
      </c>
      <c r="F166" s="52">
        <v>-18.5</v>
      </c>
      <c r="G166" s="52">
        <v>130</v>
      </c>
      <c r="H166" s="1" t="s">
        <v>244</v>
      </c>
    </row>
    <row r="167" spans="1:8" x14ac:dyDescent="0.2">
      <c r="A167" s="50">
        <v>4</v>
      </c>
      <c r="B167" s="53">
        <v>221500001</v>
      </c>
      <c r="C167" s="53">
        <v>215</v>
      </c>
      <c r="D167" s="52">
        <v>0</v>
      </c>
      <c r="E167" s="52">
        <v>90</v>
      </c>
      <c r="F167" s="52">
        <v>0</v>
      </c>
      <c r="G167" s="52">
        <v>1</v>
      </c>
      <c r="H167" s="1" t="s">
        <v>245</v>
      </c>
    </row>
    <row r="168" spans="1:8" x14ac:dyDescent="0.2">
      <c r="A168" s="50">
        <v>4</v>
      </c>
      <c r="B168" s="53">
        <v>222200001</v>
      </c>
      <c r="C168" s="53">
        <v>222</v>
      </c>
      <c r="D168" s="52">
        <v>0</v>
      </c>
      <c r="E168" s="52">
        <v>48</v>
      </c>
      <c r="F168" s="52">
        <v>0</v>
      </c>
      <c r="G168" s="52">
        <v>-17</v>
      </c>
      <c r="H168" s="1" t="s">
        <v>246</v>
      </c>
    </row>
    <row r="169" spans="1:8" x14ac:dyDescent="0.2">
      <c r="A169" s="50">
        <v>4</v>
      </c>
      <c r="B169" s="53">
        <v>222400001</v>
      </c>
      <c r="C169" s="53">
        <v>224</v>
      </c>
      <c r="D169" s="52">
        <v>0</v>
      </c>
      <c r="E169" s="52">
        <v>66</v>
      </c>
      <c r="F169" s="52">
        <v>0</v>
      </c>
      <c r="G169" s="52">
        <v>18</v>
      </c>
      <c r="H169" s="1" t="s">
        <v>247</v>
      </c>
    </row>
    <row r="170" spans="1:8" x14ac:dyDescent="0.2">
      <c r="A170" s="50">
        <v>4</v>
      </c>
      <c r="B170" s="35">
        <v>222600001</v>
      </c>
      <c r="C170" s="35">
        <v>226</v>
      </c>
      <c r="D170" s="35">
        <v>0</v>
      </c>
      <c r="E170" s="35">
        <v>-28</v>
      </c>
      <c r="F170" s="35">
        <v>3</v>
      </c>
      <c r="G170" s="35">
        <v>69</v>
      </c>
      <c r="H170" s="1" t="s">
        <v>248</v>
      </c>
    </row>
    <row r="171" spans="1:8" x14ac:dyDescent="0.2">
      <c r="A171" s="49">
        <v>4</v>
      </c>
      <c r="B171" s="53">
        <v>222700001</v>
      </c>
      <c r="C171" s="53">
        <v>227</v>
      </c>
      <c r="D171" s="52">
        <v>0</v>
      </c>
      <c r="E171" s="52">
        <v>176</v>
      </c>
      <c r="F171" s="52">
        <v>-9</v>
      </c>
      <c r="G171" s="52">
        <v>-27</v>
      </c>
      <c r="H171" s="1" t="s">
        <v>249</v>
      </c>
    </row>
    <row r="172" spans="1:8" x14ac:dyDescent="0.2">
      <c r="A172" s="49">
        <v>4</v>
      </c>
      <c r="B172" s="53">
        <v>222700002</v>
      </c>
      <c r="C172" s="53">
        <v>227</v>
      </c>
      <c r="D172" s="52">
        <v>0</v>
      </c>
      <c r="E172" s="52">
        <v>165</v>
      </c>
      <c r="F172" s="52">
        <v>-9</v>
      </c>
      <c r="G172" s="52">
        <v>13</v>
      </c>
    </row>
    <row r="173" spans="1:8" x14ac:dyDescent="0.2">
      <c r="A173" s="49">
        <v>4</v>
      </c>
      <c r="B173" s="53">
        <v>222900001</v>
      </c>
      <c r="C173" s="53">
        <v>229</v>
      </c>
      <c r="D173" s="52">
        <v>0</v>
      </c>
      <c r="E173" s="52">
        <v>45</v>
      </c>
      <c r="F173" s="52">
        <v>0</v>
      </c>
      <c r="G173" s="52">
        <v>66</v>
      </c>
      <c r="H173" s="1" t="s">
        <v>296</v>
      </c>
    </row>
    <row r="174" spans="1:8" x14ac:dyDescent="0.2">
      <c r="A174" s="49">
        <v>4</v>
      </c>
      <c r="B174" s="53">
        <v>223000001</v>
      </c>
      <c r="C174" s="53">
        <v>230</v>
      </c>
      <c r="D174" s="52">
        <v>0</v>
      </c>
      <c r="E174" s="52">
        <v>33</v>
      </c>
      <c r="F174" s="52">
        <v>0</v>
      </c>
      <c r="G174" s="52">
        <v>-16</v>
      </c>
      <c r="H174" s="1" t="s">
        <v>250</v>
      </c>
    </row>
    <row r="175" spans="1:8" x14ac:dyDescent="0.2">
      <c r="A175" s="49">
        <v>4</v>
      </c>
      <c r="B175" s="53">
        <v>223100001</v>
      </c>
      <c r="C175" s="53">
        <v>231</v>
      </c>
      <c r="D175" s="52">
        <v>0</v>
      </c>
      <c r="E175" s="52">
        <v>-10</v>
      </c>
      <c r="F175" s="52">
        <v>0</v>
      </c>
      <c r="G175" s="52">
        <v>-37</v>
      </c>
      <c r="H175" s="1" t="s">
        <v>251</v>
      </c>
    </row>
    <row r="176" spans="1:8" x14ac:dyDescent="0.2">
      <c r="A176" s="49">
        <v>4</v>
      </c>
      <c r="B176" s="53">
        <v>223200001</v>
      </c>
      <c r="C176" s="53">
        <v>232</v>
      </c>
      <c r="D176" s="52">
        <v>0</v>
      </c>
      <c r="E176" s="52">
        <v>42</v>
      </c>
      <c r="F176" s="54">
        <v>0</v>
      </c>
      <c r="G176" s="52">
        <v>39</v>
      </c>
      <c r="H176" s="1" t="s">
        <v>252</v>
      </c>
    </row>
    <row r="177" spans="1:8" x14ac:dyDescent="0.2">
      <c r="A177" s="49">
        <v>4</v>
      </c>
      <c r="B177" s="53">
        <v>223400001</v>
      </c>
      <c r="C177" s="53">
        <v>234</v>
      </c>
      <c r="D177" s="52">
        <v>0</v>
      </c>
      <c r="E177" s="52">
        <v>-116</v>
      </c>
      <c r="F177" s="52">
        <v>0</v>
      </c>
      <c r="G177" s="52">
        <v>-41</v>
      </c>
      <c r="H177" s="1" t="s">
        <v>297</v>
      </c>
    </row>
    <row r="178" spans="1:8" x14ac:dyDescent="0.2">
      <c r="A178" s="49">
        <v>4</v>
      </c>
      <c r="B178" s="53">
        <v>223400002</v>
      </c>
      <c r="C178" s="53">
        <v>234</v>
      </c>
      <c r="D178" s="52">
        <v>0</v>
      </c>
      <c r="E178" s="52">
        <v>-105</v>
      </c>
      <c r="F178" s="52">
        <v>0</v>
      </c>
      <c r="G178" s="52">
        <v>-50</v>
      </c>
    </row>
    <row r="179" spans="1:8" x14ac:dyDescent="0.2">
      <c r="A179" s="49">
        <v>4</v>
      </c>
      <c r="B179" s="53">
        <v>223400003</v>
      </c>
      <c r="C179" s="53">
        <v>234</v>
      </c>
      <c r="D179" s="52">
        <v>0</v>
      </c>
      <c r="E179" s="52">
        <v>-87</v>
      </c>
      <c r="F179" s="52">
        <v>0</v>
      </c>
      <c r="G179" s="52">
        <v>-51</v>
      </c>
    </row>
    <row r="180" spans="1:8" x14ac:dyDescent="0.2">
      <c r="A180" s="49">
        <v>4</v>
      </c>
      <c r="B180" s="53">
        <v>223500001</v>
      </c>
      <c r="C180" s="53">
        <v>235</v>
      </c>
      <c r="D180" s="52">
        <v>0</v>
      </c>
      <c r="E180" s="52">
        <v>-57</v>
      </c>
      <c r="F180" s="52">
        <v>5</v>
      </c>
      <c r="G180" s="52">
        <v>6</v>
      </c>
      <c r="H180" s="1" t="s">
        <v>253</v>
      </c>
    </row>
    <row r="181" spans="1:8" x14ac:dyDescent="0.2">
      <c r="A181" s="49">
        <v>4</v>
      </c>
      <c r="B181" s="53">
        <v>223600001</v>
      </c>
      <c r="C181" s="53">
        <v>236</v>
      </c>
      <c r="D181" s="52">
        <v>0</v>
      </c>
      <c r="E181" s="52">
        <v>-35</v>
      </c>
      <c r="F181" s="52">
        <v>5</v>
      </c>
      <c r="G181" s="52">
        <v>6</v>
      </c>
      <c r="H181" s="1" t="s">
        <v>254</v>
      </c>
    </row>
    <row r="182" spans="1:8" x14ac:dyDescent="0.2">
      <c r="A182" s="49">
        <v>4</v>
      </c>
      <c r="B182" s="53">
        <v>223700001</v>
      </c>
      <c r="C182" s="53">
        <v>237</v>
      </c>
      <c r="D182" s="52">
        <v>0</v>
      </c>
      <c r="E182" s="52">
        <v>70</v>
      </c>
      <c r="F182" s="52">
        <v>0</v>
      </c>
      <c r="G182" s="52">
        <v>-44</v>
      </c>
      <c r="H182" s="1" t="s">
        <v>255</v>
      </c>
    </row>
    <row r="183" spans="1:8" x14ac:dyDescent="0.2">
      <c r="A183" s="49">
        <v>4</v>
      </c>
      <c r="B183" s="53">
        <v>230000001</v>
      </c>
      <c r="C183" s="53">
        <v>300</v>
      </c>
      <c r="D183" s="52">
        <v>0</v>
      </c>
      <c r="E183" s="52">
        <v>130</v>
      </c>
      <c r="F183" s="52">
        <v>-9</v>
      </c>
      <c r="G183" s="52">
        <v>66</v>
      </c>
      <c r="H183" s="1" t="s">
        <v>256</v>
      </c>
    </row>
    <row r="184" spans="1:8" x14ac:dyDescent="0.2">
      <c r="A184" s="49">
        <v>4</v>
      </c>
      <c r="B184" s="53">
        <v>240000001</v>
      </c>
      <c r="C184" s="53">
        <v>400</v>
      </c>
      <c r="D184" s="52">
        <v>0</v>
      </c>
      <c r="E184" s="52">
        <v>-18</v>
      </c>
      <c r="F184" s="52">
        <v>0</v>
      </c>
      <c r="G184" s="52">
        <v>-61</v>
      </c>
      <c r="H184" s="1" t="s">
        <v>257</v>
      </c>
    </row>
    <row r="185" spans="1:8" x14ac:dyDescent="0.2">
      <c r="A185" s="49">
        <v>4</v>
      </c>
      <c r="B185" s="53">
        <v>240400001</v>
      </c>
      <c r="C185" s="53">
        <v>404</v>
      </c>
      <c r="D185" s="52">
        <v>0</v>
      </c>
      <c r="E185" s="52">
        <v>214.97</v>
      </c>
      <c r="F185" s="52">
        <v>-4.2</v>
      </c>
      <c r="G185" s="52">
        <v>89.09</v>
      </c>
      <c r="H185" s="1" t="s">
        <v>258</v>
      </c>
    </row>
    <row r="186" spans="1:8" x14ac:dyDescent="0.2">
      <c r="A186" s="49">
        <v>5</v>
      </c>
      <c r="B186" s="53">
        <v>220100001</v>
      </c>
      <c r="C186" s="53">
        <v>201</v>
      </c>
      <c r="D186" s="52">
        <v>0</v>
      </c>
      <c r="E186" s="52">
        <v>0</v>
      </c>
      <c r="F186" s="52">
        <v>0</v>
      </c>
      <c r="G186" s="52">
        <v>0</v>
      </c>
      <c r="H186" s="1" t="s">
        <v>233</v>
      </c>
    </row>
    <row r="187" spans="1:8" x14ac:dyDescent="0.2">
      <c r="A187" s="49">
        <v>5</v>
      </c>
      <c r="B187" s="53">
        <v>220200001</v>
      </c>
      <c r="C187" s="53">
        <v>202</v>
      </c>
      <c r="D187" s="52">
        <v>0</v>
      </c>
      <c r="E187" s="52">
        <v>-37</v>
      </c>
      <c r="F187" s="52">
        <v>0</v>
      </c>
      <c r="G187" s="52">
        <v>-28</v>
      </c>
      <c r="H187" s="1" t="s">
        <v>234</v>
      </c>
    </row>
    <row r="188" spans="1:8" x14ac:dyDescent="0.2">
      <c r="A188" s="49">
        <v>5</v>
      </c>
      <c r="B188" s="53">
        <v>220200002</v>
      </c>
      <c r="C188" s="53">
        <v>202</v>
      </c>
      <c r="D188" s="52">
        <v>0</v>
      </c>
      <c r="E188" s="52">
        <v>-50</v>
      </c>
      <c r="F188" s="52">
        <v>0</v>
      </c>
      <c r="G188" s="52">
        <v>-38</v>
      </c>
    </row>
    <row r="189" spans="1:8" x14ac:dyDescent="0.2">
      <c r="A189" s="49">
        <v>5</v>
      </c>
      <c r="B189" s="53">
        <v>220200003</v>
      </c>
      <c r="C189" s="53">
        <v>202</v>
      </c>
      <c r="D189" s="52">
        <v>0</v>
      </c>
      <c r="E189" s="52">
        <v>-37</v>
      </c>
      <c r="F189" s="52">
        <v>0</v>
      </c>
      <c r="G189" s="52">
        <v>-44</v>
      </c>
    </row>
    <row r="190" spans="1:8" x14ac:dyDescent="0.2">
      <c r="A190" s="49">
        <v>5</v>
      </c>
      <c r="B190" s="53">
        <v>220200004</v>
      </c>
      <c r="C190" s="53">
        <v>202</v>
      </c>
      <c r="D190" s="52">
        <v>0</v>
      </c>
      <c r="E190" s="52">
        <v>-37</v>
      </c>
      <c r="F190" s="52">
        <v>0</v>
      </c>
      <c r="G190" s="52">
        <v>-58</v>
      </c>
    </row>
    <row r="191" spans="1:8" x14ac:dyDescent="0.2">
      <c r="A191" s="49">
        <v>5</v>
      </c>
      <c r="B191" s="53">
        <v>220300001</v>
      </c>
      <c r="C191" s="53">
        <v>203</v>
      </c>
      <c r="D191" s="52">
        <v>0</v>
      </c>
      <c r="E191" s="52">
        <v>140</v>
      </c>
      <c r="F191" s="52">
        <v>-9</v>
      </c>
      <c r="G191" s="52">
        <v>-34</v>
      </c>
      <c r="H191" s="1" t="s">
        <v>235</v>
      </c>
    </row>
    <row r="192" spans="1:8" x14ac:dyDescent="0.2">
      <c r="A192" s="49">
        <v>5</v>
      </c>
      <c r="B192" s="53">
        <v>220300002</v>
      </c>
      <c r="C192" s="53">
        <v>203</v>
      </c>
      <c r="D192" s="52">
        <v>0</v>
      </c>
      <c r="E192" s="52">
        <v>27</v>
      </c>
      <c r="F192" s="52">
        <v>-6</v>
      </c>
      <c r="G192" s="52">
        <v>-116</v>
      </c>
    </row>
    <row r="193" spans="1:8" x14ac:dyDescent="0.2">
      <c r="A193" s="49">
        <v>5</v>
      </c>
      <c r="B193" s="53">
        <v>220300003</v>
      </c>
      <c r="C193" s="53">
        <v>203</v>
      </c>
      <c r="D193" s="52">
        <v>0</v>
      </c>
      <c r="E193" s="52">
        <v>27</v>
      </c>
      <c r="F193" s="52">
        <v>-6</v>
      </c>
      <c r="G193" s="52">
        <v>-100</v>
      </c>
    </row>
    <row r="194" spans="1:8" x14ac:dyDescent="0.2">
      <c r="A194" s="49">
        <v>5</v>
      </c>
      <c r="B194" s="53">
        <v>220300004</v>
      </c>
      <c r="C194" s="53">
        <v>203</v>
      </c>
      <c r="D194" s="54">
        <v>0</v>
      </c>
      <c r="E194" s="52">
        <v>151</v>
      </c>
      <c r="F194" s="52">
        <v>-9</v>
      </c>
      <c r="G194" s="52">
        <v>-45</v>
      </c>
    </row>
    <row r="195" spans="1:8" x14ac:dyDescent="0.2">
      <c r="A195" s="49">
        <v>5</v>
      </c>
      <c r="B195" s="53">
        <v>220400001</v>
      </c>
      <c r="C195" s="53">
        <v>204</v>
      </c>
      <c r="D195" s="52">
        <v>0</v>
      </c>
      <c r="E195" s="52">
        <v>-30</v>
      </c>
      <c r="F195" s="52">
        <v>-6</v>
      </c>
      <c r="G195" s="52">
        <v>-105</v>
      </c>
      <c r="H195" s="1" t="s">
        <v>236</v>
      </c>
    </row>
    <row r="196" spans="1:8" x14ac:dyDescent="0.2">
      <c r="A196" s="49">
        <v>5</v>
      </c>
      <c r="B196" s="53">
        <v>220400002</v>
      </c>
      <c r="C196" s="53">
        <v>204</v>
      </c>
      <c r="D196" s="52">
        <v>0</v>
      </c>
      <c r="E196" s="52">
        <v>-29</v>
      </c>
      <c r="F196" s="52">
        <v>-6</v>
      </c>
      <c r="G196" s="52">
        <v>-94</v>
      </c>
    </row>
    <row r="197" spans="1:8" x14ac:dyDescent="0.2">
      <c r="A197" s="49">
        <v>5</v>
      </c>
      <c r="B197" s="53">
        <v>220400003</v>
      </c>
      <c r="C197" s="53">
        <v>204</v>
      </c>
      <c r="D197" s="52">
        <v>0</v>
      </c>
      <c r="E197" s="52">
        <v>-44</v>
      </c>
      <c r="F197" s="52">
        <v>-6</v>
      </c>
      <c r="G197" s="52">
        <v>-95</v>
      </c>
    </row>
    <row r="198" spans="1:8" x14ac:dyDescent="0.2">
      <c r="A198" s="49">
        <v>5</v>
      </c>
      <c r="B198" s="53">
        <v>220400004</v>
      </c>
      <c r="C198" s="53">
        <v>204</v>
      </c>
      <c r="D198" s="52">
        <v>0</v>
      </c>
      <c r="E198" s="52">
        <v>-45</v>
      </c>
      <c r="F198" s="52">
        <v>-6</v>
      </c>
      <c r="G198" s="52">
        <v>-105</v>
      </c>
    </row>
    <row r="199" spans="1:8" x14ac:dyDescent="0.2">
      <c r="A199" s="49">
        <v>5</v>
      </c>
      <c r="B199" s="53">
        <v>220500001</v>
      </c>
      <c r="C199" s="53">
        <v>205</v>
      </c>
      <c r="D199" s="52">
        <v>0</v>
      </c>
      <c r="E199" s="52">
        <v>-110</v>
      </c>
      <c r="F199" s="52">
        <v>0</v>
      </c>
      <c r="G199" s="52">
        <v>-20</v>
      </c>
      <c r="H199" s="1" t="s">
        <v>237</v>
      </c>
    </row>
    <row r="200" spans="1:8" x14ac:dyDescent="0.2">
      <c r="A200" s="49">
        <v>5</v>
      </c>
      <c r="B200" s="53">
        <v>220500002</v>
      </c>
      <c r="C200" s="53">
        <v>205</v>
      </c>
      <c r="D200" s="52">
        <v>0</v>
      </c>
      <c r="E200" s="52">
        <v>-120</v>
      </c>
      <c r="F200" s="52">
        <v>0</v>
      </c>
      <c r="G200" s="52">
        <v>-26</v>
      </c>
    </row>
    <row r="201" spans="1:8" x14ac:dyDescent="0.2">
      <c r="A201" s="49">
        <v>5</v>
      </c>
      <c r="B201" s="53">
        <v>220500003</v>
      </c>
      <c r="C201" s="53">
        <v>205</v>
      </c>
      <c r="D201" s="52">
        <v>0</v>
      </c>
      <c r="E201" s="52">
        <v>-98</v>
      </c>
      <c r="F201" s="52">
        <v>0</v>
      </c>
      <c r="G201" s="52">
        <v>-17</v>
      </c>
    </row>
    <row r="202" spans="1:8" x14ac:dyDescent="0.2">
      <c r="A202" s="49">
        <v>5</v>
      </c>
      <c r="B202" s="53">
        <v>220500004</v>
      </c>
      <c r="C202" s="53">
        <v>205</v>
      </c>
      <c r="D202" s="52">
        <v>0</v>
      </c>
      <c r="E202" s="52">
        <v>-106</v>
      </c>
      <c r="F202" s="52">
        <v>0</v>
      </c>
      <c r="G202" s="52">
        <v>-33</v>
      </c>
    </row>
    <row r="203" spans="1:8" x14ac:dyDescent="0.2">
      <c r="A203" s="49">
        <v>5</v>
      </c>
      <c r="B203" s="53">
        <v>220600001</v>
      </c>
      <c r="C203" s="53">
        <v>206</v>
      </c>
      <c r="D203" s="52">
        <v>0</v>
      </c>
      <c r="E203" s="52">
        <v>66</v>
      </c>
      <c r="F203" s="52">
        <v>0</v>
      </c>
      <c r="G203" s="52">
        <v>42</v>
      </c>
      <c r="H203" s="1" t="s">
        <v>238</v>
      </c>
    </row>
    <row r="204" spans="1:8" x14ac:dyDescent="0.2">
      <c r="A204" s="49">
        <v>5</v>
      </c>
      <c r="B204" s="53">
        <v>220700001</v>
      </c>
      <c r="C204" s="53">
        <v>207</v>
      </c>
      <c r="D204" s="52">
        <v>0</v>
      </c>
      <c r="E204" s="52">
        <v>149</v>
      </c>
      <c r="F204" s="52">
        <v>-9</v>
      </c>
      <c r="G204" s="52">
        <v>-57</v>
      </c>
      <c r="H204" s="1" t="s">
        <v>239</v>
      </c>
    </row>
    <row r="205" spans="1:8" x14ac:dyDescent="0.2">
      <c r="A205" s="49">
        <v>5</v>
      </c>
      <c r="B205" s="53">
        <v>220700002</v>
      </c>
      <c r="C205" s="53">
        <v>207</v>
      </c>
      <c r="D205" s="52">
        <v>0</v>
      </c>
      <c r="E205" s="52">
        <v>137</v>
      </c>
      <c r="F205" s="52">
        <v>-9</v>
      </c>
      <c r="G205" s="52">
        <v>-45</v>
      </c>
    </row>
    <row r="206" spans="1:8" x14ac:dyDescent="0.2">
      <c r="A206" s="49">
        <v>5</v>
      </c>
      <c r="B206" s="53">
        <v>220700003</v>
      </c>
      <c r="C206" s="53">
        <v>207</v>
      </c>
      <c r="D206" s="52">
        <v>0</v>
      </c>
      <c r="E206" s="52">
        <v>136</v>
      </c>
      <c r="F206" s="52">
        <v>-9</v>
      </c>
      <c r="G206" s="52">
        <v>-57</v>
      </c>
    </row>
    <row r="207" spans="1:8" x14ac:dyDescent="0.2">
      <c r="A207" s="49">
        <v>5</v>
      </c>
      <c r="B207" s="53">
        <v>220700004</v>
      </c>
      <c r="C207" s="53">
        <v>207</v>
      </c>
      <c r="D207" s="52">
        <v>0</v>
      </c>
      <c r="E207" s="52">
        <v>149</v>
      </c>
      <c r="F207" s="52">
        <v>-9</v>
      </c>
      <c r="G207" s="52">
        <v>-32</v>
      </c>
    </row>
    <row r="208" spans="1:8" x14ac:dyDescent="0.2">
      <c r="A208" s="49">
        <v>5</v>
      </c>
      <c r="B208" s="53">
        <v>220700005</v>
      </c>
      <c r="C208" s="53">
        <v>207</v>
      </c>
      <c r="D208" s="52">
        <v>0</v>
      </c>
      <c r="E208" s="52">
        <v>52</v>
      </c>
      <c r="F208" s="52">
        <v>-6</v>
      </c>
      <c r="G208" s="52">
        <v>-102</v>
      </c>
    </row>
    <row r="209" spans="1:8" x14ac:dyDescent="0.2">
      <c r="A209" s="49">
        <v>5</v>
      </c>
      <c r="B209" s="53">
        <v>220700006</v>
      </c>
      <c r="C209" s="53">
        <v>207</v>
      </c>
      <c r="D209" s="52">
        <v>0</v>
      </c>
      <c r="E209" s="52">
        <v>161</v>
      </c>
      <c r="F209" s="52">
        <v>-9</v>
      </c>
      <c r="G209" s="52">
        <v>-32</v>
      </c>
    </row>
    <row r="210" spans="1:8" x14ac:dyDescent="0.2">
      <c r="A210" s="49">
        <v>5</v>
      </c>
      <c r="B210" s="53">
        <v>220700007</v>
      </c>
      <c r="C210" s="53">
        <v>207</v>
      </c>
      <c r="D210" s="52">
        <v>0</v>
      </c>
      <c r="E210" s="52">
        <v>149</v>
      </c>
      <c r="F210" s="52">
        <v>-9</v>
      </c>
      <c r="G210" s="52">
        <v>-69</v>
      </c>
    </row>
    <row r="211" spans="1:8" x14ac:dyDescent="0.2">
      <c r="A211" s="49">
        <v>5</v>
      </c>
      <c r="B211" s="53">
        <v>220700008</v>
      </c>
      <c r="C211" s="53">
        <v>207</v>
      </c>
      <c r="D211" s="52">
        <v>0</v>
      </c>
      <c r="E211" s="52">
        <v>38</v>
      </c>
      <c r="F211" s="52">
        <v>-6</v>
      </c>
      <c r="G211" s="52">
        <v>-114</v>
      </c>
    </row>
    <row r="212" spans="1:8" x14ac:dyDescent="0.2">
      <c r="A212" s="49">
        <v>5</v>
      </c>
      <c r="B212" s="53">
        <v>220700009</v>
      </c>
      <c r="C212" s="53">
        <v>207</v>
      </c>
      <c r="D212" s="52">
        <v>0</v>
      </c>
      <c r="E212" s="52">
        <v>162</v>
      </c>
      <c r="F212" s="52">
        <v>-9</v>
      </c>
      <c r="G212" s="52">
        <v>-59</v>
      </c>
    </row>
    <row r="213" spans="1:8" x14ac:dyDescent="0.2">
      <c r="A213" s="49">
        <v>5</v>
      </c>
      <c r="B213" s="53">
        <v>220700010</v>
      </c>
      <c r="C213" s="53">
        <v>207</v>
      </c>
      <c r="D213" s="52">
        <v>0</v>
      </c>
      <c r="E213" s="52">
        <v>162</v>
      </c>
      <c r="F213" s="52">
        <v>-9</v>
      </c>
      <c r="G213" s="52">
        <v>-45</v>
      </c>
    </row>
    <row r="214" spans="1:8" x14ac:dyDescent="0.2">
      <c r="A214" s="49">
        <v>5</v>
      </c>
      <c r="B214" s="53">
        <v>220700011</v>
      </c>
      <c r="C214" s="53">
        <v>207</v>
      </c>
      <c r="D214" s="52">
        <v>0</v>
      </c>
      <c r="E214" s="52">
        <v>136</v>
      </c>
      <c r="F214" s="52">
        <v>-9</v>
      </c>
      <c r="G214" s="52">
        <v>-69</v>
      </c>
    </row>
    <row r="215" spans="1:8" x14ac:dyDescent="0.2">
      <c r="A215" s="49">
        <v>5</v>
      </c>
      <c r="B215" s="53">
        <v>220700012</v>
      </c>
      <c r="C215" s="53">
        <v>207</v>
      </c>
      <c r="D215" s="52">
        <v>0</v>
      </c>
      <c r="E215" s="52">
        <v>39</v>
      </c>
      <c r="F215" s="52">
        <v>-6</v>
      </c>
      <c r="G215" s="52">
        <v>-102</v>
      </c>
    </row>
    <row r="216" spans="1:8" x14ac:dyDescent="0.2">
      <c r="A216" s="49">
        <v>5</v>
      </c>
      <c r="B216" s="53">
        <v>220700013</v>
      </c>
      <c r="C216" s="53">
        <v>207</v>
      </c>
      <c r="D216" s="52">
        <v>0</v>
      </c>
      <c r="E216" s="52">
        <v>128</v>
      </c>
      <c r="F216" s="52">
        <v>-9</v>
      </c>
      <c r="G216" s="52">
        <v>-82</v>
      </c>
    </row>
    <row r="217" spans="1:8" x14ac:dyDescent="0.2">
      <c r="A217" s="49">
        <v>5</v>
      </c>
      <c r="B217" s="53">
        <v>220700014</v>
      </c>
      <c r="C217" s="53">
        <v>207</v>
      </c>
      <c r="D217" s="52">
        <v>0</v>
      </c>
      <c r="E217" s="52">
        <v>140</v>
      </c>
      <c r="F217" s="52">
        <v>-9</v>
      </c>
      <c r="G217" s="52">
        <v>-82</v>
      </c>
    </row>
    <row r="218" spans="1:8" x14ac:dyDescent="0.2">
      <c r="A218" s="49">
        <v>5</v>
      </c>
      <c r="B218" s="53">
        <v>220700015</v>
      </c>
      <c r="C218" s="53">
        <v>207</v>
      </c>
      <c r="D218" s="52">
        <v>0</v>
      </c>
      <c r="E218" s="52">
        <v>152</v>
      </c>
      <c r="F218" s="52">
        <v>-9</v>
      </c>
      <c r="G218" s="52">
        <v>-82</v>
      </c>
    </row>
    <row r="219" spans="1:8" x14ac:dyDescent="0.2">
      <c r="A219" s="49">
        <v>5</v>
      </c>
      <c r="B219" s="53">
        <v>220700016</v>
      </c>
      <c r="C219" s="53">
        <v>207</v>
      </c>
      <c r="D219" s="52">
        <v>0</v>
      </c>
      <c r="E219" s="52">
        <v>128</v>
      </c>
      <c r="F219" s="52">
        <v>-9</v>
      </c>
      <c r="G219" s="52">
        <v>-94</v>
      </c>
    </row>
    <row r="220" spans="1:8" x14ac:dyDescent="0.2">
      <c r="A220" s="49">
        <v>5</v>
      </c>
      <c r="B220" s="53">
        <v>220800001</v>
      </c>
      <c r="C220" s="53">
        <v>208</v>
      </c>
      <c r="D220" s="52">
        <v>0</v>
      </c>
      <c r="E220" s="52">
        <v>-69</v>
      </c>
      <c r="F220" s="52">
        <v>13</v>
      </c>
      <c r="G220" s="52">
        <v>78</v>
      </c>
      <c r="H220" s="1" t="s">
        <v>240</v>
      </c>
    </row>
    <row r="221" spans="1:8" x14ac:dyDescent="0.2">
      <c r="A221" s="49">
        <v>5</v>
      </c>
      <c r="B221" s="53">
        <v>220900001</v>
      </c>
      <c r="C221" s="53">
        <v>209</v>
      </c>
      <c r="D221" s="52">
        <v>0</v>
      </c>
      <c r="E221" s="52">
        <v>42</v>
      </c>
      <c r="F221" s="1">
        <v>0</v>
      </c>
      <c r="G221" s="1">
        <v>18</v>
      </c>
      <c r="H221" s="1" t="s">
        <v>241</v>
      </c>
    </row>
    <row r="222" spans="1:8" x14ac:dyDescent="0.2">
      <c r="A222" s="50">
        <v>5</v>
      </c>
      <c r="B222" s="35">
        <v>221100001</v>
      </c>
      <c r="C222" s="35">
        <v>211</v>
      </c>
      <c r="D222" s="35">
        <v>0</v>
      </c>
      <c r="E222" s="35">
        <v>27</v>
      </c>
      <c r="F222" s="35">
        <v>0</v>
      </c>
      <c r="G222" s="35">
        <v>-37</v>
      </c>
      <c r="H222" s="1" t="s">
        <v>242</v>
      </c>
    </row>
    <row r="223" spans="1:8" x14ac:dyDescent="0.2">
      <c r="A223" s="1">
        <v>5</v>
      </c>
      <c r="B223" s="1">
        <v>221200001</v>
      </c>
      <c r="C223" s="1">
        <v>212</v>
      </c>
      <c r="D223" s="1">
        <v>0</v>
      </c>
      <c r="E223" s="1">
        <v>129</v>
      </c>
      <c r="F223" s="1">
        <v>-4.5999999999999996</v>
      </c>
      <c r="G223" s="1">
        <v>52</v>
      </c>
      <c r="H223" s="1" t="s">
        <v>243</v>
      </c>
    </row>
    <row r="224" spans="1:8" x14ac:dyDescent="0.2">
      <c r="A224" s="1">
        <v>5</v>
      </c>
      <c r="B224" s="1">
        <v>221300001</v>
      </c>
      <c r="C224" s="1">
        <v>213</v>
      </c>
      <c r="D224" s="1">
        <v>0</v>
      </c>
      <c r="E224" s="1">
        <v>16</v>
      </c>
      <c r="F224" s="1">
        <v>-18.5</v>
      </c>
      <c r="G224" s="1">
        <v>130</v>
      </c>
      <c r="H224" s="1" t="s">
        <v>244</v>
      </c>
    </row>
    <row r="225" spans="1:8" x14ac:dyDescent="0.2">
      <c r="A225" s="1">
        <v>5</v>
      </c>
      <c r="B225" s="1">
        <v>221500001</v>
      </c>
      <c r="C225" s="1">
        <v>215</v>
      </c>
      <c r="D225" s="1">
        <v>0</v>
      </c>
      <c r="E225" s="1">
        <v>90</v>
      </c>
      <c r="F225" s="1">
        <v>0</v>
      </c>
      <c r="G225" s="1">
        <v>1</v>
      </c>
      <c r="H225" s="1" t="s">
        <v>245</v>
      </c>
    </row>
    <row r="226" spans="1:8" x14ac:dyDescent="0.2">
      <c r="A226" s="1">
        <v>5</v>
      </c>
      <c r="B226" s="1">
        <v>222200001</v>
      </c>
      <c r="C226" s="1">
        <v>222</v>
      </c>
      <c r="D226" s="1">
        <v>0</v>
      </c>
      <c r="E226" s="1">
        <v>48</v>
      </c>
      <c r="F226" s="1">
        <v>0</v>
      </c>
      <c r="G226" s="1">
        <v>-17</v>
      </c>
      <c r="H226" s="1" t="s">
        <v>246</v>
      </c>
    </row>
    <row r="227" spans="1:8" x14ac:dyDescent="0.2">
      <c r="A227" s="1">
        <v>5</v>
      </c>
      <c r="B227" s="1">
        <v>222400001</v>
      </c>
      <c r="C227" s="1">
        <v>224</v>
      </c>
      <c r="D227" s="1">
        <v>0</v>
      </c>
      <c r="E227" s="1">
        <v>66</v>
      </c>
      <c r="F227" s="1">
        <v>0</v>
      </c>
      <c r="G227" s="1">
        <v>18</v>
      </c>
      <c r="H227" s="1" t="s">
        <v>247</v>
      </c>
    </row>
    <row r="228" spans="1:8" x14ac:dyDescent="0.2">
      <c r="A228" s="1">
        <v>5</v>
      </c>
      <c r="B228" s="1">
        <v>222600001</v>
      </c>
      <c r="C228" s="1">
        <v>226</v>
      </c>
      <c r="D228" s="1">
        <v>0</v>
      </c>
      <c r="E228" s="1">
        <v>-28</v>
      </c>
      <c r="F228" s="1">
        <v>3</v>
      </c>
      <c r="G228" s="1">
        <v>69</v>
      </c>
      <c r="H228" s="1" t="s">
        <v>248</v>
      </c>
    </row>
    <row r="229" spans="1:8" x14ac:dyDescent="0.2">
      <c r="A229" s="1">
        <v>5</v>
      </c>
      <c r="B229" s="1">
        <v>222700001</v>
      </c>
      <c r="C229" s="1">
        <v>227</v>
      </c>
      <c r="D229" s="1">
        <v>0</v>
      </c>
      <c r="E229" s="1">
        <v>176</v>
      </c>
      <c r="F229" s="1">
        <v>-9</v>
      </c>
      <c r="G229" s="1">
        <v>-27</v>
      </c>
      <c r="H229" s="1" t="s">
        <v>249</v>
      </c>
    </row>
    <row r="230" spans="1:8" x14ac:dyDescent="0.2">
      <c r="A230" s="1">
        <v>5</v>
      </c>
      <c r="B230" s="1">
        <v>222700002</v>
      </c>
      <c r="C230" s="1">
        <v>227</v>
      </c>
      <c r="D230" s="1">
        <v>0</v>
      </c>
      <c r="E230" s="1">
        <v>165</v>
      </c>
      <c r="F230" s="1">
        <v>-9</v>
      </c>
      <c r="G230" s="1">
        <v>13</v>
      </c>
    </row>
    <row r="231" spans="1:8" x14ac:dyDescent="0.2">
      <c r="A231" s="1">
        <v>5</v>
      </c>
      <c r="B231" s="1">
        <v>222900001</v>
      </c>
      <c r="C231" s="1">
        <v>229</v>
      </c>
      <c r="D231" s="1">
        <v>0</v>
      </c>
      <c r="E231" s="1">
        <v>45</v>
      </c>
      <c r="F231" s="1">
        <v>0</v>
      </c>
      <c r="G231" s="1">
        <v>66</v>
      </c>
      <c r="H231" s="1" t="s">
        <v>296</v>
      </c>
    </row>
    <row r="232" spans="1:8" x14ac:dyDescent="0.2">
      <c r="A232" s="1">
        <v>5</v>
      </c>
      <c r="B232" s="1">
        <v>223000001</v>
      </c>
      <c r="C232" s="1">
        <v>230</v>
      </c>
      <c r="D232" s="1">
        <v>0</v>
      </c>
      <c r="E232" s="1">
        <v>33</v>
      </c>
      <c r="F232" s="1">
        <v>0</v>
      </c>
      <c r="G232" s="1">
        <v>-16</v>
      </c>
      <c r="H232" s="1" t="s">
        <v>250</v>
      </c>
    </row>
    <row r="233" spans="1:8" x14ac:dyDescent="0.2">
      <c r="A233" s="1">
        <v>5</v>
      </c>
      <c r="B233" s="1">
        <v>223100001</v>
      </c>
      <c r="C233" s="1">
        <v>231</v>
      </c>
      <c r="D233" s="1">
        <v>0</v>
      </c>
      <c r="E233" s="1">
        <v>-10</v>
      </c>
      <c r="F233" s="1">
        <v>0</v>
      </c>
      <c r="G233" s="1">
        <v>-37</v>
      </c>
      <c r="H233" s="1" t="s">
        <v>251</v>
      </c>
    </row>
    <row r="234" spans="1:8" x14ac:dyDescent="0.2">
      <c r="A234" s="1">
        <v>5</v>
      </c>
      <c r="B234" s="1">
        <v>223200001</v>
      </c>
      <c r="C234" s="1">
        <v>232</v>
      </c>
      <c r="D234" s="1">
        <v>0</v>
      </c>
      <c r="E234" s="1">
        <v>42</v>
      </c>
      <c r="F234" s="1">
        <v>0</v>
      </c>
      <c r="G234" s="1">
        <v>39</v>
      </c>
      <c r="H234" s="1" t="s">
        <v>252</v>
      </c>
    </row>
    <row r="235" spans="1:8" x14ac:dyDescent="0.2">
      <c r="A235" s="1">
        <v>5</v>
      </c>
      <c r="B235" s="1">
        <v>223400001</v>
      </c>
      <c r="C235" s="1">
        <v>234</v>
      </c>
      <c r="D235" s="1">
        <v>0</v>
      </c>
      <c r="E235" s="1">
        <v>-116</v>
      </c>
      <c r="F235" s="1">
        <v>0</v>
      </c>
      <c r="G235" s="1">
        <v>-41</v>
      </c>
      <c r="H235" s="1" t="s">
        <v>297</v>
      </c>
    </row>
    <row r="236" spans="1:8" x14ac:dyDescent="0.2">
      <c r="A236" s="1">
        <v>5</v>
      </c>
      <c r="B236" s="1">
        <v>223400002</v>
      </c>
      <c r="C236" s="1">
        <v>234</v>
      </c>
      <c r="D236" s="1">
        <v>0</v>
      </c>
      <c r="E236" s="1">
        <v>-105</v>
      </c>
      <c r="F236" s="1">
        <v>0</v>
      </c>
      <c r="G236" s="1">
        <v>-50</v>
      </c>
    </row>
    <row r="237" spans="1:8" x14ac:dyDescent="0.2">
      <c r="A237" s="1">
        <v>5</v>
      </c>
      <c r="B237" s="1">
        <v>223400003</v>
      </c>
      <c r="C237" s="1">
        <v>234</v>
      </c>
      <c r="D237" s="1">
        <v>0</v>
      </c>
      <c r="E237" s="1">
        <v>-87</v>
      </c>
      <c r="F237" s="1">
        <v>0</v>
      </c>
      <c r="G237" s="1">
        <v>-51</v>
      </c>
    </row>
    <row r="238" spans="1:8" x14ac:dyDescent="0.2">
      <c r="A238" s="1">
        <v>5</v>
      </c>
      <c r="B238" s="1">
        <v>223400004</v>
      </c>
      <c r="C238" s="1">
        <v>234</v>
      </c>
      <c r="D238" s="1">
        <v>0</v>
      </c>
      <c r="E238" s="1">
        <v>-84</v>
      </c>
      <c r="F238" s="1">
        <v>0</v>
      </c>
      <c r="G238" s="1">
        <v>-39</v>
      </c>
    </row>
    <row r="239" spans="1:8" x14ac:dyDescent="0.2">
      <c r="A239" s="1">
        <v>5</v>
      </c>
      <c r="B239" s="1">
        <v>223500001</v>
      </c>
      <c r="C239" s="1">
        <v>235</v>
      </c>
      <c r="D239" s="1">
        <v>0</v>
      </c>
      <c r="E239" s="1">
        <v>-57</v>
      </c>
      <c r="F239" s="1">
        <v>5</v>
      </c>
      <c r="G239" s="1">
        <v>6</v>
      </c>
      <c r="H239" s="1" t="s">
        <v>253</v>
      </c>
    </row>
    <row r="240" spans="1:8" x14ac:dyDescent="0.2">
      <c r="A240" s="1">
        <v>5</v>
      </c>
      <c r="B240" s="1">
        <v>223600001</v>
      </c>
      <c r="C240" s="1">
        <v>236</v>
      </c>
      <c r="D240" s="1">
        <v>0</v>
      </c>
      <c r="E240" s="1">
        <v>-35</v>
      </c>
      <c r="F240" s="1">
        <v>5</v>
      </c>
      <c r="G240" s="1">
        <v>6</v>
      </c>
      <c r="H240" s="1" t="s">
        <v>254</v>
      </c>
    </row>
    <row r="241" spans="1:8" x14ac:dyDescent="0.2">
      <c r="A241" s="1">
        <v>5</v>
      </c>
      <c r="B241" s="1">
        <v>223700001</v>
      </c>
      <c r="C241" s="1">
        <v>237</v>
      </c>
      <c r="D241" s="1">
        <v>0</v>
      </c>
      <c r="E241" s="1">
        <v>70</v>
      </c>
      <c r="F241" s="1">
        <v>0</v>
      </c>
      <c r="G241" s="1">
        <v>-44</v>
      </c>
      <c r="H241" s="1" t="s">
        <v>255</v>
      </c>
    </row>
    <row r="242" spans="1:8" x14ac:dyDescent="0.2">
      <c r="A242" s="1">
        <v>5</v>
      </c>
      <c r="B242" s="1">
        <v>230000001</v>
      </c>
      <c r="C242" s="1">
        <v>300</v>
      </c>
      <c r="D242" s="1">
        <v>0</v>
      </c>
      <c r="E242" s="1">
        <v>130</v>
      </c>
      <c r="F242" s="1">
        <v>-9</v>
      </c>
      <c r="G242" s="1">
        <v>66</v>
      </c>
      <c r="H242" s="1" t="s">
        <v>256</v>
      </c>
    </row>
    <row r="243" spans="1:8" x14ac:dyDescent="0.2">
      <c r="A243" s="1">
        <v>5</v>
      </c>
      <c r="B243" s="1">
        <v>240000001</v>
      </c>
      <c r="C243" s="1">
        <v>400</v>
      </c>
      <c r="D243" s="1">
        <v>0</v>
      </c>
      <c r="E243" s="1">
        <v>-18</v>
      </c>
      <c r="F243" s="1">
        <v>0</v>
      </c>
      <c r="G243" s="1">
        <v>-61</v>
      </c>
      <c r="H243" s="1" t="s">
        <v>257</v>
      </c>
    </row>
    <row r="244" spans="1:8" x14ac:dyDescent="0.2">
      <c r="A244" s="1">
        <v>5</v>
      </c>
      <c r="B244" s="1">
        <v>240400001</v>
      </c>
      <c r="C244" s="1">
        <v>404</v>
      </c>
      <c r="D244" s="1">
        <v>0</v>
      </c>
      <c r="E244" s="1">
        <v>214.97</v>
      </c>
      <c r="F244" s="1">
        <v>-4.2</v>
      </c>
      <c r="G244" s="1">
        <v>89.09</v>
      </c>
      <c r="H244" s="1" t="s">
        <v>258</v>
      </c>
    </row>
  </sheetData>
  <phoneticPr fontId="1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246"/>
  <sheetViews>
    <sheetView topLeftCell="A45" workbookViewId="0">
      <selection activeCell="I93" sqref="A1:O246"/>
    </sheetView>
  </sheetViews>
  <sheetFormatPr defaultColWidth="8.625" defaultRowHeight="14.25" x14ac:dyDescent="0.2"/>
  <cols>
    <col min="1" max="1" width="13" style="1" customWidth="1"/>
    <col min="2" max="2" width="11.125" style="1" customWidth="1"/>
    <col min="3" max="3" width="7.125" style="1" customWidth="1"/>
    <col min="4" max="4" width="10" style="1" customWidth="1"/>
    <col min="5" max="5" width="7.625" style="1" customWidth="1"/>
    <col min="6" max="6" width="13.875" style="1" customWidth="1"/>
    <col min="7" max="7" width="7.625" style="1" customWidth="1"/>
    <col min="8" max="9" width="13" style="1" customWidth="1"/>
    <col min="10" max="10" width="10.375" style="1" customWidth="1"/>
    <col min="11" max="61" width="13" style="1" customWidth="1"/>
    <col min="62" max="16384" width="8.625" style="4"/>
  </cols>
  <sheetData>
    <row r="1" spans="1:7" x14ac:dyDescent="0.2">
      <c r="A1" s="35" t="s">
        <v>337</v>
      </c>
    </row>
    <row r="2" spans="1:7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</row>
    <row r="3" spans="1:7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</row>
    <row r="4" spans="1:7" x14ac:dyDescent="0.2">
      <c r="A4" s="35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</row>
    <row r="5" spans="1:7" x14ac:dyDescent="0.2">
      <c r="A5" s="35">
        <v>1</v>
      </c>
      <c r="B5" s="35">
        <v>220200001</v>
      </c>
      <c r="C5" s="35">
        <v>202</v>
      </c>
      <c r="D5" s="35">
        <v>0</v>
      </c>
      <c r="E5" s="35">
        <v>54</v>
      </c>
      <c r="F5" s="35">
        <v>-0.47058867999999998</v>
      </c>
      <c r="G5" s="35">
        <v>-51</v>
      </c>
    </row>
    <row r="6" spans="1:7" x14ac:dyDescent="0.2">
      <c r="A6" s="35">
        <v>1</v>
      </c>
      <c r="B6" s="35">
        <v>220200002</v>
      </c>
      <c r="C6" s="35">
        <v>202</v>
      </c>
      <c r="D6" s="35">
        <v>0</v>
      </c>
      <c r="E6" s="35">
        <v>-30</v>
      </c>
      <c r="F6" s="35">
        <v>-0.47058867999999998</v>
      </c>
      <c r="G6" s="35">
        <v>-60</v>
      </c>
    </row>
    <row r="7" spans="1:7" x14ac:dyDescent="0.2">
      <c r="A7" s="35">
        <v>1</v>
      </c>
      <c r="B7" s="35">
        <v>220200003</v>
      </c>
      <c r="C7" s="35">
        <v>202</v>
      </c>
      <c r="D7" s="35">
        <v>0</v>
      </c>
      <c r="E7" s="35">
        <v>-36</v>
      </c>
      <c r="F7" s="35">
        <v>-0.47058867999999998</v>
      </c>
      <c r="G7" s="35">
        <v>-33</v>
      </c>
    </row>
    <row r="8" spans="1:7" x14ac:dyDescent="0.2">
      <c r="A8" s="35">
        <v>1</v>
      </c>
      <c r="B8" s="35">
        <v>220200004</v>
      </c>
      <c r="C8" s="35">
        <v>202</v>
      </c>
      <c r="D8" s="35">
        <v>0</v>
      </c>
      <c r="E8" s="35">
        <v>63</v>
      </c>
      <c r="F8" s="35">
        <v>-0.47058867999999998</v>
      </c>
      <c r="G8" s="35">
        <v>-18</v>
      </c>
    </row>
    <row r="9" spans="1:7" x14ac:dyDescent="0.2">
      <c r="A9" s="35">
        <v>1</v>
      </c>
      <c r="B9" s="35">
        <v>220200013</v>
      </c>
      <c r="C9" s="35">
        <v>202</v>
      </c>
      <c r="D9" s="35">
        <v>0</v>
      </c>
      <c r="E9" s="35">
        <v>-42</v>
      </c>
      <c r="F9" s="35">
        <v>-0.47058867999999998</v>
      </c>
      <c r="G9" s="35">
        <v>-57</v>
      </c>
    </row>
    <row r="10" spans="1:7" x14ac:dyDescent="0.2">
      <c r="A10" s="35">
        <v>1</v>
      </c>
      <c r="B10" s="35">
        <v>220200014</v>
      </c>
      <c r="C10" s="35">
        <v>202</v>
      </c>
      <c r="D10" s="35">
        <v>0</v>
      </c>
      <c r="E10" s="35">
        <v>66</v>
      </c>
      <c r="F10" s="35">
        <v>-0.47058867999999998</v>
      </c>
      <c r="G10" s="35">
        <v>-30</v>
      </c>
    </row>
    <row r="11" spans="1:7" x14ac:dyDescent="0.2">
      <c r="A11" s="35">
        <v>1</v>
      </c>
      <c r="B11" s="35">
        <v>220300001</v>
      </c>
      <c r="C11" s="35">
        <v>203</v>
      </c>
      <c r="D11" s="35">
        <v>0</v>
      </c>
      <c r="E11" s="35">
        <v>45</v>
      </c>
      <c r="F11" s="35">
        <v>-8.9653969999999994</v>
      </c>
      <c r="G11" s="35">
        <v>-117</v>
      </c>
    </row>
    <row r="12" spans="1:7" x14ac:dyDescent="0.2">
      <c r="A12" s="35">
        <v>1</v>
      </c>
      <c r="B12" s="35">
        <v>220300002</v>
      </c>
      <c r="C12" s="35">
        <v>203</v>
      </c>
      <c r="D12" s="35">
        <v>0</v>
      </c>
      <c r="E12" s="35">
        <v>-24</v>
      </c>
      <c r="F12" s="35">
        <v>-8.9653969999999994</v>
      </c>
      <c r="G12" s="35">
        <v>-111</v>
      </c>
    </row>
    <row r="13" spans="1:7" x14ac:dyDescent="0.2">
      <c r="A13" s="35">
        <v>1</v>
      </c>
      <c r="B13" s="35">
        <v>220300003</v>
      </c>
      <c r="C13" s="35">
        <v>203</v>
      </c>
      <c r="D13" s="35">
        <v>0</v>
      </c>
      <c r="E13" s="35">
        <v>117</v>
      </c>
      <c r="F13" s="35">
        <v>-9.1450980000000008</v>
      </c>
      <c r="G13" s="35">
        <v>-78</v>
      </c>
    </row>
    <row r="14" spans="1:7" x14ac:dyDescent="0.2">
      <c r="A14" s="35">
        <v>1</v>
      </c>
      <c r="B14" s="35">
        <v>220300004</v>
      </c>
      <c r="C14" s="35">
        <v>203</v>
      </c>
      <c r="D14" s="35">
        <v>0</v>
      </c>
      <c r="E14" s="35">
        <v>-12</v>
      </c>
      <c r="F14" s="35">
        <v>-0.47058867999999998</v>
      </c>
      <c r="G14" s="35">
        <v>-60</v>
      </c>
    </row>
    <row r="15" spans="1:7" x14ac:dyDescent="0.2">
      <c r="A15" s="35">
        <v>1</v>
      </c>
      <c r="B15" s="35">
        <v>220300005</v>
      </c>
      <c r="C15" s="35">
        <v>203</v>
      </c>
      <c r="D15" s="35">
        <v>0</v>
      </c>
      <c r="E15" s="35">
        <v>-90</v>
      </c>
      <c r="F15" s="35">
        <v>-0.47058867999999998</v>
      </c>
      <c r="G15" s="35">
        <v>-42</v>
      </c>
    </row>
    <row r="16" spans="1:7" x14ac:dyDescent="0.2">
      <c r="A16" s="35">
        <v>1</v>
      </c>
      <c r="B16" s="35">
        <v>220300006</v>
      </c>
      <c r="C16" s="35">
        <v>203</v>
      </c>
      <c r="D16" s="35">
        <v>0</v>
      </c>
      <c r="E16" s="35">
        <v>54</v>
      </c>
      <c r="F16" s="35">
        <v>-0.47058867999999998</v>
      </c>
      <c r="G16" s="35">
        <v>33</v>
      </c>
    </row>
    <row r="17" spans="1:11" x14ac:dyDescent="0.2">
      <c r="A17" s="35">
        <v>1</v>
      </c>
      <c r="B17" s="35">
        <v>220400001</v>
      </c>
      <c r="C17" s="35">
        <v>204</v>
      </c>
      <c r="D17" s="35">
        <v>0</v>
      </c>
      <c r="E17" s="35">
        <v>115.5</v>
      </c>
      <c r="F17" s="35">
        <v>-9.4549009999999996</v>
      </c>
      <c r="G17" s="35">
        <v>-100.5</v>
      </c>
    </row>
    <row r="18" spans="1:11" x14ac:dyDescent="0.2">
      <c r="A18" s="35">
        <v>1</v>
      </c>
      <c r="B18" s="35">
        <v>220400002</v>
      </c>
      <c r="C18" s="35">
        <v>204</v>
      </c>
      <c r="D18" s="35">
        <v>0</v>
      </c>
      <c r="E18" s="35">
        <v>118.5</v>
      </c>
      <c r="F18" s="35">
        <v>-9.1450980000000008</v>
      </c>
      <c r="G18" s="35">
        <v>-52.5</v>
      </c>
    </row>
    <row r="19" spans="1:11" x14ac:dyDescent="0.2">
      <c r="A19" s="35">
        <v>1</v>
      </c>
      <c r="B19" s="35">
        <v>220400003</v>
      </c>
      <c r="C19" s="35">
        <v>204</v>
      </c>
      <c r="D19" s="35">
        <v>0</v>
      </c>
      <c r="E19" s="35">
        <v>112.5</v>
      </c>
      <c r="F19" s="35">
        <v>-9.1450980000000008</v>
      </c>
      <c r="G19" s="35">
        <v>-31.5</v>
      </c>
    </row>
    <row r="20" spans="1:11" x14ac:dyDescent="0.2">
      <c r="A20" s="35">
        <v>1</v>
      </c>
      <c r="B20" s="35">
        <v>220400004</v>
      </c>
      <c r="C20" s="35">
        <v>204</v>
      </c>
      <c r="D20" s="35">
        <v>0</v>
      </c>
      <c r="E20" s="35">
        <v>-46.5</v>
      </c>
      <c r="F20" s="35">
        <v>-9.1450980000000008</v>
      </c>
      <c r="G20" s="35">
        <v>-106.5</v>
      </c>
    </row>
    <row r="21" spans="1:11" x14ac:dyDescent="0.2">
      <c r="A21" s="35">
        <v>1</v>
      </c>
      <c r="B21" s="35">
        <v>220400005</v>
      </c>
      <c r="C21" s="35">
        <v>204</v>
      </c>
      <c r="D21" s="35">
        <v>0</v>
      </c>
      <c r="E21" s="35">
        <v>55.5</v>
      </c>
      <c r="F21" s="35">
        <v>-9.4549009999999996</v>
      </c>
      <c r="G21" s="35">
        <v>-115.5</v>
      </c>
    </row>
    <row r="22" spans="1:11" x14ac:dyDescent="0.2">
      <c r="A22" s="35">
        <v>1</v>
      </c>
      <c r="B22" s="35">
        <v>220400006</v>
      </c>
      <c r="C22" s="35">
        <v>204</v>
      </c>
      <c r="D22" s="35">
        <v>0</v>
      </c>
      <c r="E22" s="35">
        <v>136.5</v>
      </c>
      <c r="F22" s="35">
        <v>-8.9653969999999994</v>
      </c>
      <c r="G22" s="35">
        <v>-43.5</v>
      </c>
    </row>
    <row r="23" spans="1:11" x14ac:dyDescent="0.2">
      <c r="A23" s="35">
        <v>1</v>
      </c>
      <c r="B23" s="35">
        <v>220500001</v>
      </c>
      <c r="C23" s="35">
        <v>205</v>
      </c>
      <c r="D23" s="35">
        <v>0</v>
      </c>
      <c r="E23" s="35">
        <v>-93</v>
      </c>
      <c r="F23" s="35">
        <v>-0.47058867999999998</v>
      </c>
      <c r="G23" s="35">
        <v>-18</v>
      </c>
    </row>
    <row r="24" spans="1:11" x14ac:dyDescent="0.2">
      <c r="A24" s="35">
        <v>1</v>
      </c>
      <c r="B24" s="35">
        <v>220500002</v>
      </c>
      <c r="C24" s="35">
        <v>205</v>
      </c>
      <c r="D24" s="35">
        <v>0</v>
      </c>
      <c r="E24" s="35">
        <v>-48</v>
      </c>
      <c r="F24" s="35">
        <v>-0.47058867999999998</v>
      </c>
      <c r="G24" s="35">
        <v>-45</v>
      </c>
    </row>
    <row r="25" spans="1:11" x14ac:dyDescent="0.2">
      <c r="A25" s="35">
        <v>1</v>
      </c>
      <c r="B25" s="35">
        <v>220500003</v>
      </c>
      <c r="C25" s="35">
        <v>205</v>
      </c>
      <c r="D25" s="35">
        <v>0</v>
      </c>
      <c r="E25" s="35">
        <v>-90</v>
      </c>
      <c r="F25" s="35">
        <v>-0.47058867999999998</v>
      </c>
      <c r="G25" s="35">
        <v>-63</v>
      </c>
    </row>
    <row r="26" spans="1:11" x14ac:dyDescent="0.2">
      <c r="A26" s="35">
        <v>1</v>
      </c>
      <c r="B26" s="35">
        <v>220500004</v>
      </c>
      <c r="C26" s="35">
        <v>205</v>
      </c>
      <c r="D26" s="35">
        <v>0</v>
      </c>
      <c r="E26" s="35">
        <v>39</v>
      </c>
      <c r="F26" s="35">
        <v>-0.47058867999999998</v>
      </c>
      <c r="G26" s="35">
        <v>-54</v>
      </c>
    </row>
    <row r="27" spans="1:11" x14ac:dyDescent="0.2">
      <c r="A27" s="35">
        <v>1</v>
      </c>
      <c r="B27" s="35">
        <v>220500005</v>
      </c>
      <c r="C27" s="35">
        <v>205</v>
      </c>
      <c r="D27" s="35">
        <v>0</v>
      </c>
      <c r="E27" s="35">
        <v>45</v>
      </c>
      <c r="F27" s="35">
        <v>-9.4549009999999996</v>
      </c>
      <c r="G27" s="35">
        <v>-102</v>
      </c>
    </row>
    <row r="28" spans="1:11" x14ac:dyDescent="0.2">
      <c r="A28" s="35">
        <v>1</v>
      </c>
      <c r="B28" s="35">
        <v>220500006</v>
      </c>
      <c r="C28" s="35">
        <v>205</v>
      </c>
      <c r="D28" s="35">
        <v>0</v>
      </c>
      <c r="E28" s="35">
        <v>93</v>
      </c>
      <c r="F28" s="35">
        <v>-9.4549009999999996</v>
      </c>
      <c r="G28" s="35">
        <v>-99</v>
      </c>
      <c r="K28" s="35" t="s">
        <v>338</v>
      </c>
    </row>
    <row r="29" spans="1:11" x14ac:dyDescent="0.2">
      <c r="A29" s="35">
        <v>1</v>
      </c>
      <c r="B29" s="35">
        <v>220600001</v>
      </c>
      <c r="C29" s="35">
        <v>206</v>
      </c>
      <c r="D29" s="35">
        <v>0</v>
      </c>
      <c r="E29" s="35">
        <v>42</v>
      </c>
      <c r="F29" s="35">
        <v>-0.47058867999999998</v>
      </c>
      <c r="G29" s="35">
        <v>18</v>
      </c>
      <c r="K29" s="35" t="s">
        <v>339</v>
      </c>
    </row>
    <row r="30" spans="1:11" x14ac:dyDescent="0.2">
      <c r="A30" s="35">
        <v>1</v>
      </c>
      <c r="B30" s="35">
        <v>220700001</v>
      </c>
      <c r="C30" s="35">
        <v>207</v>
      </c>
      <c r="D30" s="35">
        <v>0</v>
      </c>
      <c r="E30" s="35">
        <v>105</v>
      </c>
      <c r="F30" s="35">
        <v>-8.4549009999999996</v>
      </c>
      <c r="G30" s="35">
        <v>-87</v>
      </c>
    </row>
    <row r="31" spans="1:11" x14ac:dyDescent="0.2">
      <c r="A31" s="35">
        <v>1</v>
      </c>
      <c r="B31" s="35">
        <v>220800001</v>
      </c>
      <c r="C31" s="35">
        <v>208</v>
      </c>
      <c r="D31" s="35">
        <v>0</v>
      </c>
      <c r="E31" s="17">
        <v>-72</v>
      </c>
      <c r="F31" s="17">
        <v>15.5</v>
      </c>
      <c r="G31" s="17">
        <v>78</v>
      </c>
    </row>
    <row r="32" spans="1:11" x14ac:dyDescent="0.2">
      <c r="A32" s="35">
        <v>1</v>
      </c>
      <c r="B32" s="35">
        <v>220900001</v>
      </c>
      <c r="C32" s="35">
        <v>209</v>
      </c>
      <c r="D32" s="35">
        <v>0</v>
      </c>
      <c r="E32" s="35">
        <v>36</v>
      </c>
      <c r="F32" s="35">
        <v>7.3199459999999999E-3</v>
      </c>
      <c r="G32" s="35">
        <v>48</v>
      </c>
    </row>
    <row r="33" spans="1:7" ht="16.5" customHeight="1" x14ac:dyDescent="0.3">
      <c r="A33" s="35">
        <v>1</v>
      </c>
      <c r="B33" s="35">
        <v>221200001</v>
      </c>
      <c r="C33" s="35">
        <v>212</v>
      </c>
      <c r="D33" s="35">
        <v>0</v>
      </c>
      <c r="E33" s="43">
        <v>39</v>
      </c>
      <c r="F33" s="43">
        <v>0</v>
      </c>
      <c r="G33" s="43">
        <v>0</v>
      </c>
    </row>
    <row r="34" spans="1:7" x14ac:dyDescent="0.2">
      <c r="A34" s="35">
        <v>1</v>
      </c>
      <c r="B34" s="35">
        <v>221300001</v>
      </c>
      <c r="C34" s="35">
        <v>213</v>
      </c>
      <c r="D34" s="35">
        <v>0</v>
      </c>
      <c r="E34" s="35">
        <v>16.5</v>
      </c>
      <c r="F34" s="35">
        <v>-18.48</v>
      </c>
      <c r="G34" s="35">
        <v>130.5</v>
      </c>
    </row>
    <row r="35" spans="1:7" x14ac:dyDescent="0.2">
      <c r="A35" s="35">
        <v>1</v>
      </c>
      <c r="B35" s="35">
        <v>221500001</v>
      </c>
      <c r="C35" s="35">
        <v>215</v>
      </c>
      <c r="D35" s="35">
        <v>0</v>
      </c>
      <c r="E35" s="35">
        <v>91</v>
      </c>
      <c r="F35" s="35">
        <v>0</v>
      </c>
      <c r="G35" s="35">
        <v>1</v>
      </c>
    </row>
    <row r="36" spans="1:7" x14ac:dyDescent="0.2">
      <c r="A36" s="35">
        <v>1</v>
      </c>
      <c r="B36" s="35">
        <v>222200001</v>
      </c>
      <c r="C36" s="35">
        <v>222</v>
      </c>
      <c r="D36" s="35">
        <v>0</v>
      </c>
      <c r="E36" s="35">
        <v>-36</v>
      </c>
      <c r="F36" s="35">
        <v>-0.47058867999999998</v>
      </c>
      <c r="G36" s="35">
        <v>-45</v>
      </c>
    </row>
    <row r="37" spans="1:7" x14ac:dyDescent="0.2">
      <c r="A37" s="35">
        <v>1</v>
      </c>
      <c r="B37" s="35">
        <v>222400001</v>
      </c>
      <c r="C37" s="35">
        <v>224</v>
      </c>
      <c r="D37" s="35">
        <v>0</v>
      </c>
      <c r="E37" s="35">
        <v>69</v>
      </c>
      <c r="F37" s="35">
        <v>-0.47058867999999998</v>
      </c>
      <c r="G37" s="35">
        <v>15</v>
      </c>
    </row>
    <row r="38" spans="1:7" x14ac:dyDescent="0.2">
      <c r="A38" s="35">
        <v>1</v>
      </c>
      <c r="B38" s="35">
        <v>222600001</v>
      </c>
      <c r="C38" s="35">
        <v>226</v>
      </c>
      <c r="D38" s="35">
        <v>0</v>
      </c>
      <c r="E38" s="35">
        <v>-21</v>
      </c>
      <c r="F38" s="35">
        <v>3</v>
      </c>
      <c r="G38" s="35">
        <v>69</v>
      </c>
    </row>
    <row r="39" spans="1:7" x14ac:dyDescent="0.2">
      <c r="A39" s="35">
        <v>1</v>
      </c>
      <c r="B39" s="35">
        <v>222700001</v>
      </c>
      <c r="C39" s="35">
        <v>227</v>
      </c>
      <c r="D39" s="35">
        <v>0</v>
      </c>
      <c r="E39" s="35">
        <v>155</v>
      </c>
      <c r="F39" s="35">
        <v>-8.9</v>
      </c>
      <c r="G39" s="35">
        <v>-40</v>
      </c>
    </row>
    <row r="40" spans="1:7" x14ac:dyDescent="0.2">
      <c r="A40" s="35">
        <v>1</v>
      </c>
      <c r="B40" s="35">
        <v>222700002</v>
      </c>
      <c r="C40" s="35">
        <v>227</v>
      </c>
      <c r="D40" s="35">
        <v>0</v>
      </c>
      <c r="E40" s="35">
        <v>155</v>
      </c>
      <c r="F40" s="35">
        <v>-8.9</v>
      </c>
      <c r="G40" s="35">
        <v>25</v>
      </c>
    </row>
    <row r="41" spans="1:7" x14ac:dyDescent="0.2">
      <c r="A41" s="35">
        <v>1</v>
      </c>
      <c r="B41" s="35">
        <v>222900001</v>
      </c>
      <c r="C41" s="35">
        <v>229</v>
      </c>
      <c r="D41" s="35">
        <v>0</v>
      </c>
      <c r="E41" s="35">
        <v>48</v>
      </c>
      <c r="F41" s="35">
        <v>-0.47058867999999998</v>
      </c>
      <c r="G41" s="35">
        <v>-36</v>
      </c>
    </row>
    <row r="42" spans="1:7" x14ac:dyDescent="0.2">
      <c r="A42" s="35">
        <v>1</v>
      </c>
      <c r="B42" s="35">
        <v>223000001</v>
      </c>
      <c r="C42" s="35">
        <v>230</v>
      </c>
      <c r="D42" s="35">
        <v>0</v>
      </c>
      <c r="E42" s="35">
        <v>33</v>
      </c>
      <c r="F42" s="35">
        <v>-0.47058867999999998</v>
      </c>
      <c r="G42" s="35">
        <v>-18</v>
      </c>
    </row>
    <row r="43" spans="1:7" x14ac:dyDescent="0.2">
      <c r="A43" s="35">
        <v>1</v>
      </c>
      <c r="B43" s="35">
        <v>223100001</v>
      </c>
      <c r="C43" s="35">
        <v>231</v>
      </c>
      <c r="D43" s="35">
        <v>0</v>
      </c>
      <c r="E43" s="35">
        <v>-9</v>
      </c>
      <c r="F43" s="35">
        <v>-0.47058867999999998</v>
      </c>
      <c r="G43" s="35">
        <v>-36</v>
      </c>
    </row>
    <row r="44" spans="1:7" x14ac:dyDescent="0.2">
      <c r="A44" s="35">
        <v>1</v>
      </c>
      <c r="B44" s="35">
        <v>223200001</v>
      </c>
      <c r="C44" s="35">
        <v>232</v>
      </c>
      <c r="D44" s="35">
        <v>0</v>
      </c>
      <c r="E44" s="35">
        <v>69</v>
      </c>
      <c r="F44" s="35">
        <v>-0.47058867999999998</v>
      </c>
      <c r="G44" s="35">
        <v>48</v>
      </c>
    </row>
    <row r="45" spans="1:7" x14ac:dyDescent="0.2">
      <c r="A45" s="35">
        <v>1</v>
      </c>
      <c r="B45" s="35">
        <v>223400001</v>
      </c>
      <c r="C45" s="35">
        <v>234</v>
      </c>
      <c r="D45" s="35">
        <v>0</v>
      </c>
      <c r="E45" s="35">
        <v>-94.5</v>
      </c>
      <c r="F45" s="35">
        <v>-0.47058867999999998</v>
      </c>
      <c r="G45" s="35">
        <v>-52.5</v>
      </c>
    </row>
    <row r="46" spans="1:7" x14ac:dyDescent="0.2">
      <c r="A46" s="35">
        <v>1</v>
      </c>
      <c r="B46" s="35">
        <v>223400002</v>
      </c>
      <c r="C46" s="35">
        <v>234</v>
      </c>
      <c r="D46" s="35">
        <v>0</v>
      </c>
      <c r="E46" s="35">
        <v>127.5</v>
      </c>
      <c r="F46" s="35">
        <v>-9.4549009999999996</v>
      </c>
      <c r="G46" s="35">
        <v>-100.5</v>
      </c>
    </row>
    <row r="47" spans="1:7" x14ac:dyDescent="0.2">
      <c r="A47" s="35">
        <v>1</v>
      </c>
      <c r="B47" s="35">
        <v>223400003</v>
      </c>
      <c r="C47" s="35">
        <v>234</v>
      </c>
      <c r="D47" s="35">
        <v>0</v>
      </c>
      <c r="E47" s="35">
        <v>-97.5</v>
      </c>
      <c r="F47" s="35">
        <v>-0.47058867999999998</v>
      </c>
      <c r="G47" s="35">
        <v>-28.5</v>
      </c>
    </row>
    <row r="48" spans="1:7" x14ac:dyDescent="0.2">
      <c r="A48" s="35">
        <v>1</v>
      </c>
      <c r="B48" s="35">
        <v>223400004</v>
      </c>
      <c r="C48" s="35">
        <v>234</v>
      </c>
      <c r="D48" s="35">
        <v>0</v>
      </c>
      <c r="E48" s="35">
        <v>-88.5</v>
      </c>
      <c r="F48" s="35">
        <v>-0.47058867999999998</v>
      </c>
      <c r="G48" s="35">
        <v>-31.5</v>
      </c>
    </row>
    <row r="49" spans="1:10" x14ac:dyDescent="0.2">
      <c r="A49" s="35">
        <v>1</v>
      </c>
      <c r="B49" s="35">
        <v>223400005</v>
      </c>
      <c r="C49" s="35">
        <v>234</v>
      </c>
      <c r="D49" s="35">
        <v>0</v>
      </c>
      <c r="E49" s="35">
        <v>-100.5</v>
      </c>
      <c r="F49" s="35">
        <v>-0.47058867999999998</v>
      </c>
      <c r="G49" s="35">
        <v>-67.5</v>
      </c>
    </row>
    <row r="50" spans="1:10" x14ac:dyDescent="0.2">
      <c r="A50" s="35">
        <v>1</v>
      </c>
      <c r="B50" s="35">
        <v>223400006</v>
      </c>
      <c r="C50" s="35">
        <v>234</v>
      </c>
      <c r="D50" s="35">
        <v>0</v>
      </c>
      <c r="E50" s="35">
        <v>-46.5</v>
      </c>
      <c r="F50" s="35">
        <v>-9.1450980000000008</v>
      </c>
      <c r="G50" s="35">
        <v>-115.5</v>
      </c>
    </row>
    <row r="51" spans="1:10" x14ac:dyDescent="0.2">
      <c r="A51" s="35">
        <v>1</v>
      </c>
      <c r="B51" s="35">
        <v>223500001</v>
      </c>
      <c r="C51" s="35">
        <v>235</v>
      </c>
      <c r="D51" s="35">
        <v>0</v>
      </c>
      <c r="E51" s="35">
        <v>-53</v>
      </c>
      <c r="F51" s="35">
        <v>5</v>
      </c>
      <c r="G51" s="35">
        <v>6</v>
      </c>
    </row>
    <row r="52" spans="1:10" x14ac:dyDescent="0.2">
      <c r="A52" s="35">
        <v>1</v>
      </c>
      <c r="B52" s="35">
        <v>223600001</v>
      </c>
      <c r="C52" s="35">
        <v>236</v>
      </c>
      <c r="D52" s="35">
        <v>0</v>
      </c>
      <c r="E52" s="35">
        <v>-35</v>
      </c>
      <c r="F52" s="35">
        <v>5</v>
      </c>
      <c r="G52" s="35">
        <v>6</v>
      </c>
    </row>
    <row r="53" spans="1:10" x14ac:dyDescent="0.2">
      <c r="A53" s="35">
        <v>1</v>
      </c>
      <c r="B53" s="35">
        <v>223700001</v>
      </c>
      <c r="C53" s="35">
        <v>237</v>
      </c>
      <c r="D53" s="35">
        <v>0</v>
      </c>
      <c r="E53" s="35">
        <v>66</v>
      </c>
      <c r="F53" s="35">
        <v>-0.47058867999999998</v>
      </c>
      <c r="G53" s="35">
        <v>-42</v>
      </c>
    </row>
    <row r="54" spans="1:10" x14ac:dyDescent="0.2">
      <c r="A54" s="35">
        <v>1</v>
      </c>
      <c r="B54" s="35">
        <v>4040001</v>
      </c>
      <c r="C54" s="35">
        <v>404</v>
      </c>
      <c r="D54" s="35">
        <v>0</v>
      </c>
      <c r="E54" s="35">
        <v>198.7</v>
      </c>
      <c r="F54" s="35">
        <v>0</v>
      </c>
      <c r="G54" s="35">
        <v>69.430000000000007</v>
      </c>
    </row>
    <row r="55" spans="1:10" x14ac:dyDescent="0.2">
      <c r="A55" s="44">
        <v>2</v>
      </c>
      <c r="B55" s="44">
        <v>220100001</v>
      </c>
      <c r="C55" s="44">
        <v>201</v>
      </c>
      <c r="D55" s="44">
        <v>0</v>
      </c>
      <c r="E55" s="44">
        <v>0</v>
      </c>
      <c r="F55" s="35">
        <v>0</v>
      </c>
      <c r="G55" s="35">
        <v>0</v>
      </c>
      <c r="H55" s="1" t="s">
        <v>233</v>
      </c>
    </row>
    <row r="56" spans="1:10" x14ac:dyDescent="0.2">
      <c r="A56" s="35">
        <v>2</v>
      </c>
      <c r="B56" s="35">
        <v>220200001</v>
      </c>
      <c r="C56" s="35">
        <v>202</v>
      </c>
      <c r="D56" s="35">
        <v>0</v>
      </c>
      <c r="E56" s="35">
        <v>-37</v>
      </c>
      <c r="F56" s="35">
        <v>0</v>
      </c>
      <c r="G56" s="35">
        <v>-28</v>
      </c>
      <c r="H56" s="1" t="s">
        <v>234</v>
      </c>
    </row>
    <row r="57" spans="1:10" x14ac:dyDescent="0.2">
      <c r="A57" s="35">
        <v>2</v>
      </c>
      <c r="B57" s="35">
        <v>220200002</v>
      </c>
      <c r="C57" s="35">
        <v>202</v>
      </c>
      <c r="D57" s="35">
        <v>0</v>
      </c>
      <c r="E57" s="35">
        <v>-50</v>
      </c>
      <c r="F57" s="45">
        <v>0</v>
      </c>
      <c r="G57" s="45">
        <v>-38</v>
      </c>
    </row>
    <row r="58" spans="1:10" x14ac:dyDescent="0.2">
      <c r="A58" s="35">
        <v>2</v>
      </c>
      <c r="B58" s="35">
        <v>220200003</v>
      </c>
      <c r="C58" s="35">
        <v>202</v>
      </c>
      <c r="D58" s="35">
        <v>0</v>
      </c>
      <c r="E58" s="45">
        <v>-37</v>
      </c>
      <c r="F58" s="45">
        <v>0</v>
      </c>
      <c r="G58" s="45">
        <v>-44</v>
      </c>
    </row>
    <row r="59" spans="1:10" x14ac:dyDescent="0.2">
      <c r="A59" s="35">
        <v>2</v>
      </c>
      <c r="B59" s="35">
        <v>220200004</v>
      </c>
      <c r="C59" s="35">
        <v>202</v>
      </c>
      <c r="D59" s="35">
        <v>0</v>
      </c>
      <c r="E59" s="45">
        <v>-37</v>
      </c>
      <c r="F59" s="35">
        <v>0</v>
      </c>
      <c r="G59" s="35">
        <v>-58</v>
      </c>
    </row>
    <row r="60" spans="1:10" x14ac:dyDescent="0.2">
      <c r="A60" s="35">
        <v>2</v>
      </c>
      <c r="B60" s="35">
        <v>220300001</v>
      </c>
      <c r="C60" s="35">
        <v>203</v>
      </c>
      <c r="D60" s="35">
        <v>0</v>
      </c>
      <c r="E60" s="35">
        <v>127</v>
      </c>
      <c r="F60" s="35">
        <v>-9</v>
      </c>
      <c r="G60" s="35">
        <v>-42</v>
      </c>
      <c r="H60" s="1" t="s">
        <v>235</v>
      </c>
    </row>
    <row r="61" spans="1:10" x14ac:dyDescent="0.2">
      <c r="A61" s="35">
        <v>2</v>
      </c>
      <c r="B61" s="35">
        <v>220300002</v>
      </c>
      <c r="C61" s="35">
        <v>203</v>
      </c>
      <c r="D61" s="35">
        <v>0</v>
      </c>
      <c r="E61" s="35">
        <v>120</v>
      </c>
      <c r="F61" s="35">
        <v>-9</v>
      </c>
      <c r="G61" s="35">
        <v>-79</v>
      </c>
    </row>
    <row r="62" spans="1:10" x14ac:dyDescent="0.2">
      <c r="A62" s="35">
        <v>2</v>
      </c>
      <c r="B62" s="35">
        <v>220400001</v>
      </c>
      <c r="C62" s="35">
        <v>204</v>
      </c>
      <c r="D62" s="35">
        <v>0</v>
      </c>
      <c r="E62" s="35">
        <v>57</v>
      </c>
      <c r="F62" s="35">
        <v>-9</v>
      </c>
      <c r="G62" s="35">
        <v>-105</v>
      </c>
      <c r="H62" s="1" t="s">
        <v>236</v>
      </c>
    </row>
    <row r="63" spans="1:10" x14ac:dyDescent="0.2">
      <c r="A63" s="35">
        <v>2</v>
      </c>
      <c r="B63" s="35">
        <v>220400002</v>
      </c>
      <c r="C63" s="35">
        <v>204</v>
      </c>
      <c r="D63" s="35">
        <v>0</v>
      </c>
      <c r="E63" s="35">
        <v>44</v>
      </c>
      <c r="F63" s="35">
        <v>-9</v>
      </c>
      <c r="G63" s="35">
        <v>-104</v>
      </c>
      <c r="J63" s="17"/>
    </row>
    <row r="64" spans="1:10" x14ac:dyDescent="0.2">
      <c r="A64" s="35">
        <v>2</v>
      </c>
      <c r="B64" s="35">
        <v>220500001</v>
      </c>
      <c r="C64" s="35">
        <v>205</v>
      </c>
      <c r="D64" s="35">
        <v>0</v>
      </c>
      <c r="E64" s="35">
        <v>-101</v>
      </c>
      <c r="F64" s="35">
        <v>0</v>
      </c>
      <c r="G64" s="35">
        <v>-29</v>
      </c>
      <c r="H64" s="1" t="s">
        <v>237</v>
      </c>
    </row>
    <row r="65" spans="1:8" x14ac:dyDescent="0.2">
      <c r="A65" s="35">
        <v>2</v>
      </c>
      <c r="B65" s="35">
        <v>220500002</v>
      </c>
      <c r="C65" s="35">
        <v>205</v>
      </c>
      <c r="D65" s="35">
        <v>0</v>
      </c>
      <c r="E65" s="35">
        <v>-101</v>
      </c>
      <c r="F65" s="35">
        <v>0</v>
      </c>
      <c r="G65" s="35">
        <v>-15</v>
      </c>
    </row>
    <row r="66" spans="1:8" x14ac:dyDescent="0.2">
      <c r="A66" s="35">
        <v>2</v>
      </c>
      <c r="B66" s="35">
        <v>220600001</v>
      </c>
      <c r="C66" s="35">
        <v>206</v>
      </c>
      <c r="D66" s="35">
        <v>0</v>
      </c>
      <c r="E66" s="35">
        <v>48</v>
      </c>
      <c r="F66" s="35">
        <v>0</v>
      </c>
      <c r="G66" s="35">
        <v>48</v>
      </c>
      <c r="H66" s="1" t="s">
        <v>238</v>
      </c>
    </row>
    <row r="67" spans="1:8" x14ac:dyDescent="0.2">
      <c r="A67" s="35">
        <v>2</v>
      </c>
      <c r="B67" s="35">
        <v>220700001</v>
      </c>
      <c r="C67" s="35">
        <v>207</v>
      </c>
      <c r="D67" s="35">
        <v>0</v>
      </c>
      <c r="E67" s="35">
        <v>83</v>
      </c>
      <c r="F67" s="35">
        <v>-9</v>
      </c>
      <c r="G67" s="35">
        <v>-93</v>
      </c>
      <c r="H67" s="1" t="s">
        <v>239</v>
      </c>
    </row>
    <row r="68" spans="1:8" x14ac:dyDescent="0.2">
      <c r="A68" s="35">
        <v>2</v>
      </c>
      <c r="B68" s="35">
        <v>220700002</v>
      </c>
      <c r="C68" s="35">
        <v>207</v>
      </c>
      <c r="D68" s="35">
        <v>0</v>
      </c>
      <c r="E68" s="35">
        <v>115</v>
      </c>
      <c r="F68" s="35">
        <v>-9</v>
      </c>
      <c r="G68" s="35">
        <v>-42</v>
      </c>
    </row>
    <row r="69" spans="1:8" x14ac:dyDescent="0.2">
      <c r="A69" s="35">
        <v>2</v>
      </c>
      <c r="B69" s="35">
        <v>220700003</v>
      </c>
      <c r="C69" s="35">
        <v>207</v>
      </c>
      <c r="D69" s="35">
        <v>0</v>
      </c>
      <c r="E69" s="35">
        <v>128</v>
      </c>
      <c r="F69" s="35">
        <v>-9</v>
      </c>
      <c r="G69" s="35">
        <v>-54</v>
      </c>
    </row>
    <row r="70" spans="1:8" x14ac:dyDescent="0.2">
      <c r="A70" s="35">
        <v>2</v>
      </c>
      <c r="B70" s="35">
        <v>220700004</v>
      </c>
      <c r="C70" s="35">
        <v>207</v>
      </c>
      <c r="D70" s="35">
        <v>0</v>
      </c>
      <c r="E70" s="35">
        <v>116</v>
      </c>
      <c r="F70" s="35">
        <v>-9</v>
      </c>
      <c r="G70" s="35">
        <v>-66</v>
      </c>
    </row>
    <row r="71" spans="1:8" x14ac:dyDescent="0.2">
      <c r="A71" s="35">
        <v>2</v>
      </c>
      <c r="B71" s="35">
        <v>220800001</v>
      </c>
      <c r="C71" s="35">
        <v>208</v>
      </c>
      <c r="D71" s="35">
        <v>0</v>
      </c>
      <c r="E71" s="35">
        <v>-69</v>
      </c>
      <c r="F71" s="35">
        <v>13</v>
      </c>
      <c r="G71" s="35">
        <v>78</v>
      </c>
      <c r="H71" s="1" t="s">
        <v>240</v>
      </c>
    </row>
    <row r="72" spans="1:8" x14ac:dyDescent="0.2">
      <c r="A72" s="35">
        <v>2</v>
      </c>
      <c r="B72" s="35">
        <v>220900001</v>
      </c>
      <c r="C72" s="35">
        <v>209</v>
      </c>
      <c r="D72" s="35">
        <v>0</v>
      </c>
      <c r="E72" s="35">
        <v>45</v>
      </c>
      <c r="F72" s="35">
        <v>0</v>
      </c>
      <c r="G72" s="35">
        <v>18</v>
      </c>
      <c r="H72" s="1" t="s">
        <v>241</v>
      </c>
    </row>
    <row r="73" spans="1:8" x14ac:dyDescent="0.2">
      <c r="A73" s="35">
        <v>2</v>
      </c>
      <c r="B73" s="35">
        <v>221100001</v>
      </c>
      <c r="C73" s="35">
        <v>211</v>
      </c>
      <c r="D73" s="35">
        <v>0</v>
      </c>
      <c r="E73" s="35">
        <v>21</v>
      </c>
      <c r="F73" s="35">
        <v>0</v>
      </c>
      <c r="G73" s="35">
        <v>-38</v>
      </c>
      <c r="H73" s="1" t="s">
        <v>242</v>
      </c>
    </row>
    <row r="74" spans="1:8" x14ac:dyDescent="0.2">
      <c r="A74" s="35">
        <v>2</v>
      </c>
      <c r="B74" s="35">
        <v>221200001</v>
      </c>
      <c r="C74" s="35">
        <v>212</v>
      </c>
      <c r="D74" s="35">
        <v>0</v>
      </c>
      <c r="E74" s="35">
        <v>129</v>
      </c>
      <c r="F74" s="35">
        <v>-4.5999999999999996</v>
      </c>
      <c r="G74" s="35">
        <v>52</v>
      </c>
      <c r="H74" s="1" t="s">
        <v>243</v>
      </c>
    </row>
    <row r="75" spans="1:8" x14ac:dyDescent="0.2">
      <c r="A75" s="35">
        <v>2</v>
      </c>
      <c r="B75" s="35">
        <v>221300001</v>
      </c>
      <c r="C75" s="35">
        <v>213</v>
      </c>
      <c r="D75" s="35">
        <v>0</v>
      </c>
      <c r="E75" s="35">
        <v>16</v>
      </c>
      <c r="F75" s="35">
        <v>-18.5</v>
      </c>
      <c r="G75" s="35">
        <v>130</v>
      </c>
      <c r="H75" s="1" t="s">
        <v>244</v>
      </c>
    </row>
    <row r="76" spans="1:8" x14ac:dyDescent="0.2">
      <c r="A76" s="35">
        <v>2</v>
      </c>
      <c r="B76" s="35">
        <v>221500001</v>
      </c>
      <c r="C76" s="35">
        <v>215</v>
      </c>
      <c r="D76" s="35">
        <v>0</v>
      </c>
      <c r="E76" s="35">
        <v>90</v>
      </c>
      <c r="F76" s="35">
        <v>0</v>
      </c>
      <c r="G76" s="35">
        <v>1</v>
      </c>
      <c r="H76" s="1" t="s">
        <v>245</v>
      </c>
    </row>
    <row r="77" spans="1:8" x14ac:dyDescent="0.2">
      <c r="A77" s="35">
        <v>2</v>
      </c>
      <c r="B77" s="35">
        <v>222200001</v>
      </c>
      <c r="C77" s="35">
        <v>222</v>
      </c>
      <c r="D77" s="35">
        <v>0</v>
      </c>
      <c r="E77" s="35">
        <v>48</v>
      </c>
      <c r="F77" s="35">
        <v>0</v>
      </c>
      <c r="G77" s="35">
        <v>-17</v>
      </c>
      <c r="H77" s="1" t="s">
        <v>246</v>
      </c>
    </row>
    <row r="78" spans="1:8" x14ac:dyDescent="0.2">
      <c r="A78" s="35">
        <v>2</v>
      </c>
      <c r="B78" s="35">
        <v>222400001</v>
      </c>
      <c r="C78" s="35">
        <v>224</v>
      </c>
      <c r="D78" s="35">
        <v>0</v>
      </c>
      <c r="E78" s="35">
        <v>69</v>
      </c>
      <c r="F78" s="35">
        <v>0</v>
      </c>
      <c r="G78" s="35">
        <v>18</v>
      </c>
      <c r="H78" s="1" t="s">
        <v>247</v>
      </c>
    </row>
    <row r="79" spans="1:8" x14ac:dyDescent="0.2">
      <c r="A79" s="35">
        <v>2</v>
      </c>
      <c r="B79" s="35">
        <v>222600001</v>
      </c>
      <c r="C79" s="35">
        <v>226</v>
      </c>
      <c r="D79" s="35">
        <v>0</v>
      </c>
      <c r="E79" s="35">
        <v>-7</v>
      </c>
      <c r="F79" s="35">
        <v>3</v>
      </c>
      <c r="G79" s="35">
        <v>66</v>
      </c>
      <c r="H79" s="1" t="s">
        <v>248</v>
      </c>
    </row>
    <row r="80" spans="1:8" x14ac:dyDescent="0.2">
      <c r="A80" s="35">
        <v>2</v>
      </c>
      <c r="B80" s="35">
        <v>222700001</v>
      </c>
      <c r="C80" s="35">
        <v>227</v>
      </c>
      <c r="D80" s="35">
        <v>0</v>
      </c>
      <c r="E80" s="35">
        <v>135</v>
      </c>
      <c r="F80" s="35">
        <v>-9</v>
      </c>
      <c r="G80" s="35">
        <v>-12</v>
      </c>
      <c r="H80" s="1" t="s">
        <v>249</v>
      </c>
    </row>
    <row r="81" spans="1:8" x14ac:dyDescent="0.2">
      <c r="A81" s="35">
        <v>2</v>
      </c>
      <c r="B81" s="35">
        <v>222700002</v>
      </c>
      <c r="C81" s="35">
        <v>227</v>
      </c>
      <c r="D81" s="35">
        <v>0</v>
      </c>
      <c r="E81" s="35">
        <v>136</v>
      </c>
      <c r="F81" s="35">
        <v>-8.56</v>
      </c>
      <c r="G81" s="35">
        <v>16</v>
      </c>
    </row>
    <row r="82" spans="1:8" x14ac:dyDescent="0.2">
      <c r="A82" s="35">
        <v>2</v>
      </c>
      <c r="B82" s="35">
        <v>223000001</v>
      </c>
      <c r="C82" s="35">
        <v>230</v>
      </c>
      <c r="D82" s="35">
        <v>0</v>
      </c>
      <c r="E82" s="35">
        <v>30</v>
      </c>
      <c r="F82" s="35">
        <v>0</v>
      </c>
      <c r="G82" s="35">
        <v>-17</v>
      </c>
      <c r="H82" s="1" t="s">
        <v>250</v>
      </c>
    </row>
    <row r="83" spans="1:8" x14ac:dyDescent="0.2">
      <c r="A83" s="35">
        <v>2</v>
      </c>
      <c r="B83" s="35">
        <v>223100001</v>
      </c>
      <c r="C83" s="35">
        <v>231</v>
      </c>
      <c r="D83" s="35">
        <v>0</v>
      </c>
      <c r="E83" s="35">
        <v>-13</v>
      </c>
      <c r="F83" s="35">
        <v>0</v>
      </c>
      <c r="G83" s="35">
        <v>-40</v>
      </c>
      <c r="H83" s="1" t="s">
        <v>251</v>
      </c>
    </row>
    <row r="84" spans="1:8" x14ac:dyDescent="0.2">
      <c r="A84" s="35">
        <v>2</v>
      </c>
      <c r="B84" s="35">
        <v>223200001</v>
      </c>
      <c r="C84" s="35">
        <v>232</v>
      </c>
      <c r="D84" s="35">
        <v>0</v>
      </c>
      <c r="E84" s="35">
        <v>72</v>
      </c>
      <c r="F84" s="44">
        <v>0</v>
      </c>
      <c r="G84" s="44">
        <v>48</v>
      </c>
      <c r="H84" s="44" t="s">
        <v>252</v>
      </c>
    </row>
    <row r="85" spans="1:8" x14ac:dyDescent="0.2">
      <c r="A85" s="35">
        <v>2</v>
      </c>
      <c r="B85" s="35">
        <v>223500001</v>
      </c>
      <c r="C85" s="35">
        <v>235</v>
      </c>
      <c r="D85" s="35">
        <v>0</v>
      </c>
      <c r="E85" s="35">
        <v>-57</v>
      </c>
      <c r="F85" s="35">
        <v>5</v>
      </c>
      <c r="G85" s="35">
        <v>6</v>
      </c>
      <c r="H85" s="1" t="s">
        <v>253</v>
      </c>
    </row>
    <row r="86" spans="1:8" x14ac:dyDescent="0.2">
      <c r="A86" s="44">
        <v>2</v>
      </c>
      <c r="B86" s="44">
        <v>223600001</v>
      </c>
      <c r="C86" s="44">
        <v>236</v>
      </c>
      <c r="D86" s="44">
        <v>0</v>
      </c>
      <c r="E86" s="44">
        <v>-35</v>
      </c>
      <c r="F86" s="35">
        <v>5</v>
      </c>
      <c r="G86" s="35">
        <v>6</v>
      </c>
      <c r="H86" s="1" t="s">
        <v>254</v>
      </c>
    </row>
    <row r="87" spans="1:8" x14ac:dyDescent="0.2">
      <c r="A87" s="35">
        <v>2</v>
      </c>
      <c r="B87" s="35">
        <v>223700001</v>
      </c>
      <c r="C87" s="35">
        <v>237</v>
      </c>
      <c r="D87" s="35">
        <v>0</v>
      </c>
      <c r="E87" s="35">
        <v>63</v>
      </c>
      <c r="F87" s="35">
        <v>0</v>
      </c>
      <c r="G87" s="35">
        <v>-41</v>
      </c>
      <c r="H87" s="1" t="s">
        <v>255</v>
      </c>
    </row>
    <row r="88" spans="1:8" x14ac:dyDescent="0.2">
      <c r="A88" s="35">
        <v>2</v>
      </c>
      <c r="B88" s="35">
        <v>230000001</v>
      </c>
      <c r="C88" s="35">
        <v>300</v>
      </c>
      <c r="D88" s="35">
        <v>0</v>
      </c>
      <c r="E88" s="35">
        <v>80</v>
      </c>
      <c r="F88" s="45">
        <v>-9</v>
      </c>
      <c r="G88" s="45">
        <v>107</v>
      </c>
      <c r="H88" s="1" t="s">
        <v>256</v>
      </c>
    </row>
    <row r="89" spans="1:8" x14ac:dyDescent="0.2">
      <c r="A89" s="35">
        <v>2</v>
      </c>
      <c r="B89" s="35">
        <v>240000001</v>
      </c>
      <c r="C89" s="35">
        <v>400</v>
      </c>
      <c r="D89" s="35">
        <v>0</v>
      </c>
      <c r="E89" s="45">
        <v>-18</v>
      </c>
      <c r="F89" s="45">
        <v>0</v>
      </c>
      <c r="G89" s="45">
        <v>-62</v>
      </c>
      <c r="H89" s="1" t="s">
        <v>257</v>
      </c>
    </row>
    <row r="90" spans="1:8" x14ac:dyDescent="0.2">
      <c r="A90" s="35">
        <v>2</v>
      </c>
      <c r="B90" s="35">
        <v>240400001</v>
      </c>
      <c r="C90" s="35">
        <v>404</v>
      </c>
      <c r="D90" s="35">
        <v>0</v>
      </c>
      <c r="E90" s="45">
        <v>214.97</v>
      </c>
      <c r="F90" s="35">
        <v>-4.2</v>
      </c>
      <c r="G90" s="35">
        <v>89.09</v>
      </c>
      <c r="H90" s="1" t="s">
        <v>258</v>
      </c>
    </row>
    <row r="91" spans="1:8" x14ac:dyDescent="0.2">
      <c r="A91" s="35">
        <v>3</v>
      </c>
      <c r="B91" s="35">
        <v>220100001</v>
      </c>
      <c r="C91" s="35">
        <v>201</v>
      </c>
      <c r="D91" s="35">
        <v>0</v>
      </c>
      <c r="E91" s="35">
        <v>0</v>
      </c>
      <c r="F91" s="35">
        <v>0</v>
      </c>
      <c r="G91" s="35">
        <v>0</v>
      </c>
      <c r="H91" s="1" t="s">
        <v>233</v>
      </c>
    </row>
    <row r="92" spans="1:8" x14ac:dyDescent="0.2">
      <c r="A92" s="35">
        <v>3</v>
      </c>
      <c r="B92" s="35">
        <v>220200001</v>
      </c>
      <c r="C92" s="35">
        <v>202</v>
      </c>
      <c r="D92" s="35">
        <v>0</v>
      </c>
      <c r="E92" s="35">
        <v>-37</v>
      </c>
      <c r="F92" s="35">
        <v>0</v>
      </c>
      <c r="G92" s="35">
        <v>-28</v>
      </c>
      <c r="H92" s="1" t="s">
        <v>234</v>
      </c>
    </row>
    <row r="93" spans="1:8" x14ac:dyDescent="0.2">
      <c r="A93" s="35">
        <v>3</v>
      </c>
      <c r="B93" s="35">
        <v>220200002</v>
      </c>
      <c r="C93" s="35">
        <v>202</v>
      </c>
      <c r="D93" s="35">
        <v>0</v>
      </c>
      <c r="E93" s="35">
        <v>-50</v>
      </c>
      <c r="F93" s="35">
        <v>0</v>
      </c>
      <c r="G93" s="35">
        <v>-38</v>
      </c>
    </row>
    <row r="94" spans="1:8" x14ac:dyDescent="0.2">
      <c r="A94" s="35">
        <v>3</v>
      </c>
      <c r="B94" s="35">
        <v>220200003</v>
      </c>
      <c r="C94" s="35">
        <v>202</v>
      </c>
      <c r="D94" s="35">
        <v>0</v>
      </c>
      <c r="E94" s="35">
        <v>-37</v>
      </c>
      <c r="F94" s="35">
        <v>0</v>
      </c>
      <c r="G94" s="35">
        <v>-44</v>
      </c>
    </row>
    <row r="95" spans="1:8" x14ac:dyDescent="0.2">
      <c r="A95" s="35">
        <v>3</v>
      </c>
      <c r="B95" s="35">
        <v>220200004</v>
      </c>
      <c r="C95" s="35">
        <v>202</v>
      </c>
      <c r="D95" s="35">
        <v>0</v>
      </c>
      <c r="E95" s="35">
        <v>-37</v>
      </c>
      <c r="F95" s="35">
        <v>0</v>
      </c>
      <c r="G95" s="35">
        <v>-58</v>
      </c>
    </row>
    <row r="96" spans="1:8" x14ac:dyDescent="0.2">
      <c r="A96" s="35">
        <v>3</v>
      </c>
      <c r="B96" s="35">
        <v>220300001</v>
      </c>
      <c r="C96" s="35">
        <v>203</v>
      </c>
      <c r="D96" s="35">
        <v>0</v>
      </c>
      <c r="E96" s="35">
        <v>127</v>
      </c>
      <c r="F96" s="35">
        <v>-9</v>
      </c>
      <c r="G96" s="35">
        <v>-42</v>
      </c>
      <c r="H96" s="1" t="s">
        <v>235</v>
      </c>
    </row>
    <row r="97" spans="1:8" x14ac:dyDescent="0.2">
      <c r="A97" s="35">
        <v>3</v>
      </c>
      <c r="B97" s="35">
        <v>220300002</v>
      </c>
      <c r="C97" s="35">
        <v>203</v>
      </c>
      <c r="D97" s="35">
        <v>0</v>
      </c>
      <c r="E97" s="35">
        <v>120</v>
      </c>
      <c r="F97" s="35">
        <v>-9</v>
      </c>
      <c r="G97" s="35">
        <v>-79</v>
      </c>
    </row>
    <row r="98" spans="1:8" x14ac:dyDescent="0.2">
      <c r="A98" s="35">
        <v>3</v>
      </c>
      <c r="B98" s="35">
        <v>220300003</v>
      </c>
      <c r="C98" s="35">
        <v>203</v>
      </c>
      <c r="D98" s="35">
        <v>0</v>
      </c>
      <c r="E98" s="35">
        <v>95</v>
      </c>
      <c r="F98" s="35">
        <v>-9</v>
      </c>
      <c r="G98" s="35">
        <v>-83</v>
      </c>
    </row>
    <row r="99" spans="1:8" x14ac:dyDescent="0.2">
      <c r="A99" s="35">
        <v>3</v>
      </c>
      <c r="B99" s="35">
        <v>220400001</v>
      </c>
      <c r="C99" s="35">
        <v>204</v>
      </c>
      <c r="D99" s="35">
        <v>0</v>
      </c>
      <c r="E99" s="35">
        <v>57</v>
      </c>
      <c r="F99" s="35">
        <v>-9</v>
      </c>
      <c r="G99" s="35">
        <v>-105</v>
      </c>
      <c r="H99" s="1" t="s">
        <v>236</v>
      </c>
    </row>
    <row r="100" spans="1:8" x14ac:dyDescent="0.2">
      <c r="A100" s="35">
        <v>3</v>
      </c>
      <c r="B100" s="35">
        <v>220400002</v>
      </c>
      <c r="C100" s="35">
        <v>204</v>
      </c>
      <c r="D100" s="35">
        <v>0</v>
      </c>
      <c r="E100" s="35">
        <v>44</v>
      </c>
      <c r="F100" s="35">
        <v>-9</v>
      </c>
      <c r="G100" s="35">
        <v>-104</v>
      </c>
    </row>
    <row r="101" spans="1:8" x14ac:dyDescent="0.2">
      <c r="A101" s="35">
        <v>3</v>
      </c>
      <c r="B101" s="35">
        <v>220400003</v>
      </c>
      <c r="C101" s="35">
        <v>204</v>
      </c>
      <c r="D101" s="35">
        <v>0</v>
      </c>
      <c r="E101" s="35">
        <v>54</v>
      </c>
      <c r="F101" s="35">
        <v>-9</v>
      </c>
      <c r="G101" s="35">
        <v>-118</v>
      </c>
    </row>
    <row r="102" spans="1:8" x14ac:dyDescent="0.2">
      <c r="A102" s="35">
        <v>3</v>
      </c>
      <c r="B102" s="35">
        <v>220500001</v>
      </c>
      <c r="C102" s="35">
        <v>205</v>
      </c>
      <c r="D102" s="35">
        <v>0</v>
      </c>
      <c r="E102" s="35">
        <v>-101</v>
      </c>
      <c r="F102" s="35">
        <v>0</v>
      </c>
      <c r="G102" s="35">
        <v>-29</v>
      </c>
      <c r="H102" s="1" t="s">
        <v>237</v>
      </c>
    </row>
    <row r="103" spans="1:8" x14ac:dyDescent="0.2">
      <c r="A103" s="35">
        <v>3</v>
      </c>
      <c r="B103" s="35">
        <v>220500002</v>
      </c>
      <c r="C103" s="35">
        <v>205</v>
      </c>
      <c r="D103" s="35">
        <v>0</v>
      </c>
      <c r="E103" s="35">
        <v>-101</v>
      </c>
      <c r="F103" s="35">
        <v>0</v>
      </c>
      <c r="G103" s="35">
        <v>-15</v>
      </c>
    </row>
    <row r="104" spans="1:8" x14ac:dyDescent="0.2">
      <c r="A104" s="35">
        <v>3</v>
      </c>
      <c r="B104" s="35">
        <v>220600001</v>
      </c>
      <c r="C104" s="35">
        <v>206</v>
      </c>
      <c r="D104" s="35">
        <v>0</v>
      </c>
      <c r="E104" s="35">
        <v>48</v>
      </c>
      <c r="F104" s="35">
        <v>0</v>
      </c>
      <c r="G104" s="35">
        <v>48</v>
      </c>
      <c r="H104" s="1" t="s">
        <v>238</v>
      </c>
    </row>
    <row r="105" spans="1:8" x14ac:dyDescent="0.2">
      <c r="A105" s="35">
        <v>3</v>
      </c>
      <c r="B105" s="35">
        <v>220700001</v>
      </c>
      <c r="C105" s="35">
        <v>207</v>
      </c>
      <c r="D105" s="35">
        <v>0</v>
      </c>
      <c r="E105" s="35">
        <v>83</v>
      </c>
      <c r="F105" s="35">
        <v>-9</v>
      </c>
      <c r="G105" s="35">
        <v>-93</v>
      </c>
      <c r="H105" s="1" t="s">
        <v>239</v>
      </c>
    </row>
    <row r="106" spans="1:8" x14ac:dyDescent="0.2">
      <c r="A106" s="35">
        <v>3</v>
      </c>
      <c r="B106" s="35">
        <v>220700002</v>
      </c>
      <c r="C106" s="35">
        <v>207</v>
      </c>
      <c r="D106" s="35">
        <v>0</v>
      </c>
      <c r="E106" s="35">
        <v>115</v>
      </c>
      <c r="F106" s="35">
        <v>-9</v>
      </c>
      <c r="G106" s="35">
        <v>-42</v>
      </c>
    </row>
    <row r="107" spans="1:8" x14ac:dyDescent="0.2">
      <c r="A107" s="35">
        <v>3</v>
      </c>
      <c r="B107" s="35">
        <v>220700003</v>
      </c>
      <c r="C107" s="35">
        <v>207</v>
      </c>
      <c r="D107" s="35">
        <v>0</v>
      </c>
      <c r="E107" s="35">
        <v>128</v>
      </c>
      <c r="F107" s="35">
        <v>-9</v>
      </c>
      <c r="G107" s="35">
        <v>-54</v>
      </c>
    </row>
    <row r="108" spans="1:8" x14ac:dyDescent="0.2">
      <c r="A108" s="35">
        <v>3</v>
      </c>
      <c r="B108" s="35">
        <v>220700004</v>
      </c>
      <c r="C108" s="35">
        <v>207</v>
      </c>
      <c r="D108" s="35">
        <v>0</v>
      </c>
      <c r="E108" s="35">
        <v>116</v>
      </c>
      <c r="F108" s="35">
        <v>-9</v>
      </c>
      <c r="G108" s="35">
        <v>-66</v>
      </c>
    </row>
    <row r="109" spans="1:8" x14ac:dyDescent="0.2">
      <c r="A109" s="35">
        <v>3</v>
      </c>
      <c r="B109" s="35">
        <v>220700005</v>
      </c>
      <c r="C109" s="35">
        <v>207</v>
      </c>
      <c r="D109" s="35">
        <v>0</v>
      </c>
      <c r="E109" s="35">
        <v>95</v>
      </c>
      <c r="F109" s="35">
        <v>-9</v>
      </c>
      <c r="G109" s="35">
        <v>-96</v>
      </c>
    </row>
    <row r="110" spans="1:8" x14ac:dyDescent="0.2">
      <c r="A110" s="35">
        <v>3</v>
      </c>
      <c r="B110" s="35">
        <v>220700006</v>
      </c>
      <c r="C110" s="35">
        <v>207</v>
      </c>
      <c r="D110" s="35">
        <v>0</v>
      </c>
      <c r="E110" s="35">
        <v>119</v>
      </c>
      <c r="F110" s="35">
        <v>-9</v>
      </c>
      <c r="G110" s="35">
        <v>-92</v>
      </c>
    </row>
    <row r="111" spans="1:8" x14ac:dyDescent="0.2">
      <c r="A111" s="35">
        <v>3</v>
      </c>
      <c r="B111" s="35">
        <v>220700007</v>
      </c>
      <c r="C111" s="35">
        <v>207</v>
      </c>
      <c r="D111" s="35">
        <v>0</v>
      </c>
      <c r="E111" s="35">
        <v>107</v>
      </c>
      <c r="F111" s="35">
        <v>-9</v>
      </c>
      <c r="G111" s="35">
        <v>-91</v>
      </c>
    </row>
    <row r="112" spans="1:8" x14ac:dyDescent="0.2">
      <c r="A112" s="35">
        <v>3</v>
      </c>
      <c r="B112" s="35">
        <v>220700008</v>
      </c>
      <c r="C112" s="35">
        <v>207</v>
      </c>
      <c r="D112" s="35">
        <v>0</v>
      </c>
      <c r="E112" s="35">
        <v>128</v>
      </c>
      <c r="F112" s="35">
        <v>-9</v>
      </c>
      <c r="G112" s="35">
        <v>-66</v>
      </c>
    </row>
    <row r="113" spans="1:61" x14ac:dyDescent="0.2">
      <c r="A113" s="35">
        <v>3</v>
      </c>
      <c r="B113" s="35">
        <v>220800001</v>
      </c>
      <c r="C113" s="35">
        <v>208</v>
      </c>
      <c r="D113" s="35">
        <v>0</v>
      </c>
      <c r="E113" s="35">
        <v>-69</v>
      </c>
      <c r="F113" s="35">
        <v>13</v>
      </c>
      <c r="G113" s="35">
        <v>78</v>
      </c>
      <c r="H113" s="1" t="s">
        <v>240</v>
      </c>
    </row>
    <row r="114" spans="1:61" x14ac:dyDescent="0.2">
      <c r="A114" s="35">
        <v>3</v>
      </c>
      <c r="B114" s="35">
        <v>220900001</v>
      </c>
      <c r="C114" s="35">
        <v>209</v>
      </c>
      <c r="D114" s="35">
        <v>0</v>
      </c>
      <c r="E114" s="35">
        <v>45</v>
      </c>
      <c r="F114" s="35">
        <v>0</v>
      </c>
      <c r="G114" s="35">
        <v>18</v>
      </c>
      <c r="H114" s="1" t="s">
        <v>241</v>
      </c>
    </row>
    <row r="115" spans="1:61" x14ac:dyDescent="0.2">
      <c r="A115" s="35">
        <v>3</v>
      </c>
      <c r="B115" s="35">
        <v>221100001</v>
      </c>
      <c r="C115" s="35">
        <v>211</v>
      </c>
      <c r="D115" s="35">
        <v>0</v>
      </c>
      <c r="E115" s="35">
        <v>21</v>
      </c>
      <c r="F115" s="35">
        <v>0</v>
      </c>
      <c r="G115" s="35">
        <v>-38</v>
      </c>
      <c r="H115" s="1" t="s">
        <v>242</v>
      </c>
    </row>
    <row r="116" spans="1:61" x14ac:dyDescent="0.2">
      <c r="A116" s="35">
        <v>3</v>
      </c>
      <c r="B116" s="35">
        <v>221200001</v>
      </c>
      <c r="C116" s="35">
        <v>212</v>
      </c>
      <c r="D116" s="35">
        <v>0</v>
      </c>
      <c r="E116" s="35">
        <v>129</v>
      </c>
      <c r="F116" s="44">
        <v>-4.5999999999999996</v>
      </c>
      <c r="G116" s="44">
        <v>52</v>
      </c>
      <c r="H116" s="44" t="s">
        <v>243</v>
      </c>
      <c r="Y116" s="35" t="s">
        <v>259</v>
      </c>
      <c r="Z116" s="35" t="s">
        <v>260</v>
      </c>
      <c r="AA116" s="35" t="s">
        <v>261</v>
      </c>
      <c r="AB116" s="35" t="s">
        <v>262</v>
      </c>
      <c r="AC116" s="35" t="s">
        <v>263</v>
      </c>
      <c r="AD116" s="35" t="s">
        <v>264</v>
      </c>
      <c r="AE116" s="35" t="s">
        <v>265</v>
      </c>
      <c r="AF116" s="35" t="s">
        <v>266</v>
      </c>
      <c r="AG116" s="35" t="s">
        <v>267</v>
      </c>
      <c r="AH116" s="35" t="s">
        <v>268</v>
      </c>
      <c r="AI116" s="35" t="s">
        <v>269</v>
      </c>
      <c r="AJ116" s="35" t="s">
        <v>270</v>
      </c>
      <c r="AK116" s="35" t="s">
        <v>271</v>
      </c>
      <c r="AL116" s="35" t="s">
        <v>272</v>
      </c>
      <c r="AM116" s="35" t="s">
        <v>273</v>
      </c>
      <c r="AN116" s="35" t="s">
        <v>274</v>
      </c>
      <c r="AO116" s="35" t="s">
        <v>275</v>
      </c>
      <c r="AP116" s="35" t="s">
        <v>276</v>
      </c>
      <c r="AQ116" s="35" t="s">
        <v>277</v>
      </c>
      <c r="AR116" s="35" t="s">
        <v>278</v>
      </c>
      <c r="AS116" s="35" t="s">
        <v>279</v>
      </c>
      <c r="AT116" s="35" t="s">
        <v>280</v>
      </c>
      <c r="AU116" s="35" t="s">
        <v>281</v>
      </c>
      <c r="AV116" s="35" t="s">
        <v>282</v>
      </c>
      <c r="AW116" s="35" t="s">
        <v>283</v>
      </c>
      <c r="AX116" s="35" t="s">
        <v>284</v>
      </c>
      <c r="AY116" s="35" t="s">
        <v>285</v>
      </c>
      <c r="AZ116" s="35" t="s">
        <v>286</v>
      </c>
      <c r="BA116" s="35" t="s">
        <v>287</v>
      </c>
      <c r="BB116" s="35" t="s">
        <v>288</v>
      </c>
      <c r="BC116" s="35" t="s">
        <v>289</v>
      </c>
      <c r="BD116" s="35" t="s">
        <v>290</v>
      </c>
      <c r="BE116" s="35" t="s">
        <v>291</v>
      </c>
      <c r="BF116" s="35" t="s">
        <v>292</v>
      </c>
      <c r="BG116" s="35" t="s">
        <v>293</v>
      </c>
      <c r="BH116" s="35" t="s">
        <v>294</v>
      </c>
      <c r="BI116" s="35" t="s">
        <v>295</v>
      </c>
    </row>
    <row r="117" spans="1:61" x14ac:dyDescent="0.2">
      <c r="A117" s="35">
        <v>3</v>
      </c>
      <c r="B117" s="35">
        <v>221300001</v>
      </c>
      <c r="C117" s="35">
        <v>213</v>
      </c>
      <c r="D117" s="35">
        <v>0</v>
      </c>
      <c r="E117" s="35">
        <v>16</v>
      </c>
      <c r="F117" s="35">
        <v>-18.5</v>
      </c>
      <c r="G117" s="35">
        <v>130</v>
      </c>
      <c r="H117" s="1" t="s">
        <v>244</v>
      </c>
    </row>
    <row r="118" spans="1:61" x14ac:dyDescent="0.2">
      <c r="A118" s="44">
        <v>3</v>
      </c>
      <c r="B118" s="44">
        <v>221500001</v>
      </c>
      <c r="C118" s="44">
        <v>215</v>
      </c>
      <c r="D118" s="44">
        <v>0</v>
      </c>
      <c r="E118" s="44">
        <v>90</v>
      </c>
      <c r="F118" s="35">
        <v>0</v>
      </c>
      <c r="G118" s="35">
        <v>1</v>
      </c>
      <c r="H118" s="1" t="s">
        <v>245</v>
      </c>
      <c r="J118" s="35">
        <v>220100001</v>
      </c>
      <c r="K118" s="35">
        <v>201</v>
      </c>
      <c r="L118" s="35">
        <v>0</v>
      </c>
      <c r="M118" s="35">
        <v>0</v>
      </c>
      <c r="N118" s="35">
        <v>0</v>
      </c>
      <c r="O118" s="35">
        <v>0</v>
      </c>
    </row>
    <row r="119" spans="1:61" x14ac:dyDescent="0.2">
      <c r="A119" s="35">
        <v>3</v>
      </c>
      <c r="B119" s="35">
        <v>222200001</v>
      </c>
      <c r="C119" s="35">
        <v>222</v>
      </c>
      <c r="D119" s="35">
        <v>0</v>
      </c>
      <c r="E119" s="35">
        <v>48</v>
      </c>
      <c r="F119" s="35">
        <v>0</v>
      </c>
      <c r="G119" s="35">
        <v>-17</v>
      </c>
      <c r="H119" s="1" t="s">
        <v>246</v>
      </c>
      <c r="J119" s="35">
        <v>220200001</v>
      </c>
      <c r="K119" s="35">
        <v>202</v>
      </c>
      <c r="L119" s="35">
        <v>0</v>
      </c>
      <c r="M119" s="35">
        <v>36</v>
      </c>
      <c r="N119" s="35">
        <v>-2.0896912E-2</v>
      </c>
      <c r="O119" s="35">
        <v>-39</v>
      </c>
    </row>
    <row r="120" spans="1:61" x14ac:dyDescent="0.2">
      <c r="A120" s="35">
        <v>3</v>
      </c>
      <c r="B120" s="35">
        <v>222400001</v>
      </c>
      <c r="C120" s="35">
        <v>224</v>
      </c>
      <c r="D120" s="35">
        <v>0</v>
      </c>
      <c r="E120" s="35">
        <v>69</v>
      </c>
      <c r="F120" s="35">
        <v>0</v>
      </c>
      <c r="G120" s="35">
        <v>18</v>
      </c>
      <c r="H120" s="1" t="s">
        <v>247</v>
      </c>
      <c r="J120" s="35">
        <v>220200002</v>
      </c>
      <c r="K120" s="35">
        <v>202</v>
      </c>
      <c r="L120" s="35">
        <v>0</v>
      </c>
      <c r="M120" s="35">
        <v>60</v>
      </c>
      <c r="N120" s="35">
        <v>-2.0896912E-2</v>
      </c>
      <c r="O120" s="35">
        <v>-18</v>
      </c>
    </row>
    <row r="121" spans="1:61" x14ac:dyDescent="0.2">
      <c r="A121" s="35">
        <v>3</v>
      </c>
      <c r="B121" s="35">
        <v>222600001</v>
      </c>
      <c r="C121" s="35">
        <v>226</v>
      </c>
      <c r="D121" s="35">
        <v>0</v>
      </c>
      <c r="E121" s="35">
        <v>-7</v>
      </c>
      <c r="F121" s="35">
        <v>3</v>
      </c>
      <c r="G121" s="35">
        <v>66</v>
      </c>
      <c r="H121" s="1" t="s">
        <v>248</v>
      </c>
      <c r="J121" s="35">
        <v>220200003</v>
      </c>
      <c r="K121" s="35">
        <v>202</v>
      </c>
      <c r="L121" s="35">
        <v>0</v>
      </c>
      <c r="M121" s="35">
        <v>45</v>
      </c>
      <c r="N121" s="35">
        <v>-2.0896912E-2</v>
      </c>
      <c r="O121" s="35">
        <v>-24</v>
      </c>
    </row>
    <row r="122" spans="1:61" x14ac:dyDescent="0.2">
      <c r="A122" s="35">
        <v>3</v>
      </c>
      <c r="B122" s="35">
        <v>222700001</v>
      </c>
      <c r="C122" s="35">
        <v>227</v>
      </c>
      <c r="D122" s="35">
        <v>0</v>
      </c>
      <c r="E122" s="35">
        <v>135</v>
      </c>
      <c r="F122" s="46">
        <v>-9</v>
      </c>
      <c r="G122" s="46">
        <v>-12</v>
      </c>
      <c r="H122" s="1" t="s">
        <v>249</v>
      </c>
      <c r="J122" s="35">
        <v>220200004</v>
      </c>
      <c r="K122" s="35">
        <v>202</v>
      </c>
      <c r="L122" s="35">
        <v>0</v>
      </c>
      <c r="M122" s="35">
        <v>36</v>
      </c>
      <c r="N122" s="35" t="s">
        <v>340</v>
      </c>
      <c r="O122" s="35">
        <v>-54</v>
      </c>
    </row>
    <row r="123" spans="1:61" x14ac:dyDescent="0.2">
      <c r="A123" s="35">
        <v>3</v>
      </c>
      <c r="B123" s="35">
        <v>222700002</v>
      </c>
      <c r="C123" s="47">
        <v>227</v>
      </c>
      <c r="D123" s="47">
        <v>0</v>
      </c>
      <c r="E123" s="46">
        <v>136</v>
      </c>
      <c r="F123" s="48">
        <v>-8.56</v>
      </c>
      <c r="G123" s="48">
        <v>16</v>
      </c>
      <c r="J123" s="35">
        <v>220300001</v>
      </c>
      <c r="K123" s="35">
        <v>203</v>
      </c>
      <c r="L123" s="35">
        <v>0</v>
      </c>
      <c r="M123" s="35">
        <v>123</v>
      </c>
      <c r="N123" s="35">
        <v>-9.0353390000000005</v>
      </c>
      <c r="O123" s="35">
        <v>-66</v>
      </c>
    </row>
    <row r="124" spans="1:61" x14ac:dyDescent="0.2">
      <c r="A124" s="35">
        <v>3</v>
      </c>
      <c r="B124" s="35">
        <v>222900001</v>
      </c>
      <c r="C124" s="47">
        <v>229</v>
      </c>
      <c r="D124" s="47">
        <v>0</v>
      </c>
      <c r="E124" s="48">
        <v>27</v>
      </c>
      <c r="F124" s="47">
        <v>0</v>
      </c>
      <c r="G124" s="47">
        <v>36</v>
      </c>
      <c r="H124" s="1" t="s">
        <v>296</v>
      </c>
      <c r="J124" s="35">
        <v>220300002</v>
      </c>
      <c r="K124" s="35">
        <v>203</v>
      </c>
      <c r="L124" s="35">
        <v>0</v>
      </c>
      <c r="M124" s="35">
        <v>117</v>
      </c>
      <c r="N124" s="35">
        <v>-9.002872</v>
      </c>
      <c r="O124" s="35">
        <v>-90</v>
      </c>
    </row>
    <row r="125" spans="1:61" x14ac:dyDescent="0.2">
      <c r="A125" s="35">
        <v>3</v>
      </c>
      <c r="B125" s="35">
        <v>223000001</v>
      </c>
      <c r="C125" s="47">
        <v>230</v>
      </c>
      <c r="D125" s="47">
        <v>0</v>
      </c>
      <c r="E125" s="47">
        <v>30</v>
      </c>
      <c r="F125" s="47">
        <v>0</v>
      </c>
      <c r="G125" s="47">
        <v>-17</v>
      </c>
      <c r="H125" s="1" t="s">
        <v>250</v>
      </c>
      <c r="J125" s="35">
        <v>220300003</v>
      </c>
      <c r="K125" s="35">
        <v>203</v>
      </c>
      <c r="L125" s="35">
        <v>0</v>
      </c>
      <c r="M125" s="35">
        <v>93</v>
      </c>
      <c r="N125" s="35">
        <v>-9.0510219999999997</v>
      </c>
      <c r="O125" s="35">
        <v>-93</v>
      </c>
    </row>
    <row r="126" spans="1:61" x14ac:dyDescent="0.2">
      <c r="A126" s="35">
        <v>3</v>
      </c>
      <c r="B126" s="35">
        <v>223100001</v>
      </c>
      <c r="C126" s="47">
        <v>231</v>
      </c>
      <c r="D126" s="47">
        <v>0</v>
      </c>
      <c r="E126" s="47">
        <v>-13</v>
      </c>
      <c r="F126" s="35">
        <v>0</v>
      </c>
      <c r="G126" s="35">
        <v>-40</v>
      </c>
      <c r="H126" s="1" t="s">
        <v>251</v>
      </c>
      <c r="J126" s="35">
        <v>220300004</v>
      </c>
      <c r="K126" s="35">
        <v>203</v>
      </c>
      <c r="L126" s="35">
        <v>0</v>
      </c>
      <c r="M126" s="35">
        <v>135</v>
      </c>
      <c r="N126" s="35">
        <v>-9.0353010000000005</v>
      </c>
      <c r="O126" s="35">
        <v>-42</v>
      </c>
    </row>
    <row r="127" spans="1:61" x14ac:dyDescent="0.2">
      <c r="A127" s="35">
        <v>3</v>
      </c>
      <c r="B127" s="35">
        <v>223200001</v>
      </c>
      <c r="C127" s="35">
        <v>232</v>
      </c>
      <c r="D127" s="35">
        <v>0</v>
      </c>
      <c r="E127" s="35">
        <v>72</v>
      </c>
      <c r="F127" s="35">
        <v>0</v>
      </c>
      <c r="G127" s="35">
        <v>48</v>
      </c>
      <c r="H127" s="1" t="s">
        <v>252</v>
      </c>
      <c r="J127" s="35">
        <v>220400001</v>
      </c>
      <c r="K127" s="35">
        <v>204</v>
      </c>
      <c r="L127" s="35">
        <v>0</v>
      </c>
      <c r="M127" s="35">
        <v>66</v>
      </c>
      <c r="N127" s="35">
        <v>-9.0478970000000007</v>
      </c>
      <c r="O127" s="35">
        <v>-105</v>
      </c>
    </row>
    <row r="128" spans="1:61" x14ac:dyDescent="0.2">
      <c r="A128" s="35">
        <v>3</v>
      </c>
      <c r="B128" s="35">
        <v>223400001</v>
      </c>
      <c r="C128" s="35">
        <v>234</v>
      </c>
      <c r="D128" s="35">
        <v>0</v>
      </c>
      <c r="E128" s="35">
        <v>-111</v>
      </c>
      <c r="F128" s="35">
        <v>0</v>
      </c>
      <c r="G128" s="35">
        <v>-40</v>
      </c>
      <c r="H128" s="1" t="s">
        <v>297</v>
      </c>
      <c r="J128" s="35">
        <v>220400002</v>
      </c>
      <c r="K128" s="35">
        <v>204</v>
      </c>
      <c r="L128" s="35">
        <v>0</v>
      </c>
      <c r="M128" s="35">
        <v>51</v>
      </c>
      <c r="N128" s="35">
        <v>-9.0353390000000005</v>
      </c>
      <c r="O128" s="35">
        <v>-105</v>
      </c>
    </row>
    <row r="129" spans="1:15" x14ac:dyDescent="0.2">
      <c r="A129" s="35">
        <v>3</v>
      </c>
      <c r="B129" s="35">
        <v>223500001</v>
      </c>
      <c r="C129" s="35">
        <v>235</v>
      </c>
      <c r="D129" s="35">
        <v>0</v>
      </c>
      <c r="E129" s="35">
        <v>-57</v>
      </c>
      <c r="F129" s="35">
        <v>5</v>
      </c>
      <c r="G129" s="35">
        <v>6</v>
      </c>
      <c r="H129" s="1" t="s">
        <v>253</v>
      </c>
      <c r="J129" s="35">
        <v>220400003</v>
      </c>
      <c r="K129" s="35">
        <v>204</v>
      </c>
      <c r="L129" s="35">
        <v>0</v>
      </c>
      <c r="M129" s="35">
        <v>51</v>
      </c>
      <c r="N129" s="35">
        <v>-9.0353429999999992</v>
      </c>
      <c r="O129" s="35">
        <v>-120</v>
      </c>
    </row>
    <row r="130" spans="1:15" x14ac:dyDescent="0.2">
      <c r="A130" s="35">
        <v>3</v>
      </c>
      <c r="B130" s="35">
        <v>223600001</v>
      </c>
      <c r="C130" s="35">
        <v>236</v>
      </c>
      <c r="D130" s="35">
        <v>0</v>
      </c>
      <c r="E130" s="35">
        <v>-35</v>
      </c>
      <c r="F130" s="35">
        <v>5</v>
      </c>
      <c r="G130" s="35">
        <v>6</v>
      </c>
      <c r="H130" s="1" t="s">
        <v>254</v>
      </c>
      <c r="J130" s="35">
        <v>220400004</v>
      </c>
      <c r="K130" s="35">
        <v>204</v>
      </c>
      <c r="L130" s="35">
        <v>0</v>
      </c>
      <c r="M130" s="35">
        <v>78</v>
      </c>
      <c r="N130" s="35">
        <v>-9.0505940000000002</v>
      </c>
      <c r="O130" s="35">
        <v>-105</v>
      </c>
    </row>
    <row r="131" spans="1:15" x14ac:dyDescent="0.2">
      <c r="A131" s="35">
        <v>3</v>
      </c>
      <c r="B131" s="35">
        <v>223700001</v>
      </c>
      <c r="C131" s="35">
        <v>237</v>
      </c>
      <c r="D131" s="35">
        <v>0</v>
      </c>
      <c r="E131" s="35">
        <v>63</v>
      </c>
      <c r="F131" s="35">
        <v>0</v>
      </c>
      <c r="G131" s="35">
        <v>-41</v>
      </c>
      <c r="H131" s="1" t="s">
        <v>255</v>
      </c>
      <c r="J131" s="35">
        <v>220500001</v>
      </c>
      <c r="K131" s="35" t="s">
        <v>341</v>
      </c>
      <c r="L131" s="35">
        <v>0</v>
      </c>
      <c r="M131" s="35">
        <v>-105</v>
      </c>
      <c r="N131" s="35">
        <v>-2.0900726000000001E-2</v>
      </c>
      <c r="O131" s="35">
        <v>-81</v>
      </c>
    </row>
    <row r="132" spans="1:15" x14ac:dyDescent="0.2">
      <c r="A132" s="35">
        <v>3</v>
      </c>
      <c r="B132" s="35">
        <v>230000001</v>
      </c>
      <c r="C132" s="35">
        <v>300</v>
      </c>
      <c r="D132" s="35">
        <v>0</v>
      </c>
      <c r="E132" s="35">
        <v>80</v>
      </c>
      <c r="F132" s="35">
        <v>-9</v>
      </c>
      <c r="G132" s="35">
        <v>107</v>
      </c>
      <c r="H132" s="1" t="s">
        <v>256</v>
      </c>
      <c r="J132" s="35">
        <v>220500002</v>
      </c>
      <c r="K132" s="35">
        <v>205</v>
      </c>
      <c r="L132" s="35">
        <v>0</v>
      </c>
      <c r="M132" s="35">
        <v>-114</v>
      </c>
      <c r="N132" s="35">
        <v>-2.0896912E-2</v>
      </c>
      <c r="O132" s="35">
        <v>-63</v>
      </c>
    </row>
    <row r="133" spans="1:15" x14ac:dyDescent="0.2">
      <c r="A133" s="35">
        <v>3</v>
      </c>
      <c r="B133" s="35">
        <v>240000001</v>
      </c>
      <c r="C133" s="35">
        <v>400</v>
      </c>
      <c r="D133" s="35">
        <v>0</v>
      </c>
      <c r="E133" s="35">
        <v>-18</v>
      </c>
      <c r="F133" s="47">
        <v>0</v>
      </c>
      <c r="G133" s="47">
        <v>-62</v>
      </c>
      <c r="H133" s="1" t="s">
        <v>257</v>
      </c>
      <c r="J133" s="35">
        <v>220600001</v>
      </c>
      <c r="K133" s="35">
        <v>206</v>
      </c>
      <c r="L133" s="35">
        <v>0</v>
      </c>
      <c r="M133" s="35">
        <v>48</v>
      </c>
      <c r="N133" s="35">
        <v>-2.0893096999999999E-2</v>
      </c>
      <c r="O133" s="35">
        <v>18</v>
      </c>
    </row>
    <row r="134" spans="1:15" x14ac:dyDescent="0.2">
      <c r="A134" s="35">
        <v>3</v>
      </c>
      <c r="B134" s="35">
        <v>240400001</v>
      </c>
      <c r="C134" s="35">
        <v>404</v>
      </c>
      <c r="D134" s="35">
        <v>0</v>
      </c>
      <c r="E134" s="47">
        <v>214.97</v>
      </c>
      <c r="F134" s="35">
        <v>-4.2</v>
      </c>
      <c r="G134" s="35">
        <v>89.09</v>
      </c>
      <c r="H134" s="1" t="s">
        <v>258</v>
      </c>
      <c r="J134" s="35">
        <v>220700016</v>
      </c>
      <c r="K134" s="35">
        <v>207</v>
      </c>
      <c r="L134" s="35">
        <v>0</v>
      </c>
      <c r="M134" s="35">
        <v>123</v>
      </c>
      <c r="N134" s="35">
        <v>-8.0117650000000005</v>
      </c>
      <c r="O134" s="35">
        <v>-54</v>
      </c>
    </row>
    <row r="135" spans="1:15" x14ac:dyDescent="0.2">
      <c r="A135" s="35">
        <v>4</v>
      </c>
      <c r="B135" s="35">
        <v>220100001</v>
      </c>
      <c r="C135" s="35">
        <v>201</v>
      </c>
      <c r="D135" s="35">
        <v>0</v>
      </c>
      <c r="E135" s="35">
        <v>0</v>
      </c>
      <c r="F135" s="35">
        <v>0</v>
      </c>
      <c r="G135" s="35">
        <v>0</v>
      </c>
      <c r="H135" s="1" t="s">
        <v>233</v>
      </c>
      <c r="J135" s="35">
        <v>220800001</v>
      </c>
      <c r="K135" s="35">
        <v>208</v>
      </c>
      <c r="L135" s="35">
        <v>0</v>
      </c>
      <c r="M135" s="35">
        <v>-69</v>
      </c>
      <c r="N135" s="35">
        <v>13</v>
      </c>
      <c r="O135" s="35">
        <v>78</v>
      </c>
    </row>
    <row r="136" spans="1:15" x14ac:dyDescent="0.2">
      <c r="A136" s="35">
        <v>4</v>
      </c>
      <c r="B136" s="35">
        <v>220200001</v>
      </c>
      <c r="C136" s="35">
        <v>202</v>
      </c>
      <c r="D136" s="35">
        <v>0</v>
      </c>
      <c r="E136" s="35">
        <v>-37</v>
      </c>
      <c r="F136" s="35">
        <v>0</v>
      </c>
      <c r="G136" s="35">
        <v>-28</v>
      </c>
      <c r="H136" s="1" t="s">
        <v>234</v>
      </c>
      <c r="J136" s="35">
        <v>221100001</v>
      </c>
      <c r="K136" s="35">
        <v>211</v>
      </c>
      <c r="L136" s="35" t="s">
        <v>342</v>
      </c>
      <c r="M136" s="35">
        <v>60</v>
      </c>
      <c r="N136" s="35">
        <v>-2.0896912E-2</v>
      </c>
      <c r="O136" s="35">
        <v>-45</v>
      </c>
    </row>
    <row r="137" spans="1:15" x14ac:dyDescent="0.2">
      <c r="A137" s="35">
        <v>4</v>
      </c>
      <c r="B137" s="35">
        <v>220200002</v>
      </c>
      <c r="C137" s="35">
        <v>202</v>
      </c>
      <c r="D137" s="35">
        <v>0</v>
      </c>
      <c r="E137" s="35">
        <v>-50</v>
      </c>
      <c r="F137" s="35">
        <v>0</v>
      </c>
      <c r="G137" s="35">
        <v>-38</v>
      </c>
      <c r="J137" s="35">
        <v>221200001</v>
      </c>
      <c r="K137" s="35">
        <v>212</v>
      </c>
      <c r="L137" s="35">
        <v>0</v>
      </c>
      <c r="M137" s="35">
        <v>109.5</v>
      </c>
      <c r="N137" s="35">
        <v>-4.5999999999999996</v>
      </c>
      <c r="O137" s="35">
        <v>69</v>
      </c>
    </row>
    <row r="138" spans="1:15" x14ac:dyDescent="0.2">
      <c r="A138" s="35">
        <v>4</v>
      </c>
      <c r="B138" s="35">
        <v>220200003</v>
      </c>
      <c r="C138" s="35">
        <v>202</v>
      </c>
      <c r="D138" s="35">
        <v>0</v>
      </c>
      <c r="E138" s="35">
        <v>-37</v>
      </c>
      <c r="F138" s="35">
        <v>0</v>
      </c>
      <c r="G138" s="35">
        <v>-44</v>
      </c>
      <c r="J138" s="35">
        <v>221300001</v>
      </c>
      <c r="K138" s="35">
        <v>213</v>
      </c>
      <c r="L138" s="35">
        <v>0</v>
      </c>
      <c r="M138" s="35">
        <v>16.5</v>
      </c>
      <c r="N138" s="35">
        <v>-18.48</v>
      </c>
      <c r="O138" s="35">
        <v>130.5</v>
      </c>
    </row>
    <row r="139" spans="1:15" x14ac:dyDescent="0.2">
      <c r="A139" s="35">
        <v>4</v>
      </c>
      <c r="B139" s="35">
        <v>220200004</v>
      </c>
      <c r="C139" s="35">
        <v>202</v>
      </c>
      <c r="D139" s="35">
        <v>0</v>
      </c>
      <c r="E139" s="35">
        <v>-37</v>
      </c>
      <c r="F139" s="35">
        <v>0</v>
      </c>
      <c r="G139" s="35">
        <v>-58</v>
      </c>
      <c r="J139" s="35">
        <v>221500001</v>
      </c>
      <c r="K139" s="35">
        <v>215</v>
      </c>
      <c r="L139" s="35">
        <v>0</v>
      </c>
      <c r="M139" s="35">
        <v>99</v>
      </c>
      <c r="N139" s="35">
        <v>0</v>
      </c>
      <c r="O139" s="35">
        <v>1</v>
      </c>
    </row>
    <row r="140" spans="1:15" x14ac:dyDescent="0.2">
      <c r="A140" s="35">
        <v>4</v>
      </c>
      <c r="B140" s="35">
        <v>220300001</v>
      </c>
      <c r="C140" s="35">
        <v>203</v>
      </c>
      <c r="D140" s="35">
        <v>0</v>
      </c>
      <c r="E140" s="35">
        <v>127</v>
      </c>
      <c r="F140" s="35">
        <v>-9</v>
      </c>
      <c r="G140" s="35">
        <v>-42</v>
      </c>
      <c r="H140" s="1" t="s">
        <v>235</v>
      </c>
      <c r="J140" s="35">
        <v>222200001</v>
      </c>
      <c r="K140" s="35">
        <v>222</v>
      </c>
      <c r="L140" s="35">
        <v>0</v>
      </c>
      <c r="M140" s="35">
        <v>30</v>
      </c>
      <c r="N140" s="35">
        <v>-2.0885468000000001E-2</v>
      </c>
      <c r="O140" s="35" t="s">
        <v>343</v>
      </c>
    </row>
    <row r="141" spans="1:15" x14ac:dyDescent="0.2">
      <c r="A141" s="35">
        <v>4</v>
      </c>
      <c r="B141" s="35">
        <v>220300002</v>
      </c>
      <c r="C141" s="35">
        <v>203</v>
      </c>
      <c r="D141" s="35">
        <v>0</v>
      </c>
      <c r="E141" s="35">
        <v>120</v>
      </c>
      <c r="F141" s="35">
        <v>-9</v>
      </c>
      <c r="G141" s="35">
        <v>-79</v>
      </c>
      <c r="J141" s="35">
        <v>222400001</v>
      </c>
      <c r="K141" s="35">
        <v>224</v>
      </c>
      <c r="L141" s="35">
        <v>0</v>
      </c>
      <c r="M141" s="35">
        <v>72</v>
      </c>
      <c r="N141" s="35">
        <v>-2.0889281999999999E-2</v>
      </c>
      <c r="O141" s="35">
        <v>18</v>
      </c>
    </row>
    <row r="142" spans="1:15" x14ac:dyDescent="0.2">
      <c r="A142" s="35">
        <v>4</v>
      </c>
      <c r="B142" s="35">
        <v>220300003</v>
      </c>
      <c r="C142" s="35">
        <v>203</v>
      </c>
      <c r="D142" s="35">
        <v>0</v>
      </c>
      <c r="E142" s="35">
        <v>95</v>
      </c>
      <c r="F142" s="35">
        <v>-9</v>
      </c>
      <c r="G142" s="35">
        <v>-83</v>
      </c>
      <c r="J142" s="35">
        <v>222600001</v>
      </c>
      <c r="K142" s="35">
        <v>226</v>
      </c>
      <c r="L142" s="35">
        <v>0</v>
      </c>
      <c r="M142" s="35">
        <v>-21</v>
      </c>
      <c r="N142" s="35">
        <v>3</v>
      </c>
      <c r="O142" s="35">
        <v>69</v>
      </c>
    </row>
    <row r="143" spans="1:15" x14ac:dyDescent="0.2">
      <c r="A143" s="35">
        <v>4</v>
      </c>
      <c r="B143" s="35">
        <v>220300004</v>
      </c>
      <c r="C143" s="35">
        <v>203</v>
      </c>
      <c r="D143" s="35">
        <v>0</v>
      </c>
      <c r="E143" s="35">
        <v>117</v>
      </c>
      <c r="F143" s="35">
        <v>-9</v>
      </c>
      <c r="G143" s="35">
        <v>-54</v>
      </c>
      <c r="J143" s="35">
        <v>222700001</v>
      </c>
      <c r="K143" s="35">
        <v>227</v>
      </c>
      <c r="L143" s="35">
        <v>0</v>
      </c>
      <c r="M143" s="35">
        <v>142</v>
      </c>
      <c r="N143" s="35">
        <v>-8.9</v>
      </c>
      <c r="O143" s="35">
        <v>20</v>
      </c>
    </row>
    <row r="144" spans="1:15" x14ac:dyDescent="0.2">
      <c r="A144" s="35">
        <v>4</v>
      </c>
      <c r="B144" s="35">
        <v>220400001</v>
      </c>
      <c r="C144" s="35">
        <v>204</v>
      </c>
      <c r="D144" s="35">
        <v>0</v>
      </c>
      <c r="E144" s="35">
        <v>57</v>
      </c>
      <c r="F144" s="35">
        <v>-9</v>
      </c>
      <c r="G144" s="35">
        <v>-105</v>
      </c>
      <c r="H144" s="1" t="s">
        <v>236</v>
      </c>
      <c r="J144" s="35">
        <v>222700002</v>
      </c>
      <c r="K144" s="35">
        <v>227</v>
      </c>
      <c r="L144" s="35">
        <v>0</v>
      </c>
      <c r="M144" s="35">
        <v>152</v>
      </c>
      <c r="N144" s="35">
        <v>-8.9</v>
      </c>
      <c r="O144" s="35">
        <v>-41</v>
      </c>
    </row>
    <row r="145" spans="1:61" x14ac:dyDescent="0.2">
      <c r="A145" s="35">
        <v>4</v>
      </c>
      <c r="B145" s="35">
        <v>220400002</v>
      </c>
      <c r="C145" s="35">
        <v>204</v>
      </c>
      <c r="D145" s="35">
        <v>0</v>
      </c>
      <c r="E145" s="35">
        <v>44</v>
      </c>
      <c r="F145" s="35">
        <v>-9</v>
      </c>
      <c r="G145" s="35">
        <v>-104</v>
      </c>
      <c r="J145" s="35">
        <v>222900001</v>
      </c>
      <c r="K145" s="35">
        <v>229</v>
      </c>
      <c r="L145" s="35">
        <v>0</v>
      </c>
      <c r="M145" s="35">
        <v>-61.5</v>
      </c>
      <c r="N145" s="35">
        <v>-2.0900726000000001E-2</v>
      </c>
      <c r="O145" s="35">
        <v>-46.5</v>
      </c>
    </row>
    <row r="146" spans="1:61" x14ac:dyDescent="0.2">
      <c r="A146" s="35">
        <v>4</v>
      </c>
      <c r="B146" s="35">
        <v>220400003</v>
      </c>
      <c r="C146" s="35">
        <v>204</v>
      </c>
      <c r="D146" s="35">
        <v>0</v>
      </c>
      <c r="E146" s="35">
        <v>54</v>
      </c>
      <c r="F146" s="35">
        <v>-9</v>
      </c>
      <c r="G146" s="35">
        <v>-118</v>
      </c>
      <c r="J146" s="35">
        <v>223000001</v>
      </c>
      <c r="K146" s="35">
        <v>230</v>
      </c>
      <c r="L146" s="35">
        <v>0</v>
      </c>
      <c r="M146" s="35">
        <v>81</v>
      </c>
      <c r="N146" s="35">
        <v>-2.0893096999999999E-2</v>
      </c>
      <c r="O146" s="35">
        <v>-18</v>
      </c>
    </row>
    <row r="147" spans="1:61" x14ac:dyDescent="0.2">
      <c r="A147" s="35">
        <v>4</v>
      </c>
      <c r="B147" s="35">
        <v>220400004</v>
      </c>
      <c r="C147" s="35">
        <v>204</v>
      </c>
      <c r="D147" s="35">
        <v>0</v>
      </c>
      <c r="E147" s="35">
        <v>41</v>
      </c>
      <c r="F147" s="35">
        <v>-9</v>
      </c>
      <c r="G147" s="35">
        <v>-118</v>
      </c>
      <c r="J147" s="35">
        <v>223100001</v>
      </c>
      <c r="K147" s="35">
        <v>231</v>
      </c>
      <c r="L147" s="35">
        <v>0</v>
      </c>
      <c r="M147" s="35">
        <v>-31.5</v>
      </c>
      <c r="N147" s="35">
        <v>-2.0896912E-2</v>
      </c>
      <c r="O147" s="35">
        <v>-37.5</v>
      </c>
    </row>
    <row r="148" spans="1:61" x14ac:dyDescent="0.2">
      <c r="A148" s="35">
        <v>4</v>
      </c>
      <c r="B148" s="35">
        <v>220500001</v>
      </c>
      <c r="C148" s="35">
        <v>205</v>
      </c>
      <c r="D148" s="35">
        <v>0</v>
      </c>
      <c r="E148" s="35">
        <v>-101</v>
      </c>
      <c r="F148" s="35">
        <v>0</v>
      </c>
      <c r="G148" s="35">
        <v>-29</v>
      </c>
      <c r="H148" s="1" t="s">
        <v>237</v>
      </c>
      <c r="J148" s="35">
        <v>223200001</v>
      </c>
      <c r="K148" s="35">
        <v>232</v>
      </c>
      <c r="L148" s="35">
        <v>0</v>
      </c>
      <c r="M148" s="35">
        <v>51</v>
      </c>
      <c r="N148" s="35">
        <v>-2.0885468000000001E-2</v>
      </c>
      <c r="O148" s="35">
        <v>45</v>
      </c>
    </row>
    <row r="149" spans="1:61" x14ac:dyDescent="0.2">
      <c r="A149" s="35">
        <v>4</v>
      </c>
      <c r="B149" s="35">
        <v>220500002</v>
      </c>
      <c r="C149" s="35">
        <v>205</v>
      </c>
      <c r="D149" s="35">
        <v>0</v>
      </c>
      <c r="E149" s="35">
        <v>-101</v>
      </c>
      <c r="F149" s="35">
        <v>0</v>
      </c>
      <c r="G149" s="35">
        <v>-15</v>
      </c>
      <c r="J149" s="35">
        <v>223400001</v>
      </c>
      <c r="K149" s="35">
        <v>234</v>
      </c>
      <c r="L149" s="35">
        <v>0</v>
      </c>
      <c r="M149" s="35">
        <v>-114</v>
      </c>
      <c r="N149" s="35">
        <v>-2.0896912E-2</v>
      </c>
      <c r="O149" s="35">
        <v>-15</v>
      </c>
    </row>
    <row r="150" spans="1:61" x14ac:dyDescent="0.2">
      <c r="A150" s="35">
        <v>4</v>
      </c>
      <c r="B150" s="35">
        <v>220500003</v>
      </c>
      <c r="C150" s="35">
        <v>205</v>
      </c>
      <c r="D150" s="35">
        <v>0</v>
      </c>
      <c r="E150" s="35">
        <v>-85</v>
      </c>
      <c r="F150" s="35">
        <v>0</v>
      </c>
      <c r="G150" s="35">
        <v>-29</v>
      </c>
      <c r="J150" s="35">
        <v>223400002</v>
      </c>
      <c r="K150" s="35">
        <v>234</v>
      </c>
      <c r="L150" s="35">
        <v>0</v>
      </c>
      <c r="M150" s="35">
        <v>-108</v>
      </c>
      <c r="N150" s="35">
        <v>-2.0893096999999999E-2</v>
      </c>
      <c r="O150" s="35">
        <v>6</v>
      </c>
    </row>
    <row r="151" spans="1:61" x14ac:dyDescent="0.2">
      <c r="A151" s="35">
        <v>4</v>
      </c>
      <c r="B151" s="35">
        <v>220600001</v>
      </c>
      <c r="C151" s="35">
        <v>206</v>
      </c>
      <c r="D151" s="35">
        <v>0</v>
      </c>
      <c r="E151" s="35">
        <v>48</v>
      </c>
      <c r="F151" s="35">
        <v>0</v>
      </c>
      <c r="G151" s="35">
        <v>48</v>
      </c>
      <c r="H151" s="1" t="s">
        <v>238</v>
      </c>
      <c r="J151" s="35">
        <v>223500001</v>
      </c>
      <c r="K151" s="35">
        <v>235</v>
      </c>
      <c r="L151" s="35">
        <v>0</v>
      </c>
      <c r="M151" s="35">
        <v>-63</v>
      </c>
      <c r="N151" s="35">
        <v>5</v>
      </c>
      <c r="O151" s="35">
        <v>6</v>
      </c>
    </row>
    <row r="152" spans="1:61" x14ac:dyDescent="0.2">
      <c r="A152" s="35">
        <v>4</v>
      </c>
      <c r="B152" s="35">
        <v>220700001</v>
      </c>
      <c r="C152" s="35">
        <v>207</v>
      </c>
      <c r="D152" s="35">
        <v>0</v>
      </c>
      <c r="E152" s="35">
        <v>83</v>
      </c>
      <c r="F152" s="35">
        <v>-9</v>
      </c>
      <c r="G152" s="35">
        <v>-93</v>
      </c>
      <c r="H152" s="1" t="s">
        <v>239</v>
      </c>
      <c r="J152" s="35">
        <v>223600001</v>
      </c>
      <c r="K152" s="35">
        <v>236</v>
      </c>
      <c r="L152" s="35">
        <v>0</v>
      </c>
      <c r="M152" s="35">
        <v>-42</v>
      </c>
      <c r="N152" s="35">
        <v>5</v>
      </c>
      <c r="O152" s="35">
        <v>5</v>
      </c>
    </row>
    <row r="153" spans="1:61" x14ac:dyDescent="0.2">
      <c r="A153" s="35">
        <v>4</v>
      </c>
      <c r="B153" s="35">
        <v>220700002</v>
      </c>
      <c r="C153" s="35">
        <v>207</v>
      </c>
      <c r="D153" s="35">
        <v>0</v>
      </c>
      <c r="E153" s="35">
        <v>115</v>
      </c>
      <c r="F153" s="44">
        <v>-9</v>
      </c>
      <c r="G153" s="44">
        <v>-42</v>
      </c>
      <c r="H153" s="44"/>
      <c r="Y153" s="35" t="s">
        <v>259</v>
      </c>
      <c r="Z153" s="35" t="s">
        <v>260</v>
      </c>
      <c r="AA153" s="35" t="s">
        <v>261</v>
      </c>
      <c r="AB153" s="35" t="s">
        <v>262</v>
      </c>
      <c r="AC153" s="35" t="s">
        <v>263</v>
      </c>
      <c r="AD153" s="35" t="s">
        <v>264</v>
      </c>
      <c r="AE153" s="35" t="s">
        <v>265</v>
      </c>
      <c r="AF153" s="35" t="s">
        <v>266</v>
      </c>
      <c r="AG153" s="35" t="s">
        <v>267</v>
      </c>
      <c r="AH153" s="35" t="s">
        <v>268</v>
      </c>
      <c r="AI153" s="35" t="s">
        <v>269</v>
      </c>
      <c r="AJ153" s="35" t="s">
        <v>270</v>
      </c>
      <c r="AK153" s="35" t="s">
        <v>271</v>
      </c>
      <c r="AL153" s="35" t="s">
        <v>272</v>
      </c>
      <c r="AM153" s="35" t="s">
        <v>273</v>
      </c>
      <c r="AN153" s="35" t="s">
        <v>274</v>
      </c>
      <c r="AO153" s="35" t="s">
        <v>275</v>
      </c>
      <c r="AP153" s="35" t="s">
        <v>276</v>
      </c>
      <c r="AQ153" s="35" t="s">
        <v>277</v>
      </c>
      <c r="AR153" s="35" t="s">
        <v>278</v>
      </c>
      <c r="AS153" s="35" t="s">
        <v>279</v>
      </c>
      <c r="AT153" s="35" t="s">
        <v>280</v>
      </c>
      <c r="AU153" s="35" t="s">
        <v>281</v>
      </c>
      <c r="AV153" s="35" t="s">
        <v>282</v>
      </c>
      <c r="AW153" s="35" t="s">
        <v>283</v>
      </c>
      <c r="AX153" s="35" t="s">
        <v>284</v>
      </c>
      <c r="AY153" s="35" t="s">
        <v>285</v>
      </c>
      <c r="AZ153" s="35" t="s">
        <v>286</v>
      </c>
      <c r="BA153" s="35" t="s">
        <v>287</v>
      </c>
      <c r="BB153" s="35" t="s">
        <v>288</v>
      </c>
      <c r="BC153" s="35" t="s">
        <v>289</v>
      </c>
      <c r="BD153" s="35" t="s">
        <v>290</v>
      </c>
      <c r="BE153" s="35" t="s">
        <v>291</v>
      </c>
      <c r="BF153" s="35" t="s">
        <v>292</v>
      </c>
      <c r="BG153" s="35" t="s">
        <v>293</v>
      </c>
      <c r="BH153" s="35" t="s">
        <v>294</v>
      </c>
      <c r="BI153" s="35" t="s">
        <v>295</v>
      </c>
    </row>
    <row r="154" spans="1:61" x14ac:dyDescent="0.2">
      <c r="A154" s="35">
        <v>4</v>
      </c>
      <c r="B154" s="35">
        <v>220700003</v>
      </c>
      <c r="C154" s="35">
        <v>207</v>
      </c>
      <c r="D154" s="35">
        <v>0</v>
      </c>
      <c r="E154" s="35">
        <v>128</v>
      </c>
      <c r="F154" s="35">
        <v>-9</v>
      </c>
      <c r="G154" s="35">
        <v>-54</v>
      </c>
    </row>
    <row r="155" spans="1:61" x14ac:dyDescent="0.2">
      <c r="A155" s="44">
        <v>4</v>
      </c>
      <c r="B155" s="44">
        <v>220700004</v>
      </c>
      <c r="C155" s="44">
        <v>207</v>
      </c>
      <c r="D155" s="44">
        <v>0</v>
      </c>
      <c r="E155" s="44">
        <v>116</v>
      </c>
      <c r="F155" s="35">
        <v>-9</v>
      </c>
      <c r="G155" s="35">
        <v>-66</v>
      </c>
      <c r="J155" s="35">
        <v>220100001</v>
      </c>
      <c r="K155" s="35">
        <v>201</v>
      </c>
      <c r="L155" s="35">
        <v>0</v>
      </c>
      <c r="M155" s="35">
        <v>0</v>
      </c>
      <c r="N155" s="35">
        <v>0</v>
      </c>
      <c r="O155" s="35">
        <v>0</v>
      </c>
    </row>
    <row r="156" spans="1:61" x14ac:dyDescent="0.2">
      <c r="A156" s="44">
        <v>4</v>
      </c>
      <c r="B156" s="35">
        <v>220700005</v>
      </c>
      <c r="C156" s="35">
        <v>207</v>
      </c>
      <c r="D156" s="35">
        <v>0</v>
      </c>
      <c r="E156" s="35">
        <v>95</v>
      </c>
      <c r="F156" s="35">
        <v>-9</v>
      </c>
      <c r="G156" s="35">
        <v>-96</v>
      </c>
      <c r="J156" s="35">
        <v>220200001</v>
      </c>
      <c r="K156" s="35">
        <v>202</v>
      </c>
      <c r="L156" s="35">
        <v>0</v>
      </c>
      <c r="M156" s="35">
        <v>36</v>
      </c>
      <c r="N156" s="35">
        <v>-2.0896912E-2</v>
      </c>
      <c r="O156" s="35">
        <v>-39</v>
      </c>
    </row>
    <row r="157" spans="1:61" x14ac:dyDescent="0.2">
      <c r="A157" s="44">
        <v>4</v>
      </c>
      <c r="B157" s="35">
        <v>220700006</v>
      </c>
      <c r="C157" s="35">
        <v>207</v>
      </c>
      <c r="D157" s="35">
        <v>0</v>
      </c>
      <c r="E157" s="35">
        <v>119</v>
      </c>
      <c r="F157" s="35">
        <v>-9</v>
      </c>
      <c r="G157" s="35">
        <v>-92</v>
      </c>
      <c r="J157" s="35">
        <v>220200002</v>
      </c>
      <c r="K157" s="35">
        <v>202</v>
      </c>
      <c r="L157" s="35">
        <v>0</v>
      </c>
      <c r="M157" s="35">
        <v>60</v>
      </c>
      <c r="N157" s="35">
        <v>-2.0896912E-2</v>
      </c>
      <c r="O157" s="35">
        <v>-18</v>
      </c>
    </row>
    <row r="158" spans="1:61" x14ac:dyDescent="0.2">
      <c r="A158" s="44">
        <v>4</v>
      </c>
      <c r="B158" s="35">
        <v>220700007</v>
      </c>
      <c r="C158" s="35">
        <v>207</v>
      </c>
      <c r="D158" s="35">
        <v>0</v>
      </c>
      <c r="E158" s="35">
        <v>107</v>
      </c>
      <c r="F158" s="35">
        <v>-9</v>
      </c>
      <c r="G158" s="35">
        <v>-91</v>
      </c>
      <c r="J158" s="35">
        <v>220200003</v>
      </c>
      <c r="K158" s="35">
        <v>202</v>
      </c>
      <c r="L158" s="35">
        <v>0</v>
      </c>
      <c r="M158" s="35">
        <v>45</v>
      </c>
      <c r="N158" s="35">
        <v>-2.0896912E-2</v>
      </c>
      <c r="O158" s="35">
        <v>-24</v>
      </c>
    </row>
    <row r="159" spans="1:61" x14ac:dyDescent="0.2">
      <c r="A159" s="44">
        <v>4</v>
      </c>
      <c r="B159" s="35">
        <v>220700008</v>
      </c>
      <c r="C159" s="35">
        <v>207</v>
      </c>
      <c r="D159" s="35">
        <v>0</v>
      </c>
      <c r="E159" s="35">
        <v>128</v>
      </c>
      <c r="F159" s="46">
        <v>-9</v>
      </c>
      <c r="G159" s="46">
        <v>-66</v>
      </c>
      <c r="J159" s="35">
        <v>220200004</v>
      </c>
      <c r="K159" s="35">
        <v>202</v>
      </c>
      <c r="L159" s="35">
        <v>0</v>
      </c>
      <c r="M159" s="35">
        <v>36</v>
      </c>
      <c r="N159" s="35" t="s">
        <v>340</v>
      </c>
      <c r="O159" s="35">
        <v>-54</v>
      </c>
    </row>
    <row r="160" spans="1:61" x14ac:dyDescent="0.2">
      <c r="A160" s="44">
        <v>4</v>
      </c>
      <c r="B160" s="35">
        <v>220700009</v>
      </c>
      <c r="C160" s="47">
        <v>207</v>
      </c>
      <c r="D160" s="47">
        <v>0</v>
      </c>
      <c r="E160" s="46">
        <v>104</v>
      </c>
      <c r="F160" s="48">
        <v>-9</v>
      </c>
      <c r="G160" s="48">
        <v>-66</v>
      </c>
      <c r="J160" s="35">
        <v>220300001</v>
      </c>
      <c r="K160" s="35">
        <v>203</v>
      </c>
      <c r="L160" s="35">
        <v>0</v>
      </c>
      <c r="M160" s="35">
        <v>123</v>
      </c>
      <c r="N160" s="35">
        <v>-9.0353390000000005</v>
      </c>
      <c r="O160" s="35">
        <v>-66</v>
      </c>
    </row>
    <row r="161" spans="1:15" x14ac:dyDescent="0.2">
      <c r="A161" s="44">
        <v>4</v>
      </c>
      <c r="B161" s="35">
        <v>220700010</v>
      </c>
      <c r="C161" s="47">
        <v>207</v>
      </c>
      <c r="D161" s="47">
        <v>0</v>
      </c>
      <c r="E161" s="48">
        <v>107</v>
      </c>
      <c r="F161" s="47">
        <v>-9</v>
      </c>
      <c r="G161" s="47">
        <v>-104</v>
      </c>
      <c r="J161" s="35">
        <v>220300002</v>
      </c>
      <c r="K161" s="35">
        <v>203</v>
      </c>
      <c r="L161" s="35">
        <v>0</v>
      </c>
      <c r="M161" s="35">
        <v>117</v>
      </c>
      <c r="N161" s="35">
        <v>-9.002872</v>
      </c>
      <c r="O161" s="35">
        <v>-90</v>
      </c>
    </row>
    <row r="162" spans="1:15" x14ac:dyDescent="0.2">
      <c r="A162" s="44">
        <v>4</v>
      </c>
      <c r="B162" s="35">
        <v>220700011</v>
      </c>
      <c r="C162" s="47">
        <v>207</v>
      </c>
      <c r="D162" s="47">
        <v>0</v>
      </c>
      <c r="E162" s="47">
        <v>83</v>
      </c>
      <c r="F162" s="47">
        <v>-9</v>
      </c>
      <c r="G162" s="47">
        <v>-105</v>
      </c>
      <c r="J162" s="35">
        <v>220300003</v>
      </c>
      <c r="K162" s="35">
        <v>203</v>
      </c>
      <c r="L162" s="35">
        <v>0</v>
      </c>
      <c r="M162" s="35">
        <v>93</v>
      </c>
      <c r="N162" s="35">
        <v>-9.0510219999999997</v>
      </c>
      <c r="O162" s="35">
        <v>-93</v>
      </c>
    </row>
    <row r="163" spans="1:15" x14ac:dyDescent="0.2">
      <c r="A163" s="44">
        <v>4</v>
      </c>
      <c r="B163" s="35">
        <v>220700012</v>
      </c>
      <c r="C163" s="47">
        <v>207</v>
      </c>
      <c r="D163" s="47">
        <v>0</v>
      </c>
      <c r="E163" s="47">
        <v>107</v>
      </c>
      <c r="F163" s="35">
        <v>-9</v>
      </c>
      <c r="G163" s="35">
        <v>-79</v>
      </c>
      <c r="J163" s="35">
        <v>220300004</v>
      </c>
      <c r="K163" s="35">
        <v>203</v>
      </c>
      <c r="L163" s="35">
        <v>0</v>
      </c>
      <c r="M163" s="35">
        <v>135</v>
      </c>
      <c r="N163" s="35">
        <v>-9.0353010000000005</v>
      </c>
      <c r="O163" s="35">
        <v>-42</v>
      </c>
    </row>
    <row r="164" spans="1:15" x14ac:dyDescent="0.2">
      <c r="A164" s="44">
        <v>4</v>
      </c>
      <c r="B164" s="35">
        <v>220800001</v>
      </c>
      <c r="C164" s="35">
        <v>208</v>
      </c>
      <c r="D164" s="35">
        <v>0</v>
      </c>
      <c r="E164" s="35">
        <v>-69</v>
      </c>
      <c r="F164" s="35">
        <v>13</v>
      </c>
      <c r="G164" s="35">
        <v>78</v>
      </c>
      <c r="H164" s="1" t="s">
        <v>240</v>
      </c>
      <c r="J164" s="35">
        <v>220400001</v>
      </c>
      <c r="K164" s="35">
        <v>204</v>
      </c>
      <c r="L164" s="35">
        <v>0</v>
      </c>
      <c r="M164" s="35">
        <v>66</v>
      </c>
      <c r="N164" s="35">
        <v>-9.0478970000000007</v>
      </c>
      <c r="O164" s="35">
        <v>-105</v>
      </c>
    </row>
    <row r="165" spans="1:15" x14ac:dyDescent="0.2">
      <c r="A165" s="44">
        <v>4</v>
      </c>
      <c r="B165" s="35">
        <v>220900001</v>
      </c>
      <c r="C165" s="35">
        <v>209</v>
      </c>
      <c r="D165" s="35">
        <v>0</v>
      </c>
      <c r="E165" s="35">
        <v>45</v>
      </c>
      <c r="F165" s="35">
        <v>0</v>
      </c>
      <c r="G165" s="35">
        <v>18</v>
      </c>
      <c r="H165" s="1" t="s">
        <v>241</v>
      </c>
      <c r="J165" s="35">
        <v>220400002</v>
      </c>
      <c r="K165" s="35">
        <v>204</v>
      </c>
      <c r="L165" s="35">
        <v>0</v>
      </c>
      <c r="M165" s="35">
        <v>51</v>
      </c>
      <c r="N165" s="35">
        <v>-9.0353390000000005</v>
      </c>
      <c r="O165" s="35">
        <v>-105</v>
      </c>
    </row>
    <row r="166" spans="1:15" x14ac:dyDescent="0.2">
      <c r="A166" s="44">
        <v>4</v>
      </c>
      <c r="B166" s="35">
        <v>221100001</v>
      </c>
      <c r="C166" s="35">
        <v>211</v>
      </c>
      <c r="D166" s="35">
        <v>0</v>
      </c>
      <c r="E166" s="35">
        <v>21</v>
      </c>
      <c r="F166" s="35">
        <v>0</v>
      </c>
      <c r="G166" s="35">
        <v>-38</v>
      </c>
      <c r="H166" s="1" t="s">
        <v>242</v>
      </c>
      <c r="J166" s="35">
        <v>220400003</v>
      </c>
      <c r="K166" s="35">
        <v>204</v>
      </c>
      <c r="L166" s="35">
        <v>0</v>
      </c>
      <c r="M166" s="35">
        <v>51</v>
      </c>
      <c r="N166" s="35">
        <v>-9.0353429999999992</v>
      </c>
      <c r="O166" s="35">
        <v>-120</v>
      </c>
    </row>
    <row r="167" spans="1:15" x14ac:dyDescent="0.2">
      <c r="A167" s="44">
        <v>4</v>
      </c>
      <c r="B167" s="35">
        <v>221200001</v>
      </c>
      <c r="C167" s="35">
        <v>212</v>
      </c>
      <c r="D167" s="35">
        <v>0</v>
      </c>
      <c r="E167" s="35">
        <v>129</v>
      </c>
      <c r="F167" s="35">
        <v>-4.5999999999999996</v>
      </c>
      <c r="G167" s="35">
        <v>52</v>
      </c>
      <c r="H167" s="1" t="s">
        <v>243</v>
      </c>
      <c r="J167" s="35">
        <v>220400004</v>
      </c>
      <c r="K167" s="35">
        <v>204</v>
      </c>
      <c r="L167" s="35">
        <v>0</v>
      </c>
      <c r="M167" s="35">
        <v>78</v>
      </c>
      <c r="N167" s="35">
        <v>-9.0505940000000002</v>
      </c>
      <c r="O167" s="35">
        <v>-105</v>
      </c>
    </row>
    <row r="168" spans="1:15" x14ac:dyDescent="0.2">
      <c r="A168" s="44">
        <v>4</v>
      </c>
      <c r="B168" s="35">
        <v>221300001</v>
      </c>
      <c r="C168" s="35">
        <v>213</v>
      </c>
      <c r="D168" s="35">
        <v>0</v>
      </c>
      <c r="E168" s="35">
        <v>16</v>
      </c>
      <c r="F168" s="35">
        <v>-18.5</v>
      </c>
      <c r="G168" s="35">
        <v>130</v>
      </c>
      <c r="H168" s="1" t="s">
        <v>244</v>
      </c>
      <c r="J168" s="35">
        <v>220500001</v>
      </c>
      <c r="K168" s="35" t="s">
        <v>341</v>
      </c>
      <c r="L168" s="35">
        <v>0</v>
      </c>
      <c r="M168" s="35">
        <v>-105</v>
      </c>
      <c r="N168" s="35">
        <v>-2.0900726000000001E-2</v>
      </c>
      <c r="O168" s="35">
        <v>-81</v>
      </c>
    </row>
    <row r="169" spans="1:15" x14ac:dyDescent="0.2">
      <c r="A169" s="44">
        <v>4</v>
      </c>
      <c r="B169" s="35">
        <v>221500001</v>
      </c>
      <c r="C169" s="35">
        <v>215</v>
      </c>
      <c r="D169" s="35">
        <v>0</v>
      </c>
      <c r="E169" s="35">
        <v>90</v>
      </c>
      <c r="F169" s="35">
        <v>0</v>
      </c>
      <c r="G169" s="35">
        <v>1</v>
      </c>
      <c r="H169" s="1" t="s">
        <v>245</v>
      </c>
      <c r="J169" s="35">
        <v>220500002</v>
      </c>
      <c r="K169" s="35">
        <v>205</v>
      </c>
      <c r="L169" s="35">
        <v>0</v>
      </c>
      <c r="M169" s="35">
        <v>-114</v>
      </c>
      <c r="N169" s="35">
        <v>-2.0896912E-2</v>
      </c>
      <c r="O169" s="35">
        <v>-63</v>
      </c>
    </row>
    <row r="170" spans="1:15" x14ac:dyDescent="0.2">
      <c r="A170" s="44">
        <v>4</v>
      </c>
      <c r="B170" s="35">
        <v>222200001</v>
      </c>
      <c r="C170" s="35">
        <v>222</v>
      </c>
      <c r="D170" s="35">
        <v>0</v>
      </c>
      <c r="E170" s="35">
        <v>48</v>
      </c>
      <c r="F170" s="47">
        <v>0</v>
      </c>
      <c r="G170" s="47">
        <v>-17</v>
      </c>
      <c r="H170" s="1" t="s">
        <v>246</v>
      </c>
      <c r="J170" s="35">
        <v>220600001</v>
      </c>
      <c r="K170" s="35">
        <v>206</v>
      </c>
      <c r="L170" s="35">
        <v>0</v>
      </c>
      <c r="M170" s="35">
        <v>48</v>
      </c>
      <c r="N170" s="35">
        <v>-2.0893096999999999E-2</v>
      </c>
      <c r="O170" s="35">
        <v>18</v>
      </c>
    </row>
    <row r="171" spans="1:15" x14ac:dyDescent="0.2">
      <c r="A171" s="44">
        <v>4</v>
      </c>
      <c r="B171" s="35">
        <v>222400001</v>
      </c>
      <c r="C171" s="35">
        <v>224</v>
      </c>
      <c r="D171" s="35">
        <v>0</v>
      </c>
      <c r="E171" s="47">
        <v>69</v>
      </c>
      <c r="F171" s="35">
        <v>0</v>
      </c>
      <c r="G171" s="35">
        <v>18</v>
      </c>
      <c r="H171" s="1" t="s">
        <v>247</v>
      </c>
      <c r="J171" s="35">
        <v>220700016</v>
      </c>
      <c r="K171" s="35">
        <v>207</v>
      </c>
      <c r="L171" s="35">
        <v>0</v>
      </c>
      <c r="M171" s="35">
        <v>123</v>
      </c>
      <c r="N171" s="35">
        <v>-8.0117650000000005</v>
      </c>
      <c r="O171" s="35">
        <v>-54</v>
      </c>
    </row>
    <row r="172" spans="1:15" x14ac:dyDescent="0.2">
      <c r="A172" s="44">
        <v>4</v>
      </c>
      <c r="B172" s="35">
        <v>222600001</v>
      </c>
      <c r="C172" s="35">
        <v>226</v>
      </c>
      <c r="D172" s="35">
        <v>0</v>
      </c>
      <c r="E172" s="35">
        <v>-7</v>
      </c>
      <c r="F172" s="35">
        <v>3</v>
      </c>
      <c r="G172" s="35">
        <v>66</v>
      </c>
      <c r="H172" s="1" t="s">
        <v>248</v>
      </c>
      <c r="J172" s="35">
        <v>220800001</v>
      </c>
      <c r="K172" s="35">
        <v>208</v>
      </c>
      <c r="L172" s="35">
        <v>0</v>
      </c>
      <c r="M172" s="35">
        <v>-69</v>
      </c>
      <c r="N172" s="35">
        <v>13</v>
      </c>
      <c r="O172" s="35">
        <v>78</v>
      </c>
    </row>
    <row r="173" spans="1:15" x14ac:dyDescent="0.2">
      <c r="A173" s="44">
        <v>4</v>
      </c>
      <c r="B173" s="35">
        <v>222700001</v>
      </c>
      <c r="C173" s="35">
        <v>227</v>
      </c>
      <c r="D173" s="35">
        <v>0</v>
      </c>
      <c r="E173" s="35">
        <v>135</v>
      </c>
      <c r="F173" s="35">
        <v>-9</v>
      </c>
      <c r="G173" s="35">
        <v>-12</v>
      </c>
      <c r="H173" s="1" t="s">
        <v>249</v>
      </c>
      <c r="J173" s="35">
        <v>221100001</v>
      </c>
      <c r="K173" s="35">
        <v>211</v>
      </c>
      <c r="L173" s="35" t="s">
        <v>342</v>
      </c>
      <c r="M173" s="35">
        <v>60</v>
      </c>
      <c r="N173" s="35">
        <v>-2.0896912E-2</v>
      </c>
      <c r="O173" s="35">
        <v>-45</v>
      </c>
    </row>
    <row r="174" spans="1:15" x14ac:dyDescent="0.2">
      <c r="A174" s="44">
        <v>4</v>
      </c>
      <c r="B174" s="35">
        <v>222700002</v>
      </c>
      <c r="C174" s="35">
        <v>227</v>
      </c>
      <c r="D174" s="35">
        <v>0</v>
      </c>
      <c r="E174" s="35">
        <v>136</v>
      </c>
      <c r="F174" s="35">
        <v>-8.56</v>
      </c>
      <c r="G174" s="35">
        <v>16</v>
      </c>
      <c r="J174" s="35">
        <v>221200001</v>
      </c>
      <c r="K174" s="35">
        <v>212</v>
      </c>
      <c r="L174" s="35">
        <v>0</v>
      </c>
      <c r="M174" s="35">
        <v>109.5</v>
      </c>
      <c r="N174" s="35">
        <v>-4.5999999999999996</v>
      </c>
      <c r="O174" s="35">
        <v>69</v>
      </c>
    </row>
    <row r="175" spans="1:15" x14ac:dyDescent="0.2">
      <c r="A175" s="44">
        <v>4</v>
      </c>
      <c r="B175" s="35">
        <v>222900001</v>
      </c>
      <c r="C175" s="35">
        <v>229</v>
      </c>
      <c r="D175" s="35">
        <v>0</v>
      </c>
      <c r="E175" s="35">
        <v>27</v>
      </c>
      <c r="F175" s="35">
        <v>0</v>
      </c>
      <c r="G175" s="35">
        <v>36</v>
      </c>
      <c r="H175" s="1" t="s">
        <v>296</v>
      </c>
      <c r="J175" s="35">
        <v>221300001</v>
      </c>
      <c r="K175" s="35">
        <v>213</v>
      </c>
      <c r="L175" s="35">
        <v>0</v>
      </c>
      <c r="M175" s="35">
        <v>16.5</v>
      </c>
      <c r="N175" s="35">
        <v>-18.48</v>
      </c>
      <c r="O175" s="35">
        <v>130.5</v>
      </c>
    </row>
    <row r="176" spans="1:15" x14ac:dyDescent="0.2">
      <c r="A176" s="44">
        <v>4</v>
      </c>
      <c r="B176" s="35">
        <v>223000001</v>
      </c>
      <c r="C176" s="35">
        <v>230</v>
      </c>
      <c r="D176" s="35">
        <v>0</v>
      </c>
      <c r="E176" s="35">
        <v>30</v>
      </c>
      <c r="F176" s="35">
        <v>0</v>
      </c>
      <c r="G176" s="35">
        <v>-17</v>
      </c>
      <c r="H176" s="1" t="s">
        <v>250</v>
      </c>
      <c r="J176" s="35">
        <v>221500001</v>
      </c>
      <c r="K176" s="35">
        <v>215</v>
      </c>
      <c r="L176" s="35">
        <v>0</v>
      </c>
      <c r="M176" s="35">
        <v>99</v>
      </c>
      <c r="N176" s="35">
        <v>0</v>
      </c>
      <c r="O176" s="35">
        <v>1</v>
      </c>
    </row>
    <row r="177" spans="1:15" x14ac:dyDescent="0.2">
      <c r="A177" s="44">
        <v>4</v>
      </c>
      <c r="B177" s="35">
        <v>223100001</v>
      </c>
      <c r="C177" s="35">
        <v>231</v>
      </c>
      <c r="D177" s="35">
        <v>0</v>
      </c>
      <c r="E177" s="35">
        <v>-13</v>
      </c>
      <c r="F177" s="35">
        <v>0</v>
      </c>
      <c r="G177" s="35">
        <v>-40</v>
      </c>
      <c r="H177" s="1" t="s">
        <v>251</v>
      </c>
      <c r="J177" s="35">
        <v>222200001</v>
      </c>
      <c r="K177" s="35">
        <v>222</v>
      </c>
      <c r="L177" s="35">
        <v>0</v>
      </c>
      <c r="M177" s="35">
        <v>30</v>
      </c>
      <c r="N177" s="35">
        <v>-2.0885468000000001E-2</v>
      </c>
      <c r="O177" s="35" t="s">
        <v>343</v>
      </c>
    </row>
    <row r="178" spans="1:15" x14ac:dyDescent="0.2">
      <c r="A178" s="44">
        <v>4</v>
      </c>
      <c r="B178" s="35">
        <v>223200001</v>
      </c>
      <c r="C178" s="35">
        <v>232</v>
      </c>
      <c r="D178" s="35">
        <v>0</v>
      </c>
      <c r="E178" s="35">
        <v>72</v>
      </c>
      <c r="F178" s="35">
        <v>0</v>
      </c>
      <c r="G178" s="35">
        <v>48</v>
      </c>
      <c r="H178" s="1" t="s">
        <v>252</v>
      </c>
      <c r="J178" s="35">
        <v>222400001</v>
      </c>
      <c r="K178" s="35">
        <v>224</v>
      </c>
      <c r="L178" s="35">
        <v>0</v>
      </c>
      <c r="M178" s="35">
        <v>72</v>
      </c>
      <c r="N178" s="35">
        <v>-2.0889281999999999E-2</v>
      </c>
      <c r="O178" s="35">
        <v>18</v>
      </c>
    </row>
    <row r="179" spans="1:15" x14ac:dyDescent="0.2">
      <c r="A179" s="44">
        <v>4</v>
      </c>
      <c r="B179" s="35">
        <v>223400001</v>
      </c>
      <c r="C179" s="35">
        <v>234</v>
      </c>
      <c r="D179" s="35">
        <v>0</v>
      </c>
      <c r="E179" s="35">
        <v>-111</v>
      </c>
      <c r="F179" s="35">
        <v>0</v>
      </c>
      <c r="G179" s="35">
        <v>-40</v>
      </c>
      <c r="H179" s="1" t="s">
        <v>297</v>
      </c>
      <c r="J179" s="35">
        <v>222600001</v>
      </c>
      <c r="K179" s="35">
        <v>226</v>
      </c>
      <c r="L179" s="35">
        <v>0</v>
      </c>
      <c r="M179" s="35">
        <v>-21</v>
      </c>
      <c r="N179" s="35">
        <v>3</v>
      </c>
      <c r="O179" s="35">
        <v>69</v>
      </c>
    </row>
    <row r="180" spans="1:15" x14ac:dyDescent="0.2">
      <c r="A180" s="44">
        <v>4</v>
      </c>
      <c r="B180" s="35">
        <v>223400002</v>
      </c>
      <c r="C180" s="35">
        <v>234</v>
      </c>
      <c r="D180" s="35">
        <v>0</v>
      </c>
      <c r="E180" s="35">
        <v>-111</v>
      </c>
      <c r="F180" s="35">
        <v>0</v>
      </c>
      <c r="G180" s="35">
        <v>-50</v>
      </c>
      <c r="J180" s="35">
        <v>222700001</v>
      </c>
      <c r="K180" s="35">
        <v>227</v>
      </c>
      <c r="L180" s="35">
        <v>0</v>
      </c>
      <c r="M180" s="35">
        <v>142</v>
      </c>
      <c r="N180" s="35">
        <v>-8.9</v>
      </c>
      <c r="O180" s="35">
        <v>20</v>
      </c>
    </row>
    <row r="181" spans="1:15" x14ac:dyDescent="0.2">
      <c r="A181" s="44">
        <v>4</v>
      </c>
      <c r="B181" s="35">
        <v>223400003</v>
      </c>
      <c r="C181" s="35">
        <v>234</v>
      </c>
      <c r="D181" s="35">
        <v>0</v>
      </c>
      <c r="E181" s="35">
        <v>-87</v>
      </c>
      <c r="F181" s="35">
        <v>0</v>
      </c>
      <c r="G181" s="35">
        <v>-50</v>
      </c>
      <c r="J181" s="35">
        <v>222700002</v>
      </c>
      <c r="K181" s="35">
        <v>227</v>
      </c>
      <c r="L181" s="35">
        <v>0</v>
      </c>
      <c r="M181" s="35">
        <v>152</v>
      </c>
      <c r="N181" s="35">
        <v>-8.9</v>
      </c>
      <c r="O181" s="35">
        <v>-41</v>
      </c>
    </row>
    <row r="182" spans="1:15" x14ac:dyDescent="0.2">
      <c r="A182" s="44">
        <v>4</v>
      </c>
      <c r="B182" s="35">
        <v>223500001</v>
      </c>
      <c r="C182" s="35">
        <v>235</v>
      </c>
      <c r="D182" s="35">
        <v>0</v>
      </c>
      <c r="E182" s="35">
        <v>-57</v>
      </c>
      <c r="F182" s="35">
        <v>5</v>
      </c>
      <c r="G182" s="35">
        <v>6</v>
      </c>
      <c r="H182" s="1" t="s">
        <v>253</v>
      </c>
      <c r="J182" s="35">
        <v>222900001</v>
      </c>
      <c r="K182" s="35">
        <v>229</v>
      </c>
      <c r="L182" s="35">
        <v>0</v>
      </c>
      <c r="M182" s="35">
        <v>-61.5</v>
      </c>
      <c r="N182" s="35">
        <v>-2.0900726000000001E-2</v>
      </c>
      <c r="O182" s="35">
        <v>-46.5</v>
      </c>
    </row>
    <row r="183" spans="1:15" x14ac:dyDescent="0.2">
      <c r="A183" s="44">
        <v>4</v>
      </c>
      <c r="B183" s="35">
        <v>223600001</v>
      </c>
      <c r="C183" s="35">
        <v>236</v>
      </c>
      <c r="D183" s="35">
        <v>0</v>
      </c>
      <c r="E183" s="35">
        <v>-35</v>
      </c>
      <c r="F183" s="35">
        <v>5</v>
      </c>
      <c r="G183" s="35">
        <v>6</v>
      </c>
      <c r="H183" s="1" t="s">
        <v>254</v>
      </c>
      <c r="J183" s="35">
        <v>223000001</v>
      </c>
      <c r="K183" s="35">
        <v>230</v>
      </c>
      <c r="L183" s="35">
        <v>0</v>
      </c>
      <c r="M183" s="35">
        <v>81</v>
      </c>
      <c r="N183" s="35">
        <v>-2.0893096999999999E-2</v>
      </c>
      <c r="O183" s="35">
        <v>-18</v>
      </c>
    </row>
    <row r="184" spans="1:15" x14ac:dyDescent="0.2">
      <c r="A184" s="44">
        <v>4</v>
      </c>
      <c r="B184" s="35">
        <v>223700001</v>
      </c>
      <c r="C184" s="35">
        <v>237</v>
      </c>
      <c r="D184" s="35">
        <v>0</v>
      </c>
      <c r="E184" s="35">
        <v>63</v>
      </c>
      <c r="F184" s="35">
        <v>0</v>
      </c>
      <c r="G184" s="35">
        <v>-41</v>
      </c>
      <c r="H184" s="1" t="s">
        <v>255</v>
      </c>
      <c r="J184" s="35">
        <v>223100001</v>
      </c>
      <c r="K184" s="35">
        <v>231</v>
      </c>
      <c r="L184" s="35">
        <v>0</v>
      </c>
      <c r="M184" s="35">
        <v>-31.5</v>
      </c>
      <c r="N184" s="35">
        <v>-2.0896912E-2</v>
      </c>
      <c r="O184" s="35">
        <v>-37.5</v>
      </c>
    </row>
    <row r="185" spans="1:15" x14ac:dyDescent="0.2">
      <c r="A185" s="44">
        <v>4</v>
      </c>
      <c r="B185" s="35">
        <v>230000001</v>
      </c>
      <c r="C185" s="35">
        <v>300</v>
      </c>
      <c r="D185" s="35">
        <v>0</v>
      </c>
      <c r="E185" s="35">
        <v>80</v>
      </c>
      <c r="F185" s="35">
        <v>-9</v>
      </c>
      <c r="G185" s="35">
        <v>107</v>
      </c>
      <c r="H185" s="1" t="s">
        <v>256</v>
      </c>
      <c r="J185" s="35">
        <v>223200001</v>
      </c>
      <c r="K185" s="35">
        <v>232</v>
      </c>
      <c r="L185" s="35">
        <v>0</v>
      </c>
      <c r="M185" s="35">
        <v>51</v>
      </c>
      <c r="N185" s="35">
        <v>-2.0885468000000001E-2</v>
      </c>
      <c r="O185" s="35">
        <v>45</v>
      </c>
    </row>
    <row r="186" spans="1:15" x14ac:dyDescent="0.2">
      <c r="A186" s="44">
        <v>4</v>
      </c>
      <c r="B186" s="35">
        <v>240000001</v>
      </c>
      <c r="C186" s="35">
        <v>400</v>
      </c>
      <c r="D186" s="35">
        <v>0</v>
      </c>
      <c r="E186" s="35">
        <v>-18</v>
      </c>
      <c r="F186" s="35">
        <v>0</v>
      </c>
      <c r="G186" s="35">
        <v>-62</v>
      </c>
      <c r="H186" s="1" t="s">
        <v>257</v>
      </c>
      <c r="J186" s="35">
        <v>223400001</v>
      </c>
      <c r="K186" s="35">
        <v>234</v>
      </c>
      <c r="L186" s="35">
        <v>0</v>
      </c>
      <c r="M186" s="35">
        <v>-114</v>
      </c>
      <c r="N186" s="35">
        <v>-2.0896912E-2</v>
      </c>
      <c r="O186" s="35">
        <v>-15</v>
      </c>
    </row>
    <row r="187" spans="1:15" x14ac:dyDescent="0.2">
      <c r="A187" s="44">
        <v>4</v>
      </c>
      <c r="B187" s="35">
        <v>240400001</v>
      </c>
      <c r="C187" s="35">
        <v>404</v>
      </c>
      <c r="D187" s="35">
        <v>0</v>
      </c>
      <c r="E187" s="35">
        <v>214.97</v>
      </c>
      <c r="F187" s="35">
        <v>-4.2</v>
      </c>
      <c r="G187" s="35">
        <v>89.09</v>
      </c>
      <c r="H187" s="1" t="s">
        <v>258</v>
      </c>
      <c r="J187" s="35">
        <v>223400002</v>
      </c>
      <c r="K187" s="35">
        <v>234</v>
      </c>
      <c r="L187" s="35">
        <v>0</v>
      </c>
      <c r="M187" s="35">
        <v>-108</v>
      </c>
      <c r="N187" s="35">
        <v>-2.0893096999999999E-2</v>
      </c>
      <c r="O187" s="35">
        <v>6</v>
      </c>
    </row>
    <row r="188" spans="1:15" x14ac:dyDescent="0.2">
      <c r="A188" s="44">
        <v>5</v>
      </c>
      <c r="B188" s="35">
        <v>220100001</v>
      </c>
      <c r="C188" s="35">
        <v>201</v>
      </c>
      <c r="D188" s="35">
        <v>0</v>
      </c>
      <c r="E188" s="35">
        <v>0</v>
      </c>
      <c r="F188" s="35">
        <v>0</v>
      </c>
      <c r="G188" s="35">
        <v>0</v>
      </c>
      <c r="H188" s="1" t="s">
        <v>233</v>
      </c>
      <c r="J188" s="35">
        <v>223500001</v>
      </c>
      <c r="K188" s="35">
        <v>235</v>
      </c>
      <c r="L188" s="35">
        <v>0</v>
      </c>
      <c r="M188" s="35">
        <v>-63</v>
      </c>
      <c r="N188" s="35">
        <v>5</v>
      </c>
      <c r="O188" s="35">
        <v>6</v>
      </c>
    </row>
    <row r="189" spans="1:15" x14ac:dyDescent="0.2">
      <c r="A189" s="44">
        <v>5</v>
      </c>
      <c r="B189" s="35">
        <v>220200001</v>
      </c>
      <c r="C189" s="35">
        <v>202</v>
      </c>
      <c r="D189" s="35">
        <v>0</v>
      </c>
      <c r="E189" s="35">
        <v>-37</v>
      </c>
      <c r="F189" s="35">
        <v>0</v>
      </c>
      <c r="G189" s="35">
        <v>-28</v>
      </c>
      <c r="H189" s="1" t="s">
        <v>234</v>
      </c>
      <c r="J189" s="35">
        <v>223600001</v>
      </c>
      <c r="K189" s="35">
        <v>236</v>
      </c>
      <c r="L189" s="35">
        <v>0</v>
      </c>
      <c r="M189" s="35">
        <v>-42</v>
      </c>
      <c r="N189" s="35">
        <v>5</v>
      </c>
      <c r="O189" s="35">
        <v>5</v>
      </c>
    </row>
    <row r="190" spans="1:15" x14ac:dyDescent="0.2">
      <c r="A190" s="44">
        <v>5</v>
      </c>
      <c r="B190" s="35">
        <v>220200002</v>
      </c>
      <c r="C190" s="35">
        <v>202</v>
      </c>
      <c r="D190" s="35">
        <v>0</v>
      </c>
      <c r="E190" s="35">
        <v>-50</v>
      </c>
      <c r="F190" s="1">
        <v>0</v>
      </c>
      <c r="G190" s="1">
        <v>-38</v>
      </c>
    </row>
    <row r="191" spans="1:15" x14ac:dyDescent="0.2">
      <c r="A191" s="35">
        <v>5</v>
      </c>
      <c r="B191" s="35">
        <v>220200003</v>
      </c>
      <c r="C191" s="35">
        <v>202</v>
      </c>
      <c r="D191" s="35">
        <v>0</v>
      </c>
      <c r="E191" s="35">
        <v>-37</v>
      </c>
      <c r="F191" s="35">
        <v>0</v>
      </c>
      <c r="G191" s="35">
        <v>-44</v>
      </c>
    </row>
    <row r="192" spans="1:15" x14ac:dyDescent="0.2">
      <c r="A192" s="1">
        <v>5</v>
      </c>
      <c r="B192" s="1">
        <v>220200004</v>
      </c>
      <c r="C192" s="1">
        <v>202</v>
      </c>
      <c r="D192" s="1">
        <v>0</v>
      </c>
      <c r="E192" s="1">
        <v>-37</v>
      </c>
      <c r="F192" s="1">
        <v>0</v>
      </c>
      <c r="G192" s="1">
        <v>-58</v>
      </c>
    </row>
    <row r="193" spans="1:8" x14ac:dyDescent="0.2">
      <c r="A193" s="1">
        <v>5</v>
      </c>
      <c r="B193" s="1">
        <v>220300001</v>
      </c>
      <c r="C193" s="1">
        <v>203</v>
      </c>
      <c r="D193" s="1">
        <v>0</v>
      </c>
      <c r="E193" s="1">
        <v>127</v>
      </c>
      <c r="F193" s="1">
        <v>-9</v>
      </c>
      <c r="G193" s="1">
        <v>-42</v>
      </c>
      <c r="H193" s="1" t="s">
        <v>235</v>
      </c>
    </row>
    <row r="194" spans="1:8" x14ac:dyDescent="0.2">
      <c r="A194" s="1">
        <v>5</v>
      </c>
      <c r="B194" s="1">
        <v>220300002</v>
      </c>
      <c r="C194" s="1">
        <v>203</v>
      </c>
      <c r="D194" s="1">
        <v>0</v>
      </c>
      <c r="E194" s="1">
        <v>120</v>
      </c>
      <c r="F194" s="1">
        <v>-9</v>
      </c>
      <c r="G194" s="1">
        <v>-79</v>
      </c>
    </row>
    <row r="195" spans="1:8" x14ac:dyDescent="0.2">
      <c r="A195" s="1">
        <v>5</v>
      </c>
      <c r="B195" s="1">
        <v>220300003</v>
      </c>
      <c r="C195" s="1">
        <v>203</v>
      </c>
      <c r="D195" s="1">
        <v>0</v>
      </c>
      <c r="E195" s="1">
        <v>95</v>
      </c>
      <c r="F195" s="1">
        <v>-9</v>
      </c>
      <c r="G195" s="1">
        <v>-83</v>
      </c>
    </row>
    <row r="196" spans="1:8" x14ac:dyDescent="0.2">
      <c r="A196" s="1">
        <v>5</v>
      </c>
      <c r="B196" s="1">
        <v>220300004</v>
      </c>
      <c r="C196" s="1">
        <v>203</v>
      </c>
      <c r="D196" s="1">
        <v>0</v>
      </c>
      <c r="E196" s="1">
        <v>117</v>
      </c>
      <c r="F196" s="1">
        <v>-9</v>
      </c>
      <c r="G196" s="1">
        <v>-54</v>
      </c>
    </row>
    <row r="197" spans="1:8" x14ac:dyDescent="0.2">
      <c r="A197" s="1">
        <v>5</v>
      </c>
      <c r="B197" s="1">
        <v>220400001</v>
      </c>
      <c r="C197" s="1">
        <v>204</v>
      </c>
      <c r="D197" s="1">
        <v>0</v>
      </c>
      <c r="E197" s="1">
        <v>57</v>
      </c>
      <c r="F197" s="1">
        <v>-9</v>
      </c>
      <c r="G197" s="1">
        <v>-105</v>
      </c>
      <c r="H197" s="1" t="s">
        <v>236</v>
      </c>
    </row>
    <row r="198" spans="1:8" x14ac:dyDescent="0.2">
      <c r="A198" s="1">
        <v>5</v>
      </c>
      <c r="B198" s="1">
        <v>220400002</v>
      </c>
      <c r="C198" s="1">
        <v>204</v>
      </c>
      <c r="D198" s="1">
        <v>0</v>
      </c>
      <c r="E198" s="1">
        <v>44</v>
      </c>
      <c r="F198" s="1">
        <v>-9</v>
      </c>
      <c r="G198" s="1">
        <v>-104</v>
      </c>
    </row>
    <row r="199" spans="1:8" x14ac:dyDescent="0.2">
      <c r="A199" s="1">
        <v>5</v>
      </c>
      <c r="B199" s="1">
        <v>220400003</v>
      </c>
      <c r="C199" s="1">
        <v>204</v>
      </c>
      <c r="D199" s="1">
        <v>0</v>
      </c>
      <c r="E199" s="1">
        <v>54</v>
      </c>
      <c r="F199" s="1">
        <v>-9</v>
      </c>
      <c r="G199" s="1">
        <v>-118</v>
      </c>
    </row>
    <row r="200" spans="1:8" x14ac:dyDescent="0.2">
      <c r="A200" s="1">
        <v>5</v>
      </c>
      <c r="B200" s="1">
        <v>220400004</v>
      </c>
      <c r="C200" s="1">
        <v>204</v>
      </c>
      <c r="D200" s="1">
        <v>0</v>
      </c>
      <c r="E200" s="1">
        <v>41</v>
      </c>
      <c r="F200" s="1">
        <v>-9</v>
      </c>
      <c r="G200" s="1">
        <v>-118</v>
      </c>
    </row>
    <row r="201" spans="1:8" x14ac:dyDescent="0.2">
      <c r="A201" s="1">
        <v>5</v>
      </c>
      <c r="B201" s="1">
        <v>220500001</v>
      </c>
      <c r="C201" s="1">
        <v>205</v>
      </c>
      <c r="D201" s="1">
        <v>0</v>
      </c>
      <c r="E201" s="1">
        <v>-101</v>
      </c>
      <c r="F201" s="1">
        <v>0</v>
      </c>
      <c r="G201" s="1">
        <v>-29</v>
      </c>
      <c r="H201" s="1" t="s">
        <v>237</v>
      </c>
    </row>
    <row r="202" spans="1:8" x14ac:dyDescent="0.2">
      <c r="A202" s="1">
        <v>5</v>
      </c>
      <c r="B202" s="1">
        <v>220500002</v>
      </c>
      <c r="C202" s="1">
        <v>205</v>
      </c>
      <c r="D202" s="1">
        <v>0</v>
      </c>
      <c r="E202" s="1">
        <v>-101</v>
      </c>
      <c r="F202" s="1">
        <v>0</v>
      </c>
      <c r="G202" s="1">
        <v>-15</v>
      </c>
    </row>
    <row r="203" spans="1:8" x14ac:dyDescent="0.2">
      <c r="A203" s="1">
        <v>5</v>
      </c>
      <c r="B203" s="1">
        <v>220500003</v>
      </c>
      <c r="C203" s="1">
        <v>205</v>
      </c>
      <c r="D203" s="1">
        <v>0</v>
      </c>
      <c r="E203" s="1">
        <v>-85</v>
      </c>
      <c r="F203" s="1">
        <v>0</v>
      </c>
      <c r="G203" s="1">
        <v>-29</v>
      </c>
    </row>
    <row r="204" spans="1:8" x14ac:dyDescent="0.2">
      <c r="A204" s="1">
        <v>5</v>
      </c>
      <c r="B204" s="1">
        <v>220500004</v>
      </c>
      <c r="C204" s="1">
        <v>205</v>
      </c>
      <c r="D204" s="1">
        <v>0</v>
      </c>
      <c r="E204" s="1">
        <v>-85</v>
      </c>
      <c r="F204" s="1">
        <v>0</v>
      </c>
      <c r="G204" s="1">
        <v>-39</v>
      </c>
    </row>
    <row r="205" spans="1:8" x14ac:dyDescent="0.2">
      <c r="A205" s="1">
        <v>5</v>
      </c>
      <c r="B205" s="1">
        <v>220600001</v>
      </c>
      <c r="C205" s="1">
        <v>206</v>
      </c>
      <c r="D205" s="1">
        <v>0</v>
      </c>
      <c r="E205" s="1">
        <v>48</v>
      </c>
      <c r="F205" s="1">
        <v>0</v>
      </c>
      <c r="G205" s="1">
        <v>48</v>
      </c>
      <c r="H205" s="1" t="s">
        <v>238</v>
      </c>
    </row>
    <row r="206" spans="1:8" x14ac:dyDescent="0.2">
      <c r="A206" s="1">
        <v>5</v>
      </c>
      <c r="B206" s="1">
        <v>220700001</v>
      </c>
      <c r="C206" s="1">
        <v>207</v>
      </c>
      <c r="D206" s="1">
        <v>0</v>
      </c>
      <c r="E206" s="1">
        <v>83</v>
      </c>
      <c r="F206" s="1">
        <v>-9</v>
      </c>
      <c r="G206" s="1">
        <v>-93</v>
      </c>
      <c r="H206" s="1" t="s">
        <v>239</v>
      </c>
    </row>
    <row r="207" spans="1:8" x14ac:dyDescent="0.2">
      <c r="A207" s="1">
        <v>5</v>
      </c>
      <c r="B207" s="1">
        <v>220700002</v>
      </c>
      <c r="C207" s="1">
        <v>207</v>
      </c>
      <c r="D207" s="1">
        <v>0</v>
      </c>
      <c r="E207" s="1">
        <v>115</v>
      </c>
      <c r="F207" s="1">
        <v>-9</v>
      </c>
      <c r="G207" s="1">
        <v>-42</v>
      </c>
    </row>
    <row r="208" spans="1:8" x14ac:dyDescent="0.2">
      <c r="A208" s="1">
        <v>5</v>
      </c>
      <c r="B208" s="1">
        <v>220700003</v>
      </c>
      <c r="C208" s="1">
        <v>207</v>
      </c>
      <c r="D208" s="1">
        <v>0</v>
      </c>
      <c r="E208" s="1">
        <v>128</v>
      </c>
      <c r="F208" s="1">
        <v>-9</v>
      </c>
      <c r="G208" s="1">
        <v>-54</v>
      </c>
    </row>
    <row r="209" spans="1:8" x14ac:dyDescent="0.2">
      <c r="A209" s="1">
        <v>5</v>
      </c>
      <c r="B209" s="1">
        <v>220700004</v>
      </c>
      <c r="C209" s="1">
        <v>207</v>
      </c>
      <c r="D209" s="1">
        <v>0</v>
      </c>
      <c r="E209" s="1">
        <v>116</v>
      </c>
      <c r="F209" s="1">
        <v>-9</v>
      </c>
      <c r="G209" s="1">
        <v>-66</v>
      </c>
    </row>
    <row r="210" spans="1:8" x14ac:dyDescent="0.2">
      <c r="A210" s="1">
        <v>5</v>
      </c>
      <c r="B210" s="1">
        <v>220700005</v>
      </c>
      <c r="C210" s="1">
        <v>207</v>
      </c>
      <c r="D210" s="1">
        <v>0</v>
      </c>
      <c r="E210" s="1">
        <v>95</v>
      </c>
      <c r="F210" s="1">
        <v>-9</v>
      </c>
      <c r="G210" s="1">
        <v>-96</v>
      </c>
    </row>
    <row r="211" spans="1:8" x14ac:dyDescent="0.2">
      <c r="A211" s="1">
        <v>5</v>
      </c>
      <c r="B211" s="1">
        <v>220700006</v>
      </c>
      <c r="C211" s="1">
        <v>207</v>
      </c>
      <c r="D211" s="1">
        <v>0</v>
      </c>
      <c r="E211" s="1">
        <v>119</v>
      </c>
      <c r="F211" s="1">
        <v>-9</v>
      </c>
      <c r="G211" s="1">
        <v>-92</v>
      </c>
    </row>
    <row r="212" spans="1:8" x14ac:dyDescent="0.2">
      <c r="A212" s="1">
        <v>5</v>
      </c>
      <c r="B212" s="1">
        <v>220700007</v>
      </c>
      <c r="C212" s="1">
        <v>207</v>
      </c>
      <c r="D212" s="1">
        <v>0</v>
      </c>
      <c r="E212" s="1">
        <v>107</v>
      </c>
      <c r="F212" s="1">
        <v>-9</v>
      </c>
      <c r="G212" s="1">
        <v>-91</v>
      </c>
    </row>
    <row r="213" spans="1:8" x14ac:dyDescent="0.2">
      <c r="A213" s="1">
        <v>5</v>
      </c>
      <c r="B213" s="1">
        <v>220700008</v>
      </c>
      <c r="C213" s="1">
        <v>207</v>
      </c>
      <c r="D213" s="1">
        <v>0</v>
      </c>
      <c r="E213" s="1">
        <v>128</v>
      </c>
      <c r="F213" s="1">
        <v>-9</v>
      </c>
      <c r="G213" s="1">
        <v>-66</v>
      </c>
    </row>
    <row r="214" spans="1:8" x14ac:dyDescent="0.2">
      <c r="A214" s="1">
        <v>5</v>
      </c>
      <c r="B214" s="1">
        <v>220700009</v>
      </c>
      <c r="C214" s="1">
        <v>207</v>
      </c>
      <c r="D214" s="1">
        <v>0</v>
      </c>
      <c r="E214" s="1">
        <v>104</v>
      </c>
      <c r="F214" s="1">
        <v>-9</v>
      </c>
      <c r="G214" s="1">
        <v>-66</v>
      </c>
    </row>
    <row r="215" spans="1:8" x14ac:dyDescent="0.2">
      <c r="A215" s="1">
        <v>5</v>
      </c>
      <c r="B215" s="1">
        <v>220700010</v>
      </c>
      <c r="C215" s="1">
        <v>207</v>
      </c>
      <c r="D215" s="1">
        <v>0</v>
      </c>
      <c r="E215" s="1">
        <v>107</v>
      </c>
      <c r="F215" s="1">
        <v>-9</v>
      </c>
      <c r="G215" s="1">
        <v>-104</v>
      </c>
    </row>
    <row r="216" spans="1:8" x14ac:dyDescent="0.2">
      <c r="A216" s="1">
        <v>5</v>
      </c>
      <c r="B216" s="1">
        <v>220700011</v>
      </c>
      <c r="C216" s="1">
        <v>207</v>
      </c>
      <c r="D216" s="1">
        <v>0</v>
      </c>
      <c r="E216" s="1">
        <v>83</v>
      </c>
      <c r="F216" s="1">
        <v>-9</v>
      </c>
      <c r="G216" s="1">
        <v>-105</v>
      </c>
    </row>
    <row r="217" spans="1:8" x14ac:dyDescent="0.2">
      <c r="A217" s="1">
        <v>5</v>
      </c>
      <c r="B217" s="1">
        <v>220700012</v>
      </c>
      <c r="C217" s="1">
        <v>207</v>
      </c>
      <c r="D217" s="1">
        <v>0</v>
      </c>
      <c r="E217" s="1">
        <v>107</v>
      </c>
      <c r="F217" s="1">
        <v>-9</v>
      </c>
      <c r="G217" s="1">
        <v>-79</v>
      </c>
    </row>
    <row r="218" spans="1:8" x14ac:dyDescent="0.2">
      <c r="A218" s="1">
        <v>5</v>
      </c>
      <c r="B218" s="1">
        <v>220700013</v>
      </c>
      <c r="C218" s="1">
        <v>207</v>
      </c>
      <c r="D218" s="1">
        <v>0</v>
      </c>
      <c r="E218" s="1">
        <v>123</v>
      </c>
      <c r="F218" s="1">
        <v>-9</v>
      </c>
      <c r="G218" s="1">
        <v>-29</v>
      </c>
    </row>
    <row r="219" spans="1:8" x14ac:dyDescent="0.2">
      <c r="A219" s="1">
        <v>5</v>
      </c>
      <c r="B219" s="1">
        <v>220700014</v>
      </c>
      <c r="C219" s="1">
        <v>207</v>
      </c>
      <c r="D219" s="1">
        <v>0</v>
      </c>
      <c r="E219" s="1">
        <v>70</v>
      </c>
      <c r="F219" s="1">
        <v>-9</v>
      </c>
      <c r="G219" s="1">
        <v>-97</v>
      </c>
    </row>
    <row r="220" spans="1:8" x14ac:dyDescent="0.2">
      <c r="A220" s="1">
        <v>5</v>
      </c>
      <c r="B220" s="1">
        <v>220700015</v>
      </c>
      <c r="C220" s="1">
        <v>207</v>
      </c>
      <c r="D220" s="1">
        <v>0</v>
      </c>
      <c r="E220" s="1">
        <v>70</v>
      </c>
      <c r="F220" s="1">
        <v>-9</v>
      </c>
      <c r="G220" s="1">
        <v>-110</v>
      </c>
    </row>
    <row r="221" spans="1:8" x14ac:dyDescent="0.2">
      <c r="A221" s="1">
        <v>5</v>
      </c>
      <c r="B221" s="1">
        <v>220700016</v>
      </c>
      <c r="C221" s="1">
        <v>207</v>
      </c>
      <c r="D221" s="1">
        <v>0</v>
      </c>
      <c r="E221" s="1">
        <v>95</v>
      </c>
      <c r="F221" s="1">
        <v>-9</v>
      </c>
      <c r="G221" s="1">
        <v>-109</v>
      </c>
    </row>
    <row r="222" spans="1:8" x14ac:dyDescent="0.2">
      <c r="A222" s="1">
        <v>5</v>
      </c>
      <c r="B222" s="1">
        <v>220800001</v>
      </c>
      <c r="C222" s="1">
        <v>208</v>
      </c>
      <c r="D222" s="1">
        <v>0</v>
      </c>
      <c r="E222" s="1">
        <v>-69</v>
      </c>
      <c r="F222" s="1">
        <v>13</v>
      </c>
      <c r="G222" s="1">
        <v>78</v>
      </c>
      <c r="H222" s="1" t="s">
        <v>240</v>
      </c>
    </row>
    <row r="223" spans="1:8" x14ac:dyDescent="0.2">
      <c r="A223" s="1">
        <v>5</v>
      </c>
      <c r="B223" s="1">
        <v>220900001</v>
      </c>
      <c r="C223" s="1">
        <v>209</v>
      </c>
      <c r="D223" s="1">
        <v>0</v>
      </c>
      <c r="E223" s="1">
        <v>45</v>
      </c>
      <c r="F223" s="1">
        <v>0</v>
      </c>
      <c r="G223" s="1">
        <v>18</v>
      </c>
      <c r="H223" s="1" t="s">
        <v>241</v>
      </c>
    </row>
    <row r="224" spans="1:8" x14ac:dyDescent="0.2">
      <c r="A224" s="1">
        <v>5</v>
      </c>
      <c r="B224" s="1">
        <v>221100001</v>
      </c>
      <c r="C224" s="1">
        <v>211</v>
      </c>
      <c r="D224" s="1">
        <v>0</v>
      </c>
      <c r="E224" s="1">
        <v>21</v>
      </c>
      <c r="F224" s="1">
        <v>0</v>
      </c>
      <c r="G224" s="1">
        <v>-38</v>
      </c>
      <c r="H224" s="1" t="s">
        <v>242</v>
      </c>
    </row>
    <row r="225" spans="1:8" x14ac:dyDescent="0.2">
      <c r="A225" s="1">
        <v>5</v>
      </c>
      <c r="B225" s="1">
        <v>221200001</v>
      </c>
      <c r="C225" s="1">
        <v>212</v>
      </c>
      <c r="D225" s="1">
        <v>0</v>
      </c>
      <c r="E225" s="1">
        <v>129</v>
      </c>
      <c r="F225" s="1">
        <v>-4.5999999999999996</v>
      </c>
      <c r="G225" s="1">
        <v>52</v>
      </c>
      <c r="H225" s="1" t="s">
        <v>243</v>
      </c>
    </row>
    <row r="226" spans="1:8" x14ac:dyDescent="0.2">
      <c r="A226" s="1">
        <v>5</v>
      </c>
      <c r="B226" s="1">
        <v>221300001</v>
      </c>
      <c r="C226" s="1">
        <v>213</v>
      </c>
      <c r="D226" s="1">
        <v>0</v>
      </c>
      <c r="E226" s="1">
        <v>16</v>
      </c>
      <c r="F226" s="1">
        <v>-18.5</v>
      </c>
      <c r="G226" s="1">
        <v>130</v>
      </c>
      <c r="H226" s="1" t="s">
        <v>244</v>
      </c>
    </row>
    <row r="227" spans="1:8" x14ac:dyDescent="0.2">
      <c r="A227" s="1">
        <v>5</v>
      </c>
      <c r="B227" s="1">
        <v>221500001</v>
      </c>
      <c r="C227" s="1">
        <v>215</v>
      </c>
      <c r="D227" s="1">
        <v>0</v>
      </c>
      <c r="E227" s="1">
        <v>90</v>
      </c>
      <c r="F227" s="1">
        <v>0</v>
      </c>
      <c r="G227" s="1">
        <v>1</v>
      </c>
      <c r="H227" s="1" t="s">
        <v>245</v>
      </c>
    </row>
    <row r="228" spans="1:8" x14ac:dyDescent="0.2">
      <c r="A228" s="1">
        <v>5</v>
      </c>
      <c r="B228" s="1">
        <v>222200001</v>
      </c>
      <c r="C228" s="1">
        <v>222</v>
      </c>
      <c r="D228" s="1">
        <v>0</v>
      </c>
      <c r="E228" s="1">
        <v>48</v>
      </c>
      <c r="F228" s="1">
        <v>0</v>
      </c>
      <c r="G228" s="1">
        <v>-17</v>
      </c>
      <c r="H228" s="1" t="s">
        <v>246</v>
      </c>
    </row>
    <row r="229" spans="1:8" x14ac:dyDescent="0.2">
      <c r="A229" s="1">
        <v>5</v>
      </c>
      <c r="B229" s="1">
        <v>222400001</v>
      </c>
      <c r="C229" s="1">
        <v>224</v>
      </c>
      <c r="D229" s="1">
        <v>0</v>
      </c>
      <c r="E229" s="1">
        <v>69</v>
      </c>
      <c r="F229" s="1">
        <v>0</v>
      </c>
      <c r="G229" s="1">
        <v>18</v>
      </c>
      <c r="H229" s="1" t="s">
        <v>247</v>
      </c>
    </row>
    <row r="230" spans="1:8" x14ac:dyDescent="0.2">
      <c r="A230" s="1">
        <v>5</v>
      </c>
      <c r="B230" s="1">
        <v>222600001</v>
      </c>
      <c r="C230" s="1">
        <v>226</v>
      </c>
      <c r="D230" s="1">
        <v>0</v>
      </c>
      <c r="E230" s="1">
        <v>-7</v>
      </c>
      <c r="F230" s="1">
        <v>3</v>
      </c>
      <c r="G230" s="1">
        <v>66</v>
      </c>
      <c r="H230" s="1" t="s">
        <v>248</v>
      </c>
    </row>
    <row r="231" spans="1:8" x14ac:dyDescent="0.2">
      <c r="A231" s="1">
        <v>5</v>
      </c>
      <c r="B231" s="1">
        <v>222700001</v>
      </c>
      <c r="C231" s="1">
        <v>227</v>
      </c>
      <c r="D231" s="1">
        <v>0</v>
      </c>
      <c r="E231" s="1">
        <v>135</v>
      </c>
      <c r="F231" s="1">
        <v>-9</v>
      </c>
      <c r="G231" s="1">
        <v>-12</v>
      </c>
      <c r="H231" s="1" t="s">
        <v>249</v>
      </c>
    </row>
    <row r="232" spans="1:8" x14ac:dyDescent="0.2">
      <c r="A232" s="1">
        <v>5</v>
      </c>
      <c r="B232" s="1">
        <v>222700002</v>
      </c>
      <c r="C232" s="1">
        <v>227</v>
      </c>
      <c r="D232" s="1">
        <v>0</v>
      </c>
      <c r="E232" s="1">
        <v>136</v>
      </c>
      <c r="F232" s="1">
        <v>-8.56</v>
      </c>
      <c r="G232" s="1">
        <v>16</v>
      </c>
    </row>
    <row r="233" spans="1:8" x14ac:dyDescent="0.2">
      <c r="A233" s="1">
        <v>5</v>
      </c>
      <c r="B233" s="1">
        <v>222900001</v>
      </c>
      <c r="C233" s="1">
        <v>229</v>
      </c>
      <c r="D233" s="1">
        <v>0</v>
      </c>
      <c r="E233" s="1">
        <v>27</v>
      </c>
      <c r="F233" s="1">
        <v>0</v>
      </c>
      <c r="G233" s="1">
        <v>36</v>
      </c>
      <c r="H233" s="1" t="s">
        <v>296</v>
      </c>
    </row>
    <row r="234" spans="1:8" x14ac:dyDescent="0.2">
      <c r="A234" s="1">
        <v>5</v>
      </c>
      <c r="B234" s="1">
        <v>223000001</v>
      </c>
      <c r="C234" s="1">
        <v>230</v>
      </c>
      <c r="D234" s="1">
        <v>0</v>
      </c>
      <c r="E234" s="1">
        <v>30</v>
      </c>
      <c r="F234" s="1">
        <v>0</v>
      </c>
      <c r="G234" s="1">
        <v>-17</v>
      </c>
      <c r="H234" s="1" t="s">
        <v>250</v>
      </c>
    </row>
    <row r="235" spans="1:8" x14ac:dyDescent="0.2">
      <c r="A235" s="1">
        <v>5</v>
      </c>
      <c r="B235" s="1">
        <v>223100001</v>
      </c>
      <c r="C235" s="1">
        <v>231</v>
      </c>
      <c r="D235" s="1">
        <v>0</v>
      </c>
      <c r="E235" s="1">
        <v>-13</v>
      </c>
      <c r="F235" s="1">
        <v>0</v>
      </c>
      <c r="G235" s="1">
        <v>-40</v>
      </c>
      <c r="H235" s="1" t="s">
        <v>251</v>
      </c>
    </row>
    <row r="236" spans="1:8" x14ac:dyDescent="0.2">
      <c r="A236" s="1">
        <v>5</v>
      </c>
      <c r="B236" s="1">
        <v>223200001</v>
      </c>
      <c r="C236" s="1">
        <v>232</v>
      </c>
      <c r="D236" s="1">
        <v>0</v>
      </c>
      <c r="E236" s="1">
        <v>72</v>
      </c>
      <c r="F236" s="1">
        <v>0</v>
      </c>
      <c r="G236" s="1">
        <v>48</v>
      </c>
      <c r="H236" s="1" t="s">
        <v>252</v>
      </c>
    </row>
    <row r="237" spans="1:8" x14ac:dyDescent="0.2">
      <c r="A237" s="1">
        <v>5</v>
      </c>
      <c r="B237" s="1">
        <v>223400001</v>
      </c>
      <c r="C237" s="1">
        <v>234</v>
      </c>
      <c r="D237" s="1">
        <v>0</v>
      </c>
      <c r="E237" s="1">
        <v>-111</v>
      </c>
      <c r="F237" s="1">
        <v>0</v>
      </c>
      <c r="G237" s="1">
        <v>-40</v>
      </c>
      <c r="H237" s="1" t="s">
        <v>297</v>
      </c>
    </row>
    <row r="238" spans="1:8" x14ac:dyDescent="0.2">
      <c r="A238" s="1">
        <v>5</v>
      </c>
      <c r="B238" s="1">
        <v>223400002</v>
      </c>
      <c r="C238" s="1">
        <v>234</v>
      </c>
      <c r="D238" s="1">
        <v>0</v>
      </c>
      <c r="E238" s="1">
        <v>-111</v>
      </c>
      <c r="F238" s="1">
        <v>0</v>
      </c>
      <c r="G238" s="1">
        <v>-50</v>
      </c>
    </row>
    <row r="239" spans="1:8" x14ac:dyDescent="0.2">
      <c r="A239" s="1">
        <v>5</v>
      </c>
      <c r="B239" s="1">
        <v>223400003</v>
      </c>
      <c r="C239" s="1">
        <v>234</v>
      </c>
      <c r="D239" s="1">
        <v>0</v>
      </c>
      <c r="E239" s="1">
        <v>-87</v>
      </c>
      <c r="F239" s="1">
        <v>0</v>
      </c>
      <c r="G239" s="1">
        <v>-50</v>
      </c>
    </row>
    <row r="240" spans="1:8" x14ac:dyDescent="0.2">
      <c r="A240" s="1">
        <v>5</v>
      </c>
      <c r="B240" s="1">
        <v>223400004</v>
      </c>
      <c r="C240" s="1">
        <v>234</v>
      </c>
      <c r="D240" s="1">
        <v>0</v>
      </c>
      <c r="E240" s="1">
        <v>-95</v>
      </c>
      <c r="F240" s="1">
        <v>0</v>
      </c>
      <c r="G240" s="1">
        <v>-60</v>
      </c>
    </row>
    <row r="241" spans="1:8" x14ac:dyDescent="0.2">
      <c r="A241" s="1">
        <v>5</v>
      </c>
      <c r="B241" s="1">
        <v>223500001</v>
      </c>
      <c r="C241" s="1">
        <v>235</v>
      </c>
      <c r="D241" s="1">
        <v>0</v>
      </c>
      <c r="E241" s="1">
        <v>-57</v>
      </c>
      <c r="F241" s="1">
        <v>5</v>
      </c>
      <c r="G241" s="1">
        <v>6</v>
      </c>
      <c r="H241" s="1" t="s">
        <v>253</v>
      </c>
    </row>
    <row r="242" spans="1:8" x14ac:dyDescent="0.2">
      <c r="A242" s="1">
        <v>5</v>
      </c>
      <c r="B242" s="1">
        <v>223600001</v>
      </c>
      <c r="C242" s="1">
        <v>236</v>
      </c>
      <c r="D242" s="1">
        <v>0</v>
      </c>
      <c r="E242" s="1">
        <v>-35</v>
      </c>
      <c r="F242" s="1">
        <v>5</v>
      </c>
      <c r="G242" s="1">
        <v>6</v>
      </c>
      <c r="H242" s="1" t="s">
        <v>254</v>
      </c>
    </row>
    <row r="243" spans="1:8" x14ac:dyDescent="0.2">
      <c r="A243" s="1">
        <v>5</v>
      </c>
      <c r="B243" s="1">
        <v>223700001</v>
      </c>
      <c r="C243" s="1">
        <v>237</v>
      </c>
      <c r="D243" s="1">
        <v>0</v>
      </c>
      <c r="E243" s="1">
        <v>63</v>
      </c>
      <c r="F243" s="1">
        <v>0</v>
      </c>
      <c r="G243" s="1">
        <v>-41</v>
      </c>
      <c r="H243" s="1" t="s">
        <v>255</v>
      </c>
    </row>
    <row r="244" spans="1:8" x14ac:dyDescent="0.2">
      <c r="A244" s="1">
        <v>5</v>
      </c>
      <c r="B244" s="1">
        <v>230000001</v>
      </c>
      <c r="C244" s="1">
        <v>300</v>
      </c>
      <c r="D244" s="1">
        <v>0</v>
      </c>
      <c r="E244" s="1">
        <v>80</v>
      </c>
      <c r="F244" s="1">
        <v>-9</v>
      </c>
      <c r="G244" s="1">
        <v>107</v>
      </c>
      <c r="H244" s="1" t="s">
        <v>256</v>
      </c>
    </row>
    <row r="245" spans="1:8" x14ac:dyDescent="0.2">
      <c r="A245" s="1">
        <v>5</v>
      </c>
      <c r="B245" s="1">
        <v>240000001</v>
      </c>
      <c r="C245" s="1">
        <v>400</v>
      </c>
      <c r="D245" s="1">
        <v>0</v>
      </c>
      <c r="E245" s="1">
        <v>-18</v>
      </c>
      <c r="F245" s="1">
        <v>0</v>
      </c>
      <c r="G245" s="1">
        <v>-62</v>
      </c>
      <c r="H245" s="1" t="s">
        <v>257</v>
      </c>
    </row>
    <row r="246" spans="1:8" x14ac:dyDescent="0.2">
      <c r="A246" s="1">
        <v>5</v>
      </c>
      <c r="B246" s="1">
        <v>240400001</v>
      </c>
      <c r="C246" s="1">
        <v>404</v>
      </c>
      <c r="D246" s="1">
        <v>0</v>
      </c>
      <c r="E246" s="1">
        <v>214.97</v>
      </c>
      <c r="F246" s="1">
        <v>-4.2</v>
      </c>
      <c r="G246" s="1">
        <v>89.09</v>
      </c>
      <c r="H246" s="1" t="s">
        <v>258</v>
      </c>
    </row>
  </sheetData>
  <phoneticPr fontId="1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46"/>
  <sheetViews>
    <sheetView topLeftCell="A194" workbookViewId="0">
      <selection sqref="A1:H246"/>
    </sheetView>
  </sheetViews>
  <sheetFormatPr defaultColWidth="9" defaultRowHeight="14.25" x14ac:dyDescent="0.2"/>
  <sheetData>
    <row r="1" spans="1:15" x14ac:dyDescent="0.2">
      <c r="A1" s="35" t="s">
        <v>344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  <c r="H2" s="1"/>
      <c r="I2" s="1"/>
      <c r="J2" s="1"/>
      <c r="K2" s="1"/>
      <c r="L2" s="1"/>
      <c r="M2" s="1"/>
      <c r="N2" s="1"/>
      <c r="O2" s="1"/>
    </row>
    <row r="3" spans="1:15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  <c r="H3" s="1"/>
      <c r="I3" s="1"/>
      <c r="J3" s="1"/>
      <c r="K3" s="1"/>
      <c r="L3" s="1"/>
      <c r="M3" s="1"/>
      <c r="N3" s="1"/>
      <c r="O3" s="1"/>
    </row>
    <row r="4" spans="1:15" x14ac:dyDescent="0.2">
      <c r="A4" s="35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  <c r="H4" s="1"/>
      <c r="I4" s="1"/>
      <c r="J4" s="1"/>
      <c r="K4" s="1"/>
      <c r="L4" s="1"/>
      <c r="M4" s="1"/>
      <c r="N4" s="1"/>
      <c r="O4" s="1"/>
    </row>
    <row r="5" spans="1:15" x14ac:dyDescent="0.2">
      <c r="A5" s="35">
        <v>1</v>
      </c>
      <c r="B5" s="35">
        <v>220200001</v>
      </c>
      <c r="C5" s="35">
        <v>202</v>
      </c>
      <c r="D5" s="35">
        <v>0</v>
      </c>
      <c r="E5" s="35">
        <v>54</v>
      </c>
      <c r="F5" s="35">
        <v>-0.47058867999999998</v>
      </c>
      <c r="G5" s="35">
        <v>-51</v>
      </c>
      <c r="H5" s="1"/>
      <c r="I5" s="1"/>
      <c r="J5" s="1"/>
      <c r="K5" s="1"/>
      <c r="L5" s="1"/>
      <c r="M5" s="1"/>
      <c r="N5" s="1"/>
      <c r="O5" s="1"/>
    </row>
    <row r="6" spans="1:15" x14ac:dyDescent="0.2">
      <c r="A6" s="35">
        <v>1</v>
      </c>
      <c r="B6" s="35">
        <v>220200002</v>
      </c>
      <c r="C6" s="35">
        <v>202</v>
      </c>
      <c r="D6" s="35">
        <v>0</v>
      </c>
      <c r="E6" s="35">
        <v>-30</v>
      </c>
      <c r="F6" s="35">
        <v>-0.47058867999999998</v>
      </c>
      <c r="G6" s="35">
        <v>-60</v>
      </c>
      <c r="H6" s="1"/>
      <c r="I6" s="1"/>
      <c r="J6" s="1"/>
      <c r="K6" s="1"/>
      <c r="L6" s="1"/>
      <c r="M6" s="1"/>
      <c r="N6" s="1"/>
      <c r="O6" s="1"/>
    </row>
    <row r="7" spans="1:15" x14ac:dyDescent="0.2">
      <c r="A7" s="35">
        <v>1</v>
      </c>
      <c r="B7" s="35">
        <v>220200003</v>
      </c>
      <c r="C7" s="35">
        <v>202</v>
      </c>
      <c r="D7" s="35">
        <v>0</v>
      </c>
      <c r="E7" s="35">
        <v>-36</v>
      </c>
      <c r="F7" s="35">
        <v>-0.47058867999999998</v>
      </c>
      <c r="G7" s="35">
        <v>-33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35">
        <v>1</v>
      </c>
      <c r="B8" s="35">
        <v>220200004</v>
      </c>
      <c r="C8" s="35">
        <v>202</v>
      </c>
      <c r="D8" s="35">
        <v>0</v>
      </c>
      <c r="E8" s="35">
        <v>63</v>
      </c>
      <c r="F8" s="35">
        <v>-0.47058867999999998</v>
      </c>
      <c r="G8" s="35">
        <v>-18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35">
        <v>1</v>
      </c>
      <c r="B9" s="35">
        <v>220200013</v>
      </c>
      <c r="C9" s="35">
        <v>202</v>
      </c>
      <c r="D9" s="35">
        <v>0</v>
      </c>
      <c r="E9" s="35">
        <v>-42</v>
      </c>
      <c r="F9" s="35">
        <v>-0.47058867999999998</v>
      </c>
      <c r="G9" s="35">
        <v>-57</v>
      </c>
      <c r="H9" s="1"/>
      <c r="I9" s="1"/>
      <c r="J9" s="1"/>
      <c r="K9" s="1"/>
      <c r="L9" s="1"/>
      <c r="M9" s="1"/>
      <c r="N9" s="1"/>
      <c r="O9" s="1"/>
    </row>
    <row r="10" spans="1:15" x14ac:dyDescent="0.2">
      <c r="A10" s="35">
        <v>1</v>
      </c>
      <c r="B10" s="35">
        <v>220200014</v>
      </c>
      <c r="C10" s="35">
        <v>202</v>
      </c>
      <c r="D10" s="35">
        <v>0</v>
      </c>
      <c r="E10" s="35">
        <v>66</v>
      </c>
      <c r="F10" s="35">
        <v>-0.47058867999999998</v>
      </c>
      <c r="G10" s="35">
        <v>-30</v>
      </c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35">
        <v>1</v>
      </c>
      <c r="B11" s="35">
        <v>220300001</v>
      </c>
      <c r="C11" s="35">
        <v>203</v>
      </c>
      <c r="D11" s="35">
        <v>0</v>
      </c>
      <c r="E11" s="35">
        <v>45</v>
      </c>
      <c r="F11" s="35">
        <v>-8.9653969999999994</v>
      </c>
      <c r="G11" s="35">
        <v>-117</v>
      </c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35">
        <v>1</v>
      </c>
      <c r="B12" s="35">
        <v>220300002</v>
      </c>
      <c r="C12" s="35">
        <v>203</v>
      </c>
      <c r="D12" s="35">
        <v>0</v>
      </c>
      <c r="E12" s="35">
        <v>-24</v>
      </c>
      <c r="F12" s="35">
        <v>-8.9653969999999994</v>
      </c>
      <c r="G12" s="35">
        <v>-111</v>
      </c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35">
        <v>1</v>
      </c>
      <c r="B13" s="35">
        <v>220300003</v>
      </c>
      <c r="C13" s="35">
        <v>203</v>
      </c>
      <c r="D13" s="35">
        <v>0</v>
      </c>
      <c r="E13" s="35">
        <v>117</v>
      </c>
      <c r="F13" s="35">
        <v>-9.1450980000000008</v>
      </c>
      <c r="G13" s="35">
        <v>-78</v>
      </c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35">
        <v>1</v>
      </c>
      <c r="B14" s="35">
        <v>220300004</v>
      </c>
      <c r="C14" s="35">
        <v>203</v>
      </c>
      <c r="D14" s="35">
        <v>0</v>
      </c>
      <c r="E14" s="35">
        <v>-12</v>
      </c>
      <c r="F14" s="35">
        <v>-0.47058867999999998</v>
      </c>
      <c r="G14" s="35">
        <v>-60</v>
      </c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35">
        <v>1</v>
      </c>
      <c r="B15" s="35">
        <v>220300005</v>
      </c>
      <c r="C15" s="35">
        <v>203</v>
      </c>
      <c r="D15" s="35">
        <v>0</v>
      </c>
      <c r="E15" s="35">
        <v>-90</v>
      </c>
      <c r="F15" s="35">
        <v>-0.47058867999999998</v>
      </c>
      <c r="G15" s="35">
        <v>-42</v>
      </c>
      <c r="H15" s="1"/>
      <c r="I15" s="1"/>
      <c r="J15" s="1"/>
      <c r="K15" s="1"/>
      <c r="L15" s="1"/>
      <c r="M15" s="1"/>
      <c r="N15" s="1"/>
      <c r="O15" s="1"/>
    </row>
    <row r="16" spans="1:15" x14ac:dyDescent="0.2">
      <c r="A16" s="35">
        <v>1</v>
      </c>
      <c r="B16" s="35">
        <v>220300006</v>
      </c>
      <c r="C16" s="35">
        <v>203</v>
      </c>
      <c r="D16" s="35">
        <v>0</v>
      </c>
      <c r="E16" s="35">
        <v>54</v>
      </c>
      <c r="F16" s="35">
        <v>-0.47058867999999998</v>
      </c>
      <c r="G16" s="35">
        <v>33</v>
      </c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35">
        <v>1</v>
      </c>
      <c r="B17" s="35">
        <v>220400001</v>
      </c>
      <c r="C17" s="35">
        <v>204</v>
      </c>
      <c r="D17" s="35">
        <v>0</v>
      </c>
      <c r="E17" s="35">
        <v>115.5</v>
      </c>
      <c r="F17" s="35">
        <v>-9.4549009999999996</v>
      </c>
      <c r="G17" s="35">
        <v>-100.5</v>
      </c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35">
        <v>1</v>
      </c>
      <c r="B18" s="35">
        <v>220400002</v>
      </c>
      <c r="C18" s="35">
        <v>204</v>
      </c>
      <c r="D18" s="35">
        <v>0</v>
      </c>
      <c r="E18" s="35">
        <v>118.5</v>
      </c>
      <c r="F18" s="35">
        <v>-9.1450980000000008</v>
      </c>
      <c r="G18" s="35">
        <v>-52.5</v>
      </c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35">
        <v>1</v>
      </c>
      <c r="B19" s="35">
        <v>220400003</v>
      </c>
      <c r="C19" s="35">
        <v>204</v>
      </c>
      <c r="D19" s="35">
        <v>0</v>
      </c>
      <c r="E19" s="35">
        <v>112.5</v>
      </c>
      <c r="F19" s="35">
        <v>-9.1450980000000008</v>
      </c>
      <c r="G19" s="35">
        <v>-31.5</v>
      </c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35">
        <v>1</v>
      </c>
      <c r="B20" s="35">
        <v>220400004</v>
      </c>
      <c r="C20" s="35">
        <v>204</v>
      </c>
      <c r="D20" s="35">
        <v>0</v>
      </c>
      <c r="E20" s="35">
        <v>-46.5</v>
      </c>
      <c r="F20" s="35">
        <v>-9.1450980000000008</v>
      </c>
      <c r="G20" s="35">
        <v>-106.5</v>
      </c>
      <c r="H20" s="1"/>
      <c r="I20" s="1"/>
      <c r="J20" s="1"/>
      <c r="K20" s="1"/>
      <c r="L20" s="1"/>
      <c r="M20" s="1"/>
      <c r="N20" s="1"/>
      <c r="O20" s="1"/>
    </row>
    <row r="21" spans="1:15" x14ac:dyDescent="0.2">
      <c r="A21" s="35">
        <v>1</v>
      </c>
      <c r="B21" s="35">
        <v>220400005</v>
      </c>
      <c r="C21" s="35">
        <v>204</v>
      </c>
      <c r="D21" s="35">
        <v>0</v>
      </c>
      <c r="E21" s="35">
        <v>55.5</v>
      </c>
      <c r="F21" s="35">
        <v>-9.4549009999999996</v>
      </c>
      <c r="G21" s="35">
        <v>-115.5</v>
      </c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35">
        <v>1</v>
      </c>
      <c r="B22" s="35">
        <v>220400006</v>
      </c>
      <c r="C22" s="35">
        <v>204</v>
      </c>
      <c r="D22" s="35">
        <v>0</v>
      </c>
      <c r="E22" s="35">
        <v>136.5</v>
      </c>
      <c r="F22" s="35">
        <v>-8.9653969999999994</v>
      </c>
      <c r="G22" s="35">
        <v>-43.5</v>
      </c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35">
        <v>1</v>
      </c>
      <c r="B23" s="35">
        <v>220500001</v>
      </c>
      <c r="C23" s="35">
        <v>205</v>
      </c>
      <c r="D23" s="35">
        <v>0</v>
      </c>
      <c r="E23" s="35">
        <v>-93</v>
      </c>
      <c r="F23" s="35">
        <v>-0.47058867999999998</v>
      </c>
      <c r="G23" s="35">
        <v>-18</v>
      </c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35">
        <v>1</v>
      </c>
      <c r="B24" s="35">
        <v>220500002</v>
      </c>
      <c r="C24" s="35">
        <v>205</v>
      </c>
      <c r="D24" s="35">
        <v>0</v>
      </c>
      <c r="E24" s="35">
        <v>-48</v>
      </c>
      <c r="F24" s="35">
        <v>-0.47058867999999998</v>
      </c>
      <c r="G24" s="35">
        <v>-45</v>
      </c>
      <c r="H24" s="1"/>
      <c r="I24" s="1"/>
      <c r="J24" s="1"/>
      <c r="K24" s="1"/>
      <c r="L24" s="1"/>
      <c r="M24" s="1"/>
      <c r="N24" s="1"/>
      <c r="O24" s="1"/>
    </row>
    <row r="25" spans="1:15" x14ac:dyDescent="0.2">
      <c r="A25" s="35">
        <v>1</v>
      </c>
      <c r="B25" s="35">
        <v>220500003</v>
      </c>
      <c r="C25" s="35">
        <v>205</v>
      </c>
      <c r="D25" s="35">
        <v>0</v>
      </c>
      <c r="E25" s="35">
        <v>-90</v>
      </c>
      <c r="F25" s="35">
        <v>-0.47058867999999998</v>
      </c>
      <c r="G25" s="35">
        <v>-63</v>
      </c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35">
        <v>1</v>
      </c>
      <c r="B26" s="35">
        <v>220500004</v>
      </c>
      <c r="C26" s="35">
        <v>205</v>
      </c>
      <c r="D26" s="35">
        <v>0</v>
      </c>
      <c r="E26" s="35">
        <v>39</v>
      </c>
      <c r="F26" s="35">
        <v>-0.47058867999999998</v>
      </c>
      <c r="G26" s="35">
        <v>-54</v>
      </c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35">
        <v>1</v>
      </c>
      <c r="B27" s="35">
        <v>220500005</v>
      </c>
      <c r="C27" s="35">
        <v>205</v>
      </c>
      <c r="D27" s="35">
        <v>0</v>
      </c>
      <c r="E27" s="35">
        <v>45</v>
      </c>
      <c r="F27" s="35">
        <v>-9.4549009999999996</v>
      </c>
      <c r="G27" s="35">
        <v>-102</v>
      </c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35">
        <v>1</v>
      </c>
      <c r="B28" s="35">
        <v>220500006</v>
      </c>
      <c r="C28" s="35">
        <v>205</v>
      </c>
      <c r="D28" s="35">
        <v>0</v>
      </c>
      <c r="E28" s="35">
        <v>93</v>
      </c>
      <c r="F28" s="35">
        <v>-9.4549009999999996</v>
      </c>
      <c r="G28" s="35">
        <v>-99</v>
      </c>
      <c r="H28" s="1"/>
      <c r="I28" s="1"/>
      <c r="J28" s="1"/>
      <c r="K28" s="35" t="s">
        <v>338</v>
      </c>
      <c r="L28" s="1"/>
      <c r="M28" s="1"/>
      <c r="N28" s="1"/>
      <c r="O28" s="1"/>
    </row>
    <row r="29" spans="1:15" x14ac:dyDescent="0.2">
      <c r="A29" s="35">
        <v>1</v>
      </c>
      <c r="B29" s="35">
        <v>220600001</v>
      </c>
      <c r="C29" s="35">
        <v>206</v>
      </c>
      <c r="D29" s="35">
        <v>0</v>
      </c>
      <c r="E29" s="35">
        <v>42</v>
      </c>
      <c r="F29" s="35">
        <v>-0.47058867999999998</v>
      </c>
      <c r="G29" s="35">
        <v>18</v>
      </c>
      <c r="H29" s="1"/>
      <c r="I29" s="1"/>
      <c r="J29" s="1"/>
      <c r="K29" s="35" t="s">
        <v>339</v>
      </c>
      <c r="L29" s="1"/>
      <c r="M29" s="1"/>
      <c r="N29" s="1"/>
      <c r="O29" s="1"/>
    </row>
    <row r="30" spans="1:15" x14ac:dyDescent="0.2">
      <c r="A30" s="35">
        <v>1</v>
      </c>
      <c r="B30" s="35">
        <v>220700001</v>
      </c>
      <c r="C30" s="35">
        <v>207</v>
      </c>
      <c r="D30" s="35">
        <v>0</v>
      </c>
      <c r="E30" s="35">
        <v>105</v>
      </c>
      <c r="F30" s="35">
        <v>-8.4549009999999996</v>
      </c>
      <c r="G30" s="35">
        <v>-87</v>
      </c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35">
        <v>1</v>
      </c>
      <c r="B31" s="35">
        <v>220800001</v>
      </c>
      <c r="C31" s="35">
        <v>208</v>
      </c>
      <c r="D31" s="35">
        <v>0</v>
      </c>
      <c r="E31" s="17">
        <v>-72</v>
      </c>
      <c r="F31" s="17">
        <v>15.5</v>
      </c>
      <c r="G31" s="17">
        <v>78</v>
      </c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35">
        <v>1</v>
      </c>
      <c r="B32" s="35">
        <v>220900001</v>
      </c>
      <c r="C32" s="35">
        <v>209</v>
      </c>
      <c r="D32" s="35">
        <v>0</v>
      </c>
      <c r="E32" s="35">
        <v>36</v>
      </c>
      <c r="F32" s="35">
        <v>7.3199459999999999E-3</v>
      </c>
      <c r="G32" s="35">
        <v>48</v>
      </c>
      <c r="H32" s="1"/>
      <c r="I32" s="1"/>
      <c r="J32" s="1"/>
      <c r="K32" s="1"/>
      <c r="L32" s="1"/>
      <c r="M32" s="1"/>
      <c r="N32" s="1"/>
      <c r="O32" s="1"/>
    </row>
    <row r="33" spans="1:15" ht="16.5" x14ac:dyDescent="0.3">
      <c r="A33" s="35">
        <v>1</v>
      </c>
      <c r="B33" s="35">
        <v>221200001</v>
      </c>
      <c r="C33" s="35">
        <v>212</v>
      </c>
      <c r="D33" s="35">
        <v>0</v>
      </c>
      <c r="E33" s="43">
        <v>39</v>
      </c>
      <c r="F33" s="43">
        <v>0</v>
      </c>
      <c r="G33" s="43">
        <v>0</v>
      </c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35">
        <v>1</v>
      </c>
      <c r="B34" s="35">
        <v>221300001</v>
      </c>
      <c r="C34" s="35">
        <v>213</v>
      </c>
      <c r="D34" s="35">
        <v>0</v>
      </c>
      <c r="E34" s="35">
        <v>16.5</v>
      </c>
      <c r="F34" s="35">
        <v>-18.48</v>
      </c>
      <c r="G34" s="35">
        <v>130.5</v>
      </c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35">
        <v>1</v>
      </c>
      <c r="B35" s="35">
        <v>221500001</v>
      </c>
      <c r="C35" s="35">
        <v>215</v>
      </c>
      <c r="D35" s="35">
        <v>0</v>
      </c>
      <c r="E35" s="35">
        <v>91</v>
      </c>
      <c r="F35" s="35">
        <v>0</v>
      </c>
      <c r="G35" s="35">
        <v>1</v>
      </c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35">
        <v>1</v>
      </c>
      <c r="B36" s="35">
        <v>222200001</v>
      </c>
      <c r="C36" s="35">
        <v>222</v>
      </c>
      <c r="D36" s="35">
        <v>0</v>
      </c>
      <c r="E36" s="35">
        <v>-36</v>
      </c>
      <c r="F36" s="35">
        <v>-0.47058867999999998</v>
      </c>
      <c r="G36" s="35">
        <v>-45</v>
      </c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35">
        <v>1</v>
      </c>
      <c r="B37" s="35">
        <v>222400001</v>
      </c>
      <c r="C37" s="35">
        <v>224</v>
      </c>
      <c r="D37" s="35">
        <v>0</v>
      </c>
      <c r="E37" s="35">
        <v>69</v>
      </c>
      <c r="F37" s="35">
        <v>-0.47058867999999998</v>
      </c>
      <c r="G37" s="35">
        <v>15</v>
      </c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35">
        <v>1</v>
      </c>
      <c r="B38" s="35">
        <v>222600001</v>
      </c>
      <c r="C38" s="35">
        <v>226</v>
      </c>
      <c r="D38" s="35">
        <v>0</v>
      </c>
      <c r="E38" s="35">
        <v>-21</v>
      </c>
      <c r="F38" s="35">
        <v>3</v>
      </c>
      <c r="G38" s="35">
        <v>69</v>
      </c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35">
        <v>1</v>
      </c>
      <c r="B39" s="35">
        <v>222700001</v>
      </c>
      <c r="C39" s="35">
        <v>227</v>
      </c>
      <c r="D39" s="35">
        <v>0</v>
      </c>
      <c r="E39" s="35">
        <v>155</v>
      </c>
      <c r="F39" s="35">
        <v>-8.9</v>
      </c>
      <c r="G39" s="35">
        <v>-40</v>
      </c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35">
        <v>1</v>
      </c>
      <c r="B40" s="35">
        <v>222700002</v>
      </c>
      <c r="C40" s="35">
        <v>227</v>
      </c>
      <c r="D40" s="35">
        <v>0</v>
      </c>
      <c r="E40" s="35">
        <v>155</v>
      </c>
      <c r="F40" s="35">
        <v>-8.9</v>
      </c>
      <c r="G40" s="35">
        <v>25</v>
      </c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35">
        <v>1</v>
      </c>
      <c r="B41" s="35">
        <v>222900001</v>
      </c>
      <c r="C41" s="35">
        <v>229</v>
      </c>
      <c r="D41" s="35">
        <v>0</v>
      </c>
      <c r="E41" s="35">
        <v>48</v>
      </c>
      <c r="F41" s="35">
        <v>-0.47058867999999998</v>
      </c>
      <c r="G41" s="35">
        <v>-36</v>
      </c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35">
        <v>1</v>
      </c>
      <c r="B42" s="35">
        <v>223000001</v>
      </c>
      <c r="C42" s="35">
        <v>230</v>
      </c>
      <c r="D42" s="35">
        <v>0</v>
      </c>
      <c r="E42" s="35">
        <v>33</v>
      </c>
      <c r="F42" s="35">
        <v>-0.47058867999999998</v>
      </c>
      <c r="G42" s="35">
        <v>-18</v>
      </c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35">
        <v>1</v>
      </c>
      <c r="B43" s="35">
        <v>223100001</v>
      </c>
      <c r="C43" s="35">
        <v>231</v>
      </c>
      <c r="D43" s="35">
        <v>0</v>
      </c>
      <c r="E43" s="35">
        <v>-9</v>
      </c>
      <c r="F43" s="35">
        <v>-0.47058867999999998</v>
      </c>
      <c r="G43" s="35">
        <v>-36</v>
      </c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35">
        <v>1</v>
      </c>
      <c r="B44" s="35">
        <v>223200001</v>
      </c>
      <c r="C44" s="35">
        <v>232</v>
      </c>
      <c r="D44" s="35">
        <v>0</v>
      </c>
      <c r="E44" s="35">
        <v>69</v>
      </c>
      <c r="F44" s="35">
        <v>-0.47058867999999998</v>
      </c>
      <c r="G44" s="35">
        <v>48</v>
      </c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35">
        <v>1</v>
      </c>
      <c r="B45" s="35">
        <v>223400001</v>
      </c>
      <c r="C45" s="35">
        <v>234</v>
      </c>
      <c r="D45" s="35">
        <v>0</v>
      </c>
      <c r="E45" s="35">
        <v>-94.5</v>
      </c>
      <c r="F45" s="35">
        <v>-0.47058867999999998</v>
      </c>
      <c r="G45" s="35">
        <v>-52.5</v>
      </c>
      <c r="H45" s="1"/>
      <c r="I45" s="1"/>
      <c r="J45" s="1"/>
      <c r="K45" s="1"/>
      <c r="L45" s="1"/>
      <c r="M45" s="1"/>
      <c r="N45" s="1"/>
      <c r="O45" s="1"/>
    </row>
    <row r="46" spans="1:15" x14ac:dyDescent="0.2">
      <c r="A46" s="35">
        <v>1</v>
      </c>
      <c r="B46" s="35">
        <v>223400002</v>
      </c>
      <c r="C46" s="35">
        <v>234</v>
      </c>
      <c r="D46" s="35">
        <v>0</v>
      </c>
      <c r="E46" s="35">
        <v>127.5</v>
      </c>
      <c r="F46" s="35">
        <v>-9.4549009999999996</v>
      </c>
      <c r="G46" s="35">
        <v>-100.5</v>
      </c>
      <c r="H46" s="1"/>
      <c r="I46" s="1"/>
      <c r="J46" s="1"/>
      <c r="K46" s="1"/>
      <c r="L46" s="1"/>
      <c r="M46" s="1"/>
      <c r="N46" s="1"/>
      <c r="O46" s="1"/>
    </row>
    <row r="47" spans="1:15" x14ac:dyDescent="0.2">
      <c r="A47" s="35">
        <v>1</v>
      </c>
      <c r="B47" s="35">
        <v>223400003</v>
      </c>
      <c r="C47" s="35">
        <v>234</v>
      </c>
      <c r="D47" s="35">
        <v>0</v>
      </c>
      <c r="E47" s="35">
        <v>-97.5</v>
      </c>
      <c r="F47" s="35">
        <v>-0.47058867999999998</v>
      </c>
      <c r="G47" s="35">
        <v>-28.5</v>
      </c>
      <c r="H47" s="1"/>
      <c r="I47" s="1"/>
      <c r="J47" s="1"/>
      <c r="K47" s="1"/>
      <c r="L47" s="1"/>
      <c r="M47" s="1"/>
      <c r="N47" s="1"/>
      <c r="O47" s="1"/>
    </row>
    <row r="48" spans="1:15" x14ac:dyDescent="0.2">
      <c r="A48" s="35">
        <v>1</v>
      </c>
      <c r="B48" s="35">
        <v>223400004</v>
      </c>
      <c r="C48" s="35">
        <v>234</v>
      </c>
      <c r="D48" s="35">
        <v>0</v>
      </c>
      <c r="E48" s="35">
        <v>-88.5</v>
      </c>
      <c r="F48" s="35">
        <v>-0.47058867999999998</v>
      </c>
      <c r="G48" s="35">
        <v>-31.5</v>
      </c>
      <c r="H48" s="1"/>
      <c r="I48" s="1"/>
      <c r="J48" s="1"/>
      <c r="K48" s="1"/>
      <c r="L48" s="1"/>
      <c r="M48" s="1"/>
      <c r="N48" s="1"/>
      <c r="O48" s="1"/>
    </row>
    <row r="49" spans="1:15" x14ac:dyDescent="0.2">
      <c r="A49" s="35">
        <v>1</v>
      </c>
      <c r="B49" s="35">
        <v>223400005</v>
      </c>
      <c r="C49" s="35">
        <v>234</v>
      </c>
      <c r="D49" s="35">
        <v>0</v>
      </c>
      <c r="E49" s="35">
        <v>-100.5</v>
      </c>
      <c r="F49" s="35">
        <v>-0.47058867999999998</v>
      </c>
      <c r="G49" s="35">
        <v>-67.5</v>
      </c>
      <c r="H49" s="1"/>
      <c r="I49" s="1"/>
      <c r="J49" s="1"/>
      <c r="K49" s="1"/>
      <c r="L49" s="1"/>
      <c r="M49" s="1"/>
      <c r="N49" s="1"/>
      <c r="O49" s="1"/>
    </row>
    <row r="50" spans="1:15" x14ac:dyDescent="0.2">
      <c r="A50" s="35">
        <v>1</v>
      </c>
      <c r="B50" s="35">
        <v>223400006</v>
      </c>
      <c r="C50" s="35">
        <v>234</v>
      </c>
      <c r="D50" s="35">
        <v>0</v>
      </c>
      <c r="E50" s="35">
        <v>-46.5</v>
      </c>
      <c r="F50" s="35">
        <v>-9.1450980000000008</v>
      </c>
      <c r="G50" s="35">
        <v>-115.5</v>
      </c>
      <c r="H50" s="1"/>
      <c r="I50" s="1"/>
      <c r="J50" s="1"/>
      <c r="K50" s="1"/>
      <c r="L50" s="1"/>
      <c r="M50" s="1"/>
      <c r="N50" s="1"/>
      <c r="O50" s="1"/>
    </row>
    <row r="51" spans="1:15" x14ac:dyDescent="0.2">
      <c r="A51" s="35">
        <v>1</v>
      </c>
      <c r="B51" s="35">
        <v>223500001</v>
      </c>
      <c r="C51" s="35">
        <v>235</v>
      </c>
      <c r="D51" s="35">
        <v>0</v>
      </c>
      <c r="E51" s="35">
        <v>-53</v>
      </c>
      <c r="F51" s="35">
        <v>5</v>
      </c>
      <c r="G51" s="35">
        <v>6</v>
      </c>
      <c r="H51" s="1"/>
      <c r="I51" s="1"/>
      <c r="J51" s="1"/>
      <c r="K51" s="1"/>
      <c r="L51" s="1"/>
      <c r="M51" s="1"/>
      <c r="N51" s="1"/>
      <c r="O51" s="1"/>
    </row>
    <row r="52" spans="1:15" x14ac:dyDescent="0.2">
      <c r="A52" s="35">
        <v>1</v>
      </c>
      <c r="B52" s="35">
        <v>223600001</v>
      </c>
      <c r="C52" s="35">
        <v>236</v>
      </c>
      <c r="D52" s="35">
        <v>0</v>
      </c>
      <c r="E52" s="35">
        <v>-35</v>
      </c>
      <c r="F52" s="35">
        <v>5</v>
      </c>
      <c r="G52" s="35">
        <v>6</v>
      </c>
      <c r="H52" s="1"/>
      <c r="I52" s="1"/>
      <c r="J52" s="1"/>
      <c r="K52" s="1"/>
      <c r="L52" s="1"/>
      <c r="M52" s="1"/>
      <c r="N52" s="1"/>
      <c r="O52" s="1"/>
    </row>
    <row r="53" spans="1:15" x14ac:dyDescent="0.2">
      <c r="A53" s="35">
        <v>1</v>
      </c>
      <c r="B53" s="35">
        <v>223700001</v>
      </c>
      <c r="C53" s="35">
        <v>237</v>
      </c>
      <c r="D53" s="35">
        <v>0</v>
      </c>
      <c r="E53" s="35">
        <v>66</v>
      </c>
      <c r="F53" s="35">
        <v>-0.47058867999999998</v>
      </c>
      <c r="G53" s="35">
        <v>-42</v>
      </c>
      <c r="H53" s="1"/>
      <c r="I53" s="1"/>
      <c r="J53" s="1"/>
      <c r="K53" s="1"/>
      <c r="L53" s="1"/>
      <c r="M53" s="1"/>
      <c r="N53" s="1"/>
      <c r="O53" s="1"/>
    </row>
    <row r="54" spans="1:15" x14ac:dyDescent="0.2">
      <c r="A54" s="35">
        <v>1</v>
      </c>
      <c r="B54" s="35">
        <v>4040001</v>
      </c>
      <c r="C54" s="35">
        <v>404</v>
      </c>
      <c r="D54" s="35">
        <v>0</v>
      </c>
      <c r="E54" s="35">
        <v>198.7</v>
      </c>
      <c r="F54" s="35">
        <v>0</v>
      </c>
      <c r="G54" s="35">
        <v>69.430000000000007</v>
      </c>
      <c r="H54" s="1"/>
      <c r="I54" s="1"/>
      <c r="J54" s="1"/>
      <c r="K54" s="1"/>
      <c r="L54" s="1"/>
      <c r="M54" s="1"/>
      <c r="N54" s="1"/>
      <c r="O54" s="1"/>
    </row>
    <row r="55" spans="1:15" x14ac:dyDescent="0.2">
      <c r="A55" s="44">
        <v>2</v>
      </c>
      <c r="B55" s="44">
        <v>220100001</v>
      </c>
      <c r="C55" s="44">
        <v>201</v>
      </c>
      <c r="D55" s="44">
        <v>0</v>
      </c>
      <c r="E55" s="44">
        <v>0</v>
      </c>
      <c r="F55" s="35">
        <v>0</v>
      </c>
      <c r="G55" s="35">
        <v>0</v>
      </c>
      <c r="H55" s="1" t="s">
        <v>233</v>
      </c>
      <c r="I55" s="1"/>
      <c r="J55" s="1"/>
      <c r="K55" s="1"/>
      <c r="L55" s="1"/>
      <c r="M55" s="1"/>
      <c r="N55" s="1"/>
      <c r="O55" s="1"/>
    </row>
    <row r="56" spans="1:15" x14ac:dyDescent="0.2">
      <c r="A56" s="35">
        <v>2</v>
      </c>
      <c r="B56" s="35">
        <v>220200001</v>
      </c>
      <c r="C56" s="35">
        <v>202</v>
      </c>
      <c r="D56" s="35">
        <v>0</v>
      </c>
      <c r="E56" s="35">
        <v>-37</v>
      </c>
      <c r="F56" s="35">
        <v>0</v>
      </c>
      <c r="G56" s="35">
        <v>-28</v>
      </c>
      <c r="H56" s="1" t="s">
        <v>234</v>
      </c>
      <c r="I56" s="1"/>
      <c r="J56" s="1"/>
      <c r="K56" s="1"/>
      <c r="L56" s="1"/>
      <c r="M56" s="1"/>
      <c r="N56" s="1"/>
      <c r="O56" s="1"/>
    </row>
    <row r="57" spans="1:15" x14ac:dyDescent="0.2">
      <c r="A57" s="35">
        <v>2</v>
      </c>
      <c r="B57" s="35">
        <v>220200002</v>
      </c>
      <c r="C57" s="35">
        <v>202</v>
      </c>
      <c r="D57" s="35">
        <v>0</v>
      </c>
      <c r="E57" s="35">
        <v>-50</v>
      </c>
      <c r="F57" s="45">
        <v>0</v>
      </c>
      <c r="G57" s="45">
        <v>-38</v>
      </c>
      <c r="H57" s="1"/>
      <c r="I57" s="1"/>
      <c r="J57" s="1"/>
      <c r="K57" s="1"/>
      <c r="L57" s="1"/>
      <c r="M57" s="1"/>
      <c r="N57" s="1"/>
      <c r="O57" s="1"/>
    </row>
    <row r="58" spans="1:15" x14ac:dyDescent="0.2">
      <c r="A58" s="35">
        <v>2</v>
      </c>
      <c r="B58" s="35">
        <v>220200003</v>
      </c>
      <c r="C58" s="35">
        <v>202</v>
      </c>
      <c r="D58" s="35">
        <v>0</v>
      </c>
      <c r="E58" s="45">
        <v>-37</v>
      </c>
      <c r="F58" s="45">
        <v>0</v>
      </c>
      <c r="G58" s="45">
        <v>-44</v>
      </c>
      <c r="H58" s="1"/>
      <c r="I58" s="1"/>
      <c r="J58" s="1"/>
      <c r="K58" s="1"/>
      <c r="L58" s="1"/>
      <c r="M58" s="1"/>
      <c r="N58" s="1"/>
      <c r="O58" s="1"/>
    </row>
    <row r="59" spans="1:15" x14ac:dyDescent="0.2">
      <c r="A59" s="35">
        <v>2</v>
      </c>
      <c r="B59" s="35">
        <v>220200004</v>
      </c>
      <c r="C59" s="35">
        <v>202</v>
      </c>
      <c r="D59" s="35">
        <v>0</v>
      </c>
      <c r="E59" s="45">
        <v>-37</v>
      </c>
      <c r="F59" s="35">
        <v>0</v>
      </c>
      <c r="G59" s="35">
        <v>-58</v>
      </c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35">
        <v>2</v>
      </c>
      <c r="B60" s="35">
        <v>220300001</v>
      </c>
      <c r="C60" s="35">
        <v>203</v>
      </c>
      <c r="D60" s="35">
        <v>0</v>
      </c>
      <c r="E60" s="35">
        <v>127</v>
      </c>
      <c r="F60" s="35">
        <v>-9</v>
      </c>
      <c r="G60" s="35">
        <v>-42</v>
      </c>
      <c r="H60" s="1" t="s">
        <v>235</v>
      </c>
      <c r="I60" s="1"/>
      <c r="J60" s="1"/>
      <c r="K60" s="1"/>
      <c r="L60" s="1"/>
      <c r="M60" s="1"/>
      <c r="N60" s="1"/>
      <c r="O60" s="1"/>
    </row>
    <row r="61" spans="1:15" x14ac:dyDescent="0.2">
      <c r="A61" s="35">
        <v>2</v>
      </c>
      <c r="B61" s="35">
        <v>220300002</v>
      </c>
      <c r="C61" s="35">
        <v>203</v>
      </c>
      <c r="D61" s="35">
        <v>0</v>
      </c>
      <c r="E61" s="35">
        <v>120</v>
      </c>
      <c r="F61" s="35">
        <v>-9</v>
      </c>
      <c r="G61" s="35">
        <v>-79</v>
      </c>
      <c r="H61" s="1"/>
      <c r="I61" s="1"/>
      <c r="J61" s="1"/>
      <c r="K61" s="1"/>
      <c r="L61" s="1"/>
      <c r="M61" s="1"/>
      <c r="N61" s="1"/>
      <c r="O61" s="1"/>
    </row>
    <row r="62" spans="1:15" x14ac:dyDescent="0.2">
      <c r="A62" s="35">
        <v>2</v>
      </c>
      <c r="B62" s="35">
        <v>220400001</v>
      </c>
      <c r="C62" s="35">
        <v>204</v>
      </c>
      <c r="D62" s="35">
        <v>0</v>
      </c>
      <c r="E62" s="35">
        <v>57</v>
      </c>
      <c r="F62" s="35">
        <v>-9</v>
      </c>
      <c r="G62" s="35">
        <v>-105</v>
      </c>
      <c r="H62" s="1" t="s">
        <v>236</v>
      </c>
      <c r="I62" s="1"/>
      <c r="J62" s="1"/>
      <c r="K62" s="1"/>
      <c r="L62" s="1"/>
      <c r="M62" s="1"/>
      <c r="N62" s="1"/>
      <c r="O62" s="1"/>
    </row>
    <row r="63" spans="1:15" x14ac:dyDescent="0.2">
      <c r="A63" s="35">
        <v>2</v>
      </c>
      <c r="B63" s="35">
        <v>220400002</v>
      </c>
      <c r="C63" s="35">
        <v>204</v>
      </c>
      <c r="D63" s="35">
        <v>0</v>
      </c>
      <c r="E63" s="35">
        <v>44</v>
      </c>
      <c r="F63" s="35">
        <v>-9</v>
      </c>
      <c r="G63" s="35">
        <v>-104</v>
      </c>
      <c r="H63" s="1"/>
      <c r="I63" s="1"/>
      <c r="J63" s="17"/>
      <c r="K63" s="1"/>
      <c r="L63" s="1"/>
      <c r="M63" s="1"/>
      <c r="N63" s="1"/>
      <c r="O63" s="1"/>
    </row>
    <row r="64" spans="1:15" x14ac:dyDescent="0.2">
      <c r="A64" s="35">
        <v>2</v>
      </c>
      <c r="B64" s="35">
        <v>220500001</v>
      </c>
      <c r="C64" s="35">
        <v>205</v>
      </c>
      <c r="D64" s="35">
        <v>0</v>
      </c>
      <c r="E64" s="35">
        <v>-101</v>
      </c>
      <c r="F64" s="35">
        <v>0</v>
      </c>
      <c r="G64" s="35">
        <v>-29</v>
      </c>
      <c r="H64" s="1" t="s">
        <v>237</v>
      </c>
      <c r="I64" s="1"/>
      <c r="J64" s="1"/>
      <c r="K64" s="1"/>
      <c r="L64" s="1"/>
      <c r="M64" s="1"/>
      <c r="N64" s="1"/>
      <c r="O64" s="1"/>
    </row>
    <row r="65" spans="1:15" x14ac:dyDescent="0.2">
      <c r="A65" s="35">
        <v>2</v>
      </c>
      <c r="B65" s="35">
        <v>220500002</v>
      </c>
      <c r="C65" s="35">
        <v>205</v>
      </c>
      <c r="D65" s="35">
        <v>0</v>
      </c>
      <c r="E65" s="35">
        <v>-101</v>
      </c>
      <c r="F65" s="35">
        <v>0</v>
      </c>
      <c r="G65" s="35">
        <v>-15</v>
      </c>
      <c r="H65" s="1"/>
      <c r="I65" s="1"/>
      <c r="J65" s="1"/>
      <c r="K65" s="1"/>
      <c r="L65" s="1"/>
      <c r="M65" s="1"/>
      <c r="N65" s="1"/>
      <c r="O65" s="1"/>
    </row>
    <row r="66" spans="1:15" x14ac:dyDescent="0.2">
      <c r="A66" s="35">
        <v>2</v>
      </c>
      <c r="B66" s="35">
        <v>220600001</v>
      </c>
      <c r="C66" s="35">
        <v>206</v>
      </c>
      <c r="D66" s="35">
        <v>0</v>
      </c>
      <c r="E66" s="35">
        <v>48</v>
      </c>
      <c r="F66" s="35">
        <v>0</v>
      </c>
      <c r="G66" s="35">
        <v>48</v>
      </c>
      <c r="H66" s="1" t="s">
        <v>238</v>
      </c>
      <c r="I66" s="1"/>
      <c r="J66" s="1"/>
      <c r="K66" s="1"/>
      <c r="L66" s="1"/>
      <c r="M66" s="1"/>
      <c r="N66" s="1"/>
      <c r="O66" s="1"/>
    </row>
    <row r="67" spans="1:15" x14ac:dyDescent="0.2">
      <c r="A67" s="35">
        <v>2</v>
      </c>
      <c r="B67" s="35">
        <v>220700001</v>
      </c>
      <c r="C67" s="35">
        <v>207</v>
      </c>
      <c r="D67" s="35">
        <v>0</v>
      </c>
      <c r="E67" s="35">
        <v>83</v>
      </c>
      <c r="F67" s="35">
        <v>-9</v>
      </c>
      <c r="G67" s="35">
        <v>-93</v>
      </c>
      <c r="H67" s="1" t="s">
        <v>239</v>
      </c>
      <c r="I67" s="1"/>
      <c r="J67" s="1"/>
      <c r="K67" s="1"/>
      <c r="L67" s="1"/>
      <c r="M67" s="1"/>
      <c r="N67" s="1"/>
      <c r="O67" s="1"/>
    </row>
    <row r="68" spans="1:15" x14ac:dyDescent="0.2">
      <c r="A68" s="35">
        <v>2</v>
      </c>
      <c r="B68" s="35">
        <v>220700002</v>
      </c>
      <c r="C68" s="35">
        <v>207</v>
      </c>
      <c r="D68" s="35">
        <v>0</v>
      </c>
      <c r="E68" s="35">
        <v>115</v>
      </c>
      <c r="F68" s="35">
        <v>-9</v>
      </c>
      <c r="G68" s="35">
        <v>-42</v>
      </c>
      <c r="H68" s="1"/>
      <c r="I68" s="1"/>
      <c r="J68" s="1"/>
      <c r="K68" s="1"/>
      <c r="L68" s="1"/>
      <c r="M68" s="1"/>
      <c r="N68" s="1"/>
      <c r="O68" s="1"/>
    </row>
    <row r="69" spans="1:15" x14ac:dyDescent="0.2">
      <c r="A69" s="35">
        <v>2</v>
      </c>
      <c r="B69" s="35">
        <v>220700003</v>
      </c>
      <c r="C69" s="35">
        <v>207</v>
      </c>
      <c r="D69" s="35">
        <v>0</v>
      </c>
      <c r="E69" s="35">
        <v>128</v>
      </c>
      <c r="F69" s="35">
        <v>-9</v>
      </c>
      <c r="G69" s="35">
        <v>-54</v>
      </c>
      <c r="H69" s="1"/>
      <c r="I69" s="1"/>
      <c r="J69" s="1"/>
      <c r="K69" s="1"/>
      <c r="L69" s="1"/>
      <c r="M69" s="1"/>
      <c r="N69" s="1"/>
      <c r="O69" s="1"/>
    </row>
    <row r="70" spans="1:15" x14ac:dyDescent="0.2">
      <c r="A70" s="35">
        <v>2</v>
      </c>
      <c r="B70" s="35">
        <v>220700004</v>
      </c>
      <c r="C70" s="35">
        <v>207</v>
      </c>
      <c r="D70" s="35">
        <v>0</v>
      </c>
      <c r="E70" s="35">
        <v>116</v>
      </c>
      <c r="F70" s="35">
        <v>-9</v>
      </c>
      <c r="G70" s="35">
        <v>-66</v>
      </c>
      <c r="H70" s="1"/>
      <c r="I70" s="1"/>
      <c r="J70" s="1"/>
      <c r="K70" s="1"/>
      <c r="L70" s="1"/>
      <c r="M70" s="1"/>
      <c r="N70" s="1"/>
      <c r="O70" s="1"/>
    </row>
    <row r="71" spans="1:15" x14ac:dyDescent="0.2">
      <c r="A71" s="35">
        <v>2</v>
      </c>
      <c r="B71" s="35">
        <v>220800001</v>
      </c>
      <c r="C71" s="35">
        <v>208</v>
      </c>
      <c r="D71" s="35">
        <v>0</v>
      </c>
      <c r="E71" s="35">
        <v>-69</v>
      </c>
      <c r="F71" s="35">
        <v>13</v>
      </c>
      <c r="G71" s="35">
        <v>78</v>
      </c>
      <c r="H71" s="1" t="s">
        <v>240</v>
      </c>
      <c r="I71" s="1"/>
      <c r="J71" s="1"/>
      <c r="K71" s="1"/>
      <c r="L71" s="1"/>
      <c r="M71" s="1"/>
      <c r="N71" s="1"/>
      <c r="O71" s="1"/>
    </row>
    <row r="72" spans="1:15" x14ac:dyDescent="0.2">
      <c r="A72" s="35">
        <v>2</v>
      </c>
      <c r="B72" s="35">
        <v>220900001</v>
      </c>
      <c r="C72" s="35">
        <v>209</v>
      </c>
      <c r="D72" s="35">
        <v>0</v>
      </c>
      <c r="E72" s="35">
        <v>45</v>
      </c>
      <c r="F72" s="35">
        <v>0</v>
      </c>
      <c r="G72" s="35">
        <v>18</v>
      </c>
      <c r="H72" s="1" t="s">
        <v>241</v>
      </c>
      <c r="I72" s="1"/>
      <c r="J72" s="1"/>
      <c r="K72" s="1"/>
      <c r="L72" s="1"/>
      <c r="M72" s="1"/>
      <c r="N72" s="1"/>
      <c r="O72" s="1"/>
    </row>
    <row r="73" spans="1:15" x14ac:dyDescent="0.2">
      <c r="A73" s="35">
        <v>2</v>
      </c>
      <c r="B73" s="35">
        <v>221100001</v>
      </c>
      <c r="C73" s="35">
        <v>211</v>
      </c>
      <c r="D73" s="35">
        <v>0</v>
      </c>
      <c r="E73" s="35">
        <v>21</v>
      </c>
      <c r="F73" s="35">
        <v>0</v>
      </c>
      <c r="G73" s="35">
        <v>-38</v>
      </c>
      <c r="H73" s="1" t="s">
        <v>242</v>
      </c>
      <c r="I73" s="1"/>
      <c r="J73" s="1"/>
      <c r="K73" s="1"/>
      <c r="L73" s="1"/>
      <c r="M73" s="1"/>
      <c r="N73" s="1"/>
      <c r="O73" s="1"/>
    </row>
    <row r="74" spans="1:15" x14ac:dyDescent="0.2">
      <c r="A74" s="35">
        <v>2</v>
      </c>
      <c r="B74" s="35">
        <v>221200001</v>
      </c>
      <c r="C74" s="35">
        <v>212</v>
      </c>
      <c r="D74" s="35">
        <v>0</v>
      </c>
      <c r="E74" s="35">
        <v>129</v>
      </c>
      <c r="F74" s="35">
        <v>-4.5999999999999996</v>
      </c>
      <c r="G74" s="35">
        <v>52</v>
      </c>
      <c r="H74" s="1" t="s">
        <v>243</v>
      </c>
      <c r="I74" s="1"/>
      <c r="J74" s="1"/>
      <c r="K74" s="1"/>
      <c r="L74" s="1"/>
      <c r="M74" s="1"/>
      <c r="N74" s="1"/>
      <c r="O74" s="1"/>
    </row>
    <row r="75" spans="1:15" x14ac:dyDescent="0.2">
      <c r="A75" s="35">
        <v>2</v>
      </c>
      <c r="B75" s="35">
        <v>221300001</v>
      </c>
      <c r="C75" s="35">
        <v>213</v>
      </c>
      <c r="D75" s="35">
        <v>0</v>
      </c>
      <c r="E75" s="35">
        <v>16</v>
      </c>
      <c r="F75" s="35">
        <v>-18.5</v>
      </c>
      <c r="G75" s="35">
        <v>130</v>
      </c>
      <c r="H75" s="1" t="s">
        <v>244</v>
      </c>
      <c r="I75" s="1"/>
      <c r="J75" s="1"/>
      <c r="K75" s="1"/>
      <c r="L75" s="1"/>
      <c r="M75" s="1"/>
      <c r="N75" s="1"/>
      <c r="O75" s="1"/>
    </row>
    <row r="76" spans="1:15" x14ac:dyDescent="0.2">
      <c r="A76" s="35">
        <v>2</v>
      </c>
      <c r="B76" s="35">
        <v>221500001</v>
      </c>
      <c r="C76" s="35">
        <v>215</v>
      </c>
      <c r="D76" s="35">
        <v>0</v>
      </c>
      <c r="E76" s="35">
        <v>90</v>
      </c>
      <c r="F76" s="35">
        <v>0</v>
      </c>
      <c r="G76" s="35">
        <v>1</v>
      </c>
      <c r="H76" s="1" t="s">
        <v>245</v>
      </c>
      <c r="I76" s="1"/>
      <c r="J76" s="1"/>
      <c r="K76" s="1"/>
      <c r="L76" s="1"/>
      <c r="M76" s="1"/>
      <c r="N76" s="1"/>
      <c r="O76" s="1"/>
    </row>
    <row r="77" spans="1:15" x14ac:dyDescent="0.2">
      <c r="A77" s="35">
        <v>2</v>
      </c>
      <c r="B77" s="35">
        <v>222200001</v>
      </c>
      <c r="C77" s="35">
        <v>222</v>
      </c>
      <c r="D77" s="35">
        <v>0</v>
      </c>
      <c r="E77" s="35">
        <v>48</v>
      </c>
      <c r="F77" s="35">
        <v>0</v>
      </c>
      <c r="G77" s="35">
        <v>-17</v>
      </c>
      <c r="H77" s="1" t="s">
        <v>246</v>
      </c>
      <c r="I77" s="1"/>
      <c r="J77" s="1"/>
      <c r="K77" s="1"/>
      <c r="L77" s="1"/>
      <c r="M77" s="1"/>
      <c r="N77" s="1"/>
      <c r="O77" s="1"/>
    </row>
    <row r="78" spans="1:15" x14ac:dyDescent="0.2">
      <c r="A78" s="35">
        <v>2</v>
      </c>
      <c r="B78" s="35">
        <v>222400001</v>
      </c>
      <c r="C78" s="35">
        <v>224</v>
      </c>
      <c r="D78" s="35">
        <v>0</v>
      </c>
      <c r="E78" s="35">
        <v>69</v>
      </c>
      <c r="F78" s="35">
        <v>0</v>
      </c>
      <c r="G78" s="35">
        <v>18</v>
      </c>
      <c r="H78" s="1" t="s">
        <v>247</v>
      </c>
      <c r="I78" s="1"/>
      <c r="J78" s="1"/>
      <c r="K78" s="1"/>
      <c r="L78" s="1"/>
      <c r="M78" s="1"/>
      <c r="N78" s="1"/>
      <c r="O78" s="1"/>
    </row>
    <row r="79" spans="1:15" x14ac:dyDescent="0.2">
      <c r="A79" s="35">
        <v>2</v>
      </c>
      <c r="B79" s="35">
        <v>222600001</v>
      </c>
      <c r="C79" s="35">
        <v>226</v>
      </c>
      <c r="D79" s="35">
        <v>0</v>
      </c>
      <c r="E79" s="35">
        <v>-7</v>
      </c>
      <c r="F79" s="35">
        <v>3</v>
      </c>
      <c r="G79" s="35">
        <v>66</v>
      </c>
      <c r="H79" s="1" t="s">
        <v>248</v>
      </c>
      <c r="I79" s="1"/>
      <c r="J79" s="1"/>
      <c r="K79" s="1"/>
      <c r="L79" s="1"/>
      <c r="M79" s="1"/>
      <c r="N79" s="1"/>
      <c r="O79" s="1"/>
    </row>
    <row r="80" spans="1:15" x14ac:dyDescent="0.2">
      <c r="A80" s="35">
        <v>2</v>
      </c>
      <c r="B80" s="35">
        <v>222700001</v>
      </c>
      <c r="C80" s="35">
        <v>227</v>
      </c>
      <c r="D80" s="35">
        <v>0</v>
      </c>
      <c r="E80" s="35">
        <v>135</v>
      </c>
      <c r="F80" s="35">
        <v>-9</v>
      </c>
      <c r="G80" s="35">
        <v>-12</v>
      </c>
      <c r="H80" s="1" t="s">
        <v>249</v>
      </c>
      <c r="I80" s="1"/>
      <c r="J80" s="1"/>
      <c r="K80" s="1"/>
      <c r="L80" s="1"/>
      <c r="M80" s="1"/>
      <c r="N80" s="1"/>
      <c r="O80" s="1"/>
    </row>
    <row r="81" spans="1:15" x14ac:dyDescent="0.2">
      <c r="A81" s="35">
        <v>2</v>
      </c>
      <c r="B81" s="35">
        <v>222700002</v>
      </c>
      <c r="C81" s="35">
        <v>227</v>
      </c>
      <c r="D81" s="35">
        <v>0</v>
      </c>
      <c r="E81" s="35">
        <v>136</v>
      </c>
      <c r="F81" s="35">
        <v>-8.56</v>
      </c>
      <c r="G81" s="35">
        <v>16</v>
      </c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35">
        <v>2</v>
      </c>
      <c r="B82" s="35">
        <v>223000001</v>
      </c>
      <c r="C82" s="35">
        <v>230</v>
      </c>
      <c r="D82" s="35">
        <v>0</v>
      </c>
      <c r="E82" s="35">
        <v>30</v>
      </c>
      <c r="F82" s="35">
        <v>0</v>
      </c>
      <c r="G82" s="35">
        <v>-17</v>
      </c>
      <c r="H82" s="1" t="s">
        <v>250</v>
      </c>
      <c r="I82" s="1"/>
      <c r="J82" s="1"/>
      <c r="K82" s="1"/>
      <c r="L82" s="1"/>
      <c r="M82" s="1"/>
      <c r="N82" s="1"/>
      <c r="O82" s="1"/>
    </row>
    <row r="83" spans="1:15" x14ac:dyDescent="0.2">
      <c r="A83" s="35">
        <v>2</v>
      </c>
      <c r="B83" s="35">
        <v>223100001</v>
      </c>
      <c r="C83" s="35">
        <v>231</v>
      </c>
      <c r="D83" s="35">
        <v>0</v>
      </c>
      <c r="E83" s="35">
        <v>-13</v>
      </c>
      <c r="F83" s="35">
        <v>0</v>
      </c>
      <c r="G83" s="35">
        <v>-40</v>
      </c>
      <c r="H83" s="1" t="s">
        <v>251</v>
      </c>
      <c r="I83" s="1"/>
      <c r="J83" s="1"/>
      <c r="K83" s="1"/>
      <c r="L83" s="1"/>
      <c r="M83" s="1"/>
      <c r="N83" s="1"/>
      <c r="O83" s="1"/>
    </row>
    <row r="84" spans="1:15" x14ac:dyDescent="0.2">
      <c r="A84" s="35">
        <v>2</v>
      </c>
      <c r="B84" s="35">
        <v>223200001</v>
      </c>
      <c r="C84" s="35">
        <v>232</v>
      </c>
      <c r="D84" s="35">
        <v>0</v>
      </c>
      <c r="E84" s="35">
        <v>72</v>
      </c>
      <c r="F84" s="44">
        <v>0</v>
      </c>
      <c r="G84" s="44">
        <v>48</v>
      </c>
      <c r="H84" s="44" t="s">
        <v>252</v>
      </c>
      <c r="I84" s="1"/>
      <c r="J84" s="1"/>
      <c r="K84" s="1"/>
      <c r="L84" s="1"/>
      <c r="M84" s="1"/>
      <c r="N84" s="1"/>
      <c r="O84" s="1"/>
    </row>
    <row r="85" spans="1:15" x14ac:dyDescent="0.2">
      <c r="A85" s="35">
        <v>2</v>
      </c>
      <c r="B85" s="35">
        <v>223500001</v>
      </c>
      <c r="C85" s="35">
        <v>235</v>
      </c>
      <c r="D85" s="35">
        <v>0</v>
      </c>
      <c r="E85" s="35">
        <v>-57</v>
      </c>
      <c r="F85" s="35">
        <v>5</v>
      </c>
      <c r="G85" s="35">
        <v>6</v>
      </c>
      <c r="H85" s="1" t="s">
        <v>253</v>
      </c>
      <c r="I85" s="1"/>
      <c r="J85" s="1"/>
      <c r="K85" s="1"/>
      <c r="L85" s="1"/>
      <c r="M85" s="1"/>
      <c r="N85" s="1"/>
      <c r="O85" s="1"/>
    </row>
    <row r="86" spans="1:15" x14ac:dyDescent="0.2">
      <c r="A86" s="44">
        <v>2</v>
      </c>
      <c r="B86" s="44">
        <v>223600001</v>
      </c>
      <c r="C86" s="44">
        <v>236</v>
      </c>
      <c r="D86" s="44">
        <v>0</v>
      </c>
      <c r="E86" s="44">
        <v>-35</v>
      </c>
      <c r="F86" s="35">
        <v>5</v>
      </c>
      <c r="G86" s="35">
        <v>6</v>
      </c>
      <c r="H86" s="1" t="s">
        <v>254</v>
      </c>
      <c r="I86" s="1"/>
      <c r="J86" s="1"/>
      <c r="K86" s="1"/>
      <c r="L86" s="1"/>
      <c r="M86" s="1"/>
      <c r="N86" s="1"/>
      <c r="O86" s="1"/>
    </row>
    <row r="87" spans="1:15" x14ac:dyDescent="0.2">
      <c r="A87" s="35">
        <v>2</v>
      </c>
      <c r="B87" s="35">
        <v>223700001</v>
      </c>
      <c r="C87" s="35">
        <v>237</v>
      </c>
      <c r="D87" s="35">
        <v>0</v>
      </c>
      <c r="E87" s="35">
        <v>63</v>
      </c>
      <c r="F87" s="35">
        <v>0</v>
      </c>
      <c r="G87" s="35">
        <v>-41</v>
      </c>
      <c r="H87" s="1" t="s">
        <v>255</v>
      </c>
      <c r="I87" s="1"/>
      <c r="J87" s="1"/>
      <c r="K87" s="1"/>
      <c r="L87" s="1"/>
      <c r="M87" s="1"/>
      <c r="N87" s="1"/>
      <c r="O87" s="1"/>
    </row>
    <row r="88" spans="1:15" x14ac:dyDescent="0.2">
      <c r="A88" s="35">
        <v>2</v>
      </c>
      <c r="B88" s="35">
        <v>230000001</v>
      </c>
      <c r="C88" s="35">
        <v>300</v>
      </c>
      <c r="D88" s="35">
        <v>0</v>
      </c>
      <c r="E88" s="35">
        <v>80</v>
      </c>
      <c r="F88" s="45">
        <v>-9</v>
      </c>
      <c r="G88" s="45">
        <v>107</v>
      </c>
      <c r="H88" s="1" t="s">
        <v>256</v>
      </c>
      <c r="I88" s="1"/>
      <c r="J88" s="1"/>
      <c r="K88" s="1"/>
      <c r="L88" s="1"/>
      <c r="M88" s="1"/>
      <c r="N88" s="1"/>
      <c r="O88" s="1"/>
    </row>
    <row r="89" spans="1:15" x14ac:dyDescent="0.2">
      <c r="A89" s="35">
        <v>2</v>
      </c>
      <c r="B89" s="35">
        <v>240000001</v>
      </c>
      <c r="C89" s="35">
        <v>400</v>
      </c>
      <c r="D89" s="35">
        <v>0</v>
      </c>
      <c r="E89" s="45">
        <v>-18</v>
      </c>
      <c r="F89" s="45">
        <v>0</v>
      </c>
      <c r="G89" s="45">
        <v>-62</v>
      </c>
      <c r="H89" s="1" t="s">
        <v>257</v>
      </c>
      <c r="I89" s="1"/>
      <c r="J89" s="1"/>
      <c r="K89" s="1"/>
      <c r="L89" s="1"/>
      <c r="M89" s="1"/>
      <c r="N89" s="1"/>
      <c r="O89" s="1"/>
    </row>
    <row r="90" spans="1:15" x14ac:dyDescent="0.2">
      <c r="A90" s="35">
        <v>2</v>
      </c>
      <c r="B90" s="35">
        <v>240400001</v>
      </c>
      <c r="C90" s="35">
        <v>404</v>
      </c>
      <c r="D90" s="35">
        <v>0</v>
      </c>
      <c r="E90" s="45">
        <v>214.97</v>
      </c>
      <c r="F90" s="35">
        <v>-4.2</v>
      </c>
      <c r="G90" s="35">
        <v>89.09</v>
      </c>
      <c r="H90" s="1" t="s">
        <v>258</v>
      </c>
      <c r="I90" s="1"/>
      <c r="J90" s="1"/>
      <c r="K90" s="1"/>
      <c r="L90" s="1"/>
      <c r="M90" s="1"/>
      <c r="N90" s="1"/>
      <c r="O90" s="1"/>
    </row>
    <row r="91" spans="1:15" x14ac:dyDescent="0.2">
      <c r="A91" s="35">
        <v>3</v>
      </c>
      <c r="B91" s="35">
        <v>220100001</v>
      </c>
      <c r="C91" s="35">
        <v>201</v>
      </c>
      <c r="D91" s="35">
        <v>0</v>
      </c>
      <c r="E91" s="35">
        <v>0</v>
      </c>
      <c r="F91" s="35">
        <v>0</v>
      </c>
      <c r="G91" s="35">
        <v>0</v>
      </c>
      <c r="H91" s="1" t="s">
        <v>233</v>
      </c>
      <c r="I91" s="1"/>
      <c r="J91" s="1"/>
      <c r="K91" s="1"/>
      <c r="L91" s="1"/>
      <c r="M91" s="1"/>
      <c r="N91" s="1"/>
      <c r="O91" s="1"/>
    </row>
    <row r="92" spans="1:15" x14ac:dyDescent="0.2">
      <c r="A92" s="35">
        <v>3</v>
      </c>
      <c r="B92" s="35">
        <v>220200001</v>
      </c>
      <c r="C92" s="35">
        <v>202</v>
      </c>
      <c r="D92" s="35">
        <v>0</v>
      </c>
      <c r="E92" s="35">
        <v>-37</v>
      </c>
      <c r="F92" s="35">
        <v>0</v>
      </c>
      <c r="G92" s="35">
        <v>-28</v>
      </c>
      <c r="H92" s="1" t="s">
        <v>234</v>
      </c>
      <c r="I92" s="1"/>
      <c r="J92" s="1"/>
      <c r="K92" s="1"/>
      <c r="L92" s="1"/>
      <c r="M92" s="1"/>
      <c r="N92" s="1"/>
      <c r="O92" s="1"/>
    </row>
    <row r="93" spans="1:15" x14ac:dyDescent="0.2">
      <c r="A93" s="35">
        <v>3</v>
      </c>
      <c r="B93" s="35">
        <v>220200002</v>
      </c>
      <c r="C93" s="35">
        <v>202</v>
      </c>
      <c r="D93" s="35">
        <v>0</v>
      </c>
      <c r="E93" s="35">
        <v>-50</v>
      </c>
      <c r="F93" s="35">
        <v>0</v>
      </c>
      <c r="G93" s="35">
        <v>-38</v>
      </c>
      <c r="H93" s="1"/>
      <c r="I93" s="1"/>
      <c r="J93" s="1"/>
      <c r="K93" s="1"/>
      <c r="L93" s="1"/>
      <c r="M93" s="1"/>
      <c r="N93" s="1"/>
      <c r="O93" s="1"/>
    </row>
    <row r="94" spans="1:15" x14ac:dyDescent="0.2">
      <c r="A94" s="35">
        <v>3</v>
      </c>
      <c r="B94" s="35">
        <v>220200003</v>
      </c>
      <c r="C94" s="35">
        <v>202</v>
      </c>
      <c r="D94" s="35">
        <v>0</v>
      </c>
      <c r="E94" s="35">
        <v>-37</v>
      </c>
      <c r="F94" s="35">
        <v>0</v>
      </c>
      <c r="G94" s="35">
        <v>-44</v>
      </c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35">
        <v>3</v>
      </c>
      <c r="B95" s="35">
        <v>220200004</v>
      </c>
      <c r="C95" s="35">
        <v>202</v>
      </c>
      <c r="D95" s="35">
        <v>0</v>
      </c>
      <c r="E95" s="35">
        <v>-37</v>
      </c>
      <c r="F95" s="35">
        <v>0</v>
      </c>
      <c r="G95" s="35">
        <v>-58</v>
      </c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35">
        <v>3</v>
      </c>
      <c r="B96" s="35">
        <v>220300001</v>
      </c>
      <c r="C96" s="35">
        <v>203</v>
      </c>
      <c r="D96" s="35">
        <v>0</v>
      </c>
      <c r="E96" s="35">
        <v>127</v>
      </c>
      <c r="F96" s="35">
        <v>-9</v>
      </c>
      <c r="G96" s="35">
        <v>-42</v>
      </c>
      <c r="H96" s="1" t="s">
        <v>235</v>
      </c>
      <c r="I96" s="1"/>
      <c r="J96" s="1"/>
      <c r="K96" s="1"/>
      <c r="L96" s="1"/>
      <c r="M96" s="1"/>
      <c r="N96" s="1"/>
      <c r="O96" s="1"/>
    </row>
    <row r="97" spans="1:15" x14ac:dyDescent="0.2">
      <c r="A97" s="35">
        <v>3</v>
      </c>
      <c r="B97" s="35">
        <v>220300002</v>
      </c>
      <c r="C97" s="35">
        <v>203</v>
      </c>
      <c r="D97" s="35">
        <v>0</v>
      </c>
      <c r="E97" s="35">
        <v>120</v>
      </c>
      <c r="F97" s="35">
        <v>-9</v>
      </c>
      <c r="G97" s="35">
        <v>-79</v>
      </c>
      <c r="H97" s="1"/>
      <c r="I97" s="1"/>
      <c r="J97" s="1"/>
      <c r="K97" s="1"/>
      <c r="L97" s="1"/>
      <c r="M97" s="1"/>
      <c r="N97" s="1"/>
      <c r="O97" s="1"/>
    </row>
    <row r="98" spans="1:15" x14ac:dyDescent="0.2">
      <c r="A98" s="35">
        <v>3</v>
      </c>
      <c r="B98" s="35">
        <v>220300003</v>
      </c>
      <c r="C98" s="35">
        <v>203</v>
      </c>
      <c r="D98" s="35">
        <v>0</v>
      </c>
      <c r="E98" s="35">
        <v>95</v>
      </c>
      <c r="F98" s="35">
        <v>-9</v>
      </c>
      <c r="G98" s="35">
        <v>-83</v>
      </c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35">
        <v>3</v>
      </c>
      <c r="B99" s="35">
        <v>220400001</v>
      </c>
      <c r="C99" s="35">
        <v>204</v>
      </c>
      <c r="D99" s="35">
        <v>0</v>
      </c>
      <c r="E99" s="35">
        <v>57</v>
      </c>
      <c r="F99" s="35">
        <v>-9</v>
      </c>
      <c r="G99" s="35">
        <v>-105</v>
      </c>
      <c r="H99" s="1" t="s">
        <v>236</v>
      </c>
      <c r="I99" s="1"/>
      <c r="J99" s="1"/>
      <c r="K99" s="1"/>
      <c r="L99" s="1"/>
      <c r="M99" s="1"/>
      <c r="N99" s="1"/>
      <c r="O99" s="1"/>
    </row>
    <row r="100" spans="1:15" x14ac:dyDescent="0.2">
      <c r="A100" s="35">
        <v>3</v>
      </c>
      <c r="B100" s="35">
        <v>220400002</v>
      </c>
      <c r="C100" s="35">
        <v>204</v>
      </c>
      <c r="D100" s="35">
        <v>0</v>
      </c>
      <c r="E100" s="35">
        <v>44</v>
      </c>
      <c r="F100" s="35">
        <v>-9</v>
      </c>
      <c r="G100" s="35">
        <v>-104</v>
      </c>
      <c r="H100" s="1"/>
      <c r="I100" s="1"/>
      <c r="J100" s="1"/>
      <c r="K100" s="1"/>
      <c r="L100" s="1"/>
      <c r="M100" s="1"/>
      <c r="N100" s="1"/>
      <c r="O100" s="1"/>
    </row>
    <row r="101" spans="1:15" x14ac:dyDescent="0.2">
      <c r="A101" s="35">
        <v>3</v>
      </c>
      <c r="B101" s="35">
        <v>220400003</v>
      </c>
      <c r="C101" s="35">
        <v>204</v>
      </c>
      <c r="D101" s="35">
        <v>0</v>
      </c>
      <c r="E101" s="35">
        <v>54</v>
      </c>
      <c r="F101" s="35">
        <v>-9</v>
      </c>
      <c r="G101" s="35">
        <v>-118</v>
      </c>
      <c r="H101" s="1"/>
      <c r="I101" s="1"/>
      <c r="J101" s="1"/>
      <c r="K101" s="1"/>
      <c r="L101" s="1"/>
      <c r="M101" s="1"/>
      <c r="N101" s="1"/>
      <c r="O101" s="1"/>
    </row>
    <row r="102" spans="1:15" x14ac:dyDescent="0.2">
      <c r="A102" s="35">
        <v>3</v>
      </c>
      <c r="B102" s="35">
        <v>220500001</v>
      </c>
      <c r="C102" s="35">
        <v>205</v>
      </c>
      <c r="D102" s="35">
        <v>0</v>
      </c>
      <c r="E102" s="35">
        <v>-101</v>
      </c>
      <c r="F102" s="35">
        <v>0</v>
      </c>
      <c r="G102" s="35">
        <v>-29</v>
      </c>
      <c r="H102" s="1" t="s">
        <v>237</v>
      </c>
      <c r="I102" s="1"/>
      <c r="J102" s="1"/>
      <c r="K102" s="1"/>
      <c r="L102" s="1"/>
      <c r="M102" s="1"/>
      <c r="N102" s="1"/>
      <c r="O102" s="1"/>
    </row>
    <row r="103" spans="1:15" x14ac:dyDescent="0.2">
      <c r="A103" s="35">
        <v>3</v>
      </c>
      <c r="B103" s="35">
        <v>220500002</v>
      </c>
      <c r="C103" s="35">
        <v>205</v>
      </c>
      <c r="D103" s="35">
        <v>0</v>
      </c>
      <c r="E103" s="35">
        <v>-101</v>
      </c>
      <c r="F103" s="35">
        <v>0</v>
      </c>
      <c r="G103" s="35">
        <v>-15</v>
      </c>
      <c r="H103" s="1"/>
      <c r="I103" s="1"/>
      <c r="J103" s="1"/>
      <c r="K103" s="1"/>
      <c r="L103" s="1"/>
      <c r="M103" s="1"/>
      <c r="N103" s="1"/>
      <c r="O103" s="1"/>
    </row>
    <row r="104" spans="1:15" x14ac:dyDescent="0.2">
      <c r="A104" s="35">
        <v>3</v>
      </c>
      <c r="B104" s="35">
        <v>220600001</v>
      </c>
      <c r="C104" s="35">
        <v>206</v>
      </c>
      <c r="D104" s="35">
        <v>0</v>
      </c>
      <c r="E104" s="35">
        <v>48</v>
      </c>
      <c r="F104" s="35">
        <v>0</v>
      </c>
      <c r="G104" s="35">
        <v>48</v>
      </c>
      <c r="H104" s="1" t="s">
        <v>238</v>
      </c>
      <c r="I104" s="1"/>
      <c r="J104" s="1"/>
      <c r="K104" s="1"/>
      <c r="L104" s="1"/>
      <c r="M104" s="1"/>
      <c r="N104" s="1"/>
      <c r="O104" s="1"/>
    </row>
    <row r="105" spans="1:15" x14ac:dyDescent="0.2">
      <c r="A105" s="35">
        <v>3</v>
      </c>
      <c r="B105" s="35">
        <v>220700001</v>
      </c>
      <c r="C105" s="35">
        <v>207</v>
      </c>
      <c r="D105" s="35">
        <v>0</v>
      </c>
      <c r="E105" s="35">
        <v>83</v>
      </c>
      <c r="F105" s="35">
        <v>-9</v>
      </c>
      <c r="G105" s="35">
        <v>-93</v>
      </c>
      <c r="H105" s="1" t="s">
        <v>239</v>
      </c>
      <c r="I105" s="1"/>
      <c r="J105" s="1"/>
      <c r="K105" s="1"/>
      <c r="L105" s="1"/>
      <c r="M105" s="1"/>
      <c r="N105" s="1"/>
      <c r="O105" s="1"/>
    </row>
    <row r="106" spans="1:15" x14ac:dyDescent="0.2">
      <c r="A106" s="35">
        <v>3</v>
      </c>
      <c r="B106" s="35">
        <v>220700002</v>
      </c>
      <c r="C106" s="35">
        <v>207</v>
      </c>
      <c r="D106" s="35">
        <v>0</v>
      </c>
      <c r="E106" s="35">
        <v>115</v>
      </c>
      <c r="F106" s="35">
        <v>-9</v>
      </c>
      <c r="G106" s="35">
        <v>-42</v>
      </c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35">
        <v>3</v>
      </c>
      <c r="B107" s="35">
        <v>220700003</v>
      </c>
      <c r="C107" s="35">
        <v>207</v>
      </c>
      <c r="D107" s="35">
        <v>0</v>
      </c>
      <c r="E107" s="35">
        <v>128</v>
      </c>
      <c r="F107" s="35">
        <v>-9</v>
      </c>
      <c r="G107" s="35">
        <v>-54</v>
      </c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35">
        <v>3</v>
      </c>
      <c r="B108" s="35">
        <v>220700004</v>
      </c>
      <c r="C108" s="35">
        <v>207</v>
      </c>
      <c r="D108" s="35">
        <v>0</v>
      </c>
      <c r="E108" s="35">
        <v>116</v>
      </c>
      <c r="F108" s="35">
        <v>-9</v>
      </c>
      <c r="G108" s="35">
        <v>-66</v>
      </c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35">
        <v>3</v>
      </c>
      <c r="B109" s="35">
        <v>220700005</v>
      </c>
      <c r="C109" s="35">
        <v>207</v>
      </c>
      <c r="D109" s="35">
        <v>0</v>
      </c>
      <c r="E109" s="35">
        <v>95</v>
      </c>
      <c r="F109" s="35">
        <v>-9</v>
      </c>
      <c r="G109" s="35">
        <v>-96</v>
      </c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35">
        <v>3</v>
      </c>
      <c r="B110" s="35">
        <v>220700006</v>
      </c>
      <c r="C110" s="35">
        <v>207</v>
      </c>
      <c r="D110" s="35">
        <v>0</v>
      </c>
      <c r="E110" s="35">
        <v>119</v>
      </c>
      <c r="F110" s="35">
        <v>-9</v>
      </c>
      <c r="G110" s="35">
        <v>-92</v>
      </c>
      <c r="H110" s="1"/>
      <c r="I110" s="1"/>
      <c r="J110" s="1"/>
      <c r="K110" s="1"/>
      <c r="L110" s="1"/>
      <c r="M110" s="1"/>
      <c r="N110" s="1"/>
      <c r="O110" s="1"/>
    </row>
    <row r="111" spans="1:15" x14ac:dyDescent="0.2">
      <c r="A111" s="35">
        <v>3</v>
      </c>
      <c r="B111" s="35">
        <v>220700007</v>
      </c>
      <c r="C111" s="35">
        <v>207</v>
      </c>
      <c r="D111" s="35">
        <v>0</v>
      </c>
      <c r="E111" s="35">
        <v>107</v>
      </c>
      <c r="F111" s="35">
        <v>-9</v>
      </c>
      <c r="G111" s="35">
        <v>-91</v>
      </c>
      <c r="H111" s="1"/>
      <c r="I111" s="1"/>
      <c r="J111" s="1"/>
      <c r="K111" s="1"/>
      <c r="L111" s="1"/>
      <c r="M111" s="1"/>
      <c r="N111" s="1"/>
      <c r="O111" s="1"/>
    </row>
    <row r="112" spans="1:15" x14ac:dyDescent="0.2">
      <c r="A112" s="35">
        <v>3</v>
      </c>
      <c r="B112" s="35">
        <v>220700008</v>
      </c>
      <c r="C112" s="35">
        <v>207</v>
      </c>
      <c r="D112" s="35">
        <v>0</v>
      </c>
      <c r="E112" s="35">
        <v>128</v>
      </c>
      <c r="F112" s="35">
        <v>-9</v>
      </c>
      <c r="G112" s="35">
        <v>-66</v>
      </c>
      <c r="H112" s="1"/>
      <c r="I112" s="1"/>
      <c r="J112" s="1"/>
      <c r="K112" s="1"/>
      <c r="L112" s="1"/>
      <c r="M112" s="1"/>
      <c r="N112" s="1"/>
      <c r="O112" s="1"/>
    </row>
    <row r="113" spans="1:15" x14ac:dyDescent="0.2">
      <c r="A113" s="35">
        <v>3</v>
      </c>
      <c r="B113" s="35">
        <v>220800001</v>
      </c>
      <c r="C113" s="35">
        <v>208</v>
      </c>
      <c r="D113" s="35">
        <v>0</v>
      </c>
      <c r="E113" s="35">
        <v>-69</v>
      </c>
      <c r="F113" s="35">
        <v>13</v>
      </c>
      <c r="G113" s="35">
        <v>78</v>
      </c>
      <c r="H113" s="1" t="s">
        <v>240</v>
      </c>
      <c r="I113" s="1"/>
      <c r="J113" s="1"/>
      <c r="K113" s="1"/>
      <c r="L113" s="1"/>
      <c r="M113" s="1"/>
      <c r="N113" s="1"/>
      <c r="O113" s="1"/>
    </row>
    <row r="114" spans="1:15" x14ac:dyDescent="0.2">
      <c r="A114" s="35">
        <v>3</v>
      </c>
      <c r="B114" s="35">
        <v>220900001</v>
      </c>
      <c r="C114" s="35">
        <v>209</v>
      </c>
      <c r="D114" s="35">
        <v>0</v>
      </c>
      <c r="E114" s="35">
        <v>45</v>
      </c>
      <c r="F114" s="35">
        <v>0</v>
      </c>
      <c r="G114" s="35">
        <v>18</v>
      </c>
      <c r="H114" s="1" t="s">
        <v>241</v>
      </c>
      <c r="I114" s="1"/>
      <c r="J114" s="1"/>
      <c r="K114" s="1"/>
      <c r="L114" s="1"/>
      <c r="M114" s="1"/>
      <c r="N114" s="1"/>
      <c r="O114" s="1"/>
    </row>
    <row r="115" spans="1:15" x14ac:dyDescent="0.2">
      <c r="A115" s="35">
        <v>3</v>
      </c>
      <c r="B115" s="35">
        <v>221100001</v>
      </c>
      <c r="C115" s="35">
        <v>211</v>
      </c>
      <c r="D115" s="35">
        <v>0</v>
      </c>
      <c r="E115" s="35">
        <v>21</v>
      </c>
      <c r="F115" s="35">
        <v>0</v>
      </c>
      <c r="G115" s="35">
        <v>-38</v>
      </c>
      <c r="H115" s="1" t="s">
        <v>242</v>
      </c>
      <c r="I115" s="1"/>
      <c r="J115" s="1"/>
      <c r="K115" s="1"/>
      <c r="L115" s="1"/>
      <c r="M115" s="1"/>
      <c r="N115" s="1"/>
      <c r="O115" s="1"/>
    </row>
    <row r="116" spans="1:15" x14ac:dyDescent="0.2">
      <c r="A116" s="35">
        <v>3</v>
      </c>
      <c r="B116" s="35">
        <v>221200001</v>
      </c>
      <c r="C116" s="35">
        <v>212</v>
      </c>
      <c r="D116" s="35">
        <v>0</v>
      </c>
      <c r="E116" s="35">
        <v>129</v>
      </c>
      <c r="F116" s="44">
        <v>-4.5999999999999996</v>
      </c>
      <c r="G116" s="44">
        <v>52</v>
      </c>
      <c r="H116" s="44" t="s">
        <v>243</v>
      </c>
      <c r="I116" s="1"/>
      <c r="J116" s="1"/>
      <c r="K116" s="1"/>
      <c r="L116" s="1"/>
      <c r="M116" s="1"/>
      <c r="N116" s="1"/>
      <c r="O116" s="1"/>
    </row>
    <row r="117" spans="1:15" x14ac:dyDescent="0.2">
      <c r="A117" s="35">
        <v>3</v>
      </c>
      <c r="B117" s="35">
        <v>221300001</v>
      </c>
      <c r="C117" s="35">
        <v>213</v>
      </c>
      <c r="D117" s="35">
        <v>0</v>
      </c>
      <c r="E117" s="35">
        <v>16</v>
      </c>
      <c r="F117" s="35">
        <v>-18.5</v>
      </c>
      <c r="G117" s="35">
        <v>130</v>
      </c>
      <c r="H117" s="1" t="s">
        <v>244</v>
      </c>
      <c r="I117" s="1"/>
      <c r="J117" s="1"/>
      <c r="K117" s="1"/>
      <c r="L117" s="1"/>
      <c r="M117" s="1"/>
      <c r="N117" s="1"/>
      <c r="O117" s="1"/>
    </row>
    <row r="118" spans="1:15" x14ac:dyDescent="0.2">
      <c r="A118" s="44">
        <v>3</v>
      </c>
      <c r="B118" s="44">
        <v>221500001</v>
      </c>
      <c r="C118" s="44">
        <v>215</v>
      </c>
      <c r="D118" s="44">
        <v>0</v>
      </c>
      <c r="E118" s="44">
        <v>90</v>
      </c>
      <c r="F118" s="35">
        <v>0</v>
      </c>
      <c r="G118" s="35">
        <v>1</v>
      </c>
      <c r="H118" s="1" t="s">
        <v>245</v>
      </c>
      <c r="I118" s="1"/>
      <c r="J118" s="35">
        <v>220100001</v>
      </c>
      <c r="K118" s="35">
        <v>201</v>
      </c>
      <c r="L118" s="35">
        <v>0</v>
      </c>
      <c r="M118" s="35">
        <v>0</v>
      </c>
      <c r="N118" s="35">
        <v>0</v>
      </c>
      <c r="O118" s="35">
        <v>0</v>
      </c>
    </row>
    <row r="119" spans="1:15" x14ac:dyDescent="0.2">
      <c r="A119" s="35">
        <v>3</v>
      </c>
      <c r="B119" s="35">
        <v>222200001</v>
      </c>
      <c r="C119" s="35">
        <v>222</v>
      </c>
      <c r="D119" s="35">
        <v>0</v>
      </c>
      <c r="E119" s="35">
        <v>48</v>
      </c>
      <c r="F119" s="35">
        <v>0</v>
      </c>
      <c r="G119" s="35">
        <v>-17</v>
      </c>
      <c r="H119" s="1" t="s">
        <v>246</v>
      </c>
      <c r="I119" s="1"/>
      <c r="J119" s="35">
        <v>220200001</v>
      </c>
      <c r="K119" s="35">
        <v>202</v>
      </c>
      <c r="L119" s="35">
        <v>0</v>
      </c>
      <c r="M119" s="35">
        <v>36</v>
      </c>
      <c r="N119" s="35">
        <v>-2.0896912E-2</v>
      </c>
      <c r="O119" s="35">
        <v>-39</v>
      </c>
    </row>
    <row r="120" spans="1:15" x14ac:dyDescent="0.2">
      <c r="A120" s="35">
        <v>3</v>
      </c>
      <c r="B120" s="35">
        <v>222400001</v>
      </c>
      <c r="C120" s="35">
        <v>224</v>
      </c>
      <c r="D120" s="35">
        <v>0</v>
      </c>
      <c r="E120" s="35">
        <v>69</v>
      </c>
      <c r="F120" s="35">
        <v>0</v>
      </c>
      <c r="G120" s="35">
        <v>18</v>
      </c>
      <c r="H120" s="1" t="s">
        <v>247</v>
      </c>
      <c r="I120" s="1"/>
      <c r="J120" s="35">
        <v>220200002</v>
      </c>
      <c r="K120" s="35">
        <v>202</v>
      </c>
      <c r="L120" s="35">
        <v>0</v>
      </c>
      <c r="M120" s="35">
        <v>60</v>
      </c>
      <c r="N120" s="35">
        <v>-2.0896912E-2</v>
      </c>
      <c r="O120" s="35">
        <v>-18</v>
      </c>
    </row>
    <row r="121" spans="1:15" x14ac:dyDescent="0.2">
      <c r="A121" s="35">
        <v>3</v>
      </c>
      <c r="B121" s="35">
        <v>222600001</v>
      </c>
      <c r="C121" s="35">
        <v>226</v>
      </c>
      <c r="D121" s="35">
        <v>0</v>
      </c>
      <c r="E121" s="35">
        <v>-7</v>
      </c>
      <c r="F121" s="35">
        <v>3</v>
      </c>
      <c r="G121" s="35">
        <v>66</v>
      </c>
      <c r="H121" s="1" t="s">
        <v>248</v>
      </c>
      <c r="I121" s="1"/>
      <c r="J121" s="35">
        <v>220200003</v>
      </c>
      <c r="K121" s="35">
        <v>202</v>
      </c>
      <c r="L121" s="35">
        <v>0</v>
      </c>
      <c r="M121" s="35">
        <v>45</v>
      </c>
      <c r="N121" s="35">
        <v>-2.0896912E-2</v>
      </c>
      <c r="O121" s="35">
        <v>-24</v>
      </c>
    </row>
    <row r="122" spans="1:15" x14ac:dyDescent="0.2">
      <c r="A122" s="35">
        <v>3</v>
      </c>
      <c r="B122" s="35">
        <v>222700001</v>
      </c>
      <c r="C122" s="35">
        <v>227</v>
      </c>
      <c r="D122" s="35">
        <v>0</v>
      </c>
      <c r="E122" s="35">
        <v>135</v>
      </c>
      <c r="F122" s="46">
        <v>-9</v>
      </c>
      <c r="G122" s="46">
        <v>-12</v>
      </c>
      <c r="H122" s="1" t="s">
        <v>249</v>
      </c>
      <c r="I122" s="1"/>
      <c r="J122" s="35">
        <v>220200004</v>
      </c>
      <c r="K122" s="35">
        <v>202</v>
      </c>
      <c r="L122" s="35">
        <v>0</v>
      </c>
      <c r="M122" s="35">
        <v>36</v>
      </c>
      <c r="N122" s="35" t="s">
        <v>340</v>
      </c>
      <c r="O122" s="35">
        <v>-54</v>
      </c>
    </row>
    <row r="123" spans="1:15" x14ac:dyDescent="0.2">
      <c r="A123" s="35">
        <v>3</v>
      </c>
      <c r="B123" s="35">
        <v>222700002</v>
      </c>
      <c r="C123" s="47">
        <v>227</v>
      </c>
      <c r="D123" s="47">
        <v>0</v>
      </c>
      <c r="E123" s="46">
        <v>136</v>
      </c>
      <c r="F123" s="48">
        <v>-8.56</v>
      </c>
      <c r="G123" s="48">
        <v>16</v>
      </c>
      <c r="H123" s="1"/>
      <c r="I123" s="1"/>
      <c r="J123" s="35">
        <v>220300001</v>
      </c>
      <c r="K123" s="35">
        <v>203</v>
      </c>
      <c r="L123" s="35">
        <v>0</v>
      </c>
      <c r="M123" s="35">
        <v>123</v>
      </c>
      <c r="N123" s="35">
        <v>-9.0353390000000005</v>
      </c>
      <c r="O123" s="35">
        <v>-66</v>
      </c>
    </row>
    <row r="124" spans="1:15" x14ac:dyDescent="0.2">
      <c r="A124" s="35">
        <v>3</v>
      </c>
      <c r="B124" s="35">
        <v>222900001</v>
      </c>
      <c r="C124" s="47">
        <v>229</v>
      </c>
      <c r="D124" s="47">
        <v>0</v>
      </c>
      <c r="E124" s="48">
        <v>27</v>
      </c>
      <c r="F124" s="47">
        <v>0</v>
      </c>
      <c r="G124" s="47">
        <v>36</v>
      </c>
      <c r="H124" s="1" t="s">
        <v>296</v>
      </c>
      <c r="I124" s="1"/>
      <c r="J124" s="35">
        <v>220300002</v>
      </c>
      <c r="K124" s="35">
        <v>203</v>
      </c>
      <c r="L124" s="35">
        <v>0</v>
      </c>
      <c r="M124" s="35">
        <v>117</v>
      </c>
      <c r="N124" s="35">
        <v>-9.002872</v>
      </c>
      <c r="O124" s="35">
        <v>-90</v>
      </c>
    </row>
    <row r="125" spans="1:15" x14ac:dyDescent="0.2">
      <c r="A125" s="35">
        <v>3</v>
      </c>
      <c r="B125" s="35">
        <v>223000001</v>
      </c>
      <c r="C125" s="47">
        <v>230</v>
      </c>
      <c r="D125" s="47">
        <v>0</v>
      </c>
      <c r="E125" s="47">
        <v>30</v>
      </c>
      <c r="F125" s="47">
        <v>0</v>
      </c>
      <c r="G125" s="47">
        <v>-17</v>
      </c>
      <c r="H125" s="1" t="s">
        <v>250</v>
      </c>
      <c r="I125" s="1"/>
      <c r="J125" s="35">
        <v>220300003</v>
      </c>
      <c r="K125" s="35">
        <v>203</v>
      </c>
      <c r="L125" s="35">
        <v>0</v>
      </c>
      <c r="M125" s="35">
        <v>93</v>
      </c>
      <c r="N125" s="35">
        <v>-9.0510219999999997</v>
      </c>
      <c r="O125" s="35">
        <v>-93</v>
      </c>
    </row>
    <row r="126" spans="1:15" x14ac:dyDescent="0.2">
      <c r="A126" s="35">
        <v>3</v>
      </c>
      <c r="B126" s="35">
        <v>223100001</v>
      </c>
      <c r="C126" s="47">
        <v>231</v>
      </c>
      <c r="D126" s="47">
        <v>0</v>
      </c>
      <c r="E126" s="47">
        <v>-13</v>
      </c>
      <c r="F126" s="35">
        <v>0</v>
      </c>
      <c r="G126" s="35">
        <v>-40</v>
      </c>
      <c r="H126" s="1" t="s">
        <v>251</v>
      </c>
      <c r="I126" s="1"/>
      <c r="J126" s="35">
        <v>220300004</v>
      </c>
      <c r="K126" s="35">
        <v>203</v>
      </c>
      <c r="L126" s="35">
        <v>0</v>
      </c>
      <c r="M126" s="35">
        <v>135</v>
      </c>
      <c r="N126" s="35">
        <v>-9.0353010000000005</v>
      </c>
      <c r="O126" s="35">
        <v>-42</v>
      </c>
    </row>
    <row r="127" spans="1:15" x14ac:dyDescent="0.2">
      <c r="A127" s="35">
        <v>3</v>
      </c>
      <c r="B127" s="35">
        <v>223200001</v>
      </c>
      <c r="C127" s="35">
        <v>232</v>
      </c>
      <c r="D127" s="35">
        <v>0</v>
      </c>
      <c r="E127" s="35">
        <v>72</v>
      </c>
      <c r="F127" s="35">
        <v>0</v>
      </c>
      <c r="G127" s="35">
        <v>48</v>
      </c>
      <c r="H127" s="1" t="s">
        <v>252</v>
      </c>
      <c r="I127" s="1"/>
      <c r="J127" s="35">
        <v>220400001</v>
      </c>
      <c r="K127" s="35">
        <v>204</v>
      </c>
      <c r="L127" s="35">
        <v>0</v>
      </c>
      <c r="M127" s="35">
        <v>66</v>
      </c>
      <c r="N127" s="35">
        <v>-9.0478970000000007</v>
      </c>
      <c r="O127" s="35">
        <v>-105</v>
      </c>
    </row>
    <row r="128" spans="1:15" x14ac:dyDescent="0.2">
      <c r="A128" s="35">
        <v>3</v>
      </c>
      <c r="B128" s="35">
        <v>223400001</v>
      </c>
      <c r="C128" s="35">
        <v>234</v>
      </c>
      <c r="D128" s="35">
        <v>0</v>
      </c>
      <c r="E128" s="35">
        <v>-111</v>
      </c>
      <c r="F128" s="35">
        <v>0</v>
      </c>
      <c r="G128" s="35">
        <v>-40</v>
      </c>
      <c r="H128" s="1" t="s">
        <v>297</v>
      </c>
      <c r="I128" s="1"/>
      <c r="J128" s="35">
        <v>220400002</v>
      </c>
      <c r="K128" s="35">
        <v>204</v>
      </c>
      <c r="L128" s="35">
        <v>0</v>
      </c>
      <c r="M128" s="35">
        <v>51</v>
      </c>
      <c r="N128" s="35">
        <v>-9.0353390000000005</v>
      </c>
      <c r="O128" s="35">
        <v>-105</v>
      </c>
    </row>
    <row r="129" spans="1:15" x14ac:dyDescent="0.2">
      <c r="A129" s="35">
        <v>3</v>
      </c>
      <c r="B129" s="35">
        <v>223500001</v>
      </c>
      <c r="C129" s="35">
        <v>235</v>
      </c>
      <c r="D129" s="35">
        <v>0</v>
      </c>
      <c r="E129" s="35">
        <v>-57</v>
      </c>
      <c r="F129" s="35">
        <v>5</v>
      </c>
      <c r="G129" s="35">
        <v>6</v>
      </c>
      <c r="H129" s="1" t="s">
        <v>253</v>
      </c>
      <c r="I129" s="1"/>
      <c r="J129" s="35">
        <v>220400003</v>
      </c>
      <c r="K129" s="35">
        <v>204</v>
      </c>
      <c r="L129" s="35">
        <v>0</v>
      </c>
      <c r="M129" s="35">
        <v>51</v>
      </c>
      <c r="N129" s="35">
        <v>-9.0353429999999992</v>
      </c>
      <c r="O129" s="35">
        <v>-120</v>
      </c>
    </row>
    <row r="130" spans="1:15" x14ac:dyDescent="0.2">
      <c r="A130" s="35">
        <v>3</v>
      </c>
      <c r="B130" s="35">
        <v>223600001</v>
      </c>
      <c r="C130" s="35">
        <v>236</v>
      </c>
      <c r="D130" s="35">
        <v>0</v>
      </c>
      <c r="E130" s="35">
        <v>-35</v>
      </c>
      <c r="F130" s="35">
        <v>5</v>
      </c>
      <c r="G130" s="35">
        <v>6</v>
      </c>
      <c r="H130" s="1" t="s">
        <v>254</v>
      </c>
      <c r="I130" s="1"/>
      <c r="J130" s="35">
        <v>220400004</v>
      </c>
      <c r="K130" s="35">
        <v>204</v>
      </c>
      <c r="L130" s="35">
        <v>0</v>
      </c>
      <c r="M130" s="35">
        <v>78</v>
      </c>
      <c r="N130" s="35">
        <v>-9.0505940000000002</v>
      </c>
      <c r="O130" s="35">
        <v>-105</v>
      </c>
    </row>
    <row r="131" spans="1:15" x14ac:dyDescent="0.2">
      <c r="A131" s="35">
        <v>3</v>
      </c>
      <c r="B131" s="35">
        <v>223700001</v>
      </c>
      <c r="C131" s="35">
        <v>237</v>
      </c>
      <c r="D131" s="35">
        <v>0</v>
      </c>
      <c r="E131" s="35">
        <v>63</v>
      </c>
      <c r="F131" s="35">
        <v>0</v>
      </c>
      <c r="G131" s="35">
        <v>-41</v>
      </c>
      <c r="H131" s="1" t="s">
        <v>255</v>
      </c>
      <c r="I131" s="1"/>
      <c r="J131" s="35">
        <v>220500001</v>
      </c>
      <c r="K131" s="35" t="s">
        <v>341</v>
      </c>
      <c r="L131" s="35">
        <v>0</v>
      </c>
      <c r="M131" s="35">
        <v>-105</v>
      </c>
      <c r="N131" s="35">
        <v>-2.0900726000000001E-2</v>
      </c>
      <c r="O131" s="35">
        <v>-81</v>
      </c>
    </row>
    <row r="132" spans="1:15" x14ac:dyDescent="0.2">
      <c r="A132" s="35">
        <v>3</v>
      </c>
      <c r="B132" s="35">
        <v>230000001</v>
      </c>
      <c r="C132" s="35">
        <v>300</v>
      </c>
      <c r="D132" s="35">
        <v>0</v>
      </c>
      <c r="E132" s="35">
        <v>80</v>
      </c>
      <c r="F132" s="35">
        <v>-9</v>
      </c>
      <c r="G132" s="35">
        <v>107</v>
      </c>
      <c r="H132" s="1" t="s">
        <v>256</v>
      </c>
      <c r="I132" s="1"/>
      <c r="J132" s="35">
        <v>220500002</v>
      </c>
      <c r="K132" s="35">
        <v>205</v>
      </c>
      <c r="L132" s="35">
        <v>0</v>
      </c>
      <c r="M132" s="35">
        <v>-114</v>
      </c>
      <c r="N132" s="35">
        <v>-2.0896912E-2</v>
      </c>
      <c r="O132" s="35">
        <v>-63</v>
      </c>
    </row>
    <row r="133" spans="1:15" x14ac:dyDescent="0.2">
      <c r="A133" s="35">
        <v>3</v>
      </c>
      <c r="B133" s="35">
        <v>240000001</v>
      </c>
      <c r="C133" s="35">
        <v>400</v>
      </c>
      <c r="D133" s="35">
        <v>0</v>
      </c>
      <c r="E133" s="35">
        <v>-18</v>
      </c>
      <c r="F133" s="47">
        <v>0</v>
      </c>
      <c r="G133" s="47">
        <v>-62</v>
      </c>
      <c r="H133" s="1" t="s">
        <v>257</v>
      </c>
      <c r="I133" s="1"/>
      <c r="J133" s="35">
        <v>220600001</v>
      </c>
      <c r="K133" s="35">
        <v>206</v>
      </c>
      <c r="L133" s="35">
        <v>0</v>
      </c>
      <c r="M133" s="35">
        <v>48</v>
      </c>
      <c r="N133" s="35">
        <v>-2.0893096999999999E-2</v>
      </c>
      <c r="O133" s="35">
        <v>18</v>
      </c>
    </row>
    <row r="134" spans="1:15" x14ac:dyDescent="0.2">
      <c r="A134" s="35">
        <v>3</v>
      </c>
      <c r="B134" s="35">
        <v>240400001</v>
      </c>
      <c r="C134" s="35">
        <v>404</v>
      </c>
      <c r="D134" s="35">
        <v>0</v>
      </c>
      <c r="E134" s="47">
        <v>214.97</v>
      </c>
      <c r="F134" s="35">
        <v>-4.2</v>
      </c>
      <c r="G134" s="35">
        <v>89.09</v>
      </c>
      <c r="H134" s="1" t="s">
        <v>258</v>
      </c>
      <c r="I134" s="1"/>
      <c r="J134" s="35">
        <v>220700016</v>
      </c>
      <c r="K134" s="35">
        <v>207</v>
      </c>
      <c r="L134" s="35">
        <v>0</v>
      </c>
      <c r="M134" s="35">
        <v>123</v>
      </c>
      <c r="N134" s="35">
        <v>-8.0117650000000005</v>
      </c>
      <c r="O134" s="35">
        <v>-54</v>
      </c>
    </row>
    <row r="135" spans="1:15" x14ac:dyDescent="0.2">
      <c r="A135" s="35">
        <v>4</v>
      </c>
      <c r="B135" s="35">
        <v>220100001</v>
      </c>
      <c r="C135" s="35">
        <v>201</v>
      </c>
      <c r="D135" s="35">
        <v>0</v>
      </c>
      <c r="E135" s="35">
        <v>0</v>
      </c>
      <c r="F135" s="35">
        <v>0</v>
      </c>
      <c r="G135" s="35">
        <v>0</v>
      </c>
      <c r="H135" s="1" t="s">
        <v>233</v>
      </c>
      <c r="I135" s="1"/>
      <c r="J135" s="35">
        <v>220800001</v>
      </c>
      <c r="K135" s="35">
        <v>208</v>
      </c>
      <c r="L135" s="35">
        <v>0</v>
      </c>
      <c r="M135" s="35">
        <v>-69</v>
      </c>
      <c r="N135" s="35">
        <v>13</v>
      </c>
      <c r="O135" s="35">
        <v>78</v>
      </c>
    </row>
    <row r="136" spans="1:15" x14ac:dyDescent="0.2">
      <c r="A136" s="35">
        <v>4</v>
      </c>
      <c r="B136" s="35">
        <v>220200001</v>
      </c>
      <c r="C136" s="35">
        <v>202</v>
      </c>
      <c r="D136" s="35">
        <v>0</v>
      </c>
      <c r="E136" s="35">
        <v>-37</v>
      </c>
      <c r="F136" s="35">
        <v>0</v>
      </c>
      <c r="G136" s="35">
        <v>-28</v>
      </c>
      <c r="H136" s="1" t="s">
        <v>234</v>
      </c>
      <c r="I136" s="1"/>
      <c r="J136" s="35">
        <v>221100001</v>
      </c>
      <c r="K136" s="35">
        <v>211</v>
      </c>
      <c r="L136" s="35" t="s">
        <v>342</v>
      </c>
      <c r="M136" s="35">
        <v>60</v>
      </c>
      <c r="N136" s="35">
        <v>-2.0896912E-2</v>
      </c>
      <c r="O136" s="35">
        <v>-45</v>
      </c>
    </row>
    <row r="137" spans="1:15" x14ac:dyDescent="0.2">
      <c r="A137" s="35">
        <v>4</v>
      </c>
      <c r="B137" s="35">
        <v>220200002</v>
      </c>
      <c r="C137" s="35">
        <v>202</v>
      </c>
      <c r="D137" s="35">
        <v>0</v>
      </c>
      <c r="E137" s="35">
        <v>-50</v>
      </c>
      <c r="F137" s="35">
        <v>0</v>
      </c>
      <c r="G137" s="35">
        <v>-38</v>
      </c>
      <c r="H137" s="1"/>
      <c r="I137" s="1"/>
      <c r="J137" s="35">
        <v>221200001</v>
      </c>
      <c r="K137" s="35">
        <v>212</v>
      </c>
      <c r="L137" s="35">
        <v>0</v>
      </c>
      <c r="M137" s="35">
        <v>109.5</v>
      </c>
      <c r="N137" s="35">
        <v>-4.5999999999999996</v>
      </c>
      <c r="O137" s="35">
        <v>69</v>
      </c>
    </row>
    <row r="138" spans="1:15" x14ac:dyDescent="0.2">
      <c r="A138" s="35">
        <v>4</v>
      </c>
      <c r="B138" s="35">
        <v>220200003</v>
      </c>
      <c r="C138" s="35">
        <v>202</v>
      </c>
      <c r="D138" s="35">
        <v>0</v>
      </c>
      <c r="E138" s="35">
        <v>-37</v>
      </c>
      <c r="F138" s="35">
        <v>0</v>
      </c>
      <c r="G138" s="35">
        <v>-44</v>
      </c>
      <c r="H138" s="1"/>
      <c r="I138" s="1"/>
      <c r="J138" s="35">
        <v>221300001</v>
      </c>
      <c r="K138" s="35">
        <v>213</v>
      </c>
      <c r="L138" s="35">
        <v>0</v>
      </c>
      <c r="M138" s="35">
        <v>16.5</v>
      </c>
      <c r="N138" s="35">
        <v>-18.48</v>
      </c>
      <c r="O138" s="35">
        <v>130.5</v>
      </c>
    </row>
    <row r="139" spans="1:15" x14ac:dyDescent="0.2">
      <c r="A139" s="35">
        <v>4</v>
      </c>
      <c r="B139" s="35">
        <v>220200004</v>
      </c>
      <c r="C139" s="35">
        <v>202</v>
      </c>
      <c r="D139" s="35">
        <v>0</v>
      </c>
      <c r="E139" s="35">
        <v>-37</v>
      </c>
      <c r="F139" s="35">
        <v>0</v>
      </c>
      <c r="G139" s="35">
        <v>-58</v>
      </c>
      <c r="H139" s="1"/>
      <c r="I139" s="1"/>
      <c r="J139" s="35">
        <v>221500001</v>
      </c>
      <c r="K139" s="35">
        <v>215</v>
      </c>
      <c r="L139" s="35">
        <v>0</v>
      </c>
      <c r="M139" s="35">
        <v>99</v>
      </c>
      <c r="N139" s="35">
        <v>0</v>
      </c>
      <c r="O139" s="35">
        <v>1</v>
      </c>
    </row>
    <row r="140" spans="1:15" x14ac:dyDescent="0.2">
      <c r="A140" s="35">
        <v>4</v>
      </c>
      <c r="B140" s="35">
        <v>220300001</v>
      </c>
      <c r="C140" s="35">
        <v>203</v>
      </c>
      <c r="D140" s="35">
        <v>0</v>
      </c>
      <c r="E140" s="35">
        <v>127</v>
      </c>
      <c r="F140" s="35">
        <v>-9</v>
      </c>
      <c r="G140" s="35">
        <v>-42</v>
      </c>
      <c r="H140" s="1" t="s">
        <v>235</v>
      </c>
      <c r="I140" s="1"/>
      <c r="J140" s="35">
        <v>222200001</v>
      </c>
      <c r="K140" s="35">
        <v>222</v>
      </c>
      <c r="L140" s="35">
        <v>0</v>
      </c>
      <c r="M140" s="35">
        <v>30</v>
      </c>
      <c r="N140" s="35">
        <v>-2.0885468000000001E-2</v>
      </c>
      <c r="O140" s="35" t="s">
        <v>343</v>
      </c>
    </row>
    <row r="141" spans="1:15" x14ac:dyDescent="0.2">
      <c r="A141" s="35">
        <v>4</v>
      </c>
      <c r="B141" s="35">
        <v>220300002</v>
      </c>
      <c r="C141" s="35">
        <v>203</v>
      </c>
      <c r="D141" s="35">
        <v>0</v>
      </c>
      <c r="E141" s="35">
        <v>120</v>
      </c>
      <c r="F141" s="35">
        <v>-9</v>
      </c>
      <c r="G141" s="35">
        <v>-79</v>
      </c>
      <c r="H141" s="1"/>
      <c r="I141" s="1"/>
      <c r="J141" s="35">
        <v>222400001</v>
      </c>
      <c r="K141" s="35">
        <v>224</v>
      </c>
      <c r="L141" s="35">
        <v>0</v>
      </c>
      <c r="M141" s="35">
        <v>72</v>
      </c>
      <c r="N141" s="35">
        <v>-2.0889281999999999E-2</v>
      </c>
      <c r="O141" s="35">
        <v>18</v>
      </c>
    </row>
    <row r="142" spans="1:15" x14ac:dyDescent="0.2">
      <c r="A142" s="35">
        <v>4</v>
      </c>
      <c r="B142" s="35">
        <v>220300003</v>
      </c>
      <c r="C142" s="35">
        <v>203</v>
      </c>
      <c r="D142" s="35">
        <v>0</v>
      </c>
      <c r="E142" s="35">
        <v>95</v>
      </c>
      <c r="F142" s="35">
        <v>-9</v>
      </c>
      <c r="G142" s="35">
        <v>-83</v>
      </c>
      <c r="H142" s="1"/>
      <c r="I142" s="1"/>
      <c r="J142" s="35">
        <v>222600001</v>
      </c>
      <c r="K142" s="35">
        <v>226</v>
      </c>
      <c r="L142" s="35">
        <v>0</v>
      </c>
      <c r="M142" s="35">
        <v>-21</v>
      </c>
      <c r="N142" s="35">
        <v>3</v>
      </c>
      <c r="O142" s="35">
        <v>69</v>
      </c>
    </row>
    <row r="143" spans="1:15" x14ac:dyDescent="0.2">
      <c r="A143" s="35">
        <v>4</v>
      </c>
      <c r="B143" s="35">
        <v>220300004</v>
      </c>
      <c r="C143" s="35">
        <v>203</v>
      </c>
      <c r="D143" s="35">
        <v>0</v>
      </c>
      <c r="E143" s="35">
        <v>117</v>
      </c>
      <c r="F143" s="35">
        <v>-9</v>
      </c>
      <c r="G143" s="35">
        <v>-54</v>
      </c>
      <c r="H143" s="1"/>
      <c r="I143" s="1"/>
      <c r="J143" s="35">
        <v>222700001</v>
      </c>
      <c r="K143" s="35">
        <v>227</v>
      </c>
      <c r="L143" s="35">
        <v>0</v>
      </c>
      <c r="M143" s="35">
        <v>142</v>
      </c>
      <c r="N143" s="35">
        <v>-8.9</v>
      </c>
      <c r="O143" s="35">
        <v>20</v>
      </c>
    </row>
    <row r="144" spans="1:15" x14ac:dyDescent="0.2">
      <c r="A144" s="35">
        <v>4</v>
      </c>
      <c r="B144" s="35">
        <v>220400001</v>
      </c>
      <c r="C144" s="35">
        <v>204</v>
      </c>
      <c r="D144" s="35">
        <v>0</v>
      </c>
      <c r="E144" s="35">
        <v>57</v>
      </c>
      <c r="F144" s="35">
        <v>-9</v>
      </c>
      <c r="G144" s="35">
        <v>-105</v>
      </c>
      <c r="H144" s="1" t="s">
        <v>236</v>
      </c>
      <c r="I144" s="1"/>
      <c r="J144" s="35">
        <v>222700002</v>
      </c>
      <c r="K144" s="35">
        <v>227</v>
      </c>
      <c r="L144" s="35">
        <v>0</v>
      </c>
      <c r="M144" s="35">
        <v>152</v>
      </c>
      <c r="N144" s="35">
        <v>-8.9</v>
      </c>
      <c r="O144" s="35">
        <v>-41</v>
      </c>
    </row>
    <row r="145" spans="1:15" x14ac:dyDescent="0.2">
      <c r="A145" s="35">
        <v>4</v>
      </c>
      <c r="B145" s="35">
        <v>220400002</v>
      </c>
      <c r="C145" s="35">
        <v>204</v>
      </c>
      <c r="D145" s="35">
        <v>0</v>
      </c>
      <c r="E145" s="35">
        <v>44</v>
      </c>
      <c r="F145" s="35">
        <v>-9</v>
      </c>
      <c r="G145" s="35">
        <v>-104</v>
      </c>
      <c r="H145" s="1"/>
      <c r="I145" s="1"/>
      <c r="J145" s="35">
        <v>222900001</v>
      </c>
      <c r="K145" s="35">
        <v>229</v>
      </c>
      <c r="L145" s="35">
        <v>0</v>
      </c>
      <c r="M145" s="35">
        <v>-61.5</v>
      </c>
      <c r="N145" s="35">
        <v>-2.0900726000000001E-2</v>
      </c>
      <c r="O145" s="35">
        <v>-46.5</v>
      </c>
    </row>
    <row r="146" spans="1:15" x14ac:dyDescent="0.2">
      <c r="A146" s="35">
        <v>4</v>
      </c>
      <c r="B146" s="35">
        <v>220400003</v>
      </c>
      <c r="C146" s="35">
        <v>204</v>
      </c>
      <c r="D146" s="35">
        <v>0</v>
      </c>
      <c r="E146" s="35">
        <v>54</v>
      </c>
      <c r="F146" s="35">
        <v>-9</v>
      </c>
      <c r="G146" s="35">
        <v>-118</v>
      </c>
      <c r="H146" s="1"/>
      <c r="I146" s="1"/>
      <c r="J146" s="35">
        <v>223000001</v>
      </c>
      <c r="K146" s="35">
        <v>230</v>
      </c>
      <c r="L146" s="35">
        <v>0</v>
      </c>
      <c r="M146" s="35">
        <v>81</v>
      </c>
      <c r="N146" s="35">
        <v>-2.0893096999999999E-2</v>
      </c>
      <c r="O146" s="35">
        <v>-18</v>
      </c>
    </row>
    <row r="147" spans="1:15" x14ac:dyDescent="0.2">
      <c r="A147" s="35">
        <v>4</v>
      </c>
      <c r="B147" s="35">
        <v>220400004</v>
      </c>
      <c r="C147" s="35">
        <v>204</v>
      </c>
      <c r="D147" s="35">
        <v>0</v>
      </c>
      <c r="E147" s="35">
        <v>41</v>
      </c>
      <c r="F147" s="35">
        <v>-9</v>
      </c>
      <c r="G147" s="35">
        <v>-118</v>
      </c>
      <c r="H147" s="1"/>
      <c r="I147" s="1"/>
      <c r="J147" s="35">
        <v>223100001</v>
      </c>
      <c r="K147" s="35">
        <v>231</v>
      </c>
      <c r="L147" s="35">
        <v>0</v>
      </c>
      <c r="M147" s="35">
        <v>-31.5</v>
      </c>
      <c r="N147" s="35">
        <v>-2.0896912E-2</v>
      </c>
      <c r="O147" s="35">
        <v>-37.5</v>
      </c>
    </row>
    <row r="148" spans="1:15" x14ac:dyDescent="0.2">
      <c r="A148" s="35">
        <v>4</v>
      </c>
      <c r="B148" s="35">
        <v>220500001</v>
      </c>
      <c r="C148" s="35">
        <v>205</v>
      </c>
      <c r="D148" s="35">
        <v>0</v>
      </c>
      <c r="E148" s="35">
        <v>-101</v>
      </c>
      <c r="F148" s="35">
        <v>0</v>
      </c>
      <c r="G148" s="35">
        <v>-29</v>
      </c>
      <c r="H148" s="1" t="s">
        <v>237</v>
      </c>
      <c r="I148" s="1"/>
      <c r="J148" s="35">
        <v>223200001</v>
      </c>
      <c r="K148" s="35">
        <v>232</v>
      </c>
      <c r="L148" s="35">
        <v>0</v>
      </c>
      <c r="M148" s="35">
        <v>51</v>
      </c>
      <c r="N148" s="35">
        <v>-2.0885468000000001E-2</v>
      </c>
      <c r="O148" s="35">
        <v>45</v>
      </c>
    </row>
    <row r="149" spans="1:15" x14ac:dyDescent="0.2">
      <c r="A149" s="35">
        <v>4</v>
      </c>
      <c r="B149" s="35">
        <v>220500002</v>
      </c>
      <c r="C149" s="35">
        <v>205</v>
      </c>
      <c r="D149" s="35">
        <v>0</v>
      </c>
      <c r="E149" s="35">
        <v>-101</v>
      </c>
      <c r="F149" s="35">
        <v>0</v>
      </c>
      <c r="G149" s="35">
        <v>-15</v>
      </c>
      <c r="H149" s="1"/>
      <c r="I149" s="1"/>
      <c r="J149" s="35">
        <v>223400001</v>
      </c>
      <c r="K149" s="35">
        <v>234</v>
      </c>
      <c r="L149" s="35">
        <v>0</v>
      </c>
      <c r="M149" s="35">
        <v>-114</v>
      </c>
      <c r="N149" s="35">
        <v>-2.0896912E-2</v>
      </c>
      <c r="O149" s="35">
        <v>-15</v>
      </c>
    </row>
    <row r="150" spans="1:15" x14ac:dyDescent="0.2">
      <c r="A150" s="35">
        <v>4</v>
      </c>
      <c r="B150" s="35">
        <v>220500003</v>
      </c>
      <c r="C150" s="35">
        <v>205</v>
      </c>
      <c r="D150" s="35">
        <v>0</v>
      </c>
      <c r="E150" s="35">
        <v>-85</v>
      </c>
      <c r="F150" s="35">
        <v>0</v>
      </c>
      <c r="G150" s="35">
        <v>-29</v>
      </c>
      <c r="H150" s="1"/>
      <c r="I150" s="1"/>
      <c r="J150" s="35">
        <v>223400002</v>
      </c>
      <c r="K150" s="35">
        <v>234</v>
      </c>
      <c r="L150" s="35">
        <v>0</v>
      </c>
      <c r="M150" s="35">
        <v>-108</v>
      </c>
      <c r="N150" s="35">
        <v>-2.0893096999999999E-2</v>
      </c>
      <c r="O150" s="35">
        <v>6</v>
      </c>
    </row>
    <row r="151" spans="1:15" x14ac:dyDescent="0.2">
      <c r="A151" s="35">
        <v>4</v>
      </c>
      <c r="B151" s="35">
        <v>220600001</v>
      </c>
      <c r="C151" s="35">
        <v>206</v>
      </c>
      <c r="D151" s="35">
        <v>0</v>
      </c>
      <c r="E151" s="35">
        <v>48</v>
      </c>
      <c r="F151" s="35">
        <v>0</v>
      </c>
      <c r="G151" s="35">
        <v>48</v>
      </c>
      <c r="H151" s="1" t="s">
        <v>238</v>
      </c>
      <c r="I151" s="1"/>
      <c r="J151" s="35">
        <v>223500001</v>
      </c>
      <c r="K151" s="35">
        <v>235</v>
      </c>
      <c r="L151" s="35">
        <v>0</v>
      </c>
      <c r="M151" s="35">
        <v>-63</v>
      </c>
      <c r="N151" s="35">
        <v>5</v>
      </c>
      <c r="O151" s="35">
        <v>6</v>
      </c>
    </row>
    <row r="152" spans="1:15" x14ac:dyDescent="0.2">
      <c r="A152" s="35">
        <v>4</v>
      </c>
      <c r="B152" s="35">
        <v>220700001</v>
      </c>
      <c r="C152" s="35">
        <v>207</v>
      </c>
      <c r="D152" s="35">
        <v>0</v>
      </c>
      <c r="E152" s="35">
        <v>83</v>
      </c>
      <c r="F152" s="35">
        <v>-9</v>
      </c>
      <c r="G152" s="35">
        <v>-93</v>
      </c>
      <c r="H152" s="1" t="s">
        <v>239</v>
      </c>
      <c r="I152" s="1"/>
      <c r="J152" s="35">
        <v>223600001</v>
      </c>
      <c r="K152" s="35">
        <v>236</v>
      </c>
      <c r="L152" s="35">
        <v>0</v>
      </c>
      <c r="M152" s="35">
        <v>-42</v>
      </c>
      <c r="N152" s="35">
        <v>5</v>
      </c>
      <c r="O152" s="35">
        <v>5</v>
      </c>
    </row>
    <row r="153" spans="1:15" x14ac:dyDescent="0.2">
      <c r="A153" s="35">
        <v>4</v>
      </c>
      <c r="B153" s="35">
        <v>220700002</v>
      </c>
      <c r="C153" s="35">
        <v>207</v>
      </c>
      <c r="D153" s="35">
        <v>0</v>
      </c>
      <c r="E153" s="35">
        <v>115</v>
      </c>
      <c r="F153" s="44">
        <v>-9</v>
      </c>
      <c r="G153" s="44">
        <v>-42</v>
      </c>
      <c r="H153" s="44"/>
      <c r="I153" s="1"/>
      <c r="J153" s="1"/>
      <c r="K153" s="1"/>
      <c r="L153" s="1"/>
      <c r="M153" s="1"/>
      <c r="N153" s="1"/>
      <c r="O153" s="1"/>
    </row>
    <row r="154" spans="1:15" x14ac:dyDescent="0.2">
      <c r="A154" s="35">
        <v>4</v>
      </c>
      <c r="B154" s="35">
        <v>220700003</v>
      </c>
      <c r="C154" s="35">
        <v>207</v>
      </c>
      <c r="D154" s="35">
        <v>0</v>
      </c>
      <c r="E154" s="35">
        <v>128</v>
      </c>
      <c r="F154" s="35">
        <v>-9</v>
      </c>
      <c r="G154" s="35">
        <v>-54</v>
      </c>
      <c r="H154" s="1"/>
      <c r="I154" s="1"/>
      <c r="J154" s="1"/>
      <c r="K154" s="1"/>
      <c r="L154" s="1"/>
      <c r="M154" s="1"/>
      <c r="N154" s="1"/>
      <c r="O154" s="1"/>
    </row>
    <row r="155" spans="1:15" x14ac:dyDescent="0.2">
      <c r="A155" s="44">
        <v>4</v>
      </c>
      <c r="B155" s="44">
        <v>220700004</v>
      </c>
      <c r="C155" s="44">
        <v>207</v>
      </c>
      <c r="D155" s="44">
        <v>0</v>
      </c>
      <c r="E155" s="44">
        <v>116</v>
      </c>
      <c r="F155" s="35">
        <v>-9</v>
      </c>
      <c r="G155" s="35">
        <v>-66</v>
      </c>
      <c r="H155" s="1"/>
      <c r="I155" s="1"/>
      <c r="J155" s="35">
        <v>220100001</v>
      </c>
      <c r="K155" s="35">
        <v>201</v>
      </c>
      <c r="L155" s="35">
        <v>0</v>
      </c>
      <c r="M155" s="35">
        <v>0</v>
      </c>
      <c r="N155" s="35">
        <v>0</v>
      </c>
      <c r="O155" s="35">
        <v>0</v>
      </c>
    </row>
    <row r="156" spans="1:15" x14ac:dyDescent="0.2">
      <c r="A156" s="44">
        <v>4</v>
      </c>
      <c r="B156" s="35">
        <v>220700005</v>
      </c>
      <c r="C156" s="35">
        <v>207</v>
      </c>
      <c r="D156" s="35">
        <v>0</v>
      </c>
      <c r="E156" s="35">
        <v>95</v>
      </c>
      <c r="F156" s="35">
        <v>-9</v>
      </c>
      <c r="G156" s="35">
        <v>-96</v>
      </c>
      <c r="H156" s="1"/>
      <c r="I156" s="1"/>
      <c r="J156" s="35">
        <v>220200001</v>
      </c>
      <c r="K156" s="35">
        <v>202</v>
      </c>
      <c r="L156" s="35">
        <v>0</v>
      </c>
      <c r="M156" s="35">
        <v>36</v>
      </c>
      <c r="N156" s="35">
        <v>-2.0896912E-2</v>
      </c>
      <c r="O156" s="35">
        <v>-39</v>
      </c>
    </row>
    <row r="157" spans="1:15" x14ac:dyDescent="0.2">
      <c r="A157" s="44">
        <v>4</v>
      </c>
      <c r="B157" s="35">
        <v>220700006</v>
      </c>
      <c r="C157" s="35">
        <v>207</v>
      </c>
      <c r="D157" s="35">
        <v>0</v>
      </c>
      <c r="E157" s="35">
        <v>119</v>
      </c>
      <c r="F157" s="35">
        <v>-9</v>
      </c>
      <c r="G157" s="35">
        <v>-92</v>
      </c>
      <c r="H157" s="1"/>
      <c r="I157" s="1"/>
      <c r="J157" s="35">
        <v>220200002</v>
      </c>
      <c r="K157" s="35">
        <v>202</v>
      </c>
      <c r="L157" s="35">
        <v>0</v>
      </c>
      <c r="M157" s="35">
        <v>60</v>
      </c>
      <c r="N157" s="35">
        <v>-2.0896912E-2</v>
      </c>
      <c r="O157" s="35">
        <v>-18</v>
      </c>
    </row>
    <row r="158" spans="1:15" x14ac:dyDescent="0.2">
      <c r="A158" s="44">
        <v>4</v>
      </c>
      <c r="B158" s="35">
        <v>220700007</v>
      </c>
      <c r="C158" s="35">
        <v>207</v>
      </c>
      <c r="D158" s="35">
        <v>0</v>
      </c>
      <c r="E158" s="35">
        <v>107</v>
      </c>
      <c r="F158" s="35">
        <v>-9</v>
      </c>
      <c r="G158" s="35">
        <v>-91</v>
      </c>
      <c r="H158" s="1"/>
      <c r="I158" s="1"/>
      <c r="J158" s="35">
        <v>220200003</v>
      </c>
      <c r="K158" s="35">
        <v>202</v>
      </c>
      <c r="L158" s="35">
        <v>0</v>
      </c>
      <c r="M158" s="35">
        <v>45</v>
      </c>
      <c r="N158" s="35">
        <v>-2.0896912E-2</v>
      </c>
      <c r="O158" s="35">
        <v>-24</v>
      </c>
    </row>
    <row r="159" spans="1:15" x14ac:dyDescent="0.2">
      <c r="A159" s="44">
        <v>4</v>
      </c>
      <c r="B159" s="35">
        <v>220700008</v>
      </c>
      <c r="C159" s="35">
        <v>207</v>
      </c>
      <c r="D159" s="35">
        <v>0</v>
      </c>
      <c r="E159" s="35">
        <v>128</v>
      </c>
      <c r="F159" s="46">
        <v>-9</v>
      </c>
      <c r="G159" s="46">
        <v>-66</v>
      </c>
      <c r="H159" s="1"/>
      <c r="I159" s="1"/>
      <c r="J159" s="35">
        <v>220200004</v>
      </c>
      <c r="K159" s="35">
        <v>202</v>
      </c>
      <c r="L159" s="35">
        <v>0</v>
      </c>
      <c r="M159" s="35">
        <v>36</v>
      </c>
      <c r="N159" s="35" t="s">
        <v>340</v>
      </c>
      <c r="O159" s="35">
        <v>-54</v>
      </c>
    </row>
    <row r="160" spans="1:15" x14ac:dyDescent="0.2">
      <c r="A160" s="44">
        <v>4</v>
      </c>
      <c r="B160" s="35">
        <v>220700009</v>
      </c>
      <c r="C160" s="47">
        <v>207</v>
      </c>
      <c r="D160" s="47">
        <v>0</v>
      </c>
      <c r="E160" s="46">
        <v>104</v>
      </c>
      <c r="F160" s="48">
        <v>-9</v>
      </c>
      <c r="G160" s="48">
        <v>-66</v>
      </c>
      <c r="H160" s="1"/>
      <c r="I160" s="1"/>
      <c r="J160" s="35">
        <v>220300001</v>
      </c>
      <c r="K160" s="35">
        <v>203</v>
      </c>
      <c r="L160" s="35">
        <v>0</v>
      </c>
      <c r="M160" s="35">
        <v>123</v>
      </c>
      <c r="N160" s="35">
        <v>-9.0353390000000005</v>
      </c>
      <c r="O160" s="35">
        <v>-66</v>
      </c>
    </row>
    <row r="161" spans="1:15" x14ac:dyDescent="0.2">
      <c r="A161" s="44">
        <v>4</v>
      </c>
      <c r="B161" s="35">
        <v>220700010</v>
      </c>
      <c r="C161" s="47">
        <v>207</v>
      </c>
      <c r="D161" s="47">
        <v>0</v>
      </c>
      <c r="E161" s="48">
        <v>107</v>
      </c>
      <c r="F161" s="47">
        <v>-9</v>
      </c>
      <c r="G161" s="47">
        <v>-104</v>
      </c>
      <c r="H161" s="1"/>
      <c r="I161" s="1"/>
      <c r="J161" s="35">
        <v>220300002</v>
      </c>
      <c r="K161" s="35">
        <v>203</v>
      </c>
      <c r="L161" s="35">
        <v>0</v>
      </c>
      <c r="M161" s="35">
        <v>117</v>
      </c>
      <c r="N161" s="35">
        <v>-9.002872</v>
      </c>
      <c r="O161" s="35">
        <v>-90</v>
      </c>
    </row>
    <row r="162" spans="1:15" x14ac:dyDescent="0.2">
      <c r="A162" s="44">
        <v>4</v>
      </c>
      <c r="B162" s="35">
        <v>220700011</v>
      </c>
      <c r="C162" s="47">
        <v>207</v>
      </c>
      <c r="D162" s="47">
        <v>0</v>
      </c>
      <c r="E162" s="47">
        <v>83</v>
      </c>
      <c r="F162" s="47">
        <v>-9</v>
      </c>
      <c r="G162" s="47">
        <v>-105</v>
      </c>
      <c r="H162" s="1"/>
      <c r="I162" s="1"/>
      <c r="J162" s="35">
        <v>220300003</v>
      </c>
      <c r="K162" s="35">
        <v>203</v>
      </c>
      <c r="L162" s="35">
        <v>0</v>
      </c>
      <c r="M162" s="35">
        <v>93</v>
      </c>
      <c r="N162" s="35">
        <v>-9.0510219999999997</v>
      </c>
      <c r="O162" s="35">
        <v>-93</v>
      </c>
    </row>
    <row r="163" spans="1:15" x14ac:dyDescent="0.2">
      <c r="A163" s="44">
        <v>4</v>
      </c>
      <c r="B163" s="35">
        <v>220700012</v>
      </c>
      <c r="C163" s="47">
        <v>207</v>
      </c>
      <c r="D163" s="47">
        <v>0</v>
      </c>
      <c r="E163" s="47">
        <v>107</v>
      </c>
      <c r="F163" s="35">
        <v>-9</v>
      </c>
      <c r="G163" s="35">
        <v>-79</v>
      </c>
      <c r="H163" s="1"/>
      <c r="I163" s="1"/>
      <c r="J163" s="35">
        <v>220300004</v>
      </c>
      <c r="K163" s="35">
        <v>203</v>
      </c>
      <c r="L163" s="35">
        <v>0</v>
      </c>
      <c r="M163" s="35">
        <v>135</v>
      </c>
      <c r="N163" s="35">
        <v>-9.0353010000000005</v>
      </c>
      <c r="O163" s="35">
        <v>-42</v>
      </c>
    </row>
    <row r="164" spans="1:15" x14ac:dyDescent="0.2">
      <c r="A164" s="44">
        <v>4</v>
      </c>
      <c r="B164" s="35">
        <v>220800001</v>
      </c>
      <c r="C164" s="35">
        <v>208</v>
      </c>
      <c r="D164" s="35">
        <v>0</v>
      </c>
      <c r="E164" s="35">
        <v>-69</v>
      </c>
      <c r="F164" s="35">
        <v>13</v>
      </c>
      <c r="G164" s="35">
        <v>78</v>
      </c>
      <c r="H164" s="1" t="s">
        <v>240</v>
      </c>
      <c r="I164" s="1"/>
      <c r="J164" s="35">
        <v>220400001</v>
      </c>
      <c r="K164" s="35">
        <v>204</v>
      </c>
      <c r="L164" s="35">
        <v>0</v>
      </c>
      <c r="M164" s="35">
        <v>66</v>
      </c>
      <c r="N164" s="35">
        <v>-9.0478970000000007</v>
      </c>
      <c r="O164" s="35">
        <v>-105</v>
      </c>
    </row>
    <row r="165" spans="1:15" x14ac:dyDescent="0.2">
      <c r="A165" s="44">
        <v>4</v>
      </c>
      <c r="B165" s="35">
        <v>220900001</v>
      </c>
      <c r="C165" s="35">
        <v>209</v>
      </c>
      <c r="D165" s="35">
        <v>0</v>
      </c>
      <c r="E165" s="35">
        <v>45</v>
      </c>
      <c r="F165" s="35">
        <v>0</v>
      </c>
      <c r="G165" s="35">
        <v>18</v>
      </c>
      <c r="H165" s="1" t="s">
        <v>241</v>
      </c>
      <c r="I165" s="1"/>
      <c r="J165" s="35">
        <v>220400002</v>
      </c>
      <c r="K165" s="35">
        <v>204</v>
      </c>
      <c r="L165" s="35">
        <v>0</v>
      </c>
      <c r="M165" s="35">
        <v>51</v>
      </c>
      <c r="N165" s="35">
        <v>-9.0353390000000005</v>
      </c>
      <c r="O165" s="35">
        <v>-105</v>
      </c>
    </row>
    <row r="166" spans="1:15" x14ac:dyDescent="0.2">
      <c r="A166" s="44">
        <v>4</v>
      </c>
      <c r="B166" s="35">
        <v>221100001</v>
      </c>
      <c r="C166" s="35">
        <v>211</v>
      </c>
      <c r="D166" s="35">
        <v>0</v>
      </c>
      <c r="E166" s="35">
        <v>21</v>
      </c>
      <c r="F166" s="35">
        <v>0</v>
      </c>
      <c r="G166" s="35">
        <v>-38</v>
      </c>
      <c r="H166" s="1" t="s">
        <v>242</v>
      </c>
      <c r="I166" s="1"/>
      <c r="J166" s="35">
        <v>220400003</v>
      </c>
      <c r="K166" s="35">
        <v>204</v>
      </c>
      <c r="L166" s="35">
        <v>0</v>
      </c>
      <c r="M166" s="35">
        <v>51</v>
      </c>
      <c r="N166" s="35">
        <v>-9.0353429999999992</v>
      </c>
      <c r="O166" s="35">
        <v>-120</v>
      </c>
    </row>
    <row r="167" spans="1:15" x14ac:dyDescent="0.2">
      <c r="A167" s="44">
        <v>4</v>
      </c>
      <c r="B167" s="35">
        <v>221200001</v>
      </c>
      <c r="C167" s="35">
        <v>212</v>
      </c>
      <c r="D167" s="35">
        <v>0</v>
      </c>
      <c r="E167" s="35">
        <v>129</v>
      </c>
      <c r="F167" s="35">
        <v>-4.5999999999999996</v>
      </c>
      <c r="G167" s="35">
        <v>52</v>
      </c>
      <c r="H167" s="1" t="s">
        <v>243</v>
      </c>
      <c r="I167" s="1"/>
      <c r="J167" s="35">
        <v>220400004</v>
      </c>
      <c r="K167" s="35">
        <v>204</v>
      </c>
      <c r="L167" s="35">
        <v>0</v>
      </c>
      <c r="M167" s="35">
        <v>78</v>
      </c>
      <c r="N167" s="35">
        <v>-9.0505940000000002</v>
      </c>
      <c r="O167" s="35">
        <v>-105</v>
      </c>
    </row>
    <row r="168" spans="1:15" x14ac:dyDescent="0.2">
      <c r="A168" s="44">
        <v>4</v>
      </c>
      <c r="B168" s="35">
        <v>221300001</v>
      </c>
      <c r="C168" s="35">
        <v>213</v>
      </c>
      <c r="D168" s="35">
        <v>0</v>
      </c>
      <c r="E168" s="35">
        <v>16</v>
      </c>
      <c r="F168" s="35">
        <v>-18.5</v>
      </c>
      <c r="G168" s="35">
        <v>130</v>
      </c>
      <c r="H168" s="1" t="s">
        <v>244</v>
      </c>
      <c r="I168" s="1"/>
      <c r="J168" s="35">
        <v>220500001</v>
      </c>
      <c r="K168" s="35" t="s">
        <v>341</v>
      </c>
      <c r="L168" s="35">
        <v>0</v>
      </c>
      <c r="M168" s="35">
        <v>-105</v>
      </c>
      <c r="N168" s="35">
        <v>-2.0900726000000001E-2</v>
      </c>
      <c r="O168" s="35">
        <v>-81</v>
      </c>
    </row>
    <row r="169" spans="1:15" x14ac:dyDescent="0.2">
      <c r="A169" s="44">
        <v>4</v>
      </c>
      <c r="B169" s="35">
        <v>221500001</v>
      </c>
      <c r="C169" s="35">
        <v>215</v>
      </c>
      <c r="D169" s="35">
        <v>0</v>
      </c>
      <c r="E169" s="35">
        <v>90</v>
      </c>
      <c r="F169" s="35">
        <v>0</v>
      </c>
      <c r="G169" s="35">
        <v>1</v>
      </c>
      <c r="H169" s="1" t="s">
        <v>245</v>
      </c>
      <c r="I169" s="1"/>
      <c r="J169" s="35">
        <v>220500002</v>
      </c>
      <c r="K169" s="35">
        <v>205</v>
      </c>
      <c r="L169" s="35">
        <v>0</v>
      </c>
      <c r="M169" s="35">
        <v>-114</v>
      </c>
      <c r="N169" s="35">
        <v>-2.0896912E-2</v>
      </c>
      <c r="O169" s="35">
        <v>-63</v>
      </c>
    </row>
    <row r="170" spans="1:15" x14ac:dyDescent="0.2">
      <c r="A170" s="44">
        <v>4</v>
      </c>
      <c r="B170" s="35">
        <v>222200001</v>
      </c>
      <c r="C170" s="35">
        <v>222</v>
      </c>
      <c r="D170" s="35">
        <v>0</v>
      </c>
      <c r="E170" s="35">
        <v>48</v>
      </c>
      <c r="F170" s="47">
        <v>0</v>
      </c>
      <c r="G170" s="47">
        <v>-17</v>
      </c>
      <c r="H170" s="1" t="s">
        <v>246</v>
      </c>
      <c r="I170" s="1"/>
      <c r="J170" s="35">
        <v>220600001</v>
      </c>
      <c r="K170" s="35">
        <v>206</v>
      </c>
      <c r="L170" s="35">
        <v>0</v>
      </c>
      <c r="M170" s="35">
        <v>48</v>
      </c>
      <c r="N170" s="35">
        <v>-2.0893096999999999E-2</v>
      </c>
      <c r="O170" s="35">
        <v>18</v>
      </c>
    </row>
    <row r="171" spans="1:15" x14ac:dyDescent="0.2">
      <c r="A171" s="44">
        <v>4</v>
      </c>
      <c r="B171" s="35">
        <v>222400001</v>
      </c>
      <c r="C171" s="35">
        <v>224</v>
      </c>
      <c r="D171" s="35">
        <v>0</v>
      </c>
      <c r="E171" s="47">
        <v>69</v>
      </c>
      <c r="F171" s="35">
        <v>0</v>
      </c>
      <c r="G171" s="35">
        <v>18</v>
      </c>
      <c r="H171" s="1" t="s">
        <v>247</v>
      </c>
      <c r="I171" s="1"/>
      <c r="J171" s="35">
        <v>220700016</v>
      </c>
      <c r="K171" s="35">
        <v>207</v>
      </c>
      <c r="L171" s="35">
        <v>0</v>
      </c>
      <c r="M171" s="35">
        <v>123</v>
      </c>
      <c r="N171" s="35">
        <v>-8.0117650000000005</v>
      </c>
      <c r="O171" s="35">
        <v>-54</v>
      </c>
    </row>
    <row r="172" spans="1:15" x14ac:dyDescent="0.2">
      <c r="A172" s="44">
        <v>4</v>
      </c>
      <c r="B172" s="35">
        <v>222600001</v>
      </c>
      <c r="C172" s="35">
        <v>226</v>
      </c>
      <c r="D172" s="35">
        <v>0</v>
      </c>
      <c r="E172" s="35">
        <v>-7</v>
      </c>
      <c r="F172" s="35">
        <v>3</v>
      </c>
      <c r="G172" s="35">
        <v>66</v>
      </c>
      <c r="H172" s="1" t="s">
        <v>248</v>
      </c>
      <c r="I172" s="1"/>
      <c r="J172" s="35">
        <v>220800001</v>
      </c>
      <c r="K172" s="35">
        <v>208</v>
      </c>
      <c r="L172" s="35">
        <v>0</v>
      </c>
      <c r="M172" s="35">
        <v>-69</v>
      </c>
      <c r="N172" s="35">
        <v>13</v>
      </c>
      <c r="O172" s="35">
        <v>78</v>
      </c>
    </row>
    <row r="173" spans="1:15" x14ac:dyDescent="0.2">
      <c r="A173" s="44">
        <v>4</v>
      </c>
      <c r="B173" s="35">
        <v>222700001</v>
      </c>
      <c r="C173" s="35">
        <v>227</v>
      </c>
      <c r="D173" s="35">
        <v>0</v>
      </c>
      <c r="E173" s="35">
        <v>135</v>
      </c>
      <c r="F173" s="35">
        <v>-9</v>
      </c>
      <c r="G173" s="35">
        <v>-12</v>
      </c>
      <c r="H173" s="1" t="s">
        <v>249</v>
      </c>
      <c r="I173" s="1"/>
      <c r="J173" s="35">
        <v>221100001</v>
      </c>
      <c r="K173" s="35">
        <v>211</v>
      </c>
      <c r="L173" s="35" t="s">
        <v>342</v>
      </c>
      <c r="M173" s="35">
        <v>60</v>
      </c>
      <c r="N173" s="35">
        <v>-2.0896912E-2</v>
      </c>
      <c r="O173" s="35">
        <v>-45</v>
      </c>
    </row>
    <row r="174" spans="1:15" x14ac:dyDescent="0.2">
      <c r="A174" s="44">
        <v>4</v>
      </c>
      <c r="B174" s="35">
        <v>222700002</v>
      </c>
      <c r="C174" s="35">
        <v>227</v>
      </c>
      <c r="D174" s="35">
        <v>0</v>
      </c>
      <c r="E174" s="35">
        <v>136</v>
      </c>
      <c r="F174" s="35">
        <v>-8.56</v>
      </c>
      <c r="G174" s="35">
        <v>16</v>
      </c>
      <c r="H174" s="1"/>
      <c r="I174" s="1"/>
      <c r="J174" s="35">
        <v>221200001</v>
      </c>
      <c r="K174" s="35">
        <v>212</v>
      </c>
      <c r="L174" s="35">
        <v>0</v>
      </c>
      <c r="M174" s="35">
        <v>109.5</v>
      </c>
      <c r="N174" s="35">
        <v>-4.5999999999999996</v>
      </c>
      <c r="O174" s="35">
        <v>69</v>
      </c>
    </row>
    <row r="175" spans="1:15" x14ac:dyDescent="0.2">
      <c r="A175" s="44">
        <v>4</v>
      </c>
      <c r="B175" s="35">
        <v>222900001</v>
      </c>
      <c r="C175" s="35">
        <v>229</v>
      </c>
      <c r="D175" s="35">
        <v>0</v>
      </c>
      <c r="E175" s="35">
        <v>27</v>
      </c>
      <c r="F175" s="35">
        <v>0</v>
      </c>
      <c r="G175" s="35">
        <v>36</v>
      </c>
      <c r="H175" s="1" t="s">
        <v>296</v>
      </c>
      <c r="I175" s="1"/>
      <c r="J175" s="35">
        <v>221300001</v>
      </c>
      <c r="K175" s="35">
        <v>213</v>
      </c>
      <c r="L175" s="35">
        <v>0</v>
      </c>
      <c r="M175" s="35">
        <v>16.5</v>
      </c>
      <c r="N175" s="35">
        <v>-18.48</v>
      </c>
      <c r="O175" s="35">
        <v>130.5</v>
      </c>
    </row>
    <row r="176" spans="1:15" x14ac:dyDescent="0.2">
      <c r="A176" s="44">
        <v>4</v>
      </c>
      <c r="B176" s="35">
        <v>223000001</v>
      </c>
      <c r="C176" s="35">
        <v>230</v>
      </c>
      <c r="D176" s="35">
        <v>0</v>
      </c>
      <c r="E176" s="35">
        <v>30</v>
      </c>
      <c r="F176" s="35">
        <v>0</v>
      </c>
      <c r="G176" s="35">
        <v>-17</v>
      </c>
      <c r="H176" s="1" t="s">
        <v>250</v>
      </c>
      <c r="I176" s="1"/>
      <c r="J176" s="35">
        <v>221500001</v>
      </c>
      <c r="K176" s="35">
        <v>215</v>
      </c>
      <c r="L176" s="35">
        <v>0</v>
      </c>
      <c r="M176" s="35">
        <v>99</v>
      </c>
      <c r="N176" s="35">
        <v>0</v>
      </c>
      <c r="O176" s="35">
        <v>1</v>
      </c>
    </row>
    <row r="177" spans="1:15" x14ac:dyDescent="0.2">
      <c r="A177" s="44">
        <v>4</v>
      </c>
      <c r="B177" s="35">
        <v>223100001</v>
      </c>
      <c r="C177" s="35">
        <v>231</v>
      </c>
      <c r="D177" s="35">
        <v>0</v>
      </c>
      <c r="E177" s="35">
        <v>-13</v>
      </c>
      <c r="F177" s="35">
        <v>0</v>
      </c>
      <c r="G177" s="35">
        <v>-40</v>
      </c>
      <c r="H177" s="1" t="s">
        <v>251</v>
      </c>
      <c r="I177" s="1"/>
      <c r="J177" s="35">
        <v>222200001</v>
      </c>
      <c r="K177" s="35">
        <v>222</v>
      </c>
      <c r="L177" s="35">
        <v>0</v>
      </c>
      <c r="M177" s="35">
        <v>30</v>
      </c>
      <c r="N177" s="35">
        <v>-2.0885468000000001E-2</v>
      </c>
      <c r="O177" s="35" t="s">
        <v>343</v>
      </c>
    </row>
    <row r="178" spans="1:15" x14ac:dyDescent="0.2">
      <c r="A178" s="44">
        <v>4</v>
      </c>
      <c r="B178" s="35">
        <v>223200001</v>
      </c>
      <c r="C178" s="35">
        <v>232</v>
      </c>
      <c r="D178" s="35">
        <v>0</v>
      </c>
      <c r="E178" s="35">
        <v>72</v>
      </c>
      <c r="F178" s="35">
        <v>0</v>
      </c>
      <c r="G178" s="35">
        <v>48</v>
      </c>
      <c r="H178" s="1" t="s">
        <v>252</v>
      </c>
      <c r="I178" s="1"/>
      <c r="J178" s="35">
        <v>222400001</v>
      </c>
      <c r="K178" s="35">
        <v>224</v>
      </c>
      <c r="L178" s="35">
        <v>0</v>
      </c>
      <c r="M178" s="35">
        <v>72</v>
      </c>
      <c r="N178" s="35">
        <v>-2.0889281999999999E-2</v>
      </c>
      <c r="O178" s="35">
        <v>18</v>
      </c>
    </row>
    <row r="179" spans="1:15" x14ac:dyDescent="0.2">
      <c r="A179" s="44">
        <v>4</v>
      </c>
      <c r="B179" s="35">
        <v>223400001</v>
      </c>
      <c r="C179" s="35">
        <v>234</v>
      </c>
      <c r="D179" s="35">
        <v>0</v>
      </c>
      <c r="E179" s="35">
        <v>-111</v>
      </c>
      <c r="F179" s="35">
        <v>0</v>
      </c>
      <c r="G179" s="35">
        <v>-40</v>
      </c>
      <c r="H179" s="1" t="s">
        <v>297</v>
      </c>
      <c r="I179" s="1"/>
      <c r="J179" s="35">
        <v>222600001</v>
      </c>
      <c r="K179" s="35">
        <v>226</v>
      </c>
      <c r="L179" s="35">
        <v>0</v>
      </c>
      <c r="M179" s="35">
        <v>-21</v>
      </c>
      <c r="N179" s="35">
        <v>3</v>
      </c>
      <c r="O179" s="35">
        <v>69</v>
      </c>
    </row>
    <row r="180" spans="1:15" x14ac:dyDescent="0.2">
      <c r="A180" s="44">
        <v>4</v>
      </c>
      <c r="B180" s="35">
        <v>223400002</v>
      </c>
      <c r="C180" s="35">
        <v>234</v>
      </c>
      <c r="D180" s="35">
        <v>0</v>
      </c>
      <c r="E180" s="35">
        <v>-111</v>
      </c>
      <c r="F180" s="35">
        <v>0</v>
      </c>
      <c r="G180" s="35">
        <v>-50</v>
      </c>
      <c r="H180" s="1"/>
      <c r="I180" s="1"/>
      <c r="J180" s="35">
        <v>222700001</v>
      </c>
      <c r="K180" s="35">
        <v>227</v>
      </c>
      <c r="L180" s="35">
        <v>0</v>
      </c>
      <c r="M180" s="35">
        <v>142</v>
      </c>
      <c r="N180" s="35">
        <v>-8.9</v>
      </c>
      <c r="O180" s="35">
        <v>20</v>
      </c>
    </row>
    <row r="181" spans="1:15" x14ac:dyDescent="0.2">
      <c r="A181" s="44">
        <v>4</v>
      </c>
      <c r="B181" s="35">
        <v>223400003</v>
      </c>
      <c r="C181" s="35">
        <v>234</v>
      </c>
      <c r="D181" s="35">
        <v>0</v>
      </c>
      <c r="E181" s="35">
        <v>-87</v>
      </c>
      <c r="F181" s="35">
        <v>0</v>
      </c>
      <c r="G181" s="35">
        <v>-50</v>
      </c>
      <c r="H181" s="1"/>
      <c r="I181" s="1"/>
      <c r="J181" s="35">
        <v>222700002</v>
      </c>
      <c r="K181" s="35">
        <v>227</v>
      </c>
      <c r="L181" s="35">
        <v>0</v>
      </c>
      <c r="M181" s="35">
        <v>152</v>
      </c>
      <c r="N181" s="35">
        <v>-8.9</v>
      </c>
      <c r="O181" s="35">
        <v>-41</v>
      </c>
    </row>
    <row r="182" spans="1:15" x14ac:dyDescent="0.2">
      <c r="A182" s="44">
        <v>4</v>
      </c>
      <c r="B182" s="35">
        <v>223500001</v>
      </c>
      <c r="C182" s="35">
        <v>235</v>
      </c>
      <c r="D182" s="35">
        <v>0</v>
      </c>
      <c r="E182" s="35">
        <v>-57</v>
      </c>
      <c r="F182" s="35">
        <v>5</v>
      </c>
      <c r="G182" s="35">
        <v>6</v>
      </c>
      <c r="H182" s="1" t="s">
        <v>253</v>
      </c>
      <c r="I182" s="1"/>
      <c r="J182" s="35">
        <v>222900001</v>
      </c>
      <c r="K182" s="35">
        <v>229</v>
      </c>
      <c r="L182" s="35">
        <v>0</v>
      </c>
      <c r="M182" s="35">
        <v>-61.5</v>
      </c>
      <c r="N182" s="35">
        <v>-2.0900726000000001E-2</v>
      </c>
      <c r="O182" s="35">
        <v>-46.5</v>
      </c>
    </row>
    <row r="183" spans="1:15" x14ac:dyDescent="0.2">
      <c r="A183" s="44">
        <v>4</v>
      </c>
      <c r="B183" s="35">
        <v>223600001</v>
      </c>
      <c r="C183" s="35">
        <v>236</v>
      </c>
      <c r="D183" s="35">
        <v>0</v>
      </c>
      <c r="E183" s="35">
        <v>-35</v>
      </c>
      <c r="F183" s="35">
        <v>5</v>
      </c>
      <c r="G183" s="35">
        <v>6</v>
      </c>
      <c r="H183" s="1" t="s">
        <v>254</v>
      </c>
      <c r="I183" s="1"/>
      <c r="J183" s="35">
        <v>223000001</v>
      </c>
      <c r="K183" s="35">
        <v>230</v>
      </c>
      <c r="L183" s="35">
        <v>0</v>
      </c>
      <c r="M183" s="35">
        <v>81</v>
      </c>
      <c r="N183" s="35">
        <v>-2.0893096999999999E-2</v>
      </c>
      <c r="O183" s="35">
        <v>-18</v>
      </c>
    </row>
    <row r="184" spans="1:15" x14ac:dyDescent="0.2">
      <c r="A184" s="44">
        <v>4</v>
      </c>
      <c r="B184" s="35">
        <v>223700001</v>
      </c>
      <c r="C184" s="35">
        <v>237</v>
      </c>
      <c r="D184" s="35">
        <v>0</v>
      </c>
      <c r="E184" s="35">
        <v>63</v>
      </c>
      <c r="F184" s="35">
        <v>0</v>
      </c>
      <c r="G184" s="35">
        <v>-41</v>
      </c>
      <c r="H184" s="1" t="s">
        <v>255</v>
      </c>
      <c r="I184" s="1"/>
      <c r="J184" s="35">
        <v>223100001</v>
      </c>
      <c r="K184" s="35">
        <v>231</v>
      </c>
      <c r="L184" s="35">
        <v>0</v>
      </c>
      <c r="M184" s="35">
        <v>-31.5</v>
      </c>
      <c r="N184" s="35">
        <v>-2.0896912E-2</v>
      </c>
      <c r="O184" s="35">
        <v>-37.5</v>
      </c>
    </row>
    <row r="185" spans="1:15" x14ac:dyDescent="0.2">
      <c r="A185" s="44">
        <v>4</v>
      </c>
      <c r="B185" s="35">
        <v>230000001</v>
      </c>
      <c r="C185" s="35">
        <v>300</v>
      </c>
      <c r="D185" s="35">
        <v>0</v>
      </c>
      <c r="E185" s="35">
        <v>80</v>
      </c>
      <c r="F185" s="35">
        <v>-9</v>
      </c>
      <c r="G185" s="35">
        <v>107</v>
      </c>
      <c r="H185" s="1" t="s">
        <v>256</v>
      </c>
      <c r="I185" s="1"/>
      <c r="J185" s="35">
        <v>223200001</v>
      </c>
      <c r="K185" s="35">
        <v>232</v>
      </c>
      <c r="L185" s="35">
        <v>0</v>
      </c>
      <c r="M185" s="35">
        <v>51</v>
      </c>
      <c r="N185" s="35">
        <v>-2.0885468000000001E-2</v>
      </c>
      <c r="O185" s="35">
        <v>45</v>
      </c>
    </row>
    <row r="186" spans="1:15" x14ac:dyDescent="0.2">
      <c r="A186" s="44">
        <v>4</v>
      </c>
      <c r="B186" s="35">
        <v>240000001</v>
      </c>
      <c r="C186" s="35">
        <v>400</v>
      </c>
      <c r="D186" s="35">
        <v>0</v>
      </c>
      <c r="E186" s="35">
        <v>-18</v>
      </c>
      <c r="F186" s="35">
        <v>0</v>
      </c>
      <c r="G186" s="35">
        <v>-62</v>
      </c>
      <c r="H186" s="1" t="s">
        <v>257</v>
      </c>
      <c r="I186" s="1"/>
      <c r="J186" s="35">
        <v>223400001</v>
      </c>
      <c r="K186" s="35">
        <v>234</v>
      </c>
      <c r="L186" s="35">
        <v>0</v>
      </c>
      <c r="M186" s="35">
        <v>-114</v>
      </c>
      <c r="N186" s="35">
        <v>-2.0896912E-2</v>
      </c>
      <c r="O186" s="35">
        <v>-15</v>
      </c>
    </row>
    <row r="187" spans="1:15" x14ac:dyDescent="0.2">
      <c r="A187" s="44">
        <v>4</v>
      </c>
      <c r="B187" s="35">
        <v>240400001</v>
      </c>
      <c r="C187" s="35">
        <v>404</v>
      </c>
      <c r="D187" s="35">
        <v>0</v>
      </c>
      <c r="E187" s="35">
        <v>214.97</v>
      </c>
      <c r="F187" s="35">
        <v>-4.2</v>
      </c>
      <c r="G187" s="35">
        <v>89.09</v>
      </c>
      <c r="H187" s="1" t="s">
        <v>258</v>
      </c>
      <c r="I187" s="1"/>
      <c r="J187" s="35">
        <v>223400002</v>
      </c>
      <c r="K187" s="35">
        <v>234</v>
      </c>
      <c r="L187" s="35">
        <v>0</v>
      </c>
      <c r="M187" s="35">
        <v>-108</v>
      </c>
      <c r="N187" s="35">
        <v>-2.0893096999999999E-2</v>
      </c>
      <c r="O187" s="35">
        <v>6</v>
      </c>
    </row>
    <row r="188" spans="1:15" x14ac:dyDescent="0.2">
      <c r="A188" s="44">
        <v>5</v>
      </c>
      <c r="B188" s="35">
        <v>220100001</v>
      </c>
      <c r="C188" s="35">
        <v>201</v>
      </c>
      <c r="D188" s="35">
        <v>0</v>
      </c>
      <c r="E188" s="35">
        <v>0</v>
      </c>
      <c r="F188" s="35">
        <v>0</v>
      </c>
      <c r="G188" s="35">
        <v>0</v>
      </c>
      <c r="H188" s="1" t="s">
        <v>233</v>
      </c>
      <c r="I188" s="1"/>
      <c r="J188" s="35">
        <v>223500001</v>
      </c>
      <c r="K188" s="35">
        <v>235</v>
      </c>
      <c r="L188" s="35">
        <v>0</v>
      </c>
      <c r="M188" s="35">
        <v>-63</v>
      </c>
      <c r="N188" s="35">
        <v>5</v>
      </c>
      <c r="O188" s="35">
        <v>6</v>
      </c>
    </row>
    <row r="189" spans="1:15" x14ac:dyDescent="0.2">
      <c r="A189" s="44">
        <v>5</v>
      </c>
      <c r="B189" s="35">
        <v>220200001</v>
      </c>
      <c r="C189" s="35">
        <v>202</v>
      </c>
      <c r="D189" s="35">
        <v>0</v>
      </c>
      <c r="E189" s="35">
        <v>-37</v>
      </c>
      <c r="F189" s="35">
        <v>0</v>
      </c>
      <c r="G189" s="35">
        <v>-28</v>
      </c>
      <c r="H189" s="1" t="s">
        <v>234</v>
      </c>
      <c r="I189" s="1"/>
      <c r="J189" s="35">
        <v>223600001</v>
      </c>
      <c r="K189" s="35">
        <v>236</v>
      </c>
      <c r="L189" s="35">
        <v>0</v>
      </c>
      <c r="M189" s="35">
        <v>-42</v>
      </c>
      <c r="N189" s="35">
        <v>5</v>
      </c>
      <c r="O189" s="35">
        <v>5</v>
      </c>
    </row>
    <row r="190" spans="1:15" x14ac:dyDescent="0.2">
      <c r="A190" s="44">
        <v>5</v>
      </c>
      <c r="B190" s="35">
        <v>220200002</v>
      </c>
      <c r="C190" s="35">
        <v>202</v>
      </c>
      <c r="D190" s="35">
        <v>0</v>
      </c>
      <c r="E190" s="35">
        <v>-50</v>
      </c>
      <c r="F190" s="1">
        <v>0</v>
      </c>
      <c r="G190" s="1">
        <v>-38</v>
      </c>
      <c r="H190" s="1"/>
      <c r="I190" s="1"/>
      <c r="J190" s="1"/>
      <c r="K190" s="1"/>
      <c r="L190" s="1"/>
      <c r="M190" s="1"/>
      <c r="N190" s="1"/>
      <c r="O190" s="1"/>
    </row>
    <row r="191" spans="1:15" x14ac:dyDescent="0.2">
      <c r="A191" s="35">
        <v>5</v>
      </c>
      <c r="B191" s="35">
        <v>220200003</v>
      </c>
      <c r="C191" s="35">
        <v>202</v>
      </c>
      <c r="D191" s="35">
        <v>0</v>
      </c>
      <c r="E191" s="35">
        <v>-37</v>
      </c>
      <c r="F191" s="35">
        <v>0</v>
      </c>
      <c r="G191" s="35">
        <v>-44</v>
      </c>
      <c r="H191" s="1"/>
      <c r="I191" s="1"/>
      <c r="J191" s="1"/>
      <c r="K191" s="1"/>
      <c r="L191" s="1"/>
      <c r="M191" s="1"/>
      <c r="N191" s="1"/>
      <c r="O191" s="1"/>
    </row>
    <row r="192" spans="1:15" x14ac:dyDescent="0.2">
      <c r="A192" s="1">
        <v>5</v>
      </c>
      <c r="B192" s="1">
        <v>220200004</v>
      </c>
      <c r="C192" s="1">
        <v>202</v>
      </c>
      <c r="D192" s="1">
        <v>0</v>
      </c>
      <c r="E192" s="1">
        <v>-37</v>
      </c>
      <c r="F192" s="1">
        <v>0</v>
      </c>
      <c r="G192" s="1">
        <v>-58</v>
      </c>
      <c r="H192" s="1"/>
      <c r="I192" s="1"/>
      <c r="J192" s="1"/>
      <c r="K192" s="1"/>
      <c r="L192" s="1"/>
      <c r="M192" s="1"/>
      <c r="N192" s="1"/>
      <c r="O192" s="1"/>
    </row>
    <row r="193" spans="1:15" x14ac:dyDescent="0.2">
      <c r="A193" s="1">
        <v>5</v>
      </c>
      <c r="B193" s="1">
        <v>220300001</v>
      </c>
      <c r="C193" s="1">
        <v>203</v>
      </c>
      <c r="D193" s="1">
        <v>0</v>
      </c>
      <c r="E193" s="1">
        <v>127</v>
      </c>
      <c r="F193" s="1">
        <v>-9</v>
      </c>
      <c r="G193" s="1">
        <v>-42</v>
      </c>
      <c r="H193" s="1" t="s">
        <v>235</v>
      </c>
      <c r="I193" s="1"/>
      <c r="J193" s="1"/>
      <c r="K193" s="1"/>
      <c r="L193" s="1"/>
      <c r="M193" s="1"/>
      <c r="N193" s="1"/>
      <c r="O193" s="1"/>
    </row>
    <row r="194" spans="1:15" x14ac:dyDescent="0.2">
      <c r="A194" s="1">
        <v>5</v>
      </c>
      <c r="B194" s="1">
        <v>220300002</v>
      </c>
      <c r="C194" s="1">
        <v>203</v>
      </c>
      <c r="D194" s="1">
        <v>0</v>
      </c>
      <c r="E194" s="1">
        <v>120</v>
      </c>
      <c r="F194" s="1">
        <v>-9</v>
      </c>
      <c r="G194" s="1">
        <v>-79</v>
      </c>
      <c r="H194" s="1"/>
      <c r="I194" s="1"/>
      <c r="J194" s="1"/>
      <c r="K194" s="1"/>
      <c r="L194" s="1"/>
      <c r="M194" s="1"/>
      <c r="N194" s="1"/>
      <c r="O194" s="1"/>
    </row>
    <row r="195" spans="1:15" x14ac:dyDescent="0.2">
      <c r="A195" s="1">
        <v>5</v>
      </c>
      <c r="B195" s="1">
        <v>220300003</v>
      </c>
      <c r="C195" s="1">
        <v>203</v>
      </c>
      <c r="D195" s="1">
        <v>0</v>
      </c>
      <c r="E195" s="1">
        <v>95</v>
      </c>
      <c r="F195" s="1">
        <v>-9</v>
      </c>
      <c r="G195" s="1">
        <v>-83</v>
      </c>
      <c r="H195" s="1"/>
      <c r="I195" s="1"/>
      <c r="J195" s="1"/>
      <c r="K195" s="1"/>
      <c r="L195" s="1"/>
      <c r="M195" s="1"/>
      <c r="N195" s="1"/>
      <c r="O195" s="1"/>
    </row>
    <row r="196" spans="1:15" x14ac:dyDescent="0.2">
      <c r="A196" s="1">
        <v>5</v>
      </c>
      <c r="B196" s="1">
        <v>220300004</v>
      </c>
      <c r="C196" s="1">
        <v>203</v>
      </c>
      <c r="D196" s="1">
        <v>0</v>
      </c>
      <c r="E196" s="1">
        <v>117</v>
      </c>
      <c r="F196" s="1">
        <v>-9</v>
      </c>
      <c r="G196" s="1">
        <v>-54</v>
      </c>
      <c r="H196" s="1"/>
      <c r="I196" s="1"/>
      <c r="J196" s="1"/>
      <c r="K196" s="1"/>
      <c r="L196" s="1"/>
      <c r="M196" s="1"/>
      <c r="N196" s="1"/>
      <c r="O196" s="1"/>
    </row>
    <row r="197" spans="1:15" x14ac:dyDescent="0.2">
      <c r="A197" s="1">
        <v>5</v>
      </c>
      <c r="B197" s="1">
        <v>220400001</v>
      </c>
      <c r="C197" s="1">
        <v>204</v>
      </c>
      <c r="D197" s="1">
        <v>0</v>
      </c>
      <c r="E197" s="1">
        <v>57</v>
      </c>
      <c r="F197" s="1">
        <v>-9</v>
      </c>
      <c r="G197" s="1">
        <v>-105</v>
      </c>
      <c r="H197" s="1" t="s">
        <v>236</v>
      </c>
      <c r="I197" s="1"/>
      <c r="J197" s="1"/>
      <c r="K197" s="1"/>
      <c r="L197" s="1"/>
      <c r="M197" s="1"/>
      <c r="N197" s="1"/>
      <c r="O197" s="1"/>
    </row>
    <row r="198" spans="1:15" x14ac:dyDescent="0.2">
      <c r="A198" s="1">
        <v>5</v>
      </c>
      <c r="B198" s="1">
        <v>220400002</v>
      </c>
      <c r="C198" s="1">
        <v>204</v>
      </c>
      <c r="D198" s="1">
        <v>0</v>
      </c>
      <c r="E198" s="1">
        <v>44</v>
      </c>
      <c r="F198" s="1">
        <v>-9</v>
      </c>
      <c r="G198" s="1">
        <v>-104</v>
      </c>
      <c r="H198" s="1"/>
      <c r="I198" s="1"/>
      <c r="J198" s="1"/>
      <c r="K198" s="1"/>
      <c r="L198" s="1"/>
      <c r="M198" s="1"/>
      <c r="N198" s="1"/>
      <c r="O198" s="1"/>
    </row>
    <row r="199" spans="1:15" x14ac:dyDescent="0.2">
      <c r="A199" s="1">
        <v>5</v>
      </c>
      <c r="B199" s="1">
        <v>220400003</v>
      </c>
      <c r="C199" s="1">
        <v>204</v>
      </c>
      <c r="D199" s="1">
        <v>0</v>
      </c>
      <c r="E199" s="1">
        <v>54</v>
      </c>
      <c r="F199" s="1">
        <v>-9</v>
      </c>
      <c r="G199" s="1">
        <v>-118</v>
      </c>
      <c r="H199" s="1"/>
      <c r="I199" s="1"/>
      <c r="J199" s="1"/>
      <c r="K199" s="1"/>
      <c r="L199" s="1"/>
      <c r="M199" s="1"/>
      <c r="N199" s="1"/>
      <c r="O199" s="1"/>
    </row>
    <row r="200" spans="1:15" x14ac:dyDescent="0.2">
      <c r="A200" s="1">
        <v>5</v>
      </c>
      <c r="B200" s="1">
        <v>220400004</v>
      </c>
      <c r="C200" s="1">
        <v>204</v>
      </c>
      <c r="D200" s="1">
        <v>0</v>
      </c>
      <c r="E200" s="1">
        <v>41</v>
      </c>
      <c r="F200" s="1">
        <v>-9</v>
      </c>
      <c r="G200" s="1">
        <v>-118</v>
      </c>
      <c r="H200" s="1"/>
      <c r="I200" s="1"/>
      <c r="J200" s="1"/>
      <c r="K200" s="1"/>
      <c r="L200" s="1"/>
      <c r="M200" s="1"/>
      <c r="N200" s="1"/>
      <c r="O200" s="1"/>
    </row>
    <row r="201" spans="1:15" x14ac:dyDescent="0.2">
      <c r="A201" s="1">
        <v>5</v>
      </c>
      <c r="B201" s="1">
        <v>220500001</v>
      </c>
      <c r="C201" s="1">
        <v>205</v>
      </c>
      <c r="D201" s="1">
        <v>0</v>
      </c>
      <c r="E201" s="1">
        <v>-101</v>
      </c>
      <c r="F201" s="1">
        <v>0</v>
      </c>
      <c r="G201" s="1">
        <v>-29</v>
      </c>
      <c r="H201" s="1" t="s">
        <v>237</v>
      </c>
      <c r="I201" s="1"/>
      <c r="J201" s="1"/>
      <c r="K201" s="1"/>
      <c r="L201" s="1"/>
      <c r="M201" s="1"/>
      <c r="N201" s="1"/>
      <c r="O201" s="1"/>
    </row>
    <row r="202" spans="1:15" x14ac:dyDescent="0.2">
      <c r="A202" s="1">
        <v>5</v>
      </c>
      <c r="B202" s="1">
        <v>220500002</v>
      </c>
      <c r="C202" s="1">
        <v>205</v>
      </c>
      <c r="D202" s="1">
        <v>0</v>
      </c>
      <c r="E202" s="1">
        <v>-101</v>
      </c>
      <c r="F202" s="1">
        <v>0</v>
      </c>
      <c r="G202" s="1">
        <v>-15</v>
      </c>
      <c r="H202" s="1"/>
      <c r="I202" s="1"/>
      <c r="J202" s="1"/>
      <c r="K202" s="1"/>
      <c r="L202" s="1"/>
      <c r="M202" s="1"/>
      <c r="N202" s="1"/>
      <c r="O202" s="1"/>
    </row>
    <row r="203" spans="1:15" x14ac:dyDescent="0.2">
      <c r="A203" s="1">
        <v>5</v>
      </c>
      <c r="B203" s="1">
        <v>220500003</v>
      </c>
      <c r="C203" s="1">
        <v>205</v>
      </c>
      <c r="D203" s="1">
        <v>0</v>
      </c>
      <c r="E203" s="1">
        <v>-85</v>
      </c>
      <c r="F203" s="1">
        <v>0</v>
      </c>
      <c r="G203" s="1">
        <v>-29</v>
      </c>
      <c r="H203" s="1"/>
      <c r="I203" s="1"/>
      <c r="J203" s="1"/>
      <c r="K203" s="1"/>
      <c r="L203" s="1"/>
      <c r="M203" s="1"/>
      <c r="N203" s="1"/>
      <c r="O203" s="1"/>
    </row>
    <row r="204" spans="1:15" x14ac:dyDescent="0.2">
      <c r="A204" s="1">
        <v>5</v>
      </c>
      <c r="B204" s="1">
        <v>220500004</v>
      </c>
      <c r="C204" s="1">
        <v>205</v>
      </c>
      <c r="D204" s="1">
        <v>0</v>
      </c>
      <c r="E204" s="1">
        <v>-85</v>
      </c>
      <c r="F204" s="1">
        <v>0</v>
      </c>
      <c r="G204" s="1">
        <v>-39</v>
      </c>
      <c r="H204" s="1"/>
      <c r="I204" s="1"/>
      <c r="J204" s="1"/>
      <c r="K204" s="1"/>
      <c r="L204" s="1"/>
      <c r="M204" s="1"/>
      <c r="N204" s="1"/>
      <c r="O204" s="1"/>
    </row>
    <row r="205" spans="1:15" x14ac:dyDescent="0.2">
      <c r="A205" s="1">
        <v>5</v>
      </c>
      <c r="B205" s="1">
        <v>220600001</v>
      </c>
      <c r="C205" s="1">
        <v>206</v>
      </c>
      <c r="D205" s="1">
        <v>0</v>
      </c>
      <c r="E205" s="1">
        <v>48</v>
      </c>
      <c r="F205" s="1">
        <v>0</v>
      </c>
      <c r="G205" s="1">
        <v>48</v>
      </c>
      <c r="H205" s="1" t="s">
        <v>238</v>
      </c>
      <c r="I205" s="1"/>
      <c r="J205" s="1"/>
      <c r="K205" s="1"/>
      <c r="L205" s="1"/>
      <c r="M205" s="1"/>
      <c r="N205" s="1"/>
      <c r="O205" s="1"/>
    </row>
    <row r="206" spans="1:15" x14ac:dyDescent="0.2">
      <c r="A206" s="1">
        <v>5</v>
      </c>
      <c r="B206" s="1">
        <v>220700001</v>
      </c>
      <c r="C206" s="1">
        <v>207</v>
      </c>
      <c r="D206" s="1">
        <v>0</v>
      </c>
      <c r="E206" s="1">
        <v>83</v>
      </c>
      <c r="F206" s="1">
        <v>-9</v>
      </c>
      <c r="G206" s="1">
        <v>-93</v>
      </c>
      <c r="H206" s="1" t="s">
        <v>239</v>
      </c>
      <c r="I206" s="1"/>
      <c r="J206" s="1"/>
      <c r="K206" s="1"/>
      <c r="L206" s="1"/>
      <c r="M206" s="1"/>
      <c r="N206" s="1"/>
      <c r="O206" s="1"/>
    </row>
    <row r="207" spans="1:15" x14ac:dyDescent="0.2">
      <c r="A207" s="1">
        <v>5</v>
      </c>
      <c r="B207" s="1">
        <v>220700002</v>
      </c>
      <c r="C207" s="1">
        <v>207</v>
      </c>
      <c r="D207" s="1">
        <v>0</v>
      </c>
      <c r="E207" s="1">
        <v>115</v>
      </c>
      <c r="F207" s="1">
        <v>-9</v>
      </c>
      <c r="G207" s="1">
        <v>-42</v>
      </c>
      <c r="H207" s="1"/>
      <c r="I207" s="1"/>
      <c r="J207" s="1"/>
      <c r="K207" s="1"/>
      <c r="L207" s="1"/>
      <c r="M207" s="1"/>
      <c r="N207" s="1"/>
      <c r="O207" s="1"/>
    </row>
    <row r="208" spans="1:15" x14ac:dyDescent="0.2">
      <c r="A208" s="1">
        <v>5</v>
      </c>
      <c r="B208" s="1">
        <v>220700003</v>
      </c>
      <c r="C208" s="1">
        <v>207</v>
      </c>
      <c r="D208" s="1">
        <v>0</v>
      </c>
      <c r="E208" s="1">
        <v>128</v>
      </c>
      <c r="F208" s="1">
        <v>-9</v>
      </c>
      <c r="G208" s="1">
        <v>-54</v>
      </c>
      <c r="H208" s="1"/>
      <c r="I208" s="1"/>
      <c r="J208" s="1"/>
      <c r="K208" s="1"/>
      <c r="L208" s="1"/>
      <c r="M208" s="1"/>
      <c r="N208" s="1"/>
      <c r="O208" s="1"/>
    </row>
    <row r="209" spans="1:15" x14ac:dyDescent="0.2">
      <c r="A209" s="1">
        <v>5</v>
      </c>
      <c r="B209" s="1">
        <v>220700004</v>
      </c>
      <c r="C209" s="1">
        <v>207</v>
      </c>
      <c r="D209" s="1">
        <v>0</v>
      </c>
      <c r="E209" s="1">
        <v>116</v>
      </c>
      <c r="F209" s="1">
        <v>-9</v>
      </c>
      <c r="G209" s="1">
        <v>-66</v>
      </c>
      <c r="H209" s="1"/>
      <c r="I209" s="1"/>
      <c r="J209" s="1"/>
      <c r="K209" s="1"/>
      <c r="L209" s="1"/>
      <c r="M209" s="1"/>
      <c r="N209" s="1"/>
      <c r="O209" s="1"/>
    </row>
    <row r="210" spans="1:15" x14ac:dyDescent="0.2">
      <c r="A210" s="1">
        <v>5</v>
      </c>
      <c r="B210" s="1">
        <v>220700005</v>
      </c>
      <c r="C210" s="1">
        <v>207</v>
      </c>
      <c r="D210" s="1">
        <v>0</v>
      </c>
      <c r="E210" s="1">
        <v>95</v>
      </c>
      <c r="F210" s="1">
        <v>-9</v>
      </c>
      <c r="G210" s="1">
        <v>-96</v>
      </c>
      <c r="H210" s="1"/>
      <c r="I210" s="1"/>
      <c r="J210" s="1"/>
      <c r="K210" s="1"/>
      <c r="L210" s="1"/>
      <c r="M210" s="1"/>
      <c r="N210" s="1"/>
      <c r="O210" s="1"/>
    </row>
    <row r="211" spans="1:15" x14ac:dyDescent="0.2">
      <c r="A211" s="1">
        <v>5</v>
      </c>
      <c r="B211" s="1">
        <v>220700006</v>
      </c>
      <c r="C211" s="1">
        <v>207</v>
      </c>
      <c r="D211" s="1">
        <v>0</v>
      </c>
      <c r="E211" s="1">
        <v>119</v>
      </c>
      <c r="F211" s="1">
        <v>-9</v>
      </c>
      <c r="G211" s="1">
        <v>-92</v>
      </c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">
        <v>5</v>
      </c>
      <c r="B212" s="1">
        <v>220700007</v>
      </c>
      <c r="C212" s="1">
        <v>207</v>
      </c>
      <c r="D212" s="1">
        <v>0</v>
      </c>
      <c r="E212" s="1">
        <v>107</v>
      </c>
      <c r="F212" s="1">
        <v>-9</v>
      </c>
      <c r="G212" s="1">
        <v>-91</v>
      </c>
      <c r="H212" s="1"/>
      <c r="I212" s="1"/>
      <c r="J212" s="1"/>
      <c r="K212" s="1"/>
      <c r="L212" s="1"/>
      <c r="M212" s="1"/>
      <c r="N212" s="1"/>
      <c r="O212" s="1"/>
    </row>
    <row r="213" spans="1:15" x14ac:dyDescent="0.2">
      <c r="A213" s="1">
        <v>5</v>
      </c>
      <c r="B213" s="1">
        <v>220700008</v>
      </c>
      <c r="C213" s="1">
        <v>207</v>
      </c>
      <c r="D213" s="1">
        <v>0</v>
      </c>
      <c r="E213" s="1">
        <v>128</v>
      </c>
      <c r="F213" s="1">
        <v>-9</v>
      </c>
      <c r="G213" s="1">
        <v>-66</v>
      </c>
      <c r="H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">
        <v>5</v>
      </c>
      <c r="B214" s="1">
        <v>220700009</v>
      </c>
      <c r="C214" s="1">
        <v>207</v>
      </c>
      <c r="D214" s="1">
        <v>0</v>
      </c>
      <c r="E214" s="1">
        <v>104</v>
      </c>
      <c r="F214" s="1">
        <v>-9</v>
      </c>
      <c r="G214" s="1">
        <v>-66</v>
      </c>
      <c r="H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">
        <v>5</v>
      </c>
      <c r="B215" s="1">
        <v>220700010</v>
      </c>
      <c r="C215" s="1">
        <v>207</v>
      </c>
      <c r="D215" s="1">
        <v>0</v>
      </c>
      <c r="E215" s="1">
        <v>107</v>
      </c>
      <c r="F215" s="1">
        <v>-9</v>
      </c>
      <c r="G215" s="1">
        <v>-104</v>
      </c>
      <c r="H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">
        <v>5</v>
      </c>
      <c r="B216" s="1">
        <v>220700011</v>
      </c>
      <c r="C216" s="1">
        <v>207</v>
      </c>
      <c r="D216" s="1">
        <v>0</v>
      </c>
      <c r="E216" s="1">
        <v>83</v>
      </c>
      <c r="F216" s="1">
        <v>-9</v>
      </c>
      <c r="G216" s="1">
        <v>-105</v>
      </c>
      <c r="H216" s="1"/>
      <c r="I216" s="1"/>
      <c r="J216" s="1"/>
      <c r="K216" s="1"/>
      <c r="L216" s="1"/>
      <c r="M216" s="1"/>
      <c r="N216" s="1"/>
      <c r="O216" s="1"/>
    </row>
    <row r="217" spans="1:15" x14ac:dyDescent="0.2">
      <c r="A217" s="1">
        <v>5</v>
      </c>
      <c r="B217" s="1">
        <v>220700012</v>
      </c>
      <c r="C217" s="1">
        <v>207</v>
      </c>
      <c r="D217" s="1">
        <v>0</v>
      </c>
      <c r="E217" s="1">
        <v>107</v>
      </c>
      <c r="F217" s="1">
        <v>-9</v>
      </c>
      <c r="G217" s="1">
        <v>-79</v>
      </c>
      <c r="H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">
        <v>5</v>
      </c>
      <c r="B218" s="1">
        <v>220700013</v>
      </c>
      <c r="C218" s="1">
        <v>207</v>
      </c>
      <c r="D218" s="1">
        <v>0</v>
      </c>
      <c r="E218" s="1">
        <v>123</v>
      </c>
      <c r="F218" s="1">
        <v>-9</v>
      </c>
      <c r="G218" s="1">
        <v>-29</v>
      </c>
      <c r="H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">
        <v>5</v>
      </c>
      <c r="B219" s="1">
        <v>220700014</v>
      </c>
      <c r="C219" s="1">
        <v>207</v>
      </c>
      <c r="D219" s="1">
        <v>0</v>
      </c>
      <c r="E219" s="1">
        <v>70</v>
      </c>
      <c r="F219" s="1">
        <v>-9</v>
      </c>
      <c r="G219" s="1">
        <v>-97</v>
      </c>
      <c r="H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">
        <v>5</v>
      </c>
      <c r="B220" s="1">
        <v>220700015</v>
      </c>
      <c r="C220" s="1">
        <v>207</v>
      </c>
      <c r="D220" s="1">
        <v>0</v>
      </c>
      <c r="E220" s="1">
        <v>70</v>
      </c>
      <c r="F220" s="1">
        <v>-9</v>
      </c>
      <c r="G220" s="1">
        <v>-110</v>
      </c>
      <c r="H220" s="1"/>
      <c r="I220" s="1"/>
      <c r="J220" s="1"/>
      <c r="K220" s="1"/>
      <c r="L220" s="1"/>
      <c r="M220" s="1"/>
      <c r="N220" s="1"/>
      <c r="O220" s="1"/>
    </row>
    <row r="221" spans="1:15" x14ac:dyDescent="0.2">
      <c r="A221" s="1">
        <v>5</v>
      </c>
      <c r="B221" s="1">
        <v>220700016</v>
      </c>
      <c r="C221" s="1">
        <v>207</v>
      </c>
      <c r="D221" s="1">
        <v>0</v>
      </c>
      <c r="E221" s="1">
        <v>95</v>
      </c>
      <c r="F221" s="1">
        <v>-9</v>
      </c>
      <c r="G221" s="1">
        <v>-109</v>
      </c>
      <c r="H221" s="1"/>
      <c r="I221" s="1"/>
      <c r="J221" s="1"/>
      <c r="K221" s="1"/>
      <c r="L221" s="1"/>
      <c r="M221" s="1"/>
      <c r="N221" s="1"/>
      <c r="O221" s="1"/>
    </row>
    <row r="222" spans="1:15" x14ac:dyDescent="0.2">
      <c r="A222" s="1">
        <v>5</v>
      </c>
      <c r="B222" s="1">
        <v>220800001</v>
      </c>
      <c r="C222" s="1">
        <v>208</v>
      </c>
      <c r="D222" s="1">
        <v>0</v>
      </c>
      <c r="E222" s="1">
        <v>-69</v>
      </c>
      <c r="F222" s="1">
        <v>13</v>
      </c>
      <c r="G222" s="1">
        <v>78</v>
      </c>
      <c r="H222" s="1" t="s">
        <v>240</v>
      </c>
      <c r="I222" s="1"/>
      <c r="J222" s="1"/>
      <c r="K222" s="1"/>
      <c r="L222" s="1"/>
      <c r="M222" s="1"/>
      <c r="N222" s="1"/>
      <c r="O222" s="1"/>
    </row>
    <row r="223" spans="1:15" x14ac:dyDescent="0.2">
      <c r="A223" s="1">
        <v>5</v>
      </c>
      <c r="B223" s="1">
        <v>220900001</v>
      </c>
      <c r="C223" s="1">
        <v>209</v>
      </c>
      <c r="D223" s="1">
        <v>0</v>
      </c>
      <c r="E223" s="1">
        <v>45</v>
      </c>
      <c r="F223" s="1">
        <v>0</v>
      </c>
      <c r="G223" s="1">
        <v>18</v>
      </c>
      <c r="H223" s="1" t="s">
        <v>241</v>
      </c>
      <c r="I223" s="1"/>
      <c r="J223" s="1"/>
      <c r="K223" s="1"/>
      <c r="L223" s="1"/>
      <c r="M223" s="1"/>
      <c r="N223" s="1"/>
      <c r="O223" s="1"/>
    </row>
    <row r="224" spans="1:15" x14ac:dyDescent="0.2">
      <c r="A224" s="1">
        <v>5</v>
      </c>
      <c r="B224" s="1">
        <v>221100001</v>
      </c>
      <c r="C224" s="1">
        <v>211</v>
      </c>
      <c r="D224" s="1">
        <v>0</v>
      </c>
      <c r="E224" s="1">
        <v>21</v>
      </c>
      <c r="F224" s="1">
        <v>0</v>
      </c>
      <c r="G224" s="1">
        <v>-38</v>
      </c>
      <c r="H224" s="1" t="s">
        <v>242</v>
      </c>
      <c r="I224" s="1"/>
      <c r="J224" s="1"/>
      <c r="K224" s="1"/>
      <c r="L224" s="1"/>
      <c r="M224" s="1"/>
      <c r="N224" s="1"/>
      <c r="O224" s="1"/>
    </row>
    <row r="225" spans="1:15" x14ac:dyDescent="0.2">
      <c r="A225" s="1">
        <v>5</v>
      </c>
      <c r="B225" s="1">
        <v>221200001</v>
      </c>
      <c r="C225" s="1">
        <v>212</v>
      </c>
      <c r="D225" s="1">
        <v>0</v>
      </c>
      <c r="E225" s="1">
        <v>129</v>
      </c>
      <c r="F225" s="1">
        <v>-4.5999999999999996</v>
      </c>
      <c r="G225" s="1">
        <v>52</v>
      </c>
      <c r="H225" s="1" t="s">
        <v>243</v>
      </c>
      <c r="I225" s="1"/>
      <c r="J225" s="1"/>
      <c r="K225" s="1"/>
      <c r="L225" s="1"/>
      <c r="M225" s="1"/>
      <c r="N225" s="1"/>
      <c r="O225" s="1"/>
    </row>
    <row r="226" spans="1:15" x14ac:dyDescent="0.2">
      <c r="A226" s="1">
        <v>5</v>
      </c>
      <c r="B226" s="1">
        <v>221300001</v>
      </c>
      <c r="C226" s="1">
        <v>213</v>
      </c>
      <c r="D226" s="1">
        <v>0</v>
      </c>
      <c r="E226" s="1">
        <v>16</v>
      </c>
      <c r="F226" s="1">
        <v>-18.5</v>
      </c>
      <c r="G226" s="1">
        <v>130</v>
      </c>
      <c r="H226" s="1" t="s">
        <v>244</v>
      </c>
      <c r="I226" s="1"/>
      <c r="J226" s="1"/>
      <c r="K226" s="1"/>
      <c r="L226" s="1"/>
      <c r="M226" s="1"/>
      <c r="N226" s="1"/>
      <c r="O226" s="1"/>
    </row>
    <row r="227" spans="1:15" x14ac:dyDescent="0.2">
      <c r="A227" s="1">
        <v>5</v>
      </c>
      <c r="B227" s="1">
        <v>221500001</v>
      </c>
      <c r="C227" s="1">
        <v>215</v>
      </c>
      <c r="D227" s="1">
        <v>0</v>
      </c>
      <c r="E227" s="1">
        <v>90</v>
      </c>
      <c r="F227" s="1">
        <v>0</v>
      </c>
      <c r="G227" s="1">
        <v>1</v>
      </c>
      <c r="H227" s="1" t="s">
        <v>245</v>
      </c>
      <c r="I227" s="1"/>
      <c r="J227" s="1"/>
      <c r="K227" s="1"/>
      <c r="L227" s="1"/>
      <c r="M227" s="1"/>
      <c r="N227" s="1"/>
      <c r="O227" s="1"/>
    </row>
    <row r="228" spans="1:15" x14ac:dyDescent="0.2">
      <c r="A228" s="1">
        <v>5</v>
      </c>
      <c r="B228" s="1">
        <v>222200001</v>
      </c>
      <c r="C228" s="1">
        <v>222</v>
      </c>
      <c r="D228" s="1">
        <v>0</v>
      </c>
      <c r="E228" s="1">
        <v>48</v>
      </c>
      <c r="F228" s="1">
        <v>0</v>
      </c>
      <c r="G228" s="1">
        <v>-17</v>
      </c>
      <c r="H228" s="1" t="s">
        <v>246</v>
      </c>
      <c r="I228" s="1"/>
      <c r="J228" s="1"/>
      <c r="K228" s="1"/>
      <c r="L228" s="1"/>
      <c r="M228" s="1"/>
      <c r="N228" s="1"/>
      <c r="O228" s="1"/>
    </row>
    <row r="229" spans="1:15" x14ac:dyDescent="0.2">
      <c r="A229" s="1">
        <v>5</v>
      </c>
      <c r="B229" s="1">
        <v>222400001</v>
      </c>
      <c r="C229" s="1">
        <v>224</v>
      </c>
      <c r="D229" s="1">
        <v>0</v>
      </c>
      <c r="E229" s="1">
        <v>69</v>
      </c>
      <c r="F229" s="1">
        <v>0</v>
      </c>
      <c r="G229" s="1">
        <v>18</v>
      </c>
      <c r="H229" s="1" t="s">
        <v>247</v>
      </c>
      <c r="I229" s="1"/>
      <c r="J229" s="1"/>
      <c r="K229" s="1"/>
      <c r="L229" s="1"/>
      <c r="M229" s="1"/>
      <c r="N229" s="1"/>
      <c r="O229" s="1"/>
    </row>
    <row r="230" spans="1:15" x14ac:dyDescent="0.2">
      <c r="A230" s="1">
        <v>5</v>
      </c>
      <c r="B230" s="1">
        <v>222600001</v>
      </c>
      <c r="C230" s="1">
        <v>226</v>
      </c>
      <c r="D230" s="1">
        <v>0</v>
      </c>
      <c r="E230" s="1">
        <v>-7</v>
      </c>
      <c r="F230" s="1">
        <v>3</v>
      </c>
      <c r="G230" s="1">
        <v>66</v>
      </c>
      <c r="H230" s="1" t="s">
        <v>248</v>
      </c>
      <c r="I230" s="1"/>
      <c r="J230" s="1"/>
      <c r="K230" s="1"/>
      <c r="L230" s="1"/>
      <c r="M230" s="1"/>
      <c r="N230" s="1"/>
      <c r="O230" s="1"/>
    </row>
    <row r="231" spans="1:15" x14ac:dyDescent="0.2">
      <c r="A231" s="1">
        <v>5</v>
      </c>
      <c r="B231" s="1">
        <v>222700001</v>
      </c>
      <c r="C231" s="1">
        <v>227</v>
      </c>
      <c r="D231" s="1">
        <v>0</v>
      </c>
      <c r="E231" s="1">
        <v>135</v>
      </c>
      <c r="F231" s="1">
        <v>-9</v>
      </c>
      <c r="G231" s="1">
        <v>-12</v>
      </c>
      <c r="H231" s="1" t="s">
        <v>249</v>
      </c>
      <c r="I231" s="1"/>
      <c r="J231" s="1"/>
      <c r="K231" s="1"/>
      <c r="L231" s="1"/>
      <c r="M231" s="1"/>
      <c r="N231" s="1"/>
      <c r="O231" s="1"/>
    </row>
    <row r="232" spans="1:15" x14ac:dyDescent="0.2">
      <c r="A232" s="1">
        <v>5</v>
      </c>
      <c r="B232" s="1">
        <v>222700002</v>
      </c>
      <c r="C232" s="1">
        <v>227</v>
      </c>
      <c r="D232" s="1">
        <v>0</v>
      </c>
      <c r="E232" s="1">
        <v>136</v>
      </c>
      <c r="F232" s="1">
        <v>-8.56</v>
      </c>
      <c r="G232" s="1">
        <v>16</v>
      </c>
      <c r="H232" s="1"/>
      <c r="I232" s="1"/>
      <c r="J232" s="1"/>
      <c r="K232" s="1"/>
      <c r="L232" s="1"/>
      <c r="M232" s="1"/>
      <c r="N232" s="1"/>
      <c r="O232" s="1"/>
    </row>
    <row r="233" spans="1:15" x14ac:dyDescent="0.2">
      <c r="A233" s="1">
        <v>5</v>
      </c>
      <c r="B233" s="1">
        <v>222900001</v>
      </c>
      <c r="C233" s="1">
        <v>229</v>
      </c>
      <c r="D233" s="1">
        <v>0</v>
      </c>
      <c r="E233" s="1">
        <v>27</v>
      </c>
      <c r="F233" s="1">
        <v>0</v>
      </c>
      <c r="G233" s="1">
        <v>36</v>
      </c>
      <c r="H233" s="1" t="s">
        <v>296</v>
      </c>
      <c r="I233" s="1"/>
      <c r="J233" s="1"/>
      <c r="K233" s="1"/>
      <c r="L233" s="1"/>
      <c r="M233" s="1"/>
      <c r="N233" s="1"/>
      <c r="O233" s="1"/>
    </row>
    <row r="234" spans="1:15" x14ac:dyDescent="0.2">
      <c r="A234" s="1">
        <v>5</v>
      </c>
      <c r="B234" s="1">
        <v>223000001</v>
      </c>
      <c r="C234" s="1">
        <v>230</v>
      </c>
      <c r="D234" s="1">
        <v>0</v>
      </c>
      <c r="E234" s="1">
        <v>30</v>
      </c>
      <c r="F234" s="1">
        <v>0</v>
      </c>
      <c r="G234" s="1">
        <v>-17</v>
      </c>
      <c r="H234" s="1" t="s">
        <v>250</v>
      </c>
      <c r="I234" s="1"/>
      <c r="J234" s="1"/>
      <c r="K234" s="1"/>
      <c r="L234" s="1"/>
      <c r="M234" s="1"/>
      <c r="N234" s="1"/>
      <c r="O234" s="1"/>
    </row>
    <row r="235" spans="1:15" x14ac:dyDescent="0.2">
      <c r="A235" s="1">
        <v>5</v>
      </c>
      <c r="B235" s="1">
        <v>223100001</v>
      </c>
      <c r="C235" s="1">
        <v>231</v>
      </c>
      <c r="D235" s="1">
        <v>0</v>
      </c>
      <c r="E235" s="1">
        <v>-13</v>
      </c>
      <c r="F235" s="1">
        <v>0</v>
      </c>
      <c r="G235" s="1">
        <v>-40</v>
      </c>
      <c r="H235" s="1" t="s">
        <v>251</v>
      </c>
      <c r="I235" s="1"/>
      <c r="J235" s="1"/>
      <c r="K235" s="1"/>
      <c r="L235" s="1"/>
      <c r="M235" s="1"/>
      <c r="N235" s="1"/>
      <c r="O235" s="1"/>
    </row>
    <row r="236" spans="1:15" x14ac:dyDescent="0.2">
      <c r="A236" s="1">
        <v>5</v>
      </c>
      <c r="B236" s="1">
        <v>223200001</v>
      </c>
      <c r="C236" s="1">
        <v>232</v>
      </c>
      <c r="D236" s="1">
        <v>0</v>
      </c>
      <c r="E236" s="1">
        <v>72</v>
      </c>
      <c r="F236" s="1">
        <v>0</v>
      </c>
      <c r="G236" s="1">
        <v>48</v>
      </c>
      <c r="H236" s="1" t="s">
        <v>252</v>
      </c>
      <c r="I236" s="1"/>
      <c r="J236" s="1"/>
      <c r="K236" s="1"/>
      <c r="L236" s="1"/>
      <c r="M236" s="1"/>
      <c r="N236" s="1"/>
      <c r="O236" s="1"/>
    </row>
    <row r="237" spans="1:15" x14ac:dyDescent="0.2">
      <c r="A237" s="1">
        <v>5</v>
      </c>
      <c r="B237" s="1">
        <v>223400001</v>
      </c>
      <c r="C237" s="1">
        <v>234</v>
      </c>
      <c r="D237" s="1">
        <v>0</v>
      </c>
      <c r="E237" s="1">
        <v>-111</v>
      </c>
      <c r="F237" s="1">
        <v>0</v>
      </c>
      <c r="G237" s="1">
        <v>-40</v>
      </c>
      <c r="H237" s="1" t="s">
        <v>297</v>
      </c>
      <c r="I237" s="1"/>
      <c r="J237" s="1"/>
      <c r="K237" s="1"/>
      <c r="L237" s="1"/>
      <c r="M237" s="1"/>
      <c r="N237" s="1"/>
      <c r="O237" s="1"/>
    </row>
    <row r="238" spans="1:15" x14ac:dyDescent="0.2">
      <c r="A238" s="1">
        <v>5</v>
      </c>
      <c r="B238" s="1">
        <v>223400002</v>
      </c>
      <c r="C238" s="1">
        <v>234</v>
      </c>
      <c r="D238" s="1">
        <v>0</v>
      </c>
      <c r="E238" s="1">
        <v>-111</v>
      </c>
      <c r="F238" s="1">
        <v>0</v>
      </c>
      <c r="G238" s="1">
        <v>-50</v>
      </c>
      <c r="H238" s="1"/>
      <c r="I238" s="1"/>
      <c r="J238" s="1"/>
      <c r="K238" s="1"/>
      <c r="L238" s="1"/>
      <c r="M238" s="1"/>
      <c r="N238" s="1"/>
      <c r="O238" s="1"/>
    </row>
    <row r="239" spans="1:15" x14ac:dyDescent="0.2">
      <c r="A239" s="1">
        <v>5</v>
      </c>
      <c r="B239" s="1">
        <v>223400003</v>
      </c>
      <c r="C239" s="1">
        <v>234</v>
      </c>
      <c r="D239" s="1">
        <v>0</v>
      </c>
      <c r="E239" s="1">
        <v>-87</v>
      </c>
      <c r="F239" s="1">
        <v>0</v>
      </c>
      <c r="G239" s="1">
        <v>-50</v>
      </c>
      <c r="H239" s="1"/>
      <c r="I239" s="1"/>
      <c r="J239" s="1"/>
      <c r="K239" s="1"/>
      <c r="L239" s="1"/>
      <c r="M239" s="1"/>
      <c r="N239" s="1"/>
      <c r="O239" s="1"/>
    </row>
    <row r="240" spans="1:15" x14ac:dyDescent="0.2">
      <c r="A240" s="1">
        <v>5</v>
      </c>
      <c r="B240" s="1">
        <v>223400004</v>
      </c>
      <c r="C240" s="1">
        <v>234</v>
      </c>
      <c r="D240" s="1">
        <v>0</v>
      </c>
      <c r="E240" s="1">
        <v>-95</v>
      </c>
      <c r="F240" s="1">
        <v>0</v>
      </c>
      <c r="G240" s="1">
        <v>-60</v>
      </c>
      <c r="H240" s="1"/>
      <c r="I240" s="1"/>
      <c r="J240" s="1"/>
      <c r="K240" s="1"/>
      <c r="L240" s="1"/>
      <c r="M240" s="1"/>
      <c r="N240" s="1"/>
      <c r="O240" s="1"/>
    </row>
    <row r="241" spans="1:15" x14ac:dyDescent="0.2">
      <c r="A241" s="1">
        <v>5</v>
      </c>
      <c r="B241" s="1">
        <v>223500001</v>
      </c>
      <c r="C241" s="1">
        <v>235</v>
      </c>
      <c r="D241" s="1">
        <v>0</v>
      </c>
      <c r="E241" s="1">
        <v>-57</v>
      </c>
      <c r="F241" s="1">
        <v>5</v>
      </c>
      <c r="G241" s="1">
        <v>6</v>
      </c>
      <c r="H241" s="1" t="s">
        <v>253</v>
      </c>
      <c r="I241" s="1"/>
      <c r="J241" s="1"/>
      <c r="K241" s="1"/>
      <c r="L241" s="1"/>
      <c r="M241" s="1"/>
      <c r="N241" s="1"/>
      <c r="O241" s="1"/>
    </row>
    <row r="242" spans="1:15" x14ac:dyDescent="0.2">
      <c r="A242" s="1">
        <v>5</v>
      </c>
      <c r="B242" s="1">
        <v>223600001</v>
      </c>
      <c r="C242" s="1">
        <v>236</v>
      </c>
      <c r="D242" s="1">
        <v>0</v>
      </c>
      <c r="E242" s="1">
        <v>-35</v>
      </c>
      <c r="F242" s="1">
        <v>5</v>
      </c>
      <c r="G242" s="1">
        <v>6</v>
      </c>
      <c r="H242" s="1" t="s">
        <v>254</v>
      </c>
      <c r="I242" s="1"/>
      <c r="J242" s="1"/>
      <c r="K242" s="1"/>
      <c r="L242" s="1"/>
      <c r="M242" s="1"/>
      <c r="N242" s="1"/>
      <c r="O242" s="1"/>
    </row>
    <row r="243" spans="1:15" x14ac:dyDescent="0.2">
      <c r="A243" s="1">
        <v>5</v>
      </c>
      <c r="B243" s="1">
        <v>223700001</v>
      </c>
      <c r="C243" s="1">
        <v>237</v>
      </c>
      <c r="D243" s="1">
        <v>0</v>
      </c>
      <c r="E243" s="1">
        <v>63</v>
      </c>
      <c r="F243" s="1">
        <v>0</v>
      </c>
      <c r="G243" s="1">
        <v>-41</v>
      </c>
      <c r="H243" s="1" t="s">
        <v>255</v>
      </c>
      <c r="I243" s="1"/>
      <c r="J243" s="1"/>
      <c r="K243" s="1"/>
      <c r="L243" s="1"/>
      <c r="M243" s="1"/>
      <c r="N243" s="1"/>
      <c r="O243" s="1"/>
    </row>
    <row r="244" spans="1:15" x14ac:dyDescent="0.2">
      <c r="A244" s="1">
        <v>5</v>
      </c>
      <c r="B244" s="1">
        <v>230000001</v>
      </c>
      <c r="C244" s="1">
        <v>300</v>
      </c>
      <c r="D244" s="1">
        <v>0</v>
      </c>
      <c r="E244" s="1">
        <v>80</v>
      </c>
      <c r="F244" s="1">
        <v>-9</v>
      </c>
      <c r="G244" s="1">
        <v>107</v>
      </c>
      <c r="H244" s="1" t="s">
        <v>256</v>
      </c>
      <c r="I244" s="1"/>
      <c r="J244" s="1"/>
      <c r="K244" s="1"/>
      <c r="L244" s="1"/>
      <c r="M244" s="1"/>
      <c r="N244" s="1"/>
      <c r="O244" s="1"/>
    </row>
    <row r="245" spans="1:15" x14ac:dyDescent="0.2">
      <c r="A245" s="1">
        <v>5</v>
      </c>
      <c r="B245" s="1">
        <v>240000001</v>
      </c>
      <c r="C245" s="1">
        <v>400</v>
      </c>
      <c r="D245" s="1">
        <v>0</v>
      </c>
      <c r="E245" s="1">
        <v>-18</v>
      </c>
      <c r="F245" s="1">
        <v>0</v>
      </c>
      <c r="G245" s="1">
        <v>-62</v>
      </c>
      <c r="H245" s="1" t="s">
        <v>257</v>
      </c>
      <c r="I245" s="1"/>
      <c r="J245" s="1"/>
      <c r="K245" s="1"/>
      <c r="L245" s="1"/>
      <c r="M245" s="1"/>
      <c r="N245" s="1"/>
      <c r="O245" s="1"/>
    </row>
    <row r="246" spans="1:15" x14ac:dyDescent="0.2">
      <c r="A246" s="1">
        <v>5</v>
      </c>
      <c r="B246" s="1">
        <v>240400001</v>
      </c>
      <c r="C246" s="1">
        <v>404</v>
      </c>
      <c r="D246" s="1">
        <v>0</v>
      </c>
      <c r="E246" s="1">
        <v>214.97</v>
      </c>
      <c r="F246" s="1">
        <v>-4.2</v>
      </c>
      <c r="G246" s="1">
        <v>89.09</v>
      </c>
      <c r="H246" s="1" t="s">
        <v>258</v>
      </c>
      <c r="I246" s="1"/>
      <c r="J246" s="1"/>
      <c r="K246" s="1"/>
      <c r="L246" s="1"/>
      <c r="M246" s="1"/>
      <c r="N246" s="1"/>
      <c r="O246" s="1"/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6"/>
  <sheetViews>
    <sheetView topLeftCell="A151" workbookViewId="0">
      <selection activeCell="E227" sqref="E227:G227"/>
    </sheetView>
  </sheetViews>
  <sheetFormatPr defaultColWidth="9" defaultRowHeight="14.25" x14ac:dyDescent="0.2"/>
  <sheetData>
    <row r="1" spans="1:8" x14ac:dyDescent="0.2">
      <c r="A1" s="35" t="s">
        <v>345</v>
      </c>
      <c r="B1" s="1"/>
      <c r="C1" s="1"/>
      <c r="D1" s="1"/>
      <c r="E1" s="1"/>
      <c r="F1" s="1"/>
      <c r="G1" s="1"/>
      <c r="H1" s="1"/>
    </row>
    <row r="2" spans="1:8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  <c r="H2" s="1"/>
    </row>
    <row r="3" spans="1:8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  <c r="H3" s="1"/>
    </row>
    <row r="4" spans="1:8" x14ac:dyDescent="0.2">
      <c r="A4" s="35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  <c r="H4" s="1"/>
    </row>
    <row r="5" spans="1:8" x14ac:dyDescent="0.2">
      <c r="A5" s="35">
        <v>1</v>
      </c>
      <c r="B5" s="35">
        <v>220200001</v>
      </c>
      <c r="C5" s="35">
        <v>202</v>
      </c>
      <c r="D5" s="35">
        <v>0</v>
      </c>
      <c r="E5" s="35">
        <v>54</v>
      </c>
      <c r="F5" s="35">
        <v>-0.47058867999999998</v>
      </c>
      <c r="G5" s="35">
        <v>-51</v>
      </c>
      <c r="H5" s="1"/>
    </row>
    <row r="6" spans="1:8" x14ac:dyDescent="0.2">
      <c r="A6" s="35">
        <v>1</v>
      </c>
      <c r="B6" s="35">
        <v>220200002</v>
      </c>
      <c r="C6" s="35">
        <v>202</v>
      </c>
      <c r="D6" s="35">
        <v>0</v>
      </c>
      <c r="E6" s="35">
        <v>-30</v>
      </c>
      <c r="F6" s="35">
        <v>-0.47058867999999998</v>
      </c>
      <c r="G6" s="35">
        <v>-60</v>
      </c>
      <c r="H6" s="1"/>
    </row>
    <row r="7" spans="1:8" x14ac:dyDescent="0.2">
      <c r="A7" s="35">
        <v>1</v>
      </c>
      <c r="B7" s="35">
        <v>220200003</v>
      </c>
      <c r="C7" s="35">
        <v>202</v>
      </c>
      <c r="D7" s="35">
        <v>0</v>
      </c>
      <c r="E7" s="35">
        <v>-36</v>
      </c>
      <c r="F7" s="35">
        <v>-0.47058867999999998</v>
      </c>
      <c r="G7" s="35">
        <v>-33</v>
      </c>
      <c r="H7" s="1"/>
    </row>
    <row r="8" spans="1:8" x14ac:dyDescent="0.2">
      <c r="A8" s="35">
        <v>1</v>
      </c>
      <c r="B8" s="35">
        <v>220200004</v>
      </c>
      <c r="C8" s="35">
        <v>202</v>
      </c>
      <c r="D8" s="35">
        <v>0</v>
      </c>
      <c r="E8" s="35">
        <v>63</v>
      </c>
      <c r="F8" s="35">
        <v>-0.47058867999999998</v>
      </c>
      <c r="G8" s="35">
        <v>-18</v>
      </c>
      <c r="H8" s="1"/>
    </row>
    <row r="9" spans="1:8" x14ac:dyDescent="0.2">
      <c r="A9" s="35">
        <v>1</v>
      </c>
      <c r="B9" s="35">
        <v>220200013</v>
      </c>
      <c r="C9" s="35">
        <v>202</v>
      </c>
      <c r="D9" s="35">
        <v>0</v>
      </c>
      <c r="E9" s="35">
        <v>-42</v>
      </c>
      <c r="F9" s="35">
        <v>-0.47058867999999998</v>
      </c>
      <c r="G9" s="35">
        <v>-57</v>
      </c>
      <c r="H9" s="1"/>
    </row>
    <row r="10" spans="1:8" x14ac:dyDescent="0.2">
      <c r="A10" s="35">
        <v>1</v>
      </c>
      <c r="B10" s="35">
        <v>220200014</v>
      </c>
      <c r="C10" s="35">
        <v>202</v>
      </c>
      <c r="D10" s="35">
        <v>0</v>
      </c>
      <c r="E10" s="35">
        <v>66</v>
      </c>
      <c r="F10" s="35">
        <v>-0.47058867999999998</v>
      </c>
      <c r="G10" s="35">
        <v>-30</v>
      </c>
      <c r="H10" s="1"/>
    </row>
    <row r="11" spans="1:8" x14ac:dyDescent="0.2">
      <c r="A11" s="35">
        <v>1</v>
      </c>
      <c r="B11" s="35">
        <v>220300001</v>
      </c>
      <c r="C11" s="35">
        <v>203</v>
      </c>
      <c r="D11" s="35">
        <v>0</v>
      </c>
      <c r="E11" s="35">
        <v>45</v>
      </c>
      <c r="F11" s="35">
        <v>-8.9653969999999994</v>
      </c>
      <c r="G11" s="35">
        <v>-117</v>
      </c>
      <c r="H11" s="1"/>
    </row>
    <row r="12" spans="1:8" x14ac:dyDescent="0.2">
      <c r="A12" s="35">
        <v>1</v>
      </c>
      <c r="B12" s="35">
        <v>220300002</v>
      </c>
      <c r="C12" s="35">
        <v>203</v>
      </c>
      <c r="D12" s="35">
        <v>0</v>
      </c>
      <c r="E12" s="35">
        <v>-24</v>
      </c>
      <c r="F12" s="35">
        <v>-8.9653969999999994</v>
      </c>
      <c r="G12" s="35">
        <v>-111</v>
      </c>
      <c r="H12" s="1"/>
    </row>
    <row r="13" spans="1:8" x14ac:dyDescent="0.2">
      <c r="A13" s="35">
        <v>1</v>
      </c>
      <c r="B13" s="35">
        <v>220300003</v>
      </c>
      <c r="C13" s="35">
        <v>203</v>
      </c>
      <c r="D13" s="35">
        <v>0</v>
      </c>
      <c r="E13" s="35">
        <v>117</v>
      </c>
      <c r="F13" s="35">
        <v>-9.1450980000000008</v>
      </c>
      <c r="G13" s="35">
        <v>-78</v>
      </c>
      <c r="H13" s="1"/>
    </row>
    <row r="14" spans="1:8" x14ac:dyDescent="0.2">
      <c r="A14" s="35">
        <v>1</v>
      </c>
      <c r="B14" s="35">
        <v>220300004</v>
      </c>
      <c r="C14" s="35">
        <v>203</v>
      </c>
      <c r="D14" s="35">
        <v>0</v>
      </c>
      <c r="E14" s="35">
        <v>-12</v>
      </c>
      <c r="F14" s="35">
        <v>-0.47058867999999998</v>
      </c>
      <c r="G14" s="35">
        <v>-60</v>
      </c>
      <c r="H14" s="1"/>
    </row>
    <row r="15" spans="1:8" x14ac:dyDescent="0.2">
      <c r="A15" s="35">
        <v>1</v>
      </c>
      <c r="B15" s="35">
        <v>220300005</v>
      </c>
      <c r="C15" s="35">
        <v>203</v>
      </c>
      <c r="D15" s="35">
        <v>0</v>
      </c>
      <c r="E15" s="35">
        <v>-90</v>
      </c>
      <c r="F15" s="35">
        <v>-0.47058867999999998</v>
      </c>
      <c r="G15" s="35">
        <v>-42</v>
      </c>
      <c r="H15" s="1"/>
    </row>
    <row r="16" spans="1:8" x14ac:dyDescent="0.2">
      <c r="A16" s="35">
        <v>1</v>
      </c>
      <c r="B16" s="35">
        <v>220300006</v>
      </c>
      <c r="C16" s="35">
        <v>203</v>
      </c>
      <c r="D16" s="35">
        <v>0</v>
      </c>
      <c r="E16" s="35">
        <v>54</v>
      </c>
      <c r="F16" s="35">
        <v>-0.47058867999999998</v>
      </c>
      <c r="G16" s="35">
        <v>33</v>
      </c>
      <c r="H16" s="1"/>
    </row>
    <row r="17" spans="1:8" x14ac:dyDescent="0.2">
      <c r="A17" s="35">
        <v>1</v>
      </c>
      <c r="B17" s="35">
        <v>220400001</v>
      </c>
      <c r="C17" s="35">
        <v>204</v>
      </c>
      <c r="D17" s="35">
        <v>0</v>
      </c>
      <c r="E17" s="35">
        <v>115.5</v>
      </c>
      <c r="F17" s="35">
        <v>-9.4549009999999996</v>
      </c>
      <c r="G17" s="35">
        <v>-100.5</v>
      </c>
      <c r="H17" s="1"/>
    </row>
    <row r="18" spans="1:8" x14ac:dyDescent="0.2">
      <c r="A18" s="35">
        <v>1</v>
      </c>
      <c r="B18" s="35">
        <v>220400002</v>
      </c>
      <c r="C18" s="35">
        <v>204</v>
      </c>
      <c r="D18" s="35">
        <v>0</v>
      </c>
      <c r="E18" s="35">
        <v>118.5</v>
      </c>
      <c r="F18" s="35">
        <v>-9.1450980000000008</v>
      </c>
      <c r="G18" s="35">
        <v>-52.5</v>
      </c>
      <c r="H18" s="1"/>
    </row>
    <row r="19" spans="1:8" x14ac:dyDescent="0.2">
      <c r="A19" s="35">
        <v>1</v>
      </c>
      <c r="B19" s="35">
        <v>220400003</v>
      </c>
      <c r="C19" s="35">
        <v>204</v>
      </c>
      <c r="D19" s="35">
        <v>0</v>
      </c>
      <c r="E19" s="35">
        <v>112.5</v>
      </c>
      <c r="F19" s="35">
        <v>-9.1450980000000008</v>
      </c>
      <c r="G19" s="35">
        <v>-31.5</v>
      </c>
      <c r="H19" s="1"/>
    </row>
    <row r="20" spans="1:8" x14ac:dyDescent="0.2">
      <c r="A20" s="35">
        <v>1</v>
      </c>
      <c r="B20" s="35">
        <v>220400004</v>
      </c>
      <c r="C20" s="35">
        <v>204</v>
      </c>
      <c r="D20" s="35">
        <v>0</v>
      </c>
      <c r="E20" s="35">
        <v>-46.5</v>
      </c>
      <c r="F20" s="35">
        <v>-9.1450980000000008</v>
      </c>
      <c r="G20" s="35">
        <v>-106.5</v>
      </c>
      <c r="H20" s="1"/>
    </row>
    <row r="21" spans="1:8" x14ac:dyDescent="0.2">
      <c r="A21" s="35">
        <v>1</v>
      </c>
      <c r="B21" s="35">
        <v>220400005</v>
      </c>
      <c r="C21" s="35">
        <v>204</v>
      </c>
      <c r="D21" s="35">
        <v>0</v>
      </c>
      <c r="E21" s="35">
        <v>55.5</v>
      </c>
      <c r="F21" s="35">
        <v>-9.4549009999999996</v>
      </c>
      <c r="G21" s="35">
        <v>-115.5</v>
      </c>
      <c r="H21" s="1"/>
    </row>
    <row r="22" spans="1:8" x14ac:dyDescent="0.2">
      <c r="A22" s="35">
        <v>1</v>
      </c>
      <c r="B22" s="35">
        <v>220400006</v>
      </c>
      <c r="C22" s="35">
        <v>204</v>
      </c>
      <c r="D22" s="35">
        <v>0</v>
      </c>
      <c r="E22" s="35">
        <v>136.5</v>
      </c>
      <c r="F22" s="35">
        <v>-8.9653969999999994</v>
      </c>
      <c r="G22" s="35">
        <v>-43.5</v>
      </c>
      <c r="H22" s="1"/>
    </row>
    <row r="23" spans="1:8" x14ac:dyDescent="0.2">
      <c r="A23" s="35">
        <v>1</v>
      </c>
      <c r="B23" s="35">
        <v>220500001</v>
      </c>
      <c r="C23" s="35">
        <v>205</v>
      </c>
      <c r="D23" s="35">
        <v>0</v>
      </c>
      <c r="E23" s="35">
        <v>-93</v>
      </c>
      <c r="F23" s="35">
        <v>-0.47058867999999998</v>
      </c>
      <c r="G23" s="35">
        <v>-18</v>
      </c>
      <c r="H23" s="1"/>
    </row>
    <row r="24" spans="1:8" x14ac:dyDescent="0.2">
      <c r="A24" s="35">
        <v>1</v>
      </c>
      <c r="B24" s="35">
        <v>220500002</v>
      </c>
      <c r="C24" s="35">
        <v>205</v>
      </c>
      <c r="D24" s="35">
        <v>0</v>
      </c>
      <c r="E24" s="35">
        <v>-48</v>
      </c>
      <c r="F24" s="35">
        <v>-0.47058867999999998</v>
      </c>
      <c r="G24" s="35">
        <v>-45</v>
      </c>
      <c r="H24" s="1"/>
    </row>
    <row r="25" spans="1:8" x14ac:dyDescent="0.2">
      <c r="A25" s="35">
        <v>1</v>
      </c>
      <c r="B25" s="35">
        <v>220500003</v>
      </c>
      <c r="C25" s="35">
        <v>205</v>
      </c>
      <c r="D25" s="35">
        <v>0</v>
      </c>
      <c r="E25" s="35">
        <v>-90</v>
      </c>
      <c r="F25" s="35">
        <v>-0.47058867999999998</v>
      </c>
      <c r="G25" s="35">
        <v>-63</v>
      </c>
      <c r="H25" s="1"/>
    </row>
    <row r="26" spans="1:8" x14ac:dyDescent="0.2">
      <c r="A26" s="35">
        <v>1</v>
      </c>
      <c r="B26" s="35">
        <v>220500004</v>
      </c>
      <c r="C26" s="35">
        <v>205</v>
      </c>
      <c r="D26" s="35">
        <v>0</v>
      </c>
      <c r="E26" s="35">
        <v>39</v>
      </c>
      <c r="F26" s="35">
        <v>-0.47058867999999998</v>
      </c>
      <c r="G26" s="35">
        <v>-54</v>
      </c>
      <c r="H26" s="1"/>
    </row>
    <row r="27" spans="1:8" x14ac:dyDescent="0.2">
      <c r="A27" s="35">
        <v>1</v>
      </c>
      <c r="B27" s="35">
        <v>220500005</v>
      </c>
      <c r="C27" s="35">
        <v>205</v>
      </c>
      <c r="D27" s="35">
        <v>0</v>
      </c>
      <c r="E27" s="35">
        <v>45</v>
      </c>
      <c r="F27" s="35">
        <v>-9.4549009999999996</v>
      </c>
      <c r="G27" s="35">
        <v>-102</v>
      </c>
      <c r="H27" s="1"/>
    </row>
    <row r="28" spans="1:8" x14ac:dyDescent="0.2">
      <c r="A28" s="35">
        <v>1</v>
      </c>
      <c r="B28" s="35">
        <v>220500006</v>
      </c>
      <c r="C28" s="35">
        <v>205</v>
      </c>
      <c r="D28" s="35">
        <v>0</v>
      </c>
      <c r="E28" s="35">
        <v>93</v>
      </c>
      <c r="F28" s="35">
        <v>-9.4549009999999996</v>
      </c>
      <c r="G28" s="35">
        <v>-99</v>
      </c>
      <c r="H28" s="1"/>
    </row>
    <row r="29" spans="1:8" x14ac:dyDescent="0.2">
      <c r="A29" s="35">
        <v>1</v>
      </c>
      <c r="B29" s="35">
        <v>220600001</v>
      </c>
      <c r="C29" s="35">
        <v>206</v>
      </c>
      <c r="D29" s="35">
        <v>0</v>
      </c>
      <c r="E29" s="35">
        <v>42</v>
      </c>
      <c r="F29" s="35">
        <v>-0.47058867999999998</v>
      </c>
      <c r="G29" s="35">
        <v>18</v>
      </c>
      <c r="H29" s="1"/>
    </row>
    <row r="30" spans="1:8" x14ac:dyDescent="0.2">
      <c r="A30" s="35">
        <v>1</v>
      </c>
      <c r="B30" s="35">
        <v>220700001</v>
      </c>
      <c r="C30" s="35">
        <v>207</v>
      </c>
      <c r="D30" s="35">
        <v>0</v>
      </c>
      <c r="E30" s="35">
        <v>105</v>
      </c>
      <c r="F30" s="35">
        <v>-8.4549009999999996</v>
      </c>
      <c r="G30" s="35">
        <v>-87</v>
      </c>
      <c r="H30" s="1"/>
    </row>
    <row r="31" spans="1:8" x14ac:dyDescent="0.2">
      <c r="A31" s="35">
        <v>1</v>
      </c>
      <c r="B31" s="35">
        <v>220800001</v>
      </c>
      <c r="C31" s="35">
        <v>208</v>
      </c>
      <c r="D31" s="35">
        <v>0</v>
      </c>
      <c r="E31" s="17">
        <v>-72</v>
      </c>
      <c r="F31" s="17">
        <v>15.5</v>
      </c>
      <c r="G31" s="17">
        <v>78</v>
      </c>
      <c r="H31" s="1"/>
    </row>
    <row r="32" spans="1:8" x14ac:dyDescent="0.2">
      <c r="A32" s="35">
        <v>1</v>
      </c>
      <c r="B32" s="35">
        <v>220900001</v>
      </c>
      <c r="C32" s="35">
        <v>209</v>
      </c>
      <c r="D32" s="35">
        <v>0</v>
      </c>
      <c r="E32" s="35">
        <v>36</v>
      </c>
      <c r="F32" s="35">
        <v>7.3199459999999999E-3</v>
      </c>
      <c r="G32" s="35">
        <v>48</v>
      </c>
      <c r="H32" s="1"/>
    </row>
    <row r="33" spans="1:8" ht="16.5" x14ac:dyDescent="0.3">
      <c r="A33" s="35">
        <v>1</v>
      </c>
      <c r="B33" s="35">
        <v>221200001</v>
      </c>
      <c r="C33" s="35">
        <v>212</v>
      </c>
      <c r="D33" s="35">
        <v>0</v>
      </c>
      <c r="E33" s="43">
        <v>39</v>
      </c>
      <c r="F33" s="43">
        <v>0</v>
      </c>
      <c r="G33" s="43">
        <v>0</v>
      </c>
      <c r="H33" s="1"/>
    </row>
    <row r="34" spans="1:8" x14ac:dyDescent="0.2">
      <c r="A34" s="35">
        <v>1</v>
      </c>
      <c r="B34" s="35">
        <v>221300001</v>
      </c>
      <c r="C34" s="35">
        <v>213</v>
      </c>
      <c r="D34" s="35">
        <v>0</v>
      </c>
      <c r="E34" s="35">
        <v>16.5</v>
      </c>
      <c r="F34" s="35">
        <v>-18.48</v>
      </c>
      <c r="G34" s="35">
        <v>130.5</v>
      </c>
      <c r="H34" s="1"/>
    </row>
    <row r="35" spans="1:8" x14ac:dyDescent="0.2">
      <c r="A35" s="35">
        <v>1</v>
      </c>
      <c r="B35" s="35">
        <v>221500001</v>
      </c>
      <c r="C35" s="35">
        <v>215</v>
      </c>
      <c r="D35" s="35">
        <v>0</v>
      </c>
      <c r="E35" s="35">
        <v>102</v>
      </c>
      <c r="F35" s="35">
        <v>0</v>
      </c>
      <c r="G35" s="35">
        <v>0.43</v>
      </c>
      <c r="H35" s="1"/>
    </row>
    <row r="36" spans="1:8" x14ac:dyDescent="0.2">
      <c r="A36" s="35">
        <v>1</v>
      </c>
      <c r="B36" s="35">
        <v>222200001</v>
      </c>
      <c r="C36" s="35">
        <v>222</v>
      </c>
      <c r="D36" s="35">
        <v>0</v>
      </c>
      <c r="E36" s="35">
        <v>-36</v>
      </c>
      <c r="F36" s="35">
        <v>-0.47058867999999998</v>
      </c>
      <c r="G36" s="35">
        <v>-45</v>
      </c>
      <c r="H36" s="1"/>
    </row>
    <row r="37" spans="1:8" x14ac:dyDescent="0.2">
      <c r="A37" s="35">
        <v>1</v>
      </c>
      <c r="B37" s="35">
        <v>222400001</v>
      </c>
      <c r="C37" s="35">
        <v>224</v>
      </c>
      <c r="D37" s="35">
        <v>0</v>
      </c>
      <c r="E37" s="35">
        <v>69</v>
      </c>
      <c r="F37" s="35">
        <v>-0.47058867999999998</v>
      </c>
      <c r="G37" s="35">
        <v>15</v>
      </c>
      <c r="H37" s="1"/>
    </row>
    <row r="38" spans="1:8" x14ac:dyDescent="0.2">
      <c r="A38" s="35">
        <v>1</v>
      </c>
      <c r="B38" s="35">
        <v>222600001</v>
      </c>
      <c r="C38" s="35">
        <v>226</v>
      </c>
      <c r="D38" s="35">
        <v>0</v>
      </c>
      <c r="E38" s="35">
        <v>-21</v>
      </c>
      <c r="F38" s="35">
        <v>3</v>
      </c>
      <c r="G38" s="35">
        <v>69</v>
      </c>
      <c r="H38" s="1"/>
    </row>
    <row r="39" spans="1:8" x14ac:dyDescent="0.2">
      <c r="A39" s="35">
        <v>1</v>
      </c>
      <c r="B39" s="35">
        <v>222700001</v>
      </c>
      <c r="C39" s="35">
        <v>227</v>
      </c>
      <c r="D39" s="35">
        <v>0</v>
      </c>
      <c r="E39" s="35">
        <v>155</v>
      </c>
      <c r="F39" s="35">
        <v>-8.9</v>
      </c>
      <c r="G39" s="35">
        <v>-40</v>
      </c>
      <c r="H39" s="1"/>
    </row>
    <row r="40" spans="1:8" x14ac:dyDescent="0.2">
      <c r="A40" s="35">
        <v>1</v>
      </c>
      <c r="B40" s="35">
        <v>222700002</v>
      </c>
      <c r="C40" s="35">
        <v>227</v>
      </c>
      <c r="D40" s="35">
        <v>0</v>
      </c>
      <c r="E40" s="35">
        <v>155</v>
      </c>
      <c r="F40" s="35">
        <v>-8.9</v>
      </c>
      <c r="G40" s="35">
        <v>25</v>
      </c>
      <c r="H40" s="1"/>
    </row>
    <row r="41" spans="1:8" x14ac:dyDescent="0.2">
      <c r="A41" s="35">
        <v>1</v>
      </c>
      <c r="B41" s="35">
        <v>222900001</v>
      </c>
      <c r="C41" s="35">
        <v>229</v>
      </c>
      <c r="D41" s="35">
        <v>0</v>
      </c>
      <c r="E41" s="35">
        <v>48</v>
      </c>
      <c r="F41" s="35">
        <v>-0.47058867999999998</v>
      </c>
      <c r="G41" s="35">
        <v>-36</v>
      </c>
      <c r="H41" s="1"/>
    </row>
    <row r="42" spans="1:8" x14ac:dyDescent="0.2">
      <c r="A42" s="35">
        <v>1</v>
      </c>
      <c r="B42" s="35">
        <v>223000001</v>
      </c>
      <c r="C42" s="35">
        <v>230</v>
      </c>
      <c r="D42" s="35">
        <v>0</v>
      </c>
      <c r="E42" s="35">
        <v>33</v>
      </c>
      <c r="F42" s="35">
        <v>-0.47058867999999998</v>
      </c>
      <c r="G42" s="35">
        <v>-18</v>
      </c>
      <c r="H42" s="1"/>
    </row>
    <row r="43" spans="1:8" x14ac:dyDescent="0.2">
      <c r="A43" s="35">
        <v>1</v>
      </c>
      <c r="B43" s="35">
        <v>223100001</v>
      </c>
      <c r="C43" s="35">
        <v>231</v>
      </c>
      <c r="D43" s="35">
        <v>0</v>
      </c>
      <c r="E43" s="35">
        <v>-9</v>
      </c>
      <c r="F43" s="35">
        <v>-0.47058867999999998</v>
      </c>
      <c r="G43" s="35">
        <v>-36</v>
      </c>
      <c r="H43" s="1"/>
    </row>
    <row r="44" spans="1:8" x14ac:dyDescent="0.2">
      <c r="A44" s="35">
        <v>1</v>
      </c>
      <c r="B44" s="35">
        <v>223200001</v>
      </c>
      <c r="C44" s="35">
        <v>232</v>
      </c>
      <c r="D44" s="35">
        <v>0</v>
      </c>
      <c r="E44" s="35">
        <v>69</v>
      </c>
      <c r="F44" s="35">
        <v>-0.47058867999999998</v>
      </c>
      <c r="G44" s="35">
        <v>48</v>
      </c>
      <c r="H44" s="1"/>
    </row>
    <row r="45" spans="1:8" x14ac:dyDescent="0.2">
      <c r="A45" s="35">
        <v>1</v>
      </c>
      <c r="B45" s="35">
        <v>223400001</v>
      </c>
      <c r="C45" s="35">
        <v>234</v>
      </c>
      <c r="D45" s="35">
        <v>0</v>
      </c>
      <c r="E45" s="35">
        <v>-94.5</v>
      </c>
      <c r="F45" s="35">
        <v>-0.47058867999999998</v>
      </c>
      <c r="G45" s="35">
        <v>-52.5</v>
      </c>
      <c r="H45" s="1"/>
    </row>
    <row r="46" spans="1:8" x14ac:dyDescent="0.2">
      <c r="A46" s="35">
        <v>1</v>
      </c>
      <c r="B46" s="35">
        <v>223400002</v>
      </c>
      <c r="C46" s="35">
        <v>234</v>
      </c>
      <c r="D46" s="35">
        <v>0</v>
      </c>
      <c r="E46" s="35">
        <v>127.5</v>
      </c>
      <c r="F46" s="35">
        <v>-9.4549009999999996</v>
      </c>
      <c r="G46" s="35">
        <v>-100.5</v>
      </c>
      <c r="H46" s="1"/>
    </row>
    <row r="47" spans="1:8" x14ac:dyDescent="0.2">
      <c r="A47" s="35">
        <v>1</v>
      </c>
      <c r="B47" s="35">
        <v>223400003</v>
      </c>
      <c r="C47" s="35">
        <v>234</v>
      </c>
      <c r="D47" s="35">
        <v>0</v>
      </c>
      <c r="E47" s="35">
        <v>-97.5</v>
      </c>
      <c r="F47" s="35">
        <v>-0.47058867999999998</v>
      </c>
      <c r="G47" s="35">
        <v>-28.5</v>
      </c>
      <c r="H47" s="1"/>
    </row>
    <row r="48" spans="1:8" x14ac:dyDescent="0.2">
      <c r="A48" s="35">
        <v>1</v>
      </c>
      <c r="B48" s="35">
        <v>223400004</v>
      </c>
      <c r="C48" s="35">
        <v>234</v>
      </c>
      <c r="D48" s="35">
        <v>0</v>
      </c>
      <c r="E48" s="35">
        <v>-88.5</v>
      </c>
      <c r="F48" s="35">
        <v>-0.47058867999999998</v>
      </c>
      <c r="G48" s="35">
        <v>-31.5</v>
      </c>
      <c r="H48" s="1"/>
    </row>
    <row r="49" spans="1:8" x14ac:dyDescent="0.2">
      <c r="A49" s="35">
        <v>1</v>
      </c>
      <c r="B49" s="35">
        <v>223400005</v>
      </c>
      <c r="C49" s="35">
        <v>234</v>
      </c>
      <c r="D49" s="35">
        <v>0</v>
      </c>
      <c r="E49" s="35">
        <v>-100.5</v>
      </c>
      <c r="F49" s="35">
        <v>-0.47058867999999998</v>
      </c>
      <c r="G49" s="35">
        <v>-67.5</v>
      </c>
      <c r="H49" s="1"/>
    </row>
    <row r="50" spans="1:8" x14ac:dyDescent="0.2">
      <c r="A50" s="35">
        <v>1</v>
      </c>
      <c r="B50" s="35">
        <v>223400006</v>
      </c>
      <c r="C50" s="35">
        <v>234</v>
      </c>
      <c r="D50" s="35">
        <v>0</v>
      </c>
      <c r="E50" s="35">
        <v>-46.5</v>
      </c>
      <c r="F50" s="35">
        <v>-9.1450980000000008</v>
      </c>
      <c r="G50" s="35">
        <v>-115.5</v>
      </c>
      <c r="H50" s="1"/>
    </row>
    <row r="51" spans="1:8" x14ac:dyDescent="0.2">
      <c r="A51" s="35">
        <v>1</v>
      </c>
      <c r="B51" s="35">
        <v>223500001</v>
      </c>
      <c r="C51" s="35">
        <v>235</v>
      </c>
      <c r="D51" s="35">
        <v>0</v>
      </c>
      <c r="E51" s="35">
        <v>-53</v>
      </c>
      <c r="F51" s="35">
        <v>5</v>
      </c>
      <c r="G51" s="35">
        <v>6</v>
      </c>
      <c r="H51" s="1"/>
    </row>
    <row r="52" spans="1:8" x14ac:dyDescent="0.2">
      <c r="A52" s="35">
        <v>1</v>
      </c>
      <c r="B52" s="35">
        <v>223600001</v>
      </c>
      <c r="C52" s="35">
        <v>236</v>
      </c>
      <c r="D52" s="35">
        <v>0</v>
      </c>
      <c r="E52" s="35">
        <v>-35</v>
      </c>
      <c r="F52" s="35">
        <v>5</v>
      </c>
      <c r="G52" s="35">
        <v>6</v>
      </c>
      <c r="H52" s="1"/>
    </row>
    <row r="53" spans="1:8" x14ac:dyDescent="0.2">
      <c r="A53" s="35">
        <v>1</v>
      </c>
      <c r="B53" s="35">
        <v>223700001</v>
      </c>
      <c r="C53" s="35">
        <v>237</v>
      </c>
      <c r="D53" s="35">
        <v>0</v>
      </c>
      <c r="E53" s="35">
        <v>66</v>
      </c>
      <c r="F53" s="35">
        <v>-0.47058867999999998</v>
      </c>
      <c r="G53" s="35">
        <v>-42</v>
      </c>
      <c r="H53" s="1"/>
    </row>
    <row r="54" spans="1:8" x14ac:dyDescent="0.2">
      <c r="A54" s="35">
        <v>1</v>
      </c>
      <c r="B54" s="35">
        <v>4040001</v>
      </c>
      <c r="C54" s="35">
        <v>404</v>
      </c>
      <c r="D54" s="35">
        <v>0</v>
      </c>
      <c r="E54" s="35">
        <v>198.7</v>
      </c>
      <c r="F54" s="35">
        <v>0</v>
      </c>
      <c r="G54" s="35">
        <v>69.430000000000007</v>
      </c>
      <c r="H54" s="1"/>
    </row>
    <row r="55" spans="1:8" x14ac:dyDescent="0.2">
      <c r="A55" s="44">
        <v>2</v>
      </c>
      <c r="B55" s="44">
        <v>220100001</v>
      </c>
      <c r="C55" s="44">
        <v>201</v>
      </c>
      <c r="D55" s="44">
        <v>0</v>
      </c>
      <c r="E55" s="44">
        <v>0</v>
      </c>
      <c r="F55" s="35">
        <v>0</v>
      </c>
      <c r="G55" s="35">
        <v>0</v>
      </c>
      <c r="H55" s="1" t="s">
        <v>233</v>
      </c>
    </row>
    <row r="56" spans="1:8" x14ac:dyDescent="0.2">
      <c r="A56" s="35">
        <v>2</v>
      </c>
      <c r="B56" s="35">
        <v>220200001</v>
      </c>
      <c r="C56" s="35">
        <v>202</v>
      </c>
      <c r="D56" s="35">
        <v>0</v>
      </c>
      <c r="E56" s="35">
        <v>-37</v>
      </c>
      <c r="F56" s="35">
        <v>0</v>
      </c>
      <c r="G56" s="35">
        <v>-28</v>
      </c>
      <c r="H56" s="1" t="s">
        <v>234</v>
      </c>
    </row>
    <row r="57" spans="1:8" x14ac:dyDescent="0.2">
      <c r="A57" s="35">
        <v>2</v>
      </c>
      <c r="B57" s="35">
        <v>220200002</v>
      </c>
      <c r="C57" s="35">
        <v>202</v>
      </c>
      <c r="D57" s="35">
        <v>0</v>
      </c>
      <c r="E57" s="35">
        <v>-50</v>
      </c>
      <c r="F57" s="45">
        <v>0</v>
      </c>
      <c r="G57" s="45">
        <v>-38</v>
      </c>
      <c r="H57" s="1"/>
    </row>
    <row r="58" spans="1:8" x14ac:dyDescent="0.2">
      <c r="A58" s="35">
        <v>2</v>
      </c>
      <c r="B58" s="35">
        <v>220200003</v>
      </c>
      <c r="C58" s="35">
        <v>202</v>
      </c>
      <c r="D58" s="35">
        <v>0</v>
      </c>
      <c r="E58" s="45">
        <v>-37</v>
      </c>
      <c r="F58" s="45">
        <v>0</v>
      </c>
      <c r="G58" s="45">
        <v>-44</v>
      </c>
      <c r="H58" s="1"/>
    </row>
    <row r="59" spans="1:8" x14ac:dyDescent="0.2">
      <c r="A59" s="35">
        <v>2</v>
      </c>
      <c r="B59" s="35">
        <v>220200004</v>
      </c>
      <c r="C59" s="35">
        <v>202</v>
      </c>
      <c r="D59" s="35">
        <v>0</v>
      </c>
      <c r="E59" s="45">
        <v>-37</v>
      </c>
      <c r="F59" s="35">
        <v>0</v>
      </c>
      <c r="G59" s="35">
        <v>-58</v>
      </c>
      <c r="H59" s="1"/>
    </row>
    <row r="60" spans="1:8" x14ac:dyDescent="0.2">
      <c r="A60" s="35">
        <v>2</v>
      </c>
      <c r="B60" s="35">
        <v>220300001</v>
      </c>
      <c r="C60" s="35">
        <v>203</v>
      </c>
      <c r="D60" s="35">
        <v>0</v>
      </c>
      <c r="E60" s="35">
        <v>127</v>
      </c>
      <c r="F60" s="35">
        <v>-9</v>
      </c>
      <c r="G60" s="35">
        <v>-42</v>
      </c>
      <c r="H60" s="1" t="s">
        <v>235</v>
      </c>
    </row>
    <row r="61" spans="1:8" x14ac:dyDescent="0.2">
      <c r="A61" s="35">
        <v>2</v>
      </c>
      <c r="B61" s="35">
        <v>220300002</v>
      </c>
      <c r="C61" s="35">
        <v>203</v>
      </c>
      <c r="D61" s="35">
        <v>0</v>
      </c>
      <c r="E61" s="35">
        <v>120</v>
      </c>
      <c r="F61" s="35">
        <v>-9</v>
      </c>
      <c r="G61" s="35">
        <v>-79</v>
      </c>
      <c r="H61" s="1"/>
    </row>
    <row r="62" spans="1:8" x14ac:dyDescent="0.2">
      <c r="A62" s="35">
        <v>2</v>
      </c>
      <c r="B62" s="35">
        <v>220400001</v>
      </c>
      <c r="C62" s="35">
        <v>204</v>
      </c>
      <c r="D62" s="35">
        <v>0</v>
      </c>
      <c r="E62" s="35">
        <v>57</v>
      </c>
      <c r="F62" s="35">
        <v>-9</v>
      </c>
      <c r="G62" s="35">
        <v>-105</v>
      </c>
      <c r="H62" s="1" t="s">
        <v>236</v>
      </c>
    </row>
    <row r="63" spans="1:8" x14ac:dyDescent="0.2">
      <c r="A63" s="35">
        <v>2</v>
      </c>
      <c r="B63" s="35">
        <v>220400002</v>
      </c>
      <c r="C63" s="35">
        <v>204</v>
      </c>
      <c r="D63" s="35">
        <v>0</v>
      </c>
      <c r="E63" s="35">
        <v>44</v>
      </c>
      <c r="F63" s="35">
        <v>-9</v>
      </c>
      <c r="G63" s="35">
        <v>-104</v>
      </c>
      <c r="H63" s="1"/>
    </row>
    <row r="64" spans="1:8" x14ac:dyDescent="0.2">
      <c r="A64" s="35">
        <v>2</v>
      </c>
      <c r="B64" s="35">
        <v>220500001</v>
      </c>
      <c r="C64" s="35">
        <v>205</v>
      </c>
      <c r="D64" s="35">
        <v>0</v>
      </c>
      <c r="E64" s="35">
        <v>-101</v>
      </c>
      <c r="F64" s="35">
        <v>0</v>
      </c>
      <c r="G64" s="35">
        <v>-29</v>
      </c>
      <c r="H64" s="1" t="s">
        <v>237</v>
      </c>
    </row>
    <row r="65" spans="1:8" x14ac:dyDescent="0.2">
      <c r="A65" s="35">
        <v>2</v>
      </c>
      <c r="B65" s="35">
        <v>220500002</v>
      </c>
      <c r="C65" s="35">
        <v>205</v>
      </c>
      <c r="D65" s="35">
        <v>0</v>
      </c>
      <c r="E65" s="35">
        <v>-101</v>
      </c>
      <c r="F65" s="35">
        <v>0</v>
      </c>
      <c r="G65" s="35">
        <v>-15</v>
      </c>
      <c r="H65" s="1"/>
    </row>
    <row r="66" spans="1:8" x14ac:dyDescent="0.2">
      <c r="A66" s="35">
        <v>2</v>
      </c>
      <c r="B66" s="35">
        <v>220600001</v>
      </c>
      <c r="C66" s="35">
        <v>206</v>
      </c>
      <c r="D66" s="35">
        <v>0</v>
      </c>
      <c r="E66" s="35">
        <v>48</v>
      </c>
      <c r="F66" s="35">
        <v>0</v>
      </c>
      <c r="G66" s="35">
        <v>48</v>
      </c>
      <c r="H66" s="1" t="s">
        <v>238</v>
      </c>
    </row>
    <row r="67" spans="1:8" x14ac:dyDescent="0.2">
      <c r="A67" s="35">
        <v>2</v>
      </c>
      <c r="B67" s="35">
        <v>220700001</v>
      </c>
      <c r="C67" s="35">
        <v>207</v>
      </c>
      <c r="D67" s="35">
        <v>0</v>
      </c>
      <c r="E67" s="35">
        <v>83</v>
      </c>
      <c r="F67" s="35">
        <v>-9</v>
      </c>
      <c r="G67" s="35">
        <v>-93</v>
      </c>
      <c r="H67" s="1" t="s">
        <v>239</v>
      </c>
    </row>
    <row r="68" spans="1:8" x14ac:dyDescent="0.2">
      <c r="A68" s="35">
        <v>2</v>
      </c>
      <c r="B68" s="35">
        <v>220700002</v>
      </c>
      <c r="C68" s="35">
        <v>207</v>
      </c>
      <c r="D68" s="35">
        <v>0</v>
      </c>
      <c r="E68" s="35">
        <v>115</v>
      </c>
      <c r="F68" s="35">
        <v>-9</v>
      </c>
      <c r="G68" s="35">
        <v>-42</v>
      </c>
      <c r="H68" s="1"/>
    </row>
    <row r="69" spans="1:8" x14ac:dyDescent="0.2">
      <c r="A69" s="35">
        <v>2</v>
      </c>
      <c r="B69" s="35">
        <v>220700003</v>
      </c>
      <c r="C69" s="35">
        <v>207</v>
      </c>
      <c r="D69" s="35">
        <v>0</v>
      </c>
      <c r="E69" s="35">
        <v>128</v>
      </c>
      <c r="F69" s="35">
        <v>-9</v>
      </c>
      <c r="G69" s="35">
        <v>-54</v>
      </c>
      <c r="H69" s="1"/>
    </row>
    <row r="70" spans="1:8" x14ac:dyDescent="0.2">
      <c r="A70" s="35">
        <v>2</v>
      </c>
      <c r="B70" s="35">
        <v>220700004</v>
      </c>
      <c r="C70" s="35">
        <v>207</v>
      </c>
      <c r="D70" s="35">
        <v>0</v>
      </c>
      <c r="E70" s="35">
        <v>116</v>
      </c>
      <c r="F70" s="35">
        <v>-9</v>
      </c>
      <c r="G70" s="35">
        <v>-66</v>
      </c>
      <c r="H70" s="1"/>
    </row>
    <row r="71" spans="1:8" x14ac:dyDescent="0.2">
      <c r="A71" s="35">
        <v>2</v>
      </c>
      <c r="B71" s="35">
        <v>220800001</v>
      </c>
      <c r="C71" s="35">
        <v>208</v>
      </c>
      <c r="D71" s="35">
        <v>0</v>
      </c>
      <c r="E71" s="35">
        <v>-69</v>
      </c>
      <c r="F71" s="35">
        <v>13</v>
      </c>
      <c r="G71" s="35">
        <v>78</v>
      </c>
      <c r="H71" s="1" t="s">
        <v>240</v>
      </c>
    </row>
    <row r="72" spans="1:8" x14ac:dyDescent="0.2">
      <c r="A72" s="35">
        <v>2</v>
      </c>
      <c r="B72" s="35">
        <v>220900001</v>
      </c>
      <c r="C72" s="35">
        <v>209</v>
      </c>
      <c r="D72" s="35">
        <v>0</v>
      </c>
      <c r="E72" s="35">
        <v>45</v>
      </c>
      <c r="F72" s="35">
        <v>0</v>
      </c>
      <c r="G72" s="35">
        <v>18</v>
      </c>
      <c r="H72" s="1" t="s">
        <v>241</v>
      </c>
    </row>
    <row r="73" spans="1:8" x14ac:dyDescent="0.2">
      <c r="A73" s="35">
        <v>2</v>
      </c>
      <c r="B73" s="35">
        <v>221100001</v>
      </c>
      <c r="C73" s="35">
        <v>211</v>
      </c>
      <c r="D73" s="35">
        <v>0</v>
      </c>
      <c r="E73" s="35">
        <v>21</v>
      </c>
      <c r="F73" s="35">
        <v>0</v>
      </c>
      <c r="G73" s="35">
        <v>-38</v>
      </c>
      <c r="H73" s="1" t="s">
        <v>242</v>
      </c>
    </row>
    <row r="74" spans="1:8" x14ac:dyDescent="0.2">
      <c r="A74" s="35">
        <v>2</v>
      </c>
      <c r="B74" s="35">
        <v>221200001</v>
      </c>
      <c r="C74" s="35">
        <v>212</v>
      </c>
      <c r="D74" s="35">
        <v>0</v>
      </c>
      <c r="E74" s="35">
        <v>129</v>
      </c>
      <c r="F74" s="35">
        <v>-4.5999999999999996</v>
      </c>
      <c r="G74" s="35">
        <v>52</v>
      </c>
      <c r="H74" s="1" t="s">
        <v>243</v>
      </c>
    </row>
    <row r="75" spans="1:8" x14ac:dyDescent="0.2">
      <c r="A75" s="35">
        <v>2</v>
      </c>
      <c r="B75" s="35">
        <v>221300001</v>
      </c>
      <c r="C75" s="35">
        <v>213</v>
      </c>
      <c r="D75" s="35">
        <v>0</v>
      </c>
      <c r="E75" s="35">
        <v>16</v>
      </c>
      <c r="F75" s="35">
        <v>-18.5</v>
      </c>
      <c r="G75" s="35">
        <v>130</v>
      </c>
      <c r="H75" s="1" t="s">
        <v>244</v>
      </c>
    </row>
    <row r="76" spans="1:8" x14ac:dyDescent="0.2">
      <c r="A76" s="35">
        <v>2</v>
      </c>
      <c r="B76" s="35">
        <v>221500001</v>
      </c>
      <c r="C76" s="35">
        <v>215</v>
      </c>
      <c r="D76" s="35">
        <v>0</v>
      </c>
      <c r="E76" s="35">
        <v>102</v>
      </c>
      <c r="F76" s="35">
        <v>0</v>
      </c>
      <c r="G76" s="35">
        <v>0.43</v>
      </c>
      <c r="H76" s="1" t="s">
        <v>245</v>
      </c>
    </row>
    <row r="77" spans="1:8" x14ac:dyDescent="0.2">
      <c r="A77" s="35">
        <v>2</v>
      </c>
      <c r="B77" s="35">
        <v>222200001</v>
      </c>
      <c r="C77" s="35">
        <v>222</v>
      </c>
      <c r="D77" s="35">
        <v>0</v>
      </c>
      <c r="E77" s="35">
        <v>48</v>
      </c>
      <c r="F77" s="35">
        <v>0</v>
      </c>
      <c r="G77" s="35">
        <v>-17</v>
      </c>
      <c r="H77" s="1" t="s">
        <v>246</v>
      </c>
    </row>
    <row r="78" spans="1:8" x14ac:dyDescent="0.2">
      <c r="A78" s="35">
        <v>2</v>
      </c>
      <c r="B78" s="35">
        <v>222400001</v>
      </c>
      <c r="C78" s="35">
        <v>224</v>
      </c>
      <c r="D78" s="35">
        <v>0</v>
      </c>
      <c r="E78" s="35">
        <v>69</v>
      </c>
      <c r="F78" s="35">
        <v>0</v>
      </c>
      <c r="G78" s="35">
        <v>18</v>
      </c>
      <c r="H78" s="1" t="s">
        <v>247</v>
      </c>
    </row>
    <row r="79" spans="1:8" x14ac:dyDescent="0.2">
      <c r="A79" s="35">
        <v>2</v>
      </c>
      <c r="B79" s="35">
        <v>222600001</v>
      </c>
      <c r="C79" s="35">
        <v>226</v>
      </c>
      <c r="D79" s="35">
        <v>0</v>
      </c>
      <c r="E79" s="35">
        <v>-7</v>
      </c>
      <c r="F79" s="35">
        <v>3</v>
      </c>
      <c r="G79" s="35">
        <v>66</v>
      </c>
      <c r="H79" s="1" t="s">
        <v>248</v>
      </c>
    </row>
    <row r="80" spans="1:8" x14ac:dyDescent="0.2">
      <c r="A80" s="35">
        <v>2</v>
      </c>
      <c r="B80" s="35">
        <v>222700001</v>
      </c>
      <c r="C80" s="35">
        <v>227</v>
      </c>
      <c r="D80" s="35">
        <v>0</v>
      </c>
      <c r="E80" s="35">
        <v>135</v>
      </c>
      <c r="F80" s="35">
        <v>-9</v>
      </c>
      <c r="G80" s="35">
        <v>-12</v>
      </c>
      <c r="H80" s="1" t="s">
        <v>249</v>
      </c>
    </row>
    <row r="81" spans="1:8" x14ac:dyDescent="0.2">
      <c r="A81" s="35">
        <v>2</v>
      </c>
      <c r="B81" s="35">
        <v>222700002</v>
      </c>
      <c r="C81" s="35">
        <v>227</v>
      </c>
      <c r="D81" s="35">
        <v>0</v>
      </c>
      <c r="E81" s="35">
        <v>136</v>
      </c>
      <c r="F81" s="35">
        <v>-8.56</v>
      </c>
      <c r="G81" s="35">
        <v>16</v>
      </c>
      <c r="H81" s="1"/>
    </row>
    <row r="82" spans="1:8" x14ac:dyDescent="0.2">
      <c r="A82" s="35">
        <v>2</v>
      </c>
      <c r="B82" s="35">
        <v>223000001</v>
      </c>
      <c r="C82" s="35">
        <v>230</v>
      </c>
      <c r="D82" s="35">
        <v>0</v>
      </c>
      <c r="E82" s="35">
        <v>30</v>
      </c>
      <c r="F82" s="35">
        <v>0</v>
      </c>
      <c r="G82" s="35">
        <v>-17</v>
      </c>
      <c r="H82" s="1" t="s">
        <v>250</v>
      </c>
    </row>
    <row r="83" spans="1:8" x14ac:dyDescent="0.2">
      <c r="A83" s="35">
        <v>2</v>
      </c>
      <c r="B83" s="35">
        <v>223100001</v>
      </c>
      <c r="C83" s="35">
        <v>231</v>
      </c>
      <c r="D83" s="35">
        <v>0</v>
      </c>
      <c r="E83" s="35">
        <v>-13</v>
      </c>
      <c r="F83" s="35">
        <v>0</v>
      </c>
      <c r="G83" s="35">
        <v>-40</v>
      </c>
      <c r="H83" s="1" t="s">
        <v>251</v>
      </c>
    </row>
    <row r="84" spans="1:8" x14ac:dyDescent="0.2">
      <c r="A84" s="35">
        <v>2</v>
      </c>
      <c r="B84" s="35">
        <v>223200001</v>
      </c>
      <c r="C84" s="35">
        <v>232</v>
      </c>
      <c r="D84" s="35">
        <v>0</v>
      </c>
      <c r="E84" s="35">
        <v>72</v>
      </c>
      <c r="F84" s="44">
        <v>0</v>
      </c>
      <c r="G84" s="44">
        <v>48</v>
      </c>
      <c r="H84" s="44" t="s">
        <v>252</v>
      </c>
    </row>
    <row r="85" spans="1:8" x14ac:dyDescent="0.2">
      <c r="A85" s="35">
        <v>2</v>
      </c>
      <c r="B85" s="35">
        <v>223500001</v>
      </c>
      <c r="C85" s="35">
        <v>235</v>
      </c>
      <c r="D85" s="35">
        <v>0</v>
      </c>
      <c r="E85" s="35">
        <v>-57</v>
      </c>
      <c r="F85" s="35">
        <v>5</v>
      </c>
      <c r="G85" s="35">
        <v>6</v>
      </c>
      <c r="H85" s="1" t="s">
        <v>253</v>
      </c>
    </row>
    <row r="86" spans="1:8" x14ac:dyDescent="0.2">
      <c r="A86" s="44">
        <v>2</v>
      </c>
      <c r="B86" s="44">
        <v>223600001</v>
      </c>
      <c r="C86" s="44">
        <v>236</v>
      </c>
      <c r="D86" s="44">
        <v>0</v>
      </c>
      <c r="E86" s="44">
        <v>-35</v>
      </c>
      <c r="F86" s="35">
        <v>5</v>
      </c>
      <c r="G86" s="35">
        <v>6</v>
      </c>
      <c r="H86" s="1" t="s">
        <v>254</v>
      </c>
    </row>
    <row r="87" spans="1:8" x14ac:dyDescent="0.2">
      <c r="A87" s="35">
        <v>2</v>
      </c>
      <c r="B87" s="35">
        <v>223700001</v>
      </c>
      <c r="C87" s="35">
        <v>237</v>
      </c>
      <c r="D87" s="35">
        <v>0</v>
      </c>
      <c r="E87" s="35">
        <v>63</v>
      </c>
      <c r="F87" s="35">
        <v>0</v>
      </c>
      <c r="G87" s="35">
        <v>-41</v>
      </c>
      <c r="H87" s="1" t="s">
        <v>255</v>
      </c>
    </row>
    <row r="88" spans="1:8" x14ac:dyDescent="0.2">
      <c r="A88" s="35">
        <v>2</v>
      </c>
      <c r="B88" s="35">
        <v>230000001</v>
      </c>
      <c r="C88" s="35">
        <v>300</v>
      </c>
      <c r="D88" s="35">
        <v>0</v>
      </c>
      <c r="E88" s="35">
        <v>80</v>
      </c>
      <c r="F88" s="45">
        <v>-9</v>
      </c>
      <c r="G88" s="45">
        <v>107</v>
      </c>
      <c r="H88" s="1" t="s">
        <v>256</v>
      </c>
    </row>
    <row r="89" spans="1:8" x14ac:dyDescent="0.2">
      <c r="A89" s="35">
        <v>2</v>
      </c>
      <c r="B89" s="35">
        <v>240000001</v>
      </c>
      <c r="C89" s="35">
        <v>400</v>
      </c>
      <c r="D89" s="35">
        <v>0</v>
      </c>
      <c r="E89" s="45">
        <v>-18</v>
      </c>
      <c r="F89" s="45">
        <v>0</v>
      </c>
      <c r="G89" s="45">
        <v>-62</v>
      </c>
      <c r="H89" s="1" t="s">
        <v>257</v>
      </c>
    </row>
    <row r="90" spans="1:8" x14ac:dyDescent="0.2">
      <c r="A90" s="35">
        <v>2</v>
      </c>
      <c r="B90" s="35">
        <v>240400001</v>
      </c>
      <c r="C90" s="35">
        <v>404</v>
      </c>
      <c r="D90" s="35">
        <v>0</v>
      </c>
      <c r="E90" s="45">
        <v>214.97</v>
      </c>
      <c r="F90" s="35">
        <v>-4.2</v>
      </c>
      <c r="G90" s="35">
        <v>89.09</v>
      </c>
      <c r="H90" s="1" t="s">
        <v>258</v>
      </c>
    </row>
    <row r="91" spans="1:8" x14ac:dyDescent="0.2">
      <c r="A91" s="35">
        <v>3</v>
      </c>
      <c r="B91" s="35">
        <v>220100001</v>
      </c>
      <c r="C91" s="35">
        <v>201</v>
      </c>
      <c r="D91" s="35">
        <v>0</v>
      </c>
      <c r="E91" s="35">
        <v>0</v>
      </c>
      <c r="F91" s="35">
        <v>0</v>
      </c>
      <c r="G91" s="35">
        <v>0</v>
      </c>
      <c r="H91" s="1" t="s">
        <v>233</v>
      </c>
    </row>
    <row r="92" spans="1:8" x14ac:dyDescent="0.2">
      <c r="A92" s="35">
        <v>3</v>
      </c>
      <c r="B92" s="35">
        <v>220200001</v>
      </c>
      <c r="C92" s="35">
        <v>202</v>
      </c>
      <c r="D92" s="35">
        <v>0</v>
      </c>
      <c r="E92" s="35">
        <v>-37</v>
      </c>
      <c r="F92" s="35">
        <v>0</v>
      </c>
      <c r="G92" s="35">
        <v>-28</v>
      </c>
      <c r="H92" s="1" t="s">
        <v>234</v>
      </c>
    </row>
    <row r="93" spans="1:8" x14ac:dyDescent="0.2">
      <c r="A93" s="35">
        <v>3</v>
      </c>
      <c r="B93" s="35">
        <v>220200002</v>
      </c>
      <c r="C93" s="35">
        <v>202</v>
      </c>
      <c r="D93" s="35">
        <v>0</v>
      </c>
      <c r="E93" s="35">
        <v>-50</v>
      </c>
      <c r="F93" s="35">
        <v>0</v>
      </c>
      <c r="G93" s="35">
        <v>-38</v>
      </c>
      <c r="H93" s="1"/>
    </row>
    <row r="94" spans="1:8" x14ac:dyDescent="0.2">
      <c r="A94" s="35">
        <v>3</v>
      </c>
      <c r="B94" s="35">
        <v>220200003</v>
      </c>
      <c r="C94" s="35">
        <v>202</v>
      </c>
      <c r="D94" s="35">
        <v>0</v>
      </c>
      <c r="E94" s="35">
        <v>-37</v>
      </c>
      <c r="F94" s="35">
        <v>0</v>
      </c>
      <c r="G94" s="35">
        <v>-44</v>
      </c>
      <c r="H94" s="1"/>
    </row>
    <row r="95" spans="1:8" x14ac:dyDescent="0.2">
      <c r="A95" s="35">
        <v>3</v>
      </c>
      <c r="B95" s="35">
        <v>220200004</v>
      </c>
      <c r="C95" s="35">
        <v>202</v>
      </c>
      <c r="D95" s="35">
        <v>0</v>
      </c>
      <c r="E95" s="35">
        <v>-37</v>
      </c>
      <c r="F95" s="35">
        <v>0</v>
      </c>
      <c r="G95" s="35">
        <v>-58</v>
      </c>
      <c r="H95" s="1"/>
    </row>
    <row r="96" spans="1:8" x14ac:dyDescent="0.2">
      <c r="A96" s="35">
        <v>3</v>
      </c>
      <c r="B96" s="35">
        <v>220300001</v>
      </c>
      <c r="C96" s="35">
        <v>203</v>
      </c>
      <c r="D96" s="35">
        <v>0</v>
      </c>
      <c r="E96" s="35">
        <v>127</v>
      </c>
      <c r="F96" s="35">
        <v>-9</v>
      </c>
      <c r="G96" s="35">
        <v>-42</v>
      </c>
      <c r="H96" s="1" t="s">
        <v>235</v>
      </c>
    </row>
    <row r="97" spans="1:8" x14ac:dyDescent="0.2">
      <c r="A97" s="35">
        <v>3</v>
      </c>
      <c r="B97" s="35">
        <v>220300002</v>
      </c>
      <c r="C97" s="35">
        <v>203</v>
      </c>
      <c r="D97" s="35">
        <v>0</v>
      </c>
      <c r="E97" s="35">
        <v>120</v>
      </c>
      <c r="F97" s="35">
        <v>-9</v>
      </c>
      <c r="G97" s="35">
        <v>-79</v>
      </c>
      <c r="H97" s="1"/>
    </row>
    <row r="98" spans="1:8" x14ac:dyDescent="0.2">
      <c r="A98" s="35">
        <v>3</v>
      </c>
      <c r="B98" s="35">
        <v>220300003</v>
      </c>
      <c r="C98" s="35">
        <v>203</v>
      </c>
      <c r="D98" s="35">
        <v>0</v>
      </c>
      <c r="E98" s="35">
        <v>95</v>
      </c>
      <c r="F98" s="35">
        <v>-9</v>
      </c>
      <c r="G98" s="35">
        <v>-83</v>
      </c>
      <c r="H98" s="1"/>
    </row>
    <row r="99" spans="1:8" x14ac:dyDescent="0.2">
      <c r="A99" s="35">
        <v>3</v>
      </c>
      <c r="B99" s="35">
        <v>220400001</v>
      </c>
      <c r="C99" s="35">
        <v>204</v>
      </c>
      <c r="D99" s="35">
        <v>0</v>
      </c>
      <c r="E99" s="35">
        <v>57</v>
      </c>
      <c r="F99" s="35">
        <v>-9</v>
      </c>
      <c r="G99" s="35">
        <v>-105</v>
      </c>
      <c r="H99" s="1" t="s">
        <v>236</v>
      </c>
    </row>
    <row r="100" spans="1:8" x14ac:dyDescent="0.2">
      <c r="A100" s="35">
        <v>3</v>
      </c>
      <c r="B100" s="35">
        <v>220400002</v>
      </c>
      <c r="C100" s="35">
        <v>204</v>
      </c>
      <c r="D100" s="35">
        <v>0</v>
      </c>
      <c r="E100" s="35">
        <v>44</v>
      </c>
      <c r="F100" s="35">
        <v>-9</v>
      </c>
      <c r="G100" s="35">
        <v>-104</v>
      </c>
      <c r="H100" s="1"/>
    </row>
    <row r="101" spans="1:8" x14ac:dyDescent="0.2">
      <c r="A101" s="35">
        <v>3</v>
      </c>
      <c r="B101" s="35">
        <v>220400003</v>
      </c>
      <c r="C101" s="35">
        <v>204</v>
      </c>
      <c r="D101" s="35">
        <v>0</v>
      </c>
      <c r="E101" s="35">
        <v>54</v>
      </c>
      <c r="F101" s="35">
        <v>-9</v>
      </c>
      <c r="G101" s="35">
        <v>-118</v>
      </c>
      <c r="H101" s="1"/>
    </row>
    <row r="102" spans="1:8" x14ac:dyDescent="0.2">
      <c r="A102" s="35">
        <v>3</v>
      </c>
      <c r="B102" s="35">
        <v>220500001</v>
      </c>
      <c r="C102" s="35">
        <v>205</v>
      </c>
      <c r="D102" s="35">
        <v>0</v>
      </c>
      <c r="E102" s="35">
        <v>-101</v>
      </c>
      <c r="F102" s="35">
        <v>0</v>
      </c>
      <c r="G102" s="35">
        <v>-29</v>
      </c>
      <c r="H102" s="1" t="s">
        <v>237</v>
      </c>
    </row>
    <row r="103" spans="1:8" x14ac:dyDescent="0.2">
      <c r="A103" s="35">
        <v>3</v>
      </c>
      <c r="B103" s="35">
        <v>220500002</v>
      </c>
      <c r="C103" s="35">
        <v>205</v>
      </c>
      <c r="D103" s="35">
        <v>0</v>
      </c>
      <c r="E103" s="35">
        <v>-101</v>
      </c>
      <c r="F103" s="35">
        <v>0</v>
      </c>
      <c r="G103" s="35">
        <v>-15</v>
      </c>
      <c r="H103" s="1"/>
    </row>
    <row r="104" spans="1:8" x14ac:dyDescent="0.2">
      <c r="A104" s="35">
        <v>3</v>
      </c>
      <c r="B104" s="35">
        <v>220600001</v>
      </c>
      <c r="C104" s="35">
        <v>206</v>
      </c>
      <c r="D104" s="35">
        <v>0</v>
      </c>
      <c r="E104" s="35">
        <v>48</v>
      </c>
      <c r="F104" s="35">
        <v>0</v>
      </c>
      <c r="G104" s="35">
        <v>48</v>
      </c>
      <c r="H104" s="1" t="s">
        <v>238</v>
      </c>
    </row>
    <row r="105" spans="1:8" x14ac:dyDescent="0.2">
      <c r="A105" s="35">
        <v>3</v>
      </c>
      <c r="B105" s="35">
        <v>220700001</v>
      </c>
      <c r="C105" s="35">
        <v>207</v>
      </c>
      <c r="D105" s="35">
        <v>0</v>
      </c>
      <c r="E105" s="35">
        <v>83</v>
      </c>
      <c r="F105" s="35">
        <v>-9</v>
      </c>
      <c r="G105" s="35">
        <v>-93</v>
      </c>
      <c r="H105" s="1" t="s">
        <v>239</v>
      </c>
    </row>
    <row r="106" spans="1:8" x14ac:dyDescent="0.2">
      <c r="A106" s="35">
        <v>3</v>
      </c>
      <c r="B106" s="35">
        <v>220700002</v>
      </c>
      <c r="C106" s="35">
        <v>207</v>
      </c>
      <c r="D106" s="35">
        <v>0</v>
      </c>
      <c r="E106" s="35">
        <v>115</v>
      </c>
      <c r="F106" s="35">
        <v>-9</v>
      </c>
      <c r="G106" s="35">
        <v>-42</v>
      </c>
      <c r="H106" s="1"/>
    </row>
    <row r="107" spans="1:8" x14ac:dyDescent="0.2">
      <c r="A107" s="35">
        <v>3</v>
      </c>
      <c r="B107" s="35">
        <v>220700003</v>
      </c>
      <c r="C107" s="35">
        <v>207</v>
      </c>
      <c r="D107" s="35">
        <v>0</v>
      </c>
      <c r="E107" s="35">
        <v>128</v>
      </c>
      <c r="F107" s="35">
        <v>-9</v>
      </c>
      <c r="G107" s="35">
        <v>-54</v>
      </c>
      <c r="H107" s="1"/>
    </row>
    <row r="108" spans="1:8" x14ac:dyDescent="0.2">
      <c r="A108" s="35">
        <v>3</v>
      </c>
      <c r="B108" s="35">
        <v>220700004</v>
      </c>
      <c r="C108" s="35">
        <v>207</v>
      </c>
      <c r="D108" s="35">
        <v>0</v>
      </c>
      <c r="E108" s="35">
        <v>116</v>
      </c>
      <c r="F108" s="35">
        <v>-9</v>
      </c>
      <c r="G108" s="35">
        <v>-66</v>
      </c>
      <c r="H108" s="1"/>
    </row>
    <row r="109" spans="1:8" x14ac:dyDescent="0.2">
      <c r="A109" s="35">
        <v>3</v>
      </c>
      <c r="B109" s="35">
        <v>220700005</v>
      </c>
      <c r="C109" s="35">
        <v>207</v>
      </c>
      <c r="D109" s="35">
        <v>0</v>
      </c>
      <c r="E109" s="35">
        <v>95</v>
      </c>
      <c r="F109" s="35">
        <v>-9</v>
      </c>
      <c r="G109" s="35">
        <v>-96</v>
      </c>
      <c r="H109" s="1"/>
    </row>
    <row r="110" spans="1:8" x14ac:dyDescent="0.2">
      <c r="A110" s="35">
        <v>3</v>
      </c>
      <c r="B110" s="35">
        <v>220700006</v>
      </c>
      <c r="C110" s="35">
        <v>207</v>
      </c>
      <c r="D110" s="35">
        <v>0</v>
      </c>
      <c r="E110" s="35">
        <v>119</v>
      </c>
      <c r="F110" s="35">
        <v>-9</v>
      </c>
      <c r="G110" s="35">
        <v>-92</v>
      </c>
      <c r="H110" s="1"/>
    </row>
    <row r="111" spans="1:8" x14ac:dyDescent="0.2">
      <c r="A111" s="35">
        <v>3</v>
      </c>
      <c r="B111" s="35">
        <v>220700007</v>
      </c>
      <c r="C111" s="35">
        <v>207</v>
      </c>
      <c r="D111" s="35">
        <v>0</v>
      </c>
      <c r="E111" s="35">
        <v>107</v>
      </c>
      <c r="F111" s="35">
        <v>-9</v>
      </c>
      <c r="G111" s="35">
        <v>-91</v>
      </c>
      <c r="H111" s="1"/>
    </row>
    <row r="112" spans="1:8" x14ac:dyDescent="0.2">
      <c r="A112" s="35">
        <v>3</v>
      </c>
      <c r="B112" s="35">
        <v>220700008</v>
      </c>
      <c r="C112" s="35">
        <v>207</v>
      </c>
      <c r="D112" s="35">
        <v>0</v>
      </c>
      <c r="E112" s="35">
        <v>128</v>
      </c>
      <c r="F112" s="35">
        <v>-9</v>
      </c>
      <c r="G112" s="35">
        <v>-66</v>
      </c>
      <c r="H112" s="1"/>
    </row>
    <row r="113" spans="1:8" x14ac:dyDescent="0.2">
      <c r="A113" s="35">
        <v>3</v>
      </c>
      <c r="B113" s="35">
        <v>220800001</v>
      </c>
      <c r="C113" s="35">
        <v>208</v>
      </c>
      <c r="D113" s="35">
        <v>0</v>
      </c>
      <c r="E113" s="35">
        <v>-69</v>
      </c>
      <c r="F113" s="35">
        <v>13</v>
      </c>
      <c r="G113" s="35">
        <v>78</v>
      </c>
      <c r="H113" s="1" t="s">
        <v>240</v>
      </c>
    </row>
    <row r="114" spans="1:8" x14ac:dyDescent="0.2">
      <c r="A114" s="35">
        <v>3</v>
      </c>
      <c r="B114" s="35">
        <v>220900001</v>
      </c>
      <c r="C114" s="35">
        <v>209</v>
      </c>
      <c r="D114" s="35">
        <v>0</v>
      </c>
      <c r="E114" s="35">
        <v>45</v>
      </c>
      <c r="F114" s="35">
        <v>0</v>
      </c>
      <c r="G114" s="35">
        <v>18</v>
      </c>
      <c r="H114" s="1" t="s">
        <v>241</v>
      </c>
    </row>
    <row r="115" spans="1:8" x14ac:dyDescent="0.2">
      <c r="A115" s="35">
        <v>3</v>
      </c>
      <c r="B115" s="35">
        <v>221100001</v>
      </c>
      <c r="C115" s="35">
        <v>211</v>
      </c>
      <c r="D115" s="35">
        <v>0</v>
      </c>
      <c r="E115" s="35">
        <v>21</v>
      </c>
      <c r="F115" s="35">
        <v>0</v>
      </c>
      <c r="G115" s="35">
        <v>-38</v>
      </c>
      <c r="H115" s="1" t="s">
        <v>242</v>
      </c>
    </row>
    <row r="116" spans="1:8" x14ac:dyDescent="0.2">
      <c r="A116" s="35">
        <v>3</v>
      </c>
      <c r="B116" s="35">
        <v>221200001</v>
      </c>
      <c r="C116" s="35">
        <v>212</v>
      </c>
      <c r="D116" s="35">
        <v>0</v>
      </c>
      <c r="E116" s="35">
        <v>129</v>
      </c>
      <c r="F116" s="44">
        <v>-4.5999999999999996</v>
      </c>
      <c r="G116" s="44">
        <v>52</v>
      </c>
      <c r="H116" s="44" t="s">
        <v>243</v>
      </c>
    </row>
    <row r="117" spans="1:8" x14ac:dyDescent="0.2">
      <c r="A117" s="35">
        <v>3</v>
      </c>
      <c r="B117" s="35">
        <v>221300001</v>
      </c>
      <c r="C117" s="35">
        <v>213</v>
      </c>
      <c r="D117" s="35">
        <v>0</v>
      </c>
      <c r="E117" s="35">
        <v>16</v>
      </c>
      <c r="F117" s="35">
        <v>-18.5</v>
      </c>
      <c r="G117" s="35">
        <v>130</v>
      </c>
      <c r="H117" s="1" t="s">
        <v>244</v>
      </c>
    </row>
    <row r="118" spans="1:8" x14ac:dyDescent="0.2">
      <c r="A118" s="44">
        <v>3</v>
      </c>
      <c r="B118" s="44">
        <v>221500001</v>
      </c>
      <c r="C118" s="44">
        <v>215</v>
      </c>
      <c r="D118" s="44">
        <v>0</v>
      </c>
      <c r="E118" s="35">
        <v>102</v>
      </c>
      <c r="F118" s="35">
        <v>0</v>
      </c>
      <c r="G118" s="35">
        <v>0.43</v>
      </c>
      <c r="H118" s="1" t="s">
        <v>245</v>
      </c>
    </row>
    <row r="119" spans="1:8" x14ac:dyDescent="0.2">
      <c r="A119" s="35">
        <v>3</v>
      </c>
      <c r="B119" s="35">
        <v>222200001</v>
      </c>
      <c r="C119" s="35">
        <v>222</v>
      </c>
      <c r="D119" s="35">
        <v>0</v>
      </c>
      <c r="E119" s="35">
        <v>48</v>
      </c>
      <c r="F119" s="35">
        <v>0</v>
      </c>
      <c r="G119" s="35">
        <v>-17</v>
      </c>
      <c r="H119" s="1" t="s">
        <v>246</v>
      </c>
    </row>
    <row r="120" spans="1:8" x14ac:dyDescent="0.2">
      <c r="A120" s="35">
        <v>3</v>
      </c>
      <c r="B120" s="35">
        <v>222400001</v>
      </c>
      <c r="C120" s="35">
        <v>224</v>
      </c>
      <c r="D120" s="35">
        <v>0</v>
      </c>
      <c r="E120" s="35">
        <v>69</v>
      </c>
      <c r="F120" s="35">
        <v>0</v>
      </c>
      <c r="G120" s="35">
        <v>18</v>
      </c>
      <c r="H120" s="1" t="s">
        <v>247</v>
      </c>
    </row>
    <row r="121" spans="1:8" x14ac:dyDescent="0.2">
      <c r="A121" s="35">
        <v>3</v>
      </c>
      <c r="B121" s="35">
        <v>222600001</v>
      </c>
      <c r="C121" s="35">
        <v>226</v>
      </c>
      <c r="D121" s="35">
        <v>0</v>
      </c>
      <c r="E121" s="35">
        <v>-7</v>
      </c>
      <c r="F121" s="35">
        <v>3</v>
      </c>
      <c r="G121" s="35">
        <v>66</v>
      </c>
      <c r="H121" s="1" t="s">
        <v>248</v>
      </c>
    </row>
    <row r="122" spans="1:8" x14ac:dyDescent="0.2">
      <c r="A122" s="35">
        <v>3</v>
      </c>
      <c r="B122" s="35">
        <v>222700001</v>
      </c>
      <c r="C122" s="35">
        <v>227</v>
      </c>
      <c r="D122" s="35">
        <v>0</v>
      </c>
      <c r="E122" s="35">
        <v>135</v>
      </c>
      <c r="F122" s="46">
        <v>-9</v>
      </c>
      <c r="G122" s="46">
        <v>-12</v>
      </c>
      <c r="H122" s="1" t="s">
        <v>249</v>
      </c>
    </row>
    <row r="123" spans="1:8" x14ac:dyDescent="0.2">
      <c r="A123" s="35">
        <v>3</v>
      </c>
      <c r="B123" s="35">
        <v>222700002</v>
      </c>
      <c r="C123" s="47">
        <v>227</v>
      </c>
      <c r="D123" s="47">
        <v>0</v>
      </c>
      <c r="E123" s="46">
        <v>136</v>
      </c>
      <c r="F123" s="48">
        <v>-8.56</v>
      </c>
      <c r="G123" s="48">
        <v>16</v>
      </c>
      <c r="H123" s="1"/>
    </row>
    <row r="124" spans="1:8" x14ac:dyDescent="0.2">
      <c r="A124" s="35">
        <v>3</v>
      </c>
      <c r="B124" s="35">
        <v>222900001</v>
      </c>
      <c r="C124" s="47">
        <v>229</v>
      </c>
      <c r="D124" s="47">
        <v>0</v>
      </c>
      <c r="E124" s="48">
        <v>27</v>
      </c>
      <c r="F124" s="47">
        <v>0</v>
      </c>
      <c r="G124" s="47">
        <v>36</v>
      </c>
      <c r="H124" s="1" t="s">
        <v>296</v>
      </c>
    </row>
    <row r="125" spans="1:8" x14ac:dyDescent="0.2">
      <c r="A125" s="35">
        <v>3</v>
      </c>
      <c r="B125" s="35">
        <v>223000001</v>
      </c>
      <c r="C125" s="47">
        <v>230</v>
      </c>
      <c r="D125" s="47">
        <v>0</v>
      </c>
      <c r="E125" s="47">
        <v>30</v>
      </c>
      <c r="F125" s="47">
        <v>0</v>
      </c>
      <c r="G125" s="47">
        <v>-17</v>
      </c>
      <c r="H125" s="1" t="s">
        <v>250</v>
      </c>
    </row>
    <row r="126" spans="1:8" x14ac:dyDescent="0.2">
      <c r="A126" s="35">
        <v>3</v>
      </c>
      <c r="B126" s="35">
        <v>223100001</v>
      </c>
      <c r="C126" s="47">
        <v>231</v>
      </c>
      <c r="D126" s="47">
        <v>0</v>
      </c>
      <c r="E126" s="47">
        <v>-13</v>
      </c>
      <c r="F126" s="35">
        <v>0</v>
      </c>
      <c r="G126" s="35">
        <v>-40</v>
      </c>
      <c r="H126" s="1" t="s">
        <v>251</v>
      </c>
    </row>
    <row r="127" spans="1:8" x14ac:dyDescent="0.2">
      <c r="A127" s="35">
        <v>3</v>
      </c>
      <c r="B127" s="35">
        <v>223200001</v>
      </c>
      <c r="C127" s="35">
        <v>232</v>
      </c>
      <c r="D127" s="35">
        <v>0</v>
      </c>
      <c r="E127" s="35">
        <v>72</v>
      </c>
      <c r="F127" s="35">
        <v>0</v>
      </c>
      <c r="G127" s="35">
        <v>48</v>
      </c>
      <c r="H127" s="1" t="s">
        <v>252</v>
      </c>
    </row>
    <row r="128" spans="1:8" x14ac:dyDescent="0.2">
      <c r="A128" s="35">
        <v>3</v>
      </c>
      <c r="B128" s="35">
        <v>223400001</v>
      </c>
      <c r="C128" s="35">
        <v>234</v>
      </c>
      <c r="D128" s="35">
        <v>0</v>
      </c>
      <c r="E128" s="35">
        <v>-111</v>
      </c>
      <c r="F128" s="35">
        <v>0</v>
      </c>
      <c r="G128" s="35">
        <v>-40</v>
      </c>
      <c r="H128" s="1" t="s">
        <v>297</v>
      </c>
    </row>
    <row r="129" spans="1:8" x14ac:dyDescent="0.2">
      <c r="A129" s="35">
        <v>3</v>
      </c>
      <c r="B129" s="35">
        <v>223500001</v>
      </c>
      <c r="C129" s="35">
        <v>235</v>
      </c>
      <c r="D129" s="35">
        <v>0</v>
      </c>
      <c r="E129" s="35">
        <v>-57</v>
      </c>
      <c r="F129" s="35">
        <v>5</v>
      </c>
      <c r="G129" s="35">
        <v>6</v>
      </c>
      <c r="H129" s="1" t="s">
        <v>253</v>
      </c>
    </row>
    <row r="130" spans="1:8" x14ac:dyDescent="0.2">
      <c r="A130" s="35">
        <v>3</v>
      </c>
      <c r="B130" s="35">
        <v>223600001</v>
      </c>
      <c r="C130" s="35">
        <v>236</v>
      </c>
      <c r="D130" s="35">
        <v>0</v>
      </c>
      <c r="E130" s="35">
        <v>-35</v>
      </c>
      <c r="F130" s="35">
        <v>5</v>
      </c>
      <c r="G130" s="35">
        <v>6</v>
      </c>
      <c r="H130" s="1" t="s">
        <v>254</v>
      </c>
    </row>
    <row r="131" spans="1:8" x14ac:dyDescent="0.2">
      <c r="A131" s="35">
        <v>3</v>
      </c>
      <c r="B131" s="35">
        <v>223700001</v>
      </c>
      <c r="C131" s="35">
        <v>237</v>
      </c>
      <c r="D131" s="35">
        <v>0</v>
      </c>
      <c r="E131" s="35">
        <v>63</v>
      </c>
      <c r="F131" s="35">
        <v>0</v>
      </c>
      <c r="G131" s="35">
        <v>-41</v>
      </c>
      <c r="H131" s="1" t="s">
        <v>255</v>
      </c>
    </row>
    <row r="132" spans="1:8" x14ac:dyDescent="0.2">
      <c r="A132" s="35">
        <v>3</v>
      </c>
      <c r="B132" s="35">
        <v>230000001</v>
      </c>
      <c r="C132" s="35">
        <v>300</v>
      </c>
      <c r="D132" s="35">
        <v>0</v>
      </c>
      <c r="E132" s="35">
        <v>80</v>
      </c>
      <c r="F132" s="35">
        <v>-9</v>
      </c>
      <c r="G132" s="35">
        <v>107</v>
      </c>
      <c r="H132" s="1" t="s">
        <v>256</v>
      </c>
    </row>
    <row r="133" spans="1:8" x14ac:dyDescent="0.2">
      <c r="A133" s="35">
        <v>3</v>
      </c>
      <c r="B133" s="35">
        <v>240000001</v>
      </c>
      <c r="C133" s="35">
        <v>400</v>
      </c>
      <c r="D133" s="35">
        <v>0</v>
      </c>
      <c r="E133" s="35">
        <v>-18</v>
      </c>
      <c r="F133" s="47">
        <v>0</v>
      </c>
      <c r="G133" s="47">
        <v>-62</v>
      </c>
      <c r="H133" s="1" t="s">
        <v>257</v>
      </c>
    </row>
    <row r="134" spans="1:8" x14ac:dyDescent="0.2">
      <c r="A134" s="35">
        <v>3</v>
      </c>
      <c r="B134" s="35">
        <v>240400001</v>
      </c>
      <c r="C134" s="35">
        <v>404</v>
      </c>
      <c r="D134" s="35">
        <v>0</v>
      </c>
      <c r="E134" s="47">
        <v>214.97</v>
      </c>
      <c r="F134" s="35">
        <v>-4.2</v>
      </c>
      <c r="G134" s="35">
        <v>89.09</v>
      </c>
      <c r="H134" s="1" t="s">
        <v>258</v>
      </c>
    </row>
    <row r="135" spans="1:8" x14ac:dyDescent="0.2">
      <c r="A135" s="35">
        <v>4</v>
      </c>
      <c r="B135" s="35">
        <v>220100001</v>
      </c>
      <c r="C135" s="35">
        <v>201</v>
      </c>
      <c r="D135" s="35">
        <v>0</v>
      </c>
      <c r="E135" s="35">
        <v>0</v>
      </c>
      <c r="F135" s="35">
        <v>0</v>
      </c>
      <c r="G135" s="35">
        <v>0</v>
      </c>
      <c r="H135" s="1" t="s">
        <v>233</v>
      </c>
    </row>
    <row r="136" spans="1:8" x14ac:dyDescent="0.2">
      <c r="A136" s="35">
        <v>4</v>
      </c>
      <c r="B136" s="35">
        <v>220200001</v>
      </c>
      <c r="C136" s="35">
        <v>202</v>
      </c>
      <c r="D136" s="35">
        <v>0</v>
      </c>
      <c r="E136" s="35">
        <v>-37</v>
      </c>
      <c r="F136" s="35">
        <v>0</v>
      </c>
      <c r="G136" s="35">
        <v>-28</v>
      </c>
      <c r="H136" s="1" t="s">
        <v>234</v>
      </c>
    </row>
    <row r="137" spans="1:8" x14ac:dyDescent="0.2">
      <c r="A137" s="35">
        <v>4</v>
      </c>
      <c r="B137" s="35">
        <v>220200002</v>
      </c>
      <c r="C137" s="35">
        <v>202</v>
      </c>
      <c r="D137" s="35">
        <v>0</v>
      </c>
      <c r="E137" s="35">
        <v>-50</v>
      </c>
      <c r="F137" s="35">
        <v>0</v>
      </c>
      <c r="G137" s="35">
        <v>-38</v>
      </c>
      <c r="H137" s="1"/>
    </row>
    <row r="138" spans="1:8" x14ac:dyDescent="0.2">
      <c r="A138" s="35">
        <v>4</v>
      </c>
      <c r="B138" s="35">
        <v>220200003</v>
      </c>
      <c r="C138" s="35">
        <v>202</v>
      </c>
      <c r="D138" s="35">
        <v>0</v>
      </c>
      <c r="E138" s="35">
        <v>-37</v>
      </c>
      <c r="F138" s="35">
        <v>0</v>
      </c>
      <c r="G138" s="35">
        <v>-44</v>
      </c>
      <c r="H138" s="1"/>
    </row>
    <row r="139" spans="1:8" x14ac:dyDescent="0.2">
      <c r="A139" s="35">
        <v>4</v>
      </c>
      <c r="B139" s="35">
        <v>220200004</v>
      </c>
      <c r="C139" s="35">
        <v>202</v>
      </c>
      <c r="D139" s="35">
        <v>0</v>
      </c>
      <c r="E139" s="35">
        <v>-37</v>
      </c>
      <c r="F139" s="35">
        <v>0</v>
      </c>
      <c r="G139" s="35">
        <v>-58</v>
      </c>
      <c r="H139" s="1"/>
    </row>
    <row r="140" spans="1:8" x14ac:dyDescent="0.2">
      <c r="A140" s="35">
        <v>4</v>
      </c>
      <c r="B140" s="35">
        <v>220300001</v>
      </c>
      <c r="C140" s="35">
        <v>203</v>
      </c>
      <c r="D140" s="35">
        <v>0</v>
      </c>
      <c r="E140" s="35">
        <v>127</v>
      </c>
      <c r="F140" s="35">
        <v>-9</v>
      </c>
      <c r="G140" s="35">
        <v>-42</v>
      </c>
      <c r="H140" s="1" t="s">
        <v>235</v>
      </c>
    </row>
    <row r="141" spans="1:8" x14ac:dyDescent="0.2">
      <c r="A141" s="35">
        <v>4</v>
      </c>
      <c r="B141" s="35">
        <v>220300002</v>
      </c>
      <c r="C141" s="35">
        <v>203</v>
      </c>
      <c r="D141" s="35">
        <v>0</v>
      </c>
      <c r="E141" s="35">
        <v>120</v>
      </c>
      <c r="F141" s="35">
        <v>-9</v>
      </c>
      <c r="G141" s="35">
        <v>-79</v>
      </c>
      <c r="H141" s="1"/>
    </row>
    <row r="142" spans="1:8" x14ac:dyDescent="0.2">
      <c r="A142" s="35">
        <v>4</v>
      </c>
      <c r="B142" s="35">
        <v>220300003</v>
      </c>
      <c r="C142" s="35">
        <v>203</v>
      </c>
      <c r="D142" s="35">
        <v>0</v>
      </c>
      <c r="E142" s="35">
        <v>95</v>
      </c>
      <c r="F142" s="35">
        <v>-9</v>
      </c>
      <c r="G142" s="35">
        <v>-83</v>
      </c>
      <c r="H142" s="1"/>
    </row>
    <row r="143" spans="1:8" x14ac:dyDescent="0.2">
      <c r="A143" s="35">
        <v>4</v>
      </c>
      <c r="B143" s="35">
        <v>220300004</v>
      </c>
      <c r="C143" s="35">
        <v>203</v>
      </c>
      <c r="D143" s="35">
        <v>0</v>
      </c>
      <c r="E143" s="35">
        <v>117</v>
      </c>
      <c r="F143" s="35">
        <v>-9</v>
      </c>
      <c r="G143" s="35">
        <v>-54</v>
      </c>
      <c r="H143" s="1"/>
    </row>
    <row r="144" spans="1:8" x14ac:dyDescent="0.2">
      <c r="A144" s="35">
        <v>4</v>
      </c>
      <c r="B144" s="35">
        <v>220400001</v>
      </c>
      <c r="C144" s="35">
        <v>204</v>
      </c>
      <c r="D144" s="35">
        <v>0</v>
      </c>
      <c r="E144" s="35">
        <v>57</v>
      </c>
      <c r="F144" s="35">
        <v>-9</v>
      </c>
      <c r="G144" s="35">
        <v>-105</v>
      </c>
      <c r="H144" s="1" t="s">
        <v>236</v>
      </c>
    </row>
    <row r="145" spans="1:8" x14ac:dyDescent="0.2">
      <c r="A145" s="35">
        <v>4</v>
      </c>
      <c r="B145" s="35">
        <v>220400002</v>
      </c>
      <c r="C145" s="35">
        <v>204</v>
      </c>
      <c r="D145" s="35">
        <v>0</v>
      </c>
      <c r="E145" s="35">
        <v>44</v>
      </c>
      <c r="F145" s="35">
        <v>-9</v>
      </c>
      <c r="G145" s="35">
        <v>-104</v>
      </c>
      <c r="H145" s="1"/>
    </row>
    <row r="146" spans="1:8" x14ac:dyDescent="0.2">
      <c r="A146" s="35">
        <v>4</v>
      </c>
      <c r="B146" s="35">
        <v>220400003</v>
      </c>
      <c r="C146" s="35">
        <v>204</v>
      </c>
      <c r="D146" s="35">
        <v>0</v>
      </c>
      <c r="E146" s="35">
        <v>54</v>
      </c>
      <c r="F146" s="35">
        <v>-9</v>
      </c>
      <c r="G146" s="35">
        <v>-118</v>
      </c>
      <c r="H146" s="1"/>
    </row>
    <row r="147" spans="1:8" x14ac:dyDescent="0.2">
      <c r="A147" s="35">
        <v>4</v>
      </c>
      <c r="B147" s="35">
        <v>220400004</v>
      </c>
      <c r="C147" s="35">
        <v>204</v>
      </c>
      <c r="D147" s="35">
        <v>0</v>
      </c>
      <c r="E147" s="35">
        <v>41</v>
      </c>
      <c r="F147" s="35">
        <v>-9</v>
      </c>
      <c r="G147" s="35">
        <v>-118</v>
      </c>
      <c r="H147" s="1"/>
    </row>
    <row r="148" spans="1:8" x14ac:dyDescent="0.2">
      <c r="A148" s="35">
        <v>4</v>
      </c>
      <c r="B148" s="35">
        <v>220500001</v>
      </c>
      <c r="C148" s="35">
        <v>205</v>
      </c>
      <c r="D148" s="35">
        <v>0</v>
      </c>
      <c r="E148" s="35">
        <v>-101</v>
      </c>
      <c r="F148" s="35">
        <v>0</v>
      </c>
      <c r="G148" s="35">
        <v>-29</v>
      </c>
      <c r="H148" s="1" t="s">
        <v>237</v>
      </c>
    </row>
    <row r="149" spans="1:8" x14ac:dyDescent="0.2">
      <c r="A149" s="35">
        <v>4</v>
      </c>
      <c r="B149" s="35">
        <v>220500002</v>
      </c>
      <c r="C149" s="35">
        <v>205</v>
      </c>
      <c r="D149" s="35">
        <v>0</v>
      </c>
      <c r="E149" s="35">
        <v>-101</v>
      </c>
      <c r="F149" s="35">
        <v>0</v>
      </c>
      <c r="G149" s="35">
        <v>-15</v>
      </c>
      <c r="H149" s="1"/>
    </row>
    <row r="150" spans="1:8" x14ac:dyDescent="0.2">
      <c r="A150" s="35">
        <v>4</v>
      </c>
      <c r="B150" s="35">
        <v>220500003</v>
      </c>
      <c r="C150" s="35">
        <v>205</v>
      </c>
      <c r="D150" s="35">
        <v>0</v>
      </c>
      <c r="E150" s="35">
        <v>-85</v>
      </c>
      <c r="F150" s="35">
        <v>0</v>
      </c>
      <c r="G150" s="35">
        <v>-29</v>
      </c>
      <c r="H150" s="1"/>
    </row>
    <row r="151" spans="1:8" x14ac:dyDescent="0.2">
      <c r="A151" s="35">
        <v>4</v>
      </c>
      <c r="B151" s="35">
        <v>220600001</v>
      </c>
      <c r="C151" s="35">
        <v>206</v>
      </c>
      <c r="D151" s="35">
        <v>0</v>
      </c>
      <c r="E151" s="35">
        <v>48</v>
      </c>
      <c r="F151" s="35">
        <v>0</v>
      </c>
      <c r="G151" s="35">
        <v>48</v>
      </c>
      <c r="H151" s="1" t="s">
        <v>238</v>
      </c>
    </row>
    <row r="152" spans="1:8" x14ac:dyDescent="0.2">
      <c r="A152" s="35">
        <v>4</v>
      </c>
      <c r="B152" s="35">
        <v>220700001</v>
      </c>
      <c r="C152" s="35">
        <v>207</v>
      </c>
      <c r="D152" s="35">
        <v>0</v>
      </c>
      <c r="E152" s="35">
        <v>83</v>
      </c>
      <c r="F152" s="35">
        <v>-9</v>
      </c>
      <c r="G152" s="35">
        <v>-93</v>
      </c>
      <c r="H152" s="1" t="s">
        <v>239</v>
      </c>
    </row>
    <row r="153" spans="1:8" x14ac:dyDescent="0.2">
      <c r="A153" s="35">
        <v>4</v>
      </c>
      <c r="B153" s="35">
        <v>220700002</v>
      </c>
      <c r="C153" s="35">
        <v>207</v>
      </c>
      <c r="D153" s="35">
        <v>0</v>
      </c>
      <c r="E153" s="35">
        <v>115</v>
      </c>
      <c r="F153" s="44">
        <v>-9</v>
      </c>
      <c r="G153" s="44">
        <v>-42</v>
      </c>
      <c r="H153" s="44"/>
    </row>
    <row r="154" spans="1:8" x14ac:dyDescent="0.2">
      <c r="A154" s="35">
        <v>4</v>
      </c>
      <c r="B154" s="35">
        <v>220700003</v>
      </c>
      <c r="C154" s="35">
        <v>207</v>
      </c>
      <c r="D154" s="35">
        <v>0</v>
      </c>
      <c r="E154" s="35">
        <v>128</v>
      </c>
      <c r="F154" s="35">
        <v>-9</v>
      </c>
      <c r="G154" s="35">
        <v>-54</v>
      </c>
      <c r="H154" s="1"/>
    </row>
    <row r="155" spans="1:8" x14ac:dyDescent="0.2">
      <c r="A155" s="44">
        <v>4</v>
      </c>
      <c r="B155" s="44">
        <v>220700004</v>
      </c>
      <c r="C155" s="44">
        <v>207</v>
      </c>
      <c r="D155" s="44">
        <v>0</v>
      </c>
      <c r="E155" s="44">
        <v>116</v>
      </c>
      <c r="F155" s="35">
        <v>-9</v>
      </c>
      <c r="G155" s="35">
        <v>-66</v>
      </c>
      <c r="H155" s="1"/>
    </row>
    <row r="156" spans="1:8" x14ac:dyDescent="0.2">
      <c r="A156" s="44">
        <v>4</v>
      </c>
      <c r="B156" s="35">
        <v>220700005</v>
      </c>
      <c r="C156" s="35">
        <v>207</v>
      </c>
      <c r="D156" s="35">
        <v>0</v>
      </c>
      <c r="E156" s="35">
        <v>95</v>
      </c>
      <c r="F156" s="35">
        <v>-9</v>
      </c>
      <c r="G156" s="35">
        <v>-96</v>
      </c>
      <c r="H156" s="1"/>
    </row>
    <row r="157" spans="1:8" x14ac:dyDescent="0.2">
      <c r="A157" s="44">
        <v>4</v>
      </c>
      <c r="B157" s="35">
        <v>220700006</v>
      </c>
      <c r="C157" s="35">
        <v>207</v>
      </c>
      <c r="D157" s="35">
        <v>0</v>
      </c>
      <c r="E157" s="35">
        <v>119</v>
      </c>
      <c r="F157" s="35">
        <v>-9</v>
      </c>
      <c r="G157" s="35">
        <v>-92</v>
      </c>
      <c r="H157" s="1"/>
    </row>
    <row r="158" spans="1:8" x14ac:dyDescent="0.2">
      <c r="A158" s="44">
        <v>4</v>
      </c>
      <c r="B158" s="35">
        <v>220700007</v>
      </c>
      <c r="C158" s="35">
        <v>207</v>
      </c>
      <c r="D158" s="35">
        <v>0</v>
      </c>
      <c r="E158" s="35">
        <v>107</v>
      </c>
      <c r="F158" s="35">
        <v>-9</v>
      </c>
      <c r="G158" s="35">
        <v>-91</v>
      </c>
      <c r="H158" s="1"/>
    </row>
    <row r="159" spans="1:8" x14ac:dyDescent="0.2">
      <c r="A159" s="44">
        <v>4</v>
      </c>
      <c r="B159" s="35">
        <v>220700008</v>
      </c>
      <c r="C159" s="35">
        <v>207</v>
      </c>
      <c r="D159" s="35">
        <v>0</v>
      </c>
      <c r="E159" s="35">
        <v>128</v>
      </c>
      <c r="F159" s="46">
        <v>-9</v>
      </c>
      <c r="G159" s="46">
        <v>-66</v>
      </c>
      <c r="H159" s="1"/>
    </row>
    <row r="160" spans="1:8" x14ac:dyDescent="0.2">
      <c r="A160" s="44">
        <v>4</v>
      </c>
      <c r="B160" s="35">
        <v>220700009</v>
      </c>
      <c r="C160" s="47">
        <v>207</v>
      </c>
      <c r="D160" s="47">
        <v>0</v>
      </c>
      <c r="E160" s="46">
        <v>104</v>
      </c>
      <c r="F160" s="48">
        <v>-9</v>
      </c>
      <c r="G160" s="48">
        <v>-66</v>
      </c>
      <c r="H160" s="1"/>
    </row>
    <row r="161" spans="1:8" x14ac:dyDescent="0.2">
      <c r="A161" s="44">
        <v>4</v>
      </c>
      <c r="B161" s="35">
        <v>220700010</v>
      </c>
      <c r="C161" s="47">
        <v>207</v>
      </c>
      <c r="D161" s="47">
        <v>0</v>
      </c>
      <c r="E161" s="48">
        <v>107</v>
      </c>
      <c r="F161" s="47">
        <v>-9</v>
      </c>
      <c r="G161" s="47">
        <v>-104</v>
      </c>
      <c r="H161" s="1"/>
    </row>
    <row r="162" spans="1:8" x14ac:dyDescent="0.2">
      <c r="A162" s="44">
        <v>4</v>
      </c>
      <c r="B162" s="35">
        <v>220700011</v>
      </c>
      <c r="C162" s="47">
        <v>207</v>
      </c>
      <c r="D162" s="47">
        <v>0</v>
      </c>
      <c r="E162" s="47">
        <v>83</v>
      </c>
      <c r="F162" s="47">
        <v>-9</v>
      </c>
      <c r="G162" s="47">
        <v>-105</v>
      </c>
      <c r="H162" s="1"/>
    </row>
    <row r="163" spans="1:8" x14ac:dyDescent="0.2">
      <c r="A163" s="44">
        <v>4</v>
      </c>
      <c r="B163" s="35">
        <v>220700012</v>
      </c>
      <c r="C163" s="47">
        <v>207</v>
      </c>
      <c r="D163" s="47">
        <v>0</v>
      </c>
      <c r="E163" s="47">
        <v>107</v>
      </c>
      <c r="F163" s="35">
        <v>-9</v>
      </c>
      <c r="G163" s="35">
        <v>-79</v>
      </c>
      <c r="H163" s="1"/>
    </row>
    <row r="164" spans="1:8" x14ac:dyDescent="0.2">
      <c r="A164" s="44">
        <v>4</v>
      </c>
      <c r="B164" s="35">
        <v>220800001</v>
      </c>
      <c r="C164" s="35">
        <v>208</v>
      </c>
      <c r="D164" s="35">
        <v>0</v>
      </c>
      <c r="E164" s="35">
        <v>-69</v>
      </c>
      <c r="F164" s="35">
        <v>13</v>
      </c>
      <c r="G164" s="35">
        <v>78</v>
      </c>
      <c r="H164" s="1" t="s">
        <v>240</v>
      </c>
    </row>
    <row r="165" spans="1:8" x14ac:dyDescent="0.2">
      <c r="A165" s="44">
        <v>4</v>
      </c>
      <c r="B165" s="35">
        <v>220900001</v>
      </c>
      <c r="C165" s="35">
        <v>209</v>
      </c>
      <c r="D165" s="35">
        <v>0</v>
      </c>
      <c r="E165" s="35">
        <v>45</v>
      </c>
      <c r="F165" s="35">
        <v>0</v>
      </c>
      <c r="G165" s="35">
        <v>18</v>
      </c>
      <c r="H165" s="1" t="s">
        <v>241</v>
      </c>
    </row>
    <row r="166" spans="1:8" x14ac:dyDescent="0.2">
      <c r="A166" s="44">
        <v>4</v>
      </c>
      <c r="B166" s="35">
        <v>221100001</v>
      </c>
      <c r="C166" s="35">
        <v>211</v>
      </c>
      <c r="D166" s="35">
        <v>0</v>
      </c>
      <c r="E166" s="35">
        <v>21</v>
      </c>
      <c r="F166" s="35">
        <v>0</v>
      </c>
      <c r="G166" s="35">
        <v>-38</v>
      </c>
      <c r="H166" s="1" t="s">
        <v>242</v>
      </c>
    </row>
    <row r="167" spans="1:8" x14ac:dyDescent="0.2">
      <c r="A167" s="44">
        <v>4</v>
      </c>
      <c r="B167" s="35">
        <v>221200001</v>
      </c>
      <c r="C167" s="35">
        <v>212</v>
      </c>
      <c r="D167" s="35">
        <v>0</v>
      </c>
      <c r="E167" s="35">
        <v>129</v>
      </c>
      <c r="F167" s="35">
        <v>-4.5999999999999996</v>
      </c>
      <c r="G167" s="35">
        <v>52</v>
      </c>
      <c r="H167" s="1" t="s">
        <v>243</v>
      </c>
    </row>
    <row r="168" spans="1:8" x14ac:dyDescent="0.2">
      <c r="A168" s="44">
        <v>4</v>
      </c>
      <c r="B168" s="35">
        <v>221300001</v>
      </c>
      <c r="C168" s="35">
        <v>213</v>
      </c>
      <c r="D168" s="35">
        <v>0</v>
      </c>
      <c r="E168" s="35">
        <v>16</v>
      </c>
      <c r="F168" s="35">
        <v>-18.5</v>
      </c>
      <c r="G168" s="35">
        <v>130</v>
      </c>
      <c r="H168" s="1" t="s">
        <v>244</v>
      </c>
    </row>
    <row r="169" spans="1:8" x14ac:dyDescent="0.2">
      <c r="A169" s="44">
        <v>4</v>
      </c>
      <c r="B169" s="35">
        <v>221500001</v>
      </c>
      <c r="C169" s="35">
        <v>215</v>
      </c>
      <c r="D169" s="35">
        <v>0</v>
      </c>
      <c r="E169" s="35">
        <v>102</v>
      </c>
      <c r="F169" s="35">
        <v>0</v>
      </c>
      <c r="G169" s="35">
        <v>0.43</v>
      </c>
      <c r="H169" s="1" t="s">
        <v>245</v>
      </c>
    </row>
    <row r="170" spans="1:8" x14ac:dyDescent="0.2">
      <c r="A170" s="44">
        <v>4</v>
      </c>
      <c r="B170" s="35">
        <v>222200001</v>
      </c>
      <c r="C170" s="35">
        <v>222</v>
      </c>
      <c r="D170" s="35">
        <v>0</v>
      </c>
      <c r="E170" s="35">
        <v>48</v>
      </c>
      <c r="F170" s="47">
        <v>0</v>
      </c>
      <c r="G170" s="47">
        <v>-17</v>
      </c>
      <c r="H170" s="1" t="s">
        <v>246</v>
      </c>
    </row>
    <row r="171" spans="1:8" x14ac:dyDescent="0.2">
      <c r="A171" s="44">
        <v>4</v>
      </c>
      <c r="B171" s="35">
        <v>222400001</v>
      </c>
      <c r="C171" s="35">
        <v>224</v>
      </c>
      <c r="D171" s="35">
        <v>0</v>
      </c>
      <c r="E171" s="47">
        <v>69</v>
      </c>
      <c r="F171" s="35">
        <v>0</v>
      </c>
      <c r="G171" s="35">
        <v>18</v>
      </c>
      <c r="H171" s="1" t="s">
        <v>247</v>
      </c>
    </row>
    <row r="172" spans="1:8" x14ac:dyDescent="0.2">
      <c r="A172" s="44">
        <v>4</v>
      </c>
      <c r="B172" s="35">
        <v>222600001</v>
      </c>
      <c r="C172" s="35">
        <v>226</v>
      </c>
      <c r="D172" s="35">
        <v>0</v>
      </c>
      <c r="E172" s="35">
        <v>-7</v>
      </c>
      <c r="F172" s="35">
        <v>3</v>
      </c>
      <c r="G172" s="35">
        <v>66</v>
      </c>
      <c r="H172" s="1" t="s">
        <v>248</v>
      </c>
    </row>
    <row r="173" spans="1:8" x14ac:dyDescent="0.2">
      <c r="A173" s="44">
        <v>4</v>
      </c>
      <c r="B173" s="35">
        <v>222700001</v>
      </c>
      <c r="C173" s="35">
        <v>227</v>
      </c>
      <c r="D173" s="35">
        <v>0</v>
      </c>
      <c r="E173" s="35">
        <v>135</v>
      </c>
      <c r="F173" s="35">
        <v>-9</v>
      </c>
      <c r="G173" s="35">
        <v>-12</v>
      </c>
      <c r="H173" s="1" t="s">
        <v>249</v>
      </c>
    </row>
    <row r="174" spans="1:8" x14ac:dyDescent="0.2">
      <c r="A174" s="44">
        <v>4</v>
      </c>
      <c r="B174" s="35">
        <v>222700002</v>
      </c>
      <c r="C174" s="35">
        <v>227</v>
      </c>
      <c r="D174" s="35">
        <v>0</v>
      </c>
      <c r="E174" s="35">
        <v>136</v>
      </c>
      <c r="F174" s="35">
        <v>-8.56</v>
      </c>
      <c r="G174" s="35">
        <v>16</v>
      </c>
      <c r="H174" s="1"/>
    </row>
    <row r="175" spans="1:8" x14ac:dyDescent="0.2">
      <c r="A175" s="44">
        <v>4</v>
      </c>
      <c r="B175" s="35">
        <v>222900001</v>
      </c>
      <c r="C175" s="35">
        <v>229</v>
      </c>
      <c r="D175" s="35">
        <v>0</v>
      </c>
      <c r="E175" s="35">
        <v>27</v>
      </c>
      <c r="F175" s="35">
        <v>0</v>
      </c>
      <c r="G175" s="35">
        <v>36</v>
      </c>
      <c r="H175" s="1" t="s">
        <v>296</v>
      </c>
    </row>
    <row r="176" spans="1:8" x14ac:dyDescent="0.2">
      <c r="A176" s="44">
        <v>4</v>
      </c>
      <c r="B176" s="35">
        <v>223000001</v>
      </c>
      <c r="C176" s="35">
        <v>230</v>
      </c>
      <c r="D176" s="35">
        <v>0</v>
      </c>
      <c r="E176" s="35">
        <v>30</v>
      </c>
      <c r="F176" s="35">
        <v>0</v>
      </c>
      <c r="G176" s="35">
        <v>-17</v>
      </c>
      <c r="H176" s="1" t="s">
        <v>250</v>
      </c>
    </row>
    <row r="177" spans="1:8" x14ac:dyDescent="0.2">
      <c r="A177" s="44">
        <v>4</v>
      </c>
      <c r="B177" s="35">
        <v>223100001</v>
      </c>
      <c r="C177" s="35">
        <v>231</v>
      </c>
      <c r="D177" s="35">
        <v>0</v>
      </c>
      <c r="E177" s="35">
        <v>-13</v>
      </c>
      <c r="F177" s="35">
        <v>0</v>
      </c>
      <c r="G177" s="35">
        <v>-40</v>
      </c>
      <c r="H177" s="1" t="s">
        <v>251</v>
      </c>
    </row>
    <row r="178" spans="1:8" x14ac:dyDescent="0.2">
      <c r="A178" s="44">
        <v>4</v>
      </c>
      <c r="B178" s="35">
        <v>223200001</v>
      </c>
      <c r="C178" s="35">
        <v>232</v>
      </c>
      <c r="D178" s="35">
        <v>0</v>
      </c>
      <c r="E178" s="35">
        <v>72</v>
      </c>
      <c r="F178" s="35">
        <v>0</v>
      </c>
      <c r="G178" s="35">
        <v>48</v>
      </c>
      <c r="H178" s="1" t="s">
        <v>252</v>
      </c>
    </row>
    <row r="179" spans="1:8" x14ac:dyDescent="0.2">
      <c r="A179" s="44">
        <v>4</v>
      </c>
      <c r="B179" s="35">
        <v>223400001</v>
      </c>
      <c r="C179" s="35">
        <v>234</v>
      </c>
      <c r="D179" s="35">
        <v>0</v>
      </c>
      <c r="E179" s="35">
        <v>-111</v>
      </c>
      <c r="F179" s="35">
        <v>0</v>
      </c>
      <c r="G179" s="35">
        <v>-40</v>
      </c>
      <c r="H179" s="1" t="s">
        <v>297</v>
      </c>
    </row>
    <row r="180" spans="1:8" x14ac:dyDescent="0.2">
      <c r="A180" s="44">
        <v>4</v>
      </c>
      <c r="B180" s="35">
        <v>223400002</v>
      </c>
      <c r="C180" s="35">
        <v>234</v>
      </c>
      <c r="D180" s="35">
        <v>0</v>
      </c>
      <c r="E180" s="35">
        <v>-111</v>
      </c>
      <c r="F180" s="35">
        <v>0</v>
      </c>
      <c r="G180" s="35">
        <v>-50</v>
      </c>
      <c r="H180" s="1"/>
    </row>
    <row r="181" spans="1:8" x14ac:dyDescent="0.2">
      <c r="A181" s="44">
        <v>4</v>
      </c>
      <c r="B181" s="35">
        <v>223400003</v>
      </c>
      <c r="C181" s="35">
        <v>234</v>
      </c>
      <c r="D181" s="35">
        <v>0</v>
      </c>
      <c r="E181" s="35">
        <v>-87</v>
      </c>
      <c r="F181" s="35">
        <v>0</v>
      </c>
      <c r="G181" s="35">
        <v>-50</v>
      </c>
      <c r="H181" s="1"/>
    </row>
    <row r="182" spans="1:8" x14ac:dyDescent="0.2">
      <c r="A182" s="44">
        <v>4</v>
      </c>
      <c r="B182" s="35">
        <v>223500001</v>
      </c>
      <c r="C182" s="35">
        <v>235</v>
      </c>
      <c r="D182" s="35">
        <v>0</v>
      </c>
      <c r="E182" s="35">
        <v>-57</v>
      </c>
      <c r="F182" s="35">
        <v>5</v>
      </c>
      <c r="G182" s="35">
        <v>6</v>
      </c>
      <c r="H182" s="1" t="s">
        <v>253</v>
      </c>
    </row>
    <row r="183" spans="1:8" x14ac:dyDescent="0.2">
      <c r="A183" s="44">
        <v>4</v>
      </c>
      <c r="B183" s="35">
        <v>223600001</v>
      </c>
      <c r="C183" s="35">
        <v>236</v>
      </c>
      <c r="D183" s="35">
        <v>0</v>
      </c>
      <c r="E183" s="35">
        <v>-35</v>
      </c>
      <c r="F183" s="35">
        <v>5</v>
      </c>
      <c r="G183" s="35">
        <v>6</v>
      </c>
      <c r="H183" s="1" t="s">
        <v>254</v>
      </c>
    </row>
    <row r="184" spans="1:8" x14ac:dyDescent="0.2">
      <c r="A184" s="44">
        <v>4</v>
      </c>
      <c r="B184" s="35">
        <v>223700001</v>
      </c>
      <c r="C184" s="35">
        <v>237</v>
      </c>
      <c r="D184" s="35">
        <v>0</v>
      </c>
      <c r="E184" s="35">
        <v>63</v>
      </c>
      <c r="F184" s="35">
        <v>0</v>
      </c>
      <c r="G184" s="35">
        <v>-41</v>
      </c>
      <c r="H184" s="1" t="s">
        <v>255</v>
      </c>
    </row>
    <row r="185" spans="1:8" x14ac:dyDescent="0.2">
      <c r="A185" s="44">
        <v>4</v>
      </c>
      <c r="B185" s="35">
        <v>230000001</v>
      </c>
      <c r="C185" s="35">
        <v>300</v>
      </c>
      <c r="D185" s="35">
        <v>0</v>
      </c>
      <c r="E185" s="35">
        <v>80</v>
      </c>
      <c r="F185" s="35">
        <v>-9</v>
      </c>
      <c r="G185" s="35">
        <v>107</v>
      </c>
      <c r="H185" s="1" t="s">
        <v>256</v>
      </c>
    </row>
    <row r="186" spans="1:8" x14ac:dyDescent="0.2">
      <c r="A186" s="44">
        <v>4</v>
      </c>
      <c r="B186" s="35">
        <v>240000001</v>
      </c>
      <c r="C186" s="35">
        <v>400</v>
      </c>
      <c r="D186" s="35">
        <v>0</v>
      </c>
      <c r="E186" s="35">
        <v>-18</v>
      </c>
      <c r="F186" s="35">
        <v>0</v>
      </c>
      <c r="G186" s="35">
        <v>-62</v>
      </c>
      <c r="H186" s="1" t="s">
        <v>257</v>
      </c>
    </row>
    <row r="187" spans="1:8" x14ac:dyDescent="0.2">
      <c r="A187" s="44">
        <v>4</v>
      </c>
      <c r="B187" s="35">
        <v>240400001</v>
      </c>
      <c r="C187" s="35">
        <v>404</v>
      </c>
      <c r="D187" s="35">
        <v>0</v>
      </c>
      <c r="E187" s="35">
        <v>214.97</v>
      </c>
      <c r="F187" s="35">
        <v>-4.2</v>
      </c>
      <c r="G187" s="35">
        <v>89.09</v>
      </c>
      <c r="H187" s="1" t="s">
        <v>258</v>
      </c>
    </row>
    <row r="188" spans="1:8" x14ac:dyDescent="0.2">
      <c r="A188" s="44">
        <v>5</v>
      </c>
      <c r="B188" s="35">
        <v>220100001</v>
      </c>
      <c r="C188" s="35">
        <v>201</v>
      </c>
      <c r="D188" s="35">
        <v>0</v>
      </c>
      <c r="E188" s="35">
        <v>0</v>
      </c>
      <c r="F188" s="35">
        <v>0</v>
      </c>
      <c r="G188" s="35">
        <v>0</v>
      </c>
      <c r="H188" s="1" t="s">
        <v>233</v>
      </c>
    </row>
    <row r="189" spans="1:8" x14ac:dyDescent="0.2">
      <c r="A189" s="44">
        <v>5</v>
      </c>
      <c r="B189" s="35">
        <v>220200001</v>
      </c>
      <c r="C189" s="35">
        <v>202</v>
      </c>
      <c r="D189" s="35">
        <v>0</v>
      </c>
      <c r="E189" s="35">
        <v>-37</v>
      </c>
      <c r="F189" s="35">
        <v>0</v>
      </c>
      <c r="G189" s="35">
        <v>-28</v>
      </c>
      <c r="H189" s="1" t="s">
        <v>234</v>
      </c>
    </row>
    <row r="190" spans="1:8" x14ac:dyDescent="0.2">
      <c r="A190" s="44">
        <v>5</v>
      </c>
      <c r="B190" s="35">
        <v>220200002</v>
      </c>
      <c r="C190" s="35">
        <v>202</v>
      </c>
      <c r="D190" s="35">
        <v>0</v>
      </c>
      <c r="E190" s="35">
        <v>-50</v>
      </c>
      <c r="F190" s="1">
        <v>0</v>
      </c>
      <c r="G190" s="1">
        <v>-38</v>
      </c>
      <c r="H190" s="1"/>
    </row>
    <row r="191" spans="1:8" x14ac:dyDescent="0.2">
      <c r="A191" s="35">
        <v>5</v>
      </c>
      <c r="B191" s="35">
        <v>220200003</v>
      </c>
      <c r="C191" s="35">
        <v>202</v>
      </c>
      <c r="D191" s="35">
        <v>0</v>
      </c>
      <c r="E191" s="35">
        <v>-37</v>
      </c>
      <c r="F191" s="35">
        <v>0</v>
      </c>
      <c r="G191" s="35">
        <v>-44</v>
      </c>
      <c r="H191" s="1"/>
    </row>
    <row r="192" spans="1:8" x14ac:dyDescent="0.2">
      <c r="A192" s="1">
        <v>5</v>
      </c>
      <c r="B192" s="1">
        <v>220200004</v>
      </c>
      <c r="C192" s="1">
        <v>202</v>
      </c>
      <c r="D192" s="1">
        <v>0</v>
      </c>
      <c r="E192" s="1">
        <v>-37</v>
      </c>
      <c r="F192" s="1">
        <v>0</v>
      </c>
      <c r="G192" s="1">
        <v>-58</v>
      </c>
      <c r="H192" s="1"/>
    </row>
    <row r="193" spans="1:8" x14ac:dyDescent="0.2">
      <c r="A193" s="1">
        <v>5</v>
      </c>
      <c r="B193" s="1">
        <v>220300001</v>
      </c>
      <c r="C193" s="1">
        <v>203</v>
      </c>
      <c r="D193" s="1">
        <v>0</v>
      </c>
      <c r="E193" s="1">
        <v>127</v>
      </c>
      <c r="F193" s="1">
        <v>-9</v>
      </c>
      <c r="G193" s="1">
        <v>-42</v>
      </c>
      <c r="H193" s="1" t="s">
        <v>235</v>
      </c>
    </row>
    <row r="194" spans="1:8" x14ac:dyDescent="0.2">
      <c r="A194" s="1">
        <v>5</v>
      </c>
      <c r="B194" s="1">
        <v>220300002</v>
      </c>
      <c r="C194" s="1">
        <v>203</v>
      </c>
      <c r="D194" s="1">
        <v>0</v>
      </c>
      <c r="E194" s="1">
        <v>120</v>
      </c>
      <c r="F194" s="1">
        <v>-9</v>
      </c>
      <c r="G194" s="1">
        <v>-79</v>
      </c>
      <c r="H194" s="1"/>
    </row>
    <row r="195" spans="1:8" x14ac:dyDescent="0.2">
      <c r="A195" s="1">
        <v>5</v>
      </c>
      <c r="B195" s="1">
        <v>220300003</v>
      </c>
      <c r="C195" s="1">
        <v>203</v>
      </c>
      <c r="D195" s="1">
        <v>0</v>
      </c>
      <c r="E195" s="1">
        <v>95</v>
      </c>
      <c r="F195" s="1">
        <v>-9</v>
      </c>
      <c r="G195" s="1">
        <v>-83</v>
      </c>
      <c r="H195" s="1"/>
    </row>
    <row r="196" spans="1:8" x14ac:dyDescent="0.2">
      <c r="A196" s="1">
        <v>5</v>
      </c>
      <c r="B196" s="1">
        <v>220300004</v>
      </c>
      <c r="C196" s="1">
        <v>203</v>
      </c>
      <c r="D196" s="1">
        <v>0</v>
      </c>
      <c r="E196" s="1">
        <v>117</v>
      </c>
      <c r="F196" s="1">
        <v>-9</v>
      </c>
      <c r="G196" s="1">
        <v>-54</v>
      </c>
      <c r="H196" s="1"/>
    </row>
    <row r="197" spans="1:8" x14ac:dyDescent="0.2">
      <c r="A197" s="1">
        <v>5</v>
      </c>
      <c r="B197" s="1">
        <v>220400001</v>
      </c>
      <c r="C197" s="1">
        <v>204</v>
      </c>
      <c r="D197" s="1">
        <v>0</v>
      </c>
      <c r="E197" s="1">
        <v>57</v>
      </c>
      <c r="F197" s="1">
        <v>-9</v>
      </c>
      <c r="G197" s="1">
        <v>-105</v>
      </c>
      <c r="H197" s="1" t="s">
        <v>236</v>
      </c>
    </row>
    <row r="198" spans="1:8" x14ac:dyDescent="0.2">
      <c r="A198" s="1">
        <v>5</v>
      </c>
      <c r="B198" s="1">
        <v>220400002</v>
      </c>
      <c r="C198" s="1">
        <v>204</v>
      </c>
      <c r="D198" s="1">
        <v>0</v>
      </c>
      <c r="E198" s="1">
        <v>44</v>
      </c>
      <c r="F198" s="1">
        <v>-9</v>
      </c>
      <c r="G198" s="1">
        <v>-104</v>
      </c>
      <c r="H198" s="1"/>
    </row>
    <row r="199" spans="1:8" x14ac:dyDescent="0.2">
      <c r="A199" s="1">
        <v>5</v>
      </c>
      <c r="B199" s="1">
        <v>220400003</v>
      </c>
      <c r="C199" s="1">
        <v>204</v>
      </c>
      <c r="D199" s="1">
        <v>0</v>
      </c>
      <c r="E199" s="1">
        <v>54</v>
      </c>
      <c r="F199" s="1">
        <v>-9</v>
      </c>
      <c r="G199" s="1">
        <v>-118</v>
      </c>
      <c r="H199" s="1"/>
    </row>
    <row r="200" spans="1:8" x14ac:dyDescent="0.2">
      <c r="A200" s="1">
        <v>5</v>
      </c>
      <c r="B200" s="1">
        <v>220400004</v>
      </c>
      <c r="C200" s="1">
        <v>204</v>
      </c>
      <c r="D200" s="1">
        <v>0</v>
      </c>
      <c r="E200" s="1">
        <v>41</v>
      </c>
      <c r="F200" s="1">
        <v>-9</v>
      </c>
      <c r="G200" s="1">
        <v>-118</v>
      </c>
      <c r="H200" s="1"/>
    </row>
    <row r="201" spans="1:8" x14ac:dyDescent="0.2">
      <c r="A201" s="1">
        <v>5</v>
      </c>
      <c r="B201" s="1">
        <v>220500001</v>
      </c>
      <c r="C201" s="1">
        <v>205</v>
      </c>
      <c r="D201" s="1">
        <v>0</v>
      </c>
      <c r="E201" s="1">
        <v>-101</v>
      </c>
      <c r="F201" s="1">
        <v>0</v>
      </c>
      <c r="G201" s="1">
        <v>-29</v>
      </c>
      <c r="H201" s="1" t="s">
        <v>237</v>
      </c>
    </row>
    <row r="202" spans="1:8" x14ac:dyDescent="0.2">
      <c r="A202" s="1">
        <v>5</v>
      </c>
      <c r="B202" s="1">
        <v>220500002</v>
      </c>
      <c r="C202" s="1">
        <v>205</v>
      </c>
      <c r="D202" s="1">
        <v>0</v>
      </c>
      <c r="E202" s="1">
        <v>-101</v>
      </c>
      <c r="F202" s="1">
        <v>0</v>
      </c>
      <c r="G202" s="1">
        <v>-15</v>
      </c>
      <c r="H202" s="1"/>
    </row>
    <row r="203" spans="1:8" x14ac:dyDescent="0.2">
      <c r="A203" s="1">
        <v>5</v>
      </c>
      <c r="B203" s="1">
        <v>220500003</v>
      </c>
      <c r="C203" s="1">
        <v>205</v>
      </c>
      <c r="D203" s="1">
        <v>0</v>
      </c>
      <c r="E203" s="1">
        <v>-85</v>
      </c>
      <c r="F203" s="1">
        <v>0</v>
      </c>
      <c r="G203" s="1">
        <v>-29</v>
      </c>
      <c r="H203" s="1"/>
    </row>
    <row r="204" spans="1:8" x14ac:dyDescent="0.2">
      <c r="A204" s="1">
        <v>5</v>
      </c>
      <c r="B204" s="1">
        <v>220500004</v>
      </c>
      <c r="C204" s="1">
        <v>205</v>
      </c>
      <c r="D204" s="1">
        <v>0</v>
      </c>
      <c r="E204" s="1">
        <v>-85</v>
      </c>
      <c r="F204" s="1">
        <v>0</v>
      </c>
      <c r="G204" s="1">
        <v>-39</v>
      </c>
      <c r="H204" s="1"/>
    </row>
    <row r="205" spans="1:8" x14ac:dyDescent="0.2">
      <c r="A205" s="1">
        <v>5</v>
      </c>
      <c r="B205" s="1">
        <v>220600001</v>
      </c>
      <c r="C205" s="1">
        <v>206</v>
      </c>
      <c r="D205" s="1">
        <v>0</v>
      </c>
      <c r="E205" s="1">
        <v>48</v>
      </c>
      <c r="F205" s="1">
        <v>0</v>
      </c>
      <c r="G205" s="1">
        <v>48</v>
      </c>
      <c r="H205" s="1" t="s">
        <v>238</v>
      </c>
    </row>
    <row r="206" spans="1:8" x14ac:dyDescent="0.2">
      <c r="A206" s="1">
        <v>5</v>
      </c>
      <c r="B206" s="1">
        <v>220700001</v>
      </c>
      <c r="C206" s="1">
        <v>207</v>
      </c>
      <c r="D206" s="1">
        <v>0</v>
      </c>
      <c r="E206" s="1">
        <v>83</v>
      </c>
      <c r="F206" s="1">
        <v>-9</v>
      </c>
      <c r="G206" s="1">
        <v>-93</v>
      </c>
      <c r="H206" s="1" t="s">
        <v>239</v>
      </c>
    </row>
    <row r="207" spans="1:8" x14ac:dyDescent="0.2">
      <c r="A207" s="1">
        <v>5</v>
      </c>
      <c r="B207" s="1">
        <v>220700002</v>
      </c>
      <c r="C207" s="1">
        <v>207</v>
      </c>
      <c r="D207" s="1">
        <v>0</v>
      </c>
      <c r="E207" s="1">
        <v>115</v>
      </c>
      <c r="F207" s="1">
        <v>-9</v>
      </c>
      <c r="G207" s="1">
        <v>-42</v>
      </c>
      <c r="H207" s="1"/>
    </row>
    <row r="208" spans="1:8" x14ac:dyDescent="0.2">
      <c r="A208" s="1">
        <v>5</v>
      </c>
      <c r="B208" s="1">
        <v>220700003</v>
      </c>
      <c r="C208" s="1">
        <v>207</v>
      </c>
      <c r="D208" s="1">
        <v>0</v>
      </c>
      <c r="E208" s="1">
        <v>128</v>
      </c>
      <c r="F208" s="1">
        <v>-9</v>
      </c>
      <c r="G208" s="1">
        <v>-54</v>
      </c>
      <c r="H208" s="1"/>
    </row>
    <row r="209" spans="1:8" x14ac:dyDescent="0.2">
      <c r="A209" s="1">
        <v>5</v>
      </c>
      <c r="B209" s="1">
        <v>220700004</v>
      </c>
      <c r="C209" s="1">
        <v>207</v>
      </c>
      <c r="D209" s="1">
        <v>0</v>
      </c>
      <c r="E209" s="1">
        <v>116</v>
      </c>
      <c r="F209" s="1">
        <v>-9</v>
      </c>
      <c r="G209" s="1">
        <v>-66</v>
      </c>
      <c r="H209" s="1"/>
    </row>
    <row r="210" spans="1:8" x14ac:dyDescent="0.2">
      <c r="A210" s="1">
        <v>5</v>
      </c>
      <c r="B210" s="1">
        <v>220700005</v>
      </c>
      <c r="C210" s="1">
        <v>207</v>
      </c>
      <c r="D210" s="1">
        <v>0</v>
      </c>
      <c r="E210" s="1">
        <v>95</v>
      </c>
      <c r="F210" s="1">
        <v>-9</v>
      </c>
      <c r="G210" s="1">
        <v>-96</v>
      </c>
      <c r="H210" s="1"/>
    </row>
    <row r="211" spans="1:8" x14ac:dyDescent="0.2">
      <c r="A211" s="1">
        <v>5</v>
      </c>
      <c r="B211" s="1">
        <v>220700006</v>
      </c>
      <c r="C211" s="1">
        <v>207</v>
      </c>
      <c r="D211" s="1">
        <v>0</v>
      </c>
      <c r="E211" s="1">
        <v>119</v>
      </c>
      <c r="F211" s="1">
        <v>-9</v>
      </c>
      <c r="G211" s="1">
        <v>-92</v>
      </c>
      <c r="H211" s="1"/>
    </row>
    <row r="212" spans="1:8" x14ac:dyDescent="0.2">
      <c r="A212" s="1">
        <v>5</v>
      </c>
      <c r="B212" s="1">
        <v>220700007</v>
      </c>
      <c r="C212" s="1">
        <v>207</v>
      </c>
      <c r="D212" s="1">
        <v>0</v>
      </c>
      <c r="E212" s="1">
        <v>107</v>
      </c>
      <c r="F212" s="1">
        <v>-9</v>
      </c>
      <c r="G212" s="1">
        <v>-91</v>
      </c>
      <c r="H212" s="1"/>
    </row>
    <row r="213" spans="1:8" x14ac:dyDescent="0.2">
      <c r="A213" s="1">
        <v>5</v>
      </c>
      <c r="B213" s="1">
        <v>220700008</v>
      </c>
      <c r="C213" s="1">
        <v>207</v>
      </c>
      <c r="D213" s="1">
        <v>0</v>
      </c>
      <c r="E213" s="1">
        <v>128</v>
      </c>
      <c r="F213" s="1">
        <v>-9</v>
      </c>
      <c r="G213" s="1">
        <v>-66</v>
      </c>
      <c r="H213" s="1"/>
    </row>
    <row r="214" spans="1:8" x14ac:dyDescent="0.2">
      <c r="A214" s="1">
        <v>5</v>
      </c>
      <c r="B214" s="1">
        <v>220700009</v>
      </c>
      <c r="C214" s="1">
        <v>207</v>
      </c>
      <c r="D214" s="1">
        <v>0</v>
      </c>
      <c r="E214" s="1">
        <v>104</v>
      </c>
      <c r="F214" s="1">
        <v>-9</v>
      </c>
      <c r="G214" s="1">
        <v>-66</v>
      </c>
      <c r="H214" s="1"/>
    </row>
    <row r="215" spans="1:8" x14ac:dyDescent="0.2">
      <c r="A215" s="1">
        <v>5</v>
      </c>
      <c r="B215" s="1">
        <v>220700010</v>
      </c>
      <c r="C215" s="1">
        <v>207</v>
      </c>
      <c r="D215" s="1">
        <v>0</v>
      </c>
      <c r="E215" s="1">
        <v>107</v>
      </c>
      <c r="F215" s="1">
        <v>-9</v>
      </c>
      <c r="G215" s="1">
        <v>-104</v>
      </c>
      <c r="H215" s="1"/>
    </row>
    <row r="216" spans="1:8" x14ac:dyDescent="0.2">
      <c r="A216" s="1">
        <v>5</v>
      </c>
      <c r="B216" s="1">
        <v>220700011</v>
      </c>
      <c r="C216" s="1">
        <v>207</v>
      </c>
      <c r="D216" s="1">
        <v>0</v>
      </c>
      <c r="E216" s="1">
        <v>83</v>
      </c>
      <c r="F216" s="1">
        <v>-9</v>
      </c>
      <c r="G216" s="1">
        <v>-105</v>
      </c>
      <c r="H216" s="1"/>
    </row>
    <row r="217" spans="1:8" x14ac:dyDescent="0.2">
      <c r="A217" s="1">
        <v>5</v>
      </c>
      <c r="B217" s="1">
        <v>220700012</v>
      </c>
      <c r="C217" s="1">
        <v>207</v>
      </c>
      <c r="D217" s="1">
        <v>0</v>
      </c>
      <c r="E217" s="1">
        <v>107</v>
      </c>
      <c r="F217" s="1">
        <v>-9</v>
      </c>
      <c r="G217" s="1">
        <v>-79</v>
      </c>
      <c r="H217" s="1"/>
    </row>
    <row r="218" spans="1:8" x14ac:dyDescent="0.2">
      <c r="A218" s="1">
        <v>5</v>
      </c>
      <c r="B218" s="1">
        <v>220700013</v>
      </c>
      <c r="C218" s="1">
        <v>207</v>
      </c>
      <c r="D218" s="1">
        <v>0</v>
      </c>
      <c r="E218" s="1">
        <v>123</v>
      </c>
      <c r="F218" s="1">
        <v>-9</v>
      </c>
      <c r="G218" s="1">
        <v>-29</v>
      </c>
      <c r="H218" s="1"/>
    </row>
    <row r="219" spans="1:8" x14ac:dyDescent="0.2">
      <c r="A219" s="1">
        <v>5</v>
      </c>
      <c r="B219" s="1">
        <v>220700014</v>
      </c>
      <c r="C219" s="1">
        <v>207</v>
      </c>
      <c r="D219" s="1">
        <v>0</v>
      </c>
      <c r="E219" s="1">
        <v>70</v>
      </c>
      <c r="F219" s="1">
        <v>-9</v>
      </c>
      <c r="G219" s="1">
        <v>-97</v>
      </c>
      <c r="H219" s="1"/>
    </row>
    <row r="220" spans="1:8" x14ac:dyDescent="0.2">
      <c r="A220" s="1">
        <v>5</v>
      </c>
      <c r="B220" s="1">
        <v>220700015</v>
      </c>
      <c r="C220" s="1">
        <v>207</v>
      </c>
      <c r="D220" s="1">
        <v>0</v>
      </c>
      <c r="E220" s="1">
        <v>70</v>
      </c>
      <c r="F220" s="1">
        <v>-9</v>
      </c>
      <c r="G220" s="1">
        <v>-110</v>
      </c>
      <c r="H220" s="1"/>
    </row>
    <row r="221" spans="1:8" x14ac:dyDescent="0.2">
      <c r="A221" s="1">
        <v>5</v>
      </c>
      <c r="B221" s="1">
        <v>220700016</v>
      </c>
      <c r="C221" s="1">
        <v>207</v>
      </c>
      <c r="D221" s="1">
        <v>0</v>
      </c>
      <c r="E221" s="1">
        <v>95</v>
      </c>
      <c r="F221" s="1">
        <v>-9</v>
      </c>
      <c r="G221" s="1">
        <v>-109</v>
      </c>
      <c r="H221" s="1"/>
    </row>
    <row r="222" spans="1:8" x14ac:dyDescent="0.2">
      <c r="A222" s="1">
        <v>5</v>
      </c>
      <c r="B222" s="1">
        <v>220800001</v>
      </c>
      <c r="C222" s="1">
        <v>208</v>
      </c>
      <c r="D222" s="1">
        <v>0</v>
      </c>
      <c r="E222" s="1">
        <v>-69</v>
      </c>
      <c r="F222" s="1">
        <v>13</v>
      </c>
      <c r="G222" s="1">
        <v>78</v>
      </c>
      <c r="H222" s="1" t="s">
        <v>240</v>
      </c>
    </row>
    <row r="223" spans="1:8" x14ac:dyDescent="0.2">
      <c r="A223" s="1">
        <v>5</v>
      </c>
      <c r="B223" s="1">
        <v>220900001</v>
      </c>
      <c r="C223" s="1">
        <v>209</v>
      </c>
      <c r="D223" s="1">
        <v>0</v>
      </c>
      <c r="E223" s="1">
        <v>45</v>
      </c>
      <c r="F223" s="1">
        <v>0</v>
      </c>
      <c r="G223" s="1">
        <v>18</v>
      </c>
      <c r="H223" s="1" t="s">
        <v>241</v>
      </c>
    </row>
    <row r="224" spans="1:8" x14ac:dyDescent="0.2">
      <c r="A224" s="1">
        <v>5</v>
      </c>
      <c r="B224" s="1">
        <v>221100001</v>
      </c>
      <c r="C224" s="1">
        <v>211</v>
      </c>
      <c r="D224" s="1">
        <v>0</v>
      </c>
      <c r="E224" s="1">
        <v>21</v>
      </c>
      <c r="F224" s="1">
        <v>0</v>
      </c>
      <c r="G224" s="1">
        <v>-38</v>
      </c>
      <c r="H224" s="1" t="s">
        <v>242</v>
      </c>
    </row>
    <row r="225" spans="1:8" x14ac:dyDescent="0.2">
      <c r="A225" s="1">
        <v>5</v>
      </c>
      <c r="B225" s="1">
        <v>221200001</v>
      </c>
      <c r="C225" s="1">
        <v>212</v>
      </c>
      <c r="D225" s="1">
        <v>0</v>
      </c>
      <c r="E225" s="1">
        <v>129</v>
      </c>
      <c r="F225" s="1">
        <v>-4.5999999999999996</v>
      </c>
      <c r="G225" s="1">
        <v>52</v>
      </c>
      <c r="H225" s="1" t="s">
        <v>243</v>
      </c>
    </row>
    <row r="226" spans="1:8" x14ac:dyDescent="0.2">
      <c r="A226" s="1">
        <v>5</v>
      </c>
      <c r="B226" s="1">
        <v>221300001</v>
      </c>
      <c r="C226" s="1">
        <v>213</v>
      </c>
      <c r="D226" s="1">
        <v>0</v>
      </c>
      <c r="E226" s="1">
        <v>16</v>
      </c>
      <c r="F226" s="1">
        <v>-18.5</v>
      </c>
      <c r="G226" s="1">
        <v>130</v>
      </c>
      <c r="H226" s="1" t="s">
        <v>244</v>
      </c>
    </row>
    <row r="227" spans="1:8" x14ac:dyDescent="0.2">
      <c r="A227" s="1">
        <v>5</v>
      </c>
      <c r="B227" s="1">
        <v>221500001</v>
      </c>
      <c r="C227" s="1">
        <v>215</v>
      </c>
      <c r="D227" s="1">
        <v>0</v>
      </c>
      <c r="E227" s="35">
        <v>102</v>
      </c>
      <c r="F227" s="35">
        <v>0</v>
      </c>
      <c r="G227" s="35">
        <v>0.43</v>
      </c>
      <c r="H227" s="1" t="s">
        <v>245</v>
      </c>
    </row>
    <row r="228" spans="1:8" x14ac:dyDescent="0.2">
      <c r="A228" s="1">
        <v>5</v>
      </c>
      <c r="B228" s="1">
        <v>222200001</v>
      </c>
      <c r="C228" s="1">
        <v>222</v>
      </c>
      <c r="D228" s="1">
        <v>0</v>
      </c>
      <c r="E228" s="1">
        <v>48</v>
      </c>
      <c r="F228" s="1">
        <v>0</v>
      </c>
      <c r="G228" s="1">
        <v>-17</v>
      </c>
      <c r="H228" s="1" t="s">
        <v>246</v>
      </c>
    </row>
    <row r="229" spans="1:8" x14ac:dyDescent="0.2">
      <c r="A229" s="1">
        <v>5</v>
      </c>
      <c r="B229" s="1">
        <v>222400001</v>
      </c>
      <c r="C229" s="1">
        <v>224</v>
      </c>
      <c r="D229" s="1">
        <v>0</v>
      </c>
      <c r="E229" s="1">
        <v>69</v>
      </c>
      <c r="F229" s="1">
        <v>0</v>
      </c>
      <c r="G229" s="1">
        <v>18</v>
      </c>
      <c r="H229" s="1" t="s">
        <v>247</v>
      </c>
    </row>
    <row r="230" spans="1:8" x14ac:dyDescent="0.2">
      <c r="A230" s="1">
        <v>5</v>
      </c>
      <c r="B230" s="1">
        <v>222600001</v>
      </c>
      <c r="C230" s="1">
        <v>226</v>
      </c>
      <c r="D230" s="1">
        <v>0</v>
      </c>
      <c r="E230" s="1">
        <v>-7</v>
      </c>
      <c r="F230" s="1">
        <v>3</v>
      </c>
      <c r="G230" s="1">
        <v>66</v>
      </c>
      <c r="H230" s="1" t="s">
        <v>248</v>
      </c>
    </row>
    <row r="231" spans="1:8" x14ac:dyDescent="0.2">
      <c r="A231" s="1">
        <v>5</v>
      </c>
      <c r="B231" s="1">
        <v>222700001</v>
      </c>
      <c r="C231" s="1">
        <v>227</v>
      </c>
      <c r="D231" s="1">
        <v>0</v>
      </c>
      <c r="E231" s="1">
        <v>135</v>
      </c>
      <c r="F231" s="1">
        <v>-9</v>
      </c>
      <c r="G231" s="1">
        <v>-12</v>
      </c>
      <c r="H231" s="1" t="s">
        <v>249</v>
      </c>
    </row>
    <row r="232" spans="1:8" x14ac:dyDescent="0.2">
      <c r="A232" s="1">
        <v>5</v>
      </c>
      <c r="B232" s="1">
        <v>222700002</v>
      </c>
      <c r="C232" s="1">
        <v>227</v>
      </c>
      <c r="D232" s="1">
        <v>0</v>
      </c>
      <c r="E232" s="1">
        <v>136</v>
      </c>
      <c r="F232" s="1">
        <v>-8.56</v>
      </c>
      <c r="G232" s="1">
        <v>16</v>
      </c>
      <c r="H232" s="1"/>
    </row>
    <row r="233" spans="1:8" x14ac:dyDescent="0.2">
      <c r="A233" s="1">
        <v>5</v>
      </c>
      <c r="B233" s="1">
        <v>222900001</v>
      </c>
      <c r="C233" s="1">
        <v>229</v>
      </c>
      <c r="D233" s="1">
        <v>0</v>
      </c>
      <c r="E233" s="1">
        <v>27</v>
      </c>
      <c r="F233" s="1">
        <v>0</v>
      </c>
      <c r="G233" s="1">
        <v>36</v>
      </c>
      <c r="H233" s="1" t="s">
        <v>296</v>
      </c>
    </row>
    <row r="234" spans="1:8" x14ac:dyDescent="0.2">
      <c r="A234" s="1">
        <v>5</v>
      </c>
      <c r="B234" s="1">
        <v>223000001</v>
      </c>
      <c r="C234" s="1">
        <v>230</v>
      </c>
      <c r="D234" s="1">
        <v>0</v>
      </c>
      <c r="E234" s="1">
        <v>30</v>
      </c>
      <c r="F234" s="1">
        <v>0</v>
      </c>
      <c r="G234" s="1">
        <v>-17</v>
      </c>
      <c r="H234" s="1" t="s">
        <v>250</v>
      </c>
    </row>
    <row r="235" spans="1:8" x14ac:dyDescent="0.2">
      <c r="A235" s="1">
        <v>5</v>
      </c>
      <c r="B235" s="1">
        <v>223100001</v>
      </c>
      <c r="C235" s="1">
        <v>231</v>
      </c>
      <c r="D235" s="1">
        <v>0</v>
      </c>
      <c r="E235" s="1">
        <v>-13</v>
      </c>
      <c r="F235" s="1">
        <v>0</v>
      </c>
      <c r="G235" s="1">
        <v>-40</v>
      </c>
      <c r="H235" s="1" t="s">
        <v>251</v>
      </c>
    </row>
    <row r="236" spans="1:8" x14ac:dyDescent="0.2">
      <c r="A236" s="1">
        <v>5</v>
      </c>
      <c r="B236" s="1">
        <v>223200001</v>
      </c>
      <c r="C236" s="1">
        <v>232</v>
      </c>
      <c r="D236" s="1">
        <v>0</v>
      </c>
      <c r="E236" s="1">
        <v>72</v>
      </c>
      <c r="F236" s="1">
        <v>0</v>
      </c>
      <c r="G236" s="1">
        <v>48</v>
      </c>
      <c r="H236" s="1" t="s">
        <v>252</v>
      </c>
    </row>
    <row r="237" spans="1:8" x14ac:dyDescent="0.2">
      <c r="A237" s="1">
        <v>5</v>
      </c>
      <c r="B237" s="1">
        <v>223400001</v>
      </c>
      <c r="C237" s="1">
        <v>234</v>
      </c>
      <c r="D237" s="1">
        <v>0</v>
      </c>
      <c r="E237" s="1">
        <v>-111</v>
      </c>
      <c r="F237" s="1">
        <v>0</v>
      </c>
      <c r="G237" s="1">
        <v>-40</v>
      </c>
      <c r="H237" s="1" t="s">
        <v>297</v>
      </c>
    </row>
    <row r="238" spans="1:8" x14ac:dyDescent="0.2">
      <c r="A238" s="1">
        <v>5</v>
      </c>
      <c r="B238" s="1">
        <v>223400002</v>
      </c>
      <c r="C238" s="1">
        <v>234</v>
      </c>
      <c r="D238" s="1">
        <v>0</v>
      </c>
      <c r="E238" s="1">
        <v>-111</v>
      </c>
      <c r="F238" s="1">
        <v>0</v>
      </c>
      <c r="G238" s="1">
        <v>-50</v>
      </c>
      <c r="H238" s="1"/>
    </row>
    <row r="239" spans="1:8" x14ac:dyDescent="0.2">
      <c r="A239" s="1">
        <v>5</v>
      </c>
      <c r="B239" s="1">
        <v>223400003</v>
      </c>
      <c r="C239" s="1">
        <v>234</v>
      </c>
      <c r="D239" s="1">
        <v>0</v>
      </c>
      <c r="E239" s="1">
        <v>-87</v>
      </c>
      <c r="F239" s="1">
        <v>0</v>
      </c>
      <c r="G239" s="1">
        <v>-50</v>
      </c>
      <c r="H239" s="1"/>
    </row>
    <row r="240" spans="1:8" x14ac:dyDescent="0.2">
      <c r="A240" s="1">
        <v>5</v>
      </c>
      <c r="B240" s="1">
        <v>223400004</v>
      </c>
      <c r="C240" s="1">
        <v>234</v>
      </c>
      <c r="D240" s="1">
        <v>0</v>
      </c>
      <c r="E240" s="1">
        <v>-95</v>
      </c>
      <c r="F240" s="1">
        <v>0</v>
      </c>
      <c r="G240" s="1">
        <v>-60</v>
      </c>
      <c r="H240" s="1"/>
    </row>
    <row r="241" spans="1:8" x14ac:dyDescent="0.2">
      <c r="A241" s="1">
        <v>5</v>
      </c>
      <c r="B241" s="1">
        <v>223500001</v>
      </c>
      <c r="C241" s="1">
        <v>235</v>
      </c>
      <c r="D241" s="1">
        <v>0</v>
      </c>
      <c r="E241" s="1">
        <v>-57</v>
      </c>
      <c r="F241" s="1">
        <v>5</v>
      </c>
      <c r="G241" s="1">
        <v>6</v>
      </c>
      <c r="H241" s="1" t="s">
        <v>253</v>
      </c>
    </row>
    <row r="242" spans="1:8" x14ac:dyDescent="0.2">
      <c r="A242" s="1">
        <v>5</v>
      </c>
      <c r="B242" s="1">
        <v>223600001</v>
      </c>
      <c r="C242" s="1">
        <v>236</v>
      </c>
      <c r="D242" s="1">
        <v>0</v>
      </c>
      <c r="E242" s="1">
        <v>-35</v>
      </c>
      <c r="F242" s="1">
        <v>5</v>
      </c>
      <c r="G242" s="1">
        <v>6</v>
      </c>
      <c r="H242" s="1" t="s">
        <v>254</v>
      </c>
    </row>
    <row r="243" spans="1:8" x14ac:dyDescent="0.2">
      <c r="A243" s="1">
        <v>5</v>
      </c>
      <c r="B243" s="1">
        <v>223700001</v>
      </c>
      <c r="C243" s="1">
        <v>237</v>
      </c>
      <c r="D243" s="1">
        <v>0</v>
      </c>
      <c r="E243" s="1">
        <v>63</v>
      </c>
      <c r="F243" s="1">
        <v>0</v>
      </c>
      <c r="G243" s="1">
        <v>-41</v>
      </c>
      <c r="H243" s="1" t="s">
        <v>255</v>
      </c>
    </row>
    <row r="244" spans="1:8" x14ac:dyDescent="0.2">
      <c r="A244" s="1">
        <v>5</v>
      </c>
      <c r="B244" s="1">
        <v>230000001</v>
      </c>
      <c r="C244" s="1">
        <v>300</v>
      </c>
      <c r="D244" s="1">
        <v>0</v>
      </c>
      <c r="E244" s="1">
        <v>80</v>
      </c>
      <c r="F244" s="1">
        <v>-9</v>
      </c>
      <c r="G244" s="1">
        <v>107</v>
      </c>
      <c r="H244" s="1" t="s">
        <v>256</v>
      </c>
    </row>
    <row r="245" spans="1:8" x14ac:dyDescent="0.2">
      <c r="A245" s="1">
        <v>5</v>
      </c>
      <c r="B245" s="1">
        <v>240000001</v>
      </c>
      <c r="C245" s="1">
        <v>400</v>
      </c>
      <c r="D245" s="1">
        <v>0</v>
      </c>
      <c r="E245" s="1">
        <v>-18</v>
      </c>
      <c r="F245" s="1">
        <v>0</v>
      </c>
      <c r="G245" s="1">
        <v>-62</v>
      </c>
      <c r="H245" s="1" t="s">
        <v>257</v>
      </c>
    </row>
    <row r="246" spans="1:8" x14ac:dyDescent="0.2">
      <c r="A246" s="1">
        <v>5</v>
      </c>
      <c r="B246" s="1">
        <v>240400001</v>
      </c>
      <c r="C246" s="1">
        <v>404</v>
      </c>
      <c r="D246" s="1">
        <v>0</v>
      </c>
      <c r="E246" s="1">
        <v>214.97</v>
      </c>
      <c r="F246" s="1">
        <v>-4.2</v>
      </c>
      <c r="G246" s="1">
        <v>89.09</v>
      </c>
      <c r="H246" s="1" t="s">
        <v>258</v>
      </c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6"/>
  <sheetViews>
    <sheetView workbookViewId="0"/>
  </sheetViews>
  <sheetFormatPr defaultColWidth="9" defaultRowHeight="14.25" x14ac:dyDescent="0.2"/>
  <sheetData>
    <row r="1" spans="1:8" x14ac:dyDescent="0.2">
      <c r="A1" s="35" t="s">
        <v>346</v>
      </c>
      <c r="B1" s="1"/>
      <c r="C1" s="1"/>
      <c r="D1" s="1"/>
      <c r="E1" s="1"/>
      <c r="F1" s="1"/>
      <c r="G1" s="1"/>
      <c r="H1" s="1"/>
    </row>
    <row r="2" spans="1:8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  <c r="H2" s="1"/>
    </row>
    <row r="3" spans="1:8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  <c r="H3" s="1"/>
    </row>
    <row r="4" spans="1:8" x14ac:dyDescent="0.2">
      <c r="A4" s="35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  <c r="H4" s="1"/>
    </row>
    <row r="5" spans="1:8" x14ac:dyDescent="0.2">
      <c r="A5" s="35">
        <v>1</v>
      </c>
      <c r="B5" s="35">
        <v>220200001</v>
      </c>
      <c r="C5" s="35">
        <v>202</v>
      </c>
      <c r="D5" s="35">
        <v>0</v>
      </c>
      <c r="E5" s="35">
        <v>54</v>
      </c>
      <c r="F5" s="35">
        <v>-0.47058867999999998</v>
      </c>
      <c r="G5" s="35">
        <v>-51</v>
      </c>
      <c r="H5" s="1"/>
    </row>
    <row r="6" spans="1:8" x14ac:dyDescent="0.2">
      <c r="A6" s="35">
        <v>1</v>
      </c>
      <c r="B6" s="35">
        <v>220200002</v>
      </c>
      <c r="C6" s="35">
        <v>202</v>
      </c>
      <c r="D6" s="35">
        <v>0</v>
      </c>
      <c r="E6" s="35">
        <v>-30</v>
      </c>
      <c r="F6" s="35">
        <v>-0.47058867999999998</v>
      </c>
      <c r="G6" s="35">
        <v>-60</v>
      </c>
      <c r="H6" s="1"/>
    </row>
    <row r="7" spans="1:8" x14ac:dyDescent="0.2">
      <c r="A7" s="35">
        <v>1</v>
      </c>
      <c r="B7" s="35">
        <v>220200003</v>
      </c>
      <c r="C7" s="35">
        <v>202</v>
      </c>
      <c r="D7" s="35">
        <v>0</v>
      </c>
      <c r="E7" s="35">
        <v>-36</v>
      </c>
      <c r="F7" s="35">
        <v>-0.47058867999999998</v>
      </c>
      <c r="G7" s="35">
        <v>-33</v>
      </c>
      <c r="H7" s="1"/>
    </row>
    <row r="8" spans="1:8" x14ac:dyDescent="0.2">
      <c r="A8" s="35">
        <v>1</v>
      </c>
      <c r="B8" s="35">
        <v>220200004</v>
      </c>
      <c r="C8" s="35">
        <v>202</v>
      </c>
      <c r="D8" s="35">
        <v>0</v>
      </c>
      <c r="E8" s="35">
        <v>63</v>
      </c>
      <c r="F8" s="35">
        <v>-0.47058867999999998</v>
      </c>
      <c r="G8" s="35">
        <v>-18</v>
      </c>
      <c r="H8" s="1"/>
    </row>
    <row r="9" spans="1:8" x14ac:dyDescent="0.2">
      <c r="A9" s="35">
        <v>1</v>
      </c>
      <c r="B9" s="35">
        <v>220200013</v>
      </c>
      <c r="C9" s="35">
        <v>202</v>
      </c>
      <c r="D9" s="35">
        <v>0</v>
      </c>
      <c r="E9" s="35">
        <v>-42</v>
      </c>
      <c r="F9" s="35">
        <v>-0.47058867999999998</v>
      </c>
      <c r="G9" s="35">
        <v>-57</v>
      </c>
      <c r="H9" s="1"/>
    </row>
    <row r="10" spans="1:8" x14ac:dyDescent="0.2">
      <c r="A10" s="35">
        <v>1</v>
      </c>
      <c r="B10" s="35">
        <v>220200014</v>
      </c>
      <c r="C10" s="35">
        <v>202</v>
      </c>
      <c r="D10" s="35">
        <v>0</v>
      </c>
      <c r="E10" s="35">
        <v>66</v>
      </c>
      <c r="F10" s="35">
        <v>-0.47058867999999998</v>
      </c>
      <c r="G10" s="35">
        <v>-30</v>
      </c>
      <c r="H10" s="1"/>
    </row>
    <row r="11" spans="1:8" x14ac:dyDescent="0.2">
      <c r="A11" s="35">
        <v>1</v>
      </c>
      <c r="B11" s="35">
        <v>220300001</v>
      </c>
      <c r="C11" s="35">
        <v>203</v>
      </c>
      <c r="D11" s="35">
        <v>0</v>
      </c>
      <c r="E11" s="35">
        <v>45</v>
      </c>
      <c r="F11" s="35">
        <v>-8.9653969999999994</v>
      </c>
      <c r="G11" s="35">
        <v>-117</v>
      </c>
      <c r="H11" s="1"/>
    </row>
    <row r="12" spans="1:8" x14ac:dyDescent="0.2">
      <c r="A12" s="35">
        <v>1</v>
      </c>
      <c r="B12" s="35">
        <v>220300002</v>
      </c>
      <c r="C12" s="35">
        <v>203</v>
      </c>
      <c r="D12" s="35">
        <v>0</v>
      </c>
      <c r="E12" s="35">
        <v>-24</v>
      </c>
      <c r="F12" s="35">
        <v>-8.9653969999999994</v>
      </c>
      <c r="G12" s="35">
        <v>-111</v>
      </c>
      <c r="H12" s="1"/>
    </row>
    <row r="13" spans="1:8" x14ac:dyDescent="0.2">
      <c r="A13" s="35">
        <v>1</v>
      </c>
      <c r="B13" s="35">
        <v>220300003</v>
      </c>
      <c r="C13" s="35">
        <v>203</v>
      </c>
      <c r="D13" s="35">
        <v>0</v>
      </c>
      <c r="E13" s="35">
        <v>117</v>
      </c>
      <c r="F13" s="35">
        <v>-9.1450980000000008</v>
      </c>
      <c r="G13" s="35">
        <v>-78</v>
      </c>
      <c r="H13" s="1"/>
    </row>
    <row r="14" spans="1:8" x14ac:dyDescent="0.2">
      <c r="A14" s="35">
        <v>1</v>
      </c>
      <c r="B14" s="35">
        <v>220300004</v>
      </c>
      <c r="C14" s="35">
        <v>203</v>
      </c>
      <c r="D14" s="35">
        <v>0</v>
      </c>
      <c r="E14" s="35">
        <v>-12</v>
      </c>
      <c r="F14" s="35">
        <v>-0.47058867999999998</v>
      </c>
      <c r="G14" s="35">
        <v>-60</v>
      </c>
      <c r="H14" s="1"/>
    </row>
    <row r="15" spans="1:8" x14ac:dyDescent="0.2">
      <c r="A15" s="35">
        <v>1</v>
      </c>
      <c r="B15" s="35">
        <v>220300005</v>
      </c>
      <c r="C15" s="35">
        <v>203</v>
      </c>
      <c r="D15" s="35">
        <v>0</v>
      </c>
      <c r="E15" s="35">
        <v>-90</v>
      </c>
      <c r="F15" s="35">
        <v>-0.47058867999999998</v>
      </c>
      <c r="G15" s="35">
        <v>-42</v>
      </c>
      <c r="H15" s="1"/>
    </row>
    <row r="16" spans="1:8" x14ac:dyDescent="0.2">
      <c r="A16" s="35">
        <v>1</v>
      </c>
      <c r="B16" s="35">
        <v>220300006</v>
      </c>
      <c r="C16" s="35">
        <v>203</v>
      </c>
      <c r="D16" s="35">
        <v>0</v>
      </c>
      <c r="E16" s="35">
        <v>54</v>
      </c>
      <c r="F16" s="35">
        <v>-0.47058867999999998</v>
      </c>
      <c r="G16" s="35">
        <v>33</v>
      </c>
      <c r="H16" s="1"/>
    </row>
    <row r="17" spans="1:8" x14ac:dyDescent="0.2">
      <c r="A17" s="35">
        <v>1</v>
      </c>
      <c r="B17" s="35">
        <v>220400001</v>
      </c>
      <c r="C17" s="35">
        <v>204</v>
      </c>
      <c r="D17" s="35">
        <v>0</v>
      </c>
      <c r="E17" s="35">
        <v>115.5</v>
      </c>
      <c r="F17" s="35">
        <v>-9.4549009999999996</v>
      </c>
      <c r="G17" s="35">
        <v>-100.5</v>
      </c>
      <c r="H17" s="1"/>
    </row>
    <row r="18" spans="1:8" x14ac:dyDescent="0.2">
      <c r="A18" s="35">
        <v>1</v>
      </c>
      <c r="B18" s="35">
        <v>220400002</v>
      </c>
      <c r="C18" s="35">
        <v>204</v>
      </c>
      <c r="D18" s="35">
        <v>0</v>
      </c>
      <c r="E18" s="35">
        <v>118.5</v>
      </c>
      <c r="F18" s="35">
        <v>-9.1450980000000008</v>
      </c>
      <c r="G18" s="35">
        <v>-52.5</v>
      </c>
      <c r="H18" s="1"/>
    </row>
    <row r="19" spans="1:8" x14ac:dyDescent="0.2">
      <c r="A19" s="35">
        <v>1</v>
      </c>
      <c r="B19" s="35">
        <v>220400003</v>
      </c>
      <c r="C19" s="35">
        <v>204</v>
      </c>
      <c r="D19" s="35">
        <v>0</v>
      </c>
      <c r="E19" s="35">
        <v>112.5</v>
      </c>
      <c r="F19" s="35">
        <v>-9.1450980000000008</v>
      </c>
      <c r="G19" s="35">
        <v>-31.5</v>
      </c>
      <c r="H19" s="1"/>
    </row>
    <row r="20" spans="1:8" x14ac:dyDescent="0.2">
      <c r="A20" s="35">
        <v>1</v>
      </c>
      <c r="B20" s="35">
        <v>220400004</v>
      </c>
      <c r="C20" s="35">
        <v>204</v>
      </c>
      <c r="D20" s="35">
        <v>0</v>
      </c>
      <c r="E20" s="35">
        <v>-46.5</v>
      </c>
      <c r="F20" s="35">
        <v>-9.1450980000000008</v>
      </c>
      <c r="G20" s="35">
        <v>-106.5</v>
      </c>
      <c r="H20" s="1"/>
    </row>
    <row r="21" spans="1:8" x14ac:dyDescent="0.2">
      <c r="A21" s="35">
        <v>1</v>
      </c>
      <c r="B21" s="35">
        <v>220400005</v>
      </c>
      <c r="C21" s="35">
        <v>204</v>
      </c>
      <c r="D21" s="35">
        <v>0</v>
      </c>
      <c r="E21" s="35">
        <v>55.5</v>
      </c>
      <c r="F21" s="35">
        <v>-9.4549009999999996</v>
      </c>
      <c r="G21" s="35">
        <v>-115.5</v>
      </c>
      <c r="H21" s="1"/>
    </row>
    <row r="22" spans="1:8" x14ac:dyDescent="0.2">
      <c r="A22" s="35">
        <v>1</v>
      </c>
      <c r="B22" s="35">
        <v>220400006</v>
      </c>
      <c r="C22" s="35">
        <v>204</v>
      </c>
      <c r="D22" s="35">
        <v>0</v>
      </c>
      <c r="E22" s="35">
        <v>136.5</v>
      </c>
      <c r="F22" s="35">
        <v>-8.9653969999999994</v>
      </c>
      <c r="G22" s="35">
        <v>-43.5</v>
      </c>
      <c r="H22" s="1"/>
    </row>
    <row r="23" spans="1:8" x14ac:dyDescent="0.2">
      <c r="A23" s="35">
        <v>1</v>
      </c>
      <c r="B23" s="35">
        <v>220500001</v>
      </c>
      <c r="C23" s="35">
        <v>205</v>
      </c>
      <c r="D23" s="35">
        <v>0</v>
      </c>
      <c r="E23" s="35">
        <v>-93</v>
      </c>
      <c r="F23" s="35">
        <v>-0.47058867999999998</v>
      </c>
      <c r="G23" s="35">
        <v>-18</v>
      </c>
      <c r="H23" s="1"/>
    </row>
    <row r="24" spans="1:8" x14ac:dyDescent="0.2">
      <c r="A24" s="35">
        <v>1</v>
      </c>
      <c r="B24" s="35">
        <v>220500002</v>
      </c>
      <c r="C24" s="35">
        <v>205</v>
      </c>
      <c r="D24" s="35">
        <v>0</v>
      </c>
      <c r="E24" s="35">
        <v>-48</v>
      </c>
      <c r="F24" s="35">
        <v>-0.47058867999999998</v>
      </c>
      <c r="G24" s="35">
        <v>-45</v>
      </c>
      <c r="H24" s="1"/>
    </row>
    <row r="25" spans="1:8" x14ac:dyDescent="0.2">
      <c r="A25" s="35">
        <v>1</v>
      </c>
      <c r="B25" s="35">
        <v>220500003</v>
      </c>
      <c r="C25" s="35">
        <v>205</v>
      </c>
      <c r="D25" s="35">
        <v>0</v>
      </c>
      <c r="E25" s="35">
        <v>-90</v>
      </c>
      <c r="F25" s="35">
        <v>-0.47058867999999998</v>
      </c>
      <c r="G25" s="35">
        <v>-63</v>
      </c>
      <c r="H25" s="1"/>
    </row>
    <row r="26" spans="1:8" x14ac:dyDescent="0.2">
      <c r="A26" s="35">
        <v>1</v>
      </c>
      <c r="B26" s="35">
        <v>220500004</v>
      </c>
      <c r="C26" s="35">
        <v>205</v>
      </c>
      <c r="D26" s="35">
        <v>0</v>
      </c>
      <c r="E26" s="35">
        <v>39</v>
      </c>
      <c r="F26" s="35">
        <v>-0.47058867999999998</v>
      </c>
      <c r="G26" s="35">
        <v>-54</v>
      </c>
      <c r="H26" s="1"/>
    </row>
    <row r="27" spans="1:8" x14ac:dyDescent="0.2">
      <c r="A27" s="35">
        <v>1</v>
      </c>
      <c r="B27" s="35">
        <v>220500005</v>
      </c>
      <c r="C27" s="35">
        <v>205</v>
      </c>
      <c r="D27" s="35">
        <v>0</v>
      </c>
      <c r="E27" s="35">
        <v>45</v>
      </c>
      <c r="F27" s="35">
        <v>-9.4549009999999996</v>
      </c>
      <c r="G27" s="35">
        <v>-102</v>
      </c>
      <c r="H27" s="1"/>
    </row>
    <row r="28" spans="1:8" x14ac:dyDescent="0.2">
      <c r="A28" s="35">
        <v>1</v>
      </c>
      <c r="B28" s="35">
        <v>220500006</v>
      </c>
      <c r="C28" s="35">
        <v>205</v>
      </c>
      <c r="D28" s="35">
        <v>0</v>
      </c>
      <c r="E28" s="35">
        <v>93</v>
      </c>
      <c r="F28" s="35">
        <v>-9.4549009999999996</v>
      </c>
      <c r="G28" s="35">
        <v>-99</v>
      </c>
      <c r="H28" s="1"/>
    </row>
    <row r="29" spans="1:8" x14ac:dyDescent="0.2">
      <c r="A29" s="35">
        <v>1</v>
      </c>
      <c r="B29" s="35">
        <v>220600001</v>
      </c>
      <c r="C29" s="35">
        <v>206</v>
      </c>
      <c r="D29" s="35">
        <v>0</v>
      </c>
      <c r="E29" s="35">
        <v>42</v>
      </c>
      <c r="F29" s="35">
        <v>-0.47058867999999998</v>
      </c>
      <c r="G29" s="35">
        <v>18</v>
      </c>
      <c r="H29" s="1"/>
    </row>
    <row r="30" spans="1:8" x14ac:dyDescent="0.2">
      <c r="A30" s="35">
        <v>1</v>
      </c>
      <c r="B30" s="35">
        <v>220700001</v>
      </c>
      <c r="C30" s="35">
        <v>207</v>
      </c>
      <c r="D30" s="35">
        <v>0</v>
      </c>
      <c r="E30" s="35">
        <v>105</v>
      </c>
      <c r="F30" s="35">
        <v>-8.4549009999999996</v>
      </c>
      <c r="G30" s="35">
        <v>-87</v>
      </c>
      <c r="H30" s="1"/>
    </row>
    <row r="31" spans="1:8" x14ac:dyDescent="0.2">
      <c r="A31" s="35">
        <v>1</v>
      </c>
      <c r="B31" s="35">
        <v>220800001</v>
      </c>
      <c r="C31" s="35">
        <v>208</v>
      </c>
      <c r="D31" s="35">
        <v>0</v>
      </c>
      <c r="E31" s="17">
        <v>-72</v>
      </c>
      <c r="F31" s="17">
        <v>15.5</v>
      </c>
      <c r="G31" s="17">
        <v>78</v>
      </c>
      <c r="H31" s="1"/>
    </row>
    <row r="32" spans="1:8" x14ac:dyDescent="0.2">
      <c r="A32" s="35">
        <v>1</v>
      </c>
      <c r="B32" s="35">
        <v>220900001</v>
      </c>
      <c r="C32" s="35">
        <v>209</v>
      </c>
      <c r="D32" s="35">
        <v>0</v>
      </c>
      <c r="E32" s="35">
        <v>36</v>
      </c>
      <c r="F32" s="35">
        <v>7.3199459999999999E-3</v>
      </c>
      <c r="G32" s="35">
        <v>48</v>
      </c>
      <c r="H32" s="1"/>
    </row>
    <row r="33" spans="1:8" ht="16.5" x14ac:dyDescent="0.3">
      <c r="A33" s="35">
        <v>1</v>
      </c>
      <c r="B33" s="35">
        <v>221200001</v>
      </c>
      <c r="C33" s="35">
        <v>212</v>
      </c>
      <c r="D33" s="35">
        <v>0</v>
      </c>
      <c r="E33" s="43">
        <v>39</v>
      </c>
      <c r="F33" s="43">
        <v>0</v>
      </c>
      <c r="G33" s="43">
        <v>0</v>
      </c>
      <c r="H33" s="1"/>
    </row>
    <row r="34" spans="1:8" x14ac:dyDescent="0.2">
      <c r="A34" s="35">
        <v>1</v>
      </c>
      <c r="B34" s="35">
        <v>221300001</v>
      </c>
      <c r="C34" s="35">
        <v>213</v>
      </c>
      <c r="D34" s="35">
        <v>0</v>
      </c>
      <c r="E34" s="35">
        <v>16.5</v>
      </c>
      <c r="F34" s="35">
        <v>-18.48</v>
      </c>
      <c r="G34" s="35">
        <v>130.5</v>
      </c>
      <c r="H34" s="1"/>
    </row>
    <row r="35" spans="1:8" x14ac:dyDescent="0.2">
      <c r="A35" s="35">
        <v>1</v>
      </c>
      <c r="B35" s="35">
        <v>221500001</v>
      </c>
      <c r="C35" s="35">
        <v>215</v>
      </c>
      <c r="D35" s="35">
        <v>0</v>
      </c>
      <c r="E35" s="35">
        <v>91</v>
      </c>
      <c r="F35" s="35">
        <v>0</v>
      </c>
      <c r="G35" s="35">
        <v>1</v>
      </c>
      <c r="H35" s="1"/>
    </row>
    <row r="36" spans="1:8" x14ac:dyDescent="0.2">
      <c r="A36" s="35">
        <v>1</v>
      </c>
      <c r="B36" s="35">
        <v>222200001</v>
      </c>
      <c r="C36" s="35">
        <v>222</v>
      </c>
      <c r="D36" s="35">
        <v>0</v>
      </c>
      <c r="E36" s="35">
        <v>-36</v>
      </c>
      <c r="F36" s="35">
        <v>-0.47058867999999998</v>
      </c>
      <c r="G36" s="35">
        <v>-45</v>
      </c>
      <c r="H36" s="1"/>
    </row>
    <row r="37" spans="1:8" x14ac:dyDescent="0.2">
      <c r="A37" s="35">
        <v>1</v>
      </c>
      <c r="B37" s="35">
        <v>222400001</v>
      </c>
      <c r="C37" s="35">
        <v>224</v>
      </c>
      <c r="D37" s="35">
        <v>0</v>
      </c>
      <c r="E37" s="35">
        <v>69</v>
      </c>
      <c r="F37" s="35">
        <v>-0.47058867999999998</v>
      </c>
      <c r="G37" s="35">
        <v>15</v>
      </c>
      <c r="H37" s="1"/>
    </row>
    <row r="38" spans="1:8" x14ac:dyDescent="0.2">
      <c r="A38" s="35">
        <v>1</v>
      </c>
      <c r="B38" s="35">
        <v>222600001</v>
      </c>
      <c r="C38" s="35">
        <v>226</v>
      </c>
      <c r="D38" s="35">
        <v>0</v>
      </c>
      <c r="E38" s="35">
        <v>-21</v>
      </c>
      <c r="F38" s="35">
        <v>3</v>
      </c>
      <c r="G38" s="35">
        <v>69</v>
      </c>
      <c r="H38" s="1"/>
    </row>
    <row r="39" spans="1:8" x14ac:dyDescent="0.2">
      <c r="A39" s="35">
        <v>1</v>
      </c>
      <c r="B39" s="35">
        <v>222700001</v>
      </c>
      <c r="C39" s="35">
        <v>227</v>
      </c>
      <c r="D39" s="35">
        <v>0</v>
      </c>
      <c r="E39" s="35">
        <v>155</v>
      </c>
      <c r="F39" s="35">
        <v>-8.9</v>
      </c>
      <c r="G39" s="35">
        <v>-40</v>
      </c>
      <c r="H39" s="1"/>
    </row>
    <row r="40" spans="1:8" x14ac:dyDescent="0.2">
      <c r="A40" s="35">
        <v>1</v>
      </c>
      <c r="B40" s="35">
        <v>222700002</v>
      </c>
      <c r="C40" s="35">
        <v>227</v>
      </c>
      <c r="D40" s="35">
        <v>0</v>
      </c>
      <c r="E40" s="35">
        <v>155</v>
      </c>
      <c r="F40" s="35">
        <v>-8.9</v>
      </c>
      <c r="G40" s="35">
        <v>25</v>
      </c>
      <c r="H40" s="1"/>
    </row>
    <row r="41" spans="1:8" x14ac:dyDescent="0.2">
      <c r="A41" s="35">
        <v>1</v>
      </c>
      <c r="B41" s="35">
        <v>222900001</v>
      </c>
      <c r="C41" s="35">
        <v>229</v>
      </c>
      <c r="D41" s="35">
        <v>0</v>
      </c>
      <c r="E41" s="35">
        <v>48</v>
      </c>
      <c r="F41" s="35">
        <v>-0.47058867999999998</v>
      </c>
      <c r="G41" s="35">
        <v>-36</v>
      </c>
      <c r="H41" s="1"/>
    </row>
    <row r="42" spans="1:8" x14ac:dyDescent="0.2">
      <c r="A42" s="35">
        <v>1</v>
      </c>
      <c r="B42" s="35">
        <v>223000001</v>
      </c>
      <c r="C42" s="35">
        <v>230</v>
      </c>
      <c r="D42" s="35">
        <v>0</v>
      </c>
      <c r="E42" s="35">
        <v>33</v>
      </c>
      <c r="F42" s="35">
        <v>-0.47058867999999998</v>
      </c>
      <c r="G42" s="35">
        <v>-18</v>
      </c>
      <c r="H42" s="1"/>
    </row>
    <row r="43" spans="1:8" x14ac:dyDescent="0.2">
      <c r="A43" s="35">
        <v>1</v>
      </c>
      <c r="B43" s="35">
        <v>223100001</v>
      </c>
      <c r="C43" s="35">
        <v>231</v>
      </c>
      <c r="D43" s="35">
        <v>0</v>
      </c>
      <c r="E43" s="35">
        <v>-9</v>
      </c>
      <c r="F43" s="35">
        <v>-0.47058867999999998</v>
      </c>
      <c r="G43" s="35">
        <v>-36</v>
      </c>
      <c r="H43" s="1"/>
    </row>
    <row r="44" spans="1:8" x14ac:dyDescent="0.2">
      <c r="A44" s="35">
        <v>1</v>
      </c>
      <c r="B44" s="35">
        <v>223200001</v>
      </c>
      <c r="C44" s="35">
        <v>232</v>
      </c>
      <c r="D44" s="35">
        <v>0</v>
      </c>
      <c r="E44" s="35">
        <v>69</v>
      </c>
      <c r="F44" s="35">
        <v>-0.47058867999999998</v>
      </c>
      <c r="G44" s="35">
        <v>48</v>
      </c>
      <c r="H44" s="1"/>
    </row>
    <row r="45" spans="1:8" x14ac:dyDescent="0.2">
      <c r="A45" s="35">
        <v>1</v>
      </c>
      <c r="B45" s="35">
        <v>223400001</v>
      </c>
      <c r="C45" s="35">
        <v>234</v>
      </c>
      <c r="D45" s="35">
        <v>0</v>
      </c>
      <c r="E45" s="35">
        <v>-94.5</v>
      </c>
      <c r="F45" s="35">
        <v>-0.47058867999999998</v>
      </c>
      <c r="G45" s="35">
        <v>-52.5</v>
      </c>
      <c r="H45" s="1"/>
    </row>
    <row r="46" spans="1:8" x14ac:dyDescent="0.2">
      <c r="A46" s="35">
        <v>1</v>
      </c>
      <c r="B46" s="35">
        <v>223400002</v>
      </c>
      <c r="C46" s="35">
        <v>234</v>
      </c>
      <c r="D46" s="35">
        <v>0</v>
      </c>
      <c r="E46" s="35">
        <v>127.5</v>
      </c>
      <c r="F46" s="35">
        <v>-9.4549009999999996</v>
      </c>
      <c r="G46" s="35">
        <v>-100.5</v>
      </c>
      <c r="H46" s="1"/>
    </row>
    <row r="47" spans="1:8" x14ac:dyDescent="0.2">
      <c r="A47" s="35">
        <v>1</v>
      </c>
      <c r="B47" s="35">
        <v>223400003</v>
      </c>
      <c r="C47" s="35">
        <v>234</v>
      </c>
      <c r="D47" s="35">
        <v>0</v>
      </c>
      <c r="E47" s="35">
        <v>-97.5</v>
      </c>
      <c r="F47" s="35">
        <v>-0.47058867999999998</v>
      </c>
      <c r="G47" s="35">
        <v>-28.5</v>
      </c>
      <c r="H47" s="1"/>
    </row>
    <row r="48" spans="1:8" x14ac:dyDescent="0.2">
      <c r="A48" s="35">
        <v>1</v>
      </c>
      <c r="B48" s="35">
        <v>223400004</v>
      </c>
      <c r="C48" s="35">
        <v>234</v>
      </c>
      <c r="D48" s="35">
        <v>0</v>
      </c>
      <c r="E48" s="35">
        <v>-88.5</v>
      </c>
      <c r="F48" s="35">
        <v>-0.47058867999999998</v>
      </c>
      <c r="G48" s="35">
        <v>-31.5</v>
      </c>
      <c r="H48" s="1"/>
    </row>
    <row r="49" spans="1:8" x14ac:dyDescent="0.2">
      <c r="A49" s="35">
        <v>1</v>
      </c>
      <c r="B49" s="35">
        <v>223400005</v>
      </c>
      <c r="C49" s="35">
        <v>234</v>
      </c>
      <c r="D49" s="35">
        <v>0</v>
      </c>
      <c r="E49" s="35">
        <v>-100.5</v>
      </c>
      <c r="F49" s="35">
        <v>-0.47058867999999998</v>
      </c>
      <c r="G49" s="35">
        <v>-67.5</v>
      </c>
      <c r="H49" s="1"/>
    </row>
    <row r="50" spans="1:8" x14ac:dyDescent="0.2">
      <c r="A50" s="35">
        <v>1</v>
      </c>
      <c r="B50" s="35">
        <v>223400006</v>
      </c>
      <c r="C50" s="35">
        <v>234</v>
      </c>
      <c r="D50" s="35">
        <v>0</v>
      </c>
      <c r="E50" s="35">
        <v>-46.5</v>
      </c>
      <c r="F50" s="35">
        <v>-9.1450980000000008</v>
      </c>
      <c r="G50" s="35">
        <v>-115.5</v>
      </c>
      <c r="H50" s="1"/>
    </row>
    <row r="51" spans="1:8" x14ac:dyDescent="0.2">
      <c r="A51" s="35">
        <v>1</v>
      </c>
      <c r="B51" s="35">
        <v>223500001</v>
      </c>
      <c r="C51" s="35">
        <v>235</v>
      </c>
      <c r="D51" s="35">
        <v>0</v>
      </c>
      <c r="E51" s="35">
        <v>-53</v>
      </c>
      <c r="F51" s="35">
        <v>5</v>
      </c>
      <c r="G51" s="35">
        <v>6</v>
      </c>
      <c r="H51" s="1"/>
    </row>
    <row r="52" spans="1:8" x14ac:dyDescent="0.2">
      <c r="A52" s="35">
        <v>1</v>
      </c>
      <c r="B52" s="35">
        <v>223600001</v>
      </c>
      <c r="C52" s="35">
        <v>236</v>
      </c>
      <c r="D52" s="35">
        <v>0</v>
      </c>
      <c r="E52" s="35">
        <v>-35</v>
      </c>
      <c r="F52" s="35">
        <v>5</v>
      </c>
      <c r="G52" s="35">
        <v>6</v>
      </c>
      <c r="H52" s="1"/>
    </row>
    <row r="53" spans="1:8" x14ac:dyDescent="0.2">
      <c r="A53" s="35">
        <v>1</v>
      </c>
      <c r="B53" s="35">
        <v>223700001</v>
      </c>
      <c r="C53" s="35">
        <v>237</v>
      </c>
      <c r="D53" s="35">
        <v>0</v>
      </c>
      <c r="E53" s="35">
        <v>66</v>
      </c>
      <c r="F53" s="35">
        <v>-0.47058867999999998</v>
      </c>
      <c r="G53" s="35">
        <v>-42</v>
      </c>
      <c r="H53" s="1"/>
    </row>
    <row r="54" spans="1:8" x14ac:dyDescent="0.2">
      <c r="A54" s="35">
        <v>1</v>
      </c>
      <c r="B54" s="35">
        <v>4040001</v>
      </c>
      <c r="C54" s="35">
        <v>404</v>
      </c>
      <c r="D54" s="35">
        <v>0</v>
      </c>
      <c r="E54" s="35">
        <v>198.7</v>
      </c>
      <c r="F54" s="35">
        <v>0</v>
      </c>
      <c r="G54" s="35">
        <v>69.430000000000007</v>
      </c>
      <c r="H54" s="1"/>
    </row>
    <row r="55" spans="1:8" x14ac:dyDescent="0.2">
      <c r="A55" s="44">
        <v>2</v>
      </c>
      <c r="B55" s="44">
        <v>220100001</v>
      </c>
      <c r="C55" s="44">
        <v>201</v>
      </c>
      <c r="D55" s="44">
        <v>0</v>
      </c>
      <c r="E55" s="44">
        <v>0</v>
      </c>
      <c r="F55" s="35">
        <v>0</v>
      </c>
      <c r="G55" s="35">
        <v>0</v>
      </c>
      <c r="H55" s="1" t="s">
        <v>233</v>
      </c>
    </row>
    <row r="56" spans="1:8" x14ac:dyDescent="0.2">
      <c r="A56" s="35">
        <v>2</v>
      </c>
      <c r="B56" s="35">
        <v>220200001</v>
      </c>
      <c r="C56" s="35">
        <v>202</v>
      </c>
      <c r="D56" s="35">
        <v>0</v>
      </c>
      <c r="E56" s="35">
        <v>-37</v>
      </c>
      <c r="F56" s="35">
        <v>0</v>
      </c>
      <c r="G56" s="35">
        <v>-28</v>
      </c>
      <c r="H56" s="1" t="s">
        <v>234</v>
      </c>
    </row>
    <row r="57" spans="1:8" x14ac:dyDescent="0.2">
      <c r="A57" s="35">
        <v>2</v>
      </c>
      <c r="B57" s="35">
        <v>220200002</v>
      </c>
      <c r="C57" s="35">
        <v>202</v>
      </c>
      <c r="D57" s="35">
        <v>0</v>
      </c>
      <c r="E57" s="35">
        <v>-50</v>
      </c>
      <c r="F57" s="45">
        <v>0</v>
      </c>
      <c r="G57" s="45">
        <v>-38</v>
      </c>
      <c r="H57" s="1"/>
    </row>
    <row r="58" spans="1:8" x14ac:dyDescent="0.2">
      <c r="A58" s="35">
        <v>2</v>
      </c>
      <c r="B58" s="35">
        <v>220200003</v>
      </c>
      <c r="C58" s="35">
        <v>202</v>
      </c>
      <c r="D58" s="35">
        <v>0</v>
      </c>
      <c r="E58" s="45">
        <v>-37</v>
      </c>
      <c r="F58" s="45">
        <v>0</v>
      </c>
      <c r="G58" s="45">
        <v>-44</v>
      </c>
      <c r="H58" s="1"/>
    </row>
    <row r="59" spans="1:8" x14ac:dyDescent="0.2">
      <c r="A59" s="35">
        <v>2</v>
      </c>
      <c r="B59" s="35">
        <v>220200004</v>
      </c>
      <c r="C59" s="35">
        <v>202</v>
      </c>
      <c r="D59" s="35">
        <v>0</v>
      </c>
      <c r="E59" s="45">
        <v>-37</v>
      </c>
      <c r="F59" s="35">
        <v>0</v>
      </c>
      <c r="G59" s="35">
        <v>-58</v>
      </c>
      <c r="H59" s="1"/>
    </row>
    <row r="60" spans="1:8" x14ac:dyDescent="0.2">
      <c r="A60" s="35">
        <v>2</v>
      </c>
      <c r="B60" s="35">
        <v>220300001</v>
      </c>
      <c r="C60" s="35">
        <v>203</v>
      </c>
      <c r="D60" s="35">
        <v>0</v>
      </c>
      <c r="E60" s="35">
        <v>127</v>
      </c>
      <c r="F60" s="35">
        <v>-9</v>
      </c>
      <c r="G60" s="35">
        <v>-42</v>
      </c>
      <c r="H60" s="1" t="s">
        <v>235</v>
      </c>
    </row>
    <row r="61" spans="1:8" x14ac:dyDescent="0.2">
      <c r="A61" s="35">
        <v>2</v>
      </c>
      <c r="B61" s="35">
        <v>220300002</v>
      </c>
      <c r="C61" s="35">
        <v>203</v>
      </c>
      <c r="D61" s="35">
        <v>0</v>
      </c>
      <c r="E61" s="35">
        <v>120</v>
      </c>
      <c r="F61" s="35">
        <v>-9</v>
      </c>
      <c r="G61" s="35">
        <v>-79</v>
      </c>
      <c r="H61" s="1"/>
    </row>
    <row r="62" spans="1:8" x14ac:dyDescent="0.2">
      <c r="A62" s="35">
        <v>2</v>
      </c>
      <c r="B62" s="35">
        <v>220400001</v>
      </c>
      <c r="C62" s="35">
        <v>204</v>
      </c>
      <c r="D62" s="35">
        <v>0</v>
      </c>
      <c r="E62" s="35">
        <v>57</v>
      </c>
      <c r="F62" s="35">
        <v>-9</v>
      </c>
      <c r="G62" s="35">
        <v>-105</v>
      </c>
      <c r="H62" s="1" t="s">
        <v>236</v>
      </c>
    </row>
    <row r="63" spans="1:8" x14ac:dyDescent="0.2">
      <c r="A63" s="35">
        <v>2</v>
      </c>
      <c r="B63" s="35">
        <v>220400002</v>
      </c>
      <c r="C63" s="35">
        <v>204</v>
      </c>
      <c r="D63" s="35">
        <v>0</v>
      </c>
      <c r="E63" s="35">
        <v>44</v>
      </c>
      <c r="F63" s="35">
        <v>-9</v>
      </c>
      <c r="G63" s="35">
        <v>-104</v>
      </c>
      <c r="H63" s="1"/>
    </row>
    <row r="64" spans="1:8" x14ac:dyDescent="0.2">
      <c r="A64" s="35">
        <v>2</v>
      </c>
      <c r="B64" s="35">
        <v>220500001</v>
      </c>
      <c r="C64" s="35">
        <v>205</v>
      </c>
      <c r="D64" s="35">
        <v>0</v>
      </c>
      <c r="E64" s="35">
        <v>-101</v>
      </c>
      <c r="F64" s="35">
        <v>0</v>
      </c>
      <c r="G64" s="35">
        <v>-29</v>
      </c>
      <c r="H64" s="1" t="s">
        <v>237</v>
      </c>
    </row>
    <row r="65" spans="1:8" x14ac:dyDescent="0.2">
      <c r="A65" s="35">
        <v>2</v>
      </c>
      <c r="B65" s="35">
        <v>220500002</v>
      </c>
      <c r="C65" s="35">
        <v>205</v>
      </c>
      <c r="D65" s="35">
        <v>0</v>
      </c>
      <c r="E65" s="35">
        <v>-101</v>
      </c>
      <c r="F65" s="35">
        <v>0</v>
      </c>
      <c r="G65" s="35">
        <v>-15</v>
      </c>
      <c r="H65" s="1"/>
    </row>
    <row r="66" spans="1:8" x14ac:dyDescent="0.2">
      <c r="A66" s="35">
        <v>2</v>
      </c>
      <c r="B66" s="35">
        <v>220600001</v>
      </c>
      <c r="C66" s="35">
        <v>206</v>
      </c>
      <c r="D66" s="35">
        <v>0</v>
      </c>
      <c r="E66" s="35">
        <v>48</v>
      </c>
      <c r="F66" s="35">
        <v>0</v>
      </c>
      <c r="G66" s="35">
        <v>48</v>
      </c>
      <c r="H66" s="1" t="s">
        <v>238</v>
      </c>
    </row>
    <row r="67" spans="1:8" x14ac:dyDescent="0.2">
      <c r="A67" s="35">
        <v>2</v>
      </c>
      <c r="B67" s="35">
        <v>220700001</v>
      </c>
      <c r="C67" s="35">
        <v>207</v>
      </c>
      <c r="D67" s="35">
        <v>0</v>
      </c>
      <c r="E67" s="35">
        <v>83</v>
      </c>
      <c r="F67" s="35">
        <v>-9</v>
      </c>
      <c r="G67" s="35">
        <v>-93</v>
      </c>
      <c r="H67" s="1" t="s">
        <v>239</v>
      </c>
    </row>
    <row r="68" spans="1:8" x14ac:dyDescent="0.2">
      <c r="A68" s="35">
        <v>2</v>
      </c>
      <c r="B68" s="35">
        <v>220700002</v>
      </c>
      <c r="C68" s="35">
        <v>207</v>
      </c>
      <c r="D68" s="35">
        <v>0</v>
      </c>
      <c r="E68" s="35">
        <v>115</v>
      </c>
      <c r="F68" s="35">
        <v>-9</v>
      </c>
      <c r="G68" s="35">
        <v>-42</v>
      </c>
      <c r="H68" s="1"/>
    </row>
    <row r="69" spans="1:8" x14ac:dyDescent="0.2">
      <c r="A69" s="35">
        <v>2</v>
      </c>
      <c r="B69" s="35">
        <v>220700003</v>
      </c>
      <c r="C69" s="35">
        <v>207</v>
      </c>
      <c r="D69" s="35">
        <v>0</v>
      </c>
      <c r="E69" s="35">
        <v>128</v>
      </c>
      <c r="F69" s="35">
        <v>-9</v>
      </c>
      <c r="G69" s="35">
        <v>-54</v>
      </c>
      <c r="H69" s="1"/>
    </row>
    <row r="70" spans="1:8" x14ac:dyDescent="0.2">
      <c r="A70" s="35">
        <v>2</v>
      </c>
      <c r="B70" s="35">
        <v>220700004</v>
      </c>
      <c r="C70" s="35">
        <v>207</v>
      </c>
      <c r="D70" s="35">
        <v>0</v>
      </c>
      <c r="E70" s="35">
        <v>116</v>
      </c>
      <c r="F70" s="35">
        <v>-9</v>
      </c>
      <c r="G70" s="35">
        <v>-66</v>
      </c>
      <c r="H70" s="1"/>
    </row>
    <row r="71" spans="1:8" x14ac:dyDescent="0.2">
      <c r="A71" s="35">
        <v>2</v>
      </c>
      <c r="B71" s="35">
        <v>220800001</v>
      </c>
      <c r="C71" s="35">
        <v>208</v>
      </c>
      <c r="D71" s="35">
        <v>0</v>
      </c>
      <c r="E71" s="35">
        <v>-69</v>
      </c>
      <c r="F71" s="35">
        <v>13</v>
      </c>
      <c r="G71" s="35">
        <v>78</v>
      </c>
      <c r="H71" s="1" t="s">
        <v>240</v>
      </c>
    </row>
    <row r="72" spans="1:8" x14ac:dyDescent="0.2">
      <c r="A72" s="35">
        <v>2</v>
      </c>
      <c r="B72" s="35">
        <v>220900001</v>
      </c>
      <c r="C72" s="35">
        <v>209</v>
      </c>
      <c r="D72" s="35">
        <v>0</v>
      </c>
      <c r="E72" s="35">
        <v>45</v>
      </c>
      <c r="F72" s="35">
        <v>0</v>
      </c>
      <c r="G72" s="35">
        <v>18</v>
      </c>
      <c r="H72" s="1" t="s">
        <v>241</v>
      </c>
    </row>
    <row r="73" spans="1:8" x14ac:dyDescent="0.2">
      <c r="A73" s="35">
        <v>2</v>
      </c>
      <c r="B73" s="35">
        <v>221100001</v>
      </c>
      <c r="C73" s="35">
        <v>211</v>
      </c>
      <c r="D73" s="35">
        <v>0</v>
      </c>
      <c r="E73" s="35">
        <v>21</v>
      </c>
      <c r="F73" s="35">
        <v>0</v>
      </c>
      <c r="G73" s="35">
        <v>-38</v>
      </c>
      <c r="H73" s="1" t="s">
        <v>242</v>
      </c>
    </row>
    <row r="74" spans="1:8" x14ac:dyDescent="0.2">
      <c r="A74" s="35">
        <v>2</v>
      </c>
      <c r="B74" s="35">
        <v>221200001</v>
      </c>
      <c r="C74" s="35">
        <v>212</v>
      </c>
      <c r="D74" s="35">
        <v>0</v>
      </c>
      <c r="E74" s="35">
        <v>129</v>
      </c>
      <c r="F74" s="35">
        <v>-4.5999999999999996</v>
      </c>
      <c r="G74" s="35">
        <v>52</v>
      </c>
      <c r="H74" s="1" t="s">
        <v>243</v>
      </c>
    </row>
    <row r="75" spans="1:8" x14ac:dyDescent="0.2">
      <c r="A75" s="35">
        <v>2</v>
      </c>
      <c r="B75" s="35">
        <v>221300001</v>
      </c>
      <c r="C75" s="35">
        <v>213</v>
      </c>
      <c r="D75" s="35">
        <v>0</v>
      </c>
      <c r="E75" s="35">
        <v>16</v>
      </c>
      <c r="F75" s="35">
        <v>-18.5</v>
      </c>
      <c r="G75" s="35">
        <v>130</v>
      </c>
      <c r="H75" s="1" t="s">
        <v>244</v>
      </c>
    </row>
    <row r="76" spans="1:8" x14ac:dyDescent="0.2">
      <c r="A76" s="35">
        <v>2</v>
      </c>
      <c r="B76" s="35">
        <v>221500001</v>
      </c>
      <c r="C76" s="35">
        <v>215</v>
      </c>
      <c r="D76" s="35">
        <v>0</v>
      </c>
      <c r="E76" s="35">
        <v>90</v>
      </c>
      <c r="F76" s="35">
        <v>0</v>
      </c>
      <c r="G76" s="35">
        <v>1</v>
      </c>
      <c r="H76" s="1" t="s">
        <v>245</v>
      </c>
    </row>
    <row r="77" spans="1:8" x14ac:dyDescent="0.2">
      <c r="A77" s="35">
        <v>2</v>
      </c>
      <c r="B77" s="35">
        <v>222200001</v>
      </c>
      <c r="C77" s="35">
        <v>222</v>
      </c>
      <c r="D77" s="35">
        <v>0</v>
      </c>
      <c r="E77" s="35">
        <v>48</v>
      </c>
      <c r="F77" s="35">
        <v>0</v>
      </c>
      <c r="G77" s="35">
        <v>-17</v>
      </c>
      <c r="H77" s="1" t="s">
        <v>246</v>
      </c>
    </row>
    <row r="78" spans="1:8" x14ac:dyDescent="0.2">
      <c r="A78" s="35">
        <v>2</v>
      </c>
      <c r="B78" s="35">
        <v>222400001</v>
      </c>
      <c r="C78" s="35">
        <v>224</v>
      </c>
      <c r="D78" s="35">
        <v>0</v>
      </c>
      <c r="E78" s="35">
        <v>69</v>
      </c>
      <c r="F78" s="35">
        <v>0</v>
      </c>
      <c r="G78" s="35">
        <v>18</v>
      </c>
      <c r="H78" s="1" t="s">
        <v>247</v>
      </c>
    </row>
    <row r="79" spans="1:8" x14ac:dyDescent="0.2">
      <c r="A79" s="35">
        <v>2</v>
      </c>
      <c r="B79" s="35">
        <v>222600001</v>
      </c>
      <c r="C79" s="35">
        <v>226</v>
      </c>
      <c r="D79" s="35">
        <v>0</v>
      </c>
      <c r="E79" s="35">
        <v>-7</v>
      </c>
      <c r="F79" s="35">
        <v>3</v>
      </c>
      <c r="G79" s="35">
        <v>66</v>
      </c>
      <c r="H79" s="1" t="s">
        <v>248</v>
      </c>
    </row>
    <row r="80" spans="1:8" x14ac:dyDescent="0.2">
      <c r="A80" s="35">
        <v>2</v>
      </c>
      <c r="B80" s="35">
        <v>222700001</v>
      </c>
      <c r="C80" s="35">
        <v>227</v>
      </c>
      <c r="D80" s="35">
        <v>0</v>
      </c>
      <c r="E80" s="35">
        <v>135</v>
      </c>
      <c r="F80" s="35">
        <v>-9</v>
      </c>
      <c r="G80" s="35">
        <v>-12</v>
      </c>
      <c r="H80" s="1" t="s">
        <v>249</v>
      </c>
    </row>
    <row r="81" spans="1:8" x14ac:dyDescent="0.2">
      <c r="A81" s="35">
        <v>2</v>
      </c>
      <c r="B81" s="35">
        <v>222700002</v>
      </c>
      <c r="C81" s="35">
        <v>227</v>
      </c>
      <c r="D81" s="35">
        <v>0</v>
      </c>
      <c r="E81" s="35">
        <v>136</v>
      </c>
      <c r="F81" s="35">
        <v>-8.56</v>
      </c>
      <c r="G81" s="35">
        <v>16</v>
      </c>
      <c r="H81" s="1"/>
    </row>
    <row r="82" spans="1:8" x14ac:dyDescent="0.2">
      <c r="A82" s="35">
        <v>2</v>
      </c>
      <c r="B82" s="35">
        <v>223000001</v>
      </c>
      <c r="C82" s="35">
        <v>230</v>
      </c>
      <c r="D82" s="35">
        <v>0</v>
      </c>
      <c r="E82" s="35">
        <v>30</v>
      </c>
      <c r="F82" s="35">
        <v>0</v>
      </c>
      <c r="G82" s="35">
        <v>-17</v>
      </c>
      <c r="H82" s="1" t="s">
        <v>250</v>
      </c>
    </row>
    <row r="83" spans="1:8" x14ac:dyDescent="0.2">
      <c r="A83" s="35">
        <v>2</v>
      </c>
      <c r="B83" s="35">
        <v>223100001</v>
      </c>
      <c r="C83" s="35">
        <v>231</v>
      </c>
      <c r="D83" s="35">
        <v>0</v>
      </c>
      <c r="E83" s="35">
        <v>-13</v>
      </c>
      <c r="F83" s="35">
        <v>0</v>
      </c>
      <c r="G83" s="35">
        <v>-40</v>
      </c>
      <c r="H83" s="1" t="s">
        <v>251</v>
      </c>
    </row>
    <row r="84" spans="1:8" x14ac:dyDescent="0.2">
      <c r="A84" s="35">
        <v>2</v>
      </c>
      <c r="B84" s="35">
        <v>223200001</v>
      </c>
      <c r="C84" s="35">
        <v>232</v>
      </c>
      <c r="D84" s="35">
        <v>0</v>
      </c>
      <c r="E84" s="35">
        <v>72</v>
      </c>
      <c r="F84" s="44">
        <v>0</v>
      </c>
      <c r="G84" s="44">
        <v>48</v>
      </c>
      <c r="H84" s="44" t="s">
        <v>252</v>
      </c>
    </row>
    <row r="85" spans="1:8" x14ac:dyDescent="0.2">
      <c r="A85" s="35">
        <v>2</v>
      </c>
      <c r="B85" s="35">
        <v>223500001</v>
      </c>
      <c r="C85" s="35">
        <v>235</v>
      </c>
      <c r="D85" s="35">
        <v>0</v>
      </c>
      <c r="E85" s="35">
        <v>-57</v>
      </c>
      <c r="F85" s="35">
        <v>5</v>
      </c>
      <c r="G85" s="35">
        <v>6</v>
      </c>
      <c r="H85" s="1" t="s">
        <v>253</v>
      </c>
    </row>
    <row r="86" spans="1:8" x14ac:dyDescent="0.2">
      <c r="A86" s="44">
        <v>2</v>
      </c>
      <c r="B86" s="44">
        <v>223600001</v>
      </c>
      <c r="C86" s="44">
        <v>236</v>
      </c>
      <c r="D86" s="44">
        <v>0</v>
      </c>
      <c r="E86" s="44">
        <v>-35</v>
      </c>
      <c r="F86" s="35">
        <v>5</v>
      </c>
      <c r="G86" s="35">
        <v>6</v>
      </c>
      <c r="H86" s="1" t="s">
        <v>254</v>
      </c>
    </row>
    <row r="87" spans="1:8" x14ac:dyDescent="0.2">
      <c r="A87" s="35">
        <v>2</v>
      </c>
      <c r="B87" s="35">
        <v>223700001</v>
      </c>
      <c r="C87" s="35">
        <v>237</v>
      </c>
      <c r="D87" s="35">
        <v>0</v>
      </c>
      <c r="E87" s="35">
        <v>63</v>
      </c>
      <c r="F87" s="35">
        <v>0</v>
      </c>
      <c r="G87" s="35">
        <v>-41</v>
      </c>
      <c r="H87" s="1" t="s">
        <v>255</v>
      </c>
    </row>
    <row r="88" spans="1:8" x14ac:dyDescent="0.2">
      <c r="A88" s="35">
        <v>2</v>
      </c>
      <c r="B88" s="35">
        <v>230000001</v>
      </c>
      <c r="C88" s="35">
        <v>300</v>
      </c>
      <c r="D88" s="35">
        <v>0</v>
      </c>
      <c r="E88" s="35">
        <v>80</v>
      </c>
      <c r="F88" s="45">
        <v>-9</v>
      </c>
      <c r="G88" s="45">
        <v>107</v>
      </c>
      <c r="H88" s="1" t="s">
        <v>256</v>
      </c>
    </row>
    <row r="89" spans="1:8" x14ac:dyDescent="0.2">
      <c r="A89" s="35">
        <v>2</v>
      </c>
      <c r="B89" s="35">
        <v>240000001</v>
      </c>
      <c r="C89" s="35">
        <v>400</v>
      </c>
      <c r="D89" s="35">
        <v>0</v>
      </c>
      <c r="E89" s="45">
        <v>-18</v>
      </c>
      <c r="F89" s="45">
        <v>0</v>
      </c>
      <c r="G89" s="45">
        <v>-62</v>
      </c>
      <c r="H89" s="1" t="s">
        <v>257</v>
      </c>
    </row>
    <row r="90" spans="1:8" x14ac:dyDescent="0.2">
      <c r="A90" s="35">
        <v>2</v>
      </c>
      <c r="B90" s="35">
        <v>240400001</v>
      </c>
      <c r="C90" s="35">
        <v>404</v>
      </c>
      <c r="D90" s="35">
        <v>0</v>
      </c>
      <c r="E90" s="45">
        <v>214.97</v>
      </c>
      <c r="F90" s="35">
        <v>-4.2</v>
      </c>
      <c r="G90" s="35">
        <v>89.09</v>
      </c>
      <c r="H90" s="1" t="s">
        <v>258</v>
      </c>
    </row>
    <row r="91" spans="1:8" x14ac:dyDescent="0.2">
      <c r="A91" s="35">
        <v>3</v>
      </c>
      <c r="B91" s="35">
        <v>220100001</v>
      </c>
      <c r="C91" s="35">
        <v>201</v>
      </c>
      <c r="D91" s="35">
        <v>0</v>
      </c>
      <c r="E91" s="35">
        <v>0</v>
      </c>
      <c r="F91" s="35">
        <v>0</v>
      </c>
      <c r="G91" s="35">
        <v>0</v>
      </c>
      <c r="H91" s="1" t="s">
        <v>233</v>
      </c>
    </row>
    <row r="92" spans="1:8" x14ac:dyDescent="0.2">
      <c r="A92" s="35">
        <v>3</v>
      </c>
      <c r="B92" s="35">
        <v>220200001</v>
      </c>
      <c r="C92" s="35">
        <v>202</v>
      </c>
      <c r="D92" s="35">
        <v>0</v>
      </c>
      <c r="E92" s="35">
        <v>-37</v>
      </c>
      <c r="F92" s="35">
        <v>0</v>
      </c>
      <c r="G92" s="35">
        <v>-28</v>
      </c>
      <c r="H92" s="1" t="s">
        <v>234</v>
      </c>
    </row>
    <row r="93" spans="1:8" x14ac:dyDescent="0.2">
      <c r="A93" s="35">
        <v>3</v>
      </c>
      <c r="B93" s="35">
        <v>220200002</v>
      </c>
      <c r="C93" s="35">
        <v>202</v>
      </c>
      <c r="D93" s="35">
        <v>0</v>
      </c>
      <c r="E93" s="35">
        <v>-50</v>
      </c>
      <c r="F93" s="35">
        <v>0</v>
      </c>
      <c r="G93" s="35">
        <v>-38</v>
      </c>
      <c r="H93" s="1"/>
    </row>
    <row r="94" spans="1:8" x14ac:dyDescent="0.2">
      <c r="A94" s="35">
        <v>3</v>
      </c>
      <c r="B94" s="35">
        <v>220200003</v>
      </c>
      <c r="C94" s="35">
        <v>202</v>
      </c>
      <c r="D94" s="35">
        <v>0</v>
      </c>
      <c r="E94" s="35">
        <v>-37</v>
      </c>
      <c r="F94" s="35">
        <v>0</v>
      </c>
      <c r="G94" s="35">
        <v>-44</v>
      </c>
      <c r="H94" s="1"/>
    </row>
    <row r="95" spans="1:8" x14ac:dyDescent="0.2">
      <c r="A95" s="35">
        <v>3</v>
      </c>
      <c r="B95" s="35">
        <v>220200004</v>
      </c>
      <c r="C95" s="35">
        <v>202</v>
      </c>
      <c r="D95" s="35">
        <v>0</v>
      </c>
      <c r="E95" s="35">
        <v>-37</v>
      </c>
      <c r="F95" s="35">
        <v>0</v>
      </c>
      <c r="G95" s="35">
        <v>-58</v>
      </c>
      <c r="H95" s="1"/>
    </row>
    <row r="96" spans="1:8" x14ac:dyDescent="0.2">
      <c r="A96" s="35">
        <v>3</v>
      </c>
      <c r="B96" s="35">
        <v>220300001</v>
      </c>
      <c r="C96" s="35">
        <v>203</v>
      </c>
      <c r="D96" s="35">
        <v>0</v>
      </c>
      <c r="E96" s="35">
        <v>127</v>
      </c>
      <c r="F96" s="35">
        <v>-9</v>
      </c>
      <c r="G96" s="35">
        <v>-42</v>
      </c>
      <c r="H96" s="1" t="s">
        <v>235</v>
      </c>
    </row>
    <row r="97" spans="1:8" x14ac:dyDescent="0.2">
      <c r="A97" s="35">
        <v>3</v>
      </c>
      <c r="B97" s="35">
        <v>220300002</v>
      </c>
      <c r="C97" s="35">
        <v>203</v>
      </c>
      <c r="D97" s="35">
        <v>0</v>
      </c>
      <c r="E97" s="35">
        <v>120</v>
      </c>
      <c r="F97" s="35">
        <v>-9</v>
      </c>
      <c r="G97" s="35">
        <v>-79</v>
      </c>
      <c r="H97" s="1"/>
    </row>
    <row r="98" spans="1:8" x14ac:dyDescent="0.2">
      <c r="A98" s="35">
        <v>3</v>
      </c>
      <c r="B98" s="35">
        <v>220300003</v>
      </c>
      <c r="C98" s="35">
        <v>203</v>
      </c>
      <c r="D98" s="35">
        <v>0</v>
      </c>
      <c r="E98" s="35">
        <v>95</v>
      </c>
      <c r="F98" s="35">
        <v>-9</v>
      </c>
      <c r="G98" s="35">
        <v>-83</v>
      </c>
      <c r="H98" s="1"/>
    </row>
    <row r="99" spans="1:8" x14ac:dyDescent="0.2">
      <c r="A99" s="35">
        <v>3</v>
      </c>
      <c r="B99" s="35">
        <v>220400001</v>
      </c>
      <c r="C99" s="35">
        <v>204</v>
      </c>
      <c r="D99" s="35">
        <v>0</v>
      </c>
      <c r="E99" s="35">
        <v>57</v>
      </c>
      <c r="F99" s="35">
        <v>-9</v>
      </c>
      <c r="G99" s="35">
        <v>-105</v>
      </c>
      <c r="H99" s="1" t="s">
        <v>236</v>
      </c>
    </row>
    <row r="100" spans="1:8" x14ac:dyDescent="0.2">
      <c r="A100" s="35">
        <v>3</v>
      </c>
      <c r="B100" s="35">
        <v>220400002</v>
      </c>
      <c r="C100" s="35">
        <v>204</v>
      </c>
      <c r="D100" s="35">
        <v>0</v>
      </c>
      <c r="E100" s="35">
        <v>44</v>
      </c>
      <c r="F100" s="35">
        <v>-9</v>
      </c>
      <c r="G100" s="35">
        <v>-104</v>
      </c>
      <c r="H100" s="1"/>
    </row>
    <row r="101" spans="1:8" x14ac:dyDescent="0.2">
      <c r="A101" s="35">
        <v>3</v>
      </c>
      <c r="B101" s="35">
        <v>220400003</v>
      </c>
      <c r="C101" s="35">
        <v>204</v>
      </c>
      <c r="D101" s="35">
        <v>0</v>
      </c>
      <c r="E101" s="35">
        <v>54</v>
      </c>
      <c r="F101" s="35">
        <v>-9</v>
      </c>
      <c r="G101" s="35">
        <v>-118</v>
      </c>
      <c r="H101" s="1"/>
    </row>
    <row r="102" spans="1:8" x14ac:dyDescent="0.2">
      <c r="A102" s="35">
        <v>3</v>
      </c>
      <c r="B102" s="35">
        <v>220500001</v>
      </c>
      <c r="C102" s="35">
        <v>205</v>
      </c>
      <c r="D102" s="35">
        <v>0</v>
      </c>
      <c r="E102" s="35">
        <v>-101</v>
      </c>
      <c r="F102" s="35">
        <v>0</v>
      </c>
      <c r="G102" s="35">
        <v>-29</v>
      </c>
      <c r="H102" s="1" t="s">
        <v>237</v>
      </c>
    </row>
    <row r="103" spans="1:8" x14ac:dyDescent="0.2">
      <c r="A103" s="35">
        <v>3</v>
      </c>
      <c r="B103" s="35">
        <v>220500002</v>
      </c>
      <c r="C103" s="35">
        <v>205</v>
      </c>
      <c r="D103" s="35">
        <v>0</v>
      </c>
      <c r="E103" s="35">
        <v>-101</v>
      </c>
      <c r="F103" s="35">
        <v>0</v>
      </c>
      <c r="G103" s="35">
        <v>-15</v>
      </c>
      <c r="H103" s="1"/>
    </row>
    <row r="104" spans="1:8" x14ac:dyDescent="0.2">
      <c r="A104" s="35">
        <v>3</v>
      </c>
      <c r="B104" s="35">
        <v>220600001</v>
      </c>
      <c r="C104" s="35">
        <v>206</v>
      </c>
      <c r="D104" s="35">
        <v>0</v>
      </c>
      <c r="E104" s="35">
        <v>48</v>
      </c>
      <c r="F104" s="35">
        <v>0</v>
      </c>
      <c r="G104" s="35">
        <v>48</v>
      </c>
      <c r="H104" s="1" t="s">
        <v>238</v>
      </c>
    </row>
    <row r="105" spans="1:8" x14ac:dyDescent="0.2">
      <c r="A105" s="35">
        <v>3</v>
      </c>
      <c r="B105" s="35">
        <v>220700001</v>
      </c>
      <c r="C105" s="35">
        <v>207</v>
      </c>
      <c r="D105" s="35">
        <v>0</v>
      </c>
      <c r="E105" s="35">
        <v>83</v>
      </c>
      <c r="F105" s="35">
        <v>-9</v>
      </c>
      <c r="G105" s="35">
        <v>-93</v>
      </c>
      <c r="H105" s="1" t="s">
        <v>239</v>
      </c>
    </row>
    <row r="106" spans="1:8" x14ac:dyDescent="0.2">
      <c r="A106" s="35">
        <v>3</v>
      </c>
      <c r="B106" s="35">
        <v>220700002</v>
      </c>
      <c r="C106" s="35">
        <v>207</v>
      </c>
      <c r="D106" s="35">
        <v>0</v>
      </c>
      <c r="E106" s="35">
        <v>115</v>
      </c>
      <c r="F106" s="35">
        <v>-9</v>
      </c>
      <c r="G106" s="35">
        <v>-42</v>
      </c>
      <c r="H106" s="1"/>
    </row>
    <row r="107" spans="1:8" x14ac:dyDescent="0.2">
      <c r="A107" s="35">
        <v>3</v>
      </c>
      <c r="B107" s="35">
        <v>220700003</v>
      </c>
      <c r="C107" s="35">
        <v>207</v>
      </c>
      <c r="D107" s="35">
        <v>0</v>
      </c>
      <c r="E107" s="35">
        <v>128</v>
      </c>
      <c r="F107" s="35">
        <v>-9</v>
      </c>
      <c r="G107" s="35">
        <v>-54</v>
      </c>
      <c r="H107" s="1"/>
    </row>
    <row r="108" spans="1:8" x14ac:dyDescent="0.2">
      <c r="A108" s="35">
        <v>3</v>
      </c>
      <c r="B108" s="35">
        <v>220700004</v>
      </c>
      <c r="C108" s="35">
        <v>207</v>
      </c>
      <c r="D108" s="35">
        <v>0</v>
      </c>
      <c r="E108" s="35">
        <v>116</v>
      </c>
      <c r="F108" s="35">
        <v>-9</v>
      </c>
      <c r="G108" s="35">
        <v>-66</v>
      </c>
      <c r="H108" s="1"/>
    </row>
    <row r="109" spans="1:8" x14ac:dyDescent="0.2">
      <c r="A109" s="35">
        <v>3</v>
      </c>
      <c r="B109" s="35">
        <v>220700005</v>
      </c>
      <c r="C109" s="35">
        <v>207</v>
      </c>
      <c r="D109" s="35">
        <v>0</v>
      </c>
      <c r="E109" s="35">
        <v>95</v>
      </c>
      <c r="F109" s="35">
        <v>-9</v>
      </c>
      <c r="G109" s="35">
        <v>-96</v>
      </c>
      <c r="H109" s="1"/>
    </row>
    <row r="110" spans="1:8" x14ac:dyDescent="0.2">
      <c r="A110" s="35">
        <v>3</v>
      </c>
      <c r="B110" s="35">
        <v>220700006</v>
      </c>
      <c r="C110" s="35">
        <v>207</v>
      </c>
      <c r="D110" s="35">
        <v>0</v>
      </c>
      <c r="E110" s="35">
        <v>119</v>
      </c>
      <c r="F110" s="35">
        <v>-9</v>
      </c>
      <c r="G110" s="35">
        <v>-92</v>
      </c>
      <c r="H110" s="1"/>
    </row>
    <row r="111" spans="1:8" x14ac:dyDescent="0.2">
      <c r="A111" s="35">
        <v>3</v>
      </c>
      <c r="B111" s="35">
        <v>220700007</v>
      </c>
      <c r="C111" s="35">
        <v>207</v>
      </c>
      <c r="D111" s="35">
        <v>0</v>
      </c>
      <c r="E111" s="35">
        <v>107</v>
      </c>
      <c r="F111" s="35">
        <v>-9</v>
      </c>
      <c r="G111" s="35">
        <v>-91</v>
      </c>
      <c r="H111" s="1"/>
    </row>
    <row r="112" spans="1:8" x14ac:dyDescent="0.2">
      <c r="A112" s="35">
        <v>3</v>
      </c>
      <c r="B112" s="35">
        <v>220700008</v>
      </c>
      <c r="C112" s="35">
        <v>207</v>
      </c>
      <c r="D112" s="35">
        <v>0</v>
      </c>
      <c r="E112" s="35">
        <v>128</v>
      </c>
      <c r="F112" s="35">
        <v>-9</v>
      </c>
      <c r="G112" s="35">
        <v>-66</v>
      </c>
      <c r="H112" s="1"/>
    </row>
    <row r="113" spans="1:8" x14ac:dyDescent="0.2">
      <c r="A113" s="35">
        <v>3</v>
      </c>
      <c r="B113" s="35">
        <v>220800001</v>
      </c>
      <c r="C113" s="35">
        <v>208</v>
      </c>
      <c r="D113" s="35">
        <v>0</v>
      </c>
      <c r="E113" s="35">
        <v>-69</v>
      </c>
      <c r="F113" s="35">
        <v>13</v>
      </c>
      <c r="G113" s="35">
        <v>78</v>
      </c>
      <c r="H113" s="1" t="s">
        <v>240</v>
      </c>
    </row>
    <row r="114" spans="1:8" x14ac:dyDescent="0.2">
      <c r="A114" s="35">
        <v>3</v>
      </c>
      <c r="B114" s="35">
        <v>220900001</v>
      </c>
      <c r="C114" s="35">
        <v>209</v>
      </c>
      <c r="D114" s="35">
        <v>0</v>
      </c>
      <c r="E114" s="35">
        <v>45</v>
      </c>
      <c r="F114" s="35">
        <v>0</v>
      </c>
      <c r="G114" s="35">
        <v>18</v>
      </c>
      <c r="H114" s="1" t="s">
        <v>241</v>
      </c>
    </row>
    <row r="115" spans="1:8" x14ac:dyDescent="0.2">
      <c r="A115" s="35">
        <v>3</v>
      </c>
      <c r="B115" s="35">
        <v>221100001</v>
      </c>
      <c r="C115" s="35">
        <v>211</v>
      </c>
      <c r="D115" s="35">
        <v>0</v>
      </c>
      <c r="E115" s="35">
        <v>21</v>
      </c>
      <c r="F115" s="35">
        <v>0</v>
      </c>
      <c r="G115" s="35">
        <v>-38</v>
      </c>
      <c r="H115" s="1" t="s">
        <v>242</v>
      </c>
    </row>
    <row r="116" spans="1:8" x14ac:dyDescent="0.2">
      <c r="A116" s="35">
        <v>3</v>
      </c>
      <c r="B116" s="35">
        <v>221200001</v>
      </c>
      <c r="C116" s="35">
        <v>212</v>
      </c>
      <c r="D116" s="35">
        <v>0</v>
      </c>
      <c r="E116" s="35">
        <v>129</v>
      </c>
      <c r="F116" s="44">
        <v>-4.5999999999999996</v>
      </c>
      <c r="G116" s="44">
        <v>52</v>
      </c>
      <c r="H116" s="44" t="s">
        <v>243</v>
      </c>
    </row>
    <row r="117" spans="1:8" x14ac:dyDescent="0.2">
      <c r="A117" s="35">
        <v>3</v>
      </c>
      <c r="B117" s="35">
        <v>221300001</v>
      </c>
      <c r="C117" s="35">
        <v>213</v>
      </c>
      <c r="D117" s="35">
        <v>0</v>
      </c>
      <c r="E117" s="35">
        <v>16</v>
      </c>
      <c r="F117" s="35">
        <v>-18.5</v>
      </c>
      <c r="G117" s="35">
        <v>130</v>
      </c>
      <c r="H117" s="1" t="s">
        <v>244</v>
      </c>
    </row>
    <row r="118" spans="1:8" x14ac:dyDescent="0.2">
      <c r="A118" s="44">
        <v>3</v>
      </c>
      <c r="B118" s="44">
        <v>221500001</v>
      </c>
      <c r="C118" s="44">
        <v>215</v>
      </c>
      <c r="D118" s="44">
        <v>0</v>
      </c>
      <c r="E118" s="44">
        <v>90</v>
      </c>
      <c r="F118" s="35">
        <v>0</v>
      </c>
      <c r="G118" s="35">
        <v>1</v>
      </c>
      <c r="H118" s="1" t="s">
        <v>245</v>
      </c>
    </row>
    <row r="119" spans="1:8" x14ac:dyDescent="0.2">
      <c r="A119" s="35">
        <v>3</v>
      </c>
      <c r="B119" s="35">
        <v>222200001</v>
      </c>
      <c r="C119" s="35">
        <v>222</v>
      </c>
      <c r="D119" s="35">
        <v>0</v>
      </c>
      <c r="E119" s="35">
        <v>48</v>
      </c>
      <c r="F119" s="35">
        <v>0</v>
      </c>
      <c r="G119" s="35">
        <v>-17</v>
      </c>
      <c r="H119" s="1" t="s">
        <v>246</v>
      </c>
    </row>
    <row r="120" spans="1:8" x14ac:dyDescent="0.2">
      <c r="A120" s="35">
        <v>3</v>
      </c>
      <c r="B120" s="35">
        <v>222400001</v>
      </c>
      <c r="C120" s="35">
        <v>224</v>
      </c>
      <c r="D120" s="35">
        <v>0</v>
      </c>
      <c r="E120" s="35">
        <v>69</v>
      </c>
      <c r="F120" s="35">
        <v>0</v>
      </c>
      <c r="G120" s="35">
        <v>18</v>
      </c>
      <c r="H120" s="1" t="s">
        <v>247</v>
      </c>
    </row>
    <row r="121" spans="1:8" x14ac:dyDescent="0.2">
      <c r="A121" s="35">
        <v>3</v>
      </c>
      <c r="B121" s="35">
        <v>222600001</v>
      </c>
      <c r="C121" s="35">
        <v>226</v>
      </c>
      <c r="D121" s="35">
        <v>0</v>
      </c>
      <c r="E121" s="35">
        <v>-7</v>
      </c>
      <c r="F121" s="35">
        <v>3</v>
      </c>
      <c r="G121" s="35">
        <v>66</v>
      </c>
      <c r="H121" s="1" t="s">
        <v>248</v>
      </c>
    </row>
    <row r="122" spans="1:8" x14ac:dyDescent="0.2">
      <c r="A122" s="35">
        <v>3</v>
      </c>
      <c r="B122" s="35">
        <v>222700001</v>
      </c>
      <c r="C122" s="35">
        <v>227</v>
      </c>
      <c r="D122" s="35">
        <v>0</v>
      </c>
      <c r="E122" s="35">
        <v>135</v>
      </c>
      <c r="F122" s="46">
        <v>-9</v>
      </c>
      <c r="G122" s="46">
        <v>-12</v>
      </c>
      <c r="H122" s="1" t="s">
        <v>249</v>
      </c>
    </row>
    <row r="123" spans="1:8" x14ac:dyDescent="0.2">
      <c r="A123" s="35">
        <v>3</v>
      </c>
      <c r="B123" s="35">
        <v>222700002</v>
      </c>
      <c r="C123" s="47">
        <v>227</v>
      </c>
      <c r="D123" s="47">
        <v>0</v>
      </c>
      <c r="E123" s="46">
        <v>136</v>
      </c>
      <c r="F123" s="48">
        <v>-8.56</v>
      </c>
      <c r="G123" s="48">
        <v>16</v>
      </c>
      <c r="H123" s="1"/>
    </row>
    <row r="124" spans="1:8" x14ac:dyDescent="0.2">
      <c r="A124" s="35">
        <v>3</v>
      </c>
      <c r="B124" s="35">
        <v>222900001</v>
      </c>
      <c r="C124" s="47">
        <v>229</v>
      </c>
      <c r="D124" s="47">
        <v>0</v>
      </c>
      <c r="E124" s="48">
        <v>27</v>
      </c>
      <c r="F124" s="47">
        <v>0</v>
      </c>
      <c r="G124" s="47">
        <v>36</v>
      </c>
      <c r="H124" s="1" t="s">
        <v>296</v>
      </c>
    </row>
    <row r="125" spans="1:8" x14ac:dyDescent="0.2">
      <c r="A125" s="35">
        <v>3</v>
      </c>
      <c r="B125" s="35">
        <v>223000001</v>
      </c>
      <c r="C125" s="47">
        <v>230</v>
      </c>
      <c r="D125" s="47">
        <v>0</v>
      </c>
      <c r="E125" s="47">
        <v>30</v>
      </c>
      <c r="F125" s="47">
        <v>0</v>
      </c>
      <c r="G125" s="47">
        <v>-17</v>
      </c>
      <c r="H125" s="1" t="s">
        <v>250</v>
      </c>
    </row>
    <row r="126" spans="1:8" x14ac:dyDescent="0.2">
      <c r="A126" s="35">
        <v>3</v>
      </c>
      <c r="B126" s="35">
        <v>223100001</v>
      </c>
      <c r="C126" s="47">
        <v>231</v>
      </c>
      <c r="D126" s="47">
        <v>0</v>
      </c>
      <c r="E126" s="47">
        <v>-13</v>
      </c>
      <c r="F126" s="35">
        <v>0</v>
      </c>
      <c r="G126" s="35">
        <v>-40</v>
      </c>
      <c r="H126" s="1" t="s">
        <v>251</v>
      </c>
    </row>
    <row r="127" spans="1:8" x14ac:dyDescent="0.2">
      <c r="A127" s="35">
        <v>3</v>
      </c>
      <c r="B127" s="35">
        <v>223200001</v>
      </c>
      <c r="C127" s="35">
        <v>232</v>
      </c>
      <c r="D127" s="35">
        <v>0</v>
      </c>
      <c r="E127" s="35">
        <v>72</v>
      </c>
      <c r="F127" s="35">
        <v>0</v>
      </c>
      <c r="G127" s="35">
        <v>48</v>
      </c>
      <c r="H127" s="1" t="s">
        <v>252</v>
      </c>
    </row>
    <row r="128" spans="1:8" x14ac:dyDescent="0.2">
      <c r="A128" s="35">
        <v>3</v>
      </c>
      <c r="B128" s="35">
        <v>223400001</v>
      </c>
      <c r="C128" s="35">
        <v>234</v>
      </c>
      <c r="D128" s="35">
        <v>0</v>
      </c>
      <c r="E128" s="35">
        <v>-111</v>
      </c>
      <c r="F128" s="35">
        <v>0</v>
      </c>
      <c r="G128" s="35">
        <v>-40</v>
      </c>
      <c r="H128" s="1" t="s">
        <v>297</v>
      </c>
    </row>
    <row r="129" spans="1:8" x14ac:dyDescent="0.2">
      <c r="A129" s="35">
        <v>3</v>
      </c>
      <c r="B129" s="35">
        <v>223500001</v>
      </c>
      <c r="C129" s="35">
        <v>235</v>
      </c>
      <c r="D129" s="35">
        <v>0</v>
      </c>
      <c r="E129" s="35">
        <v>-57</v>
      </c>
      <c r="F129" s="35">
        <v>5</v>
      </c>
      <c r="G129" s="35">
        <v>6</v>
      </c>
      <c r="H129" s="1" t="s">
        <v>253</v>
      </c>
    </row>
    <row r="130" spans="1:8" x14ac:dyDescent="0.2">
      <c r="A130" s="35">
        <v>3</v>
      </c>
      <c r="B130" s="35">
        <v>223600001</v>
      </c>
      <c r="C130" s="35">
        <v>236</v>
      </c>
      <c r="D130" s="35">
        <v>0</v>
      </c>
      <c r="E130" s="35">
        <v>-35</v>
      </c>
      <c r="F130" s="35">
        <v>5</v>
      </c>
      <c r="G130" s="35">
        <v>6</v>
      </c>
      <c r="H130" s="1" t="s">
        <v>254</v>
      </c>
    </row>
    <row r="131" spans="1:8" x14ac:dyDescent="0.2">
      <c r="A131" s="35">
        <v>3</v>
      </c>
      <c r="B131" s="35">
        <v>223700001</v>
      </c>
      <c r="C131" s="35">
        <v>237</v>
      </c>
      <c r="D131" s="35">
        <v>0</v>
      </c>
      <c r="E131" s="35">
        <v>63</v>
      </c>
      <c r="F131" s="35">
        <v>0</v>
      </c>
      <c r="G131" s="35">
        <v>-41</v>
      </c>
      <c r="H131" s="1" t="s">
        <v>255</v>
      </c>
    </row>
    <row r="132" spans="1:8" x14ac:dyDescent="0.2">
      <c r="A132" s="35">
        <v>3</v>
      </c>
      <c r="B132" s="35">
        <v>230000001</v>
      </c>
      <c r="C132" s="35">
        <v>300</v>
      </c>
      <c r="D132" s="35">
        <v>0</v>
      </c>
      <c r="E132" s="35">
        <v>80</v>
      </c>
      <c r="F132" s="35">
        <v>-9</v>
      </c>
      <c r="G132" s="35">
        <v>107</v>
      </c>
      <c r="H132" s="1" t="s">
        <v>256</v>
      </c>
    </row>
    <row r="133" spans="1:8" x14ac:dyDescent="0.2">
      <c r="A133" s="35">
        <v>3</v>
      </c>
      <c r="B133" s="35">
        <v>240000001</v>
      </c>
      <c r="C133" s="35">
        <v>400</v>
      </c>
      <c r="D133" s="35">
        <v>0</v>
      </c>
      <c r="E133" s="35">
        <v>-18</v>
      </c>
      <c r="F133" s="47">
        <v>0</v>
      </c>
      <c r="G133" s="47">
        <v>-62</v>
      </c>
      <c r="H133" s="1" t="s">
        <v>257</v>
      </c>
    </row>
    <row r="134" spans="1:8" x14ac:dyDescent="0.2">
      <c r="A134" s="35">
        <v>3</v>
      </c>
      <c r="B134" s="35">
        <v>240400001</v>
      </c>
      <c r="C134" s="35">
        <v>404</v>
      </c>
      <c r="D134" s="35">
        <v>0</v>
      </c>
      <c r="E134" s="47">
        <v>214.97</v>
      </c>
      <c r="F134" s="35">
        <v>-4.2</v>
      </c>
      <c r="G134" s="35">
        <v>89.09</v>
      </c>
      <c r="H134" s="1" t="s">
        <v>258</v>
      </c>
    </row>
    <row r="135" spans="1:8" x14ac:dyDescent="0.2">
      <c r="A135" s="35">
        <v>4</v>
      </c>
      <c r="B135" s="35">
        <v>220100001</v>
      </c>
      <c r="C135" s="35">
        <v>201</v>
      </c>
      <c r="D135" s="35">
        <v>0</v>
      </c>
      <c r="E135" s="35">
        <v>0</v>
      </c>
      <c r="F135" s="35">
        <v>0</v>
      </c>
      <c r="G135" s="35">
        <v>0</v>
      </c>
      <c r="H135" s="1" t="s">
        <v>233</v>
      </c>
    </row>
    <row r="136" spans="1:8" x14ac:dyDescent="0.2">
      <c r="A136" s="35">
        <v>4</v>
      </c>
      <c r="B136" s="35">
        <v>220200001</v>
      </c>
      <c r="C136" s="35">
        <v>202</v>
      </c>
      <c r="D136" s="35">
        <v>0</v>
      </c>
      <c r="E136" s="35">
        <v>-37</v>
      </c>
      <c r="F136" s="35">
        <v>0</v>
      </c>
      <c r="G136" s="35">
        <v>-28</v>
      </c>
      <c r="H136" s="1" t="s">
        <v>234</v>
      </c>
    </row>
    <row r="137" spans="1:8" x14ac:dyDescent="0.2">
      <c r="A137" s="35">
        <v>4</v>
      </c>
      <c r="B137" s="35">
        <v>220200002</v>
      </c>
      <c r="C137" s="35">
        <v>202</v>
      </c>
      <c r="D137" s="35">
        <v>0</v>
      </c>
      <c r="E137" s="35">
        <v>-50</v>
      </c>
      <c r="F137" s="35">
        <v>0</v>
      </c>
      <c r="G137" s="35">
        <v>-38</v>
      </c>
      <c r="H137" s="1"/>
    </row>
    <row r="138" spans="1:8" x14ac:dyDescent="0.2">
      <c r="A138" s="35">
        <v>4</v>
      </c>
      <c r="B138" s="35">
        <v>220200003</v>
      </c>
      <c r="C138" s="35">
        <v>202</v>
      </c>
      <c r="D138" s="35">
        <v>0</v>
      </c>
      <c r="E138" s="35">
        <v>-37</v>
      </c>
      <c r="F138" s="35">
        <v>0</v>
      </c>
      <c r="G138" s="35">
        <v>-44</v>
      </c>
      <c r="H138" s="1"/>
    </row>
    <row r="139" spans="1:8" x14ac:dyDescent="0.2">
      <c r="A139" s="35">
        <v>4</v>
      </c>
      <c r="B139" s="35">
        <v>220200004</v>
      </c>
      <c r="C139" s="35">
        <v>202</v>
      </c>
      <c r="D139" s="35">
        <v>0</v>
      </c>
      <c r="E139" s="35">
        <v>-37</v>
      </c>
      <c r="F139" s="35">
        <v>0</v>
      </c>
      <c r="G139" s="35">
        <v>-58</v>
      </c>
      <c r="H139" s="1"/>
    </row>
    <row r="140" spans="1:8" x14ac:dyDescent="0.2">
      <c r="A140" s="35">
        <v>4</v>
      </c>
      <c r="B140" s="35">
        <v>220300001</v>
      </c>
      <c r="C140" s="35">
        <v>203</v>
      </c>
      <c r="D140" s="35">
        <v>0</v>
      </c>
      <c r="E140" s="35">
        <v>127</v>
      </c>
      <c r="F140" s="35">
        <v>-9</v>
      </c>
      <c r="G140" s="35">
        <v>-42</v>
      </c>
      <c r="H140" s="1" t="s">
        <v>235</v>
      </c>
    </row>
    <row r="141" spans="1:8" x14ac:dyDescent="0.2">
      <c r="A141" s="35">
        <v>4</v>
      </c>
      <c r="B141" s="35">
        <v>220300002</v>
      </c>
      <c r="C141" s="35">
        <v>203</v>
      </c>
      <c r="D141" s="35">
        <v>0</v>
      </c>
      <c r="E141" s="35">
        <v>120</v>
      </c>
      <c r="F141" s="35">
        <v>-9</v>
      </c>
      <c r="G141" s="35">
        <v>-79</v>
      </c>
      <c r="H141" s="1"/>
    </row>
    <row r="142" spans="1:8" x14ac:dyDescent="0.2">
      <c r="A142" s="35">
        <v>4</v>
      </c>
      <c r="B142" s="35">
        <v>220300003</v>
      </c>
      <c r="C142" s="35">
        <v>203</v>
      </c>
      <c r="D142" s="35">
        <v>0</v>
      </c>
      <c r="E142" s="35">
        <v>95</v>
      </c>
      <c r="F142" s="35">
        <v>-9</v>
      </c>
      <c r="G142" s="35">
        <v>-83</v>
      </c>
      <c r="H142" s="1"/>
    </row>
    <row r="143" spans="1:8" x14ac:dyDescent="0.2">
      <c r="A143" s="35">
        <v>4</v>
      </c>
      <c r="B143" s="35">
        <v>220300004</v>
      </c>
      <c r="C143" s="35">
        <v>203</v>
      </c>
      <c r="D143" s="35">
        <v>0</v>
      </c>
      <c r="E143" s="35">
        <v>117</v>
      </c>
      <c r="F143" s="35">
        <v>-9</v>
      </c>
      <c r="G143" s="35">
        <v>-54</v>
      </c>
      <c r="H143" s="1"/>
    </row>
    <row r="144" spans="1:8" x14ac:dyDescent="0.2">
      <c r="A144" s="35">
        <v>4</v>
      </c>
      <c r="B144" s="35">
        <v>220400001</v>
      </c>
      <c r="C144" s="35">
        <v>204</v>
      </c>
      <c r="D144" s="35">
        <v>0</v>
      </c>
      <c r="E144" s="35">
        <v>57</v>
      </c>
      <c r="F144" s="35">
        <v>-9</v>
      </c>
      <c r="G144" s="35">
        <v>-105</v>
      </c>
      <c r="H144" s="1" t="s">
        <v>236</v>
      </c>
    </row>
    <row r="145" spans="1:8" x14ac:dyDescent="0.2">
      <c r="A145" s="35">
        <v>4</v>
      </c>
      <c r="B145" s="35">
        <v>220400002</v>
      </c>
      <c r="C145" s="35">
        <v>204</v>
      </c>
      <c r="D145" s="35">
        <v>0</v>
      </c>
      <c r="E145" s="35">
        <v>44</v>
      </c>
      <c r="F145" s="35">
        <v>-9</v>
      </c>
      <c r="G145" s="35">
        <v>-104</v>
      </c>
      <c r="H145" s="1"/>
    </row>
    <row r="146" spans="1:8" x14ac:dyDescent="0.2">
      <c r="A146" s="35">
        <v>4</v>
      </c>
      <c r="B146" s="35">
        <v>220400003</v>
      </c>
      <c r="C146" s="35">
        <v>204</v>
      </c>
      <c r="D146" s="35">
        <v>0</v>
      </c>
      <c r="E146" s="35">
        <v>54</v>
      </c>
      <c r="F146" s="35">
        <v>-9</v>
      </c>
      <c r="G146" s="35">
        <v>-118</v>
      </c>
      <c r="H146" s="1"/>
    </row>
    <row r="147" spans="1:8" x14ac:dyDescent="0.2">
      <c r="A147" s="35">
        <v>4</v>
      </c>
      <c r="B147" s="35">
        <v>220400004</v>
      </c>
      <c r="C147" s="35">
        <v>204</v>
      </c>
      <c r="D147" s="35">
        <v>0</v>
      </c>
      <c r="E147" s="35">
        <v>41</v>
      </c>
      <c r="F147" s="35">
        <v>-9</v>
      </c>
      <c r="G147" s="35">
        <v>-118</v>
      </c>
      <c r="H147" s="1"/>
    </row>
    <row r="148" spans="1:8" x14ac:dyDescent="0.2">
      <c r="A148" s="35">
        <v>4</v>
      </c>
      <c r="B148" s="35">
        <v>220500001</v>
      </c>
      <c r="C148" s="35">
        <v>205</v>
      </c>
      <c r="D148" s="35">
        <v>0</v>
      </c>
      <c r="E148" s="35">
        <v>-101</v>
      </c>
      <c r="F148" s="35">
        <v>0</v>
      </c>
      <c r="G148" s="35">
        <v>-29</v>
      </c>
      <c r="H148" s="1" t="s">
        <v>237</v>
      </c>
    </row>
    <row r="149" spans="1:8" x14ac:dyDescent="0.2">
      <c r="A149" s="35">
        <v>4</v>
      </c>
      <c r="B149" s="35">
        <v>220500002</v>
      </c>
      <c r="C149" s="35">
        <v>205</v>
      </c>
      <c r="D149" s="35">
        <v>0</v>
      </c>
      <c r="E149" s="35">
        <v>-101</v>
      </c>
      <c r="F149" s="35">
        <v>0</v>
      </c>
      <c r="G149" s="35">
        <v>-15</v>
      </c>
      <c r="H149" s="1"/>
    </row>
    <row r="150" spans="1:8" x14ac:dyDescent="0.2">
      <c r="A150" s="35">
        <v>4</v>
      </c>
      <c r="B150" s="35">
        <v>220500003</v>
      </c>
      <c r="C150" s="35">
        <v>205</v>
      </c>
      <c r="D150" s="35">
        <v>0</v>
      </c>
      <c r="E150" s="35">
        <v>-85</v>
      </c>
      <c r="F150" s="35">
        <v>0</v>
      </c>
      <c r="G150" s="35">
        <v>-29</v>
      </c>
      <c r="H150" s="1"/>
    </row>
    <row r="151" spans="1:8" x14ac:dyDescent="0.2">
      <c r="A151" s="35">
        <v>4</v>
      </c>
      <c r="B151" s="35">
        <v>220600001</v>
      </c>
      <c r="C151" s="35">
        <v>206</v>
      </c>
      <c r="D151" s="35">
        <v>0</v>
      </c>
      <c r="E151" s="35">
        <v>48</v>
      </c>
      <c r="F151" s="35">
        <v>0</v>
      </c>
      <c r="G151" s="35">
        <v>48</v>
      </c>
      <c r="H151" s="1" t="s">
        <v>238</v>
      </c>
    </row>
    <row r="152" spans="1:8" x14ac:dyDescent="0.2">
      <c r="A152" s="35">
        <v>4</v>
      </c>
      <c r="B152" s="35">
        <v>220700001</v>
      </c>
      <c r="C152" s="35">
        <v>207</v>
      </c>
      <c r="D152" s="35">
        <v>0</v>
      </c>
      <c r="E152" s="35">
        <v>83</v>
      </c>
      <c r="F152" s="35">
        <v>-9</v>
      </c>
      <c r="G152" s="35">
        <v>-93</v>
      </c>
      <c r="H152" s="1" t="s">
        <v>239</v>
      </c>
    </row>
    <row r="153" spans="1:8" x14ac:dyDescent="0.2">
      <c r="A153" s="35">
        <v>4</v>
      </c>
      <c r="B153" s="35">
        <v>220700002</v>
      </c>
      <c r="C153" s="35">
        <v>207</v>
      </c>
      <c r="D153" s="35">
        <v>0</v>
      </c>
      <c r="E153" s="35">
        <v>115</v>
      </c>
      <c r="F153" s="44">
        <v>-9</v>
      </c>
      <c r="G153" s="44">
        <v>-42</v>
      </c>
      <c r="H153" s="44"/>
    </row>
    <row r="154" spans="1:8" x14ac:dyDescent="0.2">
      <c r="A154" s="35">
        <v>4</v>
      </c>
      <c r="B154" s="35">
        <v>220700003</v>
      </c>
      <c r="C154" s="35">
        <v>207</v>
      </c>
      <c r="D154" s="35">
        <v>0</v>
      </c>
      <c r="E154" s="35">
        <v>128</v>
      </c>
      <c r="F154" s="35">
        <v>-9</v>
      </c>
      <c r="G154" s="35">
        <v>-54</v>
      </c>
      <c r="H154" s="1"/>
    </row>
    <row r="155" spans="1:8" x14ac:dyDescent="0.2">
      <c r="A155" s="44">
        <v>4</v>
      </c>
      <c r="B155" s="44">
        <v>220700004</v>
      </c>
      <c r="C155" s="44">
        <v>207</v>
      </c>
      <c r="D155" s="44">
        <v>0</v>
      </c>
      <c r="E155" s="44">
        <v>116</v>
      </c>
      <c r="F155" s="35">
        <v>-9</v>
      </c>
      <c r="G155" s="35">
        <v>-66</v>
      </c>
      <c r="H155" s="1"/>
    </row>
    <row r="156" spans="1:8" x14ac:dyDescent="0.2">
      <c r="A156" s="44">
        <v>4</v>
      </c>
      <c r="B156" s="35">
        <v>220700005</v>
      </c>
      <c r="C156" s="35">
        <v>207</v>
      </c>
      <c r="D156" s="35">
        <v>0</v>
      </c>
      <c r="E156" s="35">
        <v>95</v>
      </c>
      <c r="F156" s="35">
        <v>-9</v>
      </c>
      <c r="G156" s="35">
        <v>-96</v>
      </c>
      <c r="H156" s="1"/>
    </row>
    <row r="157" spans="1:8" x14ac:dyDescent="0.2">
      <c r="A157" s="44">
        <v>4</v>
      </c>
      <c r="B157" s="35">
        <v>220700006</v>
      </c>
      <c r="C157" s="35">
        <v>207</v>
      </c>
      <c r="D157" s="35">
        <v>0</v>
      </c>
      <c r="E157" s="35">
        <v>119</v>
      </c>
      <c r="F157" s="35">
        <v>-9</v>
      </c>
      <c r="G157" s="35">
        <v>-92</v>
      </c>
      <c r="H157" s="1"/>
    </row>
    <row r="158" spans="1:8" x14ac:dyDescent="0.2">
      <c r="A158" s="44">
        <v>4</v>
      </c>
      <c r="B158" s="35">
        <v>220700007</v>
      </c>
      <c r="C158" s="35">
        <v>207</v>
      </c>
      <c r="D158" s="35">
        <v>0</v>
      </c>
      <c r="E158" s="35">
        <v>107</v>
      </c>
      <c r="F158" s="35">
        <v>-9</v>
      </c>
      <c r="G158" s="35">
        <v>-91</v>
      </c>
      <c r="H158" s="1"/>
    </row>
    <row r="159" spans="1:8" x14ac:dyDescent="0.2">
      <c r="A159" s="44">
        <v>4</v>
      </c>
      <c r="B159" s="35">
        <v>220700008</v>
      </c>
      <c r="C159" s="35">
        <v>207</v>
      </c>
      <c r="D159" s="35">
        <v>0</v>
      </c>
      <c r="E159" s="35">
        <v>128</v>
      </c>
      <c r="F159" s="46">
        <v>-9</v>
      </c>
      <c r="G159" s="46">
        <v>-66</v>
      </c>
      <c r="H159" s="1"/>
    </row>
    <row r="160" spans="1:8" x14ac:dyDescent="0.2">
      <c r="A160" s="44">
        <v>4</v>
      </c>
      <c r="B160" s="35">
        <v>220700009</v>
      </c>
      <c r="C160" s="47">
        <v>207</v>
      </c>
      <c r="D160" s="47">
        <v>0</v>
      </c>
      <c r="E160" s="46">
        <v>104</v>
      </c>
      <c r="F160" s="48">
        <v>-9</v>
      </c>
      <c r="G160" s="48">
        <v>-66</v>
      </c>
      <c r="H160" s="1"/>
    </row>
    <row r="161" spans="1:8" x14ac:dyDescent="0.2">
      <c r="A161" s="44">
        <v>4</v>
      </c>
      <c r="B161" s="35">
        <v>220700010</v>
      </c>
      <c r="C161" s="47">
        <v>207</v>
      </c>
      <c r="D161" s="47">
        <v>0</v>
      </c>
      <c r="E161" s="48">
        <v>107</v>
      </c>
      <c r="F161" s="47">
        <v>-9</v>
      </c>
      <c r="G161" s="47">
        <v>-104</v>
      </c>
      <c r="H161" s="1"/>
    </row>
    <row r="162" spans="1:8" x14ac:dyDescent="0.2">
      <c r="A162" s="44">
        <v>4</v>
      </c>
      <c r="B162" s="35">
        <v>220700011</v>
      </c>
      <c r="C162" s="47">
        <v>207</v>
      </c>
      <c r="D162" s="47">
        <v>0</v>
      </c>
      <c r="E162" s="47">
        <v>83</v>
      </c>
      <c r="F162" s="47">
        <v>-9</v>
      </c>
      <c r="G162" s="47">
        <v>-105</v>
      </c>
      <c r="H162" s="1"/>
    </row>
    <row r="163" spans="1:8" x14ac:dyDescent="0.2">
      <c r="A163" s="44">
        <v>4</v>
      </c>
      <c r="B163" s="35">
        <v>220700012</v>
      </c>
      <c r="C163" s="47">
        <v>207</v>
      </c>
      <c r="D163" s="47">
        <v>0</v>
      </c>
      <c r="E163" s="47">
        <v>107</v>
      </c>
      <c r="F163" s="35">
        <v>-9</v>
      </c>
      <c r="G163" s="35">
        <v>-79</v>
      </c>
      <c r="H163" s="1"/>
    </row>
    <row r="164" spans="1:8" x14ac:dyDescent="0.2">
      <c r="A164" s="44">
        <v>4</v>
      </c>
      <c r="B164" s="35">
        <v>220800001</v>
      </c>
      <c r="C164" s="35">
        <v>208</v>
      </c>
      <c r="D164" s="35">
        <v>0</v>
      </c>
      <c r="E164" s="35">
        <v>-69</v>
      </c>
      <c r="F164" s="35">
        <v>13</v>
      </c>
      <c r="G164" s="35">
        <v>78</v>
      </c>
      <c r="H164" s="1" t="s">
        <v>240</v>
      </c>
    </row>
    <row r="165" spans="1:8" x14ac:dyDescent="0.2">
      <c r="A165" s="44">
        <v>4</v>
      </c>
      <c r="B165" s="35">
        <v>220900001</v>
      </c>
      <c r="C165" s="35">
        <v>209</v>
      </c>
      <c r="D165" s="35">
        <v>0</v>
      </c>
      <c r="E165" s="35">
        <v>45</v>
      </c>
      <c r="F165" s="35">
        <v>0</v>
      </c>
      <c r="G165" s="35">
        <v>18</v>
      </c>
      <c r="H165" s="1" t="s">
        <v>241</v>
      </c>
    </row>
    <row r="166" spans="1:8" x14ac:dyDescent="0.2">
      <c r="A166" s="44">
        <v>4</v>
      </c>
      <c r="B166" s="35">
        <v>221100001</v>
      </c>
      <c r="C166" s="35">
        <v>211</v>
      </c>
      <c r="D166" s="35">
        <v>0</v>
      </c>
      <c r="E166" s="35">
        <v>21</v>
      </c>
      <c r="F166" s="35">
        <v>0</v>
      </c>
      <c r="G166" s="35">
        <v>-38</v>
      </c>
      <c r="H166" s="1" t="s">
        <v>242</v>
      </c>
    </row>
    <row r="167" spans="1:8" x14ac:dyDescent="0.2">
      <c r="A167" s="44">
        <v>4</v>
      </c>
      <c r="B167" s="35">
        <v>221200001</v>
      </c>
      <c r="C167" s="35">
        <v>212</v>
      </c>
      <c r="D167" s="35">
        <v>0</v>
      </c>
      <c r="E167" s="35">
        <v>129</v>
      </c>
      <c r="F167" s="35">
        <v>-4.5999999999999996</v>
      </c>
      <c r="G167" s="35">
        <v>52</v>
      </c>
      <c r="H167" s="1" t="s">
        <v>243</v>
      </c>
    </row>
    <row r="168" spans="1:8" x14ac:dyDescent="0.2">
      <c r="A168" s="44">
        <v>4</v>
      </c>
      <c r="B168" s="35">
        <v>221300001</v>
      </c>
      <c r="C168" s="35">
        <v>213</v>
      </c>
      <c r="D168" s="35">
        <v>0</v>
      </c>
      <c r="E168" s="35">
        <v>16</v>
      </c>
      <c r="F168" s="35">
        <v>-18.5</v>
      </c>
      <c r="G168" s="35">
        <v>130</v>
      </c>
      <c r="H168" s="1" t="s">
        <v>244</v>
      </c>
    </row>
    <row r="169" spans="1:8" x14ac:dyDescent="0.2">
      <c r="A169" s="44">
        <v>4</v>
      </c>
      <c r="B169" s="35">
        <v>221500001</v>
      </c>
      <c r="C169" s="35">
        <v>215</v>
      </c>
      <c r="D169" s="35">
        <v>0</v>
      </c>
      <c r="E169" s="35">
        <v>90</v>
      </c>
      <c r="F169" s="35">
        <v>0</v>
      </c>
      <c r="G169" s="35">
        <v>1</v>
      </c>
      <c r="H169" s="1" t="s">
        <v>245</v>
      </c>
    </row>
    <row r="170" spans="1:8" x14ac:dyDescent="0.2">
      <c r="A170" s="44">
        <v>4</v>
      </c>
      <c r="B170" s="35">
        <v>222200001</v>
      </c>
      <c r="C170" s="35">
        <v>222</v>
      </c>
      <c r="D170" s="35">
        <v>0</v>
      </c>
      <c r="E170" s="35">
        <v>48</v>
      </c>
      <c r="F170" s="47">
        <v>0</v>
      </c>
      <c r="G170" s="47">
        <v>-17</v>
      </c>
      <c r="H170" s="1" t="s">
        <v>246</v>
      </c>
    </row>
    <row r="171" spans="1:8" x14ac:dyDescent="0.2">
      <c r="A171" s="44">
        <v>4</v>
      </c>
      <c r="B171" s="35">
        <v>222400001</v>
      </c>
      <c r="C171" s="35">
        <v>224</v>
      </c>
      <c r="D171" s="35">
        <v>0</v>
      </c>
      <c r="E171" s="47">
        <v>69</v>
      </c>
      <c r="F171" s="35">
        <v>0</v>
      </c>
      <c r="G171" s="35">
        <v>18</v>
      </c>
      <c r="H171" s="1" t="s">
        <v>247</v>
      </c>
    </row>
    <row r="172" spans="1:8" x14ac:dyDescent="0.2">
      <c r="A172" s="44">
        <v>4</v>
      </c>
      <c r="B172" s="35">
        <v>222600001</v>
      </c>
      <c r="C172" s="35">
        <v>226</v>
      </c>
      <c r="D172" s="35">
        <v>0</v>
      </c>
      <c r="E172" s="35">
        <v>-7</v>
      </c>
      <c r="F172" s="35">
        <v>3</v>
      </c>
      <c r="G172" s="35">
        <v>66</v>
      </c>
      <c r="H172" s="1" t="s">
        <v>248</v>
      </c>
    </row>
    <row r="173" spans="1:8" x14ac:dyDescent="0.2">
      <c r="A173" s="44">
        <v>4</v>
      </c>
      <c r="B173" s="35">
        <v>222700001</v>
      </c>
      <c r="C173" s="35">
        <v>227</v>
      </c>
      <c r="D173" s="35">
        <v>0</v>
      </c>
      <c r="E173" s="35">
        <v>135</v>
      </c>
      <c r="F173" s="35">
        <v>-9</v>
      </c>
      <c r="G173" s="35">
        <v>-12</v>
      </c>
      <c r="H173" s="1" t="s">
        <v>249</v>
      </c>
    </row>
    <row r="174" spans="1:8" x14ac:dyDescent="0.2">
      <c r="A174" s="44">
        <v>4</v>
      </c>
      <c r="B174" s="35">
        <v>222700002</v>
      </c>
      <c r="C174" s="35">
        <v>227</v>
      </c>
      <c r="D174" s="35">
        <v>0</v>
      </c>
      <c r="E174" s="35">
        <v>136</v>
      </c>
      <c r="F174" s="35">
        <v>-8.56</v>
      </c>
      <c r="G174" s="35">
        <v>16</v>
      </c>
      <c r="H174" s="1"/>
    </row>
    <row r="175" spans="1:8" x14ac:dyDescent="0.2">
      <c r="A175" s="44">
        <v>4</v>
      </c>
      <c r="B175" s="35">
        <v>222900001</v>
      </c>
      <c r="C175" s="35">
        <v>229</v>
      </c>
      <c r="D175" s="35">
        <v>0</v>
      </c>
      <c r="E175" s="35">
        <v>27</v>
      </c>
      <c r="F175" s="35">
        <v>0</v>
      </c>
      <c r="G175" s="35">
        <v>36</v>
      </c>
      <c r="H175" s="1" t="s">
        <v>296</v>
      </c>
    </row>
    <row r="176" spans="1:8" x14ac:dyDescent="0.2">
      <c r="A176" s="44">
        <v>4</v>
      </c>
      <c r="B176" s="35">
        <v>223000001</v>
      </c>
      <c r="C176" s="35">
        <v>230</v>
      </c>
      <c r="D176" s="35">
        <v>0</v>
      </c>
      <c r="E176" s="35">
        <v>30</v>
      </c>
      <c r="F176" s="35">
        <v>0</v>
      </c>
      <c r="G176" s="35">
        <v>-17</v>
      </c>
      <c r="H176" s="1" t="s">
        <v>250</v>
      </c>
    </row>
    <row r="177" spans="1:8" x14ac:dyDescent="0.2">
      <c r="A177" s="44">
        <v>4</v>
      </c>
      <c r="B177" s="35">
        <v>223100001</v>
      </c>
      <c r="C177" s="35">
        <v>231</v>
      </c>
      <c r="D177" s="35">
        <v>0</v>
      </c>
      <c r="E177" s="35">
        <v>-13</v>
      </c>
      <c r="F177" s="35">
        <v>0</v>
      </c>
      <c r="G177" s="35">
        <v>-40</v>
      </c>
      <c r="H177" s="1" t="s">
        <v>251</v>
      </c>
    </row>
    <row r="178" spans="1:8" x14ac:dyDescent="0.2">
      <c r="A178" s="44">
        <v>4</v>
      </c>
      <c r="B178" s="35">
        <v>223200001</v>
      </c>
      <c r="C178" s="35">
        <v>232</v>
      </c>
      <c r="D178" s="35">
        <v>0</v>
      </c>
      <c r="E178" s="35">
        <v>72</v>
      </c>
      <c r="F178" s="35">
        <v>0</v>
      </c>
      <c r="G178" s="35">
        <v>48</v>
      </c>
      <c r="H178" s="1" t="s">
        <v>252</v>
      </c>
    </row>
    <row r="179" spans="1:8" x14ac:dyDescent="0.2">
      <c r="A179" s="44">
        <v>4</v>
      </c>
      <c r="B179" s="35">
        <v>223400001</v>
      </c>
      <c r="C179" s="35">
        <v>234</v>
      </c>
      <c r="D179" s="35">
        <v>0</v>
      </c>
      <c r="E179" s="35">
        <v>-111</v>
      </c>
      <c r="F179" s="35">
        <v>0</v>
      </c>
      <c r="G179" s="35">
        <v>-40</v>
      </c>
      <c r="H179" s="1" t="s">
        <v>297</v>
      </c>
    </row>
    <row r="180" spans="1:8" x14ac:dyDescent="0.2">
      <c r="A180" s="44">
        <v>4</v>
      </c>
      <c r="B180" s="35">
        <v>223400002</v>
      </c>
      <c r="C180" s="35">
        <v>234</v>
      </c>
      <c r="D180" s="35">
        <v>0</v>
      </c>
      <c r="E180" s="35">
        <v>-111</v>
      </c>
      <c r="F180" s="35">
        <v>0</v>
      </c>
      <c r="G180" s="35">
        <v>-50</v>
      </c>
      <c r="H180" s="1"/>
    </row>
    <row r="181" spans="1:8" x14ac:dyDescent="0.2">
      <c r="A181" s="44">
        <v>4</v>
      </c>
      <c r="B181" s="35">
        <v>223400003</v>
      </c>
      <c r="C181" s="35">
        <v>234</v>
      </c>
      <c r="D181" s="35">
        <v>0</v>
      </c>
      <c r="E181" s="35">
        <v>-87</v>
      </c>
      <c r="F181" s="35">
        <v>0</v>
      </c>
      <c r="G181" s="35">
        <v>-50</v>
      </c>
      <c r="H181" s="1"/>
    </row>
    <row r="182" spans="1:8" x14ac:dyDescent="0.2">
      <c r="A182" s="44">
        <v>4</v>
      </c>
      <c r="B182" s="35">
        <v>223500001</v>
      </c>
      <c r="C182" s="35">
        <v>235</v>
      </c>
      <c r="D182" s="35">
        <v>0</v>
      </c>
      <c r="E182" s="35">
        <v>-57</v>
      </c>
      <c r="F182" s="35">
        <v>5</v>
      </c>
      <c r="G182" s="35">
        <v>6</v>
      </c>
      <c r="H182" s="1" t="s">
        <v>253</v>
      </c>
    </row>
    <row r="183" spans="1:8" x14ac:dyDescent="0.2">
      <c r="A183" s="44">
        <v>4</v>
      </c>
      <c r="B183" s="35">
        <v>223600001</v>
      </c>
      <c r="C183" s="35">
        <v>236</v>
      </c>
      <c r="D183" s="35">
        <v>0</v>
      </c>
      <c r="E183" s="35">
        <v>-35</v>
      </c>
      <c r="F183" s="35">
        <v>5</v>
      </c>
      <c r="G183" s="35">
        <v>6</v>
      </c>
      <c r="H183" s="1" t="s">
        <v>254</v>
      </c>
    </row>
    <row r="184" spans="1:8" x14ac:dyDescent="0.2">
      <c r="A184" s="44">
        <v>4</v>
      </c>
      <c r="B184" s="35">
        <v>223700001</v>
      </c>
      <c r="C184" s="35">
        <v>237</v>
      </c>
      <c r="D184" s="35">
        <v>0</v>
      </c>
      <c r="E184" s="35">
        <v>63</v>
      </c>
      <c r="F184" s="35">
        <v>0</v>
      </c>
      <c r="G184" s="35">
        <v>-41</v>
      </c>
      <c r="H184" s="1" t="s">
        <v>255</v>
      </c>
    </row>
    <row r="185" spans="1:8" x14ac:dyDescent="0.2">
      <c r="A185" s="44">
        <v>4</v>
      </c>
      <c r="B185" s="35">
        <v>230000001</v>
      </c>
      <c r="C185" s="35">
        <v>300</v>
      </c>
      <c r="D185" s="35">
        <v>0</v>
      </c>
      <c r="E185" s="35">
        <v>80</v>
      </c>
      <c r="F185" s="35">
        <v>-9</v>
      </c>
      <c r="G185" s="35">
        <v>107</v>
      </c>
      <c r="H185" s="1" t="s">
        <v>256</v>
      </c>
    </row>
    <row r="186" spans="1:8" x14ac:dyDescent="0.2">
      <c r="A186" s="44">
        <v>4</v>
      </c>
      <c r="B186" s="35">
        <v>240000001</v>
      </c>
      <c r="C186" s="35">
        <v>400</v>
      </c>
      <c r="D186" s="35">
        <v>0</v>
      </c>
      <c r="E186" s="35">
        <v>-18</v>
      </c>
      <c r="F186" s="35">
        <v>0</v>
      </c>
      <c r="G186" s="35">
        <v>-62</v>
      </c>
      <c r="H186" s="1" t="s">
        <v>257</v>
      </c>
    </row>
    <row r="187" spans="1:8" x14ac:dyDescent="0.2">
      <c r="A187" s="44">
        <v>4</v>
      </c>
      <c r="B187" s="35">
        <v>240400001</v>
      </c>
      <c r="C187" s="35">
        <v>404</v>
      </c>
      <c r="D187" s="35">
        <v>0</v>
      </c>
      <c r="E187" s="35">
        <v>214.97</v>
      </c>
      <c r="F187" s="35">
        <v>-4.2</v>
      </c>
      <c r="G187" s="35">
        <v>89.09</v>
      </c>
      <c r="H187" s="1" t="s">
        <v>258</v>
      </c>
    </row>
    <row r="188" spans="1:8" x14ac:dyDescent="0.2">
      <c r="A188" s="44">
        <v>5</v>
      </c>
      <c r="B188" s="35">
        <v>220100001</v>
      </c>
      <c r="C188" s="35">
        <v>201</v>
      </c>
      <c r="D188" s="35">
        <v>0</v>
      </c>
      <c r="E188" s="35">
        <v>0</v>
      </c>
      <c r="F188" s="35">
        <v>0</v>
      </c>
      <c r="G188" s="35">
        <v>0</v>
      </c>
      <c r="H188" s="1" t="s">
        <v>233</v>
      </c>
    </row>
    <row r="189" spans="1:8" x14ac:dyDescent="0.2">
      <c r="A189" s="44">
        <v>5</v>
      </c>
      <c r="B189" s="35">
        <v>220200001</v>
      </c>
      <c r="C189" s="35">
        <v>202</v>
      </c>
      <c r="D189" s="35">
        <v>0</v>
      </c>
      <c r="E189" s="35">
        <v>-37</v>
      </c>
      <c r="F189" s="35">
        <v>0</v>
      </c>
      <c r="G189" s="35">
        <v>-28</v>
      </c>
      <c r="H189" s="1" t="s">
        <v>234</v>
      </c>
    </row>
    <row r="190" spans="1:8" x14ac:dyDescent="0.2">
      <c r="A190" s="44">
        <v>5</v>
      </c>
      <c r="B190" s="35">
        <v>220200002</v>
      </c>
      <c r="C190" s="35">
        <v>202</v>
      </c>
      <c r="D190" s="35">
        <v>0</v>
      </c>
      <c r="E190" s="35">
        <v>-50</v>
      </c>
      <c r="F190" s="1">
        <v>0</v>
      </c>
      <c r="G190" s="1">
        <v>-38</v>
      </c>
      <c r="H190" s="1"/>
    </row>
    <row r="191" spans="1:8" x14ac:dyDescent="0.2">
      <c r="A191" s="35">
        <v>5</v>
      </c>
      <c r="B191" s="35">
        <v>220200003</v>
      </c>
      <c r="C191" s="35">
        <v>202</v>
      </c>
      <c r="D191" s="35">
        <v>0</v>
      </c>
      <c r="E191" s="35">
        <v>-37</v>
      </c>
      <c r="F191" s="35">
        <v>0</v>
      </c>
      <c r="G191" s="35">
        <v>-44</v>
      </c>
      <c r="H191" s="1"/>
    </row>
    <row r="192" spans="1:8" x14ac:dyDescent="0.2">
      <c r="A192" s="1">
        <v>5</v>
      </c>
      <c r="B192" s="1">
        <v>220200004</v>
      </c>
      <c r="C192" s="1">
        <v>202</v>
      </c>
      <c r="D192" s="1">
        <v>0</v>
      </c>
      <c r="E192" s="1">
        <v>-37</v>
      </c>
      <c r="F192" s="1">
        <v>0</v>
      </c>
      <c r="G192" s="1">
        <v>-58</v>
      </c>
      <c r="H192" s="1"/>
    </row>
    <row r="193" spans="1:8" x14ac:dyDescent="0.2">
      <c r="A193" s="1">
        <v>5</v>
      </c>
      <c r="B193" s="1">
        <v>220300001</v>
      </c>
      <c r="C193" s="1">
        <v>203</v>
      </c>
      <c r="D193" s="1">
        <v>0</v>
      </c>
      <c r="E193" s="1">
        <v>127</v>
      </c>
      <c r="F193" s="1">
        <v>-9</v>
      </c>
      <c r="G193" s="1">
        <v>-42</v>
      </c>
      <c r="H193" s="1" t="s">
        <v>235</v>
      </c>
    </row>
    <row r="194" spans="1:8" x14ac:dyDescent="0.2">
      <c r="A194" s="1">
        <v>5</v>
      </c>
      <c r="B194" s="1">
        <v>220300002</v>
      </c>
      <c r="C194" s="1">
        <v>203</v>
      </c>
      <c r="D194" s="1">
        <v>0</v>
      </c>
      <c r="E194" s="1">
        <v>120</v>
      </c>
      <c r="F194" s="1">
        <v>-9</v>
      </c>
      <c r="G194" s="1">
        <v>-79</v>
      </c>
      <c r="H194" s="1"/>
    </row>
    <row r="195" spans="1:8" x14ac:dyDescent="0.2">
      <c r="A195" s="1">
        <v>5</v>
      </c>
      <c r="B195" s="1">
        <v>220300003</v>
      </c>
      <c r="C195" s="1">
        <v>203</v>
      </c>
      <c r="D195" s="1">
        <v>0</v>
      </c>
      <c r="E195" s="1">
        <v>95</v>
      </c>
      <c r="F195" s="1">
        <v>-9</v>
      </c>
      <c r="G195" s="1">
        <v>-83</v>
      </c>
      <c r="H195" s="1"/>
    </row>
    <row r="196" spans="1:8" x14ac:dyDescent="0.2">
      <c r="A196" s="1">
        <v>5</v>
      </c>
      <c r="B196" s="1">
        <v>220300004</v>
      </c>
      <c r="C196" s="1">
        <v>203</v>
      </c>
      <c r="D196" s="1">
        <v>0</v>
      </c>
      <c r="E196" s="1">
        <v>117</v>
      </c>
      <c r="F196" s="1">
        <v>-9</v>
      </c>
      <c r="G196" s="1">
        <v>-54</v>
      </c>
      <c r="H196" s="1"/>
    </row>
    <row r="197" spans="1:8" x14ac:dyDescent="0.2">
      <c r="A197" s="1">
        <v>5</v>
      </c>
      <c r="B197" s="1">
        <v>220400001</v>
      </c>
      <c r="C197" s="1">
        <v>204</v>
      </c>
      <c r="D197" s="1">
        <v>0</v>
      </c>
      <c r="E197" s="1">
        <v>57</v>
      </c>
      <c r="F197" s="1">
        <v>-9</v>
      </c>
      <c r="G197" s="1">
        <v>-105</v>
      </c>
      <c r="H197" s="1" t="s">
        <v>236</v>
      </c>
    </row>
    <row r="198" spans="1:8" x14ac:dyDescent="0.2">
      <c r="A198" s="1">
        <v>5</v>
      </c>
      <c r="B198" s="1">
        <v>220400002</v>
      </c>
      <c r="C198" s="1">
        <v>204</v>
      </c>
      <c r="D198" s="1">
        <v>0</v>
      </c>
      <c r="E198" s="1">
        <v>44</v>
      </c>
      <c r="F198" s="1">
        <v>-9</v>
      </c>
      <c r="G198" s="1">
        <v>-104</v>
      </c>
      <c r="H198" s="1"/>
    </row>
    <row r="199" spans="1:8" x14ac:dyDescent="0.2">
      <c r="A199" s="1">
        <v>5</v>
      </c>
      <c r="B199" s="1">
        <v>220400003</v>
      </c>
      <c r="C199" s="1">
        <v>204</v>
      </c>
      <c r="D199" s="1">
        <v>0</v>
      </c>
      <c r="E199" s="1">
        <v>54</v>
      </c>
      <c r="F199" s="1">
        <v>-9</v>
      </c>
      <c r="G199" s="1">
        <v>-118</v>
      </c>
      <c r="H199" s="1"/>
    </row>
    <row r="200" spans="1:8" x14ac:dyDescent="0.2">
      <c r="A200" s="1">
        <v>5</v>
      </c>
      <c r="B200" s="1">
        <v>220400004</v>
      </c>
      <c r="C200" s="1">
        <v>204</v>
      </c>
      <c r="D200" s="1">
        <v>0</v>
      </c>
      <c r="E200" s="1">
        <v>41</v>
      </c>
      <c r="F200" s="1">
        <v>-9</v>
      </c>
      <c r="G200" s="1">
        <v>-118</v>
      </c>
      <c r="H200" s="1"/>
    </row>
    <row r="201" spans="1:8" x14ac:dyDescent="0.2">
      <c r="A201" s="1">
        <v>5</v>
      </c>
      <c r="B201" s="1">
        <v>220500001</v>
      </c>
      <c r="C201" s="1">
        <v>205</v>
      </c>
      <c r="D201" s="1">
        <v>0</v>
      </c>
      <c r="E201" s="1">
        <v>-101</v>
      </c>
      <c r="F201" s="1">
        <v>0</v>
      </c>
      <c r="G201" s="1">
        <v>-29</v>
      </c>
      <c r="H201" s="1" t="s">
        <v>237</v>
      </c>
    </row>
    <row r="202" spans="1:8" x14ac:dyDescent="0.2">
      <c r="A202" s="1">
        <v>5</v>
      </c>
      <c r="B202" s="1">
        <v>220500002</v>
      </c>
      <c r="C202" s="1">
        <v>205</v>
      </c>
      <c r="D202" s="1">
        <v>0</v>
      </c>
      <c r="E202" s="1">
        <v>-101</v>
      </c>
      <c r="F202" s="1">
        <v>0</v>
      </c>
      <c r="G202" s="1">
        <v>-15</v>
      </c>
      <c r="H202" s="1"/>
    </row>
    <row r="203" spans="1:8" x14ac:dyDescent="0.2">
      <c r="A203" s="1">
        <v>5</v>
      </c>
      <c r="B203" s="1">
        <v>220500003</v>
      </c>
      <c r="C203" s="1">
        <v>205</v>
      </c>
      <c r="D203" s="1">
        <v>0</v>
      </c>
      <c r="E203" s="1">
        <v>-85</v>
      </c>
      <c r="F203" s="1">
        <v>0</v>
      </c>
      <c r="G203" s="1">
        <v>-29</v>
      </c>
      <c r="H203" s="1"/>
    </row>
    <row r="204" spans="1:8" x14ac:dyDescent="0.2">
      <c r="A204" s="1">
        <v>5</v>
      </c>
      <c r="B204" s="1">
        <v>220500004</v>
      </c>
      <c r="C204" s="1">
        <v>205</v>
      </c>
      <c r="D204" s="1">
        <v>0</v>
      </c>
      <c r="E204" s="1">
        <v>-85</v>
      </c>
      <c r="F204" s="1">
        <v>0</v>
      </c>
      <c r="G204" s="1">
        <v>-39</v>
      </c>
      <c r="H204" s="1"/>
    </row>
    <row r="205" spans="1:8" x14ac:dyDescent="0.2">
      <c r="A205" s="1">
        <v>5</v>
      </c>
      <c r="B205" s="1">
        <v>220600001</v>
      </c>
      <c r="C205" s="1">
        <v>206</v>
      </c>
      <c r="D205" s="1">
        <v>0</v>
      </c>
      <c r="E205" s="1">
        <v>48</v>
      </c>
      <c r="F205" s="1">
        <v>0</v>
      </c>
      <c r="G205" s="1">
        <v>48</v>
      </c>
      <c r="H205" s="1" t="s">
        <v>238</v>
      </c>
    </row>
    <row r="206" spans="1:8" x14ac:dyDescent="0.2">
      <c r="A206" s="1">
        <v>5</v>
      </c>
      <c r="B206" s="1">
        <v>220700001</v>
      </c>
      <c r="C206" s="1">
        <v>207</v>
      </c>
      <c r="D206" s="1">
        <v>0</v>
      </c>
      <c r="E206" s="1">
        <v>83</v>
      </c>
      <c r="F206" s="1">
        <v>-9</v>
      </c>
      <c r="G206" s="1">
        <v>-93</v>
      </c>
      <c r="H206" s="1" t="s">
        <v>239</v>
      </c>
    </row>
    <row r="207" spans="1:8" x14ac:dyDescent="0.2">
      <c r="A207" s="1">
        <v>5</v>
      </c>
      <c r="B207" s="1">
        <v>220700002</v>
      </c>
      <c r="C207" s="1">
        <v>207</v>
      </c>
      <c r="D207" s="1">
        <v>0</v>
      </c>
      <c r="E207" s="1">
        <v>115</v>
      </c>
      <c r="F207" s="1">
        <v>-9</v>
      </c>
      <c r="G207" s="1">
        <v>-42</v>
      </c>
      <c r="H207" s="1"/>
    </row>
    <row r="208" spans="1:8" x14ac:dyDescent="0.2">
      <c r="A208" s="1">
        <v>5</v>
      </c>
      <c r="B208" s="1">
        <v>220700003</v>
      </c>
      <c r="C208" s="1">
        <v>207</v>
      </c>
      <c r="D208" s="1">
        <v>0</v>
      </c>
      <c r="E208" s="1">
        <v>128</v>
      </c>
      <c r="F208" s="1">
        <v>-9</v>
      </c>
      <c r="G208" s="1">
        <v>-54</v>
      </c>
      <c r="H208" s="1"/>
    </row>
    <row r="209" spans="1:8" x14ac:dyDescent="0.2">
      <c r="A209" s="1">
        <v>5</v>
      </c>
      <c r="B209" s="1">
        <v>220700004</v>
      </c>
      <c r="C209" s="1">
        <v>207</v>
      </c>
      <c r="D209" s="1">
        <v>0</v>
      </c>
      <c r="E209" s="1">
        <v>116</v>
      </c>
      <c r="F209" s="1">
        <v>-9</v>
      </c>
      <c r="G209" s="1">
        <v>-66</v>
      </c>
      <c r="H209" s="1"/>
    </row>
    <row r="210" spans="1:8" x14ac:dyDescent="0.2">
      <c r="A210" s="1">
        <v>5</v>
      </c>
      <c r="B210" s="1">
        <v>220700005</v>
      </c>
      <c r="C210" s="1">
        <v>207</v>
      </c>
      <c r="D210" s="1">
        <v>0</v>
      </c>
      <c r="E210" s="1">
        <v>95</v>
      </c>
      <c r="F210" s="1">
        <v>-9</v>
      </c>
      <c r="G210" s="1">
        <v>-96</v>
      </c>
      <c r="H210" s="1"/>
    </row>
    <row r="211" spans="1:8" x14ac:dyDescent="0.2">
      <c r="A211" s="1">
        <v>5</v>
      </c>
      <c r="B211" s="1">
        <v>220700006</v>
      </c>
      <c r="C211" s="1">
        <v>207</v>
      </c>
      <c r="D211" s="1">
        <v>0</v>
      </c>
      <c r="E211" s="1">
        <v>119</v>
      </c>
      <c r="F211" s="1">
        <v>-9</v>
      </c>
      <c r="G211" s="1">
        <v>-92</v>
      </c>
      <c r="H211" s="1"/>
    </row>
    <row r="212" spans="1:8" x14ac:dyDescent="0.2">
      <c r="A212" s="1">
        <v>5</v>
      </c>
      <c r="B212" s="1">
        <v>220700007</v>
      </c>
      <c r="C212" s="1">
        <v>207</v>
      </c>
      <c r="D212" s="1">
        <v>0</v>
      </c>
      <c r="E212" s="1">
        <v>107</v>
      </c>
      <c r="F212" s="1">
        <v>-9</v>
      </c>
      <c r="G212" s="1">
        <v>-91</v>
      </c>
      <c r="H212" s="1"/>
    </row>
    <row r="213" spans="1:8" x14ac:dyDescent="0.2">
      <c r="A213" s="1">
        <v>5</v>
      </c>
      <c r="B213" s="1">
        <v>220700008</v>
      </c>
      <c r="C213" s="1">
        <v>207</v>
      </c>
      <c r="D213" s="1">
        <v>0</v>
      </c>
      <c r="E213" s="1">
        <v>128</v>
      </c>
      <c r="F213" s="1">
        <v>-9</v>
      </c>
      <c r="G213" s="1">
        <v>-66</v>
      </c>
      <c r="H213" s="1"/>
    </row>
    <row r="214" spans="1:8" x14ac:dyDescent="0.2">
      <c r="A214" s="1">
        <v>5</v>
      </c>
      <c r="B214" s="1">
        <v>220700009</v>
      </c>
      <c r="C214" s="1">
        <v>207</v>
      </c>
      <c r="D214" s="1">
        <v>0</v>
      </c>
      <c r="E214" s="1">
        <v>104</v>
      </c>
      <c r="F214" s="1">
        <v>-9</v>
      </c>
      <c r="G214" s="1">
        <v>-66</v>
      </c>
      <c r="H214" s="1"/>
    </row>
    <row r="215" spans="1:8" x14ac:dyDescent="0.2">
      <c r="A215" s="1">
        <v>5</v>
      </c>
      <c r="B215" s="1">
        <v>220700010</v>
      </c>
      <c r="C215" s="1">
        <v>207</v>
      </c>
      <c r="D215" s="1">
        <v>0</v>
      </c>
      <c r="E215" s="1">
        <v>107</v>
      </c>
      <c r="F215" s="1">
        <v>-9</v>
      </c>
      <c r="G215" s="1">
        <v>-104</v>
      </c>
      <c r="H215" s="1"/>
    </row>
    <row r="216" spans="1:8" x14ac:dyDescent="0.2">
      <c r="A216" s="1">
        <v>5</v>
      </c>
      <c r="B216" s="1">
        <v>220700011</v>
      </c>
      <c r="C216" s="1">
        <v>207</v>
      </c>
      <c r="D216" s="1">
        <v>0</v>
      </c>
      <c r="E216" s="1">
        <v>83</v>
      </c>
      <c r="F216" s="1">
        <v>-9</v>
      </c>
      <c r="G216" s="1">
        <v>-105</v>
      </c>
      <c r="H216" s="1"/>
    </row>
    <row r="217" spans="1:8" x14ac:dyDescent="0.2">
      <c r="A217" s="1">
        <v>5</v>
      </c>
      <c r="B217" s="1">
        <v>220700012</v>
      </c>
      <c r="C217" s="1">
        <v>207</v>
      </c>
      <c r="D217" s="1">
        <v>0</v>
      </c>
      <c r="E217" s="1">
        <v>107</v>
      </c>
      <c r="F217" s="1">
        <v>-9</v>
      </c>
      <c r="G217" s="1">
        <v>-79</v>
      </c>
      <c r="H217" s="1"/>
    </row>
    <row r="218" spans="1:8" x14ac:dyDescent="0.2">
      <c r="A218" s="1">
        <v>5</v>
      </c>
      <c r="B218" s="1">
        <v>220700013</v>
      </c>
      <c r="C218" s="1">
        <v>207</v>
      </c>
      <c r="D218" s="1">
        <v>0</v>
      </c>
      <c r="E218" s="1">
        <v>123</v>
      </c>
      <c r="F218" s="1">
        <v>-9</v>
      </c>
      <c r="G218" s="1">
        <v>-29</v>
      </c>
      <c r="H218" s="1"/>
    </row>
    <row r="219" spans="1:8" x14ac:dyDescent="0.2">
      <c r="A219" s="1">
        <v>5</v>
      </c>
      <c r="B219" s="1">
        <v>220700014</v>
      </c>
      <c r="C219" s="1">
        <v>207</v>
      </c>
      <c r="D219" s="1">
        <v>0</v>
      </c>
      <c r="E219" s="1">
        <v>70</v>
      </c>
      <c r="F219" s="1">
        <v>-9</v>
      </c>
      <c r="G219" s="1">
        <v>-97</v>
      </c>
      <c r="H219" s="1"/>
    </row>
    <row r="220" spans="1:8" x14ac:dyDescent="0.2">
      <c r="A220" s="1">
        <v>5</v>
      </c>
      <c r="B220" s="1">
        <v>220700015</v>
      </c>
      <c r="C220" s="1">
        <v>207</v>
      </c>
      <c r="D220" s="1">
        <v>0</v>
      </c>
      <c r="E220" s="1">
        <v>70</v>
      </c>
      <c r="F220" s="1">
        <v>-9</v>
      </c>
      <c r="G220" s="1">
        <v>-110</v>
      </c>
      <c r="H220" s="1"/>
    </row>
    <row r="221" spans="1:8" x14ac:dyDescent="0.2">
      <c r="A221" s="1">
        <v>5</v>
      </c>
      <c r="B221" s="1">
        <v>220700016</v>
      </c>
      <c r="C221" s="1">
        <v>207</v>
      </c>
      <c r="D221" s="1">
        <v>0</v>
      </c>
      <c r="E221" s="1">
        <v>95</v>
      </c>
      <c r="F221" s="1">
        <v>-9</v>
      </c>
      <c r="G221" s="1">
        <v>-109</v>
      </c>
      <c r="H221" s="1"/>
    </row>
    <row r="222" spans="1:8" x14ac:dyDescent="0.2">
      <c r="A222" s="1">
        <v>5</v>
      </c>
      <c r="B222" s="1">
        <v>220800001</v>
      </c>
      <c r="C222" s="1">
        <v>208</v>
      </c>
      <c r="D222" s="1">
        <v>0</v>
      </c>
      <c r="E222" s="1">
        <v>-69</v>
      </c>
      <c r="F222" s="1">
        <v>13</v>
      </c>
      <c r="G222" s="1">
        <v>78</v>
      </c>
      <c r="H222" s="1" t="s">
        <v>240</v>
      </c>
    </row>
    <row r="223" spans="1:8" x14ac:dyDescent="0.2">
      <c r="A223" s="1">
        <v>5</v>
      </c>
      <c r="B223" s="1">
        <v>220900001</v>
      </c>
      <c r="C223" s="1">
        <v>209</v>
      </c>
      <c r="D223" s="1">
        <v>0</v>
      </c>
      <c r="E223" s="1">
        <v>45</v>
      </c>
      <c r="F223" s="1">
        <v>0</v>
      </c>
      <c r="G223" s="1">
        <v>18</v>
      </c>
      <c r="H223" s="1" t="s">
        <v>241</v>
      </c>
    </row>
    <row r="224" spans="1:8" x14ac:dyDescent="0.2">
      <c r="A224" s="1">
        <v>5</v>
      </c>
      <c r="B224" s="1">
        <v>221100001</v>
      </c>
      <c r="C224" s="1">
        <v>211</v>
      </c>
      <c r="D224" s="1">
        <v>0</v>
      </c>
      <c r="E224" s="1">
        <v>21</v>
      </c>
      <c r="F224" s="1">
        <v>0</v>
      </c>
      <c r="G224" s="1">
        <v>-38</v>
      </c>
      <c r="H224" s="1" t="s">
        <v>242</v>
      </c>
    </row>
    <row r="225" spans="1:8" x14ac:dyDescent="0.2">
      <c r="A225" s="1">
        <v>5</v>
      </c>
      <c r="B225" s="1">
        <v>221200001</v>
      </c>
      <c r="C225" s="1">
        <v>212</v>
      </c>
      <c r="D225" s="1">
        <v>0</v>
      </c>
      <c r="E225" s="1">
        <v>129</v>
      </c>
      <c r="F225" s="1">
        <v>-4.5999999999999996</v>
      </c>
      <c r="G225" s="1">
        <v>52</v>
      </c>
      <c r="H225" s="1" t="s">
        <v>243</v>
      </c>
    </row>
    <row r="226" spans="1:8" x14ac:dyDescent="0.2">
      <c r="A226" s="1">
        <v>5</v>
      </c>
      <c r="B226" s="1">
        <v>221300001</v>
      </c>
      <c r="C226" s="1">
        <v>213</v>
      </c>
      <c r="D226" s="1">
        <v>0</v>
      </c>
      <c r="E226" s="1">
        <v>16</v>
      </c>
      <c r="F226" s="1">
        <v>-18.5</v>
      </c>
      <c r="G226" s="1">
        <v>130</v>
      </c>
      <c r="H226" s="1" t="s">
        <v>244</v>
      </c>
    </row>
    <row r="227" spans="1:8" x14ac:dyDescent="0.2">
      <c r="A227" s="1">
        <v>5</v>
      </c>
      <c r="B227" s="1">
        <v>221500001</v>
      </c>
      <c r="C227" s="1">
        <v>215</v>
      </c>
      <c r="D227" s="1">
        <v>0</v>
      </c>
      <c r="E227" s="1">
        <v>90</v>
      </c>
      <c r="F227" s="1">
        <v>0</v>
      </c>
      <c r="G227" s="1">
        <v>1</v>
      </c>
      <c r="H227" s="1" t="s">
        <v>245</v>
      </c>
    </row>
    <row r="228" spans="1:8" x14ac:dyDescent="0.2">
      <c r="A228" s="1">
        <v>5</v>
      </c>
      <c r="B228" s="1">
        <v>222200001</v>
      </c>
      <c r="C228" s="1">
        <v>222</v>
      </c>
      <c r="D228" s="1">
        <v>0</v>
      </c>
      <c r="E228" s="1">
        <v>48</v>
      </c>
      <c r="F228" s="1">
        <v>0</v>
      </c>
      <c r="G228" s="1">
        <v>-17</v>
      </c>
      <c r="H228" s="1" t="s">
        <v>246</v>
      </c>
    </row>
    <row r="229" spans="1:8" x14ac:dyDescent="0.2">
      <c r="A229" s="1">
        <v>5</v>
      </c>
      <c r="B229" s="1">
        <v>222400001</v>
      </c>
      <c r="C229" s="1">
        <v>224</v>
      </c>
      <c r="D229" s="1">
        <v>0</v>
      </c>
      <c r="E229" s="1">
        <v>69</v>
      </c>
      <c r="F229" s="1">
        <v>0</v>
      </c>
      <c r="G229" s="1">
        <v>18</v>
      </c>
      <c r="H229" s="1" t="s">
        <v>247</v>
      </c>
    </row>
    <row r="230" spans="1:8" x14ac:dyDescent="0.2">
      <c r="A230" s="1">
        <v>5</v>
      </c>
      <c r="B230" s="1">
        <v>222600001</v>
      </c>
      <c r="C230" s="1">
        <v>226</v>
      </c>
      <c r="D230" s="1">
        <v>0</v>
      </c>
      <c r="E230" s="1">
        <v>-7</v>
      </c>
      <c r="F230" s="1">
        <v>3</v>
      </c>
      <c r="G230" s="1">
        <v>66</v>
      </c>
      <c r="H230" s="1" t="s">
        <v>248</v>
      </c>
    </row>
    <row r="231" spans="1:8" x14ac:dyDescent="0.2">
      <c r="A231" s="1">
        <v>5</v>
      </c>
      <c r="B231" s="1">
        <v>222700001</v>
      </c>
      <c r="C231" s="1">
        <v>227</v>
      </c>
      <c r="D231" s="1">
        <v>0</v>
      </c>
      <c r="E231" s="1">
        <v>135</v>
      </c>
      <c r="F231" s="1">
        <v>-9</v>
      </c>
      <c r="G231" s="1">
        <v>-12</v>
      </c>
      <c r="H231" s="1" t="s">
        <v>249</v>
      </c>
    </row>
    <row r="232" spans="1:8" x14ac:dyDescent="0.2">
      <c r="A232" s="1">
        <v>5</v>
      </c>
      <c r="B232" s="1">
        <v>222700002</v>
      </c>
      <c r="C232" s="1">
        <v>227</v>
      </c>
      <c r="D232" s="1">
        <v>0</v>
      </c>
      <c r="E232" s="1">
        <v>136</v>
      </c>
      <c r="F232" s="1">
        <v>-8.56</v>
      </c>
      <c r="G232" s="1">
        <v>16</v>
      </c>
      <c r="H232" s="1"/>
    </row>
    <row r="233" spans="1:8" x14ac:dyDescent="0.2">
      <c r="A233" s="1">
        <v>5</v>
      </c>
      <c r="B233" s="1">
        <v>222900001</v>
      </c>
      <c r="C233" s="1">
        <v>229</v>
      </c>
      <c r="D233" s="1">
        <v>0</v>
      </c>
      <c r="E233" s="1">
        <v>27</v>
      </c>
      <c r="F233" s="1">
        <v>0</v>
      </c>
      <c r="G233" s="1">
        <v>36</v>
      </c>
      <c r="H233" s="1" t="s">
        <v>296</v>
      </c>
    </row>
    <row r="234" spans="1:8" x14ac:dyDescent="0.2">
      <c r="A234" s="1">
        <v>5</v>
      </c>
      <c r="B234" s="1">
        <v>223000001</v>
      </c>
      <c r="C234" s="1">
        <v>230</v>
      </c>
      <c r="D234" s="1">
        <v>0</v>
      </c>
      <c r="E234" s="1">
        <v>30</v>
      </c>
      <c r="F234" s="1">
        <v>0</v>
      </c>
      <c r="G234" s="1">
        <v>-17</v>
      </c>
      <c r="H234" s="1" t="s">
        <v>250</v>
      </c>
    </row>
    <row r="235" spans="1:8" x14ac:dyDescent="0.2">
      <c r="A235" s="1">
        <v>5</v>
      </c>
      <c r="B235" s="1">
        <v>223100001</v>
      </c>
      <c r="C235" s="1">
        <v>231</v>
      </c>
      <c r="D235" s="1">
        <v>0</v>
      </c>
      <c r="E235" s="1">
        <v>-13</v>
      </c>
      <c r="F235" s="1">
        <v>0</v>
      </c>
      <c r="G235" s="1">
        <v>-40</v>
      </c>
      <c r="H235" s="1" t="s">
        <v>251</v>
      </c>
    </row>
    <row r="236" spans="1:8" x14ac:dyDescent="0.2">
      <c r="A236" s="1">
        <v>5</v>
      </c>
      <c r="B236" s="1">
        <v>223200001</v>
      </c>
      <c r="C236" s="1">
        <v>232</v>
      </c>
      <c r="D236" s="1">
        <v>0</v>
      </c>
      <c r="E236" s="1">
        <v>72</v>
      </c>
      <c r="F236" s="1">
        <v>0</v>
      </c>
      <c r="G236" s="1">
        <v>48</v>
      </c>
      <c r="H236" s="1" t="s">
        <v>252</v>
      </c>
    </row>
    <row r="237" spans="1:8" x14ac:dyDescent="0.2">
      <c r="A237" s="1">
        <v>5</v>
      </c>
      <c r="B237" s="1">
        <v>223400001</v>
      </c>
      <c r="C237" s="1">
        <v>234</v>
      </c>
      <c r="D237" s="1">
        <v>0</v>
      </c>
      <c r="E237" s="1">
        <v>-111</v>
      </c>
      <c r="F237" s="1">
        <v>0</v>
      </c>
      <c r="G237" s="1">
        <v>-40</v>
      </c>
      <c r="H237" s="1" t="s">
        <v>297</v>
      </c>
    </row>
    <row r="238" spans="1:8" x14ac:dyDescent="0.2">
      <c r="A238" s="1">
        <v>5</v>
      </c>
      <c r="B238" s="1">
        <v>223400002</v>
      </c>
      <c r="C238" s="1">
        <v>234</v>
      </c>
      <c r="D238" s="1">
        <v>0</v>
      </c>
      <c r="E238" s="1">
        <v>-111</v>
      </c>
      <c r="F238" s="1">
        <v>0</v>
      </c>
      <c r="G238" s="1">
        <v>-50</v>
      </c>
      <c r="H238" s="1"/>
    </row>
    <row r="239" spans="1:8" x14ac:dyDescent="0.2">
      <c r="A239" s="1">
        <v>5</v>
      </c>
      <c r="B239" s="1">
        <v>223400003</v>
      </c>
      <c r="C239" s="1">
        <v>234</v>
      </c>
      <c r="D239" s="1">
        <v>0</v>
      </c>
      <c r="E239" s="1">
        <v>-87</v>
      </c>
      <c r="F239" s="1">
        <v>0</v>
      </c>
      <c r="G239" s="1">
        <v>-50</v>
      </c>
      <c r="H239" s="1"/>
    </row>
    <row r="240" spans="1:8" x14ac:dyDescent="0.2">
      <c r="A240" s="1">
        <v>5</v>
      </c>
      <c r="B240" s="1">
        <v>223400004</v>
      </c>
      <c r="C240" s="1">
        <v>234</v>
      </c>
      <c r="D240" s="1">
        <v>0</v>
      </c>
      <c r="E240" s="1">
        <v>-95</v>
      </c>
      <c r="F240" s="1">
        <v>0</v>
      </c>
      <c r="G240" s="1">
        <v>-60</v>
      </c>
      <c r="H240" s="1"/>
    </row>
    <row r="241" spans="1:8" x14ac:dyDescent="0.2">
      <c r="A241" s="1">
        <v>5</v>
      </c>
      <c r="B241" s="1">
        <v>223500001</v>
      </c>
      <c r="C241" s="1">
        <v>235</v>
      </c>
      <c r="D241" s="1">
        <v>0</v>
      </c>
      <c r="E241" s="1">
        <v>-57</v>
      </c>
      <c r="F241" s="1">
        <v>5</v>
      </c>
      <c r="G241" s="1">
        <v>6</v>
      </c>
      <c r="H241" s="1" t="s">
        <v>253</v>
      </c>
    </row>
    <row r="242" spans="1:8" x14ac:dyDescent="0.2">
      <c r="A242" s="1">
        <v>5</v>
      </c>
      <c r="B242" s="1">
        <v>223600001</v>
      </c>
      <c r="C242" s="1">
        <v>236</v>
      </c>
      <c r="D242" s="1">
        <v>0</v>
      </c>
      <c r="E242" s="1">
        <v>-35</v>
      </c>
      <c r="F242" s="1">
        <v>5</v>
      </c>
      <c r="G242" s="1">
        <v>6</v>
      </c>
      <c r="H242" s="1" t="s">
        <v>254</v>
      </c>
    </row>
    <row r="243" spans="1:8" x14ac:dyDescent="0.2">
      <c r="A243" s="1">
        <v>5</v>
      </c>
      <c r="B243" s="1">
        <v>223700001</v>
      </c>
      <c r="C243" s="1">
        <v>237</v>
      </c>
      <c r="D243" s="1">
        <v>0</v>
      </c>
      <c r="E243" s="1">
        <v>63</v>
      </c>
      <c r="F243" s="1">
        <v>0</v>
      </c>
      <c r="G243" s="1">
        <v>-41</v>
      </c>
      <c r="H243" s="1" t="s">
        <v>255</v>
      </c>
    </row>
    <row r="244" spans="1:8" x14ac:dyDescent="0.2">
      <c r="A244" s="1">
        <v>5</v>
      </c>
      <c r="B244" s="1">
        <v>230000001</v>
      </c>
      <c r="C244" s="1">
        <v>300</v>
      </c>
      <c r="D244" s="1">
        <v>0</v>
      </c>
      <c r="E244" s="1">
        <v>80</v>
      </c>
      <c r="F244" s="1">
        <v>-9</v>
      </c>
      <c r="G244" s="1">
        <v>107</v>
      </c>
      <c r="H244" s="1" t="s">
        <v>256</v>
      </c>
    </row>
    <row r="245" spans="1:8" x14ac:dyDescent="0.2">
      <c r="A245" s="1">
        <v>5</v>
      </c>
      <c r="B245" s="1">
        <v>240000001</v>
      </c>
      <c r="C245" s="1">
        <v>400</v>
      </c>
      <c r="D245" s="1">
        <v>0</v>
      </c>
      <c r="E245" s="1">
        <v>-18</v>
      </c>
      <c r="F245" s="1">
        <v>0</v>
      </c>
      <c r="G245" s="1">
        <v>-62</v>
      </c>
      <c r="H245" s="1" t="s">
        <v>257</v>
      </c>
    </row>
    <row r="246" spans="1:8" x14ac:dyDescent="0.2">
      <c r="A246" s="1">
        <v>5</v>
      </c>
      <c r="B246" s="1">
        <v>240400001</v>
      </c>
      <c r="C246" s="1">
        <v>404</v>
      </c>
      <c r="D246" s="1">
        <v>0</v>
      </c>
      <c r="E246" s="1">
        <v>214.97</v>
      </c>
      <c r="F246" s="1">
        <v>-4.2</v>
      </c>
      <c r="G246" s="1">
        <v>89.09</v>
      </c>
      <c r="H246" s="1" t="s">
        <v>258</v>
      </c>
    </row>
  </sheetData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6"/>
  <sheetViews>
    <sheetView workbookViewId="0">
      <selection activeCell="R47" sqref="R47"/>
    </sheetView>
  </sheetViews>
  <sheetFormatPr defaultColWidth="9" defaultRowHeight="14.25" x14ac:dyDescent="0.2"/>
  <sheetData>
    <row r="1" spans="1:8" x14ac:dyDescent="0.2">
      <c r="A1" s="35" t="s">
        <v>347</v>
      </c>
      <c r="B1" s="1"/>
      <c r="C1" s="1"/>
      <c r="D1" s="1"/>
      <c r="E1" s="1"/>
      <c r="F1" s="1"/>
      <c r="G1" s="1"/>
      <c r="H1" s="1"/>
    </row>
    <row r="2" spans="1:8" x14ac:dyDescent="0.2">
      <c r="A2" s="41" t="s">
        <v>105</v>
      </c>
      <c r="B2" s="41" t="s">
        <v>128</v>
      </c>
      <c r="C2" s="42" t="s">
        <v>228</v>
      </c>
      <c r="D2" s="42" t="s">
        <v>229</v>
      </c>
      <c r="E2" s="42" t="s">
        <v>230</v>
      </c>
      <c r="F2" s="42" t="s">
        <v>231</v>
      </c>
      <c r="G2" s="42" t="s">
        <v>232</v>
      </c>
      <c r="H2" s="1"/>
    </row>
    <row r="3" spans="1:8" x14ac:dyDescent="0.2">
      <c r="A3" s="41" t="s">
        <v>129</v>
      </c>
      <c r="B3" s="41" t="s">
        <v>128</v>
      </c>
      <c r="C3" s="42" t="s">
        <v>228</v>
      </c>
      <c r="D3" s="42" t="s">
        <v>229</v>
      </c>
      <c r="E3" s="42" t="s">
        <v>230</v>
      </c>
      <c r="F3" s="42" t="s">
        <v>231</v>
      </c>
      <c r="G3" s="42" t="s">
        <v>232</v>
      </c>
      <c r="H3" s="1"/>
    </row>
    <row r="4" spans="1:8" x14ac:dyDescent="0.2">
      <c r="A4" s="35">
        <v>1</v>
      </c>
      <c r="B4" s="35">
        <v>220100001</v>
      </c>
      <c r="C4" s="35">
        <v>201</v>
      </c>
      <c r="D4" s="35">
        <v>0</v>
      </c>
      <c r="E4" s="35">
        <v>0</v>
      </c>
      <c r="F4" s="35">
        <v>0</v>
      </c>
      <c r="G4" s="35">
        <v>0</v>
      </c>
      <c r="H4" s="1"/>
    </row>
    <row r="5" spans="1:8" x14ac:dyDescent="0.2">
      <c r="A5" s="35">
        <v>1</v>
      </c>
      <c r="B5" s="35">
        <v>220200001</v>
      </c>
      <c r="C5" s="35">
        <v>202</v>
      </c>
      <c r="D5" s="35">
        <v>0</v>
      </c>
      <c r="E5" s="35">
        <v>54</v>
      </c>
      <c r="F5" s="35">
        <v>-0.47058867999999998</v>
      </c>
      <c r="G5" s="35">
        <v>-51</v>
      </c>
      <c r="H5" s="1"/>
    </row>
    <row r="6" spans="1:8" x14ac:dyDescent="0.2">
      <c r="A6" s="35">
        <v>1</v>
      </c>
      <c r="B6" s="35">
        <v>220200002</v>
      </c>
      <c r="C6" s="35">
        <v>202</v>
      </c>
      <c r="D6" s="35">
        <v>0</v>
      </c>
      <c r="E6" s="35">
        <v>-30</v>
      </c>
      <c r="F6" s="35">
        <v>-0.47058867999999998</v>
      </c>
      <c r="G6" s="35">
        <v>-60</v>
      </c>
      <c r="H6" s="1"/>
    </row>
    <row r="7" spans="1:8" x14ac:dyDescent="0.2">
      <c r="A7" s="35">
        <v>1</v>
      </c>
      <c r="B7" s="35">
        <v>220200003</v>
      </c>
      <c r="C7" s="35">
        <v>202</v>
      </c>
      <c r="D7" s="35">
        <v>0</v>
      </c>
      <c r="E7" s="35">
        <v>-36</v>
      </c>
      <c r="F7" s="35">
        <v>-0.47058867999999998</v>
      </c>
      <c r="G7" s="35">
        <v>-33</v>
      </c>
      <c r="H7" s="1"/>
    </row>
    <row r="8" spans="1:8" x14ac:dyDescent="0.2">
      <c r="A8" s="35">
        <v>1</v>
      </c>
      <c r="B8" s="35">
        <v>220200004</v>
      </c>
      <c r="C8" s="35">
        <v>202</v>
      </c>
      <c r="D8" s="35">
        <v>0</v>
      </c>
      <c r="E8" s="35">
        <v>63</v>
      </c>
      <c r="F8" s="35">
        <v>-0.47058867999999998</v>
      </c>
      <c r="G8" s="35">
        <v>-18</v>
      </c>
      <c r="H8" s="1"/>
    </row>
    <row r="9" spans="1:8" x14ac:dyDescent="0.2">
      <c r="A9" s="35">
        <v>1</v>
      </c>
      <c r="B9" s="35">
        <v>220200013</v>
      </c>
      <c r="C9" s="35">
        <v>202</v>
      </c>
      <c r="D9" s="35">
        <v>0</v>
      </c>
      <c r="E9" s="35">
        <v>-42</v>
      </c>
      <c r="F9" s="35">
        <v>-0.47058867999999998</v>
      </c>
      <c r="G9" s="35">
        <v>-57</v>
      </c>
      <c r="H9" s="1"/>
    </row>
    <row r="10" spans="1:8" x14ac:dyDescent="0.2">
      <c r="A10" s="35">
        <v>1</v>
      </c>
      <c r="B10" s="35">
        <v>220200014</v>
      </c>
      <c r="C10" s="35">
        <v>202</v>
      </c>
      <c r="D10" s="35">
        <v>0</v>
      </c>
      <c r="E10" s="35">
        <v>66</v>
      </c>
      <c r="F10" s="35">
        <v>-0.47058867999999998</v>
      </c>
      <c r="G10" s="35">
        <v>-30</v>
      </c>
      <c r="H10" s="1"/>
    </row>
    <row r="11" spans="1:8" x14ac:dyDescent="0.2">
      <c r="A11" s="35">
        <v>1</v>
      </c>
      <c r="B11" s="35">
        <v>220300001</v>
      </c>
      <c r="C11" s="35">
        <v>203</v>
      </c>
      <c r="D11" s="35">
        <v>0</v>
      </c>
      <c r="E11" s="35">
        <v>45</v>
      </c>
      <c r="F11" s="35">
        <v>-8.9653969999999994</v>
      </c>
      <c r="G11" s="35">
        <v>-117</v>
      </c>
      <c r="H11" s="1"/>
    </row>
    <row r="12" spans="1:8" x14ac:dyDescent="0.2">
      <c r="A12" s="35">
        <v>1</v>
      </c>
      <c r="B12" s="35">
        <v>220300002</v>
      </c>
      <c r="C12" s="35">
        <v>203</v>
      </c>
      <c r="D12" s="35">
        <v>0</v>
      </c>
      <c r="E12" s="35">
        <v>-24</v>
      </c>
      <c r="F12" s="35">
        <v>-8.9653969999999994</v>
      </c>
      <c r="G12" s="35">
        <v>-111</v>
      </c>
      <c r="H12" s="1"/>
    </row>
    <row r="13" spans="1:8" x14ac:dyDescent="0.2">
      <c r="A13" s="35">
        <v>1</v>
      </c>
      <c r="B13" s="35">
        <v>220300003</v>
      </c>
      <c r="C13" s="35">
        <v>203</v>
      </c>
      <c r="D13" s="35">
        <v>0</v>
      </c>
      <c r="E13" s="35">
        <v>117</v>
      </c>
      <c r="F13" s="35">
        <v>-9.1450980000000008</v>
      </c>
      <c r="G13" s="35">
        <v>-78</v>
      </c>
      <c r="H13" s="1"/>
    </row>
    <row r="14" spans="1:8" x14ac:dyDescent="0.2">
      <c r="A14" s="35">
        <v>1</v>
      </c>
      <c r="B14" s="35">
        <v>220300004</v>
      </c>
      <c r="C14" s="35">
        <v>203</v>
      </c>
      <c r="D14" s="35">
        <v>0</v>
      </c>
      <c r="E14" s="35">
        <v>-12</v>
      </c>
      <c r="F14" s="35">
        <v>-0.47058867999999998</v>
      </c>
      <c r="G14" s="35">
        <v>-60</v>
      </c>
      <c r="H14" s="1"/>
    </row>
    <row r="15" spans="1:8" x14ac:dyDescent="0.2">
      <c r="A15" s="35">
        <v>1</v>
      </c>
      <c r="B15" s="35">
        <v>220300005</v>
      </c>
      <c r="C15" s="35">
        <v>203</v>
      </c>
      <c r="D15" s="35">
        <v>0</v>
      </c>
      <c r="E15" s="35">
        <v>-90</v>
      </c>
      <c r="F15" s="35">
        <v>-0.47058867999999998</v>
      </c>
      <c r="G15" s="35">
        <v>-42</v>
      </c>
      <c r="H15" s="1"/>
    </row>
    <row r="16" spans="1:8" x14ac:dyDescent="0.2">
      <c r="A16" s="35">
        <v>1</v>
      </c>
      <c r="B16" s="35">
        <v>220300006</v>
      </c>
      <c r="C16" s="35">
        <v>203</v>
      </c>
      <c r="D16" s="35">
        <v>0</v>
      </c>
      <c r="E16" s="35">
        <v>54</v>
      </c>
      <c r="F16" s="35">
        <v>-0.47058867999999998</v>
      </c>
      <c r="G16" s="35">
        <v>33</v>
      </c>
      <c r="H16" s="1"/>
    </row>
    <row r="17" spans="1:8" x14ac:dyDescent="0.2">
      <c r="A17" s="35">
        <v>1</v>
      </c>
      <c r="B17" s="35">
        <v>220400001</v>
      </c>
      <c r="C17" s="35">
        <v>204</v>
      </c>
      <c r="D17" s="35">
        <v>0</v>
      </c>
      <c r="E17" s="35">
        <v>115.5</v>
      </c>
      <c r="F17" s="35">
        <v>-9.4549009999999996</v>
      </c>
      <c r="G17" s="35">
        <v>-100.5</v>
      </c>
      <c r="H17" s="1"/>
    </row>
    <row r="18" spans="1:8" x14ac:dyDescent="0.2">
      <c r="A18" s="35">
        <v>1</v>
      </c>
      <c r="B18" s="35">
        <v>220400002</v>
      </c>
      <c r="C18" s="35">
        <v>204</v>
      </c>
      <c r="D18" s="35">
        <v>0</v>
      </c>
      <c r="E18" s="35">
        <v>118.5</v>
      </c>
      <c r="F18" s="35">
        <v>-9.1450980000000008</v>
      </c>
      <c r="G18" s="35">
        <v>-52.5</v>
      </c>
      <c r="H18" s="1"/>
    </row>
    <row r="19" spans="1:8" x14ac:dyDescent="0.2">
      <c r="A19" s="35">
        <v>1</v>
      </c>
      <c r="B19" s="35">
        <v>220400003</v>
      </c>
      <c r="C19" s="35">
        <v>204</v>
      </c>
      <c r="D19" s="35">
        <v>0</v>
      </c>
      <c r="E19" s="35">
        <v>112.5</v>
      </c>
      <c r="F19" s="35">
        <v>-9.1450980000000008</v>
      </c>
      <c r="G19" s="35">
        <v>-31.5</v>
      </c>
      <c r="H19" s="1"/>
    </row>
    <row r="20" spans="1:8" x14ac:dyDescent="0.2">
      <c r="A20" s="35">
        <v>1</v>
      </c>
      <c r="B20" s="35">
        <v>220400004</v>
      </c>
      <c r="C20" s="35">
        <v>204</v>
      </c>
      <c r="D20" s="35">
        <v>0</v>
      </c>
      <c r="E20" s="35">
        <v>-46.5</v>
      </c>
      <c r="F20" s="35">
        <v>-9.1450980000000008</v>
      </c>
      <c r="G20" s="35">
        <v>-106.5</v>
      </c>
      <c r="H20" s="1"/>
    </row>
    <row r="21" spans="1:8" x14ac:dyDescent="0.2">
      <c r="A21" s="35">
        <v>1</v>
      </c>
      <c r="B21" s="35">
        <v>220400005</v>
      </c>
      <c r="C21" s="35">
        <v>204</v>
      </c>
      <c r="D21" s="35">
        <v>0</v>
      </c>
      <c r="E21" s="35">
        <v>55.5</v>
      </c>
      <c r="F21" s="35">
        <v>-9.4549009999999996</v>
      </c>
      <c r="G21" s="35">
        <v>-115.5</v>
      </c>
      <c r="H21" s="1"/>
    </row>
    <row r="22" spans="1:8" x14ac:dyDescent="0.2">
      <c r="A22" s="35">
        <v>1</v>
      </c>
      <c r="B22" s="35">
        <v>220400006</v>
      </c>
      <c r="C22" s="35">
        <v>204</v>
      </c>
      <c r="D22" s="35">
        <v>0</v>
      </c>
      <c r="E22" s="35">
        <v>136.5</v>
      </c>
      <c r="F22" s="35">
        <v>-8.9653969999999994</v>
      </c>
      <c r="G22" s="35">
        <v>-43.5</v>
      </c>
      <c r="H22" s="1"/>
    </row>
    <row r="23" spans="1:8" x14ac:dyDescent="0.2">
      <c r="A23" s="35">
        <v>1</v>
      </c>
      <c r="B23" s="35">
        <v>220500001</v>
      </c>
      <c r="C23" s="35">
        <v>205</v>
      </c>
      <c r="D23" s="35">
        <v>0</v>
      </c>
      <c r="E23" s="35">
        <v>-93</v>
      </c>
      <c r="F23" s="35">
        <v>-0.47058867999999998</v>
      </c>
      <c r="G23" s="35">
        <v>-18</v>
      </c>
      <c r="H23" s="1"/>
    </row>
    <row r="24" spans="1:8" x14ac:dyDescent="0.2">
      <c r="A24" s="35">
        <v>1</v>
      </c>
      <c r="B24" s="35">
        <v>220500002</v>
      </c>
      <c r="C24" s="35">
        <v>205</v>
      </c>
      <c r="D24" s="35">
        <v>0</v>
      </c>
      <c r="E24" s="35">
        <v>-48</v>
      </c>
      <c r="F24" s="35">
        <v>-0.47058867999999998</v>
      </c>
      <c r="G24" s="35">
        <v>-45</v>
      </c>
      <c r="H24" s="1"/>
    </row>
    <row r="25" spans="1:8" x14ac:dyDescent="0.2">
      <c r="A25" s="35">
        <v>1</v>
      </c>
      <c r="B25" s="35">
        <v>220500003</v>
      </c>
      <c r="C25" s="35">
        <v>205</v>
      </c>
      <c r="D25" s="35">
        <v>0</v>
      </c>
      <c r="E25" s="35">
        <v>-90</v>
      </c>
      <c r="F25" s="35">
        <v>-0.47058867999999998</v>
      </c>
      <c r="G25" s="35">
        <v>-63</v>
      </c>
      <c r="H25" s="1"/>
    </row>
    <row r="26" spans="1:8" x14ac:dyDescent="0.2">
      <c r="A26" s="35">
        <v>1</v>
      </c>
      <c r="B26" s="35">
        <v>220500004</v>
      </c>
      <c r="C26" s="35">
        <v>205</v>
      </c>
      <c r="D26" s="35">
        <v>0</v>
      </c>
      <c r="E26" s="35">
        <v>39</v>
      </c>
      <c r="F26" s="35">
        <v>-0.47058867999999998</v>
      </c>
      <c r="G26" s="35">
        <v>-54</v>
      </c>
      <c r="H26" s="1"/>
    </row>
    <row r="27" spans="1:8" x14ac:dyDescent="0.2">
      <c r="A27" s="35">
        <v>1</v>
      </c>
      <c r="B27" s="35">
        <v>220500005</v>
      </c>
      <c r="C27" s="35">
        <v>205</v>
      </c>
      <c r="D27" s="35">
        <v>0</v>
      </c>
      <c r="E27" s="35">
        <v>45</v>
      </c>
      <c r="F27" s="35">
        <v>-9.4549009999999996</v>
      </c>
      <c r="G27" s="35">
        <v>-102</v>
      </c>
      <c r="H27" s="1"/>
    </row>
    <row r="28" spans="1:8" x14ac:dyDescent="0.2">
      <c r="A28" s="35">
        <v>1</v>
      </c>
      <c r="B28" s="35">
        <v>220500006</v>
      </c>
      <c r="C28" s="35">
        <v>205</v>
      </c>
      <c r="D28" s="35">
        <v>0</v>
      </c>
      <c r="E28" s="35">
        <v>93</v>
      </c>
      <c r="F28" s="35">
        <v>-9.4549009999999996</v>
      </c>
      <c r="G28" s="35">
        <v>-99</v>
      </c>
      <c r="H28" s="1"/>
    </row>
    <row r="29" spans="1:8" x14ac:dyDescent="0.2">
      <c r="A29" s="35">
        <v>1</v>
      </c>
      <c r="B29" s="35">
        <v>220600001</v>
      </c>
      <c r="C29" s="35">
        <v>206</v>
      </c>
      <c r="D29" s="35">
        <v>0</v>
      </c>
      <c r="E29" s="35">
        <v>42</v>
      </c>
      <c r="F29" s="35">
        <v>-0.47058867999999998</v>
      </c>
      <c r="G29" s="35">
        <v>18</v>
      </c>
      <c r="H29" s="1"/>
    </row>
    <row r="30" spans="1:8" x14ac:dyDescent="0.2">
      <c r="A30" s="35">
        <v>1</v>
      </c>
      <c r="B30" s="35">
        <v>220700001</v>
      </c>
      <c r="C30" s="35">
        <v>207</v>
      </c>
      <c r="D30" s="35">
        <v>0</v>
      </c>
      <c r="E30" s="35">
        <v>105</v>
      </c>
      <c r="F30" s="35">
        <v>-8.4549009999999996</v>
      </c>
      <c r="G30" s="35">
        <v>-87</v>
      </c>
      <c r="H30" s="1"/>
    </row>
    <row r="31" spans="1:8" x14ac:dyDescent="0.2">
      <c r="A31" s="35">
        <v>1</v>
      </c>
      <c r="B31" s="35">
        <v>220800001</v>
      </c>
      <c r="C31" s="35">
        <v>208</v>
      </c>
      <c r="D31" s="35">
        <v>0</v>
      </c>
      <c r="E31" s="17">
        <v>-72</v>
      </c>
      <c r="F31" s="17">
        <v>15.5</v>
      </c>
      <c r="G31" s="17">
        <v>78</v>
      </c>
      <c r="H31" s="1"/>
    </row>
    <row r="32" spans="1:8" x14ac:dyDescent="0.2">
      <c r="A32" s="35">
        <v>1</v>
      </c>
      <c r="B32" s="35">
        <v>220900001</v>
      </c>
      <c r="C32" s="35">
        <v>209</v>
      </c>
      <c r="D32" s="35">
        <v>0</v>
      </c>
      <c r="E32" s="35">
        <v>36</v>
      </c>
      <c r="F32" s="35">
        <v>7.3199459999999999E-3</v>
      </c>
      <c r="G32" s="35">
        <v>48</v>
      </c>
      <c r="H32" s="1"/>
    </row>
    <row r="33" spans="1:8" ht="16.5" x14ac:dyDescent="0.3">
      <c r="A33" s="35">
        <v>1</v>
      </c>
      <c r="B33" s="35">
        <v>221200001</v>
      </c>
      <c r="C33" s="35">
        <v>212</v>
      </c>
      <c r="D33" s="35">
        <v>0</v>
      </c>
      <c r="E33" s="43">
        <v>39</v>
      </c>
      <c r="F33" s="43">
        <v>0</v>
      </c>
      <c r="G33" s="43">
        <v>0</v>
      </c>
      <c r="H33" s="1"/>
    </row>
    <row r="34" spans="1:8" x14ac:dyDescent="0.2">
      <c r="A34" s="35">
        <v>1</v>
      </c>
      <c r="B34" s="35">
        <v>221300001</v>
      </c>
      <c r="C34" s="35">
        <v>213</v>
      </c>
      <c r="D34" s="35">
        <v>0</v>
      </c>
      <c r="E34" s="35">
        <v>16.5</v>
      </c>
      <c r="F34" s="35">
        <v>-18.48</v>
      </c>
      <c r="G34" s="35">
        <v>130.5</v>
      </c>
      <c r="H34" s="1"/>
    </row>
    <row r="35" spans="1:8" x14ac:dyDescent="0.2">
      <c r="A35" s="35">
        <v>1</v>
      </c>
      <c r="B35" s="35">
        <v>221500001</v>
      </c>
      <c r="C35" s="35">
        <v>215</v>
      </c>
      <c r="D35" s="35">
        <v>0</v>
      </c>
      <c r="E35" s="35">
        <v>91</v>
      </c>
      <c r="F35" s="35">
        <v>0</v>
      </c>
      <c r="G35" s="35">
        <v>1</v>
      </c>
      <c r="H35" s="1"/>
    </row>
    <row r="36" spans="1:8" x14ac:dyDescent="0.2">
      <c r="A36" s="35">
        <v>1</v>
      </c>
      <c r="B36" s="35">
        <v>222200001</v>
      </c>
      <c r="C36" s="35">
        <v>222</v>
      </c>
      <c r="D36" s="35">
        <v>0</v>
      </c>
      <c r="E36" s="35">
        <v>-36</v>
      </c>
      <c r="F36" s="35">
        <v>-0.47058867999999998</v>
      </c>
      <c r="G36" s="35">
        <v>-45</v>
      </c>
      <c r="H36" s="1"/>
    </row>
    <row r="37" spans="1:8" x14ac:dyDescent="0.2">
      <c r="A37" s="35">
        <v>1</v>
      </c>
      <c r="B37" s="35">
        <v>222400001</v>
      </c>
      <c r="C37" s="35">
        <v>224</v>
      </c>
      <c r="D37" s="35">
        <v>0</v>
      </c>
      <c r="E37" s="35">
        <v>69</v>
      </c>
      <c r="F37" s="35">
        <v>-0.47058867999999998</v>
      </c>
      <c r="G37" s="35">
        <v>15</v>
      </c>
      <c r="H37" s="1"/>
    </row>
    <row r="38" spans="1:8" x14ac:dyDescent="0.2">
      <c r="A38" s="35">
        <v>1</v>
      </c>
      <c r="B38" s="35">
        <v>222600001</v>
      </c>
      <c r="C38" s="35">
        <v>226</v>
      </c>
      <c r="D38" s="35">
        <v>0</v>
      </c>
      <c r="E38" s="35">
        <v>-21</v>
      </c>
      <c r="F38" s="35">
        <v>3</v>
      </c>
      <c r="G38" s="35">
        <v>69</v>
      </c>
      <c r="H38" s="1"/>
    </row>
    <row r="39" spans="1:8" x14ac:dyDescent="0.2">
      <c r="A39" s="35">
        <v>1</v>
      </c>
      <c r="B39" s="35">
        <v>222700001</v>
      </c>
      <c r="C39" s="35">
        <v>227</v>
      </c>
      <c r="D39" s="35">
        <v>0</v>
      </c>
      <c r="E39" s="35">
        <v>155</v>
      </c>
      <c r="F39" s="35">
        <v>-8.9</v>
      </c>
      <c r="G39" s="35">
        <v>-40</v>
      </c>
      <c r="H39" s="1"/>
    </row>
    <row r="40" spans="1:8" x14ac:dyDescent="0.2">
      <c r="A40" s="35">
        <v>1</v>
      </c>
      <c r="B40" s="35">
        <v>222700002</v>
      </c>
      <c r="C40" s="35">
        <v>227</v>
      </c>
      <c r="D40" s="35">
        <v>0</v>
      </c>
      <c r="E40" s="35">
        <v>155</v>
      </c>
      <c r="F40" s="35">
        <v>-8.9</v>
      </c>
      <c r="G40" s="35">
        <v>25</v>
      </c>
      <c r="H40" s="1"/>
    </row>
    <row r="41" spans="1:8" x14ac:dyDescent="0.2">
      <c r="A41" s="35">
        <v>1</v>
      </c>
      <c r="B41" s="35">
        <v>222900001</v>
      </c>
      <c r="C41" s="35">
        <v>229</v>
      </c>
      <c r="D41" s="35">
        <v>0</v>
      </c>
      <c r="E41" s="35">
        <v>48</v>
      </c>
      <c r="F41" s="35">
        <v>-0.47058867999999998</v>
      </c>
      <c r="G41" s="35">
        <v>-36</v>
      </c>
      <c r="H41" s="1"/>
    </row>
    <row r="42" spans="1:8" x14ac:dyDescent="0.2">
      <c r="A42" s="35">
        <v>1</v>
      </c>
      <c r="B42" s="35">
        <v>223000001</v>
      </c>
      <c r="C42" s="35">
        <v>230</v>
      </c>
      <c r="D42" s="35">
        <v>0</v>
      </c>
      <c r="E42" s="35">
        <v>33</v>
      </c>
      <c r="F42" s="35">
        <v>-0.47058867999999998</v>
      </c>
      <c r="G42" s="35">
        <v>-18</v>
      </c>
      <c r="H42" s="1"/>
    </row>
    <row r="43" spans="1:8" x14ac:dyDescent="0.2">
      <c r="A43" s="35">
        <v>1</v>
      </c>
      <c r="B43" s="35">
        <v>223100001</v>
      </c>
      <c r="C43" s="35">
        <v>231</v>
      </c>
      <c r="D43" s="35">
        <v>0</v>
      </c>
      <c r="E43" s="35">
        <v>-9</v>
      </c>
      <c r="F43" s="35">
        <v>-0.47058867999999998</v>
      </c>
      <c r="G43" s="35">
        <v>-36</v>
      </c>
      <c r="H43" s="1"/>
    </row>
    <row r="44" spans="1:8" x14ac:dyDescent="0.2">
      <c r="A44" s="35">
        <v>1</v>
      </c>
      <c r="B44" s="35">
        <v>223200001</v>
      </c>
      <c r="C44" s="35">
        <v>232</v>
      </c>
      <c r="D44" s="35">
        <v>0</v>
      </c>
      <c r="E44" s="35">
        <v>69</v>
      </c>
      <c r="F44" s="35">
        <v>-0.47058867999999998</v>
      </c>
      <c r="G44" s="35">
        <v>48</v>
      </c>
      <c r="H44" s="1"/>
    </row>
    <row r="45" spans="1:8" x14ac:dyDescent="0.2">
      <c r="A45" s="35">
        <v>1</v>
      </c>
      <c r="B45" s="35">
        <v>223400001</v>
      </c>
      <c r="C45" s="35">
        <v>234</v>
      </c>
      <c r="D45" s="35">
        <v>0</v>
      </c>
      <c r="E45" s="35">
        <v>-94.5</v>
      </c>
      <c r="F45" s="35">
        <v>-0.47058867999999998</v>
      </c>
      <c r="G45" s="35">
        <v>-52.5</v>
      </c>
      <c r="H45" s="1"/>
    </row>
    <row r="46" spans="1:8" x14ac:dyDescent="0.2">
      <c r="A46" s="35">
        <v>1</v>
      </c>
      <c r="B46" s="35">
        <v>223400002</v>
      </c>
      <c r="C46" s="35">
        <v>234</v>
      </c>
      <c r="D46" s="35">
        <v>0</v>
      </c>
      <c r="E46" s="35">
        <v>127.5</v>
      </c>
      <c r="F46" s="35">
        <v>-9.4549009999999996</v>
      </c>
      <c r="G46" s="35">
        <v>-100.5</v>
      </c>
      <c r="H46" s="1"/>
    </row>
    <row r="47" spans="1:8" x14ac:dyDescent="0.2">
      <c r="A47" s="35">
        <v>1</v>
      </c>
      <c r="B47" s="35">
        <v>223400003</v>
      </c>
      <c r="C47" s="35">
        <v>234</v>
      </c>
      <c r="D47" s="35">
        <v>0</v>
      </c>
      <c r="E47" s="35">
        <v>-97.5</v>
      </c>
      <c r="F47" s="35">
        <v>-0.47058867999999998</v>
      </c>
      <c r="G47" s="35">
        <v>-28.5</v>
      </c>
      <c r="H47" s="1"/>
    </row>
    <row r="48" spans="1:8" x14ac:dyDescent="0.2">
      <c r="A48" s="35">
        <v>1</v>
      </c>
      <c r="B48" s="35">
        <v>223400004</v>
      </c>
      <c r="C48" s="35">
        <v>234</v>
      </c>
      <c r="D48" s="35">
        <v>0</v>
      </c>
      <c r="E48" s="35">
        <v>-88.5</v>
      </c>
      <c r="F48" s="35">
        <v>-0.47058867999999998</v>
      </c>
      <c r="G48" s="35">
        <v>-31.5</v>
      </c>
      <c r="H48" s="1"/>
    </row>
    <row r="49" spans="1:8" x14ac:dyDescent="0.2">
      <c r="A49" s="35">
        <v>1</v>
      </c>
      <c r="B49" s="35">
        <v>223400005</v>
      </c>
      <c r="C49" s="35">
        <v>234</v>
      </c>
      <c r="D49" s="35">
        <v>0</v>
      </c>
      <c r="E49" s="35">
        <v>-100.5</v>
      </c>
      <c r="F49" s="35">
        <v>-0.47058867999999998</v>
      </c>
      <c r="G49" s="35">
        <v>-67.5</v>
      </c>
      <c r="H49" s="1"/>
    </row>
    <row r="50" spans="1:8" x14ac:dyDescent="0.2">
      <c r="A50" s="35">
        <v>1</v>
      </c>
      <c r="B50" s="35">
        <v>223400006</v>
      </c>
      <c r="C50" s="35">
        <v>234</v>
      </c>
      <c r="D50" s="35">
        <v>0</v>
      </c>
      <c r="E50" s="35">
        <v>-46.5</v>
      </c>
      <c r="F50" s="35">
        <v>-9.1450980000000008</v>
      </c>
      <c r="G50" s="35">
        <v>-115.5</v>
      </c>
      <c r="H50" s="1"/>
    </row>
    <row r="51" spans="1:8" x14ac:dyDescent="0.2">
      <c r="A51" s="35">
        <v>1</v>
      </c>
      <c r="B51" s="35">
        <v>223500001</v>
      </c>
      <c r="C51" s="35">
        <v>235</v>
      </c>
      <c r="D51" s="35">
        <v>0</v>
      </c>
      <c r="E51" s="35">
        <v>-53</v>
      </c>
      <c r="F51" s="35">
        <v>5</v>
      </c>
      <c r="G51" s="35">
        <v>6</v>
      </c>
      <c r="H51" s="1"/>
    </row>
    <row r="52" spans="1:8" x14ac:dyDescent="0.2">
      <c r="A52" s="35">
        <v>1</v>
      </c>
      <c r="B52" s="35">
        <v>223600001</v>
      </c>
      <c r="C52" s="35">
        <v>236</v>
      </c>
      <c r="D52" s="35">
        <v>0</v>
      </c>
      <c r="E52" s="35">
        <v>-35</v>
      </c>
      <c r="F52" s="35">
        <v>5</v>
      </c>
      <c r="G52" s="35">
        <v>6</v>
      </c>
      <c r="H52" s="1"/>
    </row>
    <row r="53" spans="1:8" x14ac:dyDescent="0.2">
      <c r="A53" s="35">
        <v>1</v>
      </c>
      <c r="B53" s="35">
        <v>223700001</v>
      </c>
      <c r="C53" s="35">
        <v>237</v>
      </c>
      <c r="D53" s="35">
        <v>0</v>
      </c>
      <c r="E53" s="35">
        <v>66</v>
      </c>
      <c r="F53" s="35">
        <v>-0.47058867999999998</v>
      </c>
      <c r="G53" s="35">
        <v>-42</v>
      </c>
      <c r="H53" s="1"/>
    </row>
    <row r="54" spans="1:8" x14ac:dyDescent="0.2">
      <c r="A54" s="35">
        <v>1</v>
      </c>
      <c r="B54" s="35">
        <v>4040001</v>
      </c>
      <c r="C54" s="35">
        <v>404</v>
      </c>
      <c r="D54" s="35">
        <v>0</v>
      </c>
      <c r="E54" s="35">
        <v>198.7</v>
      </c>
      <c r="F54" s="35">
        <v>0</v>
      </c>
      <c r="G54" s="35">
        <v>69.430000000000007</v>
      </c>
      <c r="H54" s="1"/>
    </row>
    <row r="55" spans="1:8" x14ac:dyDescent="0.2">
      <c r="A55" s="44">
        <v>2</v>
      </c>
      <c r="B55" s="44">
        <v>220100001</v>
      </c>
      <c r="C55" s="44">
        <v>201</v>
      </c>
      <c r="D55" s="44">
        <v>0</v>
      </c>
      <c r="E55" s="44">
        <v>0</v>
      </c>
      <c r="F55" s="35">
        <v>0</v>
      </c>
      <c r="G55" s="35">
        <v>0</v>
      </c>
      <c r="H55" s="1" t="s">
        <v>233</v>
      </c>
    </row>
    <row r="56" spans="1:8" x14ac:dyDescent="0.2">
      <c r="A56" s="35">
        <v>2</v>
      </c>
      <c r="B56" s="35">
        <v>220200001</v>
      </c>
      <c r="C56" s="35">
        <v>202</v>
      </c>
      <c r="D56" s="35">
        <v>0</v>
      </c>
      <c r="E56" s="35">
        <v>-37</v>
      </c>
      <c r="F56" s="35">
        <v>0</v>
      </c>
      <c r="G56" s="35">
        <v>-28</v>
      </c>
      <c r="H56" s="1" t="s">
        <v>234</v>
      </c>
    </row>
    <row r="57" spans="1:8" x14ac:dyDescent="0.2">
      <c r="A57" s="35">
        <v>2</v>
      </c>
      <c r="B57" s="35">
        <v>220200002</v>
      </c>
      <c r="C57" s="35">
        <v>202</v>
      </c>
      <c r="D57" s="35">
        <v>0</v>
      </c>
      <c r="E57" s="35">
        <v>-50</v>
      </c>
      <c r="F57" s="45">
        <v>0</v>
      </c>
      <c r="G57" s="45">
        <v>-38</v>
      </c>
      <c r="H57" s="1"/>
    </row>
    <row r="58" spans="1:8" x14ac:dyDescent="0.2">
      <c r="A58" s="35">
        <v>2</v>
      </c>
      <c r="B58" s="35">
        <v>220200003</v>
      </c>
      <c r="C58" s="35">
        <v>202</v>
      </c>
      <c r="D58" s="35">
        <v>0</v>
      </c>
      <c r="E58" s="45">
        <v>-37</v>
      </c>
      <c r="F58" s="45">
        <v>0</v>
      </c>
      <c r="G58" s="45">
        <v>-44</v>
      </c>
      <c r="H58" s="1"/>
    </row>
    <row r="59" spans="1:8" x14ac:dyDescent="0.2">
      <c r="A59" s="35">
        <v>2</v>
      </c>
      <c r="B59" s="35">
        <v>220200004</v>
      </c>
      <c r="C59" s="35">
        <v>202</v>
      </c>
      <c r="D59" s="35">
        <v>0</v>
      </c>
      <c r="E59" s="45">
        <v>-37</v>
      </c>
      <c r="F59" s="35">
        <v>0</v>
      </c>
      <c r="G59" s="35">
        <v>-58</v>
      </c>
      <c r="H59" s="1"/>
    </row>
    <row r="60" spans="1:8" x14ac:dyDescent="0.2">
      <c r="A60" s="35">
        <v>2</v>
      </c>
      <c r="B60" s="35">
        <v>220300001</v>
      </c>
      <c r="C60" s="35">
        <v>203</v>
      </c>
      <c r="D60" s="35">
        <v>0</v>
      </c>
      <c r="E60" s="35">
        <v>127</v>
      </c>
      <c r="F60" s="35">
        <v>-9</v>
      </c>
      <c r="G60" s="35">
        <v>-42</v>
      </c>
      <c r="H60" s="1" t="s">
        <v>235</v>
      </c>
    </row>
    <row r="61" spans="1:8" x14ac:dyDescent="0.2">
      <c r="A61" s="35">
        <v>2</v>
      </c>
      <c r="B61" s="35">
        <v>220300002</v>
      </c>
      <c r="C61" s="35">
        <v>203</v>
      </c>
      <c r="D61" s="35">
        <v>0</v>
      </c>
      <c r="E61" s="35">
        <v>120</v>
      </c>
      <c r="F61" s="35">
        <v>-9</v>
      </c>
      <c r="G61" s="35">
        <v>-79</v>
      </c>
      <c r="H61" s="1"/>
    </row>
    <row r="62" spans="1:8" x14ac:dyDescent="0.2">
      <c r="A62" s="35">
        <v>2</v>
      </c>
      <c r="B62" s="35">
        <v>220400001</v>
      </c>
      <c r="C62" s="35">
        <v>204</v>
      </c>
      <c r="D62" s="35">
        <v>0</v>
      </c>
      <c r="E62" s="35">
        <v>57</v>
      </c>
      <c r="F62" s="35">
        <v>-9</v>
      </c>
      <c r="G62" s="35">
        <v>-105</v>
      </c>
      <c r="H62" s="1" t="s">
        <v>236</v>
      </c>
    </row>
    <row r="63" spans="1:8" x14ac:dyDescent="0.2">
      <c r="A63" s="35">
        <v>2</v>
      </c>
      <c r="B63" s="35">
        <v>220400002</v>
      </c>
      <c r="C63" s="35">
        <v>204</v>
      </c>
      <c r="D63" s="35">
        <v>0</v>
      </c>
      <c r="E63" s="35">
        <v>44</v>
      </c>
      <c r="F63" s="35">
        <v>-9</v>
      </c>
      <c r="G63" s="35">
        <v>-104</v>
      </c>
      <c r="H63" s="1"/>
    </row>
    <row r="64" spans="1:8" x14ac:dyDescent="0.2">
      <c r="A64" s="35">
        <v>2</v>
      </c>
      <c r="B64" s="35">
        <v>220500001</v>
      </c>
      <c r="C64" s="35">
        <v>205</v>
      </c>
      <c r="D64" s="35">
        <v>0</v>
      </c>
      <c r="E64" s="35">
        <v>-101</v>
      </c>
      <c r="F64" s="35">
        <v>0</v>
      </c>
      <c r="G64" s="35">
        <v>-29</v>
      </c>
      <c r="H64" s="1" t="s">
        <v>237</v>
      </c>
    </row>
    <row r="65" spans="1:8" x14ac:dyDescent="0.2">
      <c r="A65" s="35">
        <v>2</v>
      </c>
      <c r="B65" s="35">
        <v>220500002</v>
      </c>
      <c r="C65" s="35">
        <v>205</v>
      </c>
      <c r="D65" s="35">
        <v>0</v>
      </c>
      <c r="E65" s="35">
        <v>-101</v>
      </c>
      <c r="F65" s="35">
        <v>0</v>
      </c>
      <c r="G65" s="35">
        <v>-15</v>
      </c>
      <c r="H65" s="1"/>
    </row>
    <row r="66" spans="1:8" x14ac:dyDescent="0.2">
      <c r="A66" s="35">
        <v>2</v>
      </c>
      <c r="B66" s="35">
        <v>220600001</v>
      </c>
      <c r="C66" s="35">
        <v>206</v>
      </c>
      <c r="D66" s="35">
        <v>0</v>
      </c>
      <c r="E66" s="35">
        <v>48</v>
      </c>
      <c r="F66" s="35">
        <v>0</v>
      </c>
      <c r="G66" s="35">
        <v>48</v>
      </c>
      <c r="H66" s="1" t="s">
        <v>238</v>
      </c>
    </row>
    <row r="67" spans="1:8" x14ac:dyDescent="0.2">
      <c r="A67" s="35">
        <v>2</v>
      </c>
      <c r="B67" s="35">
        <v>220700001</v>
      </c>
      <c r="C67" s="35">
        <v>207</v>
      </c>
      <c r="D67" s="35">
        <v>0</v>
      </c>
      <c r="E67" s="35">
        <v>83</v>
      </c>
      <c r="F67" s="35">
        <v>-9</v>
      </c>
      <c r="G67" s="35">
        <v>-93</v>
      </c>
      <c r="H67" s="1" t="s">
        <v>239</v>
      </c>
    </row>
    <row r="68" spans="1:8" x14ac:dyDescent="0.2">
      <c r="A68" s="35">
        <v>2</v>
      </c>
      <c r="B68" s="35">
        <v>220700002</v>
      </c>
      <c r="C68" s="35">
        <v>207</v>
      </c>
      <c r="D68" s="35">
        <v>0</v>
      </c>
      <c r="E68" s="35">
        <v>115</v>
      </c>
      <c r="F68" s="35">
        <v>-9</v>
      </c>
      <c r="G68" s="35">
        <v>-42</v>
      </c>
      <c r="H68" s="1"/>
    </row>
    <row r="69" spans="1:8" x14ac:dyDescent="0.2">
      <c r="A69" s="35">
        <v>2</v>
      </c>
      <c r="B69" s="35">
        <v>220700003</v>
      </c>
      <c r="C69" s="35">
        <v>207</v>
      </c>
      <c r="D69" s="35">
        <v>0</v>
      </c>
      <c r="E69" s="35">
        <v>128</v>
      </c>
      <c r="F69" s="35">
        <v>-9</v>
      </c>
      <c r="G69" s="35">
        <v>-54</v>
      </c>
      <c r="H69" s="1"/>
    </row>
    <row r="70" spans="1:8" x14ac:dyDescent="0.2">
      <c r="A70" s="35">
        <v>2</v>
      </c>
      <c r="B70" s="35">
        <v>220700004</v>
      </c>
      <c r="C70" s="35">
        <v>207</v>
      </c>
      <c r="D70" s="35">
        <v>0</v>
      </c>
      <c r="E70" s="35">
        <v>116</v>
      </c>
      <c r="F70" s="35">
        <v>-9</v>
      </c>
      <c r="G70" s="35">
        <v>-66</v>
      </c>
      <c r="H70" s="1"/>
    </row>
    <row r="71" spans="1:8" x14ac:dyDescent="0.2">
      <c r="A71" s="35">
        <v>2</v>
      </c>
      <c r="B71" s="35">
        <v>220800001</v>
      </c>
      <c r="C71" s="35">
        <v>208</v>
      </c>
      <c r="D71" s="35">
        <v>0</v>
      </c>
      <c r="E71" s="35">
        <v>-69</v>
      </c>
      <c r="F71" s="35">
        <v>13</v>
      </c>
      <c r="G71" s="35">
        <v>78</v>
      </c>
      <c r="H71" s="1" t="s">
        <v>240</v>
      </c>
    </row>
    <row r="72" spans="1:8" x14ac:dyDescent="0.2">
      <c r="A72" s="35">
        <v>2</v>
      </c>
      <c r="B72" s="35">
        <v>220900001</v>
      </c>
      <c r="C72" s="35">
        <v>209</v>
      </c>
      <c r="D72" s="35">
        <v>0</v>
      </c>
      <c r="E72" s="35">
        <v>45</v>
      </c>
      <c r="F72" s="35">
        <v>0</v>
      </c>
      <c r="G72" s="35">
        <v>18</v>
      </c>
      <c r="H72" s="1" t="s">
        <v>241</v>
      </c>
    </row>
    <row r="73" spans="1:8" x14ac:dyDescent="0.2">
      <c r="A73" s="35">
        <v>2</v>
      </c>
      <c r="B73" s="35">
        <v>221100001</v>
      </c>
      <c r="C73" s="35">
        <v>211</v>
      </c>
      <c r="D73" s="35">
        <v>0</v>
      </c>
      <c r="E73" s="35">
        <v>21</v>
      </c>
      <c r="F73" s="35">
        <v>0</v>
      </c>
      <c r="G73" s="35">
        <v>-38</v>
      </c>
      <c r="H73" s="1" t="s">
        <v>242</v>
      </c>
    </row>
    <row r="74" spans="1:8" x14ac:dyDescent="0.2">
      <c r="A74" s="35">
        <v>2</v>
      </c>
      <c r="B74" s="35">
        <v>221200001</v>
      </c>
      <c r="C74" s="35">
        <v>212</v>
      </c>
      <c r="D74" s="35">
        <v>0</v>
      </c>
      <c r="E74" s="35">
        <v>129</v>
      </c>
      <c r="F74" s="35">
        <v>-4.5999999999999996</v>
      </c>
      <c r="G74" s="35">
        <v>52</v>
      </c>
      <c r="H74" s="1" t="s">
        <v>243</v>
      </c>
    </row>
    <row r="75" spans="1:8" x14ac:dyDescent="0.2">
      <c r="A75" s="35">
        <v>2</v>
      </c>
      <c r="B75" s="35">
        <v>221300001</v>
      </c>
      <c r="C75" s="35">
        <v>213</v>
      </c>
      <c r="D75" s="35">
        <v>0</v>
      </c>
      <c r="E75" s="35">
        <v>16</v>
      </c>
      <c r="F75" s="35">
        <v>-18.5</v>
      </c>
      <c r="G75" s="35">
        <v>130</v>
      </c>
      <c r="H75" s="1" t="s">
        <v>244</v>
      </c>
    </row>
    <row r="76" spans="1:8" x14ac:dyDescent="0.2">
      <c r="A76" s="35">
        <v>2</v>
      </c>
      <c r="B76" s="35">
        <v>221500001</v>
      </c>
      <c r="C76" s="35">
        <v>215</v>
      </c>
      <c r="D76" s="35">
        <v>0</v>
      </c>
      <c r="E76" s="35">
        <v>90</v>
      </c>
      <c r="F76" s="35">
        <v>0</v>
      </c>
      <c r="G76" s="35">
        <v>1</v>
      </c>
      <c r="H76" s="1" t="s">
        <v>245</v>
      </c>
    </row>
    <row r="77" spans="1:8" x14ac:dyDescent="0.2">
      <c r="A77" s="35">
        <v>2</v>
      </c>
      <c r="B77" s="35">
        <v>222200001</v>
      </c>
      <c r="C77" s="35">
        <v>222</v>
      </c>
      <c r="D77" s="35">
        <v>0</v>
      </c>
      <c r="E77" s="35">
        <v>48</v>
      </c>
      <c r="F77" s="35">
        <v>0</v>
      </c>
      <c r="G77" s="35">
        <v>-17</v>
      </c>
      <c r="H77" s="1" t="s">
        <v>246</v>
      </c>
    </row>
    <row r="78" spans="1:8" x14ac:dyDescent="0.2">
      <c r="A78" s="35">
        <v>2</v>
      </c>
      <c r="B78" s="35">
        <v>222400001</v>
      </c>
      <c r="C78" s="35">
        <v>224</v>
      </c>
      <c r="D78" s="35">
        <v>0</v>
      </c>
      <c r="E78" s="35">
        <v>69</v>
      </c>
      <c r="F78" s="35">
        <v>0</v>
      </c>
      <c r="G78" s="35">
        <v>18</v>
      </c>
      <c r="H78" s="1" t="s">
        <v>247</v>
      </c>
    </row>
    <row r="79" spans="1:8" x14ac:dyDescent="0.2">
      <c r="A79" s="35">
        <v>2</v>
      </c>
      <c r="B79" s="35">
        <v>222600001</v>
      </c>
      <c r="C79" s="35">
        <v>226</v>
      </c>
      <c r="D79" s="35">
        <v>0</v>
      </c>
      <c r="E79" s="35">
        <v>-7</v>
      </c>
      <c r="F79" s="35">
        <v>3</v>
      </c>
      <c r="G79" s="35">
        <v>66</v>
      </c>
      <c r="H79" s="1" t="s">
        <v>248</v>
      </c>
    </row>
    <row r="80" spans="1:8" x14ac:dyDescent="0.2">
      <c r="A80" s="35">
        <v>2</v>
      </c>
      <c r="B80" s="35">
        <v>222700001</v>
      </c>
      <c r="C80" s="35">
        <v>227</v>
      </c>
      <c r="D80" s="35">
        <v>0</v>
      </c>
      <c r="E80" s="35">
        <v>135</v>
      </c>
      <c r="F80" s="35">
        <v>-9</v>
      </c>
      <c r="G80" s="35">
        <v>-12</v>
      </c>
      <c r="H80" s="1" t="s">
        <v>249</v>
      </c>
    </row>
    <row r="81" spans="1:8" x14ac:dyDescent="0.2">
      <c r="A81" s="35">
        <v>2</v>
      </c>
      <c r="B81" s="35">
        <v>222700002</v>
      </c>
      <c r="C81" s="35">
        <v>227</v>
      </c>
      <c r="D81" s="35">
        <v>0</v>
      </c>
      <c r="E81" s="35">
        <v>136</v>
      </c>
      <c r="F81" s="35">
        <v>-8.56</v>
      </c>
      <c r="G81" s="35">
        <v>16</v>
      </c>
      <c r="H81" s="1"/>
    </row>
    <row r="82" spans="1:8" x14ac:dyDescent="0.2">
      <c r="A82" s="35">
        <v>2</v>
      </c>
      <c r="B82" s="35">
        <v>223000001</v>
      </c>
      <c r="C82" s="35">
        <v>230</v>
      </c>
      <c r="D82" s="35">
        <v>0</v>
      </c>
      <c r="E82" s="35">
        <v>30</v>
      </c>
      <c r="F82" s="35">
        <v>0</v>
      </c>
      <c r="G82" s="35">
        <v>-17</v>
      </c>
      <c r="H82" s="1" t="s">
        <v>250</v>
      </c>
    </row>
    <row r="83" spans="1:8" x14ac:dyDescent="0.2">
      <c r="A83" s="35">
        <v>2</v>
      </c>
      <c r="B83" s="35">
        <v>223100001</v>
      </c>
      <c r="C83" s="35">
        <v>231</v>
      </c>
      <c r="D83" s="35">
        <v>0</v>
      </c>
      <c r="E83" s="35">
        <v>-13</v>
      </c>
      <c r="F83" s="35">
        <v>0</v>
      </c>
      <c r="G83" s="35">
        <v>-40</v>
      </c>
      <c r="H83" s="1" t="s">
        <v>251</v>
      </c>
    </row>
    <row r="84" spans="1:8" x14ac:dyDescent="0.2">
      <c r="A84" s="35">
        <v>2</v>
      </c>
      <c r="B84" s="35">
        <v>223200001</v>
      </c>
      <c r="C84" s="35">
        <v>232</v>
      </c>
      <c r="D84" s="35">
        <v>0</v>
      </c>
      <c r="E84" s="35">
        <v>72</v>
      </c>
      <c r="F84" s="44">
        <v>0</v>
      </c>
      <c r="G84" s="44">
        <v>48</v>
      </c>
      <c r="H84" s="44" t="s">
        <v>252</v>
      </c>
    </row>
    <row r="85" spans="1:8" x14ac:dyDescent="0.2">
      <c r="A85" s="35">
        <v>2</v>
      </c>
      <c r="B85" s="35">
        <v>223500001</v>
      </c>
      <c r="C85" s="35">
        <v>235</v>
      </c>
      <c r="D85" s="35">
        <v>0</v>
      </c>
      <c r="E85" s="35">
        <v>-57</v>
      </c>
      <c r="F85" s="35">
        <v>5</v>
      </c>
      <c r="G85" s="35">
        <v>6</v>
      </c>
      <c r="H85" s="1" t="s">
        <v>253</v>
      </c>
    </row>
    <row r="86" spans="1:8" x14ac:dyDescent="0.2">
      <c r="A86" s="44">
        <v>2</v>
      </c>
      <c r="B86" s="44">
        <v>223600001</v>
      </c>
      <c r="C86" s="44">
        <v>236</v>
      </c>
      <c r="D86" s="44">
        <v>0</v>
      </c>
      <c r="E86" s="44">
        <v>-35</v>
      </c>
      <c r="F86" s="35">
        <v>5</v>
      </c>
      <c r="G86" s="35">
        <v>6</v>
      </c>
      <c r="H86" s="1" t="s">
        <v>254</v>
      </c>
    </row>
    <row r="87" spans="1:8" x14ac:dyDescent="0.2">
      <c r="A87" s="35">
        <v>2</v>
      </c>
      <c r="B87" s="35">
        <v>223700001</v>
      </c>
      <c r="C87" s="35">
        <v>237</v>
      </c>
      <c r="D87" s="35">
        <v>0</v>
      </c>
      <c r="E87" s="35">
        <v>63</v>
      </c>
      <c r="F87" s="35">
        <v>0</v>
      </c>
      <c r="G87" s="35">
        <v>-41</v>
      </c>
      <c r="H87" s="1" t="s">
        <v>255</v>
      </c>
    </row>
    <row r="88" spans="1:8" x14ac:dyDescent="0.2">
      <c r="A88" s="35">
        <v>2</v>
      </c>
      <c r="B88" s="35">
        <v>230000001</v>
      </c>
      <c r="C88" s="35">
        <v>300</v>
      </c>
      <c r="D88" s="35">
        <v>0</v>
      </c>
      <c r="E88" s="35">
        <v>80</v>
      </c>
      <c r="F88" s="45">
        <v>-9</v>
      </c>
      <c r="G88" s="45">
        <v>107</v>
      </c>
      <c r="H88" s="1" t="s">
        <v>256</v>
      </c>
    </row>
    <row r="89" spans="1:8" x14ac:dyDescent="0.2">
      <c r="A89" s="35">
        <v>2</v>
      </c>
      <c r="B89" s="35">
        <v>240000001</v>
      </c>
      <c r="C89" s="35">
        <v>400</v>
      </c>
      <c r="D89" s="35">
        <v>0</v>
      </c>
      <c r="E89" s="45">
        <v>-18</v>
      </c>
      <c r="F89" s="45">
        <v>0</v>
      </c>
      <c r="G89" s="45">
        <v>-62</v>
      </c>
      <c r="H89" s="1" t="s">
        <v>257</v>
      </c>
    </row>
    <row r="90" spans="1:8" x14ac:dyDescent="0.2">
      <c r="A90" s="35">
        <v>2</v>
      </c>
      <c r="B90" s="35">
        <v>240400001</v>
      </c>
      <c r="C90" s="35">
        <v>404</v>
      </c>
      <c r="D90" s="35">
        <v>0</v>
      </c>
      <c r="E90" s="45">
        <v>214.97</v>
      </c>
      <c r="F90" s="35">
        <v>-4.2</v>
      </c>
      <c r="G90" s="35">
        <v>89.09</v>
      </c>
      <c r="H90" s="1" t="s">
        <v>258</v>
      </c>
    </row>
    <row r="91" spans="1:8" x14ac:dyDescent="0.2">
      <c r="A91" s="35">
        <v>3</v>
      </c>
      <c r="B91" s="35">
        <v>220100001</v>
      </c>
      <c r="C91" s="35">
        <v>201</v>
      </c>
      <c r="D91" s="35">
        <v>0</v>
      </c>
      <c r="E91" s="35">
        <v>0</v>
      </c>
      <c r="F91" s="35">
        <v>0</v>
      </c>
      <c r="G91" s="35">
        <v>0</v>
      </c>
      <c r="H91" s="1" t="s">
        <v>233</v>
      </c>
    </row>
    <row r="92" spans="1:8" x14ac:dyDescent="0.2">
      <c r="A92" s="35">
        <v>3</v>
      </c>
      <c r="B92" s="35">
        <v>220200001</v>
      </c>
      <c r="C92" s="35">
        <v>202</v>
      </c>
      <c r="D92" s="35">
        <v>0</v>
      </c>
      <c r="E92" s="35">
        <v>-37</v>
      </c>
      <c r="F92" s="35">
        <v>0</v>
      </c>
      <c r="G92" s="35">
        <v>-28</v>
      </c>
      <c r="H92" s="1" t="s">
        <v>234</v>
      </c>
    </row>
    <row r="93" spans="1:8" x14ac:dyDescent="0.2">
      <c r="A93" s="35">
        <v>3</v>
      </c>
      <c r="B93" s="35">
        <v>220200002</v>
      </c>
      <c r="C93" s="35">
        <v>202</v>
      </c>
      <c r="D93" s="35">
        <v>0</v>
      </c>
      <c r="E93" s="35">
        <v>-50</v>
      </c>
      <c r="F93" s="35">
        <v>0</v>
      </c>
      <c r="G93" s="35">
        <v>-38</v>
      </c>
      <c r="H93" s="1"/>
    </row>
    <row r="94" spans="1:8" x14ac:dyDescent="0.2">
      <c r="A94" s="35">
        <v>3</v>
      </c>
      <c r="B94" s="35">
        <v>220200003</v>
      </c>
      <c r="C94" s="35">
        <v>202</v>
      </c>
      <c r="D94" s="35">
        <v>0</v>
      </c>
      <c r="E94" s="35">
        <v>-37</v>
      </c>
      <c r="F94" s="35">
        <v>0</v>
      </c>
      <c r="G94" s="35">
        <v>-44</v>
      </c>
      <c r="H94" s="1"/>
    </row>
    <row r="95" spans="1:8" x14ac:dyDescent="0.2">
      <c r="A95" s="35">
        <v>3</v>
      </c>
      <c r="B95" s="35">
        <v>220200004</v>
      </c>
      <c r="C95" s="35">
        <v>202</v>
      </c>
      <c r="D95" s="35">
        <v>0</v>
      </c>
      <c r="E95" s="35">
        <v>-37</v>
      </c>
      <c r="F95" s="35">
        <v>0</v>
      </c>
      <c r="G95" s="35">
        <v>-58</v>
      </c>
      <c r="H95" s="1"/>
    </row>
    <row r="96" spans="1:8" x14ac:dyDescent="0.2">
      <c r="A96" s="35">
        <v>3</v>
      </c>
      <c r="B96" s="35">
        <v>220300001</v>
      </c>
      <c r="C96" s="35">
        <v>203</v>
      </c>
      <c r="D96" s="35">
        <v>0</v>
      </c>
      <c r="E96" s="35">
        <v>127</v>
      </c>
      <c r="F96" s="35">
        <v>-9</v>
      </c>
      <c r="G96" s="35">
        <v>-42</v>
      </c>
      <c r="H96" s="1" t="s">
        <v>235</v>
      </c>
    </row>
    <row r="97" spans="1:8" x14ac:dyDescent="0.2">
      <c r="A97" s="35">
        <v>3</v>
      </c>
      <c r="B97" s="35">
        <v>220300002</v>
      </c>
      <c r="C97" s="35">
        <v>203</v>
      </c>
      <c r="D97" s="35">
        <v>0</v>
      </c>
      <c r="E97" s="35">
        <v>120</v>
      </c>
      <c r="F97" s="35">
        <v>-9</v>
      </c>
      <c r="G97" s="35">
        <v>-79</v>
      </c>
      <c r="H97" s="1"/>
    </row>
    <row r="98" spans="1:8" x14ac:dyDescent="0.2">
      <c r="A98" s="35">
        <v>3</v>
      </c>
      <c r="B98" s="35">
        <v>220300003</v>
      </c>
      <c r="C98" s="35">
        <v>203</v>
      </c>
      <c r="D98" s="35">
        <v>0</v>
      </c>
      <c r="E98" s="35">
        <v>95</v>
      </c>
      <c r="F98" s="35">
        <v>-9</v>
      </c>
      <c r="G98" s="35">
        <v>-83</v>
      </c>
      <c r="H98" s="1"/>
    </row>
    <row r="99" spans="1:8" x14ac:dyDescent="0.2">
      <c r="A99" s="35">
        <v>3</v>
      </c>
      <c r="B99" s="35">
        <v>220400001</v>
      </c>
      <c r="C99" s="35">
        <v>204</v>
      </c>
      <c r="D99" s="35">
        <v>0</v>
      </c>
      <c r="E99" s="35">
        <v>57</v>
      </c>
      <c r="F99" s="35">
        <v>-9</v>
      </c>
      <c r="G99" s="35">
        <v>-105</v>
      </c>
      <c r="H99" s="1" t="s">
        <v>236</v>
      </c>
    </row>
    <row r="100" spans="1:8" x14ac:dyDescent="0.2">
      <c r="A100" s="35">
        <v>3</v>
      </c>
      <c r="B100" s="35">
        <v>220400002</v>
      </c>
      <c r="C100" s="35">
        <v>204</v>
      </c>
      <c r="D100" s="35">
        <v>0</v>
      </c>
      <c r="E100" s="35">
        <v>44</v>
      </c>
      <c r="F100" s="35">
        <v>-9</v>
      </c>
      <c r="G100" s="35">
        <v>-104</v>
      </c>
      <c r="H100" s="1"/>
    </row>
    <row r="101" spans="1:8" x14ac:dyDescent="0.2">
      <c r="A101" s="35">
        <v>3</v>
      </c>
      <c r="B101" s="35">
        <v>220400003</v>
      </c>
      <c r="C101" s="35">
        <v>204</v>
      </c>
      <c r="D101" s="35">
        <v>0</v>
      </c>
      <c r="E101" s="35">
        <v>54</v>
      </c>
      <c r="F101" s="35">
        <v>-9</v>
      </c>
      <c r="G101" s="35">
        <v>-118</v>
      </c>
      <c r="H101" s="1"/>
    </row>
    <row r="102" spans="1:8" x14ac:dyDescent="0.2">
      <c r="A102" s="35">
        <v>3</v>
      </c>
      <c r="B102" s="35">
        <v>220500001</v>
      </c>
      <c r="C102" s="35">
        <v>205</v>
      </c>
      <c r="D102" s="35">
        <v>0</v>
      </c>
      <c r="E102" s="35">
        <v>-101</v>
      </c>
      <c r="F102" s="35">
        <v>0</v>
      </c>
      <c r="G102" s="35">
        <v>-29</v>
      </c>
      <c r="H102" s="1" t="s">
        <v>237</v>
      </c>
    </row>
    <row r="103" spans="1:8" x14ac:dyDescent="0.2">
      <c r="A103" s="35">
        <v>3</v>
      </c>
      <c r="B103" s="35">
        <v>220500002</v>
      </c>
      <c r="C103" s="35">
        <v>205</v>
      </c>
      <c r="D103" s="35">
        <v>0</v>
      </c>
      <c r="E103" s="35">
        <v>-101</v>
      </c>
      <c r="F103" s="35">
        <v>0</v>
      </c>
      <c r="G103" s="35">
        <v>-15</v>
      </c>
      <c r="H103" s="1"/>
    </row>
    <row r="104" spans="1:8" x14ac:dyDescent="0.2">
      <c r="A104" s="35">
        <v>3</v>
      </c>
      <c r="B104" s="35">
        <v>220600001</v>
      </c>
      <c r="C104" s="35">
        <v>206</v>
      </c>
      <c r="D104" s="35">
        <v>0</v>
      </c>
      <c r="E104" s="35">
        <v>48</v>
      </c>
      <c r="F104" s="35">
        <v>0</v>
      </c>
      <c r="G104" s="35">
        <v>48</v>
      </c>
      <c r="H104" s="1" t="s">
        <v>238</v>
      </c>
    </row>
    <row r="105" spans="1:8" x14ac:dyDescent="0.2">
      <c r="A105" s="35">
        <v>3</v>
      </c>
      <c r="B105" s="35">
        <v>220700001</v>
      </c>
      <c r="C105" s="35">
        <v>207</v>
      </c>
      <c r="D105" s="35">
        <v>0</v>
      </c>
      <c r="E105" s="35">
        <v>83</v>
      </c>
      <c r="F105" s="35">
        <v>-9</v>
      </c>
      <c r="G105" s="35">
        <v>-93</v>
      </c>
      <c r="H105" s="1" t="s">
        <v>239</v>
      </c>
    </row>
    <row r="106" spans="1:8" x14ac:dyDescent="0.2">
      <c r="A106" s="35">
        <v>3</v>
      </c>
      <c r="B106" s="35">
        <v>220700002</v>
      </c>
      <c r="C106" s="35">
        <v>207</v>
      </c>
      <c r="D106" s="35">
        <v>0</v>
      </c>
      <c r="E106" s="35">
        <v>115</v>
      </c>
      <c r="F106" s="35">
        <v>-9</v>
      </c>
      <c r="G106" s="35">
        <v>-42</v>
      </c>
      <c r="H106" s="1"/>
    </row>
    <row r="107" spans="1:8" x14ac:dyDescent="0.2">
      <c r="A107" s="35">
        <v>3</v>
      </c>
      <c r="B107" s="35">
        <v>220700003</v>
      </c>
      <c r="C107" s="35">
        <v>207</v>
      </c>
      <c r="D107" s="35">
        <v>0</v>
      </c>
      <c r="E107" s="35">
        <v>128</v>
      </c>
      <c r="F107" s="35">
        <v>-9</v>
      </c>
      <c r="G107" s="35">
        <v>-54</v>
      </c>
      <c r="H107" s="1"/>
    </row>
    <row r="108" spans="1:8" x14ac:dyDescent="0.2">
      <c r="A108" s="35">
        <v>3</v>
      </c>
      <c r="B108" s="35">
        <v>220700004</v>
      </c>
      <c r="C108" s="35">
        <v>207</v>
      </c>
      <c r="D108" s="35">
        <v>0</v>
      </c>
      <c r="E108" s="35">
        <v>116</v>
      </c>
      <c r="F108" s="35">
        <v>-9</v>
      </c>
      <c r="G108" s="35">
        <v>-66</v>
      </c>
      <c r="H108" s="1"/>
    </row>
    <row r="109" spans="1:8" x14ac:dyDescent="0.2">
      <c r="A109" s="35">
        <v>3</v>
      </c>
      <c r="B109" s="35">
        <v>220700005</v>
      </c>
      <c r="C109" s="35">
        <v>207</v>
      </c>
      <c r="D109" s="35">
        <v>0</v>
      </c>
      <c r="E109" s="35">
        <v>95</v>
      </c>
      <c r="F109" s="35">
        <v>-9</v>
      </c>
      <c r="G109" s="35">
        <v>-96</v>
      </c>
      <c r="H109" s="1"/>
    </row>
    <row r="110" spans="1:8" x14ac:dyDescent="0.2">
      <c r="A110" s="35">
        <v>3</v>
      </c>
      <c r="B110" s="35">
        <v>220700006</v>
      </c>
      <c r="C110" s="35">
        <v>207</v>
      </c>
      <c r="D110" s="35">
        <v>0</v>
      </c>
      <c r="E110" s="35">
        <v>119</v>
      </c>
      <c r="F110" s="35">
        <v>-9</v>
      </c>
      <c r="G110" s="35">
        <v>-92</v>
      </c>
      <c r="H110" s="1"/>
    </row>
    <row r="111" spans="1:8" x14ac:dyDescent="0.2">
      <c r="A111" s="35">
        <v>3</v>
      </c>
      <c r="B111" s="35">
        <v>220700007</v>
      </c>
      <c r="C111" s="35">
        <v>207</v>
      </c>
      <c r="D111" s="35">
        <v>0</v>
      </c>
      <c r="E111" s="35">
        <v>107</v>
      </c>
      <c r="F111" s="35">
        <v>-9</v>
      </c>
      <c r="G111" s="35">
        <v>-91</v>
      </c>
      <c r="H111" s="1"/>
    </row>
    <row r="112" spans="1:8" x14ac:dyDescent="0.2">
      <c r="A112" s="35">
        <v>3</v>
      </c>
      <c r="B112" s="35">
        <v>220700008</v>
      </c>
      <c r="C112" s="35">
        <v>207</v>
      </c>
      <c r="D112" s="35">
        <v>0</v>
      </c>
      <c r="E112" s="35">
        <v>128</v>
      </c>
      <c r="F112" s="35">
        <v>-9</v>
      </c>
      <c r="G112" s="35">
        <v>-66</v>
      </c>
      <c r="H112" s="1"/>
    </row>
    <row r="113" spans="1:8" x14ac:dyDescent="0.2">
      <c r="A113" s="35">
        <v>3</v>
      </c>
      <c r="B113" s="35">
        <v>220800001</v>
      </c>
      <c r="C113" s="35">
        <v>208</v>
      </c>
      <c r="D113" s="35">
        <v>0</v>
      </c>
      <c r="E113" s="35">
        <v>-69</v>
      </c>
      <c r="F113" s="35">
        <v>13</v>
      </c>
      <c r="G113" s="35">
        <v>78</v>
      </c>
      <c r="H113" s="1" t="s">
        <v>240</v>
      </c>
    </row>
    <row r="114" spans="1:8" x14ac:dyDescent="0.2">
      <c r="A114" s="35">
        <v>3</v>
      </c>
      <c r="B114" s="35">
        <v>220900001</v>
      </c>
      <c r="C114" s="35">
        <v>209</v>
      </c>
      <c r="D114" s="35">
        <v>0</v>
      </c>
      <c r="E114" s="35">
        <v>45</v>
      </c>
      <c r="F114" s="35">
        <v>0</v>
      </c>
      <c r="G114" s="35">
        <v>18</v>
      </c>
      <c r="H114" s="1" t="s">
        <v>241</v>
      </c>
    </row>
    <row r="115" spans="1:8" x14ac:dyDescent="0.2">
      <c r="A115" s="35">
        <v>3</v>
      </c>
      <c r="B115" s="35">
        <v>221100001</v>
      </c>
      <c r="C115" s="35">
        <v>211</v>
      </c>
      <c r="D115" s="35">
        <v>0</v>
      </c>
      <c r="E115" s="35">
        <v>21</v>
      </c>
      <c r="F115" s="35">
        <v>0</v>
      </c>
      <c r="G115" s="35">
        <v>-38</v>
      </c>
      <c r="H115" s="1" t="s">
        <v>242</v>
      </c>
    </row>
    <row r="116" spans="1:8" x14ac:dyDescent="0.2">
      <c r="A116" s="35">
        <v>3</v>
      </c>
      <c r="B116" s="35">
        <v>221200001</v>
      </c>
      <c r="C116" s="35">
        <v>212</v>
      </c>
      <c r="D116" s="35">
        <v>0</v>
      </c>
      <c r="E116" s="35">
        <v>129</v>
      </c>
      <c r="F116" s="44">
        <v>-4.5999999999999996</v>
      </c>
      <c r="G116" s="44">
        <v>52</v>
      </c>
      <c r="H116" s="44" t="s">
        <v>243</v>
      </c>
    </row>
    <row r="117" spans="1:8" x14ac:dyDescent="0.2">
      <c r="A117" s="35">
        <v>3</v>
      </c>
      <c r="B117" s="35">
        <v>221300001</v>
      </c>
      <c r="C117" s="35">
        <v>213</v>
      </c>
      <c r="D117" s="35">
        <v>0</v>
      </c>
      <c r="E117" s="35">
        <v>16</v>
      </c>
      <c r="F117" s="35">
        <v>-18.5</v>
      </c>
      <c r="G117" s="35">
        <v>130</v>
      </c>
      <c r="H117" s="1" t="s">
        <v>244</v>
      </c>
    </row>
    <row r="118" spans="1:8" x14ac:dyDescent="0.2">
      <c r="A118" s="44">
        <v>3</v>
      </c>
      <c r="B118" s="44">
        <v>221500001</v>
      </c>
      <c r="C118" s="44">
        <v>215</v>
      </c>
      <c r="D118" s="44">
        <v>0</v>
      </c>
      <c r="E118" s="44">
        <v>90</v>
      </c>
      <c r="F118" s="35">
        <v>0</v>
      </c>
      <c r="G118" s="35">
        <v>1</v>
      </c>
      <c r="H118" s="1" t="s">
        <v>245</v>
      </c>
    </row>
    <row r="119" spans="1:8" x14ac:dyDescent="0.2">
      <c r="A119" s="35">
        <v>3</v>
      </c>
      <c r="B119" s="35">
        <v>222200001</v>
      </c>
      <c r="C119" s="35">
        <v>222</v>
      </c>
      <c r="D119" s="35">
        <v>0</v>
      </c>
      <c r="E119" s="35">
        <v>48</v>
      </c>
      <c r="F119" s="35">
        <v>0</v>
      </c>
      <c r="G119" s="35">
        <v>-17</v>
      </c>
      <c r="H119" s="1" t="s">
        <v>246</v>
      </c>
    </row>
    <row r="120" spans="1:8" x14ac:dyDescent="0.2">
      <c r="A120" s="35">
        <v>3</v>
      </c>
      <c r="B120" s="35">
        <v>222400001</v>
      </c>
      <c r="C120" s="35">
        <v>224</v>
      </c>
      <c r="D120" s="35">
        <v>0</v>
      </c>
      <c r="E120" s="35">
        <v>69</v>
      </c>
      <c r="F120" s="35">
        <v>0</v>
      </c>
      <c r="G120" s="35">
        <v>18</v>
      </c>
      <c r="H120" s="1" t="s">
        <v>247</v>
      </c>
    </row>
    <row r="121" spans="1:8" x14ac:dyDescent="0.2">
      <c r="A121" s="35">
        <v>3</v>
      </c>
      <c r="B121" s="35">
        <v>222600001</v>
      </c>
      <c r="C121" s="35">
        <v>226</v>
      </c>
      <c r="D121" s="35">
        <v>0</v>
      </c>
      <c r="E121" s="35">
        <v>-7</v>
      </c>
      <c r="F121" s="35">
        <v>3</v>
      </c>
      <c r="G121" s="35">
        <v>66</v>
      </c>
      <c r="H121" s="1" t="s">
        <v>248</v>
      </c>
    </row>
    <row r="122" spans="1:8" x14ac:dyDescent="0.2">
      <c r="A122" s="35">
        <v>3</v>
      </c>
      <c r="B122" s="35">
        <v>222700001</v>
      </c>
      <c r="C122" s="35">
        <v>227</v>
      </c>
      <c r="D122" s="35">
        <v>0</v>
      </c>
      <c r="E122" s="35">
        <v>135</v>
      </c>
      <c r="F122" s="46">
        <v>-9</v>
      </c>
      <c r="G122" s="46">
        <v>-12</v>
      </c>
      <c r="H122" s="1" t="s">
        <v>249</v>
      </c>
    </row>
    <row r="123" spans="1:8" x14ac:dyDescent="0.2">
      <c r="A123" s="35">
        <v>3</v>
      </c>
      <c r="B123" s="35">
        <v>222700002</v>
      </c>
      <c r="C123" s="47">
        <v>227</v>
      </c>
      <c r="D123" s="47">
        <v>0</v>
      </c>
      <c r="E123" s="46">
        <v>136</v>
      </c>
      <c r="F123" s="48">
        <v>-8.56</v>
      </c>
      <c r="G123" s="48">
        <v>16</v>
      </c>
      <c r="H123" s="1"/>
    </row>
    <row r="124" spans="1:8" x14ac:dyDescent="0.2">
      <c r="A124" s="35">
        <v>3</v>
      </c>
      <c r="B124" s="35">
        <v>222900001</v>
      </c>
      <c r="C124" s="47">
        <v>229</v>
      </c>
      <c r="D124" s="47">
        <v>0</v>
      </c>
      <c r="E124" s="48">
        <v>27</v>
      </c>
      <c r="F124" s="47">
        <v>0</v>
      </c>
      <c r="G124" s="47">
        <v>36</v>
      </c>
      <c r="H124" s="1" t="s">
        <v>296</v>
      </c>
    </row>
    <row r="125" spans="1:8" x14ac:dyDescent="0.2">
      <c r="A125" s="35">
        <v>3</v>
      </c>
      <c r="B125" s="35">
        <v>223000001</v>
      </c>
      <c r="C125" s="47">
        <v>230</v>
      </c>
      <c r="D125" s="47">
        <v>0</v>
      </c>
      <c r="E125" s="47">
        <v>30</v>
      </c>
      <c r="F125" s="47">
        <v>0</v>
      </c>
      <c r="G125" s="47">
        <v>-17</v>
      </c>
      <c r="H125" s="1" t="s">
        <v>250</v>
      </c>
    </row>
    <row r="126" spans="1:8" x14ac:dyDescent="0.2">
      <c r="A126" s="35">
        <v>3</v>
      </c>
      <c r="B126" s="35">
        <v>223100001</v>
      </c>
      <c r="C126" s="47">
        <v>231</v>
      </c>
      <c r="D126" s="47">
        <v>0</v>
      </c>
      <c r="E126" s="47">
        <v>-13</v>
      </c>
      <c r="F126" s="35">
        <v>0</v>
      </c>
      <c r="G126" s="35">
        <v>-40</v>
      </c>
      <c r="H126" s="1" t="s">
        <v>251</v>
      </c>
    </row>
    <row r="127" spans="1:8" x14ac:dyDescent="0.2">
      <c r="A127" s="35">
        <v>3</v>
      </c>
      <c r="B127" s="35">
        <v>223200001</v>
      </c>
      <c r="C127" s="35">
        <v>232</v>
      </c>
      <c r="D127" s="35">
        <v>0</v>
      </c>
      <c r="E127" s="35">
        <v>72</v>
      </c>
      <c r="F127" s="35">
        <v>0</v>
      </c>
      <c r="G127" s="35">
        <v>48</v>
      </c>
      <c r="H127" s="1" t="s">
        <v>252</v>
      </c>
    </row>
    <row r="128" spans="1:8" x14ac:dyDescent="0.2">
      <c r="A128" s="35">
        <v>3</v>
      </c>
      <c r="B128" s="35">
        <v>223400001</v>
      </c>
      <c r="C128" s="35">
        <v>234</v>
      </c>
      <c r="D128" s="35">
        <v>0</v>
      </c>
      <c r="E128" s="35">
        <v>-111</v>
      </c>
      <c r="F128" s="35">
        <v>0</v>
      </c>
      <c r="G128" s="35">
        <v>-40</v>
      </c>
      <c r="H128" s="1" t="s">
        <v>297</v>
      </c>
    </row>
    <row r="129" spans="1:8" x14ac:dyDescent="0.2">
      <c r="A129" s="35">
        <v>3</v>
      </c>
      <c r="B129" s="35">
        <v>223500001</v>
      </c>
      <c r="C129" s="35">
        <v>235</v>
      </c>
      <c r="D129" s="35">
        <v>0</v>
      </c>
      <c r="E129" s="35">
        <v>-57</v>
      </c>
      <c r="F129" s="35">
        <v>5</v>
      </c>
      <c r="G129" s="35">
        <v>6</v>
      </c>
      <c r="H129" s="1" t="s">
        <v>253</v>
      </c>
    </row>
    <row r="130" spans="1:8" x14ac:dyDescent="0.2">
      <c r="A130" s="35">
        <v>3</v>
      </c>
      <c r="B130" s="35">
        <v>223600001</v>
      </c>
      <c r="C130" s="35">
        <v>236</v>
      </c>
      <c r="D130" s="35">
        <v>0</v>
      </c>
      <c r="E130" s="35">
        <v>-35</v>
      </c>
      <c r="F130" s="35">
        <v>5</v>
      </c>
      <c r="G130" s="35">
        <v>6</v>
      </c>
      <c r="H130" s="1" t="s">
        <v>254</v>
      </c>
    </row>
    <row r="131" spans="1:8" x14ac:dyDescent="0.2">
      <c r="A131" s="35">
        <v>3</v>
      </c>
      <c r="B131" s="35">
        <v>223700001</v>
      </c>
      <c r="C131" s="35">
        <v>237</v>
      </c>
      <c r="D131" s="35">
        <v>0</v>
      </c>
      <c r="E131" s="35">
        <v>63</v>
      </c>
      <c r="F131" s="35">
        <v>0</v>
      </c>
      <c r="G131" s="35">
        <v>-41</v>
      </c>
      <c r="H131" s="1" t="s">
        <v>255</v>
      </c>
    </row>
    <row r="132" spans="1:8" x14ac:dyDescent="0.2">
      <c r="A132" s="35">
        <v>3</v>
      </c>
      <c r="B132" s="35">
        <v>230000001</v>
      </c>
      <c r="C132" s="35">
        <v>300</v>
      </c>
      <c r="D132" s="35">
        <v>0</v>
      </c>
      <c r="E132" s="35">
        <v>80</v>
      </c>
      <c r="F132" s="35">
        <v>-9</v>
      </c>
      <c r="G132" s="35">
        <v>107</v>
      </c>
      <c r="H132" s="1" t="s">
        <v>256</v>
      </c>
    </row>
    <row r="133" spans="1:8" x14ac:dyDescent="0.2">
      <c r="A133" s="35">
        <v>3</v>
      </c>
      <c r="B133" s="35">
        <v>240000001</v>
      </c>
      <c r="C133" s="35">
        <v>400</v>
      </c>
      <c r="D133" s="35">
        <v>0</v>
      </c>
      <c r="E133" s="35">
        <v>-18</v>
      </c>
      <c r="F133" s="47">
        <v>0</v>
      </c>
      <c r="G133" s="47">
        <v>-62</v>
      </c>
      <c r="H133" s="1" t="s">
        <v>257</v>
      </c>
    </row>
    <row r="134" spans="1:8" x14ac:dyDescent="0.2">
      <c r="A134" s="35">
        <v>3</v>
      </c>
      <c r="B134" s="35">
        <v>240400001</v>
      </c>
      <c r="C134" s="35">
        <v>404</v>
      </c>
      <c r="D134" s="35">
        <v>0</v>
      </c>
      <c r="E134" s="47">
        <v>214.97</v>
      </c>
      <c r="F134" s="35">
        <v>-4.2</v>
      </c>
      <c r="G134" s="35">
        <v>89.09</v>
      </c>
      <c r="H134" s="1" t="s">
        <v>258</v>
      </c>
    </row>
    <row r="135" spans="1:8" x14ac:dyDescent="0.2">
      <c r="A135" s="35">
        <v>4</v>
      </c>
      <c r="B135" s="35">
        <v>220100001</v>
      </c>
      <c r="C135" s="35">
        <v>201</v>
      </c>
      <c r="D135" s="35">
        <v>0</v>
      </c>
      <c r="E135" s="35">
        <v>0</v>
      </c>
      <c r="F135" s="35">
        <v>0</v>
      </c>
      <c r="G135" s="35">
        <v>0</v>
      </c>
      <c r="H135" s="1" t="s">
        <v>233</v>
      </c>
    </row>
    <row r="136" spans="1:8" x14ac:dyDescent="0.2">
      <c r="A136" s="35">
        <v>4</v>
      </c>
      <c r="B136" s="35">
        <v>220200001</v>
      </c>
      <c r="C136" s="35">
        <v>202</v>
      </c>
      <c r="D136" s="35">
        <v>0</v>
      </c>
      <c r="E136" s="35">
        <v>-37</v>
      </c>
      <c r="F136" s="35">
        <v>0</v>
      </c>
      <c r="G136" s="35">
        <v>-28</v>
      </c>
      <c r="H136" s="1" t="s">
        <v>234</v>
      </c>
    </row>
    <row r="137" spans="1:8" x14ac:dyDescent="0.2">
      <c r="A137" s="35">
        <v>4</v>
      </c>
      <c r="B137" s="35">
        <v>220200002</v>
      </c>
      <c r="C137" s="35">
        <v>202</v>
      </c>
      <c r="D137" s="35">
        <v>0</v>
      </c>
      <c r="E137" s="35">
        <v>-50</v>
      </c>
      <c r="F137" s="35">
        <v>0</v>
      </c>
      <c r="G137" s="35">
        <v>-38</v>
      </c>
      <c r="H137" s="1"/>
    </row>
    <row r="138" spans="1:8" x14ac:dyDescent="0.2">
      <c r="A138" s="35">
        <v>4</v>
      </c>
      <c r="B138" s="35">
        <v>220200003</v>
      </c>
      <c r="C138" s="35">
        <v>202</v>
      </c>
      <c r="D138" s="35">
        <v>0</v>
      </c>
      <c r="E138" s="35">
        <v>-37</v>
      </c>
      <c r="F138" s="35">
        <v>0</v>
      </c>
      <c r="G138" s="35">
        <v>-44</v>
      </c>
      <c r="H138" s="1"/>
    </row>
    <row r="139" spans="1:8" x14ac:dyDescent="0.2">
      <c r="A139" s="35">
        <v>4</v>
      </c>
      <c r="B139" s="35">
        <v>220200004</v>
      </c>
      <c r="C139" s="35">
        <v>202</v>
      </c>
      <c r="D139" s="35">
        <v>0</v>
      </c>
      <c r="E139" s="35">
        <v>-37</v>
      </c>
      <c r="F139" s="35">
        <v>0</v>
      </c>
      <c r="G139" s="35">
        <v>-58</v>
      </c>
      <c r="H139" s="1"/>
    </row>
    <row r="140" spans="1:8" x14ac:dyDescent="0.2">
      <c r="A140" s="35">
        <v>4</v>
      </c>
      <c r="B140" s="35">
        <v>220300001</v>
      </c>
      <c r="C140" s="35">
        <v>203</v>
      </c>
      <c r="D140" s="35">
        <v>0</v>
      </c>
      <c r="E140" s="35">
        <v>127</v>
      </c>
      <c r="F140" s="35">
        <v>-9</v>
      </c>
      <c r="G140" s="35">
        <v>-42</v>
      </c>
      <c r="H140" s="1" t="s">
        <v>235</v>
      </c>
    </row>
    <row r="141" spans="1:8" x14ac:dyDescent="0.2">
      <c r="A141" s="35">
        <v>4</v>
      </c>
      <c r="B141" s="35">
        <v>220300002</v>
      </c>
      <c r="C141" s="35">
        <v>203</v>
      </c>
      <c r="D141" s="35">
        <v>0</v>
      </c>
      <c r="E141" s="35">
        <v>120</v>
      </c>
      <c r="F141" s="35">
        <v>-9</v>
      </c>
      <c r="G141" s="35">
        <v>-79</v>
      </c>
      <c r="H141" s="1"/>
    </row>
    <row r="142" spans="1:8" x14ac:dyDescent="0.2">
      <c r="A142" s="35">
        <v>4</v>
      </c>
      <c r="B142" s="35">
        <v>220300003</v>
      </c>
      <c r="C142" s="35">
        <v>203</v>
      </c>
      <c r="D142" s="35">
        <v>0</v>
      </c>
      <c r="E142" s="35">
        <v>95</v>
      </c>
      <c r="F142" s="35">
        <v>-9</v>
      </c>
      <c r="G142" s="35">
        <v>-83</v>
      </c>
      <c r="H142" s="1"/>
    </row>
    <row r="143" spans="1:8" x14ac:dyDescent="0.2">
      <c r="A143" s="35">
        <v>4</v>
      </c>
      <c r="B143" s="35">
        <v>220300004</v>
      </c>
      <c r="C143" s="35">
        <v>203</v>
      </c>
      <c r="D143" s="35">
        <v>0</v>
      </c>
      <c r="E143" s="35">
        <v>117</v>
      </c>
      <c r="F143" s="35">
        <v>-9</v>
      </c>
      <c r="G143" s="35">
        <v>-54</v>
      </c>
      <c r="H143" s="1"/>
    </row>
    <row r="144" spans="1:8" x14ac:dyDescent="0.2">
      <c r="A144" s="35">
        <v>4</v>
      </c>
      <c r="B144" s="35">
        <v>220400001</v>
      </c>
      <c r="C144" s="35">
        <v>204</v>
      </c>
      <c r="D144" s="35">
        <v>0</v>
      </c>
      <c r="E144" s="35">
        <v>57</v>
      </c>
      <c r="F144" s="35">
        <v>-9</v>
      </c>
      <c r="G144" s="35">
        <v>-105</v>
      </c>
      <c r="H144" s="1" t="s">
        <v>236</v>
      </c>
    </row>
    <row r="145" spans="1:8" x14ac:dyDescent="0.2">
      <c r="A145" s="35">
        <v>4</v>
      </c>
      <c r="B145" s="35">
        <v>220400002</v>
      </c>
      <c r="C145" s="35">
        <v>204</v>
      </c>
      <c r="D145" s="35">
        <v>0</v>
      </c>
      <c r="E145" s="35">
        <v>44</v>
      </c>
      <c r="F145" s="35">
        <v>-9</v>
      </c>
      <c r="G145" s="35">
        <v>-104</v>
      </c>
      <c r="H145" s="1"/>
    </row>
    <row r="146" spans="1:8" x14ac:dyDescent="0.2">
      <c r="A146" s="35">
        <v>4</v>
      </c>
      <c r="B146" s="35">
        <v>220400003</v>
      </c>
      <c r="C146" s="35">
        <v>204</v>
      </c>
      <c r="D146" s="35">
        <v>0</v>
      </c>
      <c r="E146" s="35">
        <v>54</v>
      </c>
      <c r="F146" s="35">
        <v>-9</v>
      </c>
      <c r="G146" s="35">
        <v>-118</v>
      </c>
      <c r="H146" s="1"/>
    </row>
    <row r="147" spans="1:8" x14ac:dyDescent="0.2">
      <c r="A147" s="35">
        <v>4</v>
      </c>
      <c r="B147" s="35">
        <v>220400004</v>
      </c>
      <c r="C147" s="35">
        <v>204</v>
      </c>
      <c r="D147" s="35">
        <v>0</v>
      </c>
      <c r="E147" s="35">
        <v>41</v>
      </c>
      <c r="F147" s="35">
        <v>-9</v>
      </c>
      <c r="G147" s="35">
        <v>-118</v>
      </c>
      <c r="H147" s="1"/>
    </row>
    <row r="148" spans="1:8" x14ac:dyDescent="0.2">
      <c r="A148" s="35">
        <v>4</v>
      </c>
      <c r="B148" s="35">
        <v>220500001</v>
      </c>
      <c r="C148" s="35">
        <v>205</v>
      </c>
      <c r="D148" s="35">
        <v>0</v>
      </c>
      <c r="E148" s="35">
        <v>-101</v>
      </c>
      <c r="F148" s="35">
        <v>0</v>
      </c>
      <c r="G148" s="35">
        <v>-29</v>
      </c>
      <c r="H148" s="1" t="s">
        <v>237</v>
      </c>
    </row>
    <row r="149" spans="1:8" x14ac:dyDescent="0.2">
      <c r="A149" s="35">
        <v>4</v>
      </c>
      <c r="B149" s="35">
        <v>220500002</v>
      </c>
      <c r="C149" s="35">
        <v>205</v>
      </c>
      <c r="D149" s="35">
        <v>0</v>
      </c>
      <c r="E149" s="35">
        <v>-101</v>
      </c>
      <c r="F149" s="35">
        <v>0</v>
      </c>
      <c r="G149" s="35">
        <v>-15</v>
      </c>
      <c r="H149" s="1"/>
    </row>
    <row r="150" spans="1:8" x14ac:dyDescent="0.2">
      <c r="A150" s="35">
        <v>4</v>
      </c>
      <c r="B150" s="35">
        <v>220500003</v>
      </c>
      <c r="C150" s="35">
        <v>205</v>
      </c>
      <c r="D150" s="35">
        <v>0</v>
      </c>
      <c r="E150" s="35">
        <v>-85</v>
      </c>
      <c r="F150" s="35">
        <v>0</v>
      </c>
      <c r="G150" s="35">
        <v>-29</v>
      </c>
      <c r="H150" s="1"/>
    </row>
    <row r="151" spans="1:8" x14ac:dyDescent="0.2">
      <c r="A151" s="35">
        <v>4</v>
      </c>
      <c r="B151" s="35">
        <v>220600001</v>
      </c>
      <c r="C151" s="35">
        <v>206</v>
      </c>
      <c r="D151" s="35">
        <v>0</v>
      </c>
      <c r="E151" s="35">
        <v>48</v>
      </c>
      <c r="F151" s="35">
        <v>0</v>
      </c>
      <c r="G151" s="35">
        <v>48</v>
      </c>
      <c r="H151" s="1" t="s">
        <v>238</v>
      </c>
    </row>
    <row r="152" spans="1:8" x14ac:dyDescent="0.2">
      <c r="A152" s="35">
        <v>4</v>
      </c>
      <c r="B152" s="35">
        <v>220700001</v>
      </c>
      <c r="C152" s="35">
        <v>207</v>
      </c>
      <c r="D152" s="35">
        <v>0</v>
      </c>
      <c r="E152" s="35">
        <v>83</v>
      </c>
      <c r="F152" s="35">
        <v>-9</v>
      </c>
      <c r="G152" s="35">
        <v>-93</v>
      </c>
      <c r="H152" s="1" t="s">
        <v>239</v>
      </c>
    </row>
    <row r="153" spans="1:8" x14ac:dyDescent="0.2">
      <c r="A153" s="35">
        <v>4</v>
      </c>
      <c r="B153" s="35">
        <v>220700002</v>
      </c>
      <c r="C153" s="35">
        <v>207</v>
      </c>
      <c r="D153" s="35">
        <v>0</v>
      </c>
      <c r="E153" s="35">
        <v>115</v>
      </c>
      <c r="F153" s="44">
        <v>-9</v>
      </c>
      <c r="G153" s="44">
        <v>-42</v>
      </c>
      <c r="H153" s="44"/>
    </row>
    <row r="154" spans="1:8" x14ac:dyDescent="0.2">
      <c r="A154" s="35">
        <v>4</v>
      </c>
      <c r="B154" s="35">
        <v>220700003</v>
      </c>
      <c r="C154" s="35">
        <v>207</v>
      </c>
      <c r="D154" s="35">
        <v>0</v>
      </c>
      <c r="E154" s="35">
        <v>128</v>
      </c>
      <c r="F154" s="35">
        <v>-9</v>
      </c>
      <c r="G154" s="35">
        <v>-54</v>
      </c>
      <c r="H154" s="1"/>
    </row>
    <row r="155" spans="1:8" x14ac:dyDescent="0.2">
      <c r="A155" s="44">
        <v>4</v>
      </c>
      <c r="B155" s="44">
        <v>220700004</v>
      </c>
      <c r="C155" s="44">
        <v>207</v>
      </c>
      <c r="D155" s="44">
        <v>0</v>
      </c>
      <c r="E155" s="44">
        <v>116</v>
      </c>
      <c r="F155" s="35">
        <v>-9</v>
      </c>
      <c r="G155" s="35">
        <v>-66</v>
      </c>
      <c r="H155" s="1"/>
    </row>
    <row r="156" spans="1:8" x14ac:dyDescent="0.2">
      <c r="A156" s="44">
        <v>4</v>
      </c>
      <c r="B156" s="35">
        <v>220700005</v>
      </c>
      <c r="C156" s="35">
        <v>207</v>
      </c>
      <c r="D156" s="35">
        <v>0</v>
      </c>
      <c r="E156" s="35">
        <v>95</v>
      </c>
      <c r="F156" s="35">
        <v>-9</v>
      </c>
      <c r="G156" s="35">
        <v>-96</v>
      </c>
      <c r="H156" s="1"/>
    </row>
    <row r="157" spans="1:8" x14ac:dyDescent="0.2">
      <c r="A157" s="44">
        <v>4</v>
      </c>
      <c r="B157" s="35">
        <v>220700006</v>
      </c>
      <c r="C157" s="35">
        <v>207</v>
      </c>
      <c r="D157" s="35">
        <v>0</v>
      </c>
      <c r="E157" s="35">
        <v>119</v>
      </c>
      <c r="F157" s="35">
        <v>-9</v>
      </c>
      <c r="G157" s="35">
        <v>-92</v>
      </c>
      <c r="H157" s="1"/>
    </row>
    <row r="158" spans="1:8" x14ac:dyDescent="0.2">
      <c r="A158" s="44">
        <v>4</v>
      </c>
      <c r="B158" s="35">
        <v>220700007</v>
      </c>
      <c r="C158" s="35">
        <v>207</v>
      </c>
      <c r="D158" s="35">
        <v>0</v>
      </c>
      <c r="E158" s="35">
        <v>107</v>
      </c>
      <c r="F158" s="35">
        <v>-9</v>
      </c>
      <c r="G158" s="35">
        <v>-91</v>
      </c>
      <c r="H158" s="1"/>
    </row>
    <row r="159" spans="1:8" x14ac:dyDescent="0.2">
      <c r="A159" s="44">
        <v>4</v>
      </c>
      <c r="B159" s="35">
        <v>220700008</v>
      </c>
      <c r="C159" s="35">
        <v>207</v>
      </c>
      <c r="D159" s="35">
        <v>0</v>
      </c>
      <c r="E159" s="35">
        <v>128</v>
      </c>
      <c r="F159" s="46">
        <v>-9</v>
      </c>
      <c r="G159" s="46">
        <v>-66</v>
      </c>
      <c r="H159" s="1"/>
    </row>
    <row r="160" spans="1:8" x14ac:dyDescent="0.2">
      <c r="A160" s="44">
        <v>4</v>
      </c>
      <c r="B160" s="35">
        <v>220700009</v>
      </c>
      <c r="C160" s="47">
        <v>207</v>
      </c>
      <c r="D160" s="47">
        <v>0</v>
      </c>
      <c r="E160" s="46">
        <v>104</v>
      </c>
      <c r="F160" s="48">
        <v>-9</v>
      </c>
      <c r="G160" s="48">
        <v>-66</v>
      </c>
      <c r="H160" s="1"/>
    </row>
    <row r="161" spans="1:8" x14ac:dyDescent="0.2">
      <c r="A161" s="44">
        <v>4</v>
      </c>
      <c r="B161" s="35">
        <v>220700010</v>
      </c>
      <c r="C161" s="47">
        <v>207</v>
      </c>
      <c r="D161" s="47">
        <v>0</v>
      </c>
      <c r="E161" s="48">
        <v>107</v>
      </c>
      <c r="F161" s="47">
        <v>-9</v>
      </c>
      <c r="G161" s="47">
        <v>-104</v>
      </c>
      <c r="H161" s="1"/>
    </row>
    <row r="162" spans="1:8" x14ac:dyDescent="0.2">
      <c r="A162" s="44">
        <v>4</v>
      </c>
      <c r="B162" s="35">
        <v>220700011</v>
      </c>
      <c r="C162" s="47">
        <v>207</v>
      </c>
      <c r="D162" s="47">
        <v>0</v>
      </c>
      <c r="E162" s="47">
        <v>83</v>
      </c>
      <c r="F162" s="47">
        <v>-9</v>
      </c>
      <c r="G162" s="47">
        <v>-105</v>
      </c>
      <c r="H162" s="1"/>
    </row>
    <row r="163" spans="1:8" x14ac:dyDescent="0.2">
      <c r="A163" s="44">
        <v>4</v>
      </c>
      <c r="B163" s="35">
        <v>220700012</v>
      </c>
      <c r="C163" s="47">
        <v>207</v>
      </c>
      <c r="D163" s="47">
        <v>0</v>
      </c>
      <c r="E163" s="47">
        <v>107</v>
      </c>
      <c r="F163" s="35">
        <v>-9</v>
      </c>
      <c r="G163" s="35">
        <v>-79</v>
      </c>
      <c r="H163" s="1"/>
    </row>
    <row r="164" spans="1:8" x14ac:dyDescent="0.2">
      <c r="A164" s="44">
        <v>4</v>
      </c>
      <c r="B164" s="35">
        <v>220800001</v>
      </c>
      <c r="C164" s="35">
        <v>208</v>
      </c>
      <c r="D164" s="35">
        <v>0</v>
      </c>
      <c r="E164" s="35">
        <v>-69</v>
      </c>
      <c r="F164" s="35">
        <v>13</v>
      </c>
      <c r="G164" s="35">
        <v>78</v>
      </c>
      <c r="H164" s="1" t="s">
        <v>240</v>
      </c>
    </row>
    <row r="165" spans="1:8" x14ac:dyDescent="0.2">
      <c r="A165" s="44">
        <v>4</v>
      </c>
      <c r="B165" s="35">
        <v>220900001</v>
      </c>
      <c r="C165" s="35">
        <v>209</v>
      </c>
      <c r="D165" s="35">
        <v>0</v>
      </c>
      <c r="E165" s="35">
        <v>45</v>
      </c>
      <c r="F165" s="35">
        <v>0</v>
      </c>
      <c r="G165" s="35">
        <v>18</v>
      </c>
      <c r="H165" s="1" t="s">
        <v>241</v>
      </c>
    </row>
    <row r="166" spans="1:8" x14ac:dyDescent="0.2">
      <c r="A166" s="44">
        <v>4</v>
      </c>
      <c r="B166" s="35">
        <v>221100001</v>
      </c>
      <c r="C166" s="35">
        <v>211</v>
      </c>
      <c r="D166" s="35">
        <v>0</v>
      </c>
      <c r="E166" s="35">
        <v>21</v>
      </c>
      <c r="F166" s="35">
        <v>0</v>
      </c>
      <c r="G166" s="35">
        <v>-38</v>
      </c>
      <c r="H166" s="1" t="s">
        <v>242</v>
      </c>
    </row>
    <row r="167" spans="1:8" x14ac:dyDescent="0.2">
      <c r="A167" s="44">
        <v>4</v>
      </c>
      <c r="B167" s="35">
        <v>221200001</v>
      </c>
      <c r="C167" s="35">
        <v>212</v>
      </c>
      <c r="D167" s="35">
        <v>0</v>
      </c>
      <c r="E167" s="35">
        <v>129</v>
      </c>
      <c r="F167" s="35">
        <v>-4.5999999999999996</v>
      </c>
      <c r="G167" s="35">
        <v>52</v>
      </c>
      <c r="H167" s="1" t="s">
        <v>243</v>
      </c>
    </row>
    <row r="168" spans="1:8" x14ac:dyDescent="0.2">
      <c r="A168" s="44">
        <v>4</v>
      </c>
      <c r="B168" s="35">
        <v>221300001</v>
      </c>
      <c r="C168" s="35">
        <v>213</v>
      </c>
      <c r="D168" s="35">
        <v>0</v>
      </c>
      <c r="E168" s="35">
        <v>16</v>
      </c>
      <c r="F168" s="35">
        <v>-18.5</v>
      </c>
      <c r="G168" s="35">
        <v>130</v>
      </c>
      <c r="H168" s="1" t="s">
        <v>244</v>
      </c>
    </row>
    <row r="169" spans="1:8" x14ac:dyDescent="0.2">
      <c r="A169" s="44">
        <v>4</v>
      </c>
      <c r="B169" s="35">
        <v>221500001</v>
      </c>
      <c r="C169" s="35">
        <v>215</v>
      </c>
      <c r="D169" s="35">
        <v>0</v>
      </c>
      <c r="E169" s="35">
        <v>90</v>
      </c>
      <c r="F169" s="35">
        <v>0</v>
      </c>
      <c r="G169" s="35">
        <v>1</v>
      </c>
      <c r="H169" s="1" t="s">
        <v>245</v>
      </c>
    </row>
    <row r="170" spans="1:8" x14ac:dyDescent="0.2">
      <c r="A170" s="44">
        <v>4</v>
      </c>
      <c r="B170" s="35">
        <v>222200001</v>
      </c>
      <c r="C170" s="35">
        <v>222</v>
      </c>
      <c r="D170" s="35">
        <v>0</v>
      </c>
      <c r="E170" s="35">
        <v>48</v>
      </c>
      <c r="F170" s="47">
        <v>0</v>
      </c>
      <c r="G170" s="47">
        <v>-17</v>
      </c>
      <c r="H170" s="1" t="s">
        <v>246</v>
      </c>
    </row>
    <row r="171" spans="1:8" x14ac:dyDescent="0.2">
      <c r="A171" s="44">
        <v>4</v>
      </c>
      <c r="B171" s="35">
        <v>222400001</v>
      </c>
      <c r="C171" s="35">
        <v>224</v>
      </c>
      <c r="D171" s="35">
        <v>0</v>
      </c>
      <c r="E171" s="47">
        <v>69</v>
      </c>
      <c r="F171" s="35">
        <v>0</v>
      </c>
      <c r="G171" s="35">
        <v>18</v>
      </c>
      <c r="H171" s="1" t="s">
        <v>247</v>
      </c>
    </row>
    <row r="172" spans="1:8" x14ac:dyDescent="0.2">
      <c r="A172" s="44">
        <v>4</v>
      </c>
      <c r="B172" s="35">
        <v>222600001</v>
      </c>
      <c r="C172" s="35">
        <v>226</v>
      </c>
      <c r="D172" s="35">
        <v>0</v>
      </c>
      <c r="E172" s="35">
        <v>-7</v>
      </c>
      <c r="F172" s="35">
        <v>3</v>
      </c>
      <c r="G172" s="35">
        <v>66</v>
      </c>
      <c r="H172" s="1" t="s">
        <v>248</v>
      </c>
    </row>
    <row r="173" spans="1:8" x14ac:dyDescent="0.2">
      <c r="A173" s="44">
        <v>4</v>
      </c>
      <c r="B173" s="35">
        <v>222700001</v>
      </c>
      <c r="C173" s="35">
        <v>227</v>
      </c>
      <c r="D173" s="35">
        <v>0</v>
      </c>
      <c r="E173" s="35">
        <v>135</v>
      </c>
      <c r="F173" s="35">
        <v>-9</v>
      </c>
      <c r="G173" s="35">
        <v>-12</v>
      </c>
      <c r="H173" s="1" t="s">
        <v>249</v>
      </c>
    </row>
    <row r="174" spans="1:8" x14ac:dyDescent="0.2">
      <c r="A174" s="44">
        <v>4</v>
      </c>
      <c r="B174" s="35">
        <v>222700002</v>
      </c>
      <c r="C174" s="35">
        <v>227</v>
      </c>
      <c r="D174" s="35">
        <v>0</v>
      </c>
      <c r="E174" s="35">
        <v>136</v>
      </c>
      <c r="F174" s="35">
        <v>-8.56</v>
      </c>
      <c r="G174" s="35">
        <v>16</v>
      </c>
      <c r="H174" s="1"/>
    </row>
    <row r="175" spans="1:8" x14ac:dyDescent="0.2">
      <c r="A175" s="44">
        <v>4</v>
      </c>
      <c r="B175" s="35">
        <v>222900001</v>
      </c>
      <c r="C175" s="35">
        <v>229</v>
      </c>
      <c r="D175" s="35">
        <v>0</v>
      </c>
      <c r="E175" s="35">
        <v>27</v>
      </c>
      <c r="F175" s="35">
        <v>0</v>
      </c>
      <c r="G175" s="35">
        <v>36</v>
      </c>
      <c r="H175" s="1" t="s">
        <v>296</v>
      </c>
    </row>
    <row r="176" spans="1:8" x14ac:dyDescent="0.2">
      <c r="A176" s="44">
        <v>4</v>
      </c>
      <c r="B176" s="35">
        <v>223000001</v>
      </c>
      <c r="C176" s="35">
        <v>230</v>
      </c>
      <c r="D176" s="35">
        <v>0</v>
      </c>
      <c r="E176" s="35">
        <v>30</v>
      </c>
      <c r="F176" s="35">
        <v>0</v>
      </c>
      <c r="G176" s="35">
        <v>-17</v>
      </c>
      <c r="H176" s="1" t="s">
        <v>250</v>
      </c>
    </row>
    <row r="177" spans="1:8" x14ac:dyDescent="0.2">
      <c r="A177" s="44">
        <v>4</v>
      </c>
      <c r="B177" s="35">
        <v>223100001</v>
      </c>
      <c r="C177" s="35">
        <v>231</v>
      </c>
      <c r="D177" s="35">
        <v>0</v>
      </c>
      <c r="E177" s="35">
        <v>-13</v>
      </c>
      <c r="F177" s="35">
        <v>0</v>
      </c>
      <c r="G177" s="35">
        <v>-40</v>
      </c>
      <c r="H177" s="1" t="s">
        <v>251</v>
      </c>
    </row>
    <row r="178" spans="1:8" x14ac:dyDescent="0.2">
      <c r="A178" s="44">
        <v>4</v>
      </c>
      <c r="B178" s="35">
        <v>223200001</v>
      </c>
      <c r="C178" s="35">
        <v>232</v>
      </c>
      <c r="D178" s="35">
        <v>0</v>
      </c>
      <c r="E178" s="35">
        <v>72</v>
      </c>
      <c r="F178" s="35">
        <v>0</v>
      </c>
      <c r="G178" s="35">
        <v>48</v>
      </c>
      <c r="H178" s="1" t="s">
        <v>252</v>
      </c>
    </row>
    <row r="179" spans="1:8" x14ac:dyDescent="0.2">
      <c r="A179" s="44">
        <v>4</v>
      </c>
      <c r="B179" s="35">
        <v>223400001</v>
      </c>
      <c r="C179" s="35">
        <v>234</v>
      </c>
      <c r="D179" s="35">
        <v>0</v>
      </c>
      <c r="E179" s="35">
        <v>-111</v>
      </c>
      <c r="F179" s="35">
        <v>0</v>
      </c>
      <c r="G179" s="35">
        <v>-40</v>
      </c>
      <c r="H179" s="1" t="s">
        <v>297</v>
      </c>
    </row>
    <row r="180" spans="1:8" x14ac:dyDescent="0.2">
      <c r="A180" s="44">
        <v>4</v>
      </c>
      <c r="B180" s="35">
        <v>223400002</v>
      </c>
      <c r="C180" s="35">
        <v>234</v>
      </c>
      <c r="D180" s="35">
        <v>0</v>
      </c>
      <c r="E180" s="35">
        <v>-111</v>
      </c>
      <c r="F180" s="35">
        <v>0</v>
      </c>
      <c r="G180" s="35">
        <v>-50</v>
      </c>
      <c r="H180" s="1"/>
    </row>
    <row r="181" spans="1:8" x14ac:dyDescent="0.2">
      <c r="A181" s="44">
        <v>4</v>
      </c>
      <c r="B181" s="35">
        <v>223400003</v>
      </c>
      <c r="C181" s="35">
        <v>234</v>
      </c>
      <c r="D181" s="35">
        <v>0</v>
      </c>
      <c r="E181" s="35">
        <v>-87</v>
      </c>
      <c r="F181" s="35">
        <v>0</v>
      </c>
      <c r="G181" s="35">
        <v>-50</v>
      </c>
      <c r="H181" s="1"/>
    </row>
    <row r="182" spans="1:8" x14ac:dyDescent="0.2">
      <c r="A182" s="44">
        <v>4</v>
      </c>
      <c r="B182" s="35">
        <v>223500001</v>
      </c>
      <c r="C182" s="35">
        <v>235</v>
      </c>
      <c r="D182" s="35">
        <v>0</v>
      </c>
      <c r="E182" s="35">
        <v>-57</v>
      </c>
      <c r="F182" s="35">
        <v>5</v>
      </c>
      <c r="G182" s="35">
        <v>6</v>
      </c>
      <c r="H182" s="1" t="s">
        <v>253</v>
      </c>
    </row>
    <row r="183" spans="1:8" x14ac:dyDescent="0.2">
      <c r="A183" s="44">
        <v>4</v>
      </c>
      <c r="B183" s="35">
        <v>223600001</v>
      </c>
      <c r="C183" s="35">
        <v>236</v>
      </c>
      <c r="D183" s="35">
        <v>0</v>
      </c>
      <c r="E183" s="35">
        <v>-35</v>
      </c>
      <c r="F183" s="35">
        <v>5</v>
      </c>
      <c r="G183" s="35">
        <v>6</v>
      </c>
      <c r="H183" s="1" t="s">
        <v>254</v>
      </c>
    </row>
    <row r="184" spans="1:8" x14ac:dyDescent="0.2">
      <c r="A184" s="44">
        <v>4</v>
      </c>
      <c r="B184" s="35">
        <v>223700001</v>
      </c>
      <c r="C184" s="35">
        <v>237</v>
      </c>
      <c r="D184" s="35">
        <v>0</v>
      </c>
      <c r="E184" s="35">
        <v>63</v>
      </c>
      <c r="F184" s="35">
        <v>0</v>
      </c>
      <c r="G184" s="35">
        <v>-41</v>
      </c>
      <c r="H184" s="1" t="s">
        <v>255</v>
      </c>
    </row>
    <row r="185" spans="1:8" x14ac:dyDescent="0.2">
      <c r="A185" s="44">
        <v>4</v>
      </c>
      <c r="B185" s="35">
        <v>230000001</v>
      </c>
      <c r="C185" s="35">
        <v>300</v>
      </c>
      <c r="D185" s="35">
        <v>0</v>
      </c>
      <c r="E185" s="35">
        <v>80</v>
      </c>
      <c r="F185" s="35">
        <v>-9</v>
      </c>
      <c r="G185" s="35">
        <v>107</v>
      </c>
      <c r="H185" s="1" t="s">
        <v>256</v>
      </c>
    </row>
    <row r="186" spans="1:8" x14ac:dyDescent="0.2">
      <c r="A186" s="44">
        <v>4</v>
      </c>
      <c r="B186" s="35">
        <v>240000001</v>
      </c>
      <c r="C186" s="35">
        <v>400</v>
      </c>
      <c r="D186" s="35">
        <v>0</v>
      </c>
      <c r="E186" s="35">
        <v>-18</v>
      </c>
      <c r="F186" s="35">
        <v>0</v>
      </c>
      <c r="G186" s="35">
        <v>-62</v>
      </c>
      <c r="H186" s="1" t="s">
        <v>257</v>
      </c>
    </row>
    <row r="187" spans="1:8" x14ac:dyDescent="0.2">
      <c r="A187" s="44">
        <v>4</v>
      </c>
      <c r="B187" s="35">
        <v>240400001</v>
      </c>
      <c r="C187" s="35">
        <v>404</v>
      </c>
      <c r="D187" s="35">
        <v>0</v>
      </c>
      <c r="E187" s="35">
        <v>214.97</v>
      </c>
      <c r="F187" s="35">
        <v>-4.2</v>
      </c>
      <c r="G187" s="35">
        <v>89.09</v>
      </c>
      <c r="H187" s="1" t="s">
        <v>258</v>
      </c>
    </row>
    <row r="188" spans="1:8" x14ac:dyDescent="0.2">
      <c r="A188" s="44">
        <v>5</v>
      </c>
      <c r="B188" s="35">
        <v>220100001</v>
      </c>
      <c r="C188" s="35">
        <v>201</v>
      </c>
      <c r="D188" s="35">
        <v>0</v>
      </c>
      <c r="E188" s="35">
        <v>0</v>
      </c>
      <c r="F188" s="35">
        <v>0</v>
      </c>
      <c r="G188" s="35">
        <v>0</v>
      </c>
      <c r="H188" s="1" t="s">
        <v>233</v>
      </c>
    </row>
    <row r="189" spans="1:8" x14ac:dyDescent="0.2">
      <c r="A189" s="44">
        <v>5</v>
      </c>
      <c r="B189" s="35">
        <v>220200001</v>
      </c>
      <c r="C189" s="35">
        <v>202</v>
      </c>
      <c r="D189" s="35">
        <v>0</v>
      </c>
      <c r="E189" s="35">
        <v>-37</v>
      </c>
      <c r="F189" s="35">
        <v>0</v>
      </c>
      <c r="G189" s="35">
        <v>-28</v>
      </c>
      <c r="H189" s="1" t="s">
        <v>234</v>
      </c>
    </row>
    <row r="190" spans="1:8" x14ac:dyDescent="0.2">
      <c r="A190" s="44">
        <v>5</v>
      </c>
      <c r="B190" s="35">
        <v>220200002</v>
      </c>
      <c r="C190" s="35">
        <v>202</v>
      </c>
      <c r="D190" s="35">
        <v>0</v>
      </c>
      <c r="E190" s="35">
        <v>-50</v>
      </c>
      <c r="F190" s="1">
        <v>0</v>
      </c>
      <c r="G190" s="1">
        <v>-38</v>
      </c>
      <c r="H190" s="1"/>
    </row>
    <row r="191" spans="1:8" x14ac:dyDescent="0.2">
      <c r="A191" s="35">
        <v>5</v>
      </c>
      <c r="B191" s="35">
        <v>220200003</v>
      </c>
      <c r="C191" s="35">
        <v>202</v>
      </c>
      <c r="D191" s="35">
        <v>0</v>
      </c>
      <c r="E191" s="35">
        <v>-37</v>
      </c>
      <c r="F191" s="35">
        <v>0</v>
      </c>
      <c r="G191" s="35">
        <v>-44</v>
      </c>
      <c r="H191" s="1"/>
    </row>
    <row r="192" spans="1:8" x14ac:dyDescent="0.2">
      <c r="A192" s="1">
        <v>5</v>
      </c>
      <c r="B192" s="1">
        <v>220200004</v>
      </c>
      <c r="C192" s="1">
        <v>202</v>
      </c>
      <c r="D192" s="1">
        <v>0</v>
      </c>
      <c r="E192" s="1">
        <v>-37</v>
      </c>
      <c r="F192" s="1">
        <v>0</v>
      </c>
      <c r="G192" s="1">
        <v>-58</v>
      </c>
      <c r="H192" s="1"/>
    </row>
    <row r="193" spans="1:8" x14ac:dyDescent="0.2">
      <c r="A193" s="1">
        <v>5</v>
      </c>
      <c r="B193" s="1">
        <v>220300001</v>
      </c>
      <c r="C193" s="1">
        <v>203</v>
      </c>
      <c r="D193" s="1">
        <v>0</v>
      </c>
      <c r="E193" s="1">
        <v>127</v>
      </c>
      <c r="F193" s="1">
        <v>-9</v>
      </c>
      <c r="G193" s="1">
        <v>-42</v>
      </c>
      <c r="H193" s="1" t="s">
        <v>235</v>
      </c>
    </row>
    <row r="194" spans="1:8" x14ac:dyDescent="0.2">
      <c r="A194" s="1">
        <v>5</v>
      </c>
      <c r="B194" s="1">
        <v>220300002</v>
      </c>
      <c r="C194" s="1">
        <v>203</v>
      </c>
      <c r="D194" s="1">
        <v>0</v>
      </c>
      <c r="E194" s="1">
        <v>120</v>
      </c>
      <c r="F194" s="1">
        <v>-9</v>
      </c>
      <c r="G194" s="1">
        <v>-79</v>
      </c>
      <c r="H194" s="1"/>
    </row>
    <row r="195" spans="1:8" x14ac:dyDescent="0.2">
      <c r="A195" s="1">
        <v>5</v>
      </c>
      <c r="B195" s="1">
        <v>220300003</v>
      </c>
      <c r="C195" s="1">
        <v>203</v>
      </c>
      <c r="D195" s="1">
        <v>0</v>
      </c>
      <c r="E195" s="1">
        <v>95</v>
      </c>
      <c r="F195" s="1">
        <v>-9</v>
      </c>
      <c r="G195" s="1">
        <v>-83</v>
      </c>
      <c r="H195" s="1"/>
    </row>
    <row r="196" spans="1:8" x14ac:dyDescent="0.2">
      <c r="A196" s="1">
        <v>5</v>
      </c>
      <c r="B196" s="1">
        <v>220300004</v>
      </c>
      <c r="C196" s="1">
        <v>203</v>
      </c>
      <c r="D196" s="1">
        <v>0</v>
      </c>
      <c r="E196" s="1">
        <v>117</v>
      </c>
      <c r="F196" s="1">
        <v>-9</v>
      </c>
      <c r="G196" s="1">
        <v>-54</v>
      </c>
      <c r="H196" s="1"/>
    </row>
    <row r="197" spans="1:8" x14ac:dyDescent="0.2">
      <c r="A197" s="1">
        <v>5</v>
      </c>
      <c r="B197" s="1">
        <v>220400001</v>
      </c>
      <c r="C197" s="1">
        <v>204</v>
      </c>
      <c r="D197" s="1">
        <v>0</v>
      </c>
      <c r="E197" s="1">
        <v>57</v>
      </c>
      <c r="F197" s="1">
        <v>-9</v>
      </c>
      <c r="G197" s="1">
        <v>-105</v>
      </c>
      <c r="H197" s="1" t="s">
        <v>236</v>
      </c>
    </row>
    <row r="198" spans="1:8" x14ac:dyDescent="0.2">
      <c r="A198" s="1">
        <v>5</v>
      </c>
      <c r="B198" s="1">
        <v>220400002</v>
      </c>
      <c r="C198" s="1">
        <v>204</v>
      </c>
      <c r="D198" s="1">
        <v>0</v>
      </c>
      <c r="E198" s="1">
        <v>44</v>
      </c>
      <c r="F198" s="1">
        <v>-9</v>
      </c>
      <c r="G198" s="1">
        <v>-104</v>
      </c>
      <c r="H198" s="1"/>
    </row>
    <row r="199" spans="1:8" x14ac:dyDescent="0.2">
      <c r="A199" s="1">
        <v>5</v>
      </c>
      <c r="B199" s="1">
        <v>220400003</v>
      </c>
      <c r="C199" s="1">
        <v>204</v>
      </c>
      <c r="D199" s="1">
        <v>0</v>
      </c>
      <c r="E199" s="1">
        <v>54</v>
      </c>
      <c r="F199" s="1">
        <v>-9</v>
      </c>
      <c r="G199" s="1">
        <v>-118</v>
      </c>
      <c r="H199" s="1"/>
    </row>
    <row r="200" spans="1:8" x14ac:dyDescent="0.2">
      <c r="A200" s="1">
        <v>5</v>
      </c>
      <c r="B200" s="1">
        <v>220400004</v>
      </c>
      <c r="C200" s="1">
        <v>204</v>
      </c>
      <c r="D200" s="1">
        <v>0</v>
      </c>
      <c r="E200" s="1">
        <v>41</v>
      </c>
      <c r="F200" s="1">
        <v>-9</v>
      </c>
      <c r="G200" s="1">
        <v>-118</v>
      </c>
      <c r="H200" s="1"/>
    </row>
    <row r="201" spans="1:8" x14ac:dyDescent="0.2">
      <c r="A201" s="1">
        <v>5</v>
      </c>
      <c r="B201" s="1">
        <v>220500001</v>
      </c>
      <c r="C201" s="1">
        <v>205</v>
      </c>
      <c r="D201" s="1">
        <v>0</v>
      </c>
      <c r="E201" s="1">
        <v>-101</v>
      </c>
      <c r="F201" s="1">
        <v>0</v>
      </c>
      <c r="G201" s="1">
        <v>-29</v>
      </c>
      <c r="H201" s="1" t="s">
        <v>237</v>
      </c>
    </row>
    <row r="202" spans="1:8" x14ac:dyDescent="0.2">
      <c r="A202" s="1">
        <v>5</v>
      </c>
      <c r="B202" s="1">
        <v>220500002</v>
      </c>
      <c r="C202" s="1">
        <v>205</v>
      </c>
      <c r="D202" s="1">
        <v>0</v>
      </c>
      <c r="E202" s="1">
        <v>-101</v>
      </c>
      <c r="F202" s="1">
        <v>0</v>
      </c>
      <c r="G202" s="1">
        <v>-15</v>
      </c>
      <c r="H202" s="1"/>
    </row>
    <row r="203" spans="1:8" x14ac:dyDescent="0.2">
      <c r="A203" s="1">
        <v>5</v>
      </c>
      <c r="B203" s="1">
        <v>220500003</v>
      </c>
      <c r="C203" s="1">
        <v>205</v>
      </c>
      <c r="D203" s="1">
        <v>0</v>
      </c>
      <c r="E203" s="1">
        <v>-85</v>
      </c>
      <c r="F203" s="1">
        <v>0</v>
      </c>
      <c r="G203" s="1">
        <v>-29</v>
      </c>
      <c r="H203" s="1"/>
    </row>
    <row r="204" spans="1:8" x14ac:dyDescent="0.2">
      <c r="A204" s="1">
        <v>5</v>
      </c>
      <c r="B204" s="1">
        <v>220500004</v>
      </c>
      <c r="C204" s="1">
        <v>205</v>
      </c>
      <c r="D204" s="1">
        <v>0</v>
      </c>
      <c r="E204" s="1">
        <v>-85</v>
      </c>
      <c r="F204" s="1">
        <v>0</v>
      </c>
      <c r="G204" s="1">
        <v>-39</v>
      </c>
      <c r="H204" s="1"/>
    </row>
    <row r="205" spans="1:8" x14ac:dyDescent="0.2">
      <c r="A205" s="1">
        <v>5</v>
      </c>
      <c r="B205" s="1">
        <v>220600001</v>
      </c>
      <c r="C205" s="1">
        <v>206</v>
      </c>
      <c r="D205" s="1">
        <v>0</v>
      </c>
      <c r="E205" s="1">
        <v>48</v>
      </c>
      <c r="F205" s="1">
        <v>0</v>
      </c>
      <c r="G205" s="1">
        <v>48</v>
      </c>
      <c r="H205" s="1" t="s">
        <v>238</v>
      </c>
    </row>
    <row r="206" spans="1:8" x14ac:dyDescent="0.2">
      <c r="A206" s="1">
        <v>5</v>
      </c>
      <c r="B206" s="1">
        <v>220700001</v>
      </c>
      <c r="C206" s="1">
        <v>207</v>
      </c>
      <c r="D206" s="1">
        <v>0</v>
      </c>
      <c r="E206" s="1">
        <v>83</v>
      </c>
      <c r="F206" s="1">
        <v>-9</v>
      </c>
      <c r="G206" s="1">
        <v>-93</v>
      </c>
      <c r="H206" s="1" t="s">
        <v>239</v>
      </c>
    </row>
    <row r="207" spans="1:8" x14ac:dyDescent="0.2">
      <c r="A207" s="1">
        <v>5</v>
      </c>
      <c r="B207" s="1">
        <v>220700002</v>
      </c>
      <c r="C207" s="1">
        <v>207</v>
      </c>
      <c r="D207" s="1">
        <v>0</v>
      </c>
      <c r="E207" s="1">
        <v>115</v>
      </c>
      <c r="F207" s="1">
        <v>-9</v>
      </c>
      <c r="G207" s="1">
        <v>-42</v>
      </c>
      <c r="H207" s="1"/>
    </row>
    <row r="208" spans="1:8" x14ac:dyDescent="0.2">
      <c r="A208" s="1">
        <v>5</v>
      </c>
      <c r="B208" s="1">
        <v>220700003</v>
      </c>
      <c r="C208" s="1">
        <v>207</v>
      </c>
      <c r="D208" s="1">
        <v>0</v>
      </c>
      <c r="E208" s="1">
        <v>128</v>
      </c>
      <c r="F208" s="1">
        <v>-9</v>
      </c>
      <c r="G208" s="1">
        <v>-54</v>
      </c>
      <c r="H208" s="1"/>
    </row>
    <row r="209" spans="1:8" x14ac:dyDescent="0.2">
      <c r="A209" s="1">
        <v>5</v>
      </c>
      <c r="B209" s="1">
        <v>220700004</v>
      </c>
      <c r="C209" s="1">
        <v>207</v>
      </c>
      <c r="D209" s="1">
        <v>0</v>
      </c>
      <c r="E209" s="1">
        <v>116</v>
      </c>
      <c r="F209" s="1">
        <v>-9</v>
      </c>
      <c r="G209" s="1">
        <v>-66</v>
      </c>
      <c r="H209" s="1"/>
    </row>
    <row r="210" spans="1:8" x14ac:dyDescent="0.2">
      <c r="A210" s="1">
        <v>5</v>
      </c>
      <c r="B210" s="1">
        <v>220700005</v>
      </c>
      <c r="C210" s="1">
        <v>207</v>
      </c>
      <c r="D210" s="1">
        <v>0</v>
      </c>
      <c r="E210" s="1">
        <v>95</v>
      </c>
      <c r="F210" s="1">
        <v>-9</v>
      </c>
      <c r="G210" s="1">
        <v>-96</v>
      </c>
      <c r="H210" s="1"/>
    </row>
    <row r="211" spans="1:8" x14ac:dyDescent="0.2">
      <c r="A211" s="1">
        <v>5</v>
      </c>
      <c r="B211" s="1">
        <v>220700006</v>
      </c>
      <c r="C211" s="1">
        <v>207</v>
      </c>
      <c r="D211" s="1">
        <v>0</v>
      </c>
      <c r="E211" s="1">
        <v>119</v>
      </c>
      <c r="F211" s="1">
        <v>-9</v>
      </c>
      <c r="G211" s="1">
        <v>-92</v>
      </c>
      <c r="H211" s="1"/>
    </row>
    <row r="212" spans="1:8" x14ac:dyDescent="0.2">
      <c r="A212" s="1">
        <v>5</v>
      </c>
      <c r="B212" s="1">
        <v>220700007</v>
      </c>
      <c r="C212" s="1">
        <v>207</v>
      </c>
      <c r="D212" s="1">
        <v>0</v>
      </c>
      <c r="E212" s="1">
        <v>107</v>
      </c>
      <c r="F212" s="1">
        <v>-9</v>
      </c>
      <c r="G212" s="1">
        <v>-91</v>
      </c>
      <c r="H212" s="1"/>
    </row>
    <row r="213" spans="1:8" x14ac:dyDescent="0.2">
      <c r="A213" s="1">
        <v>5</v>
      </c>
      <c r="B213" s="1">
        <v>220700008</v>
      </c>
      <c r="C213" s="1">
        <v>207</v>
      </c>
      <c r="D213" s="1">
        <v>0</v>
      </c>
      <c r="E213" s="1">
        <v>128</v>
      </c>
      <c r="F213" s="1">
        <v>-9</v>
      </c>
      <c r="G213" s="1">
        <v>-66</v>
      </c>
      <c r="H213" s="1"/>
    </row>
    <row r="214" spans="1:8" x14ac:dyDescent="0.2">
      <c r="A214" s="1">
        <v>5</v>
      </c>
      <c r="B214" s="1">
        <v>220700009</v>
      </c>
      <c r="C214" s="1">
        <v>207</v>
      </c>
      <c r="D214" s="1">
        <v>0</v>
      </c>
      <c r="E214" s="1">
        <v>104</v>
      </c>
      <c r="F214" s="1">
        <v>-9</v>
      </c>
      <c r="G214" s="1">
        <v>-66</v>
      </c>
      <c r="H214" s="1"/>
    </row>
    <row r="215" spans="1:8" x14ac:dyDescent="0.2">
      <c r="A215" s="1">
        <v>5</v>
      </c>
      <c r="B215" s="1">
        <v>220700010</v>
      </c>
      <c r="C215" s="1">
        <v>207</v>
      </c>
      <c r="D215" s="1">
        <v>0</v>
      </c>
      <c r="E215" s="1">
        <v>107</v>
      </c>
      <c r="F215" s="1">
        <v>-9</v>
      </c>
      <c r="G215" s="1">
        <v>-104</v>
      </c>
      <c r="H215" s="1"/>
    </row>
    <row r="216" spans="1:8" x14ac:dyDescent="0.2">
      <c r="A216" s="1">
        <v>5</v>
      </c>
      <c r="B216" s="1">
        <v>220700011</v>
      </c>
      <c r="C216" s="1">
        <v>207</v>
      </c>
      <c r="D216" s="1">
        <v>0</v>
      </c>
      <c r="E216" s="1">
        <v>83</v>
      </c>
      <c r="F216" s="1">
        <v>-9</v>
      </c>
      <c r="G216" s="1">
        <v>-105</v>
      </c>
      <c r="H216" s="1"/>
    </row>
    <row r="217" spans="1:8" x14ac:dyDescent="0.2">
      <c r="A217" s="1">
        <v>5</v>
      </c>
      <c r="B217" s="1">
        <v>220700012</v>
      </c>
      <c r="C217" s="1">
        <v>207</v>
      </c>
      <c r="D217" s="1">
        <v>0</v>
      </c>
      <c r="E217" s="1">
        <v>107</v>
      </c>
      <c r="F217" s="1">
        <v>-9</v>
      </c>
      <c r="G217" s="1">
        <v>-79</v>
      </c>
      <c r="H217" s="1"/>
    </row>
    <row r="218" spans="1:8" x14ac:dyDescent="0.2">
      <c r="A218" s="1">
        <v>5</v>
      </c>
      <c r="B218" s="1">
        <v>220700013</v>
      </c>
      <c r="C218" s="1">
        <v>207</v>
      </c>
      <c r="D218" s="1">
        <v>0</v>
      </c>
      <c r="E218" s="1">
        <v>123</v>
      </c>
      <c r="F218" s="1">
        <v>-9</v>
      </c>
      <c r="G218" s="1">
        <v>-29</v>
      </c>
      <c r="H218" s="1"/>
    </row>
    <row r="219" spans="1:8" x14ac:dyDescent="0.2">
      <c r="A219" s="1">
        <v>5</v>
      </c>
      <c r="B219" s="1">
        <v>220700014</v>
      </c>
      <c r="C219" s="1">
        <v>207</v>
      </c>
      <c r="D219" s="1">
        <v>0</v>
      </c>
      <c r="E219" s="1">
        <v>70</v>
      </c>
      <c r="F219" s="1">
        <v>-9</v>
      </c>
      <c r="G219" s="1">
        <v>-97</v>
      </c>
      <c r="H219" s="1"/>
    </row>
    <row r="220" spans="1:8" x14ac:dyDescent="0.2">
      <c r="A220" s="1">
        <v>5</v>
      </c>
      <c r="B220" s="1">
        <v>220700015</v>
      </c>
      <c r="C220" s="1">
        <v>207</v>
      </c>
      <c r="D220" s="1">
        <v>0</v>
      </c>
      <c r="E220" s="1">
        <v>70</v>
      </c>
      <c r="F220" s="1">
        <v>-9</v>
      </c>
      <c r="G220" s="1">
        <v>-110</v>
      </c>
      <c r="H220" s="1"/>
    </row>
    <row r="221" spans="1:8" x14ac:dyDescent="0.2">
      <c r="A221" s="1">
        <v>5</v>
      </c>
      <c r="B221" s="1">
        <v>220700016</v>
      </c>
      <c r="C221" s="1">
        <v>207</v>
      </c>
      <c r="D221" s="1">
        <v>0</v>
      </c>
      <c r="E221" s="1">
        <v>95</v>
      </c>
      <c r="F221" s="1">
        <v>-9</v>
      </c>
      <c r="G221" s="1">
        <v>-109</v>
      </c>
      <c r="H221" s="1"/>
    </row>
    <row r="222" spans="1:8" x14ac:dyDescent="0.2">
      <c r="A222" s="1">
        <v>5</v>
      </c>
      <c r="B222" s="1">
        <v>220800001</v>
      </c>
      <c r="C222" s="1">
        <v>208</v>
      </c>
      <c r="D222" s="1">
        <v>0</v>
      </c>
      <c r="E222" s="1">
        <v>-69</v>
      </c>
      <c r="F222" s="1">
        <v>13</v>
      </c>
      <c r="G222" s="1">
        <v>78</v>
      </c>
      <c r="H222" s="1" t="s">
        <v>240</v>
      </c>
    </row>
    <row r="223" spans="1:8" x14ac:dyDescent="0.2">
      <c r="A223" s="1">
        <v>5</v>
      </c>
      <c r="B223" s="1">
        <v>220900001</v>
      </c>
      <c r="C223" s="1">
        <v>209</v>
      </c>
      <c r="D223" s="1">
        <v>0</v>
      </c>
      <c r="E223" s="1">
        <v>45</v>
      </c>
      <c r="F223" s="1">
        <v>0</v>
      </c>
      <c r="G223" s="1">
        <v>18</v>
      </c>
      <c r="H223" s="1" t="s">
        <v>241</v>
      </c>
    </row>
    <row r="224" spans="1:8" x14ac:dyDescent="0.2">
      <c r="A224" s="1">
        <v>5</v>
      </c>
      <c r="B224" s="1">
        <v>221100001</v>
      </c>
      <c r="C224" s="1">
        <v>211</v>
      </c>
      <c r="D224" s="1">
        <v>0</v>
      </c>
      <c r="E224" s="1">
        <v>21</v>
      </c>
      <c r="F224" s="1">
        <v>0</v>
      </c>
      <c r="G224" s="1">
        <v>-38</v>
      </c>
      <c r="H224" s="1" t="s">
        <v>242</v>
      </c>
    </row>
    <row r="225" spans="1:8" x14ac:dyDescent="0.2">
      <c r="A225" s="1">
        <v>5</v>
      </c>
      <c r="B225" s="1">
        <v>221200001</v>
      </c>
      <c r="C225" s="1">
        <v>212</v>
      </c>
      <c r="D225" s="1">
        <v>0</v>
      </c>
      <c r="E225" s="1">
        <v>129</v>
      </c>
      <c r="F225" s="1">
        <v>-4.5999999999999996</v>
      </c>
      <c r="G225" s="1">
        <v>52</v>
      </c>
      <c r="H225" s="1" t="s">
        <v>243</v>
      </c>
    </row>
    <row r="226" spans="1:8" x14ac:dyDescent="0.2">
      <c r="A226" s="1">
        <v>5</v>
      </c>
      <c r="B226" s="1">
        <v>221300001</v>
      </c>
      <c r="C226" s="1">
        <v>213</v>
      </c>
      <c r="D226" s="1">
        <v>0</v>
      </c>
      <c r="E226" s="1">
        <v>16</v>
      </c>
      <c r="F226" s="1">
        <v>-18.5</v>
      </c>
      <c r="G226" s="1">
        <v>130</v>
      </c>
      <c r="H226" s="1" t="s">
        <v>244</v>
      </c>
    </row>
    <row r="227" spans="1:8" x14ac:dyDescent="0.2">
      <c r="A227" s="1">
        <v>5</v>
      </c>
      <c r="B227" s="1">
        <v>221500001</v>
      </c>
      <c r="C227" s="1">
        <v>215</v>
      </c>
      <c r="D227" s="1">
        <v>0</v>
      </c>
      <c r="E227" s="1">
        <v>90</v>
      </c>
      <c r="F227" s="1">
        <v>0</v>
      </c>
      <c r="G227" s="1">
        <v>1</v>
      </c>
      <c r="H227" s="1" t="s">
        <v>245</v>
      </c>
    </row>
    <row r="228" spans="1:8" x14ac:dyDescent="0.2">
      <c r="A228" s="1">
        <v>5</v>
      </c>
      <c r="B228" s="1">
        <v>222200001</v>
      </c>
      <c r="C228" s="1">
        <v>222</v>
      </c>
      <c r="D228" s="1">
        <v>0</v>
      </c>
      <c r="E228" s="1">
        <v>48</v>
      </c>
      <c r="F228" s="1">
        <v>0</v>
      </c>
      <c r="G228" s="1">
        <v>-17</v>
      </c>
      <c r="H228" s="1" t="s">
        <v>246</v>
      </c>
    </row>
    <row r="229" spans="1:8" x14ac:dyDescent="0.2">
      <c r="A229" s="1">
        <v>5</v>
      </c>
      <c r="B229" s="1">
        <v>222400001</v>
      </c>
      <c r="C229" s="1">
        <v>224</v>
      </c>
      <c r="D229" s="1">
        <v>0</v>
      </c>
      <c r="E229" s="1">
        <v>69</v>
      </c>
      <c r="F229" s="1">
        <v>0</v>
      </c>
      <c r="G229" s="1">
        <v>18</v>
      </c>
      <c r="H229" s="1" t="s">
        <v>247</v>
      </c>
    </row>
    <row r="230" spans="1:8" x14ac:dyDescent="0.2">
      <c r="A230" s="1">
        <v>5</v>
      </c>
      <c r="B230" s="1">
        <v>222600001</v>
      </c>
      <c r="C230" s="1">
        <v>226</v>
      </c>
      <c r="D230" s="1">
        <v>0</v>
      </c>
      <c r="E230" s="1">
        <v>-7</v>
      </c>
      <c r="F230" s="1">
        <v>3</v>
      </c>
      <c r="G230" s="1">
        <v>66</v>
      </c>
      <c r="H230" s="1" t="s">
        <v>248</v>
      </c>
    </row>
    <row r="231" spans="1:8" x14ac:dyDescent="0.2">
      <c r="A231" s="1">
        <v>5</v>
      </c>
      <c r="B231" s="1">
        <v>222700001</v>
      </c>
      <c r="C231" s="1">
        <v>227</v>
      </c>
      <c r="D231" s="1">
        <v>0</v>
      </c>
      <c r="E231" s="1">
        <v>135</v>
      </c>
      <c r="F231" s="1">
        <v>-9</v>
      </c>
      <c r="G231" s="1">
        <v>-12</v>
      </c>
      <c r="H231" s="1" t="s">
        <v>249</v>
      </c>
    </row>
    <row r="232" spans="1:8" x14ac:dyDescent="0.2">
      <c r="A232" s="1">
        <v>5</v>
      </c>
      <c r="B232" s="1">
        <v>222700002</v>
      </c>
      <c r="C232" s="1">
        <v>227</v>
      </c>
      <c r="D232" s="1">
        <v>0</v>
      </c>
      <c r="E232" s="1">
        <v>136</v>
      </c>
      <c r="F232" s="1">
        <v>-8.56</v>
      </c>
      <c r="G232" s="1">
        <v>16</v>
      </c>
      <c r="H232" s="1"/>
    </row>
    <row r="233" spans="1:8" x14ac:dyDescent="0.2">
      <c r="A233" s="1">
        <v>5</v>
      </c>
      <c r="B233" s="1">
        <v>222900001</v>
      </c>
      <c r="C233" s="1">
        <v>229</v>
      </c>
      <c r="D233" s="1">
        <v>0</v>
      </c>
      <c r="E233" s="1">
        <v>27</v>
      </c>
      <c r="F233" s="1">
        <v>0</v>
      </c>
      <c r="G233" s="1">
        <v>36</v>
      </c>
      <c r="H233" s="1" t="s">
        <v>296</v>
      </c>
    </row>
    <row r="234" spans="1:8" x14ac:dyDescent="0.2">
      <c r="A234" s="1">
        <v>5</v>
      </c>
      <c r="B234" s="1">
        <v>223000001</v>
      </c>
      <c r="C234" s="1">
        <v>230</v>
      </c>
      <c r="D234" s="1">
        <v>0</v>
      </c>
      <c r="E234" s="1">
        <v>30</v>
      </c>
      <c r="F234" s="1">
        <v>0</v>
      </c>
      <c r="G234" s="1">
        <v>-17</v>
      </c>
      <c r="H234" s="1" t="s">
        <v>250</v>
      </c>
    </row>
    <row r="235" spans="1:8" x14ac:dyDescent="0.2">
      <c r="A235" s="1">
        <v>5</v>
      </c>
      <c r="B235" s="1">
        <v>223100001</v>
      </c>
      <c r="C235" s="1">
        <v>231</v>
      </c>
      <c r="D235" s="1">
        <v>0</v>
      </c>
      <c r="E235" s="1">
        <v>-13</v>
      </c>
      <c r="F235" s="1">
        <v>0</v>
      </c>
      <c r="G235" s="1">
        <v>-40</v>
      </c>
      <c r="H235" s="1" t="s">
        <v>251</v>
      </c>
    </row>
    <row r="236" spans="1:8" x14ac:dyDescent="0.2">
      <c r="A236" s="1">
        <v>5</v>
      </c>
      <c r="B236" s="1">
        <v>223200001</v>
      </c>
      <c r="C236" s="1">
        <v>232</v>
      </c>
      <c r="D236" s="1">
        <v>0</v>
      </c>
      <c r="E236" s="1">
        <v>72</v>
      </c>
      <c r="F236" s="1">
        <v>0</v>
      </c>
      <c r="G236" s="1">
        <v>48</v>
      </c>
      <c r="H236" s="1" t="s">
        <v>252</v>
      </c>
    </row>
    <row r="237" spans="1:8" x14ac:dyDescent="0.2">
      <c r="A237" s="1">
        <v>5</v>
      </c>
      <c r="B237" s="1">
        <v>223400001</v>
      </c>
      <c r="C237" s="1">
        <v>234</v>
      </c>
      <c r="D237" s="1">
        <v>0</v>
      </c>
      <c r="E237" s="1">
        <v>-111</v>
      </c>
      <c r="F237" s="1">
        <v>0</v>
      </c>
      <c r="G237" s="1">
        <v>-40</v>
      </c>
      <c r="H237" s="1" t="s">
        <v>297</v>
      </c>
    </row>
    <row r="238" spans="1:8" x14ac:dyDescent="0.2">
      <c r="A238" s="1">
        <v>5</v>
      </c>
      <c r="B238" s="1">
        <v>223400002</v>
      </c>
      <c r="C238" s="1">
        <v>234</v>
      </c>
      <c r="D238" s="1">
        <v>0</v>
      </c>
      <c r="E238" s="1">
        <v>-111</v>
      </c>
      <c r="F238" s="1">
        <v>0</v>
      </c>
      <c r="G238" s="1">
        <v>-50</v>
      </c>
      <c r="H238" s="1"/>
    </row>
    <row r="239" spans="1:8" x14ac:dyDescent="0.2">
      <c r="A239" s="1">
        <v>5</v>
      </c>
      <c r="B239" s="1">
        <v>223400003</v>
      </c>
      <c r="C239" s="1">
        <v>234</v>
      </c>
      <c r="D239" s="1">
        <v>0</v>
      </c>
      <c r="E239" s="1">
        <v>-87</v>
      </c>
      <c r="F239" s="1">
        <v>0</v>
      </c>
      <c r="G239" s="1">
        <v>-50</v>
      </c>
      <c r="H239" s="1"/>
    </row>
    <row r="240" spans="1:8" x14ac:dyDescent="0.2">
      <c r="A240" s="1">
        <v>5</v>
      </c>
      <c r="B240" s="1">
        <v>223400004</v>
      </c>
      <c r="C240" s="1">
        <v>234</v>
      </c>
      <c r="D240" s="1">
        <v>0</v>
      </c>
      <c r="E240" s="1">
        <v>-95</v>
      </c>
      <c r="F240" s="1">
        <v>0</v>
      </c>
      <c r="G240" s="1">
        <v>-60</v>
      </c>
      <c r="H240" s="1"/>
    </row>
    <row r="241" spans="1:8" x14ac:dyDescent="0.2">
      <c r="A241" s="1">
        <v>5</v>
      </c>
      <c r="B241" s="1">
        <v>223500001</v>
      </c>
      <c r="C241" s="1">
        <v>235</v>
      </c>
      <c r="D241" s="1">
        <v>0</v>
      </c>
      <c r="E241" s="1">
        <v>-57</v>
      </c>
      <c r="F241" s="1">
        <v>5</v>
      </c>
      <c r="G241" s="1">
        <v>6</v>
      </c>
      <c r="H241" s="1" t="s">
        <v>253</v>
      </c>
    </row>
    <row r="242" spans="1:8" x14ac:dyDescent="0.2">
      <c r="A242" s="1">
        <v>5</v>
      </c>
      <c r="B242" s="1">
        <v>223600001</v>
      </c>
      <c r="C242" s="1">
        <v>236</v>
      </c>
      <c r="D242" s="1">
        <v>0</v>
      </c>
      <c r="E242" s="1">
        <v>-35</v>
      </c>
      <c r="F242" s="1">
        <v>5</v>
      </c>
      <c r="G242" s="1">
        <v>6</v>
      </c>
      <c r="H242" s="1" t="s">
        <v>254</v>
      </c>
    </row>
    <row r="243" spans="1:8" x14ac:dyDescent="0.2">
      <c r="A243" s="1">
        <v>5</v>
      </c>
      <c r="B243" s="1">
        <v>223700001</v>
      </c>
      <c r="C243" s="1">
        <v>237</v>
      </c>
      <c r="D243" s="1">
        <v>0</v>
      </c>
      <c r="E243" s="1">
        <v>63</v>
      </c>
      <c r="F243" s="1">
        <v>0</v>
      </c>
      <c r="G243" s="1">
        <v>-41</v>
      </c>
      <c r="H243" s="1" t="s">
        <v>255</v>
      </c>
    </row>
    <row r="244" spans="1:8" x14ac:dyDescent="0.2">
      <c r="A244" s="1">
        <v>5</v>
      </c>
      <c r="B244" s="1">
        <v>230000001</v>
      </c>
      <c r="C244" s="1">
        <v>300</v>
      </c>
      <c r="D244" s="1">
        <v>0</v>
      </c>
      <c r="E244" s="1">
        <v>80</v>
      </c>
      <c r="F244" s="1">
        <v>-9</v>
      </c>
      <c r="G244" s="1">
        <v>107</v>
      </c>
      <c r="H244" s="1" t="s">
        <v>256</v>
      </c>
    </row>
    <row r="245" spans="1:8" x14ac:dyDescent="0.2">
      <c r="A245" s="1">
        <v>5</v>
      </c>
      <c r="B245" s="1">
        <v>240000001</v>
      </c>
      <c r="C245" s="1">
        <v>400</v>
      </c>
      <c r="D245" s="1">
        <v>0</v>
      </c>
      <c r="E245" s="1">
        <v>-18</v>
      </c>
      <c r="F245" s="1">
        <v>0</v>
      </c>
      <c r="G245" s="1">
        <v>-62</v>
      </c>
      <c r="H245" s="1" t="s">
        <v>257</v>
      </c>
    </row>
    <row r="246" spans="1:8" x14ac:dyDescent="0.2">
      <c r="A246" s="1">
        <v>5</v>
      </c>
      <c r="B246" s="1">
        <v>240400001</v>
      </c>
      <c r="C246" s="1">
        <v>404</v>
      </c>
      <c r="D246" s="1">
        <v>0</v>
      </c>
      <c r="E246" s="1">
        <v>214.97</v>
      </c>
      <c r="F246" s="1">
        <v>-4.2</v>
      </c>
      <c r="G246" s="1">
        <v>89.09</v>
      </c>
      <c r="H246" s="1" t="s">
        <v>258</v>
      </c>
    </row>
  </sheetData>
  <phoneticPr fontId="1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0"/>
  <sheetViews>
    <sheetView workbookViewId="0">
      <selection activeCell="T33" sqref="T33"/>
    </sheetView>
  </sheetViews>
  <sheetFormatPr defaultColWidth="9" defaultRowHeight="14.25" x14ac:dyDescent="0.2"/>
  <cols>
    <col min="1" max="1" width="13" style="1" customWidth="1"/>
    <col min="2" max="2" width="16.125" style="1" customWidth="1"/>
    <col min="3" max="3" width="13" style="1" customWidth="1"/>
    <col min="4" max="4" width="16.125" style="1" customWidth="1"/>
  </cols>
  <sheetData>
    <row r="1" spans="2:4" ht="15" x14ac:dyDescent="0.2">
      <c r="B1" s="36" t="s">
        <v>348</v>
      </c>
      <c r="C1" s="36"/>
      <c r="D1" s="37"/>
    </row>
    <row r="2" spans="2:4" ht="33" customHeight="1" x14ac:dyDescent="0.2">
      <c r="B2" s="37" t="s">
        <v>349</v>
      </c>
      <c r="C2" s="37" t="s">
        <v>350</v>
      </c>
      <c r="D2" s="37" t="s">
        <v>351</v>
      </c>
    </row>
    <row r="3" spans="2:4" ht="16.5" x14ac:dyDescent="0.2">
      <c r="B3" s="38">
        <v>10101</v>
      </c>
      <c r="C3" s="39" t="s">
        <v>1</v>
      </c>
      <c r="D3" s="40"/>
    </row>
    <row r="4" spans="2:4" ht="16.5" x14ac:dyDescent="0.2">
      <c r="B4" s="38">
        <v>10201</v>
      </c>
      <c r="C4" s="39" t="s">
        <v>352</v>
      </c>
      <c r="D4" s="40">
        <v>10101</v>
      </c>
    </row>
    <row r="5" spans="2:4" ht="16.5" x14ac:dyDescent="0.2">
      <c r="B5" s="38">
        <v>10202</v>
      </c>
      <c r="C5" s="39" t="s">
        <v>2</v>
      </c>
      <c r="D5" s="40">
        <v>10101</v>
      </c>
    </row>
    <row r="6" spans="2:4" ht="16.5" x14ac:dyDescent="0.2">
      <c r="B6" s="38">
        <v>10203</v>
      </c>
      <c r="C6" s="39" t="s">
        <v>353</v>
      </c>
      <c r="D6" s="40">
        <v>10101</v>
      </c>
    </row>
    <row r="7" spans="2:4" ht="16.5" x14ac:dyDescent="0.2">
      <c r="B7" s="38">
        <v>10204</v>
      </c>
      <c r="C7" s="39" t="s">
        <v>354</v>
      </c>
      <c r="D7" s="40">
        <v>10101</v>
      </c>
    </row>
    <row r="8" spans="2:4" ht="16.5" x14ac:dyDescent="0.2">
      <c r="B8" s="38">
        <v>10301</v>
      </c>
      <c r="C8" s="39" t="s">
        <v>355</v>
      </c>
      <c r="D8" s="40">
        <v>10201</v>
      </c>
    </row>
    <row r="9" spans="2:4" ht="16.5" x14ac:dyDescent="0.2">
      <c r="B9" s="38">
        <v>10302</v>
      </c>
      <c r="C9" s="39" t="s">
        <v>4</v>
      </c>
      <c r="D9" s="40">
        <v>10202</v>
      </c>
    </row>
    <row r="10" spans="2:4" ht="16.5" x14ac:dyDescent="0.2">
      <c r="B10" s="38">
        <v>10303</v>
      </c>
      <c r="C10" s="39" t="s">
        <v>356</v>
      </c>
      <c r="D10" s="40">
        <v>10203</v>
      </c>
    </row>
    <row r="11" spans="2:4" ht="16.5" x14ac:dyDescent="0.2">
      <c r="B11" s="38">
        <v>10304</v>
      </c>
      <c r="C11" s="39" t="s">
        <v>357</v>
      </c>
      <c r="D11" s="40">
        <v>10204</v>
      </c>
    </row>
    <row r="12" spans="2:4" ht="33" customHeight="1" x14ac:dyDescent="0.2">
      <c r="B12" s="38">
        <v>10401</v>
      </c>
      <c r="C12" s="39" t="s">
        <v>6</v>
      </c>
      <c r="D12" s="40" t="s">
        <v>7</v>
      </c>
    </row>
    <row r="13" spans="2:4" ht="16.5" x14ac:dyDescent="0.2">
      <c r="B13" s="38">
        <v>10501</v>
      </c>
      <c r="C13" s="39" t="s">
        <v>358</v>
      </c>
      <c r="D13" s="40">
        <v>10401</v>
      </c>
    </row>
    <row r="14" spans="2:4" ht="16.5" x14ac:dyDescent="0.2">
      <c r="B14" s="38">
        <v>10502</v>
      </c>
      <c r="C14" s="39" t="s">
        <v>9</v>
      </c>
      <c r="D14" s="40">
        <v>10401</v>
      </c>
    </row>
    <row r="15" spans="2:4" ht="16.5" x14ac:dyDescent="0.2">
      <c r="B15" s="38">
        <v>10503</v>
      </c>
      <c r="C15" s="39" t="s">
        <v>359</v>
      </c>
      <c r="D15" s="40">
        <v>10401</v>
      </c>
    </row>
    <row r="16" spans="2:4" ht="16.5" x14ac:dyDescent="0.2">
      <c r="B16" s="38">
        <v>10504</v>
      </c>
      <c r="C16" s="39" t="s">
        <v>360</v>
      </c>
      <c r="D16" s="40">
        <v>10401</v>
      </c>
    </row>
    <row r="17" spans="2:4" ht="33" customHeight="1" x14ac:dyDescent="0.2">
      <c r="B17" s="38">
        <v>10601</v>
      </c>
      <c r="C17" s="39" t="s">
        <v>11</v>
      </c>
      <c r="D17" s="40" t="s">
        <v>12</v>
      </c>
    </row>
    <row r="18" spans="2:4" ht="16.5" x14ac:dyDescent="0.2">
      <c r="B18" s="38">
        <v>10701</v>
      </c>
      <c r="C18" s="39" t="s">
        <v>14</v>
      </c>
      <c r="D18" s="40">
        <v>10601</v>
      </c>
    </row>
    <row r="19" spans="2:4" ht="16.5" x14ac:dyDescent="0.2">
      <c r="B19" s="38">
        <v>10702</v>
      </c>
      <c r="C19" s="39" t="s">
        <v>16</v>
      </c>
      <c r="D19" s="40">
        <v>10601</v>
      </c>
    </row>
    <row r="20" spans="2:4" ht="16.5" x14ac:dyDescent="0.2">
      <c r="B20" s="38">
        <v>10703</v>
      </c>
      <c r="C20" s="39" t="s">
        <v>361</v>
      </c>
      <c r="D20" s="40">
        <v>10601</v>
      </c>
    </row>
    <row r="21" spans="2:4" ht="16.5" x14ac:dyDescent="0.2">
      <c r="B21" s="38">
        <v>10704</v>
      </c>
      <c r="C21" s="39" t="s">
        <v>362</v>
      </c>
      <c r="D21" s="40">
        <v>10601</v>
      </c>
    </row>
    <row r="22" spans="2:4" ht="16.5" x14ac:dyDescent="0.2">
      <c r="B22" s="38">
        <v>10801</v>
      </c>
      <c r="C22" s="39" t="s">
        <v>20</v>
      </c>
      <c r="D22" s="40">
        <v>10701</v>
      </c>
    </row>
    <row r="23" spans="2:4" ht="16.5" x14ac:dyDescent="0.2">
      <c r="B23" s="38">
        <v>10802</v>
      </c>
      <c r="C23" s="39" t="s">
        <v>18</v>
      </c>
      <c r="D23" s="40">
        <v>10702</v>
      </c>
    </row>
    <row r="24" spans="2:4" ht="16.5" x14ac:dyDescent="0.2">
      <c r="B24" s="38">
        <v>10803</v>
      </c>
      <c r="C24" s="39" t="s">
        <v>363</v>
      </c>
      <c r="D24" s="40">
        <v>10703</v>
      </c>
    </row>
    <row r="25" spans="2:4" ht="16.5" x14ac:dyDescent="0.2">
      <c r="B25" s="38">
        <v>10804</v>
      </c>
      <c r="C25" s="39" t="s">
        <v>364</v>
      </c>
      <c r="D25" s="40">
        <v>10704</v>
      </c>
    </row>
    <row r="26" spans="2:4" ht="33" customHeight="1" x14ac:dyDescent="0.2">
      <c r="B26" s="38">
        <v>10901</v>
      </c>
      <c r="C26" s="39" t="s">
        <v>22</v>
      </c>
      <c r="D26" s="40" t="s">
        <v>23</v>
      </c>
    </row>
    <row r="27" spans="2:4" ht="16.5" x14ac:dyDescent="0.2">
      <c r="B27" s="38">
        <v>11001</v>
      </c>
      <c r="C27" s="39" t="s">
        <v>25</v>
      </c>
      <c r="D27" s="40">
        <v>10901</v>
      </c>
    </row>
    <row r="28" spans="2:4" ht="16.5" x14ac:dyDescent="0.2">
      <c r="B28" s="38">
        <v>11002</v>
      </c>
      <c r="C28" s="39" t="s">
        <v>27</v>
      </c>
      <c r="D28" s="40">
        <v>10901</v>
      </c>
    </row>
    <row r="29" spans="2:4" ht="16.5" x14ac:dyDescent="0.2">
      <c r="B29" s="38">
        <v>11003</v>
      </c>
      <c r="C29" s="39" t="s">
        <v>365</v>
      </c>
      <c r="D29" s="40">
        <v>10901</v>
      </c>
    </row>
    <row r="30" spans="2:4" ht="16.5" x14ac:dyDescent="0.2">
      <c r="B30" s="38">
        <v>11004</v>
      </c>
      <c r="C30" s="39" t="s">
        <v>366</v>
      </c>
      <c r="D30" s="40">
        <v>10901</v>
      </c>
    </row>
    <row r="31" spans="2:4" ht="33" customHeight="1" x14ac:dyDescent="0.2">
      <c r="B31" s="38">
        <v>11101</v>
      </c>
      <c r="C31" s="39" t="s">
        <v>29</v>
      </c>
      <c r="D31" s="40" t="s">
        <v>30</v>
      </c>
    </row>
    <row r="32" spans="2:4" ht="16.5" x14ac:dyDescent="0.2">
      <c r="B32" s="38">
        <v>11201</v>
      </c>
      <c r="C32" s="39" t="s">
        <v>32</v>
      </c>
      <c r="D32" s="40">
        <v>11101</v>
      </c>
    </row>
    <row r="33" spans="2:4" ht="16.5" x14ac:dyDescent="0.2">
      <c r="B33" s="38">
        <v>11202</v>
      </c>
      <c r="C33" s="39" t="s">
        <v>34</v>
      </c>
      <c r="D33" s="40">
        <v>11101</v>
      </c>
    </row>
    <row r="34" spans="2:4" ht="16.5" x14ac:dyDescent="0.2">
      <c r="B34" s="38">
        <v>11203</v>
      </c>
      <c r="C34" s="39" t="s">
        <v>36</v>
      </c>
      <c r="D34" s="40">
        <v>11101</v>
      </c>
    </row>
    <row r="35" spans="2:4" ht="16.5" x14ac:dyDescent="0.2">
      <c r="B35" s="38">
        <v>11204</v>
      </c>
      <c r="C35" s="39" t="s">
        <v>38</v>
      </c>
      <c r="D35" s="40">
        <v>11101</v>
      </c>
    </row>
    <row r="36" spans="2:4" ht="16.5" x14ac:dyDescent="0.2">
      <c r="B36" s="38">
        <v>20101</v>
      </c>
      <c r="C36" s="39" t="s">
        <v>40</v>
      </c>
      <c r="D36" s="40"/>
    </row>
    <row r="37" spans="2:4" ht="16.5" x14ac:dyDescent="0.2">
      <c r="B37" s="38">
        <v>20201</v>
      </c>
      <c r="C37" s="39" t="s">
        <v>42</v>
      </c>
      <c r="D37" s="40">
        <v>20101</v>
      </c>
    </row>
    <row r="38" spans="2:4" ht="16.5" x14ac:dyDescent="0.2">
      <c r="B38" s="38">
        <v>20202</v>
      </c>
      <c r="C38" s="39" t="s">
        <v>367</v>
      </c>
      <c r="D38" s="40">
        <v>20101</v>
      </c>
    </row>
    <row r="39" spans="2:4" ht="16.5" x14ac:dyDescent="0.2">
      <c r="B39" s="38">
        <v>20301</v>
      </c>
      <c r="C39" s="39" t="s">
        <v>44</v>
      </c>
      <c r="D39" s="40">
        <v>20201</v>
      </c>
    </row>
    <row r="40" spans="2:4" ht="16.5" x14ac:dyDescent="0.2">
      <c r="B40" s="38">
        <v>20302</v>
      </c>
      <c r="C40" s="39" t="s">
        <v>368</v>
      </c>
      <c r="D40" s="40">
        <v>20202</v>
      </c>
    </row>
    <row r="41" spans="2:4" ht="16.5" x14ac:dyDescent="0.2">
      <c r="B41" s="38">
        <v>20401</v>
      </c>
      <c r="C41" s="39" t="s">
        <v>46</v>
      </c>
      <c r="D41" s="40" t="s">
        <v>47</v>
      </c>
    </row>
    <row r="42" spans="2:4" ht="16.5" x14ac:dyDescent="0.2">
      <c r="B42" s="38">
        <v>20501</v>
      </c>
      <c r="C42" s="39" t="s">
        <v>49</v>
      </c>
      <c r="D42" s="40">
        <v>20401</v>
      </c>
    </row>
    <row r="43" spans="2:4" ht="16.5" x14ac:dyDescent="0.2">
      <c r="B43" s="38">
        <v>20502</v>
      </c>
      <c r="C43" s="39" t="s">
        <v>51</v>
      </c>
      <c r="D43" s="40">
        <v>20401</v>
      </c>
    </row>
    <row r="44" spans="2:4" ht="16.5" x14ac:dyDescent="0.2">
      <c r="B44" s="38">
        <v>20503</v>
      </c>
      <c r="C44" s="39" t="s">
        <v>53</v>
      </c>
      <c r="D44" s="40">
        <v>20401</v>
      </c>
    </row>
    <row r="45" spans="2:4" ht="16.5" x14ac:dyDescent="0.2">
      <c r="B45" s="38">
        <v>20504</v>
      </c>
      <c r="C45" s="39" t="s">
        <v>55</v>
      </c>
      <c r="D45" s="40">
        <v>20401</v>
      </c>
    </row>
    <row r="46" spans="2:4" ht="33" customHeight="1" x14ac:dyDescent="0.2">
      <c r="B46" s="38">
        <v>20601</v>
      </c>
      <c r="C46" s="39" t="s">
        <v>57</v>
      </c>
      <c r="D46" s="40" t="s">
        <v>58</v>
      </c>
    </row>
    <row r="47" spans="2:4" ht="16.5" x14ac:dyDescent="0.2">
      <c r="B47" s="38">
        <v>20701</v>
      </c>
      <c r="C47" s="39" t="s">
        <v>60</v>
      </c>
      <c r="D47" s="40">
        <v>20601</v>
      </c>
    </row>
    <row r="48" spans="2:4" ht="16.5" x14ac:dyDescent="0.2">
      <c r="B48" s="38">
        <v>20702</v>
      </c>
      <c r="C48" s="39" t="s">
        <v>369</v>
      </c>
      <c r="D48" s="40">
        <v>20601</v>
      </c>
    </row>
    <row r="49" spans="2:4" ht="16.5" x14ac:dyDescent="0.2">
      <c r="B49" s="38">
        <v>20801</v>
      </c>
      <c r="C49" s="39" t="s">
        <v>62</v>
      </c>
      <c r="D49" s="40">
        <v>20701</v>
      </c>
    </row>
    <row r="50" spans="2:4" ht="16.5" x14ac:dyDescent="0.2">
      <c r="B50" s="38">
        <v>20802</v>
      </c>
      <c r="C50" s="39" t="s">
        <v>370</v>
      </c>
      <c r="D50" s="40">
        <v>20702</v>
      </c>
    </row>
    <row r="51" spans="2:4" ht="16.5" x14ac:dyDescent="0.2">
      <c r="B51" s="38">
        <v>20901</v>
      </c>
      <c r="C51" s="39" t="s">
        <v>64</v>
      </c>
      <c r="D51" s="40" t="s">
        <v>65</v>
      </c>
    </row>
    <row r="52" spans="2:4" ht="16.5" x14ac:dyDescent="0.2">
      <c r="B52" s="38">
        <v>21001</v>
      </c>
      <c r="C52" s="39" t="s">
        <v>67</v>
      </c>
      <c r="D52" s="40">
        <v>20901</v>
      </c>
    </row>
    <row r="53" spans="2:4" ht="16.5" x14ac:dyDescent="0.2">
      <c r="B53" s="38">
        <v>21002</v>
      </c>
      <c r="C53" s="39" t="s">
        <v>69</v>
      </c>
      <c r="D53" s="40">
        <v>20901</v>
      </c>
    </row>
    <row r="54" spans="2:4" ht="16.5" x14ac:dyDescent="0.2">
      <c r="B54" s="38">
        <v>21101</v>
      </c>
      <c r="C54" s="39" t="s">
        <v>71</v>
      </c>
      <c r="D54" s="40" t="s">
        <v>72</v>
      </c>
    </row>
    <row r="55" spans="2:4" ht="16.5" x14ac:dyDescent="0.2">
      <c r="B55" s="38">
        <v>21201</v>
      </c>
      <c r="C55" s="39" t="s">
        <v>74</v>
      </c>
      <c r="D55" s="40">
        <v>21101</v>
      </c>
    </row>
    <row r="56" spans="2:4" ht="16.5" x14ac:dyDescent="0.2">
      <c r="B56" s="38">
        <v>21202</v>
      </c>
      <c r="C56" s="39" t="s">
        <v>76</v>
      </c>
      <c r="D56" s="40">
        <v>21101</v>
      </c>
    </row>
    <row r="57" spans="2:4" ht="16.5" x14ac:dyDescent="0.2">
      <c r="B57" s="38">
        <v>21203</v>
      </c>
      <c r="C57" s="39" t="s">
        <v>78</v>
      </c>
      <c r="D57" s="40">
        <v>21101</v>
      </c>
    </row>
    <row r="58" spans="2:4" ht="16.5" x14ac:dyDescent="0.2">
      <c r="B58" s="38">
        <v>21204</v>
      </c>
      <c r="C58" s="39" t="s">
        <v>80</v>
      </c>
      <c r="D58" s="40">
        <v>21101</v>
      </c>
    </row>
    <row r="59" spans="2:4" ht="16.5" x14ac:dyDescent="0.2">
      <c r="B59" s="38">
        <v>30101</v>
      </c>
      <c r="C59" s="39" t="s">
        <v>371</v>
      </c>
      <c r="D59" s="40"/>
    </row>
    <row r="60" spans="2:4" ht="16.5" x14ac:dyDescent="0.2">
      <c r="B60" s="38">
        <v>30201</v>
      </c>
      <c r="C60" s="39" t="s">
        <v>372</v>
      </c>
      <c r="D60" s="40"/>
    </row>
    <row r="61" spans="2:4" ht="16.5" x14ac:dyDescent="0.2">
      <c r="B61" s="38">
        <v>30301</v>
      </c>
      <c r="C61" s="39" t="s">
        <v>373</v>
      </c>
      <c r="D61" s="40"/>
    </row>
    <row r="62" spans="2:4" ht="16.5" x14ac:dyDescent="0.2">
      <c r="B62" s="38">
        <v>30401</v>
      </c>
      <c r="C62" s="39" t="s">
        <v>374</v>
      </c>
      <c r="D62" s="40"/>
    </row>
    <row r="63" spans="2:4" ht="16.5" x14ac:dyDescent="0.2">
      <c r="B63" s="38">
        <v>40101</v>
      </c>
      <c r="C63" s="39" t="s">
        <v>375</v>
      </c>
      <c r="D63" s="40"/>
    </row>
    <row r="64" spans="2:4" ht="16.5" x14ac:dyDescent="0.2">
      <c r="B64" s="38">
        <v>40201</v>
      </c>
      <c r="C64" s="39" t="s">
        <v>376</v>
      </c>
      <c r="D64" s="40"/>
    </row>
    <row r="65" spans="2:4" ht="16.5" x14ac:dyDescent="0.2">
      <c r="B65" s="38">
        <v>40301</v>
      </c>
      <c r="C65" s="39" t="s">
        <v>377</v>
      </c>
      <c r="D65" s="40"/>
    </row>
    <row r="66" spans="2:4" ht="16.5" x14ac:dyDescent="0.2">
      <c r="B66" s="38">
        <v>40401</v>
      </c>
      <c r="C66" s="39" t="s">
        <v>378</v>
      </c>
      <c r="D66" s="40"/>
    </row>
    <row r="67" spans="2:4" ht="14.1" customHeight="1" x14ac:dyDescent="0.2">
      <c r="B67" s="2"/>
      <c r="C67" s="2"/>
      <c r="D67" s="2"/>
    </row>
    <row r="68" spans="2:4" ht="14.1" customHeight="1" x14ac:dyDescent="0.2">
      <c r="B68" s="2"/>
      <c r="C68" s="2"/>
      <c r="D68" s="2"/>
    </row>
    <row r="69" spans="2:4" ht="14.1" customHeight="1" x14ac:dyDescent="0.2">
      <c r="B69" s="2"/>
      <c r="C69" s="2"/>
      <c r="D69" s="2"/>
    </row>
    <row r="70" spans="2:4" ht="14.1" customHeight="1" x14ac:dyDescent="0.2">
      <c r="B70" s="2"/>
      <c r="C70" s="2"/>
      <c r="D70" s="2"/>
    </row>
    <row r="71" spans="2:4" ht="14.1" customHeight="1" x14ac:dyDescent="0.2">
      <c r="B71" s="2"/>
      <c r="C71" s="2"/>
      <c r="D71" s="2"/>
    </row>
    <row r="72" spans="2:4" ht="14.1" customHeight="1" x14ac:dyDescent="0.2">
      <c r="B72" s="2"/>
      <c r="C72" s="2"/>
      <c r="D72" s="2"/>
    </row>
    <row r="73" spans="2:4" ht="14.1" customHeight="1" x14ac:dyDescent="0.2">
      <c r="B73" s="2"/>
      <c r="C73" s="2"/>
      <c r="D73" s="2"/>
    </row>
    <row r="74" spans="2:4" ht="14.1" customHeight="1" x14ac:dyDescent="0.2">
      <c r="B74" s="2"/>
      <c r="C74" s="2"/>
      <c r="D74" s="2"/>
    </row>
    <row r="75" spans="2:4" ht="14.1" customHeight="1" x14ac:dyDescent="0.2">
      <c r="B75" s="2"/>
      <c r="C75" s="2"/>
      <c r="D75" s="2"/>
    </row>
    <row r="76" spans="2:4" ht="14.1" customHeight="1" x14ac:dyDescent="0.2">
      <c r="B76" s="2"/>
      <c r="C76" s="2"/>
      <c r="D76" s="2"/>
    </row>
    <row r="77" spans="2:4" ht="14.1" customHeight="1" x14ac:dyDescent="0.2">
      <c r="B77" s="2"/>
      <c r="C77" s="2"/>
      <c r="D77" s="2"/>
    </row>
    <row r="78" spans="2:4" ht="14.1" customHeight="1" x14ac:dyDescent="0.2">
      <c r="B78" s="2"/>
      <c r="C78" s="2"/>
      <c r="D78" s="2"/>
    </row>
    <row r="79" spans="2:4" ht="14.1" customHeight="1" x14ac:dyDescent="0.2">
      <c r="B79" s="2"/>
      <c r="C79" s="2"/>
      <c r="D79" s="2"/>
    </row>
    <row r="80" spans="2:4" ht="14.1" customHeight="1" x14ac:dyDescent="0.2">
      <c r="B80" s="2"/>
      <c r="C80" s="2"/>
      <c r="D80" s="2"/>
    </row>
  </sheetData>
  <phoneticPr fontId="1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81"/>
  <sheetViews>
    <sheetView tabSelected="1" workbookViewId="0">
      <pane xSplit="8" ySplit="30" topLeftCell="I73" activePane="bottomRight" state="frozen"/>
      <selection pane="topRight" activeCell="I1" sqref="I1"/>
      <selection pane="bottomLeft" activeCell="A31" sqref="A31"/>
      <selection pane="bottomRight" activeCell="A88" sqref="A88:XFD88"/>
    </sheetView>
  </sheetViews>
  <sheetFormatPr defaultColWidth="9" defaultRowHeight="14.25" x14ac:dyDescent="0.2"/>
  <cols>
    <col min="1" max="1" width="9.125" style="1" customWidth="1"/>
    <col min="2" max="2" width="27.875" style="1" customWidth="1"/>
    <col min="3" max="3" width="26.75" style="1" customWidth="1"/>
    <col min="4" max="4" width="11.5" style="1" customWidth="1"/>
    <col min="5" max="5" width="13" style="1" customWidth="1"/>
    <col min="6" max="6" width="15.125" style="1" customWidth="1"/>
    <col min="7" max="7" width="45.375" style="1" customWidth="1"/>
    <col min="8" max="8" width="7.5" style="1" customWidth="1"/>
    <col min="9" max="9" width="11.5" style="1" customWidth="1"/>
    <col min="10" max="11" width="13" style="1" customWidth="1"/>
    <col min="12" max="12" width="9.125" style="1" customWidth="1"/>
    <col min="13" max="13" width="17.125" style="1" hidden="1" customWidth="1"/>
    <col min="14" max="14" width="23.125" style="1" customWidth="1"/>
    <col min="15" max="15" width="13" style="1" customWidth="1"/>
    <col min="16" max="16" width="16.125" style="1" bestFit="1" customWidth="1"/>
    <col min="17" max="17" width="28.125" style="1" customWidth="1"/>
    <col min="18" max="18" width="20.5" style="1" customWidth="1"/>
    <col min="19" max="19" width="11.375" style="1" customWidth="1"/>
    <col min="20" max="20" width="9.625" style="1" customWidth="1"/>
    <col min="21" max="21" width="8.875" style="1" customWidth="1"/>
    <col min="22" max="22" width="13" style="1" customWidth="1"/>
  </cols>
  <sheetData>
    <row r="1" spans="1:22" x14ac:dyDescent="0.2">
      <c r="A1" s="70" t="s">
        <v>810</v>
      </c>
      <c r="D1" s="2" t="s">
        <v>379</v>
      </c>
    </row>
    <row r="2" spans="1:22" x14ac:dyDescent="0.2">
      <c r="A2" s="2" t="s">
        <v>380</v>
      </c>
      <c r="B2" s="15" t="s">
        <v>381</v>
      </c>
      <c r="C2" s="16" t="s">
        <v>382</v>
      </c>
      <c r="D2" s="2" t="s">
        <v>383</v>
      </c>
      <c r="E2" s="2" t="s">
        <v>85</v>
      </c>
      <c r="F2" s="2" t="s">
        <v>384</v>
      </c>
      <c r="G2" s="2" t="s">
        <v>385</v>
      </c>
      <c r="H2" s="2" t="s">
        <v>386</v>
      </c>
      <c r="I2" s="2" t="s">
        <v>387</v>
      </c>
      <c r="J2" s="2" t="s">
        <v>388</v>
      </c>
      <c r="K2" s="2" t="s">
        <v>389</v>
      </c>
      <c r="L2" s="2" t="s">
        <v>390</v>
      </c>
      <c r="M2" s="2" t="s">
        <v>391</v>
      </c>
      <c r="N2" s="2" t="s">
        <v>392</v>
      </c>
      <c r="O2" s="2" t="s">
        <v>393</v>
      </c>
      <c r="P2" s="2" t="s">
        <v>82</v>
      </c>
      <c r="Q2" s="2"/>
      <c r="R2" s="70" t="s">
        <v>814</v>
      </c>
      <c r="S2" s="2" t="s">
        <v>394</v>
      </c>
      <c r="T2" s="2" t="s">
        <v>112</v>
      </c>
    </row>
    <row r="3" spans="1:22" x14ac:dyDescent="0.2">
      <c r="A3" s="2" t="s">
        <v>128</v>
      </c>
      <c r="B3" s="17" t="s">
        <v>395</v>
      </c>
      <c r="C3" s="18"/>
      <c r="D3" s="2" t="s">
        <v>396</v>
      </c>
      <c r="E3" s="2" t="s">
        <v>397</v>
      </c>
      <c r="F3" s="2" t="s">
        <v>398</v>
      </c>
      <c r="G3" s="2" t="s">
        <v>399</v>
      </c>
      <c r="H3" s="2" t="s">
        <v>400</v>
      </c>
      <c r="I3" s="2" t="s">
        <v>401</v>
      </c>
      <c r="J3" s="2" t="s">
        <v>402</v>
      </c>
      <c r="K3" s="2" t="s">
        <v>403</v>
      </c>
      <c r="L3" s="2" t="s">
        <v>404</v>
      </c>
      <c r="M3" s="2" t="s">
        <v>405</v>
      </c>
      <c r="N3" s="2" t="s">
        <v>406</v>
      </c>
      <c r="O3" s="2" t="s">
        <v>407</v>
      </c>
      <c r="P3" s="2" t="s">
        <v>408</v>
      </c>
      <c r="Q3" s="70" t="s">
        <v>812</v>
      </c>
      <c r="R3" s="70" t="s">
        <v>813</v>
      </c>
      <c r="S3" s="2" t="s">
        <v>135</v>
      </c>
      <c r="T3" s="2" t="s">
        <v>409</v>
      </c>
    </row>
    <row r="4" spans="1:22" x14ac:dyDescent="0.2">
      <c r="A4" s="2">
        <v>1</v>
      </c>
      <c r="B4" s="17" t="s">
        <v>410</v>
      </c>
      <c r="C4" s="2">
        <v>0</v>
      </c>
      <c r="D4" s="2">
        <v>0</v>
      </c>
      <c r="E4" s="2">
        <v>50</v>
      </c>
      <c r="F4" s="2">
        <v>10</v>
      </c>
      <c r="I4" s="2">
        <v>80000</v>
      </c>
      <c r="J4" s="2">
        <v>1000000</v>
      </c>
      <c r="S4" s="2">
        <v>10000000</v>
      </c>
      <c r="T4" s="2">
        <v>10000000</v>
      </c>
    </row>
    <row r="5" spans="1:22" x14ac:dyDescent="0.2">
      <c r="A5" s="2">
        <v>2</v>
      </c>
      <c r="B5" s="17" t="s">
        <v>411</v>
      </c>
      <c r="C5" s="2">
        <v>0</v>
      </c>
      <c r="D5" s="2">
        <v>2</v>
      </c>
      <c r="E5" s="2">
        <v>20</v>
      </c>
      <c r="F5" s="2">
        <v>5</v>
      </c>
      <c r="G5" s="2" t="s">
        <v>412</v>
      </c>
      <c r="H5" s="2">
        <v>1</v>
      </c>
      <c r="I5" s="2">
        <v>5000</v>
      </c>
      <c r="J5" s="2">
        <v>100</v>
      </c>
      <c r="K5" s="2" t="s">
        <v>413</v>
      </c>
      <c r="L5" s="2" t="s">
        <v>414</v>
      </c>
      <c r="M5" s="2">
        <v>1</v>
      </c>
      <c r="N5" s="2" t="s">
        <v>415</v>
      </c>
      <c r="P5" s="2" t="s">
        <v>416</v>
      </c>
      <c r="Q5" s="2"/>
      <c r="R5" s="2"/>
      <c r="S5" s="2">
        <v>10000</v>
      </c>
      <c r="T5" s="2">
        <v>10000</v>
      </c>
    </row>
    <row r="6" spans="1:22" x14ac:dyDescent="0.2">
      <c r="A6" s="2">
        <v>3</v>
      </c>
      <c r="B6" s="17" t="s">
        <v>417</v>
      </c>
      <c r="C6" s="2">
        <v>0</v>
      </c>
      <c r="D6" s="2">
        <v>3</v>
      </c>
      <c r="E6" s="2">
        <v>30</v>
      </c>
      <c r="F6" s="2">
        <v>10</v>
      </c>
      <c r="G6" s="2" t="s">
        <v>418</v>
      </c>
      <c r="H6" s="2">
        <v>1</v>
      </c>
      <c r="I6" s="2">
        <v>15000</v>
      </c>
      <c r="J6" s="2">
        <v>100</v>
      </c>
      <c r="K6" s="2" t="s">
        <v>419</v>
      </c>
      <c r="L6" s="2" t="s">
        <v>414</v>
      </c>
      <c r="M6" s="2">
        <v>1</v>
      </c>
      <c r="N6" s="2" t="s">
        <v>420</v>
      </c>
      <c r="P6" s="2" t="s">
        <v>421</v>
      </c>
      <c r="S6" s="2">
        <v>10000</v>
      </c>
      <c r="T6" s="2">
        <v>10000</v>
      </c>
    </row>
    <row r="7" spans="1:22" x14ac:dyDescent="0.2">
      <c r="A7" s="2">
        <v>4</v>
      </c>
      <c r="B7" s="17" t="s">
        <v>422</v>
      </c>
      <c r="C7" s="2">
        <v>0</v>
      </c>
      <c r="D7" s="2">
        <v>4</v>
      </c>
      <c r="E7" s="2">
        <v>40</v>
      </c>
      <c r="F7" s="2">
        <v>15</v>
      </c>
      <c r="G7" s="2" t="s">
        <v>423</v>
      </c>
      <c r="H7" s="2">
        <v>1</v>
      </c>
      <c r="I7" s="2">
        <v>25000</v>
      </c>
      <c r="J7" s="2">
        <v>100</v>
      </c>
      <c r="K7" s="2" t="s">
        <v>424</v>
      </c>
      <c r="L7" s="2" t="s">
        <v>425</v>
      </c>
      <c r="M7" s="2">
        <v>1</v>
      </c>
      <c r="N7" s="2" t="s">
        <v>426</v>
      </c>
      <c r="P7" s="2" t="s">
        <v>427</v>
      </c>
      <c r="S7" s="2">
        <v>10000</v>
      </c>
      <c r="T7" s="2">
        <v>10000</v>
      </c>
    </row>
    <row r="8" spans="1:22" x14ac:dyDescent="0.2">
      <c r="A8" s="2">
        <v>5</v>
      </c>
      <c r="B8" s="17" t="s">
        <v>428</v>
      </c>
      <c r="C8" s="2">
        <v>0</v>
      </c>
      <c r="D8" s="2">
        <v>5</v>
      </c>
      <c r="E8" s="2">
        <v>50</v>
      </c>
      <c r="F8" s="2">
        <v>20</v>
      </c>
      <c r="G8" s="2" t="s">
        <v>429</v>
      </c>
      <c r="H8" s="2">
        <v>1</v>
      </c>
      <c r="I8" s="2">
        <v>50000</v>
      </c>
      <c r="J8" s="2">
        <v>100</v>
      </c>
      <c r="K8" s="2" t="s">
        <v>430</v>
      </c>
      <c r="L8" s="2" t="s">
        <v>431</v>
      </c>
      <c r="M8" s="2">
        <v>1</v>
      </c>
      <c r="N8" s="2" t="s">
        <v>432</v>
      </c>
      <c r="P8" s="2" t="s">
        <v>433</v>
      </c>
      <c r="S8" s="2">
        <v>10000</v>
      </c>
      <c r="T8" s="2">
        <v>10000</v>
      </c>
      <c r="V8"/>
    </row>
    <row r="9" spans="1:22" x14ac:dyDescent="0.2">
      <c r="A9" s="2">
        <v>6</v>
      </c>
      <c r="B9" s="17" t="s">
        <v>434</v>
      </c>
      <c r="C9" s="2">
        <v>1</v>
      </c>
      <c r="D9" s="2">
        <v>0</v>
      </c>
      <c r="E9" s="2">
        <v>50</v>
      </c>
      <c r="F9" s="2">
        <v>10</v>
      </c>
      <c r="G9" s="2" t="s">
        <v>435</v>
      </c>
      <c r="H9" s="2">
        <v>3</v>
      </c>
      <c r="I9" s="2">
        <v>1000000</v>
      </c>
      <c r="J9" s="2">
        <v>1000000</v>
      </c>
      <c r="K9" s="2" t="s">
        <v>436</v>
      </c>
      <c r="L9" s="2" t="s">
        <v>437</v>
      </c>
      <c r="M9" s="2">
        <v>1</v>
      </c>
      <c r="N9" s="2" t="s">
        <v>438</v>
      </c>
      <c r="P9" s="2" t="s">
        <v>439</v>
      </c>
      <c r="S9" s="2">
        <v>10000000</v>
      </c>
      <c r="T9" s="2">
        <v>10000000</v>
      </c>
      <c r="V9"/>
    </row>
    <row r="10" spans="1:22" x14ac:dyDescent="0.2">
      <c r="A10" s="2">
        <v>7</v>
      </c>
      <c r="B10" s="19" t="s">
        <v>440</v>
      </c>
      <c r="C10" s="20">
        <v>1</v>
      </c>
      <c r="D10" s="20">
        <v>0</v>
      </c>
      <c r="E10" s="20">
        <v>120</v>
      </c>
      <c r="F10" s="20">
        <v>10</v>
      </c>
      <c r="G10" s="20" t="s">
        <v>435</v>
      </c>
      <c r="H10" s="20">
        <v>3</v>
      </c>
      <c r="I10" s="20">
        <v>1000000</v>
      </c>
      <c r="J10" s="20">
        <v>1000000</v>
      </c>
      <c r="K10" s="20"/>
      <c r="L10" s="20"/>
      <c r="M10" s="20">
        <v>1</v>
      </c>
      <c r="N10" s="20" t="s">
        <v>438</v>
      </c>
      <c r="O10" s="21"/>
      <c r="P10" s="20" t="s">
        <v>441</v>
      </c>
      <c r="Q10" s="21" t="s">
        <v>442</v>
      </c>
      <c r="R10" s="21"/>
      <c r="S10" s="20">
        <v>10000</v>
      </c>
      <c r="T10" s="20">
        <v>10000</v>
      </c>
      <c r="V10"/>
    </row>
    <row r="11" spans="1:22" ht="13.9" customHeight="1" x14ac:dyDescent="0.2">
      <c r="B11" s="21"/>
      <c r="C11" s="21"/>
      <c r="D11" s="21"/>
      <c r="E11" s="21"/>
      <c r="F11" s="21"/>
      <c r="G11" s="21"/>
      <c r="H11" s="20"/>
      <c r="I11" s="21"/>
      <c r="J11" s="21"/>
      <c r="K11" s="21"/>
      <c r="L11" s="21"/>
      <c r="M11" s="20">
        <v>2</v>
      </c>
      <c r="N11" s="20" t="s">
        <v>443</v>
      </c>
      <c r="O11" s="21"/>
      <c r="P11" s="20" t="s">
        <v>444</v>
      </c>
      <c r="Q11" s="21" t="s">
        <v>445</v>
      </c>
      <c r="R11" s="21"/>
      <c r="S11" s="21"/>
      <c r="T11" s="21"/>
      <c r="V11"/>
    </row>
    <row r="12" spans="1:22" x14ac:dyDescent="0.2">
      <c r="B12" s="21"/>
      <c r="C12" s="21"/>
      <c r="D12" s="21"/>
      <c r="E12" s="21"/>
      <c r="F12" s="21"/>
      <c r="G12" s="21"/>
      <c r="H12" s="20"/>
      <c r="I12" s="21"/>
      <c r="J12" s="21"/>
      <c r="K12" s="21"/>
      <c r="L12" s="21"/>
      <c r="M12" s="20">
        <v>3</v>
      </c>
      <c r="N12" s="20" t="s">
        <v>446</v>
      </c>
      <c r="O12" s="20"/>
      <c r="P12" s="20" t="s">
        <v>447</v>
      </c>
      <c r="Q12" s="21" t="s">
        <v>448</v>
      </c>
      <c r="R12" s="21"/>
      <c r="S12" s="21"/>
      <c r="T12" s="21"/>
      <c r="V12"/>
    </row>
    <row r="13" spans="1:22" x14ac:dyDescent="0.2">
      <c r="B13" s="21"/>
      <c r="C13" s="21"/>
      <c r="D13" s="21"/>
      <c r="E13" s="21"/>
      <c r="F13" s="21"/>
      <c r="G13" s="21"/>
      <c r="H13" s="20"/>
      <c r="I13" s="21"/>
      <c r="J13" s="21"/>
      <c r="K13" s="21"/>
      <c r="L13" s="21"/>
      <c r="M13" s="20">
        <v>4</v>
      </c>
      <c r="N13" s="20" t="s">
        <v>449</v>
      </c>
      <c r="O13" s="21"/>
      <c r="P13" s="20" t="s">
        <v>450</v>
      </c>
      <c r="Q13" s="21" t="s">
        <v>451</v>
      </c>
      <c r="R13" s="21"/>
      <c r="S13" s="21"/>
      <c r="T13" s="21"/>
      <c r="V13"/>
    </row>
    <row r="14" spans="1:22" x14ac:dyDescent="0.2">
      <c r="B14" s="21"/>
      <c r="C14" s="21"/>
      <c r="D14" s="21"/>
      <c r="E14" s="21"/>
      <c r="F14" s="21"/>
      <c r="G14" s="21"/>
      <c r="H14" s="20"/>
      <c r="I14" s="21"/>
      <c r="J14" s="21"/>
      <c r="K14" s="21"/>
      <c r="L14" s="21"/>
      <c r="M14" s="20">
        <v>5</v>
      </c>
      <c r="N14" s="20" t="s">
        <v>449</v>
      </c>
      <c r="O14" s="21"/>
      <c r="P14" s="21" t="s">
        <v>452</v>
      </c>
      <c r="Q14" s="21" t="s">
        <v>453</v>
      </c>
      <c r="R14" s="21"/>
      <c r="S14" s="21"/>
      <c r="T14" s="21"/>
      <c r="V14"/>
    </row>
    <row r="15" spans="1:22" x14ac:dyDescent="0.2">
      <c r="P15" s="2"/>
      <c r="V15"/>
    </row>
    <row r="16" spans="1:22" x14ac:dyDescent="0.2">
      <c r="A16" s="2">
        <v>10</v>
      </c>
      <c r="B16" s="17" t="s">
        <v>454</v>
      </c>
      <c r="C16" s="2">
        <v>1</v>
      </c>
      <c r="D16" s="2">
        <v>0</v>
      </c>
      <c r="E16" s="2">
        <v>20</v>
      </c>
      <c r="F16" s="2">
        <v>1</v>
      </c>
      <c r="G16" s="2" t="s">
        <v>455</v>
      </c>
      <c r="H16" s="2">
        <v>3</v>
      </c>
      <c r="I16" s="2">
        <v>1000000</v>
      </c>
      <c r="J16" s="2">
        <v>1000000</v>
      </c>
      <c r="K16" s="2" t="s">
        <v>436</v>
      </c>
      <c r="L16" s="2" t="s">
        <v>437</v>
      </c>
      <c r="M16" s="2">
        <v>1</v>
      </c>
      <c r="N16" s="2" t="s">
        <v>438</v>
      </c>
      <c r="P16" s="2" t="s">
        <v>456</v>
      </c>
      <c r="S16" s="2">
        <v>10000</v>
      </c>
      <c r="T16" s="2">
        <v>10000</v>
      </c>
      <c r="V16"/>
    </row>
    <row r="17" spans="1:22" x14ac:dyDescent="0.2">
      <c r="H17" s="2"/>
      <c r="M17" s="2">
        <v>2</v>
      </c>
      <c r="N17" s="2" t="s">
        <v>449</v>
      </c>
      <c r="P17" s="2" t="s">
        <v>457</v>
      </c>
      <c r="V17"/>
    </row>
    <row r="18" spans="1:22" x14ac:dyDescent="0.2">
      <c r="V18"/>
    </row>
    <row r="19" spans="1:22" x14ac:dyDescent="0.2">
      <c r="A19" s="2">
        <v>8</v>
      </c>
      <c r="B19" s="17" t="s">
        <v>428</v>
      </c>
      <c r="D19" s="22">
        <v>5</v>
      </c>
      <c r="E19" s="22">
        <v>50</v>
      </c>
      <c r="F19" s="22">
        <v>10</v>
      </c>
      <c r="G19" s="22" t="s">
        <v>458</v>
      </c>
      <c r="H19" s="22">
        <v>3</v>
      </c>
      <c r="I19" s="2">
        <v>1000000</v>
      </c>
      <c r="J19" s="22">
        <v>1000000</v>
      </c>
      <c r="K19" s="30" t="s">
        <v>436</v>
      </c>
      <c r="L19" s="2" t="s">
        <v>437</v>
      </c>
      <c r="M19" s="2">
        <v>1</v>
      </c>
      <c r="N19" s="2" t="s">
        <v>438</v>
      </c>
      <c r="P19" s="2" t="s">
        <v>439</v>
      </c>
      <c r="V19"/>
    </row>
    <row r="20" spans="1:22" x14ac:dyDescent="0.2">
      <c r="D20" s="22"/>
      <c r="E20" s="22"/>
      <c r="F20" s="22"/>
      <c r="G20" s="22"/>
      <c r="H20" s="22"/>
      <c r="I20" s="22"/>
      <c r="J20" s="22"/>
      <c r="K20" s="30"/>
      <c r="L20" s="2"/>
      <c r="M20" s="2">
        <v>2</v>
      </c>
      <c r="N20" s="2" t="s">
        <v>443</v>
      </c>
      <c r="P20" s="2" t="s">
        <v>459</v>
      </c>
      <c r="V20"/>
    </row>
    <row r="21" spans="1:22" x14ac:dyDescent="0.2">
      <c r="D21" s="22"/>
      <c r="E21" s="22"/>
      <c r="F21" s="22"/>
      <c r="G21" s="22"/>
      <c r="H21" s="22"/>
      <c r="I21" s="22"/>
      <c r="J21" s="22"/>
      <c r="K21" s="30"/>
      <c r="L21" s="2"/>
      <c r="M21" s="2">
        <v>3</v>
      </c>
      <c r="N21" s="2" t="s">
        <v>446</v>
      </c>
      <c r="O21" s="2"/>
      <c r="P21" s="2" t="s">
        <v>460</v>
      </c>
      <c r="V21"/>
    </row>
    <row r="22" spans="1:22" x14ac:dyDescent="0.2">
      <c r="D22" s="22"/>
      <c r="E22" s="22"/>
      <c r="F22" s="22"/>
      <c r="G22" s="22"/>
      <c r="H22" s="22"/>
      <c r="I22" s="22"/>
      <c r="J22" s="22"/>
      <c r="K22" s="30"/>
      <c r="L22" s="2"/>
      <c r="M22" s="2">
        <v>4</v>
      </c>
      <c r="N22" s="2" t="s">
        <v>449</v>
      </c>
      <c r="P22" s="2" t="s">
        <v>461</v>
      </c>
      <c r="V22"/>
    </row>
    <row r="23" spans="1:22" x14ac:dyDescent="0.2">
      <c r="D23" s="22"/>
      <c r="E23" s="22"/>
      <c r="F23" s="22"/>
      <c r="G23" s="22"/>
      <c r="H23" s="22"/>
      <c r="I23" s="22"/>
      <c r="J23" s="22"/>
      <c r="K23" s="30"/>
      <c r="L23" s="2"/>
      <c r="M23" s="2">
        <v>5</v>
      </c>
      <c r="N23" s="2" t="s">
        <v>449</v>
      </c>
      <c r="P23" s="2" t="s">
        <v>462</v>
      </c>
      <c r="V23"/>
    </row>
    <row r="24" spans="1:22" x14ac:dyDescent="0.2">
      <c r="A24" s="2">
        <v>9</v>
      </c>
      <c r="B24" s="17" t="s">
        <v>428</v>
      </c>
      <c r="D24" s="2">
        <v>0</v>
      </c>
      <c r="E24" s="2">
        <v>35</v>
      </c>
      <c r="F24" s="2">
        <v>10</v>
      </c>
      <c r="G24" s="2" t="s">
        <v>435</v>
      </c>
      <c r="H24" s="2">
        <v>3</v>
      </c>
      <c r="I24" s="2">
        <v>1000000</v>
      </c>
      <c r="J24" s="2">
        <v>1000000</v>
      </c>
      <c r="K24" s="2" t="s">
        <v>436</v>
      </c>
      <c r="L24" s="2" t="s">
        <v>463</v>
      </c>
      <c r="M24" s="2">
        <v>1</v>
      </c>
      <c r="N24" s="2" t="s">
        <v>438</v>
      </c>
      <c r="O24" s="2"/>
      <c r="P24" s="2" t="s">
        <v>464</v>
      </c>
      <c r="Q24" s="2" t="s">
        <v>465</v>
      </c>
      <c r="R24" s="2"/>
      <c r="S24" s="2">
        <v>10000</v>
      </c>
      <c r="T24" s="2">
        <v>10000</v>
      </c>
      <c r="V24"/>
    </row>
    <row r="25" spans="1:22" x14ac:dyDescent="0.2">
      <c r="M25" s="2">
        <v>2</v>
      </c>
      <c r="N25" s="2" t="s">
        <v>443</v>
      </c>
      <c r="O25" s="2"/>
      <c r="P25" s="2" t="s">
        <v>466</v>
      </c>
      <c r="Q25" s="2"/>
      <c r="R25" s="2"/>
      <c r="S25" s="2"/>
      <c r="T25" s="2"/>
      <c r="V25"/>
    </row>
    <row r="26" spans="1:22" x14ac:dyDescent="0.2">
      <c r="M26" s="2">
        <v>3</v>
      </c>
      <c r="N26" s="2" t="s">
        <v>446</v>
      </c>
      <c r="O26" s="2"/>
      <c r="P26" s="2" t="s">
        <v>467</v>
      </c>
      <c r="Q26" s="2"/>
      <c r="R26" s="2"/>
      <c r="S26" s="2"/>
      <c r="T26" s="2"/>
      <c r="V26"/>
    </row>
    <row r="27" spans="1:22" x14ac:dyDescent="0.2">
      <c r="M27" s="2">
        <v>4</v>
      </c>
      <c r="N27" s="2" t="s">
        <v>449</v>
      </c>
      <c r="O27" s="2"/>
      <c r="P27" s="2" t="s">
        <v>468</v>
      </c>
      <c r="Q27" s="2"/>
      <c r="R27" s="2"/>
      <c r="S27" s="2"/>
      <c r="T27" s="2"/>
      <c r="V27"/>
    </row>
    <row r="28" spans="1:22" x14ac:dyDescent="0.2">
      <c r="V28"/>
    </row>
    <row r="29" spans="1:22" ht="16.5" x14ac:dyDescent="0.2">
      <c r="A29" s="2">
        <v>15</v>
      </c>
      <c r="B29" s="19" t="s">
        <v>440</v>
      </c>
      <c r="C29" s="20">
        <v>1</v>
      </c>
      <c r="D29" s="20">
        <v>0</v>
      </c>
      <c r="E29" s="20">
        <v>120</v>
      </c>
      <c r="F29" s="20">
        <v>10</v>
      </c>
      <c r="G29" s="20" t="s">
        <v>435</v>
      </c>
      <c r="H29" s="20">
        <v>3</v>
      </c>
      <c r="I29" s="20">
        <v>2000000</v>
      </c>
      <c r="J29" s="20">
        <v>1000000</v>
      </c>
      <c r="K29" s="20"/>
      <c r="L29" s="20"/>
      <c r="M29" s="20">
        <v>1</v>
      </c>
      <c r="N29" s="20" t="s">
        <v>438</v>
      </c>
      <c r="O29" s="21"/>
      <c r="P29" s="31">
        <v>21</v>
      </c>
      <c r="Q29" s="31">
        <v>100</v>
      </c>
      <c r="R29" s="31"/>
      <c r="S29" s="20">
        <v>10000</v>
      </c>
      <c r="T29" s="20">
        <v>10000</v>
      </c>
      <c r="V29"/>
    </row>
    <row r="30" spans="1:22" ht="13.9" customHeight="1" x14ac:dyDescent="0.2">
      <c r="B30" s="21"/>
      <c r="C30" s="21"/>
      <c r="D30" s="21"/>
      <c r="E30" s="21"/>
      <c r="F30" s="21"/>
      <c r="G30" s="21"/>
      <c r="H30" s="20"/>
      <c r="I30" s="21"/>
      <c r="J30" s="21"/>
      <c r="K30" s="21"/>
      <c r="L30" s="21"/>
      <c r="M30" s="20">
        <v>2</v>
      </c>
      <c r="N30" s="20" t="s">
        <v>438</v>
      </c>
      <c r="O30" s="21"/>
      <c r="P30" s="5">
        <v>3</v>
      </c>
      <c r="Q30" s="5">
        <v>103</v>
      </c>
      <c r="R30" s="5"/>
      <c r="S30" s="20">
        <v>10000</v>
      </c>
      <c r="T30" s="20">
        <v>10000</v>
      </c>
      <c r="V30"/>
    </row>
    <row r="31" spans="1:22" ht="16.5" x14ac:dyDescent="0.2">
      <c r="B31" s="21"/>
      <c r="C31" s="21"/>
      <c r="D31" s="21"/>
      <c r="E31" s="21"/>
      <c r="F31" s="21"/>
      <c r="G31" s="21"/>
      <c r="H31" s="20"/>
      <c r="I31" s="21"/>
      <c r="J31" s="21"/>
      <c r="K31" s="21"/>
      <c r="L31" s="21"/>
      <c r="M31" s="20">
        <v>3</v>
      </c>
      <c r="N31" s="20" t="s">
        <v>438</v>
      </c>
      <c r="O31" s="20"/>
      <c r="P31" s="5">
        <v>13</v>
      </c>
      <c r="Q31" s="5">
        <v>106</v>
      </c>
      <c r="R31" s="5"/>
      <c r="S31" s="20">
        <v>10000</v>
      </c>
      <c r="T31" s="20">
        <v>10000</v>
      </c>
      <c r="V31"/>
    </row>
    <row r="32" spans="1:22" ht="16.5" x14ac:dyDescent="0.2">
      <c r="B32" s="21"/>
      <c r="C32" s="21"/>
      <c r="D32" s="21"/>
      <c r="E32" s="21"/>
      <c r="F32" s="21"/>
      <c r="G32" s="21"/>
      <c r="H32" s="20"/>
      <c r="I32" s="21"/>
      <c r="J32" s="21"/>
      <c r="K32" s="21"/>
      <c r="L32" s="21"/>
      <c r="M32" s="20">
        <v>4</v>
      </c>
      <c r="N32" s="20" t="s">
        <v>438</v>
      </c>
      <c r="O32" s="21"/>
      <c r="P32" s="5">
        <v>4</v>
      </c>
      <c r="Q32" s="5">
        <v>109</v>
      </c>
      <c r="R32" s="5"/>
      <c r="S32" s="20">
        <v>10000</v>
      </c>
      <c r="T32" s="20">
        <v>10000</v>
      </c>
      <c r="V32"/>
    </row>
    <row r="33" spans="1:24" ht="16.5" x14ac:dyDescent="0.2">
      <c r="B33" s="21"/>
      <c r="C33" s="21"/>
      <c r="D33" s="21"/>
      <c r="E33" s="21"/>
      <c r="F33" s="21"/>
      <c r="G33" s="21"/>
      <c r="H33" s="20"/>
      <c r="I33" s="21"/>
      <c r="J33" s="21"/>
      <c r="K33" s="21"/>
      <c r="L33" s="21"/>
      <c r="M33" s="20">
        <v>5</v>
      </c>
      <c r="N33" s="20" t="s">
        <v>438</v>
      </c>
      <c r="O33" s="21"/>
      <c r="P33" s="5">
        <v>64</v>
      </c>
      <c r="Q33" s="5">
        <v>112</v>
      </c>
      <c r="R33" s="5"/>
      <c r="S33" s="20">
        <v>10000</v>
      </c>
      <c r="T33" s="20">
        <v>10000</v>
      </c>
      <c r="V33"/>
    </row>
    <row r="34" spans="1:24" ht="16.5" x14ac:dyDescent="0.2">
      <c r="B34" s="21"/>
      <c r="C34" s="21"/>
      <c r="D34" s="21"/>
      <c r="E34" s="21"/>
      <c r="F34" s="21"/>
      <c r="G34" s="21"/>
      <c r="H34" s="20"/>
      <c r="I34" s="21"/>
      <c r="J34" s="21"/>
      <c r="K34" s="21"/>
      <c r="L34" s="21"/>
      <c r="M34" s="20">
        <v>6</v>
      </c>
      <c r="N34" s="20" t="s">
        <v>438</v>
      </c>
      <c r="O34" s="21"/>
      <c r="P34" s="5">
        <v>12</v>
      </c>
      <c r="Q34" s="5">
        <v>115</v>
      </c>
      <c r="R34" s="5"/>
      <c r="S34" s="20">
        <v>10000</v>
      </c>
      <c r="T34" s="20">
        <v>10000</v>
      </c>
      <c r="V34"/>
    </row>
    <row r="35" spans="1:24" ht="16.5" x14ac:dyDescent="0.2">
      <c r="B35" s="21"/>
      <c r="C35" s="21"/>
      <c r="D35" s="21"/>
      <c r="E35" s="21"/>
      <c r="F35" s="21"/>
      <c r="G35" s="21"/>
      <c r="H35" s="20"/>
      <c r="I35" s="21"/>
      <c r="J35" s="21"/>
      <c r="K35" s="21"/>
      <c r="L35" s="21"/>
      <c r="M35" s="20">
        <v>7</v>
      </c>
      <c r="N35" s="20" t="s">
        <v>438</v>
      </c>
      <c r="O35" s="21"/>
      <c r="P35" s="5">
        <v>8</v>
      </c>
      <c r="Q35" s="5">
        <v>118</v>
      </c>
      <c r="R35" s="5"/>
      <c r="S35" s="20">
        <v>10000</v>
      </c>
      <c r="T35" s="20">
        <v>10000</v>
      </c>
      <c r="V35"/>
    </row>
    <row r="36" spans="1:24" ht="16.5" x14ac:dyDescent="0.2">
      <c r="B36" s="21"/>
      <c r="C36" s="21"/>
      <c r="D36" s="21"/>
      <c r="E36" s="21"/>
      <c r="F36" s="21"/>
      <c r="G36" s="21"/>
      <c r="H36" s="20"/>
      <c r="I36" s="21"/>
      <c r="J36" s="21"/>
      <c r="K36" s="21"/>
      <c r="L36" s="21"/>
      <c r="M36" s="20">
        <v>8</v>
      </c>
      <c r="N36" s="20" t="s">
        <v>438</v>
      </c>
      <c r="O36" s="21"/>
      <c r="P36" s="5">
        <v>17</v>
      </c>
      <c r="Q36" s="5">
        <v>121</v>
      </c>
      <c r="R36" s="5"/>
      <c r="S36" s="20">
        <v>10000</v>
      </c>
      <c r="T36" s="20">
        <v>10000</v>
      </c>
      <c r="V36"/>
    </row>
    <row r="37" spans="1:24" ht="16.5" x14ac:dyDescent="0.2">
      <c r="B37" s="21"/>
      <c r="C37" s="21"/>
      <c r="D37" s="21"/>
      <c r="E37" s="21"/>
      <c r="F37" s="21"/>
      <c r="G37" s="21"/>
      <c r="H37" s="20"/>
      <c r="I37" s="21"/>
      <c r="J37" s="21"/>
      <c r="K37" s="21"/>
      <c r="L37" s="21"/>
      <c r="M37" s="20">
        <v>9</v>
      </c>
      <c r="N37" s="20" t="s">
        <v>438</v>
      </c>
      <c r="O37" s="21"/>
      <c r="P37" s="5">
        <v>22</v>
      </c>
      <c r="Q37" s="5">
        <v>124</v>
      </c>
      <c r="R37" s="5"/>
      <c r="S37" s="20">
        <v>10000</v>
      </c>
      <c r="T37" s="20">
        <v>10000</v>
      </c>
      <c r="V37"/>
    </row>
    <row r="38" spans="1:24" ht="16.5" x14ac:dyDescent="0.2">
      <c r="B38" s="21"/>
      <c r="C38" s="21"/>
      <c r="D38" s="21"/>
      <c r="E38" s="21"/>
      <c r="F38" s="21"/>
      <c r="G38" s="21"/>
      <c r="H38" s="20"/>
      <c r="I38" s="21"/>
      <c r="J38" s="21"/>
      <c r="K38" s="21"/>
      <c r="L38" s="21"/>
      <c r="M38" s="20">
        <v>10</v>
      </c>
      <c r="N38" s="20" t="s">
        <v>438</v>
      </c>
      <c r="O38" s="21"/>
      <c r="P38" s="5">
        <v>23</v>
      </c>
      <c r="Q38" s="5">
        <v>127</v>
      </c>
      <c r="R38" s="5"/>
      <c r="S38" s="20">
        <v>10000</v>
      </c>
      <c r="T38" s="20">
        <v>10000</v>
      </c>
      <c r="V38"/>
    </row>
    <row r="39" spans="1:24" ht="16.5" x14ac:dyDescent="0.2">
      <c r="B39" s="21"/>
      <c r="C39" s="21"/>
      <c r="D39" s="21"/>
      <c r="E39" s="21"/>
      <c r="F39" s="21"/>
      <c r="G39" s="21"/>
      <c r="H39" s="20"/>
      <c r="I39" s="21"/>
      <c r="J39" s="21"/>
      <c r="K39" s="21"/>
      <c r="L39" s="21"/>
      <c r="M39" s="20">
        <v>11</v>
      </c>
      <c r="N39" s="20" t="s">
        <v>438</v>
      </c>
      <c r="O39" s="21"/>
      <c r="P39" s="5">
        <v>36</v>
      </c>
      <c r="Q39" s="5">
        <v>130</v>
      </c>
      <c r="R39" s="5"/>
      <c r="S39" s="20">
        <v>10000</v>
      </c>
      <c r="T39" s="20">
        <v>10000</v>
      </c>
      <c r="V39"/>
    </row>
    <row r="40" spans="1:24" ht="16.5" x14ac:dyDescent="0.2">
      <c r="B40" s="21"/>
      <c r="C40" s="21"/>
      <c r="D40" s="21"/>
      <c r="E40" s="21"/>
      <c r="F40" s="21"/>
      <c r="G40" s="21"/>
      <c r="H40" s="20"/>
      <c r="I40" s="21"/>
      <c r="J40" s="21"/>
      <c r="K40" s="21"/>
      <c r="L40" s="21"/>
      <c r="M40" s="20">
        <v>12</v>
      </c>
      <c r="N40" s="20" t="s">
        <v>438</v>
      </c>
      <c r="O40" s="21"/>
      <c r="P40" s="5">
        <v>34</v>
      </c>
      <c r="Q40" s="5">
        <v>133</v>
      </c>
      <c r="R40" s="5"/>
      <c r="S40" s="20">
        <v>10000</v>
      </c>
      <c r="T40" s="20">
        <v>10000</v>
      </c>
      <c r="V40"/>
    </row>
    <row r="41" spans="1:24" ht="16.5" x14ac:dyDescent="0.2">
      <c r="B41" s="21"/>
      <c r="C41" s="21"/>
      <c r="D41" s="21"/>
      <c r="E41" s="21"/>
      <c r="F41" s="21"/>
      <c r="G41" s="21"/>
      <c r="H41" s="20"/>
      <c r="I41" s="21"/>
      <c r="J41" s="21"/>
      <c r="K41" s="21"/>
      <c r="L41" s="21"/>
      <c r="M41" s="20">
        <v>13</v>
      </c>
      <c r="N41" s="20" t="s">
        <v>438</v>
      </c>
      <c r="O41" s="21"/>
      <c r="P41" s="5">
        <v>19</v>
      </c>
      <c r="Q41" s="5">
        <v>136</v>
      </c>
      <c r="R41" s="5"/>
      <c r="S41" s="20">
        <v>10000</v>
      </c>
      <c r="T41" s="20">
        <v>10000</v>
      </c>
      <c r="V41"/>
    </row>
    <row r="42" spans="1:24" x14ac:dyDescent="0.2">
      <c r="B42" s="21"/>
      <c r="C42" s="21"/>
      <c r="D42" s="21"/>
      <c r="E42" s="21"/>
      <c r="F42" s="21"/>
      <c r="G42" s="21"/>
      <c r="H42" s="20"/>
      <c r="I42" s="21"/>
      <c r="J42" s="21"/>
      <c r="K42" s="21"/>
      <c r="L42" s="21"/>
      <c r="M42" s="20"/>
      <c r="N42" s="20"/>
      <c r="O42" s="21"/>
      <c r="P42" s="21"/>
      <c r="Q42" s="21"/>
      <c r="R42" s="21"/>
      <c r="S42" s="21"/>
      <c r="T42" s="21"/>
      <c r="V42"/>
    </row>
    <row r="43" spans="1:24" x14ac:dyDescent="0.2">
      <c r="A43" s="2">
        <v>115</v>
      </c>
      <c r="B43" s="17" t="s">
        <v>428</v>
      </c>
      <c r="D43" s="22">
        <v>5</v>
      </c>
      <c r="E43" s="22">
        <v>50</v>
      </c>
      <c r="F43" s="2">
        <v>10</v>
      </c>
      <c r="G43" s="2" t="s">
        <v>435</v>
      </c>
      <c r="H43" s="1">
        <v>3</v>
      </c>
      <c r="I43" s="2">
        <v>1000000</v>
      </c>
      <c r="J43" s="2">
        <v>1000000</v>
      </c>
      <c r="K43" s="2" t="s">
        <v>436</v>
      </c>
      <c r="L43" s="2" t="s">
        <v>437</v>
      </c>
      <c r="M43" s="2">
        <v>1</v>
      </c>
      <c r="N43" s="2" t="s">
        <v>438</v>
      </c>
      <c r="P43" s="2" t="s">
        <v>439</v>
      </c>
      <c r="S43" s="2">
        <v>1000000</v>
      </c>
      <c r="T43" s="2">
        <v>1000000</v>
      </c>
      <c r="V43"/>
    </row>
    <row r="44" spans="1:24" x14ac:dyDescent="0.2">
      <c r="M44" s="2">
        <v>2</v>
      </c>
      <c r="N44" s="2" t="s">
        <v>443</v>
      </c>
      <c r="P44" s="2" t="s">
        <v>459</v>
      </c>
    </row>
    <row r="45" spans="1:24" x14ac:dyDescent="0.2">
      <c r="M45" s="2">
        <v>3</v>
      </c>
      <c r="N45" s="2" t="s">
        <v>446</v>
      </c>
      <c r="O45" s="2"/>
      <c r="P45" s="2" t="s">
        <v>469</v>
      </c>
    </row>
    <row r="46" spans="1:24" x14ac:dyDescent="0.2">
      <c r="M46" s="2">
        <v>4</v>
      </c>
      <c r="N46" s="2" t="s">
        <v>449</v>
      </c>
      <c r="P46" s="2">
        <v>15</v>
      </c>
    </row>
    <row r="47" spans="1:24" ht="14.45" customHeight="1" x14ac:dyDescent="0.2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>
        <v>5</v>
      </c>
      <c r="N47" s="23" t="s">
        <v>449</v>
      </c>
      <c r="O47" s="23"/>
      <c r="P47" s="23"/>
      <c r="Q47" s="23"/>
      <c r="R47" s="23"/>
      <c r="S47" s="23"/>
      <c r="T47" s="23"/>
    </row>
    <row r="48" spans="1:24" s="14" customFormat="1" ht="16.5" x14ac:dyDescent="0.3">
      <c r="A48" s="25">
        <v>200</v>
      </c>
      <c r="B48" s="26" t="s">
        <v>203</v>
      </c>
      <c r="C48" s="25"/>
      <c r="D48" s="14">
        <v>25</v>
      </c>
      <c r="E48" s="14">
        <v>120</v>
      </c>
      <c r="F48" s="14">
        <v>40</v>
      </c>
      <c r="H48" s="14">
        <v>7</v>
      </c>
      <c r="I48" s="14">
        <v>500000</v>
      </c>
      <c r="J48" s="14">
        <v>1000000</v>
      </c>
      <c r="M48" s="14">
        <v>1</v>
      </c>
      <c r="N48" s="14" t="s">
        <v>470</v>
      </c>
      <c r="P48" s="14" t="s">
        <v>801</v>
      </c>
      <c r="Q48" s="14" t="s">
        <v>471</v>
      </c>
      <c r="S48" s="14">
        <v>1000000</v>
      </c>
      <c r="T48" s="14">
        <v>1000000</v>
      </c>
      <c r="U48" s="25"/>
      <c r="V48"/>
      <c r="W48"/>
      <c r="X48"/>
    </row>
    <row r="49" spans="1:24" s="14" customFormat="1" ht="14.45" customHeight="1" x14ac:dyDescent="0.3">
      <c r="B49" s="27"/>
      <c r="M49" s="14">
        <v>2</v>
      </c>
      <c r="N49" s="14" t="s">
        <v>470</v>
      </c>
      <c r="P49" s="14" t="s">
        <v>802</v>
      </c>
      <c r="Q49" s="14" t="s">
        <v>472</v>
      </c>
      <c r="U49" s="25"/>
      <c r="V49"/>
      <c r="W49"/>
      <c r="X49"/>
    </row>
    <row r="50" spans="1:24" s="14" customFormat="1" ht="14.45" customHeight="1" x14ac:dyDescent="0.3">
      <c r="B50" s="27"/>
      <c r="M50" s="14">
        <v>3</v>
      </c>
      <c r="N50" s="14" t="s">
        <v>473</v>
      </c>
      <c r="P50" s="14" t="s">
        <v>803</v>
      </c>
      <c r="Q50" s="14" t="s">
        <v>474</v>
      </c>
      <c r="U50" s="25"/>
      <c r="V50"/>
      <c r="W50"/>
      <c r="X50"/>
    </row>
    <row r="51" spans="1:24" s="14" customFormat="1" ht="14.45" customHeight="1" x14ac:dyDescent="0.3">
      <c r="B51" s="27"/>
      <c r="M51" s="14">
        <v>4</v>
      </c>
      <c r="N51" s="14" t="s">
        <v>475</v>
      </c>
      <c r="P51" s="14" t="s">
        <v>804</v>
      </c>
      <c r="Q51" s="14" t="s">
        <v>476</v>
      </c>
      <c r="U51" s="25"/>
      <c r="V51"/>
      <c r="W51"/>
      <c r="X51"/>
    </row>
    <row r="52" spans="1:24" s="14" customFormat="1" ht="14.45" customHeight="1" x14ac:dyDescent="0.3">
      <c r="B52" s="27"/>
      <c r="M52" s="14">
        <v>5</v>
      </c>
      <c r="N52" s="14" t="s">
        <v>477</v>
      </c>
      <c r="P52" s="14" t="s">
        <v>805</v>
      </c>
      <c r="Q52" s="14" t="s">
        <v>478</v>
      </c>
      <c r="U52" s="25"/>
      <c r="V52"/>
      <c r="W52"/>
      <c r="X52"/>
    </row>
    <row r="53" spans="1:24" ht="16.5" customHeight="1" x14ac:dyDescent="0.2">
      <c r="A53" s="28">
        <v>1001</v>
      </c>
      <c r="B53" s="29" t="s">
        <v>204</v>
      </c>
      <c r="C53" s="28"/>
      <c r="D53" s="28">
        <v>0</v>
      </c>
      <c r="E53" s="28">
        <v>1</v>
      </c>
      <c r="F53" s="28">
        <v>1</v>
      </c>
      <c r="G53" s="28"/>
      <c r="H53" s="28">
        <v>1</v>
      </c>
      <c r="I53" s="28">
        <v>100000</v>
      </c>
      <c r="J53" s="28">
        <v>100000</v>
      </c>
      <c r="K53" s="28"/>
      <c r="L53" s="28"/>
      <c r="M53" s="28">
        <v>1</v>
      </c>
      <c r="N53" s="32" t="s">
        <v>479</v>
      </c>
      <c r="P53" s="28" t="s">
        <v>480</v>
      </c>
      <c r="Q53" s="28" t="s">
        <v>481</v>
      </c>
      <c r="R53" s="28"/>
      <c r="S53" s="28">
        <v>1000000</v>
      </c>
      <c r="T53" s="28">
        <v>1000000</v>
      </c>
      <c r="V53"/>
    </row>
    <row r="54" spans="1:24" ht="16.5" customHeight="1" x14ac:dyDescent="0.2">
      <c r="A54" s="5">
        <v>1002</v>
      </c>
      <c r="B54" s="27" t="s">
        <v>205</v>
      </c>
      <c r="C54" s="5"/>
      <c r="D54" s="5">
        <v>0</v>
      </c>
      <c r="E54" s="5">
        <v>5</v>
      </c>
      <c r="F54" s="5">
        <v>1</v>
      </c>
      <c r="G54" s="5"/>
      <c r="H54" s="5">
        <v>1</v>
      </c>
      <c r="I54" s="5">
        <v>100000</v>
      </c>
      <c r="J54" s="5">
        <v>100000</v>
      </c>
      <c r="K54" s="5"/>
      <c r="L54" s="5"/>
      <c r="M54" s="5">
        <v>1</v>
      </c>
      <c r="N54" s="5" t="s">
        <v>482</v>
      </c>
      <c r="O54" s="5"/>
      <c r="P54" s="5" t="s">
        <v>480</v>
      </c>
      <c r="Q54" s="5" t="s">
        <v>483</v>
      </c>
      <c r="R54" s="5"/>
      <c r="S54" s="5">
        <v>1000000</v>
      </c>
      <c r="T54" s="5">
        <v>1000000</v>
      </c>
      <c r="V54"/>
    </row>
    <row r="55" spans="1:24" ht="16.5" customHeight="1" x14ac:dyDescent="0.2">
      <c r="A55" s="5">
        <v>1003</v>
      </c>
      <c r="B55" s="27" t="s">
        <v>207</v>
      </c>
      <c r="C55" s="5"/>
      <c r="D55" s="5">
        <v>0</v>
      </c>
      <c r="E55" s="5">
        <v>10</v>
      </c>
      <c r="F55" s="5">
        <v>3</v>
      </c>
      <c r="G55" s="5"/>
      <c r="H55" s="5">
        <v>2</v>
      </c>
      <c r="I55" s="5">
        <v>100000</v>
      </c>
      <c r="J55" s="5">
        <v>100000</v>
      </c>
      <c r="K55" s="5"/>
      <c r="L55" s="5"/>
      <c r="M55" s="5">
        <v>1</v>
      </c>
      <c r="N55" s="5" t="s">
        <v>482</v>
      </c>
      <c r="O55" s="5"/>
      <c r="P55" s="5" t="s">
        <v>480</v>
      </c>
      <c r="Q55" s="5" t="s">
        <v>484</v>
      </c>
      <c r="R55" s="5"/>
      <c r="S55" s="5">
        <v>1000000</v>
      </c>
      <c r="T55" s="5">
        <v>1000000</v>
      </c>
      <c r="V55"/>
    </row>
    <row r="56" spans="1:24" ht="16.5" customHeight="1" x14ac:dyDescent="0.2">
      <c r="A56" s="5">
        <v>1004</v>
      </c>
      <c r="B56" s="27" t="s">
        <v>208</v>
      </c>
      <c r="C56" s="5"/>
      <c r="D56" s="5">
        <v>0</v>
      </c>
      <c r="E56" s="5">
        <v>28</v>
      </c>
      <c r="F56" s="5">
        <v>10</v>
      </c>
      <c r="G56" s="5"/>
      <c r="H56" s="5">
        <v>2</v>
      </c>
      <c r="I56" s="5">
        <v>100000</v>
      </c>
      <c r="J56" s="5">
        <v>100000</v>
      </c>
      <c r="K56" s="5"/>
      <c r="L56" s="5"/>
      <c r="M56" s="5">
        <v>1</v>
      </c>
      <c r="N56" s="5" t="s">
        <v>482</v>
      </c>
      <c r="O56" s="5"/>
      <c r="P56" s="5" t="s">
        <v>485</v>
      </c>
      <c r="Q56" s="5" t="s">
        <v>486</v>
      </c>
      <c r="R56" s="5"/>
      <c r="S56" s="5">
        <v>1000000</v>
      </c>
      <c r="T56" s="5">
        <v>1000000</v>
      </c>
      <c r="V56"/>
    </row>
    <row r="57" spans="1:24" ht="16.5" customHeight="1" x14ac:dyDescent="0.2">
      <c r="A57" s="5"/>
      <c r="B57" s="27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2</v>
      </c>
      <c r="N57" s="5" t="s">
        <v>479</v>
      </c>
      <c r="O57" s="5"/>
      <c r="P57" s="5" t="s">
        <v>487</v>
      </c>
      <c r="Q57" s="5" t="s">
        <v>488</v>
      </c>
      <c r="R57" s="5"/>
      <c r="S57" s="5"/>
      <c r="T57" s="5"/>
      <c r="V57"/>
    </row>
    <row r="58" spans="1:24" ht="16.5" customHeight="1" x14ac:dyDescent="0.2">
      <c r="A58" s="5">
        <v>1005</v>
      </c>
      <c r="B58" s="27" t="s">
        <v>211</v>
      </c>
      <c r="C58" s="5"/>
      <c r="D58" s="5">
        <v>0</v>
      </c>
      <c r="E58" s="5">
        <v>35</v>
      </c>
      <c r="F58" s="5">
        <v>10</v>
      </c>
      <c r="G58" s="5"/>
      <c r="H58" s="5">
        <v>3</v>
      </c>
      <c r="I58" s="5">
        <v>100000</v>
      </c>
      <c r="J58" s="5">
        <v>100000</v>
      </c>
      <c r="K58" s="5"/>
      <c r="L58" s="5"/>
      <c r="M58" s="5">
        <v>1</v>
      </c>
      <c r="N58" s="5" t="s">
        <v>482</v>
      </c>
      <c r="O58" s="5"/>
      <c r="P58" s="5" t="s">
        <v>485</v>
      </c>
      <c r="Q58" s="5" t="s">
        <v>489</v>
      </c>
      <c r="R58" s="5"/>
      <c r="S58" s="5">
        <v>1000000</v>
      </c>
      <c r="T58" s="5">
        <v>1000000</v>
      </c>
      <c r="V58"/>
    </row>
    <row r="59" spans="1:24" ht="16.5" customHeight="1" x14ac:dyDescent="0.2">
      <c r="A59" s="5"/>
      <c r="B59" s="27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2</v>
      </c>
      <c r="N59" s="5" t="s">
        <v>479</v>
      </c>
      <c r="O59" s="5"/>
      <c r="P59" s="5" t="s">
        <v>487</v>
      </c>
      <c r="Q59" s="5" t="s">
        <v>490</v>
      </c>
      <c r="R59" s="5"/>
      <c r="S59" s="5"/>
      <c r="T59" s="5"/>
      <c r="V59"/>
    </row>
    <row r="60" spans="1:24" ht="16.5" customHeight="1" x14ac:dyDescent="0.2">
      <c r="A60" s="5">
        <v>1006</v>
      </c>
      <c r="B60" s="27" t="s">
        <v>214</v>
      </c>
      <c r="C60" s="5"/>
      <c r="D60" s="5">
        <v>0</v>
      </c>
      <c r="E60" s="5">
        <v>38</v>
      </c>
      <c r="F60" s="5">
        <v>10</v>
      </c>
      <c r="G60" s="5"/>
      <c r="H60" s="5">
        <v>3</v>
      </c>
      <c r="I60" s="5">
        <v>100000</v>
      </c>
      <c r="J60" s="5">
        <v>100000</v>
      </c>
      <c r="K60" s="5"/>
      <c r="L60" s="5"/>
      <c r="M60" s="5">
        <v>1</v>
      </c>
      <c r="N60" s="5" t="s">
        <v>482</v>
      </c>
      <c r="O60" s="5"/>
      <c r="P60" s="5" t="s">
        <v>485</v>
      </c>
      <c r="Q60" s="5" t="s">
        <v>491</v>
      </c>
      <c r="R60" s="5"/>
      <c r="S60" s="5">
        <v>1000000</v>
      </c>
      <c r="T60" s="5">
        <v>1000000</v>
      </c>
      <c r="V60"/>
    </row>
    <row r="61" spans="1:24" ht="16.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</v>
      </c>
      <c r="N61" s="5" t="s">
        <v>479</v>
      </c>
      <c r="O61" s="5"/>
      <c r="P61" s="5" t="s">
        <v>487</v>
      </c>
      <c r="Q61" s="5" t="s">
        <v>492</v>
      </c>
      <c r="R61" s="5"/>
      <c r="S61" s="5"/>
      <c r="T61" s="5"/>
      <c r="V61"/>
    </row>
    <row r="62" spans="1:24" ht="16.5" customHeight="1" x14ac:dyDescent="0.2">
      <c r="A62" s="5">
        <v>1007</v>
      </c>
      <c r="B62" s="27" t="s">
        <v>216</v>
      </c>
      <c r="C62" s="5"/>
      <c r="D62" s="5">
        <v>0</v>
      </c>
      <c r="E62" s="5">
        <v>39</v>
      </c>
      <c r="F62" s="5">
        <v>10</v>
      </c>
      <c r="G62" s="5"/>
      <c r="H62" s="5">
        <v>3</v>
      </c>
      <c r="I62" s="5">
        <v>100000</v>
      </c>
      <c r="J62" s="5">
        <v>100000</v>
      </c>
      <c r="K62" s="5"/>
      <c r="L62" s="5"/>
      <c r="M62" s="5">
        <v>1</v>
      </c>
      <c r="N62" s="5" t="s">
        <v>482</v>
      </c>
      <c r="O62" s="5"/>
      <c r="P62" s="5" t="s">
        <v>485</v>
      </c>
      <c r="Q62" s="5" t="s">
        <v>493</v>
      </c>
      <c r="R62" s="5"/>
      <c r="S62" s="5">
        <v>1000000</v>
      </c>
      <c r="T62" s="5">
        <v>1000000</v>
      </c>
      <c r="V62"/>
    </row>
    <row r="63" spans="1:24" ht="16.5" customHeight="1" x14ac:dyDescent="0.2">
      <c r="A63" s="5"/>
      <c r="B63" s="27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</v>
      </c>
      <c r="N63" s="5" t="s">
        <v>479</v>
      </c>
      <c r="O63" s="5"/>
      <c r="P63" s="5" t="s">
        <v>487</v>
      </c>
      <c r="Q63" s="5" t="s">
        <v>494</v>
      </c>
      <c r="R63" s="5"/>
      <c r="S63" s="5"/>
      <c r="T63" s="5"/>
    </row>
    <row r="64" spans="1:24" ht="16.5" customHeight="1" x14ac:dyDescent="0.2">
      <c r="A64" s="5">
        <v>1008</v>
      </c>
      <c r="B64" s="27" t="s">
        <v>218</v>
      </c>
      <c r="C64" s="5"/>
      <c r="D64" s="5">
        <v>0</v>
      </c>
      <c r="E64" s="5">
        <v>42</v>
      </c>
      <c r="F64" s="5">
        <v>10</v>
      </c>
      <c r="G64" s="5"/>
      <c r="H64" s="5">
        <v>3</v>
      </c>
      <c r="I64" s="5">
        <v>100000</v>
      </c>
      <c r="J64" s="5">
        <v>100000</v>
      </c>
      <c r="K64" s="5"/>
      <c r="L64" s="5"/>
      <c r="M64" s="5">
        <v>1</v>
      </c>
      <c r="N64" s="5" t="s">
        <v>482</v>
      </c>
      <c r="O64" s="5"/>
      <c r="P64" s="5" t="s">
        <v>485</v>
      </c>
      <c r="Q64" s="5" t="s">
        <v>495</v>
      </c>
      <c r="R64" s="5"/>
      <c r="S64" s="5">
        <v>1000000</v>
      </c>
      <c r="T64" s="5">
        <v>1000000</v>
      </c>
    </row>
    <row r="65" spans="1:29" ht="16.5" customHeight="1" x14ac:dyDescent="0.2">
      <c r="A65" s="5"/>
      <c r="B65" s="27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2</v>
      </c>
      <c r="N65" s="5" t="s">
        <v>479</v>
      </c>
      <c r="O65" s="5"/>
      <c r="P65" s="5" t="s">
        <v>487</v>
      </c>
      <c r="Q65" s="5" t="s">
        <v>496</v>
      </c>
      <c r="R65" s="5"/>
      <c r="S65" s="5"/>
      <c r="T65" s="5"/>
    </row>
    <row r="66" spans="1:29" ht="16.5" customHeight="1" x14ac:dyDescent="0.2">
      <c r="A66" s="5">
        <v>1009</v>
      </c>
      <c r="B66" s="27" t="s">
        <v>220</v>
      </c>
      <c r="C66" s="5"/>
      <c r="D66" s="5">
        <v>0</v>
      </c>
      <c r="E66" s="5">
        <v>45</v>
      </c>
      <c r="F66" s="5">
        <v>10</v>
      </c>
      <c r="G66" s="5"/>
      <c r="H66" s="5">
        <v>4</v>
      </c>
      <c r="I66" s="5">
        <v>100000</v>
      </c>
      <c r="J66" s="5">
        <v>100000</v>
      </c>
      <c r="K66" s="5"/>
      <c r="L66" s="5"/>
      <c r="M66" s="5">
        <v>1</v>
      </c>
      <c r="N66" s="5" t="s">
        <v>482</v>
      </c>
      <c r="O66" s="5"/>
      <c r="P66" s="5" t="s">
        <v>485</v>
      </c>
      <c r="Q66" s="5" t="s">
        <v>497</v>
      </c>
      <c r="R66" s="5"/>
      <c r="S66" s="5">
        <v>1000000</v>
      </c>
      <c r="T66" s="5">
        <v>1000000</v>
      </c>
    </row>
    <row r="67" spans="1:29" ht="16.5" customHeight="1" x14ac:dyDescent="0.2">
      <c r="A67" s="5"/>
      <c r="B67" s="27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</v>
      </c>
      <c r="N67" s="5" t="s">
        <v>479</v>
      </c>
      <c r="O67" s="5"/>
      <c r="P67" s="5" t="s">
        <v>487</v>
      </c>
      <c r="Q67" s="5" t="s">
        <v>498</v>
      </c>
      <c r="R67" s="5"/>
      <c r="S67" s="5"/>
      <c r="T67" s="5"/>
    </row>
    <row r="68" spans="1:29" ht="16.5" customHeight="1" x14ac:dyDescent="0.2">
      <c r="A68" s="5">
        <v>1010</v>
      </c>
      <c r="B68" s="27" t="s">
        <v>222</v>
      </c>
      <c r="C68" s="5"/>
      <c r="D68" s="5">
        <v>0</v>
      </c>
      <c r="E68" s="5">
        <v>47</v>
      </c>
      <c r="F68" s="5">
        <v>10</v>
      </c>
      <c r="G68" s="5"/>
      <c r="H68" s="5">
        <v>4</v>
      </c>
      <c r="I68" s="5">
        <v>100000</v>
      </c>
      <c r="J68" s="5">
        <v>100000</v>
      </c>
      <c r="K68" s="5"/>
      <c r="L68" s="5"/>
      <c r="M68" s="5">
        <v>1</v>
      </c>
      <c r="N68" s="5" t="s">
        <v>499</v>
      </c>
      <c r="O68" s="5"/>
      <c r="P68" s="5" t="s">
        <v>485</v>
      </c>
      <c r="Q68" s="5" t="s">
        <v>500</v>
      </c>
      <c r="R68" s="5"/>
      <c r="S68" s="5">
        <v>1000000</v>
      </c>
      <c r="T68" s="5">
        <v>1000000</v>
      </c>
    </row>
    <row r="69" spans="1:29" ht="16.5" customHeight="1" x14ac:dyDescent="0.2">
      <c r="A69" s="5"/>
      <c r="B69" s="27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</v>
      </c>
      <c r="N69" s="5" t="s">
        <v>501</v>
      </c>
      <c r="O69" s="5"/>
      <c r="P69" s="5" t="s">
        <v>487</v>
      </c>
      <c r="Q69" s="5" t="s">
        <v>502</v>
      </c>
      <c r="R69" s="5"/>
      <c r="S69" s="5"/>
      <c r="T69" s="5"/>
    </row>
    <row r="70" spans="1:29" ht="16.5" customHeight="1" x14ac:dyDescent="0.2">
      <c r="A70" s="5">
        <v>1011</v>
      </c>
      <c r="B70" s="27" t="s">
        <v>225</v>
      </c>
      <c r="C70" s="5"/>
      <c r="D70" s="5">
        <v>0</v>
      </c>
      <c r="E70" s="5">
        <v>49</v>
      </c>
      <c r="F70" s="5">
        <v>10</v>
      </c>
      <c r="G70" s="5"/>
      <c r="H70" s="5">
        <v>4</v>
      </c>
      <c r="I70" s="5">
        <v>100000</v>
      </c>
      <c r="J70" s="5">
        <v>100000</v>
      </c>
      <c r="K70" s="5"/>
      <c r="L70" s="5"/>
      <c r="M70" s="5">
        <v>1</v>
      </c>
      <c r="N70" s="5" t="s">
        <v>499</v>
      </c>
      <c r="O70" s="5"/>
      <c r="P70" s="5" t="s">
        <v>485</v>
      </c>
      <c r="Q70" s="5" t="s">
        <v>503</v>
      </c>
      <c r="R70" s="5"/>
      <c r="S70" s="5">
        <v>1000000</v>
      </c>
      <c r="T70" s="5">
        <v>1000000</v>
      </c>
    </row>
    <row r="71" spans="1:29" ht="16.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2</v>
      </c>
      <c r="N71" s="5" t="s">
        <v>501</v>
      </c>
      <c r="O71" s="5"/>
      <c r="P71" s="5" t="s">
        <v>487</v>
      </c>
      <c r="Q71" s="5" t="s">
        <v>504</v>
      </c>
      <c r="R71" s="5"/>
      <c r="S71" s="5"/>
      <c r="T71" s="5"/>
    </row>
    <row r="72" spans="1:29" ht="16.5" customHeight="1" x14ac:dyDescent="0.2">
      <c r="A72" s="5">
        <v>1012</v>
      </c>
      <c r="B72" s="27" t="s">
        <v>505</v>
      </c>
      <c r="C72" s="5"/>
      <c r="D72" s="5">
        <v>0</v>
      </c>
      <c r="E72" s="5">
        <v>120</v>
      </c>
      <c r="F72" s="5">
        <v>40</v>
      </c>
      <c r="G72" s="5"/>
      <c r="H72" s="5">
        <v>7</v>
      </c>
      <c r="I72" s="5">
        <v>100000</v>
      </c>
      <c r="J72" s="5">
        <v>100000</v>
      </c>
      <c r="K72" s="5"/>
      <c r="L72" s="5"/>
      <c r="M72" s="5">
        <v>1</v>
      </c>
      <c r="N72" s="5" t="s">
        <v>499</v>
      </c>
      <c r="O72" s="5"/>
      <c r="P72" s="5" t="s">
        <v>506</v>
      </c>
      <c r="Q72" s="5" t="s">
        <v>507</v>
      </c>
      <c r="R72" s="5"/>
      <c r="S72" s="5">
        <v>1000000</v>
      </c>
      <c r="T72" s="5">
        <v>1000000</v>
      </c>
      <c r="V72"/>
    </row>
    <row r="73" spans="1:29" ht="16.5" customHeight="1" x14ac:dyDescent="0.2">
      <c r="A73" s="31">
        <v>10001</v>
      </c>
      <c r="B73" s="33" t="s">
        <v>508</v>
      </c>
      <c r="C73" s="31"/>
      <c r="D73" s="31">
        <v>0</v>
      </c>
      <c r="E73" s="31">
        <v>50</v>
      </c>
      <c r="F73" s="31">
        <v>10</v>
      </c>
      <c r="G73" s="2" t="s">
        <v>509</v>
      </c>
      <c r="H73" s="31">
        <v>3</v>
      </c>
      <c r="I73" s="31">
        <v>500000</v>
      </c>
      <c r="J73" s="31">
        <v>100000</v>
      </c>
      <c r="K73" s="31"/>
      <c r="L73" s="31"/>
      <c r="M73" s="31">
        <v>1</v>
      </c>
      <c r="N73" s="31" t="s">
        <v>745</v>
      </c>
      <c r="O73" s="31"/>
      <c r="P73" s="31" t="s">
        <v>741</v>
      </c>
      <c r="Q73" s="31" t="s">
        <v>742</v>
      </c>
      <c r="R73" s="31"/>
      <c r="S73" s="31">
        <v>1000000</v>
      </c>
      <c r="T73" s="31">
        <v>1000000</v>
      </c>
      <c r="V73"/>
      <c r="AC73">
        <v>102</v>
      </c>
    </row>
    <row r="74" spans="1:29" ht="16.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</v>
      </c>
      <c r="N74" s="31" t="s">
        <v>746</v>
      </c>
      <c r="O74" s="5"/>
      <c r="P74" s="5" t="s">
        <v>743</v>
      </c>
      <c r="Q74" s="5" t="s">
        <v>744</v>
      </c>
      <c r="R74" s="5"/>
      <c r="S74" s="5">
        <v>1000000</v>
      </c>
      <c r="T74" s="5">
        <v>1000000</v>
      </c>
      <c r="V74"/>
      <c r="AC74">
        <v>105</v>
      </c>
    </row>
    <row r="75" spans="1:29" ht="16.5" customHeight="1" x14ac:dyDescent="0.2">
      <c r="A75" s="5">
        <v>10002</v>
      </c>
      <c r="B75" s="33" t="s">
        <v>512</v>
      </c>
      <c r="C75" s="5"/>
      <c r="D75" s="31">
        <v>0</v>
      </c>
      <c r="E75" s="31">
        <v>50</v>
      </c>
      <c r="F75" s="31">
        <v>10</v>
      </c>
      <c r="G75" s="2" t="s">
        <v>509</v>
      </c>
      <c r="H75" s="31">
        <v>3</v>
      </c>
      <c r="I75" s="31">
        <v>500000</v>
      </c>
      <c r="J75" s="31">
        <v>100000</v>
      </c>
      <c r="K75" s="5"/>
      <c r="L75" s="5"/>
      <c r="M75" s="5">
        <v>1</v>
      </c>
      <c r="N75" s="31" t="s">
        <v>746</v>
      </c>
      <c r="O75" s="5"/>
      <c r="P75" s="5" t="s">
        <v>743</v>
      </c>
      <c r="Q75" s="5" t="s">
        <v>744</v>
      </c>
      <c r="R75" s="5"/>
      <c r="S75" s="5">
        <v>1000000</v>
      </c>
      <c r="T75" s="5">
        <v>1000000</v>
      </c>
      <c r="V75"/>
      <c r="AC75">
        <v>108</v>
      </c>
    </row>
    <row r="76" spans="1:29" ht="16.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2</v>
      </c>
      <c r="N76" s="31" t="s">
        <v>745</v>
      </c>
      <c r="O76" s="31"/>
      <c r="P76" s="31" t="s">
        <v>741</v>
      </c>
      <c r="Q76" s="31" t="s">
        <v>742</v>
      </c>
      <c r="R76" s="31"/>
      <c r="S76" s="5">
        <v>1000000</v>
      </c>
      <c r="T76" s="5">
        <v>1000000</v>
      </c>
      <c r="V76"/>
      <c r="AC76">
        <v>111</v>
      </c>
    </row>
    <row r="77" spans="1:29" ht="16.5" customHeight="1" x14ac:dyDescent="0.2">
      <c r="A77" s="5">
        <v>10003</v>
      </c>
      <c r="B77" s="33" t="s">
        <v>515</v>
      </c>
      <c r="C77" s="5"/>
      <c r="D77" s="31">
        <v>0</v>
      </c>
      <c r="E77" s="31">
        <v>50</v>
      </c>
      <c r="F77" s="31">
        <v>10</v>
      </c>
      <c r="G77" s="2" t="s">
        <v>509</v>
      </c>
      <c r="H77" s="31">
        <v>4</v>
      </c>
      <c r="I77" s="31">
        <v>500000</v>
      </c>
      <c r="J77" s="31">
        <v>100000</v>
      </c>
      <c r="K77" s="5"/>
      <c r="L77" s="5"/>
      <c r="M77" s="5">
        <v>1</v>
      </c>
      <c r="N77" s="5" t="s">
        <v>510</v>
      </c>
      <c r="O77" s="5"/>
      <c r="P77" s="5" t="s">
        <v>516</v>
      </c>
      <c r="Q77" s="5" t="s">
        <v>517</v>
      </c>
      <c r="R77" s="5"/>
      <c r="S77" s="5">
        <v>1000000</v>
      </c>
      <c r="T77" s="5">
        <v>1000000</v>
      </c>
      <c r="V77"/>
      <c r="AC77">
        <v>114</v>
      </c>
    </row>
    <row r="78" spans="1:29" ht="16.5" customHeight="1" x14ac:dyDescent="0.2">
      <c r="A78" s="5"/>
      <c r="B78" s="27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2</v>
      </c>
      <c r="N78" s="5" t="s">
        <v>511</v>
      </c>
      <c r="O78" s="5"/>
      <c r="P78" s="5" t="s">
        <v>518</v>
      </c>
      <c r="Q78" s="5" t="s">
        <v>519</v>
      </c>
      <c r="R78" s="5"/>
      <c r="S78" s="5">
        <v>1000000</v>
      </c>
      <c r="T78" s="5">
        <v>1000000</v>
      </c>
      <c r="V78"/>
      <c r="AC78">
        <v>117</v>
      </c>
    </row>
    <row r="79" spans="1:29" ht="16.5" customHeight="1" x14ac:dyDescent="0.2">
      <c r="A79" s="5">
        <v>10004</v>
      </c>
      <c r="B79" s="33" t="s">
        <v>520</v>
      </c>
      <c r="C79" s="5"/>
      <c r="D79" s="31">
        <v>0</v>
      </c>
      <c r="E79" s="31">
        <v>50</v>
      </c>
      <c r="F79" s="31">
        <v>10</v>
      </c>
      <c r="G79" s="2" t="s">
        <v>509</v>
      </c>
      <c r="H79" s="31">
        <v>4</v>
      </c>
      <c r="I79" s="31">
        <v>500000</v>
      </c>
      <c r="J79" s="31">
        <v>100000</v>
      </c>
      <c r="K79" s="5"/>
      <c r="L79" s="5"/>
      <c r="M79" s="5">
        <v>1</v>
      </c>
      <c r="N79" s="5" t="s">
        <v>513</v>
      </c>
      <c r="O79" s="5"/>
      <c r="P79" s="5" t="s">
        <v>521</v>
      </c>
      <c r="Q79" s="5" t="s">
        <v>522</v>
      </c>
      <c r="R79" s="5"/>
      <c r="S79" s="5">
        <v>1000000</v>
      </c>
      <c r="T79" s="5">
        <v>1000000</v>
      </c>
      <c r="V79"/>
      <c r="AC79">
        <v>120</v>
      </c>
    </row>
    <row r="80" spans="1:29" ht="16.5" customHeight="1" x14ac:dyDescent="0.2">
      <c r="A80" s="5"/>
      <c r="B80" s="27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2</v>
      </c>
      <c r="N80" s="5" t="s">
        <v>514</v>
      </c>
      <c r="O80" s="5"/>
      <c r="P80" s="5" t="s">
        <v>523</v>
      </c>
      <c r="Q80" s="5" t="s">
        <v>524</v>
      </c>
      <c r="R80" s="5"/>
      <c r="S80" s="5">
        <v>1000000</v>
      </c>
      <c r="T80" s="5">
        <v>1000000</v>
      </c>
      <c r="V80"/>
      <c r="AC80">
        <v>123</v>
      </c>
    </row>
    <row r="81" spans="1:29" ht="16.5" customHeight="1" x14ac:dyDescent="0.2">
      <c r="A81" s="5">
        <v>10005</v>
      </c>
      <c r="B81" s="33" t="s">
        <v>525</v>
      </c>
      <c r="C81" s="5"/>
      <c r="D81" s="31">
        <v>0</v>
      </c>
      <c r="E81" s="31">
        <v>50</v>
      </c>
      <c r="F81" s="31">
        <v>10</v>
      </c>
      <c r="G81" s="2" t="s">
        <v>509</v>
      </c>
      <c r="H81" s="31">
        <v>4</v>
      </c>
      <c r="I81" s="31">
        <v>500000</v>
      </c>
      <c r="J81" s="31">
        <v>100000</v>
      </c>
      <c r="K81" s="5"/>
      <c r="L81" s="5"/>
      <c r="M81" s="5">
        <v>1</v>
      </c>
      <c r="N81" s="5" t="s">
        <v>510</v>
      </c>
      <c r="O81" s="5"/>
      <c r="P81" s="5" t="s">
        <v>526</v>
      </c>
      <c r="Q81" s="5" t="s">
        <v>527</v>
      </c>
      <c r="R81" s="5"/>
      <c r="S81" s="5">
        <v>1000000</v>
      </c>
      <c r="T81" s="5">
        <v>1000000</v>
      </c>
      <c r="V81"/>
      <c r="AC81">
        <v>126</v>
      </c>
    </row>
    <row r="82" spans="1:29" ht="16.5" customHeight="1" x14ac:dyDescent="0.2">
      <c r="A82" s="5"/>
      <c r="B82" s="27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2</v>
      </c>
      <c r="N82" s="5" t="s">
        <v>511</v>
      </c>
      <c r="O82" s="5"/>
      <c r="P82" s="5" t="s">
        <v>528</v>
      </c>
      <c r="Q82" s="5" t="s">
        <v>529</v>
      </c>
      <c r="R82" s="5"/>
      <c r="S82" s="5">
        <v>1000000</v>
      </c>
      <c r="T82" s="5">
        <v>1000000</v>
      </c>
      <c r="V82"/>
      <c r="AC82">
        <v>129</v>
      </c>
    </row>
    <row r="83" spans="1:29" ht="16.5" customHeight="1" x14ac:dyDescent="0.2">
      <c r="A83" s="5">
        <v>10006</v>
      </c>
      <c r="B83" s="33" t="s">
        <v>530</v>
      </c>
      <c r="C83" s="5"/>
      <c r="D83" s="31">
        <v>0</v>
      </c>
      <c r="E83" s="31">
        <v>50</v>
      </c>
      <c r="F83" s="31">
        <v>10</v>
      </c>
      <c r="G83" s="2" t="s">
        <v>509</v>
      </c>
      <c r="H83" s="31">
        <v>4</v>
      </c>
      <c r="I83" s="31">
        <v>500000</v>
      </c>
      <c r="J83" s="31">
        <v>100000</v>
      </c>
      <c r="K83" s="5"/>
      <c r="L83" s="5"/>
      <c r="M83" s="5">
        <v>1</v>
      </c>
      <c r="N83" s="5" t="s">
        <v>513</v>
      </c>
      <c r="O83" s="5"/>
      <c r="P83" s="5" t="s">
        <v>531</v>
      </c>
      <c r="Q83" s="5" t="s">
        <v>532</v>
      </c>
      <c r="R83" s="5"/>
      <c r="S83" s="5">
        <v>1000000</v>
      </c>
      <c r="T83" s="5">
        <v>1000000</v>
      </c>
      <c r="V83"/>
      <c r="AC83">
        <v>132</v>
      </c>
    </row>
    <row r="84" spans="1:29" ht="16.5" customHeight="1" x14ac:dyDescent="0.2">
      <c r="A84" s="5"/>
      <c r="B84" s="27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2</v>
      </c>
      <c r="N84" s="5" t="s">
        <v>514</v>
      </c>
      <c r="O84" s="5"/>
      <c r="P84" s="5" t="s">
        <v>533</v>
      </c>
      <c r="Q84" s="5" t="s">
        <v>534</v>
      </c>
      <c r="R84" s="5"/>
      <c r="S84" s="5">
        <v>1000000</v>
      </c>
      <c r="T84" s="5">
        <v>1000000</v>
      </c>
      <c r="V84"/>
      <c r="AC84">
        <v>135</v>
      </c>
    </row>
    <row r="85" spans="1:29" ht="16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3</v>
      </c>
      <c r="N85" s="5" t="s">
        <v>510</v>
      </c>
      <c r="O85" s="5"/>
      <c r="P85" s="5" t="s">
        <v>535</v>
      </c>
      <c r="Q85" s="5" t="s">
        <v>536</v>
      </c>
      <c r="R85" s="5"/>
      <c r="S85" s="5">
        <v>1000000</v>
      </c>
      <c r="T85" s="5">
        <v>1000000</v>
      </c>
      <c r="V85"/>
      <c r="AC85">
        <v>138</v>
      </c>
    </row>
    <row r="86" spans="1:29" ht="16.5" customHeight="1" x14ac:dyDescent="0.2">
      <c r="A86" s="31">
        <v>10007</v>
      </c>
      <c r="B86" s="33" t="s">
        <v>809</v>
      </c>
      <c r="C86" s="31"/>
      <c r="D86" s="31">
        <v>0</v>
      </c>
      <c r="E86" s="31">
        <v>50</v>
      </c>
      <c r="F86" s="31">
        <v>10</v>
      </c>
      <c r="G86" s="2" t="s">
        <v>509</v>
      </c>
      <c r="H86" s="31">
        <v>3</v>
      </c>
      <c r="I86" s="31">
        <v>500000</v>
      </c>
      <c r="J86" s="31">
        <v>100000</v>
      </c>
      <c r="K86" s="31"/>
      <c r="L86" s="31"/>
      <c r="M86" s="31">
        <v>1</v>
      </c>
      <c r="N86" s="31" t="s">
        <v>745</v>
      </c>
      <c r="O86" s="31"/>
      <c r="P86" s="31" t="s">
        <v>741</v>
      </c>
      <c r="Q86" s="31" t="s">
        <v>742</v>
      </c>
      <c r="R86" s="31"/>
      <c r="S86" s="31">
        <v>1000000</v>
      </c>
      <c r="T86" s="31">
        <v>1000000</v>
      </c>
      <c r="V86"/>
      <c r="AC86">
        <v>102</v>
      </c>
    </row>
    <row r="87" spans="1:29" ht="16.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2</v>
      </c>
      <c r="N87" s="31" t="s">
        <v>745</v>
      </c>
      <c r="O87" s="5"/>
      <c r="P87" s="5" t="s">
        <v>743</v>
      </c>
      <c r="Q87" s="5" t="s">
        <v>744</v>
      </c>
      <c r="R87" s="5"/>
      <c r="S87" s="5">
        <v>1000000</v>
      </c>
      <c r="T87" s="5">
        <v>1000000</v>
      </c>
      <c r="V87"/>
      <c r="AC87">
        <v>105</v>
      </c>
    </row>
    <row r="88" spans="1:29" ht="16.5" customHeight="1" x14ac:dyDescent="0.2">
      <c r="A88" s="31">
        <v>10008</v>
      </c>
      <c r="B88" s="33" t="s">
        <v>811</v>
      </c>
      <c r="C88" s="31"/>
      <c r="D88" s="31">
        <v>0</v>
      </c>
      <c r="E88" s="31">
        <v>50</v>
      </c>
      <c r="F88" s="31">
        <v>10</v>
      </c>
      <c r="G88" s="2" t="s">
        <v>509</v>
      </c>
      <c r="H88" s="31">
        <v>3</v>
      </c>
      <c r="I88" s="31">
        <v>500000</v>
      </c>
      <c r="J88" s="31">
        <v>100000</v>
      </c>
      <c r="K88" s="31"/>
      <c r="L88" s="31"/>
      <c r="M88" s="31">
        <v>1</v>
      </c>
      <c r="N88" s="31" t="s">
        <v>745</v>
      </c>
      <c r="O88" s="31"/>
      <c r="P88" s="31" t="s">
        <v>741</v>
      </c>
      <c r="Q88" s="31" t="s">
        <v>742</v>
      </c>
      <c r="R88" s="31">
        <v>7</v>
      </c>
      <c r="S88" s="31">
        <v>1000000</v>
      </c>
      <c r="T88" s="31">
        <v>1000000</v>
      </c>
      <c r="V88"/>
      <c r="AC88">
        <v>102</v>
      </c>
    </row>
    <row r="89" spans="1:29" ht="16.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</v>
      </c>
      <c r="N89" s="31" t="s">
        <v>745</v>
      </c>
      <c r="O89" s="5"/>
      <c r="P89" s="5" t="s">
        <v>743</v>
      </c>
      <c r="Q89" s="5" t="s">
        <v>744</v>
      </c>
      <c r="R89" s="5">
        <v>8</v>
      </c>
      <c r="S89" s="5">
        <v>1000000</v>
      </c>
      <c r="T89" s="5">
        <v>1000000</v>
      </c>
      <c r="V89"/>
      <c r="AC89">
        <v>105</v>
      </c>
    </row>
    <row r="90" spans="1:29" s="4" customFormat="1" ht="16.5" customHeight="1" x14ac:dyDescent="0.2">
      <c r="A90" s="34">
        <v>100002</v>
      </c>
      <c r="B90" s="34" t="s">
        <v>156</v>
      </c>
      <c r="C90" s="35">
        <v>0</v>
      </c>
      <c r="D90" s="35">
        <v>2</v>
      </c>
      <c r="E90" s="35">
        <v>20</v>
      </c>
      <c r="F90" s="35">
        <v>5</v>
      </c>
      <c r="G90" s="35" t="s">
        <v>412</v>
      </c>
      <c r="H90" s="1"/>
      <c r="I90" s="35">
        <v>5000</v>
      </c>
      <c r="J90" s="35">
        <v>1000000</v>
      </c>
      <c r="K90" s="35" t="s">
        <v>413</v>
      </c>
      <c r="L90" s="35" t="s">
        <v>414</v>
      </c>
      <c r="M90" s="35">
        <v>1</v>
      </c>
      <c r="N90" s="35" t="s">
        <v>415</v>
      </c>
      <c r="O90" s="1"/>
      <c r="P90" s="35">
        <v>1</v>
      </c>
      <c r="Q90" s="35"/>
      <c r="R90" s="35"/>
      <c r="S90" s="35">
        <v>10000</v>
      </c>
      <c r="T90" s="35">
        <v>10000</v>
      </c>
      <c r="U90" s="1"/>
      <c r="V90"/>
      <c r="W90"/>
      <c r="X90"/>
      <c r="Y90"/>
      <c r="Z90"/>
      <c r="AA90"/>
      <c r="AB90"/>
    </row>
    <row r="91" spans="1:29" s="4" customFormat="1" ht="16.5" customHeight="1" x14ac:dyDescent="0.2">
      <c r="A91" s="34">
        <v>100003</v>
      </c>
      <c r="B91" s="34" t="s">
        <v>161</v>
      </c>
      <c r="C91" s="35">
        <v>0</v>
      </c>
      <c r="D91" s="35">
        <v>3</v>
      </c>
      <c r="E91" s="35">
        <v>30</v>
      </c>
      <c r="F91" s="35">
        <v>10</v>
      </c>
      <c r="G91" s="35" t="s">
        <v>418</v>
      </c>
      <c r="H91" s="1"/>
      <c r="I91" s="35">
        <v>15000</v>
      </c>
      <c r="J91" s="35">
        <v>1000000</v>
      </c>
      <c r="K91" s="35" t="s">
        <v>419</v>
      </c>
      <c r="L91" s="35" t="s">
        <v>414</v>
      </c>
      <c r="M91" s="35">
        <v>1</v>
      </c>
      <c r="N91" s="35" t="s">
        <v>420</v>
      </c>
      <c r="O91" s="1"/>
      <c r="P91" s="35" t="s">
        <v>421</v>
      </c>
      <c r="Q91" s="1"/>
      <c r="R91" s="1"/>
      <c r="S91" s="35">
        <v>10000</v>
      </c>
      <c r="T91" s="35">
        <v>10000</v>
      </c>
      <c r="U91" s="1"/>
      <c r="V91"/>
      <c r="W91"/>
      <c r="X91"/>
      <c r="Y91"/>
      <c r="Z91"/>
      <c r="AA91"/>
      <c r="AB91"/>
    </row>
    <row r="92" spans="1:29" s="4" customFormat="1" ht="16.5" customHeight="1" x14ac:dyDescent="0.2">
      <c r="A92" s="34">
        <v>100004</v>
      </c>
      <c r="B92" s="34" t="s">
        <v>164</v>
      </c>
      <c r="C92" s="35">
        <v>0</v>
      </c>
      <c r="D92" s="35">
        <v>4</v>
      </c>
      <c r="E92" s="35">
        <v>40</v>
      </c>
      <c r="F92" s="35">
        <v>15</v>
      </c>
      <c r="G92" s="35" t="s">
        <v>423</v>
      </c>
      <c r="H92" s="1"/>
      <c r="I92" s="35">
        <v>25000</v>
      </c>
      <c r="J92" s="35">
        <v>1000000</v>
      </c>
      <c r="K92" s="35" t="s">
        <v>424</v>
      </c>
      <c r="L92" s="35" t="s">
        <v>425</v>
      </c>
      <c r="M92" s="35">
        <v>1</v>
      </c>
      <c r="N92" s="35" t="s">
        <v>426</v>
      </c>
      <c r="O92" s="1"/>
      <c r="P92" s="35" t="s">
        <v>427</v>
      </c>
      <c r="Q92" s="1"/>
      <c r="R92" s="1"/>
      <c r="S92" s="35">
        <v>10000</v>
      </c>
      <c r="T92" s="35">
        <v>10000</v>
      </c>
      <c r="U92" s="1"/>
      <c r="V92"/>
      <c r="W92"/>
      <c r="X92"/>
      <c r="Y92"/>
      <c r="Z92"/>
      <c r="AA92"/>
      <c r="AB92"/>
    </row>
    <row r="93" spans="1:29" s="4" customFormat="1" ht="16.5" customHeight="1" x14ac:dyDescent="0.2">
      <c r="A93" s="34">
        <v>100005</v>
      </c>
      <c r="B93" s="34" t="s">
        <v>167</v>
      </c>
      <c r="C93" s="35">
        <v>0</v>
      </c>
      <c r="D93" s="35">
        <v>5</v>
      </c>
      <c r="E93" s="35">
        <v>50</v>
      </c>
      <c r="F93" s="35">
        <v>20</v>
      </c>
      <c r="G93" s="35" t="s">
        <v>429</v>
      </c>
      <c r="H93" s="1"/>
      <c r="I93" s="35">
        <v>50000</v>
      </c>
      <c r="J93" s="35">
        <v>1000000</v>
      </c>
      <c r="K93" s="35" t="s">
        <v>430</v>
      </c>
      <c r="L93" s="35" t="s">
        <v>431</v>
      </c>
      <c r="M93" s="35">
        <v>1</v>
      </c>
      <c r="N93" s="35" t="s">
        <v>432</v>
      </c>
      <c r="O93" s="1"/>
      <c r="P93" s="35" t="s">
        <v>433</v>
      </c>
      <c r="Q93" s="1"/>
      <c r="R93" s="1"/>
      <c r="S93" s="35">
        <v>10000</v>
      </c>
      <c r="T93" s="35">
        <v>10000</v>
      </c>
      <c r="U93" s="1"/>
      <c r="V93"/>
      <c r="W93"/>
      <c r="X93"/>
      <c r="Y93"/>
      <c r="Z93"/>
      <c r="AA93"/>
      <c r="AB93"/>
    </row>
    <row r="94" spans="1:29" ht="16.5" customHeight="1" x14ac:dyDescent="0.2">
      <c r="A94" s="5"/>
      <c r="B94" s="27"/>
      <c r="C94" s="5"/>
      <c r="D94" s="5"/>
      <c r="E94" s="5"/>
      <c r="F94" s="5"/>
      <c r="G94" s="5"/>
      <c r="H94" s="5"/>
      <c r="I94" s="5"/>
      <c r="J94" s="5"/>
      <c r="K94" s="5"/>
      <c r="L94" s="5"/>
      <c r="V94"/>
    </row>
    <row r="95" spans="1:29" ht="16.5" customHeight="1" x14ac:dyDescent="0.2">
      <c r="A95" s="5"/>
      <c r="B95" s="27"/>
      <c r="C95" s="5"/>
      <c r="D95" s="5"/>
      <c r="E95" s="5"/>
      <c r="F95" s="5"/>
      <c r="G95" s="5"/>
      <c r="H95" s="5"/>
      <c r="I95" s="5"/>
      <c r="J95" s="5"/>
      <c r="K95" s="5"/>
      <c r="L95" s="5"/>
      <c r="V95"/>
    </row>
    <row r="96" spans="1:29" ht="16.5" customHeight="1" x14ac:dyDescent="0.2">
      <c r="A96" s="5"/>
      <c r="B96" s="27"/>
      <c r="C96" s="5"/>
      <c r="D96" s="5"/>
      <c r="E96" s="5"/>
      <c r="F96" s="5"/>
      <c r="G96" s="5"/>
      <c r="H96" s="5"/>
      <c r="I96" s="5"/>
      <c r="J96" s="5"/>
      <c r="K96" s="5"/>
      <c r="L96" s="5"/>
      <c r="V96"/>
    </row>
    <row r="97" spans="1:22" ht="16.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V97"/>
    </row>
    <row r="98" spans="1:22" ht="16.5" customHeight="1" x14ac:dyDescent="0.2">
      <c r="A98" s="5"/>
      <c r="B98" s="27"/>
      <c r="C98" s="5"/>
      <c r="D98" s="5"/>
      <c r="E98" s="5"/>
      <c r="F98" s="5"/>
      <c r="G98" s="5"/>
      <c r="H98" s="5"/>
      <c r="I98" s="5"/>
      <c r="J98" s="5"/>
      <c r="K98" s="5"/>
      <c r="L98" s="5"/>
      <c r="V98"/>
    </row>
    <row r="99" spans="1:22" ht="16.5" customHeight="1" x14ac:dyDescent="0.2">
      <c r="A99" s="5"/>
      <c r="B99" s="27"/>
      <c r="C99" s="5"/>
      <c r="D99" s="5"/>
      <c r="E99" s="5"/>
      <c r="F99" s="5"/>
      <c r="G99" s="5"/>
      <c r="H99" s="5"/>
      <c r="I99" s="5"/>
      <c r="J99" s="5"/>
      <c r="K99" s="5"/>
      <c r="L99" s="5"/>
      <c r="V99"/>
    </row>
    <row r="100" spans="1:22" ht="16.5" customHeight="1" x14ac:dyDescent="0.2">
      <c r="A100" s="5"/>
      <c r="B100" s="27"/>
      <c r="C100" s="5"/>
      <c r="D100" s="5"/>
      <c r="E100" s="5"/>
      <c r="F100" s="5"/>
      <c r="G100" s="5"/>
      <c r="H100" s="5"/>
      <c r="I100" s="5"/>
      <c r="J100" s="5"/>
      <c r="K100" s="5"/>
      <c r="L100" s="5"/>
      <c r="V100"/>
    </row>
    <row r="101" spans="1:22" ht="16.5" customHeight="1" x14ac:dyDescent="0.2">
      <c r="A101" s="5"/>
      <c r="B101" s="27"/>
      <c r="C101" s="5"/>
      <c r="D101" s="5"/>
      <c r="E101" s="5"/>
      <c r="F101" s="5"/>
      <c r="G101" s="5"/>
      <c r="H101" s="5"/>
      <c r="I101" s="5"/>
      <c r="J101" s="5"/>
      <c r="K101" s="5"/>
      <c r="L101" s="5"/>
      <c r="V101"/>
    </row>
    <row r="102" spans="1:22" ht="16.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V102"/>
    </row>
    <row r="103" spans="1:22" ht="16.5" customHeight="1" x14ac:dyDescent="0.2">
      <c r="A103" s="5"/>
      <c r="B103" s="27"/>
      <c r="C103" s="5"/>
      <c r="D103" s="5"/>
      <c r="E103" s="5"/>
      <c r="F103" s="5"/>
      <c r="G103" s="5"/>
      <c r="H103" s="5"/>
      <c r="I103" s="5"/>
      <c r="J103" s="5"/>
      <c r="K103" s="5"/>
      <c r="L103" s="5"/>
      <c r="V103"/>
    </row>
    <row r="104" spans="1:22" ht="16.5" customHeight="1" x14ac:dyDescent="0.2">
      <c r="A104" s="5"/>
      <c r="B104" s="27"/>
      <c r="C104" s="5"/>
      <c r="D104" s="5"/>
      <c r="E104" s="5"/>
      <c r="F104" s="5"/>
      <c r="G104" s="5"/>
      <c r="H104" s="5"/>
      <c r="I104" s="5"/>
      <c r="J104" s="5"/>
      <c r="K104" s="5"/>
      <c r="L104" s="5"/>
      <c r="V104"/>
    </row>
    <row r="105" spans="1:22" ht="16.5" customHeight="1" x14ac:dyDescent="0.2">
      <c r="A105" s="5"/>
      <c r="B105" s="27"/>
      <c r="C105" s="5"/>
      <c r="D105" s="5"/>
      <c r="E105" s="5"/>
      <c r="F105" s="5"/>
      <c r="G105" s="5"/>
      <c r="H105" s="5"/>
      <c r="I105" s="5"/>
      <c r="J105" s="5"/>
      <c r="K105" s="5"/>
      <c r="L105" s="5"/>
      <c r="V105"/>
    </row>
    <row r="106" spans="1:22" ht="16.5" customHeight="1" x14ac:dyDescent="0.2">
      <c r="A106" s="5"/>
      <c r="B106" s="27"/>
      <c r="C106" s="5"/>
      <c r="D106" s="5"/>
      <c r="E106" s="5"/>
      <c r="F106" s="5"/>
      <c r="G106" s="5"/>
      <c r="H106" s="5"/>
      <c r="I106" s="5"/>
      <c r="J106" s="5"/>
      <c r="K106" s="5"/>
      <c r="L106" s="5"/>
      <c r="V106"/>
    </row>
    <row r="107" spans="1:22" ht="16.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V107"/>
    </row>
    <row r="108" spans="1:22" ht="16.5" customHeight="1" x14ac:dyDescent="0.2">
      <c r="A108" s="5"/>
      <c r="B108" s="2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O108" s="5"/>
      <c r="P108" s="5"/>
      <c r="Q108" s="5"/>
      <c r="R108" s="5"/>
      <c r="S108" s="5"/>
      <c r="T108" s="5"/>
      <c r="V108"/>
    </row>
    <row r="109" spans="1:22" ht="16.5" customHeight="1" x14ac:dyDescent="0.2">
      <c r="A109" s="5"/>
      <c r="B109" s="2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O109" s="5"/>
      <c r="P109" s="5"/>
      <c r="Q109" s="5"/>
      <c r="R109" s="5"/>
      <c r="S109" s="5"/>
      <c r="T109" s="5"/>
      <c r="V109"/>
    </row>
    <row r="110" spans="1:22" ht="16.5" customHeight="1" x14ac:dyDescent="0.2">
      <c r="A110" s="5"/>
      <c r="B110" s="2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O110" s="5"/>
      <c r="P110" s="5"/>
      <c r="Q110" s="5"/>
      <c r="R110" s="5"/>
      <c r="S110" s="5"/>
      <c r="T110" s="5"/>
      <c r="V110"/>
    </row>
    <row r="111" spans="1:22" ht="16.5" customHeight="1" x14ac:dyDescent="0.2">
      <c r="A111" s="5"/>
      <c r="B111" s="2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O111" s="5"/>
      <c r="P111" s="5"/>
      <c r="Q111" s="5"/>
      <c r="R111" s="5"/>
      <c r="S111" s="5"/>
      <c r="T111" s="5"/>
      <c r="V111"/>
    </row>
    <row r="112" spans="1:22" ht="16.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O112" s="5"/>
      <c r="P112" s="5"/>
      <c r="Q112" s="5"/>
      <c r="R112" s="5"/>
      <c r="S112" s="5"/>
      <c r="T112" s="5"/>
      <c r="V112"/>
    </row>
    <row r="113" spans="1:22" ht="16.5" customHeight="1" x14ac:dyDescent="0.2">
      <c r="A113" s="5"/>
      <c r="B113" s="2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V113"/>
    </row>
    <row r="114" spans="1:22" ht="16.5" customHeight="1" x14ac:dyDescent="0.2">
      <c r="A114" s="5"/>
      <c r="B114" s="2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V114"/>
    </row>
    <row r="115" spans="1:22" ht="16.5" customHeight="1" x14ac:dyDescent="0.2">
      <c r="A115" s="5"/>
      <c r="B115" s="2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V115"/>
    </row>
    <row r="116" spans="1:22" ht="16.5" customHeight="1" x14ac:dyDescent="0.2">
      <c r="A116" s="5"/>
      <c r="B116" s="2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V116"/>
    </row>
    <row r="117" spans="1:22" ht="16.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V117"/>
    </row>
    <row r="118" spans="1:22" ht="16.5" customHeight="1" x14ac:dyDescent="0.2">
      <c r="A118" s="5"/>
      <c r="B118" s="2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2" ht="16.5" customHeight="1" x14ac:dyDescent="0.2">
      <c r="A119" s="5"/>
      <c r="B119" s="2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2" ht="16.5" customHeight="1" x14ac:dyDescent="0.2">
      <c r="A120" s="5"/>
      <c r="B120" s="2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2" ht="16.5" customHeight="1" x14ac:dyDescent="0.2">
      <c r="A121" s="5"/>
      <c r="B121" s="2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2" ht="16.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2" ht="16.5" customHeight="1" x14ac:dyDescent="0.2">
      <c r="A123" s="5"/>
      <c r="B123" s="2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2" ht="16.5" customHeight="1" x14ac:dyDescent="0.2">
      <c r="A124" s="5"/>
      <c r="B124" s="2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2" ht="16.5" customHeight="1" x14ac:dyDescent="0.2">
      <c r="A125" s="5"/>
      <c r="B125" s="2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2" ht="16.5" customHeight="1" x14ac:dyDescent="0.2">
      <c r="A126" s="5"/>
      <c r="B126" s="2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2" ht="16.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2" ht="16.5" customHeight="1" x14ac:dyDescent="0.2">
      <c r="A128" s="5"/>
      <c r="B128" s="2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ht="16.5" customHeight="1" x14ac:dyDescent="0.2">
      <c r="A129" s="5"/>
      <c r="B129" s="2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ht="16.5" customHeight="1" x14ac:dyDescent="0.2">
      <c r="A130" s="5"/>
      <c r="B130" s="2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ht="16.5" customHeight="1" x14ac:dyDescent="0.2">
      <c r="A131" s="5"/>
      <c r="B131" s="2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ht="16.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ht="16.5" customHeight="1" x14ac:dyDescent="0.2">
      <c r="A133" s="5"/>
      <c r="B133" s="2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ht="16.5" customHeight="1" x14ac:dyDescent="0.2">
      <c r="A134" s="5"/>
      <c r="B134" s="2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ht="16.5" customHeight="1" x14ac:dyDescent="0.2">
      <c r="A135" s="5"/>
      <c r="B135" s="2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ht="16.5" customHeight="1" x14ac:dyDescent="0.2">
      <c r="A136" s="5"/>
      <c r="B136" s="2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ht="16.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ht="16.5" customHeight="1" x14ac:dyDescent="0.2">
      <c r="A138" s="5"/>
      <c r="B138" s="2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ht="16.5" customHeight="1" x14ac:dyDescent="0.2">
      <c r="A139" s="5"/>
      <c r="B139" s="2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ht="16.5" customHeight="1" x14ac:dyDescent="0.2">
      <c r="A140" s="5"/>
      <c r="B140" s="2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ht="16.5" customHeight="1" x14ac:dyDescent="0.2">
      <c r="A141" s="5"/>
      <c r="B141" s="2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ht="16.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ht="16.5" customHeight="1" x14ac:dyDescent="0.2">
      <c r="A143" s="5"/>
      <c r="B143" s="2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ht="16.5" customHeight="1" x14ac:dyDescent="0.2">
      <c r="A144" s="5"/>
      <c r="B144" s="2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ht="16.5" customHeight="1" x14ac:dyDescent="0.2">
      <c r="A145" s="5"/>
      <c r="B145" s="2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ht="16.5" customHeight="1" x14ac:dyDescent="0.2">
      <c r="A146" s="5"/>
      <c r="B146" s="2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ht="16.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ht="16.5" customHeight="1" x14ac:dyDescent="0.2">
      <c r="A148" s="5"/>
      <c r="B148" s="2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ht="16.5" customHeight="1" x14ac:dyDescent="0.2">
      <c r="A149" s="5"/>
      <c r="B149" s="2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ht="16.5" customHeight="1" x14ac:dyDescent="0.2">
      <c r="A150" s="5"/>
      <c r="B150" s="2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ht="16.5" customHeight="1" x14ac:dyDescent="0.2">
      <c r="A151" s="5"/>
      <c r="B151" s="2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ht="16.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ht="16.5" customHeight="1" x14ac:dyDescent="0.2">
      <c r="A153" s="5"/>
      <c r="B153" s="2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ht="16.5" customHeight="1" x14ac:dyDescent="0.2">
      <c r="A154" s="5"/>
      <c r="B154" s="2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ht="16.5" customHeight="1" x14ac:dyDescent="0.2">
      <c r="A155" s="5"/>
      <c r="B155" s="2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ht="16.5" customHeight="1" x14ac:dyDescent="0.2">
      <c r="A156" s="5"/>
      <c r="B156" s="2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ht="16.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ht="16.5" customHeight="1" x14ac:dyDescent="0.2">
      <c r="A158" s="5"/>
      <c r="B158" s="2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ht="16.5" customHeight="1" x14ac:dyDescent="0.2">
      <c r="A159" s="5"/>
      <c r="B159" s="2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ht="16.5" customHeight="1" x14ac:dyDescent="0.2">
      <c r="A160" s="5"/>
      <c r="B160" s="2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ht="16.5" customHeight="1" x14ac:dyDescent="0.2">
      <c r="A161" s="5"/>
      <c r="B161" s="2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ht="16.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ht="16.5" customHeight="1" x14ac:dyDescent="0.2">
      <c r="A163" s="5"/>
      <c r="B163" s="2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ht="16.5" customHeight="1" x14ac:dyDescent="0.2">
      <c r="A164" s="5"/>
      <c r="B164" s="2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ht="16.5" customHeight="1" x14ac:dyDescent="0.2">
      <c r="A165" s="5"/>
      <c r="B165" s="2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ht="16.5" customHeight="1" x14ac:dyDescent="0.2">
      <c r="A166" s="5"/>
      <c r="B166" s="2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ht="16.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ht="16.5" customHeight="1" x14ac:dyDescent="0.2">
      <c r="A168" s="5"/>
      <c r="B168" s="2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ht="16.5" customHeight="1" x14ac:dyDescent="0.2">
      <c r="A169" s="5"/>
      <c r="B169" s="2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ht="16.5" customHeight="1" x14ac:dyDescent="0.2">
      <c r="A170" s="5"/>
      <c r="B170" s="2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ht="16.5" customHeight="1" x14ac:dyDescent="0.2">
      <c r="A171" s="5"/>
      <c r="B171" s="2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ht="16.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ht="16.5" customHeight="1" x14ac:dyDescent="0.2">
      <c r="A173" s="5"/>
      <c r="B173" s="2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ht="16.5" customHeight="1" x14ac:dyDescent="0.2">
      <c r="A174" s="5"/>
      <c r="B174" s="2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ht="16.5" customHeight="1" x14ac:dyDescent="0.2">
      <c r="A175" s="5"/>
      <c r="B175" s="2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ht="16.5" customHeight="1" x14ac:dyDescent="0.2">
      <c r="A176" s="5"/>
      <c r="B176" s="2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ht="16.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ht="16.5" customHeight="1" x14ac:dyDescent="0.2">
      <c r="A178" s="5"/>
      <c r="B178" s="2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ht="16.5" customHeight="1" x14ac:dyDescent="0.2">
      <c r="A179" s="5"/>
      <c r="B179" s="2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ht="16.5" customHeight="1" x14ac:dyDescent="0.2">
      <c r="A180" s="5"/>
      <c r="B180" s="2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ht="16.5" customHeight="1" x14ac:dyDescent="0.2">
      <c r="A181" s="5"/>
      <c r="B181" s="2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>
        <v>5</v>
      </c>
      <c r="N181" s="5" t="s">
        <v>537</v>
      </c>
      <c r="O181" s="5"/>
      <c r="P181" s="5"/>
      <c r="Q181" s="5"/>
      <c r="R181" s="5"/>
      <c r="S181" s="5"/>
      <c r="T181" s="5"/>
    </row>
  </sheetData>
  <phoneticPr fontId="1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52"/>
  <sheetViews>
    <sheetView workbookViewId="0">
      <pane xSplit="1" ySplit="3" topLeftCell="B61" activePane="bottomRight" state="frozen"/>
      <selection pane="topRight" activeCell="B1" sqref="B1"/>
      <selection pane="bottomLeft" activeCell="A4" sqref="A4"/>
      <selection pane="bottomRight" activeCell="D98" sqref="D98"/>
    </sheetView>
  </sheetViews>
  <sheetFormatPr defaultColWidth="9" defaultRowHeight="16.5" x14ac:dyDescent="0.3"/>
  <cols>
    <col min="1" max="1" width="9.625" style="25" customWidth="1"/>
    <col min="2" max="2" width="34.125" style="25" customWidth="1"/>
    <col min="3" max="3" width="21.625" style="25" bestFit="1" customWidth="1"/>
    <col min="4" max="4" width="14.875" style="25" customWidth="1"/>
    <col min="5" max="5" width="15.375" style="25" customWidth="1"/>
    <col min="6" max="6" width="57.625" style="25" customWidth="1"/>
    <col min="7" max="7" width="26.5" style="25" customWidth="1"/>
    <col min="8" max="8" width="27.375" style="25" customWidth="1"/>
    <col min="9" max="9" width="34" style="25" customWidth="1"/>
    <col min="10" max="10" width="27" style="5" bestFit="1" customWidth="1"/>
    <col min="11" max="20" width="9" style="5"/>
    <col min="21" max="21" width="41.5" style="5" bestFit="1" customWidth="1"/>
    <col min="22" max="22" width="9" style="5"/>
    <col min="23" max="23" width="13.125" style="5" bestFit="1" customWidth="1"/>
    <col min="24" max="24" width="28.5" style="5" bestFit="1" customWidth="1"/>
    <col min="25" max="16384" width="9" style="5"/>
  </cols>
  <sheetData>
    <row r="1" spans="1:27" x14ac:dyDescent="0.3">
      <c r="A1" s="5" t="s">
        <v>538</v>
      </c>
    </row>
    <row r="2" spans="1:27" x14ac:dyDescent="0.3">
      <c r="A2" s="5" t="s">
        <v>539</v>
      </c>
      <c r="C2" s="5" t="s">
        <v>540</v>
      </c>
      <c r="D2" s="5" t="s">
        <v>84</v>
      </c>
      <c r="E2" s="5" t="s">
        <v>85</v>
      </c>
      <c r="F2" s="5" t="s">
        <v>389</v>
      </c>
      <c r="G2" s="5" t="s">
        <v>541</v>
      </c>
      <c r="H2" s="5" t="s">
        <v>542</v>
      </c>
      <c r="I2" s="5" t="s">
        <v>747</v>
      </c>
      <c r="J2" s="5" t="s">
        <v>748</v>
      </c>
    </row>
    <row r="3" spans="1:27" ht="33.75" customHeight="1" x14ac:dyDescent="0.3">
      <c r="A3" s="5" t="s">
        <v>543</v>
      </c>
      <c r="B3" s="5" t="s">
        <v>544</v>
      </c>
      <c r="D3" s="5" t="s">
        <v>545</v>
      </c>
      <c r="E3" s="5" t="s">
        <v>546</v>
      </c>
      <c r="F3" s="5" t="s">
        <v>547</v>
      </c>
      <c r="G3" s="5" t="s">
        <v>548</v>
      </c>
      <c r="H3" s="5" t="s">
        <v>549</v>
      </c>
      <c r="I3" s="10" t="s">
        <v>756</v>
      </c>
      <c r="J3" s="5" t="s">
        <v>757</v>
      </c>
    </row>
    <row r="4" spans="1:27" x14ac:dyDescent="0.3">
      <c r="A4" s="6">
        <v>1</v>
      </c>
      <c r="B4" s="5">
        <v>1</v>
      </c>
      <c r="C4" s="6" t="s">
        <v>550</v>
      </c>
      <c r="F4" s="5" t="s">
        <v>551</v>
      </c>
      <c r="H4" s="7"/>
      <c r="I4" s="7"/>
    </row>
    <row r="5" spans="1:27" x14ac:dyDescent="0.3">
      <c r="A5" s="6">
        <v>2</v>
      </c>
      <c r="B5" s="5">
        <v>2</v>
      </c>
      <c r="C5" s="6" t="s">
        <v>550</v>
      </c>
      <c r="F5" s="5" t="s">
        <v>552</v>
      </c>
      <c r="H5" s="7"/>
      <c r="I5" s="7"/>
    </row>
    <row r="6" spans="1:27" x14ac:dyDescent="0.3">
      <c r="A6" s="6">
        <v>3</v>
      </c>
      <c r="B6" s="5">
        <v>3</v>
      </c>
      <c r="C6" s="6" t="s">
        <v>550</v>
      </c>
      <c r="F6" s="5" t="s">
        <v>552</v>
      </c>
      <c r="H6" s="7"/>
      <c r="I6" s="7"/>
    </row>
    <row r="7" spans="1:27" x14ac:dyDescent="0.3">
      <c r="A7" s="6">
        <v>4</v>
      </c>
      <c r="B7" s="5">
        <v>4</v>
      </c>
      <c r="C7" s="6"/>
      <c r="D7" s="5">
        <v>5</v>
      </c>
      <c r="E7" s="5">
        <v>50</v>
      </c>
      <c r="F7" s="5" t="s">
        <v>553</v>
      </c>
      <c r="G7" s="5"/>
      <c r="H7" s="7"/>
      <c r="I7" s="7"/>
    </row>
    <row r="8" spans="1:27" x14ac:dyDescent="0.3">
      <c r="A8" s="6">
        <v>5</v>
      </c>
      <c r="B8" s="5">
        <v>5</v>
      </c>
      <c r="C8" s="6"/>
      <c r="D8" s="5">
        <v>4</v>
      </c>
      <c r="E8" s="5">
        <v>50</v>
      </c>
      <c r="F8" s="5" t="s">
        <v>554</v>
      </c>
      <c r="G8" s="5"/>
      <c r="H8" s="7"/>
      <c r="I8" s="7"/>
    </row>
    <row r="9" spans="1:27" x14ac:dyDescent="0.3">
      <c r="A9" s="6">
        <v>6</v>
      </c>
      <c r="B9" s="5">
        <v>6</v>
      </c>
      <c r="C9" s="6"/>
      <c r="D9" s="5">
        <v>4</v>
      </c>
      <c r="E9" s="5">
        <v>50</v>
      </c>
      <c r="F9" s="5" t="s">
        <v>555</v>
      </c>
      <c r="G9" s="5"/>
      <c r="H9" s="7"/>
      <c r="I9" s="7"/>
      <c r="N9" s="5" t="s">
        <v>749</v>
      </c>
      <c r="O9" s="5" t="s">
        <v>750</v>
      </c>
      <c r="P9" s="5" t="s">
        <v>751</v>
      </c>
      <c r="Q9" s="5" t="s">
        <v>752</v>
      </c>
      <c r="R9" s="5" t="s">
        <v>753</v>
      </c>
      <c r="S9" s="5" t="s">
        <v>754</v>
      </c>
      <c r="T9" s="5" t="s">
        <v>755</v>
      </c>
      <c r="Y9" s="5">
        <v>1</v>
      </c>
      <c r="Z9" s="5">
        <v>2</v>
      </c>
      <c r="AA9" s="5">
        <v>3</v>
      </c>
    </row>
    <row r="10" spans="1:27" x14ac:dyDescent="0.3">
      <c r="A10" s="6">
        <v>7</v>
      </c>
      <c r="B10" s="5">
        <v>9</v>
      </c>
      <c r="C10" s="6"/>
      <c r="D10" s="5">
        <v>4</v>
      </c>
      <c r="E10" s="5">
        <v>50</v>
      </c>
      <c r="F10" s="5" t="s">
        <v>556</v>
      </c>
      <c r="G10" s="5"/>
      <c r="H10" s="7"/>
      <c r="I10" s="7"/>
      <c r="N10" s="5">
        <v>56108</v>
      </c>
      <c r="O10" s="5">
        <v>80</v>
      </c>
      <c r="P10" s="5">
        <v>20</v>
      </c>
      <c r="Q10" s="72">
        <v>56076</v>
      </c>
      <c r="R10" s="72">
        <v>56077</v>
      </c>
      <c r="S10" s="72">
        <v>56078</v>
      </c>
      <c r="T10" s="5">
        <v>1</v>
      </c>
      <c r="U10" s="5" t="str">
        <f>_xlfn.TEXTJOIN(";",TRUE,W10:X10)</f>
        <v>56108;80;20;1#56076:2#56077:3#56078</v>
      </c>
      <c r="W10" s="5" t="str">
        <f>_xlfn.TEXTJOIN(";",TRUE,N10:P10)</f>
        <v>56108;80;20</v>
      </c>
      <c r="X10" s="5" t="str">
        <f>_xlfn.TEXTJOIN(":",TRUE,Y10:AA10)</f>
        <v>1#56076:2#56077:3#56078</v>
      </c>
      <c r="Y10" s="5" t="str">
        <f>_xlfn.TEXTJOIN("#",TRUE,Y$9,Q10)</f>
        <v>1#56076</v>
      </c>
      <c r="Z10" s="5" t="str">
        <f t="shared" ref="Z10:Z13" si="0">_xlfn.TEXTJOIN("#",TRUE,Z$9,R10)</f>
        <v>2#56077</v>
      </c>
      <c r="AA10" s="5" t="str">
        <f>_xlfn.TEXTJOIN("#",TRUE,AA$9,S10)</f>
        <v>3#56078</v>
      </c>
    </row>
    <row r="11" spans="1:27" x14ac:dyDescent="0.3">
      <c r="A11" s="6">
        <v>8</v>
      </c>
      <c r="B11" s="5">
        <v>10</v>
      </c>
      <c r="C11" s="6"/>
      <c r="D11" s="5">
        <v>5</v>
      </c>
      <c r="E11" s="5">
        <v>50</v>
      </c>
      <c r="F11" s="5" t="s">
        <v>557</v>
      </c>
      <c r="G11" s="5"/>
      <c r="H11" s="7"/>
      <c r="I11" s="7"/>
      <c r="N11" s="5">
        <v>56109</v>
      </c>
      <c r="O11" s="5">
        <v>80</v>
      </c>
      <c r="P11" s="5">
        <v>20</v>
      </c>
      <c r="Q11" s="72">
        <v>56081</v>
      </c>
      <c r="R11" s="72">
        <v>56082</v>
      </c>
      <c r="S11" s="72">
        <v>56083</v>
      </c>
      <c r="T11" s="5">
        <v>2</v>
      </c>
      <c r="U11" s="5" t="str">
        <f t="shared" ref="U11:U13" si="1">_xlfn.TEXTJOIN(";",TRUE,W11:X11)</f>
        <v>56109;80;20;1#56081:2#56082:3#56083</v>
      </c>
      <c r="W11" s="5" t="str">
        <f t="shared" ref="W11:W13" si="2">_xlfn.TEXTJOIN(";",TRUE,N11:P11)</f>
        <v>56109;80;20</v>
      </c>
      <c r="X11" s="5" t="str">
        <f t="shared" ref="X11:X13" si="3">_xlfn.TEXTJOIN(":",TRUE,Y11:AA11)</f>
        <v>1#56081:2#56082:3#56083</v>
      </c>
      <c r="Y11" s="5" t="str">
        <f t="shared" ref="Y11:Y13" si="4">_xlfn.TEXTJOIN("#",TRUE,Y$9,Q11)</f>
        <v>1#56081</v>
      </c>
      <c r="Z11" s="5" t="str">
        <f t="shared" si="0"/>
        <v>2#56082</v>
      </c>
      <c r="AA11" s="5" t="str">
        <f>_xlfn.TEXTJOIN("#",TRUE,AA$9,S11)</f>
        <v>3#56083</v>
      </c>
    </row>
    <row r="12" spans="1:27" x14ac:dyDescent="0.3">
      <c r="A12" s="6">
        <v>9</v>
      </c>
      <c r="B12" s="5">
        <v>11</v>
      </c>
      <c r="C12" s="6"/>
      <c r="D12" s="5">
        <v>5</v>
      </c>
      <c r="E12" s="5">
        <v>50</v>
      </c>
      <c r="F12" s="5" t="s">
        <v>558</v>
      </c>
      <c r="G12" s="5"/>
      <c r="H12" s="7"/>
      <c r="I12" s="7"/>
      <c r="N12" s="5">
        <v>56110</v>
      </c>
      <c r="O12" s="5">
        <v>80</v>
      </c>
      <c r="P12" s="5">
        <v>20</v>
      </c>
      <c r="Q12" s="72">
        <v>56086</v>
      </c>
      <c r="R12" s="72">
        <v>56087</v>
      </c>
      <c r="S12" s="72">
        <v>56088</v>
      </c>
      <c r="T12" s="5">
        <v>3</v>
      </c>
      <c r="U12" s="5" t="str">
        <f t="shared" si="1"/>
        <v>56110;80;20;1#56086:2#56087:3#56088</v>
      </c>
      <c r="W12" s="5" t="str">
        <f t="shared" si="2"/>
        <v>56110;80;20</v>
      </c>
      <c r="X12" s="5" t="str">
        <f t="shared" si="3"/>
        <v>1#56086:2#56087:3#56088</v>
      </c>
      <c r="Y12" s="5" t="str">
        <f t="shared" si="4"/>
        <v>1#56086</v>
      </c>
      <c r="Z12" s="5" t="str">
        <f t="shared" si="0"/>
        <v>2#56087</v>
      </c>
      <c r="AA12" s="5" t="str">
        <f>_xlfn.TEXTJOIN("#",TRUE,AA$9,S12)</f>
        <v>3#56088</v>
      </c>
    </row>
    <row r="13" spans="1:27" x14ac:dyDescent="0.3">
      <c r="A13" s="6">
        <v>10</v>
      </c>
      <c r="B13" s="5">
        <v>12</v>
      </c>
      <c r="C13" s="6"/>
      <c r="D13" s="5">
        <v>5</v>
      </c>
      <c r="E13" s="5">
        <v>50</v>
      </c>
      <c r="F13" s="5" t="s">
        <v>559</v>
      </c>
      <c r="G13" s="5"/>
      <c r="H13" s="7"/>
      <c r="I13" s="7"/>
      <c r="N13" s="5">
        <v>56111</v>
      </c>
      <c r="O13" s="5">
        <v>80</v>
      </c>
      <c r="P13" s="5">
        <v>20</v>
      </c>
      <c r="Q13" s="72">
        <v>56076</v>
      </c>
      <c r="R13" s="72">
        <v>56081</v>
      </c>
      <c r="S13" s="72">
        <v>56086</v>
      </c>
      <c r="T13" s="5">
        <v>3</v>
      </c>
      <c r="U13" s="5" t="str">
        <f t="shared" si="1"/>
        <v>56111;80;20;1#56076:2#56081:3#56086</v>
      </c>
      <c r="W13" s="5" t="str">
        <f t="shared" si="2"/>
        <v>56111;80;20</v>
      </c>
      <c r="X13" s="5" t="str">
        <f t="shared" si="3"/>
        <v>1#56076:2#56081:3#56086</v>
      </c>
      <c r="Y13" s="5" t="str">
        <f t="shared" si="4"/>
        <v>1#56076</v>
      </c>
      <c r="Z13" s="5" t="str">
        <f t="shared" si="0"/>
        <v>2#56081</v>
      </c>
      <c r="AA13" s="5" t="str">
        <f>_xlfn.TEXTJOIN("#",TRUE,AA$9,S13)</f>
        <v>3#56086</v>
      </c>
    </row>
    <row r="14" spans="1:27" x14ac:dyDescent="0.3">
      <c r="A14" s="6">
        <v>11</v>
      </c>
      <c r="B14" s="5">
        <v>13</v>
      </c>
      <c r="C14" s="6"/>
      <c r="D14" s="5">
        <v>5</v>
      </c>
      <c r="E14" s="5">
        <v>50</v>
      </c>
      <c r="F14" s="5" t="s">
        <v>552</v>
      </c>
      <c r="G14" s="5"/>
      <c r="H14" s="7"/>
      <c r="I14" s="7"/>
    </row>
    <row r="15" spans="1:27" x14ac:dyDescent="0.3">
      <c r="A15" s="8">
        <v>100</v>
      </c>
      <c r="B15" s="8">
        <v>21</v>
      </c>
      <c r="C15" s="8" t="s">
        <v>560</v>
      </c>
      <c r="D15" s="8">
        <v>5</v>
      </c>
      <c r="E15" s="8">
        <v>50</v>
      </c>
      <c r="F15" s="8"/>
      <c r="G15" s="8"/>
      <c r="H15" s="7"/>
      <c r="I15" s="7"/>
      <c r="N15" s="5" t="str">
        <f>_xlfn.TEXTJOIN("|",TRUE,U10:U13)</f>
        <v>56108;80;20;1#56076:2#56077:3#56078|56109;80;20;1#56081:2#56082:3#56083|56110;80;20;1#56086:2#56087:3#56088|56111;80;20;1#56076:2#56081:3#56086</v>
      </c>
    </row>
    <row r="16" spans="1:27" x14ac:dyDescent="0.3">
      <c r="A16" s="8">
        <v>101</v>
      </c>
      <c r="B16" s="8">
        <v>61</v>
      </c>
      <c r="C16" s="8" t="s">
        <v>560</v>
      </c>
      <c r="D16" s="8">
        <v>5</v>
      </c>
      <c r="E16" s="8">
        <v>50</v>
      </c>
      <c r="F16" s="8"/>
      <c r="H16" s="7"/>
      <c r="I16" s="7"/>
    </row>
    <row r="17" spans="1:14" x14ac:dyDescent="0.3">
      <c r="A17" s="8">
        <v>102</v>
      </c>
      <c r="B17" s="8">
        <v>55</v>
      </c>
      <c r="C17" s="8" t="s">
        <v>560</v>
      </c>
      <c r="D17" s="8">
        <v>5</v>
      </c>
      <c r="E17" s="8">
        <v>50</v>
      </c>
      <c r="F17" s="8"/>
      <c r="H17" s="7"/>
      <c r="I17" s="7"/>
    </row>
    <row r="18" spans="1:14" x14ac:dyDescent="0.3">
      <c r="A18" s="8">
        <v>103</v>
      </c>
      <c r="B18" s="8">
        <v>3</v>
      </c>
      <c r="C18" s="8" t="s">
        <v>560</v>
      </c>
      <c r="D18" s="8">
        <v>5</v>
      </c>
      <c r="E18" s="8">
        <v>50</v>
      </c>
      <c r="F18" s="8"/>
      <c r="H18" s="7"/>
      <c r="I18" s="7"/>
      <c r="M18" s="73" t="s">
        <v>762</v>
      </c>
      <c r="N18" s="5" t="s">
        <v>758</v>
      </c>
    </row>
    <row r="19" spans="1:14" x14ac:dyDescent="0.3">
      <c r="A19" s="8">
        <v>104</v>
      </c>
      <c r="B19" s="8">
        <v>22</v>
      </c>
      <c r="C19" s="8" t="s">
        <v>560</v>
      </c>
      <c r="D19" s="8">
        <v>5</v>
      </c>
      <c r="E19" s="8">
        <v>50</v>
      </c>
      <c r="F19" s="8"/>
      <c r="H19" s="7"/>
      <c r="I19" s="7"/>
      <c r="M19" s="73" t="s">
        <v>763</v>
      </c>
      <c r="N19" s="5" t="s">
        <v>759</v>
      </c>
    </row>
    <row r="20" spans="1:14" x14ac:dyDescent="0.3">
      <c r="A20" s="8">
        <v>105</v>
      </c>
      <c r="B20" s="8">
        <v>2</v>
      </c>
      <c r="C20" s="8" t="s">
        <v>560</v>
      </c>
      <c r="D20" s="8">
        <v>5</v>
      </c>
      <c r="E20" s="8">
        <v>50</v>
      </c>
      <c r="F20" s="8"/>
      <c r="H20" s="7"/>
      <c r="I20" s="7"/>
      <c r="M20" s="73" t="s">
        <v>764</v>
      </c>
      <c r="N20" s="5" t="s">
        <v>760</v>
      </c>
    </row>
    <row r="21" spans="1:14" x14ac:dyDescent="0.3">
      <c r="A21" s="8">
        <v>106</v>
      </c>
      <c r="B21" s="8">
        <v>13</v>
      </c>
      <c r="C21" s="8" t="s">
        <v>560</v>
      </c>
      <c r="D21" s="8">
        <v>5</v>
      </c>
      <c r="E21" s="8">
        <v>50</v>
      </c>
      <c r="F21" s="8"/>
      <c r="H21" s="7"/>
      <c r="I21" s="7"/>
      <c r="M21" s="73" t="s">
        <v>765</v>
      </c>
      <c r="N21" s="5" t="s">
        <v>761</v>
      </c>
    </row>
    <row r="22" spans="1:14" x14ac:dyDescent="0.3">
      <c r="A22" s="8">
        <v>107</v>
      </c>
      <c r="B22" s="8">
        <v>34</v>
      </c>
      <c r="C22" s="8" t="s">
        <v>560</v>
      </c>
      <c r="D22" s="8">
        <v>5</v>
      </c>
      <c r="E22" s="8">
        <v>50</v>
      </c>
      <c r="F22" s="8"/>
      <c r="H22" s="7"/>
      <c r="I22" s="7"/>
    </row>
    <row r="23" spans="1:14" x14ac:dyDescent="0.3">
      <c r="A23" s="8">
        <v>108</v>
      </c>
      <c r="B23" s="8">
        <v>3</v>
      </c>
      <c r="C23" s="8" t="s">
        <v>560</v>
      </c>
      <c r="D23" s="8">
        <v>5</v>
      </c>
      <c r="E23" s="8">
        <v>50</v>
      </c>
      <c r="F23" s="8"/>
      <c r="H23" s="7"/>
      <c r="I23" s="7"/>
      <c r="N23" s="5" t="s">
        <v>766</v>
      </c>
    </row>
    <row r="24" spans="1:14" x14ac:dyDescent="0.3">
      <c r="A24" s="8">
        <v>109</v>
      </c>
      <c r="B24" s="8">
        <v>4</v>
      </c>
      <c r="C24" s="8" t="s">
        <v>560</v>
      </c>
      <c r="D24" s="8">
        <v>5</v>
      </c>
      <c r="E24" s="8">
        <v>50</v>
      </c>
      <c r="F24" s="8"/>
      <c r="H24" s="7"/>
      <c r="I24" s="7"/>
    </row>
    <row r="25" spans="1:14" x14ac:dyDescent="0.3">
      <c r="A25" s="8">
        <v>110</v>
      </c>
      <c r="B25" s="8">
        <v>11</v>
      </c>
      <c r="C25" s="8" t="s">
        <v>560</v>
      </c>
      <c r="D25" s="8">
        <v>5</v>
      </c>
      <c r="E25" s="8">
        <v>50</v>
      </c>
      <c r="F25" s="8"/>
      <c r="H25" s="7"/>
      <c r="I25" s="7"/>
    </row>
    <row r="26" spans="1:14" x14ac:dyDescent="0.3">
      <c r="A26" s="8">
        <v>111</v>
      </c>
      <c r="B26" s="8">
        <v>20</v>
      </c>
      <c r="C26" s="8" t="s">
        <v>560</v>
      </c>
      <c r="D26" s="8">
        <v>5</v>
      </c>
      <c r="E26" s="8">
        <v>50</v>
      </c>
      <c r="F26" s="8"/>
      <c r="H26" s="7"/>
      <c r="I26" s="7"/>
    </row>
    <row r="27" spans="1:14" x14ac:dyDescent="0.3">
      <c r="A27" s="8">
        <v>112</v>
      </c>
      <c r="B27" s="8">
        <v>64</v>
      </c>
      <c r="C27" s="8" t="s">
        <v>560</v>
      </c>
      <c r="D27" s="8">
        <v>5</v>
      </c>
      <c r="E27" s="8">
        <v>50</v>
      </c>
      <c r="F27" s="8"/>
      <c r="H27" s="7"/>
      <c r="I27" s="7"/>
    </row>
    <row r="28" spans="1:14" x14ac:dyDescent="0.3">
      <c r="A28" s="8">
        <v>113</v>
      </c>
      <c r="B28" s="8">
        <v>19</v>
      </c>
      <c r="C28" s="8" t="s">
        <v>560</v>
      </c>
      <c r="D28" s="8">
        <v>5</v>
      </c>
      <c r="E28" s="8">
        <v>50</v>
      </c>
      <c r="F28" s="8"/>
      <c r="H28" s="7"/>
      <c r="I28" s="7"/>
    </row>
    <row r="29" spans="1:14" x14ac:dyDescent="0.3">
      <c r="A29" s="8">
        <v>114</v>
      </c>
      <c r="B29" s="8">
        <v>3</v>
      </c>
      <c r="C29" s="8" t="s">
        <v>560</v>
      </c>
      <c r="D29" s="8">
        <v>5</v>
      </c>
      <c r="E29" s="8">
        <v>50</v>
      </c>
      <c r="F29" s="8"/>
      <c r="H29" s="7"/>
      <c r="I29" s="7"/>
    </row>
    <row r="30" spans="1:14" x14ac:dyDescent="0.3">
      <c r="A30" s="8">
        <v>115</v>
      </c>
      <c r="B30" s="8">
        <v>12</v>
      </c>
      <c r="C30" s="8" t="s">
        <v>560</v>
      </c>
      <c r="D30" s="8">
        <v>5</v>
      </c>
      <c r="E30" s="8">
        <v>50</v>
      </c>
      <c r="F30" s="8"/>
      <c r="H30" s="7"/>
      <c r="I30" s="7"/>
    </row>
    <row r="31" spans="1:14" x14ac:dyDescent="0.3">
      <c r="A31" s="8">
        <v>116</v>
      </c>
      <c r="B31" s="8">
        <v>6</v>
      </c>
      <c r="C31" s="8" t="s">
        <v>560</v>
      </c>
      <c r="D31" s="8">
        <v>5</v>
      </c>
      <c r="E31" s="8">
        <v>50</v>
      </c>
      <c r="F31" s="8"/>
      <c r="H31" s="7"/>
      <c r="I31" s="7"/>
    </row>
    <row r="32" spans="1:14" x14ac:dyDescent="0.3">
      <c r="A32" s="8">
        <v>117</v>
      </c>
      <c r="B32" s="8">
        <v>23</v>
      </c>
      <c r="C32" s="8" t="s">
        <v>560</v>
      </c>
      <c r="D32" s="8">
        <v>5</v>
      </c>
      <c r="E32" s="8">
        <v>50</v>
      </c>
      <c r="F32" s="8"/>
      <c r="H32" s="7"/>
      <c r="I32" s="7"/>
    </row>
    <row r="33" spans="1:9" x14ac:dyDescent="0.3">
      <c r="A33" s="8">
        <v>118</v>
      </c>
      <c r="B33" s="8">
        <v>8</v>
      </c>
      <c r="C33" s="8" t="s">
        <v>560</v>
      </c>
      <c r="D33" s="8">
        <v>5</v>
      </c>
      <c r="E33" s="8">
        <v>50</v>
      </c>
      <c r="F33" s="8"/>
      <c r="H33" s="7"/>
      <c r="I33" s="7"/>
    </row>
    <row r="34" spans="1:9" x14ac:dyDescent="0.3">
      <c r="A34" s="8">
        <v>119</v>
      </c>
      <c r="B34" s="8">
        <v>13</v>
      </c>
      <c r="C34" s="8" t="s">
        <v>560</v>
      </c>
      <c r="D34" s="8">
        <v>5</v>
      </c>
      <c r="E34" s="8">
        <v>50</v>
      </c>
      <c r="F34" s="8"/>
      <c r="H34" s="7"/>
      <c r="I34" s="7"/>
    </row>
    <row r="35" spans="1:9" x14ac:dyDescent="0.3">
      <c r="A35" s="8">
        <v>120</v>
      </c>
      <c r="B35" s="8">
        <v>11</v>
      </c>
      <c r="C35" s="8" t="s">
        <v>560</v>
      </c>
      <c r="D35" s="8">
        <v>5</v>
      </c>
      <c r="E35" s="8">
        <v>50</v>
      </c>
      <c r="F35" s="8"/>
      <c r="H35" s="7"/>
      <c r="I35" s="7"/>
    </row>
    <row r="36" spans="1:9" x14ac:dyDescent="0.3">
      <c r="A36" s="8">
        <v>121</v>
      </c>
      <c r="B36" s="8">
        <v>17</v>
      </c>
      <c r="C36" s="8" t="s">
        <v>560</v>
      </c>
      <c r="D36" s="8">
        <v>5</v>
      </c>
      <c r="E36" s="8">
        <v>50</v>
      </c>
      <c r="F36" s="8"/>
      <c r="H36" s="7"/>
      <c r="I36" s="7"/>
    </row>
    <row r="37" spans="1:9" x14ac:dyDescent="0.3">
      <c r="A37" s="8">
        <v>122</v>
      </c>
      <c r="B37" s="8">
        <v>19</v>
      </c>
      <c r="C37" s="8" t="s">
        <v>560</v>
      </c>
      <c r="D37" s="8">
        <v>5</v>
      </c>
      <c r="E37" s="8">
        <v>50</v>
      </c>
      <c r="F37" s="8"/>
      <c r="H37" s="7"/>
      <c r="I37" s="7"/>
    </row>
    <row r="38" spans="1:9" x14ac:dyDescent="0.3">
      <c r="A38" s="8">
        <v>123</v>
      </c>
      <c r="B38" s="8">
        <v>26</v>
      </c>
      <c r="C38" s="8" t="s">
        <v>560</v>
      </c>
      <c r="D38" s="8">
        <v>5</v>
      </c>
      <c r="E38" s="8">
        <v>50</v>
      </c>
      <c r="F38" s="8"/>
      <c r="H38" s="7"/>
      <c r="I38" s="7"/>
    </row>
    <row r="39" spans="1:9" x14ac:dyDescent="0.3">
      <c r="A39" s="8">
        <v>124</v>
      </c>
      <c r="B39" s="8">
        <v>22</v>
      </c>
      <c r="C39" s="8" t="s">
        <v>560</v>
      </c>
      <c r="D39" s="8">
        <v>5</v>
      </c>
      <c r="E39" s="8">
        <v>50</v>
      </c>
      <c r="F39" s="8"/>
      <c r="H39" s="7"/>
      <c r="I39" s="7"/>
    </row>
    <row r="40" spans="1:9" x14ac:dyDescent="0.3">
      <c r="A40" s="8">
        <v>125</v>
      </c>
      <c r="B40" s="8">
        <v>55</v>
      </c>
      <c r="C40" s="8" t="s">
        <v>560</v>
      </c>
      <c r="D40" s="8">
        <v>5</v>
      </c>
      <c r="E40" s="8">
        <v>50</v>
      </c>
      <c r="F40" s="8"/>
      <c r="H40" s="7"/>
      <c r="I40" s="7"/>
    </row>
    <row r="41" spans="1:9" x14ac:dyDescent="0.3">
      <c r="A41" s="8">
        <v>126</v>
      </c>
      <c r="B41" s="8">
        <v>3</v>
      </c>
      <c r="C41" s="8" t="s">
        <v>560</v>
      </c>
      <c r="D41" s="8">
        <v>5</v>
      </c>
      <c r="E41" s="8">
        <v>50</v>
      </c>
      <c r="F41" s="8"/>
      <c r="H41" s="7"/>
      <c r="I41" s="7"/>
    </row>
    <row r="42" spans="1:9" x14ac:dyDescent="0.3">
      <c r="A42" s="8">
        <v>127</v>
      </c>
      <c r="B42" s="8">
        <v>23</v>
      </c>
      <c r="C42" s="8" t="s">
        <v>560</v>
      </c>
      <c r="D42" s="8">
        <v>5</v>
      </c>
      <c r="E42" s="8">
        <v>50</v>
      </c>
      <c r="F42" s="8"/>
      <c r="H42" s="7"/>
      <c r="I42" s="7"/>
    </row>
    <row r="43" spans="1:9" x14ac:dyDescent="0.3">
      <c r="A43" s="8">
        <v>128</v>
      </c>
      <c r="B43" s="8">
        <v>12</v>
      </c>
      <c r="C43" s="8" t="s">
        <v>560</v>
      </c>
      <c r="D43" s="8">
        <v>5</v>
      </c>
      <c r="E43" s="8">
        <v>50</v>
      </c>
      <c r="F43" s="8"/>
      <c r="H43" s="7"/>
      <c r="I43" s="7"/>
    </row>
    <row r="44" spans="1:9" x14ac:dyDescent="0.3">
      <c r="A44" s="8">
        <v>129</v>
      </c>
      <c r="B44" s="8">
        <v>26</v>
      </c>
      <c r="C44" s="8" t="s">
        <v>560</v>
      </c>
      <c r="D44" s="8">
        <v>5</v>
      </c>
      <c r="E44" s="8">
        <v>50</v>
      </c>
      <c r="F44" s="8"/>
      <c r="H44" s="7"/>
      <c r="I44" s="7"/>
    </row>
    <row r="45" spans="1:9" x14ac:dyDescent="0.3">
      <c r="A45" s="8">
        <v>130</v>
      </c>
      <c r="B45" s="8">
        <v>36</v>
      </c>
      <c r="C45" s="8" t="s">
        <v>560</v>
      </c>
      <c r="D45" s="8">
        <v>5</v>
      </c>
      <c r="E45" s="8">
        <v>50</v>
      </c>
      <c r="F45" s="8"/>
      <c r="H45" s="7"/>
      <c r="I45" s="7"/>
    </row>
    <row r="46" spans="1:9" x14ac:dyDescent="0.3">
      <c r="A46" s="8">
        <v>131</v>
      </c>
      <c r="B46" s="8">
        <v>41</v>
      </c>
      <c r="C46" s="8" t="s">
        <v>560</v>
      </c>
      <c r="D46" s="8">
        <v>5</v>
      </c>
      <c r="E46" s="8">
        <v>50</v>
      </c>
      <c r="F46" s="8"/>
      <c r="H46" s="7"/>
      <c r="I46" s="7"/>
    </row>
    <row r="47" spans="1:9" x14ac:dyDescent="0.3">
      <c r="A47" s="8">
        <v>132</v>
      </c>
      <c r="B47" s="8">
        <v>32</v>
      </c>
      <c r="C47" s="8" t="s">
        <v>560</v>
      </c>
      <c r="D47" s="8">
        <v>5</v>
      </c>
      <c r="E47" s="8">
        <v>50</v>
      </c>
      <c r="F47" s="8"/>
      <c r="H47" s="7"/>
      <c r="I47" s="7"/>
    </row>
    <row r="48" spans="1:9" x14ac:dyDescent="0.3">
      <c r="A48" s="8">
        <v>133</v>
      </c>
      <c r="B48" s="8">
        <v>34</v>
      </c>
      <c r="C48" s="8" t="s">
        <v>560</v>
      </c>
      <c r="D48" s="8">
        <v>5</v>
      </c>
      <c r="E48" s="8">
        <v>50</v>
      </c>
      <c r="F48" s="8"/>
      <c r="H48" s="7"/>
      <c r="I48" s="7"/>
    </row>
    <row r="49" spans="1:9" x14ac:dyDescent="0.3">
      <c r="A49" s="8">
        <v>134</v>
      </c>
      <c r="B49" s="8">
        <v>22</v>
      </c>
      <c r="C49" s="8" t="s">
        <v>560</v>
      </c>
      <c r="D49" s="8">
        <v>5</v>
      </c>
      <c r="E49" s="8">
        <v>50</v>
      </c>
      <c r="F49" s="8"/>
      <c r="H49" s="7"/>
      <c r="I49" s="7"/>
    </row>
    <row r="50" spans="1:9" x14ac:dyDescent="0.3">
      <c r="A50" s="8">
        <v>135</v>
      </c>
      <c r="B50" s="8">
        <v>13</v>
      </c>
      <c r="C50" s="8" t="s">
        <v>560</v>
      </c>
      <c r="D50" s="8">
        <v>5</v>
      </c>
      <c r="E50" s="8">
        <v>50</v>
      </c>
      <c r="F50" s="8"/>
      <c r="H50" s="7"/>
      <c r="I50" s="7"/>
    </row>
    <row r="51" spans="1:9" x14ac:dyDescent="0.3">
      <c r="A51" s="8">
        <v>136</v>
      </c>
      <c r="B51" s="8">
        <v>19</v>
      </c>
      <c r="C51" s="8" t="s">
        <v>560</v>
      </c>
      <c r="D51" s="8">
        <v>5</v>
      </c>
      <c r="E51" s="8">
        <v>50</v>
      </c>
      <c r="F51" s="8"/>
      <c r="H51" s="7"/>
      <c r="I51" s="7"/>
    </row>
    <row r="52" spans="1:9" x14ac:dyDescent="0.3">
      <c r="A52" s="8">
        <v>137</v>
      </c>
      <c r="B52" s="8">
        <v>20</v>
      </c>
      <c r="C52" s="8" t="s">
        <v>560</v>
      </c>
      <c r="D52" s="8">
        <v>5</v>
      </c>
      <c r="E52" s="8">
        <v>50</v>
      </c>
      <c r="F52" s="8"/>
      <c r="H52" s="7"/>
      <c r="I52" s="7"/>
    </row>
    <row r="53" spans="1:9" x14ac:dyDescent="0.3">
      <c r="A53" s="8">
        <v>138</v>
      </c>
      <c r="B53" s="8">
        <v>11</v>
      </c>
      <c r="C53" s="8" t="s">
        <v>560</v>
      </c>
      <c r="D53" s="8">
        <v>5</v>
      </c>
      <c r="E53" s="8">
        <v>50</v>
      </c>
      <c r="F53" s="8"/>
      <c r="H53" s="7"/>
      <c r="I53" s="7"/>
    </row>
    <row r="54" spans="1:9" x14ac:dyDescent="0.3">
      <c r="A54" s="8">
        <v>139</v>
      </c>
      <c r="B54" s="8">
        <v>2</v>
      </c>
      <c r="C54" s="8" t="s">
        <v>560</v>
      </c>
      <c r="D54" s="8">
        <v>5</v>
      </c>
      <c r="E54" s="8">
        <v>50</v>
      </c>
      <c r="F54" s="8"/>
      <c r="H54" s="7"/>
      <c r="I54" s="7"/>
    </row>
    <row r="55" spans="1:9" x14ac:dyDescent="0.3">
      <c r="A55" s="8">
        <v>140</v>
      </c>
      <c r="B55" s="8">
        <v>61</v>
      </c>
      <c r="C55" s="8" t="s">
        <v>560</v>
      </c>
      <c r="D55" s="8">
        <v>5</v>
      </c>
      <c r="E55" s="8">
        <v>50</v>
      </c>
      <c r="F55" s="8"/>
      <c r="H55" s="7"/>
      <c r="I55" s="7"/>
    </row>
    <row r="56" spans="1:9" x14ac:dyDescent="0.3">
      <c r="A56" s="8">
        <v>141</v>
      </c>
      <c r="B56" s="8">
        <v>22</v>
      </c>
      <c r="C56" s="8" t="s">
        <v>560</v>
      </c>
      <c r="D56" s="8">
        <v>5</v>
      </c>
      <c r="E56" s="8">
        <v>50</v>
      </c>
      <c r="F56" s="8"/>
      <c r="H56" s="7"/>
      <c r="I56" s="7"/>
    </row>
    <row r="57" spans="1:9" x14ac:dyDescent="0.3">
      <c r="A57" s="8">
        <v>142</v>
      </c>
      <c r="B57" s="8">
        <v>11</v>
      </c>
      <c r="C57" s="8" t="s">
        <v>560</v>
      </c>
      <c r="D57" s="8">
        <v>5</v>
      </c>
      <c r="E57" s="8">
        <v>50</v>
      </c>
      <c r="F57" s="8"/>
      <c r="H57" s="7"/>
      <c r="I57" s="7"/>
    </row>
    <row r="58" spans="1:9" x14ac:dyDescent="0.3">
      <c r="A58" s="8">
        <v>143</v>
      </c>
      <c r="B58" s="8">
        <v>4</v>
      </c>
      <c r="C58" s="8" t="s">
        <v>560</v>
      </c>
      <c r="D58" s="8">
        <v>5</v>
      </c>
      <c r="E58" s="8">
        <v>50</v>
      </c>
      <c r="F58" s="8"/>
      <c r="H58" s="7"/>
      <c r="I58" s="7"/>
    </row>
    <row r="59" spans="1:9" x14ac:dyDescent="0.3">
      <c r="A59" s="8">
        <v>144</v>
      </c>
      <c r="B59" s="8">
        <v>3</v>
      </c>
      <c r="C59" s="8" t="s">
        <v>560</v>
      </c>
      <c r="D59" s="8">
        <v>5</v>
      </c>
      <c r="E59" s="8">
        <v>50</v>
      </c>
      <c r="F59" s="8"/>
      <c r="H59" s="7"/>
      <c r="I59" s="7"/>
    </row>
    <row r="60" spans="1:9" x14ac:dyDescent="0.3">
      <c r="A60" s="8">
        <v>145</v>
      </c>
      <c r="B60" s="8">
        <v>93</v>
      </c>
      <c r="C60" s="8" t="s">
        <v>560</v>
      </c>
      <c r="D60" s="8">
        <v>5</v>
      </c>
      <c r="E60" s="8">
        <v>50</v>
      </c>
      <c r="F60" s="8"/>
      <c r="H60" s="7"/>
      <c r="I60" s="7"/>
    </row>
    <row r="61" spans="1:9" x14ac:dyDescent="0.3">
      <c r="A61" s="8">
        <v>146</v>
      </c>
      <c r="B61" s="8">
        <v>63</v>
      </c>
      <c r="C61" s="8" t="s">
        <v>560</v>
      </c>
      <c r="D61" s="8">
        <v>5</v>
      </c>
      <c r="E61" s="8">
        <v>50</v>
      </c>
      <c r="F61" s="8"/>
      <c r="H61" s="7"/>
      <c r="I61" s="7"/>
    </row>
    <row r="62" spans="1:9" x14ac:dyDescent="0.3">
      <c r="A62" s="9">
        <v>201</v>
      </c>
      <c r="B62" s="9">
        <v>21</v>
      </c>
      <c r="C62" s="9" t="s">
        <v>561</v>
      </c>
      <c r="D62" s="9">
        <v>5</v>
      </c>
      <c r="E62" s="9">
        <v>120</v>
      </c>
      <c r="F62" s="9" t="s">
        <v>562</v>
      </c>
      <c r="G62" s="9">
        <v>51</v>
      </c>
      <c r="H62" s="7"/>
      <c r="I62" s="7"/>
    </row>
    <row r="63" spans="1:9" x14ac:dyDescent="0.3">
      <c r="A63" s="9">
        <v>202</v>
      </c>
      <c r="B63" s="9">
        <v>91</v>
      </c>
      <c r="C63" s="9" t="s">
        <v>561</v>
      </c>
      <c r="D63" s="9">
        <v>5</v>
      </c>
      <c r="E63" s="9">
        <v>120</v>
      </c>
      <c r="F63" s="9" t="s">
        <v>563</v>
      </c>
      <c r="G63" s="9">
        <v>51</v>
      </c>
      <c r="H63" s="7"/>
      <c r="I63" s="7"/>
    </row>
    <row r="64" spans="1:9" x14ac:dyDescent="0.3">
      <c r="A64" s="9">
        <v>203</v>
      </c>
      <c r="B64" s="9">
        <v>8</v>
      </c>
      <c r="C64" s="9" t="s">
        <v>561</v>
      </c>
      <c r="D64" s="9">
        <v>5</v>
      </c>
      <c r="E64" s="9">
        <v>120</v>
      </c>
      <c r="F64" s="9" t="s">
        <v>564</v>
      </c>
      <c r="G64" s="9">
        <v>51</v>
      </c>
      <c r="H64" s="7"/>
      <c r="I64" s="7"/>
    </row>
    <row r="65" spans="1:12" x14ac:dyDescent="0.3">
      <c r="A65" s="9">
        <v>204</v>
      </c>
      <c r="B65" s="9">
        <v>14</v>
      </c>
      <c r="C65" s="9" t="s">
        <v>561</v>
      </c>
      <c r="D65" s="9">
        <v>5</v>
      </c>
      <c r="E65" s="9">
        <v>120</v>
      </c>
      <c r="F65" s="9" t="s">
        <v>565</v>
      </c>
      <c r="G65" s="9">
        <v>51</v>
      </c>
      <c r="H65" s="7"/>
      <c r="I65" s="7"/>
    </row>
    <row r="66" spans="1:12" x14ac:dyDescent="0.3">
      <c r="A66" s="9">
        <v>205</v>
      </c>
      <c r="B66" s="9">
        <v>41</v>
      </c>
      <c r="C66" s="9" t="s">
        <v>561</v>
      </c>
      <c r="D66" s="9">
        <v>5</v>
      </c>
      <c r="E66" s="9">
        <v>120</v>
      </c>
      <c r="F66" s="9" t="s">
        <v>566</v>
      </c>
      <c r="G66" s="9">
        <v>51</v>
      </c>
      <c r="H66" s="7"/>
      <c r="I66" s="7"/>
    </row>
    <row r="67" spans="1:12" x14ac:dyDescent="0.3">
      <c r="A67" s="9">
        <v>206</v>
      </c>
      <c r="B67" s="9">
        <v>16</v>
      </c>
      <c r="C67" s="9" t="s">
        <v>561</v>
      </c>
      <c r="D67" s="9">
        <v>5</v>
      </c>
      <c r="E67" s="9">
        <v>120</v>
      </c>
      <c r="F67" s="9" t="s">
        <v>567</v>
      </c>
      <c r="G67" s="9">
        <v>51</v>
      </c>
      <c r="H67" s="7"/>
      <c r="I67" s="7"/>
    </row>
    <row r="68" spans="1:12" x14ac:dyDescent="0.3">
      <c r="A68" s="9">
        <v>207</v>
      </c>
      <c r="B68" s="9">
        <v>3</v>
      </c>
      <c r="C68" s="9" t="s">
        <v>561</v>
      </c>
      <c r="D68" s="9">
        <v>5</v>
      </c>
      <c r="E68" s="9">
        <v>120</v>
      </c>
      <c r="F68" s="9" t="s">
        <v>568</v>
      </c>
      <c r="G68" s="9">
        <v>51</v>
      </c>
      <c r="H68" s="7"/>
      <c r="I68" s="7"/>
    </row>
    <row r="69" spans="1:12" x14ac:dyDescent="0.3">
      <c r="A69" s="9">
        <v>208</v>
      </c>
      <c r="B69" s="9">
        <v>34</v>
      </c>
      <c r="C69" s="9" t="s">
        <v>561</v>
      </c>
      <c r="D69" s="9">
        <v>5</v>
      </c>
      <c r="E69" s="9">
        <v>120</v>
      </c>
      <c r="F69" s="9" t="s">
        <v>569</v>
      </c>
      <c r="G69" s="9">
        <v>51</v>
      </c>
      <c r="H69" s="7"/>
      <c r="I69" s="7"/>
    </row>
    <row r="70" spans="1:12" x14ac:dyDescent="0.3">
      <c r="A70" s="9">
        <v>209</v>
      </c>
      <c r="B70" s="9">
        <v>64</v>
      </c>
      <c r="C70" s="9" t="s">
        <v>561</v>
      </c>
      <c r="D70" s="9">
        <v>5</v>
      </c>
      <c r="E70" s="9">
        <v>120</v>
      </c>
      <c r="F70" s="9" t="s">
        <v>570</v>
      </c>
      <c r="G70" s="9">
        <v>51</v>
      </c>
      <c r="H70" s="7"/>
      <c r="I70" s="7"/>
    </row>
    <row r="71" spans="1:12" x14ac:dyDescent="0.3">
      <c r="A71" s="9">
        <v>210</v>
      </c>
      <c r="B71" s="9">
        <v>47</v>
      </c>
      <c r="C71" s="9" t="s">
        <v>561</v>
      </c>
      <c r="D71" s="9">
        <v>5</v>
      </c>
      <c r="E71" s="9">
        <v>120</v>
      </c>
      <c r="F71" s="11" t="s">
        <v>571</v>
      </c>
      <c r="G71" s="9">
        <v>51</v>
      </c>
      <c r="H71" s="7"/>
      <c r="I71" s="7"/>
    </row>
    <row r="72" spans="1:12" x14ac:dyDescent="0.3">
      <c r="A72" s="9">
        <v>211</v>
      </c>
      <c r="B72" s="9">
        <v>12</v>
      </c>
      <c r="C72" s="9" t="s">
        <v>561</v>
      </c>
      <c r="D72" s="9">
        <v>5</v>
      </c>
      <c r="E72" s="9">
        <v>120</v>
      </c>
      <c r="F72" s="9" t="s">
        <v>571</v>
      </c>
      <c r="G72" s="9">
        <v>51</v>
      </c>
      <c r="H72" s="7"/>
      <c r="I72" s="7"/>
    </row>
    <row r="73" spans="1:12" x14ac:dyDescent="0.3">
      <c r="A73" s="9">
        <v>212</v>
      </c>
      <c r="B73" s="9">
        <v>63</v>
      </c>
      <c r="C73" s="9" t="s">
        <v>561</v>
      </c>
      <c r="D73" s="9">
        <v>5</v>
      </c>
      <c r="E73" s="9">
        <v>120</v>
      </c>
      <c r="F73" s="9" t="s">
        <v>571</v>
      </c>
      <c r="G73" s="9">
        <v>51</v>
      </c>
      <c r="H73" s="7"/>
      <c r="I73" s="7"/>
    </row>
    <row r="74" spans="1:12" x14ac:dyDescent="0.3">
      <c r="A74" s="9">
        <v>213</v>
      </c>
      <c r="B74" s="9">
        <v>9</v>
      </c>
      <c r="C74" s="9" t="s">
        <v>561</v>
      </c>
      <c r="D74" s="9">
        <v>5</v>
      </c>
      <c r="E74" s="9">
        <v>120</v>
      </c>
      <c r="F74" s="9" t="s">
        <v>572</v>
      </c>
      <c r="G74" s="9">
        <v>51</v>
      </c>
      <c r="H74" s="7"/>
      <c r="I74" s="7"/>
    </row>
    <row r="75" spans="1:12" x14ac:dyDescent="0.3">
      <c r="A75" s="9">
        <v>214</v>
      </c>
      <c r="B75" s="9">
        <v>36</v>
      </c>
      <c r="C75" s="9" t="s">
        <v>561</v>
      </c>
      <c r="D75" s="9">
        <v>5</v>
      </c>
      <c r="E75" s="9">
        <v>120</v>
      </c>
      <c r="F75" s="9" t="s">
        <v>573</v>
      </c>
      <c r="G75" s="9">
        <v>51</v>
      </c>
      <c r="H75" s="7"/>
      <c r="I75" s="7"/>
    </row>
    <row r="76" spans="1:12" x14ac:dyDescent="0.3">
      <c r="A76" s="9">
        <v>215</v>
      </c>
      <c r="B76" s="9">
        <v>32</v>
      </c>
      <c r="C76" s="9" t="s">
        <v>561</v>
      </c>
      <c r="D76" s="9">
        <v>5</v>
      </c>
      <c r="E76" s="9">
        <v>120</v>
      </c>
      <c r="F76" s="9" t="s">
        <v>574</v>
      </c>
      <c r="G76" s="9">
        <v>51</v>
      </c>
      <c r="H76" s="7"/>
      <c r="I76" s="7"/>
    </row>
    <row r="77" spans="1:12" s="14" customFormat="1" x14ac:dyDescent="0.2">
      <c r="A77" s="12">
        <v>301</v>
      </c>
      <c r="B77" s="12">
        <v>21</v>
      </c>
      <c r="C77" s="12" t="s">
        <v>575</v>
      </c>
      <c r="D77" s="12">
        <v>25</v>
      </c>
      <c r="E77" s="12">
        <v>120</v>
      </c>
      <c r="F77" s="12" t="s">
        <v>767</v>
      </c>
      <c r="G77" s="9">
        <v>51</v>
      </c>
      <c r="I77" s="5" t="s">
        <v>758</v>
      </c>
      <c r="J77" s="5" t="s">
        <v>787</v>
      </c>
      <c r="K77" s="5"/>
      <c r="L77" s="5"/>
    </row>
    <row r="78" spans="1:12" s="14" customFormat="1" x14ac:dyDescent="0.3">
      <c r="A78" s="12">
        <v>302</v>
      </c>
      <c r="B78" s="12">
        <v>77</v>
      </c>
      <c r="C78" s="12" t="s">
        <v>768</v>
      </c>
      <c r="D78" s="12">
        <v>25</v>
      </c>
      <c r="E78" s="12">
        <v>120</v>
      </c>
      <c r="F78" s="12" t="s">
        <v>769</v>
      </c>
      <c r="G78" s="9">
        <v>51</v>
      </c>
      <c r="H78" s="25"/>
      <c r="I78" s="5" t="s">
        <v>758</v>
      </c>
      <c r="J78" s="5" t="s">
        <v>788</v>
      </c>
      <c r="K78" s="5"/>
      <c r="L78" s="5"/>
    </row>
    <row r="79" spans="1:12" s="14" customFormat="1" x14ac:dyDescent="0.3">
      <c r="A79" s="12">
        <v>303</v>
      </c>
      <c r="B79" s="12">
        <v>8</v>
      </c>
      <c r="C79" s="12" t="s">
        <v>576</v>
      </c>
      <c r="D79" s="12">
        <v>25</v>
      </c>
      <c r="E79" s="12">
        <v>120</v>
      </c>
      <c r="F79" s="12" t="s">
        <v>770</v>
      </c>
      <c r="G79" s="9">
        <v>51</v>
      </c>
      <c r="H79" s="25"/>
      <c r="I79" s="5" t="s">
        <v>758</v>
      </c>
      <c r="J79" s="25" t="s">
        <v>789</v>
      </c>
      <c r="K79" s="5"/>
      <c r="L79" s="5"/>
    </row>
    <row r="80" spans="1:12" s="14" customFormat="1" x14ac:dyDescent="0.3">
      <c r="A80" s="12">
        <v>304</v>
      </c>
      <c r="B80" s="12">
        <v>37</v>
      </c>
      <c r="C80" s="12" t="s">
        <v>771</v>
      </c>
      <c r="D80" s="12">
        <v>25</v>
      </c>
      <c r="E80" s="12">
        <v>120</v>
      </c>
      <c r="F80" s="12" t="s">
        <v>774</v>
      </c>
      <c r="G80" s="9">
        <v>51</v>
      </c>
      <c r="H80" s="25"/>
      <c r="I80" s="5" t="s">
        <v>759</v>
      </c>
      <c r="J80" s="25" t="s">
        <v>792</v>
      </c>
      <c r="K80" s="5"/>
      <c r="L80" s="5"/>
    </row>
    <row r="81" spans="1:14" s="14" customFormat="1" x14ac:dyDescent="0.3">
      <c r="A81" s="12">
        <v>305</v>
      </c>
      <c r="B81" s="12">
        <v>5</v>
      </c>
      <c r="C81" s="12" t="s">
        <v>772</v>
      </c>
      <c r="D81" s="12">
        <v>25</v>
      </c>
      <c r="E81" s="12">
        <v>120</v>
      </c>
      <c r="F81" s="12" t="s">
        <v>775</v>
      </c>
      <c r="G81" s="9">
        <v>51</v>
      </c>
      <c r="H81" s="25"/>
      <c r="I81" s="5" t="s">
        <v>759</v>
      </c>
      <c r="J81" s="25" t="s">
        <v>790</v>
      </c>
      <c r="K81" s="5"/>
    </row>
    <row r="82" spans="1:14" s="14" customFormat="1" x14ac:dyDescent="0.3">
      <c r="A82" s="12">
        <v>306</v>
      </c>
      <c r="B82" s="12">
        <v>32</v>
      </c>
      <c r="C82" s="12" t="s">
        <v>773</v>
      </c>
      <c r="D82" s="12">
        <v>25</v>
      </c>
      <c r="E82" s="12">
        <v>120</v>
      </c>
      <c r="F82" s="74" t="s">
        <v>776</v>
      </c>
      <c r="G82" s="9">
        <v>51</v>
      </c>
      <c r="H82" s="25"/>
      <c r="I82" s="5" t="s">
        <v>759</v>
      </c>
      <c r="J82" s="25" t="s">
        <v>791</v>
      </c>
      <c r="K82" s="5"/>
    </row>
    <row r="83" spans="1:14" s="14" customFormat="1" x14ac:dyDescent="0.3">
      <c r="A83" s="12">
        <v>307</v>
      </c>
      <c r="B83" s="12">
        <v>11</v>
      </c>
      <c r="C83" s="12" t="s">
        <v>779</v>
      </c>
      <c r="D83" s="12">
        <v>25</v>
      </c>
      <c r="E83" s="12">
        <v>120</v>
      </c>
      <c r="F83" s="12" t="s">
        <v>780</v>
      </c>
      <c r="G83" s="9">
        <v>51</v>
      </c>
      <c r="H83" s="25"/>
      <c r="I83" s="5" t="s">
        <v>760</v>
      </c>
      <c r="J83" s="25" t="s">
        <v>793</v>
      </c>
      <c r="K83" s="5"/>
    </row>
    <row r="84" spans="1:14" s="14" customFormat="1" x14ac:dyDescent="0.3">
      <c r="A84" s="12">
        <v>308</v>
      </c>
      <c r="B84" s="12">
        <v>13</v>
      </c>
      <c r="C84" s="12" t="s">
        <v>578</v>
      </c>
      <c r="D84" s="12">
        <v>25</v>
      </c>
      <c r="E84" s="12">
        <v>120</v>
      </c>
      <c r="F84" s="12" t="s">
        <v>579</v>
      </c>
      <c r="G84" s="9">
        <v>51</v>
      </c>
      <c r="H84" s="25"/>
      <c r="I84" s="5" t="s">
        <v>760</v>
      </c>
      <c r="J84" s="5" t="s">
        <v>795</v>
      </c>
      <c r="K84" s="5"/>
    </row>
    <row r="85" spans="1:14" s="14" customFormat="1" x14ac:dyDescent="0.3">
      <c r="A85" s="12">
        <v>309</v>
      </c>
      <c r="B85" s="12">
        <v>17</v>
      </c>
      <c r="C85" s="12" t="s">
        <v>580</v>
      </c>
      <c r="D85" s="12">
        <v>25</v>
      </c>
      <c r="E85" s="12">
        <v>120</v>
      </c>
      <c r="F85" s="12" t="s">
        <v>577</v>
      </c>
      <c r="G85" s="9">
        <v>51</v>
      </c>
      <c r="H85" s="25"/>
      <c r="I85" s="5" t="s">
        <v>760</v>
      </c>
      <c r="J85" s="25" t="s">
        <v>794</v>
      </c>
      <c r="K85" s="5"/>
      <c r="L85" s="25"/>
      <c r="M85" s="25"/>
      <c r="N85" s="25"/>
    </row>
    <row r="86" spans="1:14" s="14" customFormat="1" x14ac:dyDescent="0.3">
      <c r="A86" s="12">
        <v>310</v>
      </c>
      <c r="B86" s="12">
        <v>14</v>
      </c>
      <c r="C86" s="12" t="s">
        <v>781</v>
      </c>
      <c r="D86" s="12">
        <v>25</v>
      </c>
      <c r="E86" s="12">
        <v>120</v>
      </c>
      <c r="F86" s="12" t="s">
        <v>782</v>
      </c>
      <c r="G86" s="9">
        <v>51</v>
      </c>
      <c r="H86" s="25"/>
      <c r="I86" s="5" t="s">
        <v>758</v>
      </c>
      <c r="J86" s="5" t="s">
        <v>796</v>
      </c>
      <c r="K86" s="5"/>
    </row>
    <row r="87" spans="1:14" s="14" customFormat="1" x14ac:dyDescent="0.3">
      <c r="A87" s="12">
        <v>311</v>
      </c>
      <c r="B87" s="12">
        <v>16</v>
      </c>
      <c r="C87" s="12" t="s">
        <v>783</v>
      </c>
      <c r="D87" s="12">
        <v>25</v>
      </c>
      <c r="E87" s="12">
        <v>120</v>
      </c>
      <c r="F87" s="12" t="s">
        <v>784</v>
      </c>
      <c r="G87" s="9">
        <v>51</v>
      </c>
      <c r="H87" s="25"/>
      <c r="I87" s="5" t="s">
        <v>758</v>
      </c>
      <c r="J87" s="5" t="s">
        <v>798</v>
      </c>
      <c r="K87" s="5"/>
    </row>
    <row r="88" spans="1:14" s="14" customFormat="1" x14ac:dyDescent="0.3">
      <c r="A88" s="12">
        <v>312</v>
      </c>
      <c r="B88" s="12">
        <v>62</v>
      </c>
      <c r="C88" s="12" t="s">
        <v>785</v>
      </c>
      <c r="D88" s="12">
        <v>25</v>
      </c>
      <c r="E88" s="12">
        <v>120</v>
      </c>
      <c r="F88" s="12" t="s">
        <v>786</v>
      </c>
      <c r="G88" s="9">
        <v>51</v>
      </c>
      <c r="H88" s="25"/>
      <c r="I88" s="5" t="s">
        <v>758</v>
      </c>
      <c r="J88" s="5" t="s">
        <v>797</v>
      </c>
      <c r="K88" s="5"/>
    </row>
    <row r="89" spans="1:14" s="14" customFormat="1" x14ac:dyDescent="0.3">
      <c r="A89" s="12">
        <v>313</v>
      </c>
      <c r="B89" s="12">
        <v>9</v>
      </c>
      <c r="C89" s="12" t="s">
        <v>581</v>
      </c>
      <c r="D89" s="12">
        <v>25</v>
      </c>
      <c r="E89" s="12">
        <v>120</v>
      </c>
      <c r="F89" s="12" t="s">
        <v>582</v>
      </c>
      <c r="G89" s="9">
        <v>51</v>
      </c>
      <c r="H89" s="25"/>
      <c r="I89" s="5" t="s">
        <v>761</v>
      </c>
      <c r="J89" s="25" t="s">
        <v>806</v>
      </c>
      <c r="K89" s="5"/>
      <c r="L89" s="25"/>
      <c r="M89" s="25"/>
      <c r="N89" s="25"/>
    </row>
    <row r="90" spans="1:14" s="14" customFormat="1" x14ac:dyDescent="0.3">
      <c r="A90" s="12">
        <v>314</v>
      </c>
      <c r="B90" s="12">
        <v>69</v>
      </c>
      <c r="C90" s="12" t="s">
        <v>777</v>
      </c>
      <c r="D90" s="12">
        <v>25</v>
      </c>
      <c r="E90" s="12">
        <v>120</v>
      </c>
      <c r="F90" s="12" t="s">
        <v>778</v>
      </c>
      <c r="G90" s="9">
        <v>51</v>
      </c>
      <c r="H90" s="25"/>
      <c r="I90" s="5" t="s">
        <v>761</v>
      </c>
      <c r="J90" s="5" t="s">
        <v>799</v>
      </c>
      <c r="K90" s="5"/>
    </row>
    <row r="91" spans="1:14" s="14" customFormat="1" x14ac:dyDescent="0.3">
      <c r="A91" s="12">
        <v>315</v>
      </c>
      <c r="B91" s="12">
        <v>76</v>
      </c>
      <c r="C91" s="12" t="s">
        <v>583</v>
      </c>
      <c r="D91" s="12">
        <v>25</v>
      </c>
      <c r="E91" s="12">
        <v>120</v>
      </c>
      <c r="F91" s="12" t="s">
        <v>584</v>
      </c>
      <c r="G91" s="9">
        <v>51</v>
      </c>
      <c r="H91" s="25"/>
      <c r="I91" s="5" t="s">
        <v>761</v>
      </c>
      <c r="J91" s="5" t="s">
        <v>800</v>
      </c>
      <c r="K91" s="5"/>
    </row>
    <row r="92" spans="1:14" x14ac:dyDescent="0.3">
      <c r="A92" s="5">
        <v>1001001</v>
      </c>
      <c r="B92" s="5">
        <v>36</v>
      </c>
      <c r="D92" s="5">
        <v>0</v>
      </c>
      <c r="E92" s="5">
        <v>1</v>
      </c>
      <c r="F92" s="5" t="s">
        <v>585</v>
      </c>
    </row>
    <row r="93" spans="1:14" x14ac:dyDescent="0.3">
      <c r="A93" s="5">
        <v>1001002</v>
      </c>
      <c r="B93" s="5">
        <v>56</v>
      </c>
      <c r="D93" s="5">
        <v>0</v>
      </c>
      <c r="E93" s="5">
        <v>1</v>
      </c>
      <c r="F93" s="5"/>
    </row>
    <row r="94" spans="1:14" x14ac:dyDescent="0.3">
      <c r="A94" s="5">
        <v>1002001</v>
      </c>
      <c r="B94" s="5">
        <v>36</v>
      </c>
      <c r="D94" s="5">
        <v>0</v>
      </c>
      <c r="E94" s="5">
        <v>5</v>
      </c>
      <c r="F94" s="5" t="s">
        <v>586</v>
      </c>
    </row>
    <row r="95" spans="1:14" x14ac:dyDescent="0.3">
      <c r="A95" s="5">
        <v>1002002</v>
      </c>
      <c r="B95" s="5">
        <v>56</v>
      </c>
      <c r="D95" s="5">
        <v>0</v>
      </c>
      <c r="E95" s="5">
        <v>5</v>
      </c>
      <c r="F95" s="5" t="s">
        <v>587</v>
      </c>
    </row>
    <row r="96" spans="1:14" x14ac:dyDescent="0.3">
      <c r="A96" s="5">
        <v>1003001</v>
      </c>
      <c r="B96" s="5">
        <v>36</v>
      </c>
      <c r="D96" s="5">
        <v>0</v>
      </c>
      <c r="E96" s="5">
        <v>10</v>
      </c>
      <c r="F96" s="5" t="s">
        <v>588</v>
      </c>
    </row>
    <row r="97" spans="1:7" x14ac:dyDescent="0.3">
      <c r="A97" s="5">
        <v>1003002</v>
      </c>
      <c r="B97" s="5">
        <v>56</v>
      </c>
      <c r="D97" s="5">
        <v>0</v>
      </c>
      <c r="E97" s="5">
        <v>10</v>
      </c>
      <c r="F97" s="5" t="s">
        <v>589</v>
      </c>
    </row>
    <row r="98" spans="1:7" x14ac:dyDescent="0.3">
      <c r="A98" s="5">
        <v>1003003</v>
      </c>
      <c r="B98" s="5">
        <v>9</v>
      </c>
      <c r="D98" s="5">
        <v>0</v>
      </c>
      <c r="E98" s="5">
        <v>10</v>
      </c>
      <c r="F98" s="5" t="s">
        <v>590</v>
      </c>
    </row>
    <row r="99" spans="1:7" x14ac:dyDescent="0.3">
      <c r="A99" s="5">
        <v>1003004</v>
      </c>
      <c r="B99" s="5">
        <v>1</v>
      </c>
      <c r="D99" s="5">
        <v>0</v>
      </c>
      <c r="E99" s="5">
        <v>10</v>
      </c>
      <c r="F99" s="5" t="s">
        <v>558</v>
      </c>
    </row>
    <row r="100" spans="1:7" x14ac:dyDescent="0.3">
      <c r="A100" s="5">
        <v>1003005</v>
      </c>
      <c r="B100" s="5">
        <v>19</v>
      </c>
      <c r="D100" s="5">
        <v>0</v>
      </c>
      <c r="E100" s="5">
        <v>10</v>
      </c>
      <c r="F100" s="5" t="s">
        <v>591</v>
      </c>
    </row>
    <row r="101" spans="1:7" x14ac:dyDescent="0.3">
      <c r="A101" s="5">
        <v>1003006</v>
      </c>
      <c r="B101" s="5">
        <v>17</v>
      </c>
      <c r="D101" s="5">
        <v>0</v>
      </c>
      <c r="E101" s="5">
        <v>10</v>
      </c>
      <c r="F101" s="5" t="s">
        <v>592</v>
      </c>
    </row>
    <row r="102" spans="1:7" x14ac:dyDescent="0.3">
      <c r="A102" s="5">
        <v>1004001</v>
      </c>
      <c r="B102" s="5">
        <v>36</v>
      </c>
      <c r="D102" s="5">
        <v>0</v>
      </c>
      <c r="E102" s="5">
        <v>28</v>
      </c>
      <c r="F102" s="5" t="s">
        <v>588</v>
      </c>
      <c r="G102" s="5"/>
    </row>
    <row r="103" spans="1:7" x14ac:dyDescent="0.3">
      <c r="A103" s="5">
        <v>1004002</v>
      </c>
      <c r="B103" s="5">
        <v>56</v>
      </c>
      <c r="D103" s="5">
        <v>0</v>
      </c>
      <c r="E103" s="5">
        <v>28</v>
      </c>
      <c r="F103" s="5" t="s">
        <v>589</v>
      </c>
      <c r="G103" s="5"/>
    </row>
    <row r="104" spans="1:7" x14ac:dyDescent="0.3">
      <c r="A104" s="5">
        <v>1004003</v>
      </c>
      <c r="B104" s="5">
        <v>9</v>
      </c>
      <c r="D104" s="5">
        <v>0</v>
      </c>
      <c r="E104" s="5">
        <v>28</v>
      </c>
      <c r="F104" s="5" t="s">
        <v>590</v>
      </c>
      <c r="G104" s="5"/>
    </row>
    <row r="105" spans="1:7" x14ac:dyDescent="0.3">
      <c r="A105" s="5">
        <v>1004004</v>
      </c>
      <c r="B105" s="5">
        <v>1</v>
      </c>
      <c r="D105" s="5">
        <v>0</v>
      </c>
      <c r="E105" s="5">
        <v>28</v>
      </c>
      <c r="F105" s="5" t="s">
        <v>558</v>
      </c>
      <c r="G105" s="5"/>
    </row>
    <row r="106" spans="1:7" x14ac:dyDescent="0.3">
      <c r="A106" s="5">
        <v>1004005</v>
      </c>
      <c r="B106" s="5">
        <v>19</v>
      </c>
      <c r="D106" s="5">
        <v>0</v>
      </c>
      <c r="E106" s="5">
        <v>28</v>
      </c>
      <c r="F106" s="5" t="s">
        <v>591</v>
      </c>
      <c r="G106" s="5"/>
    </row>
    <row r="107" spans="1:7" x14ac:dyDescent="0.3">
      <c r="A107" s="5">
        <v>1004006</v>
      </c>
      <c r="B107" s="5">
        <v>17</v>
      </c>
      <c r="D107" s="5">
        <v>0</v>
      </c>
      <c r="E107" s="5">
        <v>28</v>
      </c>
      <c r="F107" s="5" t="s">
        <v>592</v>
      </c>
      <c r="G107" s="5"/>
    </row>
    <row r="108" spans="1:7" x14ac:dyDescent="0.3">
      <c r="A108" s="5">
        <v>1005001</v>
      </c>
      <c r="B108" s="5">
        <v>36</v>
      </c>
      <c r="D108" s="5">
        <v>0</v>
      </c>
      <c r="E108" s="5">
        <v>35</v>
      </c>
      <c r="F108" s="5" t="s">
        <v>588</v>
      </c>
      <c r="G108" s="5"/>
    </row>
    <row r="109" spans="1:7" x14ac:dyDescent="0.3">
      <c r="A109" s="5">
        <v>1005002</v>
      </c>
      <c r="B109" s="5">
        <v>56</v>
      </c>
      <c r="D109" s="5">
        <v>0</v>
      </c>
      <c r="E109" s="5">
        <v>35</v>
      </c>
      <c r="F109" s="5" t="s">
        <v>589</v>
      </c>
      <c r="G109" s="5"/>
    </row>
    <row r="110" spans="1:7" x14ac:dyDescent="0.3">
      <c r="A110" s="5">
        <v>1005003</v>
      </c>
      <c r="B110" s="5">
        <v>9</v>
      </c>
      <c r="D110" s="5">
        <v>0</v>
      </c>
      <c r="E110" s="5">
        <v>35</v>
      </c>
      <c r="F110" s="5" t="s">
        <v>590</v>
      </c>
      <c r="G110" s="5"/>
    </row>
    <row r="111" spans="1:7" x14ac:dyDescent="0.3">
      <c r="A111" s="5">
        <v>1005004</v>
      </c>
      <c r="B111" s="5">
        <v>1</v>
      </c>
      <c r="D111" s="5">
        <v>0</v>
      </c>
      <c r="E111" s="5">
        <v>35</v>
      </c>
      <c r="F111" s="5" t="s">
        <v>558</v>
      </c>
      <c r="G111" s="5"/>
    </row>
    <row r="112" spans="1:7" x14ac:dyDescent="0.3">
      <c r="A112" s="5">
        <v>1005005</v>
      </c>
      <c r="B112" s="5">
        <v>19</v>
      </c>
      <c r="D112" s="5">
        <v>0</v>
      </c>
      <c r="E112" s="5">
        <v>35</v>
      </c>
      <c r="F112" s="5" t="s">
        <v>591</v>
      </c>
      <c r="G112" s="5"/>
    </row>
    <row r="113" spans="1:7" x14ac:dyDescent="0.3">
      <c r="A113" s="5">
        <v>1005006</v>
      </c>
      <c r="B113" s="5">
        <v>17</v>
      </c>
      <c r="D113" s="5">
        <v>0</v>
      </c>
      <c r="E113" s="5">
        <v>35</v>
      </c>
      <c r="F113" s="5" t="s">
        <v>592</v>
      </c>
      <c r="G113" s="5"/>
    </row>
    <row r="114" spans="1:7" x14ac:dyDescent="0.3">
      <c r="A114" s="5">
        <v>1006001</v>
      </c>
      <c r="B114" s="5">
        <v>36</v>
      </c>
      <c r="D114" s="5">
        <v>0</v>
      </c>
      <c r="E114" s="5">
        <v>38</v>
      </c>
      <c r="F114" s="5" t="s">
        <v>588</v>
      </c>
      <c r="G114" s="5"/>
    </row>
    <row r="115" spans="1:7" x14ac:dyDescent="0.3">
      <c r="A115" s="5">
        <v>1006002</v>
      </c>
      <c r="B115" s="5">
        <v>56</v>
      </c>
      <c r="D115" s="5">
        <v>0</v>
      </c>
      <c r="E115" s="5">
        <v>38</v>
      </c>
      <c r="F115" s="5" t="s">
        <v>589</v>
      </c>
      <c r="G115" s="5"/>
    </row>
    <row r="116" spans="1:7" x14ac:dyDescent="0.3">
      <c r="A116" s="5">
        <v>1006003</v>
      </c>
      <c r="B116" s="5">
        <v>9</v>
      </c>
      <c r="D116" s="5">
        <v>0</v>
      </c>
      <c r="E116" s="5">
        <v>38</v>
      </c>
      <c r="F116" s="5" t="s">
        <v>590</v>
      </c>
      <c r="G116" s="5"/>
    </row>
    <row r="117" spans="1:7" x14ac:dyDescent="0.3">
      <c r="A117" s="5">
        <v>1006004</v>
      </c>
      <c r="B117" s="5">
        <v>1</v>
      </c>
      <c r="D117" s="5">
        <v>0</v>
      </c>
      <c r="E117" s="5">
        <v>38</v>
      </c>
      <c r="F117" s="5" t="s">
        <v>558</v>
      </c>
      <c r="G117" s="5"/>
    </row>
    <row r="118" spans="1:7" x14ac:dyDescent="0.3">
      <c r="A118" s="5">
        <v>1006005</v>
      </c>
      <c r="B118" s="5">
        <v>19</v>
      </c>
      <c r="D118" s="5">
        <v>0</v>
      </c>
      <c r="E118" s="5">
        <v>38</v>
      </c>
      <c r="F118" s="5" t="s">
        <v>591</v>
      </c>
      <c r="G118" s="5"/>
    </row>
    <row r="119" spans="1:7" x14ac:dyDescent="0.3">
      <c r="A119" s="5">
        <v>1006006</v>
      </c>
      <c r="B119" s="5">
        <v>17</v>
      </c>
      <c r="D119" s="5">
        <v>0</v>
      </c>
      <c r="E119" s="5">
        <v>38</v>
      </c>
      <c r="F119" s="5" t="s">
        <v>592</v>
      </c>
      <c r="G119" s="5"/>
    </row>
    <row r="120" spans="1:7" x14ac:dyDescent="0.3">
      <c r="A120" s="5">
        <v>1007001</v>
      </c>
      <c r="B120" s="5">
        <v>36</v>
      </c>
      <c r="D120" s="5">
        <v>0</v>
      </c>
      <c r="E120" s="5">
        <v>39</v>
      </c>
      <c r="F120" s="5" t="s">
        <v>588</v>
      </c>
      <c r="G120" s="5"/>
    </row>
    <row r="121" spans="1:7" x14ac:dyDescent="0.3">
      <c r="A121" s="5">
        <v>1007002</v>
      </c>
      <c r="B121" s="5">
        <v>56</v>
      </c>
      <c r="D121" s="5">
        <v>0</v>
      </c>
      <c r="E121" s="5">
        <v>39</v>
      </c>
      <c r="F121" s="5" t="s">
        <v>589</v>
      </c>
      <c r="G121" s="5"/>
    </row>
    <row r="122" spans="1:7" x14ac:dyDescent="0.3">
      <c r="A122" s="5">
        <v>1007003</v>
      </c>
      <c r="B122" s="5">
        <v>9</v>
      </c>
      <c r="D122" s="5">
        <v>0</v>
      </c>
      <c r="E122" s="5">
        <v>39</v>
      </c>
      <c r="F122" s="5" t="s">
        <v>590</v>
      </c>
      <c r="G122" s="5"/>
    </row>
    <row r="123" spans="1:7" x14ac:dyDescent="0.3">
      <c r="A123" s="5">
        <v>1007004</v>
      </c>
      <c r="B123" s="5">
        <v>1</v>
      </c>
      <c r="D123" s="5">
        <v>0</v>
      </c>
      <c r="E123" s="5">
        <v>39</v>
      </c>
      <c r="F123" s="5" t="s">
        <v>558</v>
      </c>
      <c r="G123" s="5"/>
    </row>
    <row r="124" spans="1:7" x14ac:dyDescent="0.3">
      <c r="A124" s="5">
        <v>1007005</v>
      </c>
      <c r="B124" s="5">
        <v>19</v>
      </c>
      <c r="D124" s="5">
        <v>0</v>
      </c>
      <c r="E124" s="5">
        <v>39</v>
      </c>
      <c r="F124" s="5" t="s">
        <v>591</v>
      </c>
      <c r="G124" s="5"/>
    </row>
    <row r="125" spans="1:7" x14ac:dyDescent="0.3">
      <c r="A125" s="5">
        <v>1007006</v>
      </c>
      <c r="B125" s="5">
        <v>17</v>
      </c>
      <c r="D125" s="5">
        <v>0</v>
      </c>
      <c r="E125" s="5">
        <v>39</v>
      </c>
      <c r="F125" s="5" t="s">
        <v>592</v>
      </c>
      <c r="G125" s="5"/>
    </row>
    <row r="126" spans="1:7" x14ac:dyDescent="0.3">
      <c r="A126" s="5">
        <v>1008001</v>
      </c>
      <c r="B126" s="5">
        <v>36</v>
      </c>
      <c r="D126" s="5">
        <v>0</v>
      </c>
      <c r="E126" s="5">
        <v>42</v>
      </c>
      <c r="F126" s="5" t="s">
        <v>588</v>
      </c>
      <c r="G126" s="5"/>
    </row>
    <row r="127" spans="1:7" x14ac:dyDescent="0.3">
      <c r="A127" s="5">
        <v>1008002</v>
      </c>
      <c r="B127" s="5">
        <v>56</v>
      </c>
      <c r="D127" s="5">
        <v>0</v>
      </c>
      <c r="E127" s="5">
        <v>42</v>
      </c>
      <c r="F127" s="5" t="s">
        <v>589</v>
      </c>
      <c r="G127" s="5"/>
    </row>
    <row r="128" spans="1:7" x14ac:dyDescent="0.3">
      <c r="A128" s="5">
        <v>1008003</v>
      </c>
      <c r="B128" s="5">
        <v>9</v>
      </c>
      <c r="D128" s="5">
        <v>0</v>
      </c>
      <c r="E128" s="5">
        <v>42</v>
      </c>
      <c r="F128" s="5" t="s">
        <v>590</v>
      </c>
      <c r="G128" s="5"/>
    </row>
    <row r="129" spans="1:7" x14ac:dyDescent="0.3">
      <c r="A129" s="5">
        <v>1008004</v>
      </c>
      <c r="B129" s="5">
        <v>1</v>
      </c>
      <c r="D129" s="5">
        <v>0</v>
      </c>
      <c r="E129" s="5">
        <v>42</v>
      </c>
      <c r="F129" s="5" t="s">
        <v>558</v>
      </c>
      <c r="G129" s="5"/>
    </row>
    <row r="130" spans="1:7" x14ac:dyDescent="0.3">
      <c r="A130" s="5">
        <v>1008005</v>
      </c>
      <c r="B130" s="5">
        <v>19</v>
      </c>
      <c r="D130" s="5">
        <v>0</v>
      </c>
      <c r="E130" s="5">
        <v>42</v>
      </c>
      <c r="F130" s="5" t="s">
        <v>591</v>
      </c>
      <c r="G130" s="5"/>
    </row>
    <row r="131" spans="1:7" x14ac:dyDescent="0.3">
      <c r="A131" s="5">
        <v>1008006</v>
      </c>
      <c r="B131" s="5">
        <v>17</v>
      </c>
      <c r="D131" s="5">
        <v>0</v>
      </c>
      <c r="E131" s="5">
        <v>42</v>
      </c>
      <c r="F131" s="5" t="s">
        <v>592</v>
      </c>
      <c r="G131" s="5"/>
    </row>
    <row r="132" spans="1:7" x14ac:dyDescent="0.3">
      <c r="A132" s="5">
        <v>1009001</v>
      </c>
      <c r="B132" s="5">
        <v>36</v>
      </c>
      <c r="D132" s="5">
        <v>0</v>
      </c>
      <c r="E132" s="5">
        <v>45</v>
      </c>
      <c r="F132" s="5" t="s">
        <v>588</v>
      </c>
      <c r="G132" s="5"/>
    </row>
    <row r="133" spans="1:7" x14ac:dyDescent="0.3">
      <c r="A133" s="5">
        <v>1009002</v>
      </c>
      <c r="B133" s="5">
        <v>56</v>
      </c>
      <c r="D133" s="5">
        <v>0</v>
      </c>
      <c r="E133" s="5">
        <v>45</v>
      </c>
      <c r="F133" s="5" t="s">
        <v>589</v>
      </c>
      <c r="G133" s="5"/>
    </row>
    <row r="134" spans="1:7" x14ac:dyDescent="0.3">
      <c r="A134" s="5">
        <v>1009003</v>
      </c>
      <c r="B134" s="5">
        <v>9</v>
      </c>
      <c r="D134" s="5">
        <v>0</v>
      </c>
      <c r="E134" s="5">
        <v>45</v>
      </c>
      <c r="F134" s="5" t="s">
        <v>590</v>
      </c>
      <c r="G134" s="5"/>
    </row>
    <row r="135" spans="1:7" x14ac:dyDescent="0.3">
      <c r="A135" s="5">
        <v>1009004</v>
      </c>
      <c r="B135" s="5">
        <v>1</v>
      </c>
      <c r="D135" s="5">
        <v>0</v>
      </c>
      <c r="E135" s="5">
        <v>45</v>
      </c>
      <c r="F135" s="5" t="s">
        <v>558</v>
      </c>
      <c r="G135" s="5"/>
    </row>
    <row r="136" spans="1:7" x14ac:dyDescent="0.3">
      <c r="A136" s="5">
        <v>1009005</v>
      </c>
      <c r="B136" s="5">
        <v>19</v>
      </c>
      <c r="D136" s="5">
        <v>0</v>
      </c>
      <c r="E136" s="5">
        <v>45</v>
      </c>
      <c r="F136" s="5" t="s">
        <v>591</v>
      </c>
      <c r="G136" s="5"/>
    </row>
    <row r="137" spans="1:7" x14ac:dyDescent="0.3">
      <c r="A137" s="5">
        <v>1009006</v>
      </c>
      <c r="B137" s="5">
        <v>17</v>
      </c>
      <c r="D137" s="5">
        <v>0</v>
      </c>
      <c r="E137" s="5">
        <v>45</v>
      </c>
      <c r="F137" s="5" t="s">
        <v>592</v>
      </c>
      <c r="G137" s="5"/>
    </row>
    <row r="138" spans="1:7" x14ac:dyDescent="0.3">
      <c r="A138" s="5">
        <v>1010001</v>
      </c>
      <c r="B138" s="5">
        <v>36</v>
      </c>
      <c r="D138" s="5">
        <v>0</v>
      </c>
      <c r="E138" s="5">
        <v>47</v>
      </c>
      <c r="F138" s="5" t="s">
        <v>588</v>
      </c>
      <c r="G138" s="5"/>
    </row>
    <row r="139" spans="1:7" x14ac:dyDescent="0.3">
      <c r="A139" s="5">
        <v>1010002</v>
      </c>
      <c r="B139" s="5">
        <v>56</v>
      </c>
      <c r="D139" s="5">
        <v>0</v>
      </c>
      <c r="E139" s="5">
        <v>47</v>
      </c>
      <c r="F139" s="5" t="s">
        <v>589</v>
      </c>
      <c r="G139" s="5"/>
    </row>
    <row r="140" spans="1:7" x14ac:dyDescent="0.3">
      <c r="A140" s="5">
        <v>1010003</v>
      </c>
      <c r="B140" s="5">
        <v>9</v>
      </c>
      <c r="D140" s="5">
        <v>0</v>
      </c>
      <c r="E140" s="5">
        <v>47</v>
      </c>
      <c r="F140" s="5" t="s">
        <v>590</v>
      </c>
      <c r="G140" s="5"/>
    </row>
    <row r="141" spans="1:7" x14ac:dyDescent="0.3">
      <c r="A141" s="5">
        <v>1010004</v>
      </c>
      <c r="B141" s="5">
        <v>1</v>
      </c>
      <c r="D141" s="5">
        <v>0</v>
      </c>
      <c r="E141" s="5">
        <v>47</v>
      </c>
      <c r="F141" s="5" t="s">
        <v>558</v>
      </c>
      <c r="G141" s="5"/>
    </row>
    <row r="142" spans="1:7" x14ac:dyDescent="0.3">
      <c r="A142" s="5">
        <v>1010005</v>
      </c>
      <c r="B142" s="5">
        <v>19</v>
      </c>
      <c r="D142" s="5">
        <v>0</v>
      </c>
      <c r="E142" s="5">
        <v>47</v>
      </c>
      <c r="F142" s="5" t="s">
        <v>591</v>
      </c>
      <c r="G142" s="5"/>
    </row>
    <row r="143" spans="1:7" x14ac:dyDescent="0.3">
      <c r="A143" s="5">
        <v>1010006</v>
      </c>
      <c r="B143" s="5">
        <v>17</v>
      </c>
      <c r="D143" s="5">
        <v>0</v>
      </c>
      <c r="E143" s="5">
        <v>47</v>
      </c>
      <c r="F143" s="5" t="s">
        <v>592</v>
      </c>
      <c r="G143" s="5"/>
    </row>
    <row r="144" spans="1:7" x14ac:dyDescent="0.3">
      <c r="A144" s="5">
        <v>1011001</v>
      </c>
      <c r="B144" s="5">
        <v>36</v>
      </c>
      <c r="D144" s="5">
        <v>0</v>
      </c>
      <c r="E144" s="5">
        <v>49</v>
      </c>
      <c r="F144" s="5" t="s">
        <v>588</v>
      </c>
      <c r="G144" s="5"/>
    </row>
    <row r="145" spans="1:7" x14ac:dyDescent="0.3">
      <c r="A145" s="5">
        <v>1011002</v>
      </c>
      <c r="B145" s="5">
        <v>56</v>
      </c>
      <c r="D145" s="5">
        <v>0</v>
      </c>
      <c r="E145" s="5">
        <v>49</v>
      </c>
      <c r="F145" s="5" t="s">
        <v>589</v>
      </c>
      <c r="G145" s="5"/>
    </row>
    <row r="146" spans="1:7" x14ac:dyDescent="0.3">
      <c r="A146" s="5">
        <v>1011003</v>
      </c>
      <c r="B146" s="5">
        <v>9</v>
      </c>
      <c r="D146" s="5">
        <v>0</v>
      </c>
      <c r="E146" s="5">
        <v>49</v>
      </c>
      <c r="F146" s="5" t="s">
        <v>590</v>
      </c>
      <c r="G146" s="5"/>
    </row>
    <row r="147" spans="1:7" x14ac:dyDescent="0.3">
      <c r="A147" s="5">
        <v>1011004</v>
      </c>
      <c r="B147" s="5">
        <v>1</v>
      </c>
      <c r="D147" s="5">
        <v>0</v>
      </c>
      <c r="E147" s="5">
        <v>49</v>
      </c>
      <c r="F147" s="5" t="s">
        <v>558</v>
      </c>
      <c r="G147" s="5"/>
    </row>
    <row r="148" spans="1:7" x14ac:dyDescent="0.3">
      <c r="A148" s="5">
        <v>1011005</v>
      </c>
      <c r="B148" s="5">
        <v>19</v>
      </c>
      <c r="D148" s="5">
        <v>0</v>
      </c>
      <c r="E148" s="5">
        <v>49</v>
      </c>
      <c r="F148" s="5" t="s">
        <v>591</v>
      </c>
      <c r="G148" s="5"/>
    </row>
    <row r="149" spans="1:7" x14ac:dyDescent="0.3">
      <c r="A149" s="5">
        <v>1011006</v>
      </c>
      <c r="B149" s="5">
        <v>17</v>
      </c>
      <c r="D149" s="5">
        <v>0</v>
      </c>
      <c r="E149" s="5">
        <v>49</v>
      </c>
      <c r="F149" s="5" t="s">
        <v>592</v>
      </c>
      <c r="G149" s="5"/>
    </row>
    <row r="150" spans="1:7" x14ac:dyDescent="0.3">
      <c r="A150" s="13">
        <v>1012001</v>
      </c>
      <c r="B150" s="13">
        <v>21</v>
      </c>
      <c r="C150" s="71"/>
      <c r="D150" s="13">
        <v>0</v>
      </c>
      <c r="E150" s="13">
        <v>120</v>
      </c>
      <c r="F150" s="13" t="s">
        <v>593</v>
      </c>
      <c r="G150" s="13"/>
    </row>
    <row r="151" spans="1:7" x14ac:dyDescent="0.3">
      <c r="A151" s="13">
        <v>1012002</v>
      </c>
      <c r="B151" s="13">
        <v>41</v>
      </c>
      <c r="C151" s="71"/>
      <c r="D151" s="13">
        <v>0</v>
      </c>
      <c r="E151" s="13">
        <v>120</v>
      </c>
      <c r="F151" s="13" t="s">
        <v>589</v>
      </c>
      <c r="G151" s="13"/>
    </row>
    <row r="152" spans="1:7" x14ac:dyDescent="0.3">
      <c r="A152" s="13">
        <v>1012003</v>
      </c>
      <c r="B152" s="13">
        <v>22</v>
      </c>
      <c r="C152" s="71"/>
      <c r="D152" s="13">
        <v>0</v>
      </c>
      <c r="E152" s="13">
        <v>120</v>
      </c>
      <c r="F152" s="13" t="s">
        <v>590</v>
      </c>
      <c r="G152" s="13"/>
    </row>
  </sheetData>
  <phoneticPr fontId="13" type="noConversion"/>
  <conditionalFormatting sqref="Q10">
    <cfRule type="duplicateValues" dxfId="7" priority="9"/>
  </conditionalFormatting>
  <conditionalFormatting sqref="Q13">
    <cfRule type="duplicateValues" dxfId="6" priority="3"/>
  </conditionalFormatting>
  <conditionalFormatting sqref="Q11:S11">
    <cfRule type="duplicateValues" dxfId="5" priority="6"/>
  </conditionalFormatting>
  <conditionalFormatting sqref="Q12:S12">
    <cfRule type="duplicateValues" dxfId="4" priority="5"/>
  </conditionalFormatting>
  <conditionalFormatting sqref="R10">
    <cfRule type="duplicateValues" dxfId="3" priority="8"/>
  </conditionalFormatting>
  <conditionalFormatting sqref="R13">
    <cfRule type="duplicateValues" dxfId="2" priority="2"/>
  </conditionalFormatting>
  <conditionalFormatting sqref="S10">
    <cfRule type="duplicateValues" dxfId="1" priority="7"/>
  </conditionalFormatting>
  <conditionalFormatting sqref="S13">
    <cfRule type="duplicateValues" dxfId="0" priority="1"/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3"/>
  <sheetViews>
    <sheetView workbookViewId="0">
      <selection activeCell="H37" sqref="H37"/>
    </sheetView>
  </sheetViews>
  <sheetFormatPr defaultColWidth="9" defaultRowHeight="14.25" x14ac:dyDescent="0.2"/>
  <cols>
    <col min="1" max="1" width="23.75" style="1" customWidth="1"/>
    <col min="2" max="2" width="13" style="1" customWidth="1"/>
    <col min="3" max="3" width="9" style="1" customWidth="1"/>
    <col min="4" max="4" width="17.25" style="1" customWidth="1"/>
  </cols>
  <sheetData>
    <row r="1" spans="1:4" x14ac:dyDescent="0.2">
      <c r="A1" s="2" t="s">
        <v>594</v>
      </c>
    </row>
    <row r="2" spans="1:4" x14ac:dyDescent="0.2">
      <c r="A2" s="3" t="s">
        <v>595</v>
      </c>
      <c r="B2" s="3" t="s">
        <v>84</v>
      </c>
      <c r="C2" s="3" t="s">
        <v>85</v>
      </c>
      <c r="D2" s="3" t="s">
        <v>596</v>
      </c>
    </row>
    <row r="3" spans="1:4" x14ac:dyDescent="0.2">
      <c r="A3" s="3" t="s">
        <v>128</v>
      </c>
      <c r="B3" s="3" t="s">
        <v>597</v>
      </c>
      <c r="C3" s="3" t="s">
        <v>598</v>
      </c>
      <c r="D3" s="3" t="s">
        <v>599</v>
      </c>
    </row>
    <row r="4" spans="1:4" x14ac:dyDescent="0.2">
      <c r="A4" s="3">
        <v>1</v>
      </c>
      <c r="B4" s="3">
        <v>1</v>
      </c>
      <c r="C4" s="3">
        <v>1</v>
      </c>
      <c r="D4" s="3">
        <v>1</v>
      </c>
    </row>
    <row r="5" spans="1:4" x14ac:dyDescent="0.2">
      <c r="A5" s="3">
        <v>2</v>
      </c>
      <c r="B5" s="3">
        <v>1</v>
      </c>
      <c r="C5" s="3">
        <v>5</v>
      </c>
      <c r="D5" s="3">
        <v>5</v>
      </c>
    </row>
    <row r="6" spans="1:4" x14ac:dyDescent="0.2">
      <c r="A6" s="3">
        <v>3</v>
      </c>
      <c r="B6" s="3">
        <v>2</v>
      </c>
      <c r="C6" s="3">
        <v>10</v>
      </c>
      <c r="D6" s="3">
        <v>10</v>
      </c>
    </row>
    <row r="7" spans="1:4" x14ac:dyDescent="0.2">
      <c r="A7" s="3">
        <v>4</v>
      </c>
      <c r="B7" s="3">
        <v>2</v>
      </c>
      <c r="C7" s="3">
        <v>10</v>
      </c>
      <c r="D7" s="3">
        <v>10</v>
      </c>
    </row>
    <row r="8" spans="1:4" x14ac:dyDescent="0.2">
      <c r="A8" s="3">
        <v>5</v>
      </c>
      <c r="B8" s="3">
        <v>3</v>
      </c>
      <c r="C8" s="3">
        <v>10</v>
      </c>
      <c r="D8" s="3">
        <v>10</v>
      </c>
    </row>
    <row r="9" spans="1:4" x14ac:dyDescent="0.2">
      <c r="A9" s="3">
        <v>6</v>
      </c>
      <c r="B9" s="3">
        <v>3</v>
      </c>
      <c r="C9" s="3">
        <v>10</v>
      </c>
      <c r="D9" s="3">
        <v>10</v>
      </c>
    </row>
    <row r="10" spans="1:4" x14ac:dyDescent="0.2">
      <c r="A10" s="3">
        <v>7</v>
      </c>
      <c r="B10" s="3">
        <v>4</v>
      </c>
      <c r="C10" s="3">
        <v>10</v>
      </c>
      <c r="D10" s="3">
        <v>10</v>
      </c>
    </row>
    <row r="11" spans="1:4" x14ac:dyDescent="0.2">
      <c r="A11" s="3">
        <v>8</v>
      </c>
      <c r="B11" s="3">
        <v>4</v>
      </c>
      <c r="C11" s="3">
        <v>10</v>
      </c>
      <c r="D11" s="3">
        <v>10</v>
      </c>
    </row>
    <row r="12" spans="1:4" x14ac:dyDescent="0.2">
      <c r="A12" s="3">
        <v>9</v>
      </c>
      <c r="B12" s="3">
        <v>5</v>
      </c>
      <c r="C12" s="3">
        <v>10</v>
      </c>
      <c r="D12" s="3">
        <v>10</v>
      </c>
    </row>
    <row r="13" spans="1:4" x14ac:dyDescent="0.2">
      <c r="A13" s="3">
        <v>10</v>
      </c>
      <c r="B13" s="3">
        <v>5</v>
      </c>
      <c r="C13" s="3">
        <v>10</v>
      </c>
      <c r="D13" s="3">
        <v>10</v>
      </c>
    </row>
  </sheetData>
  <phoneticPr fontId="1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8"/>
  <sheetViews>
    <sheetView topLeftCell="A7" workbookViewId="0">
      <selection activeCell="H39" sqref="H39"/>
    </sheetView>
  </sheetViews>
  <sheetFormatPr defaultColWidth="9" defaultRowHeight="14.25" x14ac:dyDescent="0.2"/>
  <cols>
    <col min="1" max="4" width="13" style="1" customWidth="1"/>
  </cols>
  <sheetData>
    <row r="1" spans="1:4" x14ac:dyDescent="0.2">
      <c r="A1" s="2" t="s">
        <v>104</v>
      </c>
      <c r="B1" s="2" t="s">
        <v>600</v>
      </c>
      <c r="C1" s="2" t="s">
        <v>601</v>
      </c>
      <c r="D1" s="2" t="s">
        <v>602</v>
      </c>
    </row>
    <row r="2" spans="1:4" x14ac:dyDescent="0.2">
      <c r="A2" s="2">
        <v>15</v>
      </c>
      <c r="B2" s="2" t="s">
        <v>603</v>
      </c>
      <c r="C2" s="2" t="s">
        <v>604</v>
      </c>
      <c r="D2" s="2" t="s">
        <v>605</v>
      </c>
    </row>
    <row r="3" spans="1:4" x14ac:dyDescent="0.2">
      <c r="A3" s="2">
        <v>21</v>
      </c>
      <c r="B3" s="2" t="s">
        <v>606</v>
      </c>
      <c r="C3" s="2" t="s">
        <v>604</v>
      </c>
      <c r="D3" s="2" t="s">
        <v>605</v>
      </c>
    </row>
    <row r="4" spans="1:4" x14ac:dyDescent="0.2">
      <c r="A4" s="2">
        <v>22</v>
      </c>
      <c r="B4" s="2" t="s">
        <v>607</v>
      </c>
      <c r="C4" s="2" t="s">
        <v>604</v>
      </c>
      <c r="D4" s="2" t="s">
        <v>605</v>
      </c>
    </row>
    <row r="5" spans="1:4" x14ac:dyDescent="0.2">
      <c r="A5" s="2">
        <v>37</v>
      </c>
      <c r="B5" s="2" t="s">
        <v>608</v>
      </c>
      <c r="C5" s="2" t="s">
        <v>604</v>
      </c>
      <c r="D5" s="2" t="s">
        <v>609</v>
      </c>
    </row>
    <row r="6" spans="1:4" x14ac:dyDescent="0.2">
      <c r="A6" s="2">
        <v>38</v>
      </c>
      <c r="B6" s="2" t="s">
        <v>610</v>
      </c>
      <c r="C6" s="2" t="s">
        <v>604</v>
      </c>
      <c r="D6" s="2" t="s">
        <v>609</v>
      </c>
    </row>
    <row r="7" spans="1:4" x14ac:dyDescent="0.2">
      <c r="A7" s="2">
        <v>39</v>
      </c>
      <c r="B7" s="2" t="s">
        <v>611</v>
      </c>
      <c r="C7" s="2" t="s">
        <v>604</v>
      </c>
      <c r="D7" s="2" t="s">
        <v>609</v>
      </c>
    </row>
    <row r="8" spans="1:4" x14ac:dyDescent="0.2">
      <c r="A8" s="2">
        <v>40</v>
      </c>
      <c r="B8" s="2" t="s">
        <v>612</v>
      </c>
      <c r="C8" s="2" t="s">
        <v>604</v>
      </c>
      <c r="D8" s="2" t="s">
        <v>609</v>
      </c>
    </row>
    <row r="9" spans="1:4" x14ac:dyDescent="0.2">
      <c r="A9" s="2">
        <v>7</v>
      </c>
      <c r="B9" s="2" t="s">
        <v>613</v>
      </c>
      <c r="C9" s="2" t="s">
        <v>604</v>
      </c>
      <c r="D9" s="2" t="s">
        <v>609</v>
      </c>
    </row>
    <row r="10" spans="1:4" x14ac:dyDescent="0.2">
      <c r="A10" s="2">
        <v>12</v>
      </c>
      <c r="B10" s="2" t="s">
        <v>614</v>
      </c>
      <c r="C10" s="2" t="s">
        <v>604</v>
      </c>
      <c r="D10" s="2" t="s">
        <v>609</v>
      </c>
    </row>
    <row r="11" spans="1:4" x14ac:dyDescent="0.2">
      <c r="A11" s="2">
        <v>13</v>
      </c>
      <c r="B11" s="2" t="s">
        <v>615</v>
      </c>
      <c r="C11" s="2" t="s">
        <v>604</v>
      </c>
      <c r="D11" s="2" t="s">
        <v>609</v>
      </c>
    </row>
    <row r="12" spans="1:4" x14ac:dyDescent="0.2">
      <c r="A12" s="2">
        <v>14</v>
      </c>
      <c r="B12" s="2" t="s">
        <v>616</v>
      </c>
      <c r="C12" s="2" t="s">
        <v>604</v>
      </c>
      <c r="D12" s="2" t="s">
        <v>609</v>
      </c>
    </row>
    <row r="13" spans="1:4" x14ac:dyDescent="0.2">
      <c r="A13" s="2">
        <v>18</v>
      </c>
      <c r="B13" s="2" t="s">
        <v>617</v>
      </c>
      <c r="C13" s="2" t="s">
        <v>604</v>
      </c>
      <c r="D13" s="2" t="s">
        <v>609</v>
      </c>
    </row>
    <row r="14" spans="1:4" x14ac:dyDescent="0.2">
      <c r="A14" s="2">
        <v>23</v>
      </c>
      <c r="B14" s="2" t="s">
        <v>618</v>
      </c>
      <c r="C14" s="2" t="s">
        <v>604</v>
      </c>
      <c r="D14" s="2" t="s">
        <v>609</v>
      </c>
    </row>
    <row r="15" spans="1:4" x14ac:dyDescent="0.2">
      <c r="A15" s="2">
        <v>25</v>
      </c>
      <c r="B15" s="2" t="s">
        <v>619</v>
      </c>
      <c r="C15" s="2" t="s">
        <v>604</v>
      </c>
      <c r="D15" s="2" t="s">
        <v>609</v>
      </c>
    </row>
    <row r="16" spans="1:4" x14ac:dyDescent="0.2">
      <c r="A16" s="2">
        <v>27</v>
      </c>
      <c r="B16" s="2" t="s">
        <v>620</v>
      </c>
      <c r="C16" s="2" t="s">
        <v>604</v>
      </c>
      <c r="D16" s="2" t="s">
        <v>609</v>
      </c>
    </row>
    <row r="17" spans="1:4" x14ac:dyDescent="0.2">
      <c r="A17" s="2">
        <v>29</v>
      </c>
      <c r="B17" s="2" t="s">
        <v>621</v>
      </c>
      <c r="C17" s="2" t="s">
        <v>604</v>
      </c>
      <c r="D17" s="2" t="s">
        <v>609</v>
      </c>
    </row>
    <row r="18" spans="1:4" x14ac:dyDescent="0.2">
      <c r="A18" s="2">
        <v>33</v>
      </c>
      <c r="B18" s="2" t="s">
        <v>622</v>
      </c>
      <c r="C18" s="2" t="s">
        <v>604</v>
      </c>
      <c r="D18" s="2" t="s">
        <v>609</v>
      </c>
    </row>
    <row r="19" spans="1:4" x14ac:dyDescent="0.2">
      <c r="A19" s="2">
        <v>34</v>
      </c>
      <c r="B19" s="2" t="s">
        <v>623</v>
      </c>
      <c r="C19" s="2" t="s">
        <v>604</v>
      </c>
      <c r="D19" s="2" t="s">
        <v>609</v>
      </c>
    </row>
    <row r="20" spans="1:4" x14ac:dyDescent="0.2">
      <c r="A20" s="2">
        <v>35</v>
      </c>
      <c r="B20" s="2" t="s">
        <v>624</v>
      </c>
      <c r="C20" s="2" t="s">
        <v>604</v>
      </c>
      <c r="D20" s="2" t="s">
        <v>609</v>
      </c>
    </row>
    <row r="21" spans="1:4" x14ac:dyDescent="0.2">
      <c r="A21" s="2">
        <v>41</v>
      </c>
      <c r="B21" s="2" t="s">
        <v>625</v>
      </c>
      <c r="C21" s="2" t="s">
        <v>604</v>
      </c>
      <c r="D21" s="2" t="s">
        <v>626</v>
      </c>
    </row>
    <row r="22" spans="1:4" x14ac:dyDescent="0.2">
      <c r="A22" s="2">
        <v>42</v>
      </c>
      <c r="B22" s="2" t="s">
        <v>627</v>
      </c>
      <c r="C22" s="2" t="s">
        <v>604</v>
      </c>
      <c r="D22" s="2" t="s">
        <v>626</v>
      </c>
    </row>
    <row r="23" spans="1:4" x14ac:dyDescent="0.2">
      <c r="A23" s="2">
        <v>3</v>
      </c>
      <c r="B23" s="2" t="s">
        <v>628</v>
      </c>
      <c r="C23" s="2" t="s">
        <v>604</v>
      </c>
      <c r="D23" s="2" t="s">
        <v>626</v>
      </c>
    </row>
    <row r="24" spans="1:4" x14ac:dyDescent="0.2">
      <c r="A24" s="2">
        <v>5</v>
      </c>
      <c r="B24" s="2" t="s">
        <v>629</v>
      </c>
      <c r="C24" s="2" t="s">
        <v>604</v>
      </c>
      <c r="D24" s="2" t="s">
        <v>626</v>
      </c>
    </row>
    <row r="25" spans="1:4" x14ac:dyDescent="0.2">
      <c r="A25" s="2">
        <v>10</v>
      </c>
      <c r="B25" s="2" t="s">
        <v>630</v>
      </c>
      <c r="C25" s="2" t="s">
        <v>604</v>
      </c>
      <c r="D25" s="2" t="s">
        <v>626</v>
      </c>
    </row>
    <row r="26" spans="1:4" x14ac:dyDescent="0.2">
      <c r="A26" s="2">
        <v>16</v>
      </c>
      <c r="B26" s="2" t="s">
        <v>631</v>
      </c>
      <c r="C26" s="2" t="s">
        <v>604</v>
      </c>
      <c r="D26" s="2" t="s">
        <v>626</v>
      </c>
    </row>
    <row r="27" spans="1:4" x14ac:dyDescent="0.2">
      <c r="A27" s="2">
        <v>17</v>
      </c>
      <c r="B27" s="2" t="s">
        <v>632</v>
      </c>
      <c r="C27" s="2" t="s">
        <v>604</v>
      </c>
      <c r="D27" s="2" t="s">
        <v>626</v>
      </c>
    </row>
    <row r="28" spans="1:4" x14ac:dyDescent="0.2">
      <c r="A28" s="2">
        <v>24</v>
      </c>
      <c r="B28" s="2" t="s">
        <v>633</v>
      </c>
      <c r="C28" s="2" t="s">
        <v>604</v>
      </c>
      <c r="D28" s="2" t="s">
        <v>626</v>
      </c>
    </row>
    <row r="29" spans="1:4" x14ac:dyDescent="0.2">
      <c r="A29" s="2">
        <v>26</v>
      </c>
      <c r="B29" s="2" t="s">
        <v>634</v>
      </c>
      <c r="C29" s="2" t="s">
        <v>604</v>
      </c>
      <c r="D29" s="2" t="s">
        <v>626</v>
      </c>
    </row>
    <row r="30" spans="1:4" x14ac:dyDescent="0.2">
      <c r="A30" s="2">
        <v>28</v>
      </c>
      <c r="B30" s="2" t="s">
        <v>635</v>
      </c>
      <c r="C30" s="2" t="s">
        <v>604</v>
      </c>
      <c r="D30" s="2" t="s">
        <v>626</v>
      </c>
    </row>
    <row r="31" spans="1:4" x14ac:dyDescent="0.2">
      <c r="A31" s="2">
        <v>30</v>
      </c>
      <c r="B31" s="2" t="s">
        <v>636</v>
      </c>
      <c r="C31" s="2" t="s">
        <v>604</v>
      </c>
      <c r="D31" s="2" t="s">
        <v>626</v>
      </c>
    </row>
    <row r="32" spans="1:4" x14ac:dyDescent="0.2">
      <c r="A32" s="2">
        <v>32</v>
      </c>
      <c r="B32" s="2" t="s">
        <v>637</v>
      </c>
      <c r="C32" s="2" t="s">
        <v>604</v>
      </c>
      <c r="D32" s="2" t="s">
        <v>626</v>
      </c>
    </row>
    <row r="33" spans="1:4" x14ac:dyDescent="0.2">
      <c r="A33" s="2">
        <v>1</v>
      </c>
      <c r="B33" s="2" t="s">
        <v>638</v>
      </c>
      <c r="C33" s="2" t="s">
        <v>604</v>
      </c>
      <c r="D33" s="2" t="s">
        <v>639</v>
      </c>
    </row>
    <row r="34" spans="1:4" x14ac:dyDescent="0.2">
      <c r="A34" s="2">
        <v>2</v>
      </c>
      <c r="B34" s="2" t="s">
        <v>640</v>
      </c>
      <c r="C34" s="2" t="s">
        <v>604</v>
      </c>
      <c r="D34" s="2" t="s">
        <v>639</v>
      </c>
    </row>
    <row r="35" spans="1:4" x14ac:dyDescent="0.2">
      <c r="A35" s="2">
        <v>4</v>
      </c>
      <c r="B35" s="2" t="s">
        <v>641</v>
      </c>
      <c r="C35" s="2" t="s">
        <v>604</v>
      </c>
      <c r="D35" s="2" t="s">
        <v>639</v>
      </c>
    </row>
    <row r="36" spans="1:4" x14ac:dyDescent="0.2">
      <c r="A36" s="2">
        <v>6</v>
      </c>
      <c r="B36" s="2" t="s">
        <v>642</v>
      </c>
      <c r="C36" s="2" t="s">
        <v>604</v>
      </c>
      <c r="D36" s="2" t="s">
        <v>639</v>
      </c>
    </row>
    <row r="37" spans="1:4" x14ac:dyDescent="0.2">
      <c r="A37" s="2">
        <v>8</v>
      </c>
      <c r="B37" s="2" t="s">
        <v>643</v>
      </c>
      <c r="C37" s="2" t="s">
        <v>604</v>
      </c>
      <c r="D37" s="2" t="s">
        <v>639</v>
      </c>
    </row>
    <row r="38" spans="1:4" x14ac:dyDescent="0.2">
      <c r="A38" s="2">
        <v>9</v>
      </c>
      <c r="B38" s="2" t="s">
        <v>644</v>
      </c>
      <c r="C38" s="2" t="s">
        <v>604</v>
      </c>
      <c r="D38" s="2" t="s">
        <v>639</v>
      </c>
    </row>
    <row r="39" spans="1:4" x14ac:dyDescent="0.2">
      <c r="A39" s="2">
        <v>11</v>
      </c>
      <c r="B39" s="2" t="s">
        <v>645</v>
      </c>
      <c r="C39" s="2" t="s">
        <v>604</v>
      </c>
      <c r="D39" s="2" t="s">
        <v>639</v>
      </c>
    </row>
    <row r="40" spans="1:4" x14ac:dyDescent="0.2">
      <c r="A40" s="2">
        <v>19</v>
      </c>
      <c r="B40" s="2" t="s">
        <v>646</v>
      </c>
      <c r="C40" s="2" t="s">
        <v>604</v>
      </c>
      <c r="D40" s="2" t="s">
        <v>639</v>
      </c>
    </row>
    <row r="41" spans="1:4" x14ac:dyDescent="0.2">
      <c r="A41" s="2">
        <v>20</v>
      </c>
      <c r="B41" s="2" t="s">
        <v>647</v>
      </c>
      <c r="C41" s="2" t="s">
        <v>604</v>
      </c>
      <c r="D41" s="2" t="s">
        <v>639</v>
      </c>
    </row>
    <row r="42" spans="1:4" x14ac:dyDescent="0.2">
      <c r="A42" s="2">
        <v>31</v>
      </c>
      <c r="B42" s="2" t="s">
        <v>648</v>
      </c>
      <c r="C42" s="2" t="s">
        <v>604</v>
      </c>
      <c r="D42" s="2" t="s">
        <v>639</v>
      </c>
    </row>
    <row r="43" spans="1:4" x14ac:dyDescent="0.2">
      <c r="A43" s="2">
        <v>36</v>
      </c>
      <c r="B43" s="2" t="s">
        <v>649</v>
      </c>
      <c r="C43" s="2" t="s">
        <v>604</v>
      </c>
      <c r="D43" s="2" t="s">
        <v>639</v>
      </c>
    </row>
    <row r="44" spans="1:4" x14ac:dyDescent="0.2">
      <c r="A44" s="2">
        <v>201</v>
      </c>
      <c r="B44" s="2" t="s">
        <v>650</v>
      </c>
      <c r="C44" s="2" t="s">
        <v>604</v>
      </c>
      <c r="D44" s="2" t="s">
        <v>651</v>
      </c>
    </row>
    <row r="45" spans="1:4" x14ac:dyDescent="0.2">
      <c r="A45" s="2">
        <v>202</v>
      </c>
      <c r="B45" s="2" t="s">
        <v>652</v>
      </c>
      <c r="C45" s="2" t="s">
        <v>604</v>
      </c>
      <c r="D45" s="2" t="s">
        <v>651</v>
      </c>
    </row>
    <row r="46" spans="1:4" x14ac:dyDescent="0.2">
      <c r="A46" s="2">
        <v>203</v>
      </c>
      <c r="B46" s="2" t="s">
        <v>653</v>
      </c>
      <c r="C46" s="2" t="s">
        <v>604</v>
      </c>
      <c r="D46" s="2" t="s">
        <v>651</v>
      </c>
    </row>
    <row r="47" spans="1:4" x14ac:dyDescent="0.2">
      <c r="A47" s="2">
        <v>204</v>
      </c>
      <c r="B47" s="2" t="s">
        <v>654</v>
      </c>
      <c r="C47" s="2" t="s">
        <v>604</v>
      </c>
      <c r="D47" s="2" t="s">
        <v>651</v>
      </c>
    </row>
    <row r="48" spans="1:4" x14ac:dyDescent="0.2">
      <c r="A48" s="2">
        <v>205</v>
      </c>
      <c r="B48" s="2" t="s">
        <v>655</v>
      </c>
      <c r="C48" s="2" t="s">
        <v>604</v>
      </c>
      <c r="D48" s="2" t="s">
        <v>651</v>
      </c>
    </row>
    <row r="49" spans="1:4" x14ac:dyDescent="0.2">
      <c r="A49" s="2">
        <v>206</v>
      </c>
      <c r="B49" s="2" t="s">
        <v>656</v>
      </c>
      <c r="C49" s="2" t="s">
        <v>604</v>
      </c>
      <c r="D49" s="2" t="s">
        <v>651</v>
      </c>
    </row>
    <row r="50" spans="1:4" x14ac:dyDescent="0.2">
      <c r="A50" s="2">
        <v>207</v>
      </c>
      <c r="B50" s="2" t="s">
        <v>657</v>
      </c>
      <c r="C50" s="2" t="s">
        <v>604</v>
      </c>
      <c r="D50" s="2" t="s">
        <v>651</v>
      </c>
    </row>
    <row r="51" spans="1:4" x14ac:dyDescent="0.2">
      <c r="A51" s="2">
        <v>208</v>
      </c>
      <c r="B51" s="2" t="s">
        <v>658</v>
      </c>
      <c r="C51" s="2" t="s">
        <v>604</v>
      </c>
      <c r="D51" s="2" t="s">
        <v>651</v>
      </c>
    </row>
    <row r="52" spans="1:4" x14ac:dyDescent="0.2">
      <c r="A52" s="2">
        <v>212</v>
      </c>
      <c r="B52" s="2" t="s">
        <v>659</v>
      </c>
      <c r="C52" s="2" t="s">
        <v>604</v>
      </c>
      <c r="D52" s="2" t="s">
        <v>651</v>
      </c>
    </row>
    <row r="53" spans="1:4" x14ac:dyDescent="0.2">
      <c r="A53" s="2">
        <v>200012</v>
      </c>
      <c r="B53" s="2" t="s">
        <v>660</v>
      </c>
      <c r="C53" s="2" t="s">
        <v>661</v>
      </c>
      <c r="D53" s="2" t="s">
        <v>605</v>
      </c>
    </row>
    <row r="54" spans="1:4" x14ac:dyDescent="0.2">
      <c r="A54" s="2">
        <v>200022</v>
      </c>
      <c r="B54" s="2" t="s">
        <v>662</v>
      </c>
      <c r="C54" s="2" t="s">
        <v>661</v>
      </c>
      <c r="D54" s="2" t="s">
        <v>605</v>
      </c>
    </row>
    <row r="55" spans="1:4" x14ac:dyDescent="0.2">
      <c r="A55" s="2">
        <v>200023</v>
      </c>
      <c r="B55" s="2" t="s">
        <v>663</v>
      </c>
      <c r="C55" s="2" t="s">
        <v>661</v>
      </c>
      <c r="D55" s="2" t="s">
        <v>605</v>
      </c>
    </row>
    <row r="56" spans="1:4" x14ac:dyDescent="0.2">
      <c r="A56" s="2">
        <v>200029</v>
      </c>
      <c r="B56" s="2" t="s">
        <v>664</v>
      </c>
      <c r="C56" s="2" t="s">
        <v>661</v>
      </c>
      <c r="D56" s="2" t="s">
        <v>605</v>
      </c>
    </row>
    <row r="57" spans="1:4" x14ac:dyDescent="0.2">
      <c r="A57" s="2">
        <v>200046</v>
      </c>
      <c r="B57" s="2" t="s">
        <v>665</v>
      </c>
      <c r="C57" s="2" t="s">
        <v>661</v>
      </c>
      <c r="D57" s="2" t="s">
        <v>605</v>
      </c>
    </row>
    <row r="58" spans="1:4" x14ac:dyDescent="0.2">
      <c r="A58" s="2">
        <v>200064</v>
      </c>
      <c r="B58" s="2" t="s">
        <v>666</v>
      </c>
      <c r="C58" s="2" t="s">
        <v>661</v>
      </c>
      <c r="D58" s="2" t="s">
        <v>605</v>
      </c>
    </row>
    <row r="59" spans="1:4" x14ac:dyDescent="0.2">
      <c r="A59" s="2">
        <v>200073</v>
      </c>
      <c r="B59" s="2" t="s">
        <v>667</v>
      </c>
      <c r="C59" s="2" t="s">
        <v>661</v>
      </c>
      <c r="D59" s="2" t="s">
        <v>605</v>
      </c>
    </row>
    <row r="60" spans="1:4" x14ac:dyDescent="0.2">
      <c r="A60" s="2">
        <v>200079</v>
      </c>
      <c r="B60" s="2" t="s">
        <v>668</v>
      </c>
      <c r="C60" s="2" t="s">
        <v>661</v>
      </c>
      <c r="D60" s="2" t="s">
        <v>605</v>
      </c>
    </row>
    <row r="61" spans="1:4" x14ac:dyDescent="0.2">
      <c r="A61" s="2">
        <v>200084</v>
      </c>
      <c r="B61" s="2" t="s">
        <v>669</v>
      </c>
      <c r="C61" s="2" t="s">
        <v>661</v>
      </c>
      <c r="D61" s="2" t="s">
        <v>605</v>
      </c>
    </row>
    <row r="62" spans="1:4" x14ac:dyDescent="0.2">
      <c r="A62" s="2">
        <v>200085</v>
      </c>
      <c r="B62" s="2" t="s">
        <v>670</v>
      </c>
      <c r="C62" s="2" t="s">
        <v>661</v>
      </c>
      <c r="D62" s="2" t="s">
        <v>605</v>
      </c>
    </row>
    <row r="63" spans="1:4" x14ac:dyDescent="0.2">
      <c r="A63" s="2">
        <v>200086</v>
      </c>
      <c r="B63" s="2" t="s">
        <v>671</v>
      </c>
      <c r="C63" s="2" t="s">
        <v>661</v>
      </c>
      <c r="D63" s="2" t="s">
        <v>605</v>
      </c>
    </row>
    <row r="64" spans="1:4" x14ac:dyDescent="0.2">
      <c r="A64" s="2">
        <v>200087</v>
      </c>
      <c r="B64" s="2" t="s">
        <v>672</v>
      </c>
      <c r="C64" s="2" t="s">
        <v>661</v>
      </c>
      <c r="D64" s="2" t="s">
        <v>605</v>
      </c>
    </row>
    <row r="65" spans="1:4" x14ac:dyDescent="0.2">
      <c r="A65" s="2">
        <v>200092</v>
      </c>
      <c r="B65" s="2" t="s">
        <v>673</v>
      </c>
      <c r="C65" s="2" t="s">
        <v>661</v>
      </c>
      <c r="D65" s="2" t="s">
        <v>605</v>
      </c>
    </row>
    <row r="66" spans="1:4" x14ac:dyDescent="0.2">
      <c r="A66" s="2">
        <v>200110</v>
      </c>
      <c r="B66" s="2" t="s">
        <v>674</v>
      </c>
      <c r="C66" s="2" t="s">
        <v>661</v>
      </c>
      <c r="D66" s="2" t="s">
        <v>609</v>
      </c>
    </row>
    <row r="67" spans="1:4" x14ac:dyDescent="0.2">
      <c r="A67" s="2">
        <v>200102</v>
      </c>
      <c r="B67" s="2" t="s">
        <v>675</v>
      </c>
      <c r="C67" s="2" t="s">
        <v>661</v>
      </c>
      <c r="D67" s="2" t="s">
        <v>609</v>
      </c>
    </row>
    <row r="68" spans="1:4" x14ac:dyDescent="0.2">
      <c r="A68" s="2">
        <v>200103</v>
      </c>
      <c r="B68" s="2" t="s">
        <v>676</v>
      </c>
      <c r="C68" s="2" t="s">
        <v>661</v>
      </c>
      <c r="D68" s="2" t="s">
        <v>609</v>
      </c>
    </row>
    <row r="69" spans="1:4" x14ac:dyDescent="0.2">
      <c r="A69" s="2">
        <v>200095</v>
      </c>
      <c r="B69" s="2" t="s">
        <v>677</v>
      </c>
      <c r="C69" s="2" t="s">
        <v>661</v>
      </c>
      <c r="D69" s="2" t="s">
        <v>609</v>
      </c>
    </row>
    <row r="70" spans="1:4" x14ac:dyDescent="0.2">
      <c r="A70" s="2">
        <v>200005</v>
      </c>
      <c r="B70" s="2" t="s">
        <v>678</v>
      </c>
      <c r="C70" s="2" t="s">
        <v>661</v>
      </c>
      <c r="D70" s="2" t="s">
        <v>609</v>
      </c>
    </row>
    <row r="71" spans="1:4" x14ac:dyDescent="0.2">
      <c r="A71" s="2">
        <v>200006</v>
      </c>
      <c r="B71" s="2" t="s">
        <v>679</v>
      </c>
      <c r="C71" s="2" t="s">
        <v>661</v>
      </c>
      <c r="D71" s="2" t="s">
        <v>609</v>
      </c>
    </row>
    <row r="72" spans="1:4" x14ac:dyDescent="0.2">
      <c r="A72" s="2">
        <v>200008</v>
      </c>
      <c r="B72" s="2" t="s">
        <v>680</v>
      </c>
      <c r="C72" s="2" t="s">
        <v>661</v>
      </c>
      <c r="D72" s="2" t="s">
        <v>609</v>
      </c>
    </row>
    <row r="73" spans="1:4" x14ac:dyDescent="0.2">
      <c r="A73" s="2">
        <v>200013</v>
      </c>
      <c r="B73" s="2" t="s">
        <v>681</v>
      </c>
      <c r="C73" s="2" t="s">
        <v>661</v>
      </c>
      <c r="D73" s="2" t="s">
        <v>609</v>
      </c>
    </row>
    <row r="74" spans="1:4" x14ac:dyDescent="0.2">
      <c r="A74" s="2">
        <v>200016</v>
      </c>
      <c r="B74" s="2" t="s">
        <v>682</v>
      </c>
      <c r="C74" s="2" t="s">
        <v>661</v>
      </c>
      <c r="D74" s="2" t="s">
        <v>609</v>
      </c>
    </row>
    <row r="75" spans="1:4" x14ac:dyDescent="0.2">
      <c r="A75" s="2">
        <v>200036</v>
      </c>
      <c r="B75" s="2" t="s">
        <v>683</v>
      </c>
      <c r="C75" s="2" t="s">
        <v>661</v>
      </c>
      <c r="D75" s="2" t="s">
        <v>609</v>
      </c>
    </row>
    <row r="76" spans="1:4" x14ac:dyDescent="0.2">
      <c r="A76" s="2">
        <v>200037</v>
      </c>
      <c r="B76" s="2" t="s">
        <v>684</v>
      </c>
      <c r="C76" s="2" t="s">
        <v>661</v>
      </c>
      <c r="D76" s="2" t="s">
        <v>609</v>
      </c>
    </row>
    <row r="77" spans="1:4" x14ac:dyDescent="0.2">
      <c r="A77" s="2">
        <v>200063</v>
      </c>
      <c r="B77" s="2" t="s">
        <v>685</v>
      </c>
      <c r="C77" s="2" t="s">
        <v>661</v>
      </c>
      <c r="D77" s="2" t="s">
        <v>609</v>
      </c>
    </row>
    <row r="78" spans="1:4" x14ac:dyDescent="0.2">
      <c r="A78" s="2">
        <v>200065</v>
      </c>
      <c r="B78" s="2" t="s">
        <v>686</v>
      </c>
      <c r="C78" s="2" t="s">
        <v>661</v>
      </c>
      <c r="D78" s="2" t="s">
        <v>609</v>
      </c>
    </row>
    <row r="79" spans="1:4" x14ac:dyDescent="0.2">
      <c r="A79" s="2">
        <v>200068</v>
      </c>
      <c r="B79" s="2" t="s">
        <v>687</v>
      </c>
      <c r="C79" s="2" t="s">
        <v>661</v>
      </c>
      <c r="D79" s="2" t="s">
        <v>609</v>
      </c>
    </row>
    <row r="80" spans="1:4" x14ac:dyDescent="0.2">
      <c r="A80" s="2">
        <v>200072</v>
      </c>
      <c r="B80" s="2" t="s">
        <v>688</v>
      </c>
      <c r="C80" s="2" t="s">
        <v>661</v>
      </c>
      <c r="D80" s="2" t="s">
        <v>609</v>
      </c>
    </row>
    <row r="81" spans="1:4" x14ac:dyDescent="0.2">
      <c r="A81" s="2">
        <v>200076</v>
      </c>
      <c r="B81" s="2" t="s">
        <v>689</v>
      </c>
      <c r="C81" s="2" t="s">
        <v>661</v>
      </c>
      <c r="D81" s="2" t="s">
        <v>609</v>
      </c>
    </row>
    <row r="82" spans="1:4" x14ac:dyDescent="0.2">
      <c r="A82" s="2">
        <v>200083</v>
      </c>
      <c r="B82" s="2" t="s">
        <v>690</v>
      </c>
      <c r="C82" s="2" t="s">
        <v>661</v>
      </c>
      <c r="D82" s="2" t="s">
        <v>609</v>
      </c>
    </row>
    <row r="83" spans="1:4" x14ac:dyDescent="0.2">
      <c r="A83" s="2">
        <v>200074</v>
      </c>
      <c r="B83" s="2" t="s">
        <v>691</v>
      </c>
      <c r="C83" s="2" t="s">
        <v>661</v>
      </c>
      <c r="D83" s="2" t="s">
        <v>609</v>
      </c>
    </row>
    <row r="84" spans="1:4" x14ac:dyDescent="0.2">
      <c r="A84" s="2">
        <v>200096</v>
      </c>
      <c r="B84" s="2" t="s">
        <v>692</v>
      </c>
      <c r="C84" s="2" t="s">
        <v>661</v>
      </c>
      <c r="D84" s="2" t="s">
        <v>626</v>
      </c>
    </row>
    <row r="85" spans="1:4" x14ac:dyDescent="0.2">
      <c r="A85" s="2">
        <v>200098</v>
      </c>
      <c r="B85" s="2" t="s">
        <v>693</v>
      </c>
      <c r="C85" s="2" t="s">
        <v>661</v>
      </c>
      <c r="D85" s="2" t="s">
        <v>626</v>
      </c>
    </row>
    <row r="86" spans="1:4" x14ac:dyDescent="0.2">
      <c r="A86" s="2">
        <v>200099</v>
      </c>
      <c r="B86" s="2" t="s">
        <v>694</v>
      </c>
      <c r="C86" s="2" t="s">
        <v>661</v>
      </c>
      <c r="D86" s="2" t="s">
        <v>626</v>
      </c>
    </row>
    <row r="87" spans="1:4" x14ac:dyDescent="0.2">
      <c r="A87" s="2">
        <v>200100</v>
      </c>
      <c r="B87" s="2" t="s">
        <v>695</v>
      </c>
      <c r="C87" s="2" t="s">
        <v>661</v>
      </c>
      <c r="D87" s="2" t="s">
        <v>626</v>
      </c>
    </row>
    <row r="88" spans="1:4" x14ac:dyDescent="0.2">
      <c r="A88" s="2">
        <v>200101</v>
      </c>
      <c r="B88" s="2" t="s">
        <v>696</v>
      </c>
      <c r="C88" s="2" t="s">
        <v>661</v>
      </c>
      <c r="D88" s="2" t="s">
        <v>626</v>
      </c>
    </row>
    <row r="89" spans="1:4" x14ac:dyDescent="0.2">
      <c r="A89" s="2">
        <v>200105</v>
      </c>
      <c r="B89" s="2" t="s">
        <v>697</v>
      </c>
      <c r="C89" s="2" t="s">
        <v>661</v>
      </c>
      <c r="D89" s="2" t="s">
        <v>626</v>
      </c>
    </row>
    <row r="90" spans="1:4" x14ac:dyDescent="0.2">
      <c r="A90" s="2">
        <v>200007</v>
      </c>
      <c r="B90" s="2" t="s">
        <v>698</v>
      </c>
      <c r="C90" s="2" t="s">
        <v>661</v>
      </c>
      <c r="D90" s="2" t="s">
        <v>626</v>
      </c>
    </row>
    <row r="91" spans="1:4" x14ac:dyDescent="0.2">
      <c r="A91" s="2">
        <v>200009</v>
      </c>
      <c r="B91" s="2" t="s">
        <v>699</v>
      </c>
      <c r="C91" s="2" t="s">
        <v>661</v>
      </c>
      <c r="D91" s="2" t="s">
        <v>626</v>
      </c>
    </row>
    <row r="92" spans="1:4" x14ac:dyDescent="0.2">
      <c r="A92" s="2">
        <v>200010</v>
      </c>
      <c r="B92" s="2" t="s">
        <v>700</v>
      </c>
      <c r="C92" s="2" t="s">
        <v>661</v>
      </c>
      <c r="D92" s="2" t="s">
        <v>626</v>
      </c>
    </row>
    <row r="93" spans="1:4" x14ac:dyDescent="0.2">
      <c r="A93" s="2">
        <v>200011</v>
      </c>
      <c r="B93" s="2" t="s">
        <v>701</v>
      </c>
      <c r="C93" s="2" t="s">
        <v>661</v>
      </c>
      <c r="D93" s="2" t="s">
        <v>626</v>
      </c>
    </row>
    <row r="94" spans="1:4" x14ac:dyDescent="0.2">
      <c r="A94" s="2">
        <v>200018</v>
      </c>
      <c r="B94" s="2" t="s">
        <v>702</v>
      </c>
      <c r="C94" s="2" t="s">
        <v>661</v>
      </c>
      <c r="D94" s="2" t="s">
        <v>626</v>
      </c>
    </row>
    <row r="95" spans="1:4" x14ac:dyDescent="0.2">
      <c r="A95" s="2">
        <v>200019</v>
      </c>
      <c r="B95" s="2" t="s">
        <v>703</v>
      </c>
      <c r="C95" s="2" t="s">
        <v>661</v>
      </c>
      <c r="D95" s="2" t="s">
        <v>626</v>
      </c>
    </row>
    <row r="96" spans="1:4" x14ac:dyDescent="0.2">
      <c r="A96" s="2">
        <v>200028</v>
      </c>
      <c r="B96" s="2" t="s">
        <v>704</v>
      </c>
      <c r="C96" s="2" t="s">
        <v>661</v>
      </c>
      <c r="D96" s="2" t="s">
        <v>626</v>
      </c>
    </row>
    <row r="97" spans="1:4" x14ac:dyDescent="0.2">
      <c r="A97" s="2">
        <v>200031</v>
      </c>
      <c r="B97" s="2" t="s">
        <v>705</v>
      </c>
      <c r="C97" s="2" t="s">
        <v>661</v>
      </c>
      <c r="D97" s="2" t="s">
        <v>626</v>
      </c>
    </row>
    <row r="98" spans="1:4" x14ac:dyDescent="0.2">
      <c r="A98" s="2">
        <v>200041</v>
      </c>
      <c r="B98" s="2" t="s">
        <v>706</v>
      </c>
      <c r="C98" s="2" t="s">
        <v>661</v>
      </c>
      <c r="D98" s="2" t="s">
        <v>626</v>
      </c>
    </row>
    <row r="99" spans="1:4" x14ac:dyDescent="0.2">
      <c r="A99" s="2">
        <v>200042</v>
      </c>
      <c r="B99" s="2" t="s">
        <v>707</v>
      </c>
      <c r="C99" s="2" t="s">
        <v>661</v>
      </c>
      <c r="D99" s="2" t="s">
        <v>626</v>
      </c>
    </row>
    <row r="100" spans="1:4" x14ac:dyDescent="0.2">
      <c r="A100" s="2">
        <v>200047</v>
      </c>
      <c r="B100" s="2" t="s">
        <v>708</v>
      </c>
      <c r="C100" s="2" t="s">
        <v>661</v>
      </c>
      <c r="D100" s="2" t="s">
        <v>626</v>
      </c>
    </row>
    <row r="101" spans="1:4" x14ac:dyDescent="0.2">
      <c r="A101" s="2">
        <v>200060</v>
      </c>
      <c r="B101" s="2" t="s">
        <v>709</v>
      </c>
      <c r="C101" s="2" t="s">
        <v>661</v>
      </c>
      <c r="D101" s="2" t="s">
        <v>626</v>
      </c>
    </row>
    <row r="102" spans="1:4" x14ac:dyDescent="0.2">
      <c r="A102" s="2">
        <v>200061</v>
      </c>
      <c r="B102" s="2" t="s">
        <v>710</v>
      </c>
      <c r="C102" s="2" t="s">
        <v>661</v>
      </c>
      <c r="D102" s="2" t="s">
        <v>626</v>
      </c>
    </row>
    <row r="103" spans="1:4" x14ac:dyDescent="0.2">
      <c r="A103" s="2">
        <v>200078</v>
      </c>
      <c r="B103" s="2" t="s">
        <v>711</v>
      </c>
      <c r="C103" s="2" t="s">
        <v>661</v>
      </c>
      <c r="D103" s="2" t="s">
        <v>626</v>
      </c>
    </row>
    <row r="104" spans="1:4" x14ac:dyDescent="0.2">
      <c r="A104" s="2">
        <v>200080</v>
      </c>
      <c r="B104" s="2" t="s">
        <v>712</v>
      </c>
      <c r="C104" s="2" t="s">
        <v>661</v>
      </c>
      <c r="D104" s="2" t="s">
        <v>626</v>
      </c>
    </row>
    <row r="105" spans="1:4" x14ac:dyDescent="0.2">
      <c r="A105" s="2">
        <v>200107</v>
      </c>
      <c r="B105" s="2" t="s">
        <v>713</v>
      </c>
      <c r="C105" s="2" t="s">
        <v>661</v>
      </c>
      <c r="D105" s="2" t="s">
        <v>651</v>
      </c>
    </row>
    <row r="106" spans="1:4" x14ac:dyDescent="0.2">
      <c r="A106" s="2">
        <v>200108</v>
      </c>
      <c r="B106" s="2" t="s">
        <v>714</v>
      </c>
      <c r="C106" s="2" t="s">
        <v>661</v>
      </c>
      <c r="D106" s="2" t="s">
        <v>651</v>
      </c>
    </row>
    <row r="107" spans="1:4" x14ac:dyDescent="0.2">
      <c r="A107" s="2">
        <v>200109</v>
      </c>
      <c r="B107" s="2" t="s">
        <v>715</v>
      </c>
      <c r="C107" s="2" t="s">
        <v>661</v>
      </c>
      <c r="D107" s="2" t="s">
        <v>651</v>
      </c>
    </row>
    <row r="108" spans="1:4" x14ac:dyDescent="0.2">
      <c r="A108" s="2">
        <v>200043</v>
      </c>
      <c r="B108" s="2" t="s">
        <v>716</v>
      </c>
      <c r="C108" s="2" t="s">
        <v>661</v>
      </c>
      <c r="D108" s="2" t="s">
        <v>651</v>
      </c>
    </row>
    <row r="109" spans="1:4" x14ac:dyDescent="0.2">
      <c r="A109" s="2">
        <v>200001</v>
      </c>
      <c r="B109" s="2" t="s">
        <v>717</v>
      </c>
      <c r="C109" s="2" t="s">
        <v>661</v>
      </c>
      <c r="D109" s="2" t="s">
        <v>651</v>
      </c>
    </row>
    <row r="110" spans="1:4" x14ac:dyDescent="0.2">
      <c r="A110" s="2">
        <v>200002</v>
      </c>
      <c r="B110" s="2" t="s">
        <v>718</v>
      </c>
      <c r="C110" s="2" t="s">
        <v>661</v>
      </c>
      <c r="D110" s="2" t="s">
        <v>651</v>
      </c>
    </row>
    <row r="111" spans="1:4" x14ac:dyDescent="0.2">
      <c r="A111" s="2">
        <v>200003</v>
      </c>
      <c r="B111" s="2" t="s">
        <v>719</v>
      </c>
      <c r="C111" s="2" t="s">
        <v>661</v>
      </c>
      <c r="D111" s="2" t="s">
        <v>651</v>
      </c>
    </row>
    <row r="112" spans="1:4" x14ac:dyDescent="0.2">
      <c r="A112" s="2">
        <v>200004</v>
      </c>
      <c r="B112" s="2" t="s">
        <v>720</v>
      </c>
      <c r="C112" s="2" t="s">
        <v>661</v>
      </c>
      <c r="D112" s="2" t="s">
        <v>651</v>
      </c>
    </row>
    <row r="113" spans="1:4" x14ac:dyDescent="0.2">
      <c r="A113" s="2">
        <v>200014</v>
      </c>
      <c r="B113" s="2" t="s">
        <v>721</v>
      </c>
      <c r="C113" s="2" t="s">
        <v>661</v>
      </c>
      <c r="D113" s="2" t="s">
        <v>651</v>
      </c>
    </row>
    <row r="114" spans="1:4" x14ac:dyDescent="0.2">
      <c r="A114" s="2">
        <v>200015</v>
      </c>
      <c r="B114" s="2" t="s">
        <v>722</v>
      </c>
      <c r="C114" s="2" t="s">
        <v>661</v>
      </c>
      <c r="D114" s="2" t="s">
        <v>651</v>
      </c>
    </row>
    <row r="115" spans="1:4" x14ac:dyDescent="0.2">
      <c r="A115" s="2">
        <v>200017</v>
      </c>
      <c r="B115" s="2" t="s">
        <v>723</v>
      </c>
      <c r="C115" s="2" t="s">
        <v>661</v>
      </c>
      <c r="D115" s="2" t="s">
        <v>651</v>
      </c>
    </row>
    <row r="116" spans="1:4" x14ac:dyDescent="0.2">
      <c r="A116" s="2">
        <v>200020</v>
      </c>
      <c r="B116" s="2" t="s">
        <v>724</v>
      </c>
      <c r="C116" s="2" t="s">
        <v>661</v>
      </c>
      <c r="D116" s="2" t="s">
        <v>651</v>
      </c>
    </row>
    <row r="117" spans="1:4" x14ac:dyDescent="0.2">
      <c r="A117" s="2">
        <v>200021</v>
      </c>
      <c r="B117" s="2" t="s">
        <v>725</v>
      </c>
      <c r="C117" s="2" t="s">
        <v>661</v>
      </c>
      <c r="D117" s="2" t="s">
        <v>651</v>
      </c>
    </row>
    <row r="118" spans="1:4" x14ac:dyDescent="0.2">
      <c r="A118" s="2">
        <v>200024</v>
      </c>
      <c r="B118" s="2" t="s">
        <v>726</v>
      </c>
      <c r="C118" s="2" t="s">
        <v>661</v>
      </c>
      <c r="D118" s="2" t="s">
        <v>651</v>
      </c>
    </row>
    <row r="119" spans="1:4" x14ac:dyDescent="0.2">
      <c r="A119" s="2">
        <v>200025</v>
      </c>
      <c r="B119" s="2" t="s">
        <v>727</v>
      </c>
      <c r="C119" s="2" t="s">
        <v>661</v>
      </c>
      <c r="D119" s="2" t="s">
        <v>651</v>
      </c>
    </row>
    <row r="120" spans="1:4" x14ac:dyDescent="0.2">
      <c r="A120" s="2">
        <v>200026</v>
      </c>
      <c r="B120" s="2" t="s">
        <v>728</v>
      </c>
      <c r="C120" s="2" t="s">
        <v>661</v>
      </c>
      <c r="D120" s="2" t="s">
        <v>651</v>
      </c>
    </row>
    <row r="121" spans="1:4" x14ac:dyDescent="0.2">
      <c r="A121" s="2">
        <v>200027</v>
      </c>
      <c r="B121" s="2" t="s">
        <v>729</v>
      </c>
      <c r="C121" s="2" t="s">
        <v>661</v>
      </c>
      <c r="D121" s="2" t="s">
        <v>651</v>
      </c>
    </row>
    <row r="122" spans="1:4" x14ac:dyDescent="0.2">
      <c r="A122" s="2">
        <v>200030</v>
      </c>
      <c r="B122" s="2" t="s">
        <v>730</v>
      </c>
      <c r="C122" s="2" t="s">
        <v>661</v>
      </c>
      <c r="D122" s="2" t="s">
        <v>651</v>
      </c>
    </row>
    <row r="123" spans="1:4" x14ac:dyDescent="0.2">
      <c r="A123" s="2">
        <v>200032</v>
      </c>
      <c r="B123" s="2" t="s">
        <v>731</v>
      </c>
      <c r="C123" s="2" t="s">
        <v>661</v>
      </c>
      <c r="D123" s="2" t="s">
        <v>651</v>
      </c>
    </row>
    <row r="124" spans="1:4" x14ac:dyDescent="0.2">
      <c r="A124" s="2">
        <v>200034</v>
      </c>
      <c r="B124" s="2" t="s">
        <v>732</v>
      </c>
      <c r="C124" s="2" t="s">
        <v>661</v>
      </c>
      <c r="D124" s="2" t="s">
        <v>651</v>
      </c>
    </row>
    <row r="125" spans="1:4" x14ac:dyDescent="0.2">
      <c r="A125" s="2">
        <v>200035</v>
      </c>
      <c r="B125" s="2" t="s">
        <v>733</v>
      </c>
      <c r="C125" s="2" t="s">
        <v>661</v>
      </c>
      <c r="D125" s="2" t="s">
        <v>651</v>
      </c>
    </row>
    <row r="126" spans="1:4" x14ac:dyDescent="0.2">
      <c r="A126" s="2">
        <v>200039</v>
      </c>
      <c r="B126" s="2" t="s">
        <v>734</v>
      </c>
      <c r="C126" s="2" t="s">
        <v>661</v>
      </c>
      <c r="D126" s="2" t="s">
        <v>651</v>
      </c>
    </row>
    <row r="127" spans="1:4" x14ac:dyDescent="0.2">
      <c r="A127" s="2">
        <v>200040</v>
      </c>
      <c r="B127" s="2" t="s">
        <v>735</v>
      </c>
      <c r="C127" s="2" t="s">
        <v>661</v>
      </c>
      <c r="D127" s="2" t="s">
        <v>651</v>
      </c>
    </row>
    <row r="128" spans="1:4" x14ac:dyDescent="0.2">
      <c r="A128" s="2">
        <v>200044</v>
      </c>
      <c r="B128" s="2" t="s">
        <v>736</v>
      </c>
      <c r="C128" s="2" t="s">
        <v>661</v>
      </c>
      <c r="D128" s="2" t="s">
        <v>651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#Sheet1</vt:lpstr>
      <vt:lpstr>#英雄配置表</vt:lpstr>
      <vt:lpstr>#TID_base_up</vt:lpstr>
      <vt:lpstr>预制账号</vt:lpstr>
      <vt:lpstr>法兰克预制建筑配置</vt:lpstr>
      <vt:lpstr>中国预制建筑配置</vt:lpstr>
      <vt:lpstr>拜占庭预制建筑配置</vt:lpstr>
      <vt:lpstr>罗马预制建筑配置</vt:lpstr>
      <vt:lpstr>不列颠预制建筑配置</vt:lpstr>
      <vt:lpstr>埃及预制建筑配置</vt:lpstr>
      <vt:lpstr>日本预制建筑配置</vt:lpstr>
      <vt:lpstr>韩国预制建筑配置</vt:lpstr>
      <vt:lpstr>#Sheet2</vt:lpstr>
      <vt:lpstr>预制战斗账号</vt:lpstr>
      <vt:lpstr>预支账号英雄模板（特殊用途）</vt:lpstr>
      <vt:lpstr>英雄预制账号</vt:lpstr>
      <vt:lpstr>#武将，技能ID</vt:lpstr>
      <vt:lpstr>法兰克预制建筑配置!building2020102</vt:lpstr>
      <vt:lpstr>法兰克预制建筑配置!building2020102_1</vt:lpstr>
      <vt:lpstr>法兰克预制建筑配置!building2020102_2</vt:lpstr>
      <vt:lpstr>法兰克预制建筑配置!building2020102_3</vt:lpstr>
      <vt:lpstr>法兰克预制建筑配置!building2020102_4</vt:lpstr>
      <vt:lpstr>法兰克预制建筑配置!building2020102_5</vt:lpstr>
      <vt:lpstr>法兰克预制建筑配置!building2020102_6</vt:lpstr>
      <vt:lpstr>法兰克预制建筑配置!building2020102_7</vt:lpstr>
      <vt:lpstr>法兰克预制建筑配置!newbuilding7</vt:lpstr>
      <vt:lpstr>法兰克预制建筑配置!newbuilding7_1</vt:lpstr>
      <vt:lpstr>法兰克预制建筑配置!newbuilding7_2</vt:lpstr>
      <vt:lpstr>法兰克预制建筑配置!newbuilding7_3</vt:lpstr>
      <vt:lpstr>法兰克预制建筑配置!newbuilding7_4</vt:lpstr>
      <vt:lpstr>法兰克预制建筑配置!newbuilding7_5</vt:lpstr>
      <vt:lpstr>法兰克预制建筑配置!newbuilding7_6</vt:lpstr>
      <vt:lpstr>法兰克预制建筑配置!newbuilding7_7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T174079</cp:lastModifiedBy>
  <dcterms:created xsi:type="dcterms:W3CDTF">2019-04-01T09:05:00Z</dcterms:created>
  <dcterms:modified xsi:type="dcterms:W3CDTF">2025-03-04T13:53:22Z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C1657068D77845738DE891295AD33A80_12</vt:lpwstr>
  </property>
  <property fmtid="{D5CDD505-2E9C-101B-9397-08002B2CF9AE}" pid="3" name="KSOProductBuildVer">
    <vt:lpwstr>2052-12.1.0.17827</vt:lpwstr>
  </property>
</Properties>
</file>