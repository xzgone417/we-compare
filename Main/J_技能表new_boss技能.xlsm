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E:\AOEM\common\excel\xls\Main\"/>
    </mc:Choice>
  </mc:AlternateContent>
  <xr:revisionPtr revIDLastSave="0" documentId="13_ncr:1_{C5B695A0-2BE3-4000-9A14-3820E44FF0F4}" xr6:coauthVersionLast="47" xr6:coauthVersionMax="47" xr10:uidLastSave="{00000000-0000-0000-0000-000000000000}"/>
  <bookViews>
    <workbookView xWindow="-120" yWindow="-120" windowWidth="38640" windowHeight="21120" tabRatio="646" firstSheet="1" activeTab="1" xr2:uid="{00000000-000D-0000-FFFF-FFFF00000000}"/>
  </bookViews>
  <sheets>
    <sheet name="#enumHelper" sheetId="1" state="hidden" r:id="rId1"/>
    <sheet name="英雄战斗技能" sheetId="12" r:id="rId2"/>
  </sheets>
  <externalReferences>
    <externalReference r:id="rId3"/>
    <externalReference r:id="rId4"/>
  </externalReferences>
  <definedNames>
    <definedName name="_xlnm._FilterDatabase" localSheetId="1" hidden="1">英雄战斗技能!$A$3:$EP$710</definedName>
    <definedName name="_xlnm.Database">英雄战斗技能!$A$3:$EM$380</definedName>
    <definedName name="icon2card">#REF!</definedName>
    <definedName name="id2des">#REF!</definedName>
    <definedName name="id2icon">#REF!</definedName>
    <definedName name="ID2name">#REF!</definedName>
    <definedName name="id2rec">#REF!</definedName>
    <definedName name="id2sort">#REF!</definedName>
    <definedName name="name2id">[1]Sheet3!$D$3:$E$110</definedName>
    <definedName name="name2rec">#REF!</definedName>
    <definedName name="skill2name">#REF!</definedName>
    <definedName name="SkillDetail">#REF!</definedName>
    <definedName name="场景类型" localSheetId="1">#REF!</definedName>
    <definedName name="场景类型">#REF!</definedName>
    <definedName name="触发条件" localSheetId="1">#REF!</definedName>
    <definedName name="触发条件">#REF!</definedName>
    <definedName name="攻方_守方" localSheetId="1">#REF!</definedName>
    <definedName name="攻方_守方">#REF!</definedName>
    <definedName name="技能类型" localSheetId="1">#REF!</definedName>
    <definedName name="技能类型">#REF!</definedName>
    <definedName name="金矿价值">'[2]总规|定价'!$E$9</definedName>
    <definedName name="生效兵种" localSheetId="1">#REF!</definedName>
    <definedName name="生效兵种">#REF!</definedName>
    <definedName name="时间价值">'[2]总规|定价'!$E$10</definedName>
    <definedName name="效果的目标" localSheetId="1">#REF!</definedName>
    <definedName name="效果的目标">#REF!</definedName>
    <definedName name="效果类型" localSheetId="1">#REF!</definedName>
    <definedName name="效果类型">#REF!</definedName>
    <definedName name="组队_非组队" localSheetId="1">#REF!</definedName>
    <definedName name="组队_非组队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R706" i="12" l="1"/>
  <c r="DR705" i="12"/>
  <c r="DP705" i="12"/>
  <c r="DR703" i="12"/>
  <c r="DR702" i="12"/>
  <c r="DR697" i="12"/>
  <c r="DR696" i="12"/>
  <c r="DR695" i="12"/>
  <c r="DR692" i="12"/>
  <c r="DR691" i="12"/>
  <c r="DR690" i="12"/>
  <c r="DR689" i="12"/>
  <c r="DR688" i="12"/>
  <c r="DR687" i="12"/>
  <c r="DR686" i="12"/>
  <c r="DR685" i="12"/>
  <c r="DR684" i="12"/>
  <c r="DR683" i="12"/>
  <c r="DR682" i="12"/>
  <c r="DR681" i="12"/>
  <c r="DR680" i="12"/>
  <c r="DR679" i="12"/>
  <c r="DR678" i="12"/>
  <c r="DR677" i="12"/>
  <c r="DR676" i="12"/>
  <c r="DR675" i="12"/>
  <c r="DR674" i="12"/>
  <c r="DR673" i="12"/>
  <c r="DR672" i="12"/>
  <c r="DR671" i="12"/>
  <c r="DR670" i="12"/>
  <c r="DR669" i="12"/>
  <c r="DR668" i="12"/>
  <c r="DR667" i="12"/>
  <c r="DR666" i="12"/>
  <c r="DR665" i="12"/>
  <c r="DR664" i="12"/>
  <c r="DR663" i="12"/>
  <c r="DR662" i="12"/>
  <c r="DR661" i="12"/>
  <c r="DR660" i="12"/>
  <c r="DR659" i="12"/>
  <c r="DR658" i="12"/>
  <c r="DR657" i="12"/>
  <c r="DR656" i="12"/>
  <c r="DR655" i="12"/>
  <c r="DR654" i="12"/>
  <c r="DR653" i="12"/>
  <c r="DR652" i="12"/>
  <c r="DR651" i="12"/>
  <c r="DR650" i="12"/>
  <c r="DR649" i="12"/>
  <c r="DR648" i="12"/>
  <c r="DR647" i="12"/>
  <c r="DR646" i="12"/>
  <c r="DR645" i="12"/>
  <c r="DR644" i="12"/>
  <c r="DR643" i="12"/>
  <c r="DR642" i="12"/>
  <c r="DR641" i="12"/>
  <c r="DR640" i="12"/>
  <c r="DR639" i="12"/>
  <c r="DR638" i="12"/>
  <c r="DR637" i="12"/>
  <c r="DR636" i="12"/>
  <c r="DR635" i="12"/>
  <c r="DR634" i="12"/>
  <c r="DR633" i="12"/>
  <c r="DR632" i="12"/>
  <c r="DR631" i="12"/>
  <c r="DR630" i="12"/>
  <c r="DR629" i="12"/>
  <c r="DR628" i="12"/>
  <c r="DR627" i="12"/>
  <c r="DR626" i="12"/>
  <c r="DR625" i="12"/>
  <c r="DR624" i="12"/>
  <c r="DR623" i="12"/>
  <c r="DR622" i="12"/>
  <c r="DR621" i="12"/>
  <c r="DR620" i="12"/>
  <c r="DR619" i="12"/>
  <c r="DR618" i="12"/>
  <c r="DR617" i="12"/>
  <c r="DR616" i="12"/>
  <c r="DR615" i="12"/>
  <c r="DR614" i="12"/>
  <c r="DR613" i="12"/>
  <c r="DR612" i="12"/>
  <c r="DR611" i="12"/>
  <c r="DR610" i="12"/>
  <c r="DR609" i="12"/>
  <c r="DR608" i="12"/>
  <c r="DR607" i="12"/>
  <c r="DR606" i="12"/>
  <c r="DR605" i="12"/>
  <c r="DR604" i="12"/>
  <c r="DR603" i="12"/>
  <c r="DR602" i="12"/>
  <c r="DR601" i="12"/>
  <c r="DR600" i="12"/>
  <c r="DR599" i="12"/>
  <c r="DR598" i="12"/>
  <c r="DR597" i="12"/>
  <c r="DR596" i="12"/>
  <c r="DR595" i="12"/>
  <c r="DR594" i="12"/>
  <c r="DR593" i="12"/>
  <c r="DR592" i="12"/>
  <c r="DR591" i="12"/>
  <c r="DR590" i="12"/>
  <c r="DR589" i="12"/>
  <c r="DR588" i="12"/>
  <c r="DR587" i="12"/>
  <c r="DR586" i="12"/>
  <c r="DR585" i="12"/>
  <c r="DR584" i="12"/>
  <c r="DR583" i="12"/>
  <c r="DR582" i="12"/>
  <c r="DR581" i="12"/>
  <c r="DR580" i="12"/>
  <c r="DR579" i="12"/>
  <c r="DR578" i="12"/>
  <c r="DR577" i="12"/>
  <c r="DR576" i="12"/>
  <c r="DR575" i="12"/>
  <c r="DR574" i="12"/>
  <c r="DR573" i="12"/>
  <c r="DR572" i="12"/>
  <c r="DR571" i="12"/>
  <c r="DR570" i="12"/>
  <c r="DR569" i="12"/>
  <c r="DR568" i="12"/>
  <c r="DR567" i="12"/>
  <c r="DR566" i="12"/>
  <c r="DR565" i="12"/>
  <c r="DR564" i="12"/>
  <c r="DR563" i="12"/>
  <c r="DR562" i="12"/>
  <c r="DR561" i="12"/>
  <c r="DR560" i="12"/>
  <c r="DR559" i="12"/>
  <c r="DR558" i="12"/>
  <c r="DR557" i="12"/>
  <c r="DR556" i="12"/>
  <c r="DR555" i="12"/>
  <c r="DR554" i="12"/>
  <c r="DR553" i="12"/>
  <c r="DR552" i="12"/>
  <c r="DR551" i="12"/>
  <c r="DR550" i="12"/>
  <c r="DR549" i="12"/>
  <c r="DR548" i="12"/>
  <c r="DR547" i="12"/>
  <c r="DR546" i="12"/>
  <c r="DR545" i="12"/>
  <c r="DR544" i="12"/>
  <c r="DR543" i="12"/>
  <c r="DR542" i="12"/>
  <c r="DR541" i="12"/>
  <c r="DR540" i="12"/>
  <c r="DR539" i="12"/>
  <c r="DR538" i="12"/>
  <c r="DR537" i="12"/>
  <c r="DR536" i="12"/>
  <c r="DR535" i="12"/>
  <c r="DR534" i="12"/>
  <c r="DR533" i="12"/>
  <c r="DR532" i="12"/>
  <c r="DR531" i="12"/>
  <c r="DR530" i="12"/>
  <c r="DR529" i="12"/>
  <c r="DR528" i="12"/>
  <c r="DR527" i="12"/>
  <c r="DR526" i="12"/>
  <c r="DR525" i="12"/>
  <c r="DR524" i="12"/>
  <c r="DR523" i="12"/>
  <c r="DR522" i="12"/>
  <c r="DR521" i="12"/>
  <c r="DR520" i="12"/>
  <c r="DR519" i="12"/>
  <c r="DR518" i="12"/>
  <c r="DR517" i="12"/>
  <c r="DR516" i="12"/>
  <c r="DR515" i="12"/>
  <c r="DR514" i="12"/>
  <c r="DR513" i="12"/>
  <c r="DR512" i="12"/>
  <c r="DR511" i="12"/>
  <c r="DR510" i="12"/>
  <c r="DR509" i="12"/>
  <c r="DR508" i="12"/>
  <c r="DR507" i="12"/>
  <c r="DR506" i="12"/>
  <c r="DR505" i="12"/>
  <c r="DR504" i="12"/>
  <c r="DR503" i="12"/>
  <c r="DR502" i="12"/>
  <c r="DR501" i="12"/>
  <c r="DR500" i="12"/>
  <c r="DR499" i="12"/>
  <c r="DR498" i="12"/>
  <c r="DR497" i="12"/>
  <c r="DR496" i="12"/>
  <c r="DR495" i="12"/>
  <c r="DR494" i="12"/>
  <c r="DR493" i="12"/>
  <c r="DR492" i="12"/>
  <c r="DR491" i="12"/>
  <c r="DR490" i="12"/>
  <c r="DR489" i="12"/>
  <c r="DR488" i="12"/>
  <c r="DR487" i="12"/>
  <c r="DR486" i="12"/>
  <c r="DR485" i="12"/>
  <c r="DR484" i="12"/>
  <c r="DR483" i="12"/>
  <c r="DR482" i="12"/>
  <c r="DR481" i="12"/>
  <c r="DR480" i="12"/>
  <c r="DR479" i="12"/>
  <c r="DR478" i="12"/>
  <c r="DR477" i="12"/>
  <c r="DR476" i="12"/>
  <c r="DR475" i="12"/>
  <c r="DR474" i="12"/>
  <c r="DR473" i="12"/>
  <c r="DR472" i="12"/>
  <c r="DR471" i="12"/>
  <c r="DR470" i="12"/>
  <c r="DR469" i="12"/>
  <c r="DR468" i="12"/>
  <c r="DR467" i="12"/>
  <c r="DR466" i="12"/>
  <c r="DR465" i="12"/>
  <c r="DR464" i="12"/>
  <c r="DR463" i="12"/>
  <c r="DR462" i="12"/>
  <c r="DR461" i="12"/>
  <c r="DR460" i="12"/>
  <c r="DR459" i="12"/>
  <c r="DR458" i="12"/>
  <c r="DR457" i="12"/>
  <c r="DR456" i="12"/>
  <c r="DR455" i="12"/>
  <c r="DR454" i="12"/>
  <c r="DR453" i="12"/>
  <c r="DR452" i="12"/>
  <c r="DR451" i="12"/>
  <c r="DR450" i="12"/>
  <c r="DR449" i="12"/>
  <c r="DR448" i="12"/>
  <c r="DR447" i="12"/>
  <c r="DR446" i="12"/>
  <c r="DR445" i="12"/>
  <c r="DR444" i="12"/>
  <c r="DR443" i="12"/>
  <c r="DR442" i="12"/>
  <c r="DR441" i="12"/>
  <c r="DR440" i="12"/>
  <c r="DR439" i="12"/>
  <c r="DR438" i="12"/>
  <c r="DR437" i="12"/>
  <c r="DR436" i="12"/>
  <c r="DR435" i="12"/>
  <c r="DR434" i="12"/>
  <c r="DR433" i="12"/>
  <c r="DR432" i="12"/>
  <c r="DR431" i="12"/>
  <c r="DR430" i="12"/>
  <c r="DR429" i="12"/>
  <c r="DR428" i="12"/>
  <c r="DR427" i="12"/>
  <c r="DR426" i="12"/>
  <c r="DR425" i="12"/>
  <c r="DR424" i="12"/>
  <c r="DR423" i="12"/>
  <c r="DR422" i="12"/>
  <c r="DR421" i="12"/>
  <c r="DR420" i="12"/>
  <c r="DR419" i="12"/>
  <c r="DR418" i="12"/>
  <c r="DR417" i="12"/>
  <c r="DR416" i="12"/>
  <c r="DR415" i="12"/>
  <c r="DR414" i="12"/>
  <c r="DR413" i="12"/>
  <c r="DR412" i="12"/>
  <c r="DR411" i="12"/>
  <c r="EO410" i="12" a="1"/>
  <c r="EO410" i="12" s="1"/>
  <c r="EL410" i="12" a="1"/>
  <c r="EL410" i="12" s="1"/>
  <c r="EI410" i="12" a="1"/>
  <c r="EI410" i="12" s="1"/>
  <c r="EF410" i="12" a="1"/>
  <c r="EF410" i="12" s="1"/>
  <c r="EG410" i="12" s="1"/>
  <c r="DP410" i="12"/>
  <c r="DR409" i="12"/>
  <c r="DR408" i="12"/>
  <c r="DR407" i="12"/>
  <c r="DR406" i="12"/>
  <c r="EO405" i="12" a="1"/>
  <c r="EO405" i="12" s="1"/>
  <c r="EL405" i="12" a="1"/>
  <c r="EL405" i="12" s="1"/>
  <c r="EI405" i="12" a="1"/>
  <c r="EI405" i="12" s="1"/>
  <c r="EF405" i="12" a="1"/>
  <c r="EF405" i="12" s="1"/>
  <c r="EG405" i="12" s="1"/>
  <c r="DP405" i="12"/>
  <c r="EO404" i="12" a="1"/>
  <c r="EO404" i="12" s="1"/>
  <c r="EL404" i="12" a="1"/>
  <c r="EL404" i="12" s="1"/>
  <c r="EI404" i="12" a="1"/>
  <c r="EI404" i="12" s="1"/>
  <c r="EF404" i="12" a="1"/>
  <c r="EF404" i="12" s="1"/>
  <c r="EG404" i="12" s="1"/>
  <c r="DP404" i="12"/>
  <c r="EO403" i="12" a="1"/>
  <c r="EO403" i="12" s="1"/>
  <c r="EP403" i="12" s="1"/>
  <c r="EL403" i="12" a="1"/>
  <c r="EL403" i="12" s="1"/>
  <c r="EI403" i="12" a="1"/>
  <c r="EI403" i="12" s="1"/>
  <c r="EF403" i="12" a="1"/>
  <c r="EF403" i="12" s="1"/>
  <c r="EG403" i="12" s="1"/>
  <c r="EO402" i="12" a="1"/>
  <c r="EO402" i="12" s="1"/>
  <c r="EL402" i="12" a="1"/>
  <c r="EL402" i="12" s="1"/>
  <c r="EI402" i="12" a="1"/>
  <c r="EI402" i="12" s="1"/>
  <c r="EF402" i="12" a="1"/>
  <c r="EF402" i="12" s="1"/>
  <c r="EG402" i="12" s="1"/>
  <c r="DR402" i="12" s="1"/>
  <c r="DP402" i="12"/>
  <c r="EO401" i="12" a="1"/>
  <c r="EO401" i="12" s="1"/>
  <c r="EL401" i="12" a="1"/>
  <c r="EL401" i="12" s="1"/>
  <c r="EI401" i="12" a="1"/>
  <c r="EI401" i="12" s="1"/>
  <c r="EF401" i="12" a="1"/>
  <c r="EF401" i="12" s="1"/>
  <c r="EG401" i="12" s="1"/>
  <c r="DP401" i="12"/>
  <c r="EO400" i="12" a="1"/>
  <c r="EO400" i="12" s="1"/>
  <c r="EL400" i="12" a="1"/>
  <c r="EL400" i="12" s="1"/>
  <c r="EI400" i="12" a="1"/>
  <c r="EI400" i="12" s="1"/>
  <c r="EF400" i="12" a="1"/>
  <c r="EF400" i="12" s="1"/>
  <c r="EG400" i="12" s="1"/>
  <c r="DP400" i="12"/>
  <c r="EO399" i="12" a="1"/>
  <c r="EO399" i="12" s="1"/>
  <c r="EL399" i="12" a="1"/>
  <c r="EL399" i="12" s="1"/>
  <c r="EI399" i="12" a="1"/>
  <c r="EI399" i="12" s="1"/>
  <c r="EF399" i="12" a="1"/>
  <c r="EF399" i="12" s="1"/>
  <c r="EG399" i="12" s="1"/>
  <c r="DP399" i="12"/>
  <c r="EO398" i="12" a="1"/>
  <c r="EO398" i="12" s="1"/>
  <c r="EL398" i="12" a="1"/>
  <c r="EL398" i="12" s="1"/>
  <c r="EI398" i="12" a="1"/>
  <c r="EI398" i="12" s="1"/>
  <c r="EF398" i="12" a="1"/>
  <c r="EF398" i="12" s="1"/>
  <c r="EG398" i="12" s="1"/>
  <c r="DP398" i="12"/>
  <c r="EO397" i="12" a="1"/>
  <c r="EO397" i="12" s="1"/>
  <c r="EL397" i="12" a="1"/>
  <c r="EL397" i="12" s="1"/>
  <c r="EI397" i="12" a="1"/>
  <c r="EI397" i="12" s="1"/>
  <c r="EF397" i="12" a="1"/>
  <c r="EF397" i="12" s="1"/>
  <c r="EG397" i="12" s="1"/>
  <c r="DP397" i="12"/>
  <c r="EO396" i="12" a="1"/>
  <c r="EO396" i="12" s="1"/>
  <c r="EL396" i="12" a="1"/>
  <c r="EL396" i="12" s="1"/>
  <c r="EI396" i="12" a="1"/>
  <c r="EI396" i="12" s="1"/>
  <c r="EF396" i="12" a="1"/>
  <c r="EF396" i="12" s="1"/>
  <c r="EG396" i="12" s="1"/>
  <c r="DP396" i="12"/>
  <c r="EO395" i="12" a="1"/>
  <c r="EO395" i="12" s="1"/>
  <c r="EL395" i="12" a="1"/>
  <c r="EL395" i="12" s="1"/>
  <c r="EI395" i="12" a="1"/>
  <c r="EI395" i="12" s="1"/>
  <c r="EF395" i="12" a="1"/>
  <c r="EF395" i="12" s="1"/>
  <c r="EG395" i="12" s="1"/>
  <c r="DP395" i="12"/>
  <c r="EO394" i="12" a="1"/>
  <c r="EO394" i="12" s="1"/>
  <c r="EL394" i="12" a="1"/>
  <c r="EL394" i="12" s="1"/>
  <c r="EI394" i="12" a="1"/>
  <c r="EI394" i="12" s="1"/>
  <c r="EF394" i="12" a="1"/>
  <c r="EF394" i="12" s="1"/>
  <c r="EG394" i="12" s="1"/>
  <c r="DP394" i="12"/>
  <c r="EO393" i="12" a="1"/>
  <c r="EO393" i="12" s="1"/>
  <c r="EL393" i="12" a="1"/>
  <c r="EL393" i="12" s="1"/>
  <c r="EI393" i="12" a="1"/>
  <c r="EI393" i="12" s="1"/>
  <c r="EF393" i="12" a="1"/>
  <c r="EF393" i="12" s="1"/>
  <c r="EG393" i="12" s="1"/>
  <c r="DP393" i="12"/>
  <c r="EO392" i="12" a="1"/>
  <c r="EO392" i="12" s="1"/>
  <c r="EL392" i="12" a="1"/>
  <c r="EL392" i="12" s="1"/>
  <c r="EI392" i="12" a="1"/>
  <c r="EI392" i="12" s="1"/>
  <c r="EF392" i="12" a="1"/>
  <c r="EF392" i="12" s="1"/>
  <c r="EG392" i="12" s="1"/>
  <c r="DR392" i="12" s="1"/>
  <c r="DP392" i="12"/>
  <c r="EO391" i="12" a="1"/>
  <c r="EO391" i="12" s="1"/>
  <c r="EL391" i="12" a="1"/>
  <c r="EL391" i="12" s="1"/>
  <c r="EI391" i="12" a="1"/>
  <c r="EI391" i="12" s="1"/>
  <c r="EF391" i="12" a="1"/>
  <c r="EF391" i="12" s="1"/>
  <c r="EG391" i="12" s="1"/>
  <c r="DP391" i="12"/>
  <c r="EO390" i="12" a="1"/>
  <c r="EO390" i="12" s="1"/>
  <c r="EL390" i="12" a="1"/>
  <c r="EL390" i="12" s="1"/>
  <c r="EI390" i="12" a="1"/>
  <c r="EI390" i="12" s="1"/>
  <c r="EF390" i="12" a="1"/>
  <c r="EF390" i="12" s="1"/>
  <c r="EG390" i="12" s="1"/>
  <c r="DP390" i="12"/>
  <c r="EO389" i="12" a="1"/>
  <c r="EO389" i="12" s="1"/>
  <c r="EL389" i="12" a="1"/>
  <c r="EL389" i="12" s="1"/>
  <c r="EI389" i="12" a="1"/>
  <c r="EI389" i="12" s="1"/>
  <c r="EF389" i="12" a="1"/>
  <c r="EF389" i="12" s="1"/>
  <c r="EG389" i="12" s="1"/>
  <c r="DP389" i="12"/>
  <c r="EO388" i="12" a="1"/>
  <c r="EO388" i="12" s="1"/>
  <c r="EL388" i="12" a="1"/>
  <c r="EL388" i="12" s="1"/>
  <c r="EI388" i="12" a="1"/>
  <c r="EI388" i="12" s="1"/>
  <c r="EF388" i="12" a="1"/>
  <c r="EF388" i="12" s="1"/>
  <c r="EG388" i="12" s="1"/>
  <c r="DP388" i="12"/>
  <c r="DR387" i="12"/>
  <c r="DR386" i="12"/>
  <c r="EO385" i="12" a="1"/>
  <c r="EO385" i="12" s="1"/>
  <c r="EL385" i="12" a="1"/>
  <c r="EL385" i="12" s="1"/>
  <c r="EI385" i="12" a="1"/>
  <c r="EI385" i="12" s="1"/>
  <c r="EF385" i="12" a="1"/>
  <c r="EF385" i="12" s="1"/>
  <c r="EG385" i="12" s="1"/>
  <c r="DP385" i="12"/>
  <c r="DR384" i="12"/>
  <c r="EO383" i="12" a="1"/>
  <c r="EO383" i="12" s="1"/>
  <c r="EL383" i="12" a="1"/>
  <c r="EL383" i="12" s="1"/>
  <c r="EI383" i="12" a="1"/>
  <c r="EI383" i="12" s="1"/>
  <c r="EF383" i="12" a="1"/>
  <c r="EF383" i="12" s="1"/>
  <c r="EG383" i="12" s="1"/>
  <c r="DP383" i="12"/>
  <c r="EO382" i="12" a="1"/>
  <c r="EO382" i="12" s="1"/>
  <c r="EL382" i="12" a="1"/>
  <c r="EL382" i="12" s="1"/>
  <c r="EI382" i="12" a="1"/>
  <c r="EI382" i="12" s="1"/>
  <c r="EF382" i="12" a="1"/>
  <c r="EF382" i="12" s="1"/>
  <c r="EG382" i="12" s="1"/>
  <c r="DP382" i="12"/>
  <c r="EO381" i="12" a="1"/>
  <c r="EO381" i="12" s="1"/>
  <c r="EL381" i="12" a="1"/>
  <c r="EL381" i="12" s="1"/>
  <c r="EI381" i="12" a="1"/>
  <c r="EI381" i="12" s="1"/>
  <c r="EF381" i="12" a="1"/>
  <c r="EF381" i="12" s="1"/>
  <c r="EG381" i="12" s="1"/>
  <c r="DP381" i="12"/>
  <c r="DR380" i="12"/>
  <c r="DR379" i="12"/>
  <c r="EL378" i="12" a="1"/>
  <c r="EL378" i="12" s="1"/>
  <c r="EI378" i="12" a="1"/>
  <c r="EI378" i="12" s="1"/>
  <c r="EF378" i="12" a="1"/>
  <c r="EF378" i="12" s="1"/>
  <c r="EG378" i="12" s="1"/>
  <c r="DR377" i="12"/>
  <c r="DR376" i="12"/>
  <c r="DR375" i="12"/>
  <c r="DR374" i="12"/>
  <c r="DR373" i="12"/>
  <c r="EO372" i="12" a="1"/>
  <c r="EO372" i="12" s="1"/>
  <c r="EL372" i="12" a="1"/>
  <c r="EL372" i="12" s="1"/>
  <c r="EI372" i="12" a="1"/>
  <c r="EI372" i="12" s="1"/>
  <c r="EF372" i="12" a="1"/>
  <c r="EF372" i="12" s="1"/>
  <c r="EG372" i="12" s="1"/>
  <c r="DP372" i="12"/>
  <c r="DR371" i="12"/>
  <c r="DR370" i="12"/>
  <c r="DP370" i="12"/>
  <c r="DR369" i="12"/>
  <c r="DP369" i="12"/>
  <c r="DR368" i="12"/>
  <c r="DP368" i="12"/>
  <c r="DR367" i="12"/>
  <c r="DP367" i="12"/>
  <c r="DR366" i="12"/>
  <c r="DP366" i="12"/>
  <c r="DR365" i="12"/>
  <c r="DR364" i="12"/>
  <c r="DR363" i="12"/>
  <c r="DR362" i="12"/>
  <c r="DR361" i="12"/>
  <c r="DR360" i="12"/>
  <c r="DR359" i="12"/>
  <c r="DR358" i="12"/>
  <c r="DR357" i="12"/>
  <c r="DR356" i="12"/>
  <c r="DR355" i="12"/>
  <c r="DR354" i="12"/>
  <c r="DR353" i="12"/>
  <c r="DR352" i="12"/>
  <c r="DR351" i="12"/>
  <c r="DR350" i="12"/>
  <c r="DR349" i="12"/>
  <c r="DR348" i="12"/>
  <c r="DR347" i="12"/>
  <c r="DR346" i="12"/>
  <c r="DR345" i="12"/>
  <c r="DR344" i="12"/>
  <c r="DR343" i="12"/>
  <c r="DR342" i="12"/>
  <c r="DR341" i="12"/>
  <c r="DR340" i="12"/>
  <c r="DR339" i="12"/>
  <c r="DR338" i="12"/>
  <c r="DR337" i="12"/>
  <c r="DR336" i="12"/>
  <c r="DR335" i="12"/>
  <c r="DR334" i="12"/>
  <c r="DR333" i="12"/>
  <c r="DR332" i="12"/>
  <c r="DR331" i="12"/>
  <c r="DR330" i="12"/>
  <c r="DR329" i="12"/>
  <c r="DR328" i="12"/>
  <c r="DR327" i="12"/>
  <c r="DR326" i="12"/>
  <c r="DR325" i="12"/>
  <c r="DR324" i="12"/>
  <c r="DR323" i="12"/>
  <c r="DR322" i="12"/>
  <c r="DR321" i="12"/>
  <c r="DR320" i="12"/>
  <c r="DR319" i="12"/>
  <c r="DR318" i="12"/>
  <c r="DR317" i="12"/>
  <c r="DR316" i="12"/>
  <c r="DR315" i="12"/>
  <c r="DR314" i="12"/>
  <c r="DR313" i="12"/>
  <c r="DR312" i="12"/>
  <c r="DR311" i="12"/>
  <c r="DR310" i="12"/>
  <c r="DR309" i="12"/>
  <c r="DR308" i="12"/>
  <c r="DR307" i="12"/>
  <c r="DR306" i="12"/>
  <c r="DR305" i="12"/>
  <c r="DR304" i="12"/>
  <c r="DR303" i="12"/>
  <c r="DR302" i="12"/>
  <c r="DR301" i="12"/>
  <c r="DR300" i="12"/>
  <c r="DR299" i="12"/>
  <c r="DR298" i="12"/>
  <c r="DR297" i="12"/>
  <c r="DR296" i="12"/>
  <c r="DR295" i="12"/>
  <c r="DR294" i="12"/>
  <c r="DR293" i="12"/>
  <c r="DR292" i="12"/>
  <c r="DR291" i="12"/>
  <c r="DR290" i="12"/>
  <c r="DR289" i="12"/>
  <c r="DR288" i="12"/>
  <c r="DR287" i="12"/>
  <c r="DR286" i="12"/>
  <c r="DR285" i="12"/>
  <c r="DR284" i="12"/>
  <c r="DR283" i="12"/>
  <c r="DR282" i="12"/>
  <c r="DR281" i="12"/>
  <c r="DR280" i="12"/>
  <c r="DR279" i="12"/>
  <c r="DR278" i="12"/>
  <c r="DR277" i="12"/>
  <c r="DR276" i="12"/>
  <c r="DR275" i="12"/>
  <c r="DR274" i="12"/>
  <c r="DR273" i="12"/>
  <c r="DR272" i="12"/>
  <c r="DR271" i="12"/>
  <c r="DR270" i="12"/>
  <c r="DR269" i="12"/>
  <c r="DR268" i="12"/>
  <c r="DR267" i="12"/>
  <c r="DR266" i="12"/>
  <c r="DR265" i="12"/>
  <c r="DR264" i="12"/>
  <c r="DR263" i="12"/>
  <c r="DR262" i="12"/>
  <c r="DR261" i="12"/>
  <c r="DR260" i="12"/>
  <c r="DR259" i="12"/>
  <c r="DR258" i="12"/>
  <c r="DR257" i="12"/>
  <c r="DR256" i="12"/>
  <c r="DR255" i="12"/>
  <c r="DR254" i="12"/>
  <c r="DR253" i="12"/>
  <c r="DR252" i="12"/>
  <c r="DR251" i="12"/>
  <c r="DR250" i="12"/>
  <c r="DR249" i="12"/>
  <c r="DR248" i="12"/>
  <c r="DR247" i="12"/>
  <c r="DR246" i="12"/>
  <c r="DR245" i="12"/>
  <c r="DR244" i="12"/>
  <c r="DR243" i="12"/>
  <c r="DR242" i="12"/>
  <c r="DR241" i="12"/>
  <c r="DR240" i="12"/>
  <c r="DR239" i="12"/>
  <c r="DR238" i="12"/>
  <c r="DR237" i="12"/>
  <c r="DR236" i="12"/>
  <c r="DR235" i="12"/>
  <c r="DR234" i="12"/>
  <c r="DR233" i="12"/>
  <c r="DR232" i="12"/>
  <c r="DR231" i="12"/>
  <c r="DR230" i="12"/>
  <c r="DR229" i="12"/>
  <c r="DR228" i="12"/>
  <c r="DR227" i="12"/>
  <c r="DR226" i="12"/>
  <c r="DR225" i="12"/>
  <c r="DR224" i="12"/>
  <c r="DR223" i="12"/>
  <c r="DR222" i="12"/>
  <c r="DR221" i="12"/>
  <c r="DR220" i="12"/>
  <c r="DR219" i="12"/>
  <c r="DR218" i="12"/>
  <c r="DR217" i="12"/>
  <c r="DR216" i="12"/>
  <c r="DR215" i="12"/>
  <c r="DR214" i="12"/>
  <c r="DR213" i="12"/>
  <c r="DR212" i="12"/>
  <c r="DR211" i="12"/>
  <c r="DR210" i="12"/>
  <c r="DR209" i="12"/>
  <c r="DR208" i="12"/>
  <c r="DR207" i="12"/>
  <c r="DR206" i="12"/>
  <c r="DR205" i="12"/>
  <c r="DR204" i="12"/>
  <c r="DR203" i="12"/>
  <c r="DR202" i="12"/>
  <c r="DR201" i="12"/>
  <c r="DR200" i="12"/>
  <c r="DR199" i="12"/>
  <c r="DR198" i="12"/>
  <c r="DR197" i="12"/>
  <c r="DR196" i="12"/>
  <c r="DR195" i="12"/>
  <c r="DR194" i="12"/>
  <c r="DR193" i="12"/>
  <c r="DR192" i="12"/>
  <c r="DR191" i="12"/>
  <c r="DR190" i="12"/>
  <c r="DR189" i="12"/>
  <c r="DR188" i="12"/>
  <c r="DR187" i="12"/>
  <c r="DR186" i="12"/>
  <c r="DR185" i="12"/>
  <c r="DR184" i="12"/>
  <c r="DR183" i="12"/>
  <c r="DR182" i="12"/>
  <c r="DR181" i="12"/>
  <c r="DR180" i="12"/>
  <c r="DR179" i="12"/>
  <c r="DR178" i="12"/>
  <c r="DR177" i="12"/>
  <c r="DR176" i="12"/>
  <c r="DR175" i="12"/>
  <c r="DR174" i="12"/>
  <c r="DR173" i="12"/>
  <c r="DR172" i="12"/>
  <c r="DR171" i="12"/>
  <c r="DR170" i="12"/>
  <c r="DR169" i="12"/>
  <c r="DR168" i="12"/>
  <c r="DR167" i="12"/>
  <c r="DR166" i="12"/>
  <c r="DR165" i="12"/>
  <c r="DR164" i="12"/>
  <c r="DR163" i="12"/>
  <c r="DR162" i="12"/>
  <c r="DR161" i="12"/>
  <c r="DR160" i="12"/>
  <c r="DR159" i="12"/>
  <c r="DR158" i="12"/>
  <c r="DR157" i="12"/>
  <c r="DR156" i="12"/>
  <c r="DR155" i="12"/>
  <c r="DR154" i="12"/>
  <c r="DR153" i="12"/>
  <c r="DR152" i="12"/>
  <c r="DR151" i="12"/>
  <c r="DR150" i="12"/>
  <c r="DR149" i="12"/>
  <c r="DR148" i="12"/>
  <c r="DR147" i="12"/>
  <c r="DR146" i="12"/>
  <c r="DR145" i="12"/>
  <c r="DR144" i="12"/>
  <c r="DR143" i="12"/>
  <c r="DR142" i="12"/>
  <c r="DR141" i="12"/>
  <c r="DR140" i="12"/>
  <c r="DR139" i="12"/>
  <c r="DR138" i="12"/>
  <c r="DR137" i="12"/>
  <c r="DR136" i="12"/>
  <c r="DR135" i="12"/>
  <c r="DR134" i="12"/>
  <c r="DR133" i="12"/>
  <c r="DR132" i="12"/>
  <c r="DR131" i="12"/>
  <c r="DR130" i="12"/>
  <c r="DR129" i="12"/>
  <c r="DR128" i="12"/>
  <c r="DR127" i="12"/>
  <c r="DR126" i="12"/>
  <c r="DP126" i="12"/>
  <c r="DR125" i="12"/>
  <c r="DR124" i="12"/>
  <c r="DR123" i="12"/>
  <c r="DR122" i="12"/>
  <c r="DP122" i="12"/>
  <c r="DR121" i="12"/>
  <c r="DR120" i="12"/>
  <c r="DP120" i="12"/>
  <c r="DR119" i="12"/>
  <c r="DR118" i="12"/>
  <c r="DP118" i="12"/>
  <c r="DR117" i="12"/>
  <c r="DR116" i="12"/>
  <c r="DR115" i="12"/>
  <c r="DR114" i="12"/>
  <c r="DR113" i="12"/>
  <c r="DP113" i="12"/>
  <c r="DR112" i="12"/>
  <c r="DR111" i="12"/>
  <c r="DP111" i="12"/>
  <c r="DR110" i="12"/>
  <c r="DR109" i="12"/>
  <c r="DR108" i="12"/>
  <c r="DR107" i="12"/>
  <c r="DR106" i="12"/>
  <c r="DP106" i="12"/>
  <c r="DR105" i="12"/>
  <c r="DR104" i="12"/>
  <c r="DP104" i="12"/>
  <c r="DR103" i="12"/>
  <c r="DR102" i="12"/>
  <c r="DR101" i="12"/>
  <c r="DR100" i="12"/>
  <c r="DR99" i="12"/>
  <c r="DR98" i="12"/>
  <c r="DR97" i="12"/>
  <c r="DR96" i="12"/>
  <c r="DR95" i="12"/>
  <c r="DR94" i="12"/>
  <c r="DR93" i="12"/>
  <c r="DR92" i="12"/>
  <c r="DR91" i="12"/>
  <c r="DR90" i="12"/>
  <c r="DR89" i="12"/>
  <c r="DR88" i="12"/>
  <c r="DR87" i="12"/>
  <c r="DR86" i="12"/>
  <c r="DR85" i="12"/>
  <c r="DR84" i="12"/>
  <c r="DR83" i="12"/>
  <c r="DR82" i="12"/>
  <c r="DR81" i="12"/>
  <c r="DR80" i="12"/>
  <c r="DR79" i="12"/>
  <c r="DR78" i="12"/>
  <c r="DR77" i="12"/>
  <c r="DR76" i="12"/>
  <c r="DR75" i="12"/>
  <c r="DR74" i="12"/>
  <c r="DR73" i="12"/>
  <c r="DR72" i="12"/>
  <c r="DR71" i="12"/>
  <c r="DR70" i="12"/>
  <c r="DR69" i="12"/>
  <c r="DR68" i="12"/>
  <c r="DR67" i="12"/>
  <c r="DR66" i="12"/>
  <c r="DR65" i="12"/>
  <c r="DR64" i="12"/>
  <c r="DR63" i="12"/>
  <c r="DR62" i="12"/>
  <c r="DR61" i="12"/>
  <c r="DR60" i="12"/>
  <c r="DR58" i="12"/>
  <c r="DR57" i="12"/>
  <c r="DR56" i="12"/>
  <c r="DR55" i="12"/>
  <c r="DR54" i="12"/>
  <c r="DR53" i="12"/>
  <c r="DE53" i="12"/>
  <c r="DR52" i="12"/>
  <c r="EO51" i="12"/>
  <c r="EL51" i="12"/>
  <c r="EI51" i="12"/>
  <c r="EF51" i="12"/>
  <c r="EG51" i="12" s="1"/>
  <c r="DP51" i="12"/>
  <c r="DE51" i="12"/>
  <c r="DR50" i="12"/>
  <c r="EO49" i="12"/>
  <c r="EL49" i="12"/>
  <c r="EI49" i="12"/>
  <c r="EF49" i="12"/>
  <c r="EG49" i="12" s="1"/>
  <c r="DP49" i="12"/>
  <c r="DE49" i="12"/>
  <c r="DR48" i="12"/>
  <c r="EO47" i="12"/>
  <c r="EL47" i="12"/>
  <c r="EI47" i="12"/>
  <c r="EF47" i="12"/>
  <c r="EG47" i="12" s="1"/>
  <c r="DP47" i="12"/>
  <c r="DE47" i="12"/>
  <c r="DR46" i="12"/>
  <c r="CV46" i="12"/>
  <c r="DR45" i="12"/>
  <c r="CV45" i="12"/>
  <c r="DR44" i="12"/>
  <c r="DR43" i="12"/>
  <c r="DR42" i="12"/>
  <c r="DR41" i="12"/>
  <c r="CV41" i="12"/>
  <c r="DR39" i="12"/>
  <c r="DR38" i="12"/>
  <c r="DR37" i="12"/>
  <c r="CV37" i="12"/>
  <c r="DR36" i="12"/>
  <c r="CV36" i="12"/>
  <c r="DR35" i="12"/>
  <c r="DR34" i="12"/>
  <c r="DR33" i="12"/>
  <c r="CV33" i="12"/>
  <c r="DR32" i="12"/>
  <c r="CV32" i="12"/>
  <c r="DR31" i="12"/>
  <c r="DR30" i="12"/>
  <c r="DR29" i="12"/>
  <c r="CV29" i="12"/>
  <c r="DR28" i="12"/>
  <c r="CV28" i="12"/>
  <c r="DR27" i="12"/>
  <c r="DR26" i="12"/>
  <c r="DR25" i="12"/>
  <c r="CV25" i="12"/>
  <c r="DR24" i="12"/>
  <c r="DR23" i="12"/>
  <c r="DR22" i="12"/>
  <c r="DR21" i="12"/>
  <c r="DR20" i="12"/>
  <c r="DR19" i="12"/>
  <c r="DR18" i="12"/>
  <c r="DR17" i="12"/>
  <c r="DR16" i="12"/>
  <c r="DR15" i="12"/>
  <c r="DR14" i="12"/>
  <c r="DR13" i="12"/>
  <c r="DR12" i="12"/>
  <c r="DQ12" i="12"/>
  <c r="EO11" i="12"/>
  <c r="EL11" i="12"/>
  <c r="EI11" i="12"/>
  <c r="EF11" i="12"/>
  <c r="EG11" i="12" s="1"/>
  <c r="DP11" i="12"/>
  <c r="DR10" i="12"/>
  <c r="DR9" i="12"/>
  <c r="DQ9" i="12"/>
  <c r="EO8" i="12"/>
  <c r="EL8" i="12"/>
  <c r="EI8" i="12"/>
  <c r="EF8" i="12"/>
  <c r="EG8" i="12" s="1"/>
  <c r="DP8" i="12"/>
  <c r="DR7" i="12"/>
  <c r="DQ7" i="12"/>
  <c r="EO6" i="12"/>
  <c r="EL6" i="12"/>
  <c r="EI6" i="12"/>
  <c r="EF6" i="12"/>
  <c r="EG6" i="12" s="1"/>
  <c r="DR6" i="12" s="1"/>
  <c r="DP6" i="12"/>
  <c r="EO5" i="12"/>
  <c r="EL5" i="12"/>
  <c r="EI5" i="12"/>
  <c r="EF5" i="12"/>
  <c r="EG5" i="12" s="1"/>
  <c r="DP5" i="12"/>
  <c r="EO4" i="12"/>
  <c r="EL4" i="12"/>
  <c r="EI4" i="12"/>
  <c r="EF4" i="12"/>
  <c r="EG4" i="12" s="1"/>
  <c r="DR4" i="12" s="1"/>
  <c r="DP4" i="12"/>
  <c r="EJ51" i="12" l="1"/>
  <c r="DR51" i="12" s="1"/>
  <c r="EJ47" i="12"/>
  <c r="EM47" i="12" s="1"/>
  <c r="EP47" i="12" s="1"/>
  <c r="EJ5" i="12"/>
  <c r="EM5" i="12" s="1"/>
  <c r="EP5" i="12" s="1"/>
  <c r="EJ372" i="12"/>
  <c r="DR372" i="12" s="1"/>
  <c r="EJ4" i="12"/>
  <c r="EM4" i="12" s="1"/>
  <c r="EP4" i="12" s="1"/>
  <c r="EJ6" i="12"/>
  <c r="EM6" i="12" s="1"/>
  <c r="EP6" i="12" s="1"/>
  <c r="EJ49" i="12"/>
  <c r="EM49" i="12" s="1"/>
  <c r="EP49" i="12" s="1"/>
  <c r="EJ391" i="12"/>
  <c r="EM391" i="12" s="1"/>
  <c r="EP391" i="12" s="1"/>
  <c r="DR391" i="12"/>
  <c r="EJ403" i="12"/>
  <c r="EM403" i="12" s="1"/>
  <c r="DR403" i="12"/>
  <c r="EJ378" i="12"/>
  <c r="EM378" i="12" s="1"/>
  <c r="DR378" i="12"/>
  <c r="EJ396" i="12"/>
  <c r="EM396" i="12" s="1"/>
  <c r="EP396" i="12" s="1"/>
  <c r="DR396" i="12"/>
  <c r="EJ388" i="12"/>
  <c r="EM388" i="12" s="1"/>
  <c r="EP388" i="12" s="1"/>
  <c r="DR388" i="12"/>
  <c r="DR410" i="12"/>
  <c r="EJ410" i="12"/>
  <c r="EM410" i="12" s="1"/>
  <c r="EP410" i="12" s="1"/>
  <c r="EJ383" i="12"/>
  <c r="EM383" i="12" s="1"/>
  <c r="EP383" i="12" s="1"/>
  <c r="DR383" i="12"/>
  <c r="EJ381" i="12"/>
  <c r="EM381" i="12" s="1"/>
  <c r="EP381" i="12" s="1"/>
  <c r="DR381" i="12"/>
  <c r="DR389" i="12"/>
  <c r="EJ389" i="12"/>
  <c r="EM389" i="12" s="1"/>
  <c r="EP389" i="12" s="1"/>
  <c r="EJ397" i="12"/>
  <c r="EM397" i="12" s="1"/>
  <c r="EP397" i="12" s="1"/>
  <c r="DR397" i="12"/>
  <c r="EJ404" i="12"/>
  <c r="EM404" i="12" s="1"/>
  <c r="EP404" i="12" s="1"/>
  <c r="DR404" i="12"/>
  <c r="EJ401" i="12"/>
  <c r="EM401" i="12" s="1"/>
  <c r="EP401" i="12" s="1"/>
  <c r="DR401" i="12"/>
  <c r="EJ394" i="12"/>
  <c r="EM394" i="12" s="1"/>
  <c r="EP394" i="12" s="1"/>
  <c r="DR394" i="12"/>
  <c r="DR395" i="12"/>
  <c r="EJ395" i="12"/>
  <c r="EM395" i="12" s="1"/>
  <c r="EP395" i="12" s="1"/>
  <c r="EJ398" i="12"/>
  <c r="EM398" i="12" s="1"/>
  <c r="EP398" i="12" s="1"/>
  <c r="DR398" i="12"/>
  <c r="EM372" i="12"/>
  <c r="EP372" i="12" s="1"/>
  <c r="EJ390" i="12"/>
  <c r="EM390" i="12" s="1"/>
  <c r="EP390" i="12" s="1"/>
  <c r="DR390" i="12"/>
  <c r="DR405" i="12"/>
  <c r="EJ405" i="12"/>
  <c r="EM405" i="12" s="1"/>
  <c r="EP405" i="12" s="1"/>
  <c r="EJ11" i="12"/>
  <c r="EM11" i="12" s="1"/>
  <c r="EP11" i="12" s="1"/>
  <c r="DR11" i="12"/>
  <c r="EJ393" i="12"/>
  <c r="EM393" i="12" s="1"/>
  <c r="EP393" i="12" s="1"/>
  <c r="DR393" i="12"/>
  <c r="EJ400" i="12"/>
  <c r="EM400" i="12" s="1"/>
  <c r="EP400" i="12" s="1"/>
  <c r="DR400" i="12"/>
  <c r="DR382" i="12"/>
  <c r="EJ382" i="12"/>
  <c r="EM382" i="12" s="1"/>
  <c r="EP382" i="12" s="1"/>
  <c r="EJ8" i="12"/>
  <c r="EM8" i="12" s="1"/>
  <c r="EP8" i="12" s="1"/>
  <c r="DR8" i="12"/>
  <c r="EJ385" i="12"/>
  <c r="EM385" i="12" s="1"/>
  <c r="EP385" i="12" s="1"/>
  <c r="DR385" i="12"/>
  <c r="DR399" i="12"/>
  <c r="EJ399" i="12"/>
  <c r="EM399" i="12" s="1"/>
  <c r="EP399" i="12" s="1"/>
  <c r="EJ392" i="12"/>
  <c r="EM392" i="12" s="1"/>
  <c r="EP392" i="12" s="1"/>
  <c r="EJ402" i="12"/>
  <c r="EM402" i="12" s="1"/>
  <c r="EP402" i="12" s="1"/>
  <c r="DR5" i="12"/>
  <c r="EM51" i="12" l="1"/>
  <c r="EP51" i="12" s="1"/>
  <c r="DR47" i="12"/>
  <c r="DR49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wentaopian(骈文涛)</author>
    <author>Admin</author>
    <author>laevjiang(蒋星晟)</author>
    <author>ryanqqzhou(周清泉)</author>
    <author>jinpan(潘进)</author>
    <author>waaaghwang(王旭)</author>
    <author>xiaolongjia(贾小龙)</author>
  </authors>
  <commentList>
    <comment ref="A2" authorId="0" shapeId="0" xr:uid="{00000000-0006-0000-01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100+英雄id（3位)+技能编号(3位）
</t>
        </r>
      </text>
    </comment>
    <comment ref="E2" authorId="0" shapeId="0" xr:uid="{00000000-0006-0000-01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用于不同技能复用同一个表现id（蓝图的id)
不填默认就是技能id作为表现id
</t>
        </r>
      </text>
    </comment>
    <comment ref="F2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wentaopian(骈文涛):</t>
        </r>
        <r>
          <rPr>
            <sz val="9"/>
            <rFont val="宋体"/>
            <family val="3"/>
            <charset val="134"/>
          </rPr>
          <t xml:space="preserve">
单位：ms，短时间内技能buff连续触发的表现延迟时间。</t>
        </r>
      </text>
    </comment>
    <comment ref="I2" authorId="2" shapeId="0" xr:uid="{00000000-0006-0000-01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注意，赛季id如果不填，技能不会出现，填n，则表示在&gt;=n的赛季后技能出现
</t>
        </r>
      </text>
    </comment>
    <comment ref="L2" authorId="3" shapeId="0" xr:uid="{00000000-0006-0000-01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0：不是固有技能
1：是英雄固有技能</t>
        </r>
      </text>
    </comment>
    <comment ref="P2" authorId="4" shapeId="0" xr:uid="{00000000-0006-0000-01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1.主将技能——主动操控技能
2.固有技能——每个主将自带的技能，不能拆卸
3.装配技能——可以拆卸装配的技能</t>
        </r>
      </text>
    </comment>
    <comment ref="T2" authorId="3" shapeId="0" xr:uid="{00000000-0006-0000-0100-000007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准备主动技能专用
1表示准备，
不填就不准备</t>
        </r>
      </text>
    </comment>
    <comment ref="U2" authorId="3" shapeId="0" xr:uid="{00000000-0006-0000-0100-000008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指挥技能专用
间隔的出手次数，填1即3秒后发动</t>
        </r>
      </text>
    </comment>
    <comment ref="W2" authorId="0" shapeId="0" xr:uid="{00000000-0006-0000-0100-000009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被动技能默认会延迟到进战生效，一些技能如果希望默认生效，那么可以设置为TRUE
</t>
        </r>
      </text>
    </comment>
    <comment ref="X2" authorId="3" shapeId="0" xr:uid="{00000000-0006-0000-0100-00000A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主动技能、追击技能使用</t>
        </r>
      </text>
    </comment>
    <comment ref="AD2" authorId="3" shapeId="0" xr:uid="{00000000-0006-0000-0100-00000B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laevjiang(蒋星晟):
需要跳转的buff才需要配置“间接触发”
</t>
        </r>
      </text>
    </comment>
    <comment ref="AJ2" authorId="3" shapeId="0" xr:uid="{00000000-0006-0000-0100-00000C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-1表示永久
不填或0表示瞬时效果
单位为秒</t>
        </r>
      </text>
    </comment>
    <comment ref="AM2" authorId="5" shapeId="0" xr:uid="{00000000-0006-0000-0100-00000D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该条件是buff是否能addToTarget</t>
        </r>
      </text>
    </comment>
    <comment ref="AU2" authorId="2" shapeId="0" xr:uid="{00000000-0006-0000-0100-00000E000000}">
      <text>
        <r>
          <rPr>
            <sz val="11"/>
            <color rgb="FF000000"/>
            <rFont val="宋体"/>
            <family val="3"/>
            <charset val="134"/>
            <scheme val="minor"/>
          </rPr>
          <t>填true，被动技能触发的时候才会有跳字</t>
        </r>
      </text>
    </comment>
    <comment ref="BA2" authorId="3" shapeId="0" xr:uid="{00000000-0006-0000-0100-00000F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无论数值还是数值%，都填实际的数值。（例如提升20%攻击力，基础列配置0.2）</t>
        </r>
      </text>
    </comment>
    <comment ref="CF2" authorId="3" shapeId="0" xr:uid="{00000000-0006-0000-0100-000010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AOE主将技专用，不填则以buff目标为准。
Buff目标选择优先级高于该目标选择</t>
        </r>
      </text>
    </comment>
    <comment ref="CQ2" authorId="3" shapeId="0" xr:uid="{00000000-0006-0000-0100-000011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每秒成长</t>
        </r>
      </text>
    </comment>
    <comment ref="DH2" authorId="4" shapeId="0" xr:uid="{00000000-0006-0000-0100-000012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0表示红色——武力伤害
1表示蓝色——谋略伤害
2表示绿色——回复
3表示黄色——增益
4表示浅蓝色——控制
（只有固有技才需要配置颜色）</t>
        </r>
      </text>
    </comment>
    <comment ref="DS2" authorId="6" shapeId="0" xr:uid="{00000000-0006-0000-0100-000013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复制描述到这里，把可养成数值替换为｛0｝、｛1｝、｛2｝</t>
        </r>
      </text>
    </comment>
    <comment ref="DV2" authorId="7" shapeId="0" xr:uid="{00000000-0006-0000-0100-000014000000}">
      <text>
        <r>
          <rPr>
            <sz val="11"/>
            <color rgb="FF000000"/>
            <rFont val="宋体"/>
            <family val="3"/>
            <charset val="134"/>
            <scheme val="minor"/>
          </rPr>
          <t>xiaolongjia(贾小龙):
不填全部队伍生效
101剑士
102枪兵
103骑士
104弓兵</t>
        </r>
      </text>
    </comment>
    <comment ref="DZ2" authorId="6" shapeId="0" xr:uid="{00000000-0006-0000-0100-000015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本条描述中，有几条可变参数</t>
        </r>
      </text>
    </comment>
    <comment ref="EA2" authorId="6" shapeId="0" xr:uid="{00000000-0006-0000-0100-000016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A:B = 
可变参数属于buffA的第B个参数</t>
        </r>
      </text>
    </comment>
  </commentList>
</comments>
</file>

<file path=xl/sharedStrings.xml><?xml version="1.0" encoding="utf-8"?>
<sst xmlns="http://schemas.openxmlformats.org/spreadsheetml/2006/main" count="9461" uniqueCount="1179">
  <si>
    <t>无</t>
  </si>
  <si>
    <t>圆</t>
  </si>
  <si>
    <t>长方形</t>
  </si>
  <si>
    <t>扇形</t>
  </si>
  <si>
    <t>convert(ResCombatSkill.proto, table_CombatHeroSkillConf, CombatHeroSkillConf_10.pbin)</t>
  </si>
  <si>
    <t>MERGE_PBIN</t>
  </si>
  <si>
    <t>DONT_CONVERT_TO_KEY</t>
  </si>
  <si>
    <t>触发概率配置</t>
  </si>
  <si>
    <t>buff配置</t>
  </si>
  <si>
    <t>buffItems.targetSelector.&amp;BuffTargetSelectorOneof.&amp;1</t>
  </si>
  <si>
    <t>buffItems.targetSelector.&amp;BuffTargetSelectorOneof.&amp;2</t>
  </si>
  <si>
    <t>buffItems.preCondOnAddTarget.&amp;skillCondDecorator.&amp;1</t>
  </si>
  <si>
    <t>buffItems.preCondOnAddTarget.&amp;skillCondDecorator.&amp;2</t>
  </si>
  <si>
    <t>buffItems.preCondOnAddTarget.&amp;skillCondDecorator.&amp;3</t>
  </si>
  <si>
    <t>buffItems.preCondOnAddTarget.&amp;skillCondDecorator.&amp;4</t>
  </si>
  <si>
    <t>buffItems.preCondOnAddTarget.&amp;skillCondDecorator.&amp;5</t>
  </si>
  <si>
    <t>buff自定义参数0</t>
  </si>
  <si>
    <t>！！！！！重要事项：固定9列，不要多加，不要减少，否则描述会报错</t>
  </si>
  <si>
    <t>buff自定义参数1</t>
  </si>
  <si>
    <t>buff自定义参数2</t>
  </si>
  <si>
    <t>rangeCondDetail.&amp;SkillRangeCondDetailOneOf.&amp;1</t>
  </si>
  <si>
    <t>PVE使用</t>
  </si>
  <si>
    <t>技能养成</t>
  </si>
  <si>
    <t>技能表现</t>
  </si>
  <si>
    <t>技能描述</t>
  </si>
  <si>
    <t>描述配置工具</t>
  </si>
  <si>
    <t>id</t>
  </si>
  <si>
    <t>技能名</t>
  </si>
  <si>
    <t>技能名（文本）</t>
  </si>
  <si>
    <t>备注</t>
  </si>
  <si>
    <t>表现id</t>
  </si>
  <si>
    <t>重复表现延迟时间</t>
  </si>
  <si>
    <t>典藏表现id</t>
  </si>
  <si>
    <t>是否为装配技能</t>
  </si>
  <si>
    <t>赛季id</t>
  </si>
  <si>
    <t>技能列表展示</t>
  </si>
  <si>
    <t>典藏技能</t>
  </si>
  <si>
    <t>是否固有技能</t>
  </si>
  <si>
    <t>是否摧城技能</t>
  </si>
  <si>
    <t>释放场景</t>
  </si>
  <si>
    <t>地图场景</t>
  </si>
  <si>
    <t>技能类型（策划设计维度）</t>
  </si>
  <si>
    <t>技能类型</t>
  </si>
  <si>
    <t>触发时机</t>
  </si>
  <si>
    <t>技能操作类型</t>
  </si>
  <si>
    <t>是否准备</t>
  </si>
  <si>
    <t>发动间隔</t>
  </si>
  <si>
    <t>兵种</t>
  </si>
  <si>
    <t>禁止延迟生效</t>
  </si>
  <si>
    <t>技能触发概率</t>
  </si>
  <si>
    <t>触发概率等级成长</t>
  </si>
  <si>
    <t>触发概率进阶成长</t>
  </si>
  <si>
    <t>触发概率进阶成长(非线性）</t>
  </si>
  <si>
    <t>buffid</t>
  </si>
  <si>
    <t>buff是否主动触发</t>
  </si>
  <si>
    <t>buff挂载对象</t>
  </si>
  <si>
    <t>具体对象</t>
  </si>
  <si>
    <t>具体对象（新）</t>
  </si>
  <si>
    <t>对象参数1</t>
  </si>
  <si>
    <t>对象参数2</t>
  </si>
  <si>
    <t>buff持续时间</t>
  </si>
  <si>
    <t>buff持续时间
（可索引）</t>
  </si>
  <si>
    <t>buff触发条件</t>
  </si>
  <si>
    <t>触发前置条件</t>
  </si>
  <si>
    <t>前置条件参数1</t>
  </si>
  <si>
    <t>前置条件参数2</t>
  </si>
  <si>
    <t>前置条件参数3</t>
  </si>
  <si>
    <t>前置条件参数4</t>
  </si>
  <si>
    <t>前置条件参数5</t>
  </si>
  <si>
    <t>buff特殊表现id</t>
  </si>
  <si>
    <t>典藏buff特殊表现id</t>
  </si>
  <si>
    <t>被动技能特殊表现</t>
  </si>
  <si>
    <t>支持多次释放表现</t>
  </si>
  <si>
    <t>是否计入技能触发次数(战报使用)</t>
  </si>
  <si>
    <t>战报显示已生效</t>
  </si>
  <si>
    <t>buff对集结目标不生效</t>
  </si>
  <si>
    <t>回合内触发是否立即生效</t>
  </si>
  <si>
    <t>数值类型</t>
  </si>
  <si>
    <t>基础</t>
  </si>
  <si>
    <t>等级成长</t>
  </si>
  <si>
    <t>进阶成长</t>
  </si>
  <si>
    <t>进阶成长
（非线性）</t>
  </si>
  <si>
    <t>武力成长</t>
  </si>
  <si>
    <t>谋略成长</t>
  </si>
  <si>
    <t>守备成长</t>
  </si>
  <si>
    <t>摧城成长</t>
  </si>
  <si>
    <t>buff范围</t>
  </si>
  <si>
    <t>buff范围参数</t>
  </si>
  <si>
    <t>数量</t>
  </si>
  <si>
    <t>buff范围目标条件</t>
  </si>
  <si>
    <t>目标条件</t>
  </si>
  <si>
    <t>目标条件扩展</t>
  </si>
  <si>
    <t>目标条件扩展
（参数1）</t>
  </si>
  <si>
    <t>目标是否不考虑集结</t>
  </si>
  <si>
    <t>范围</t>
  </si>
  <si>
    <t>范围参数</t>
  </si>
  <si>
    <t>范围中心
（不填默认自己）</t>
  </si>
  <si>
    <t>战意消耗</t>
  </si>
  <si>
    <t>基础战意</t>
  </si>
  <si>
    <t>战意上限</t>
  </si>
  <si>
    <t>战意成长值</t>
  </si>
  <si>
    <t>施法延迟</t>
  </si>
  <si>
    <t>吟唱时间</t>
  </si>
  <si>
    <t>吟唱初始进度(秒)</t>
  </si>
  <si>
    <t>吟唱超时时间(秒)</t>
  </si>
  <si>
    <t>开始吟唱提示文本</t>
  </si>
  <si>
    <t>是否显示吟唱条</t>
  </si>
  <si>
    <t>品阶</t>
  </si>
  <si>
    <t>最大装配次数</t>
  </si>
  <si>
    <t>基础战斗力</t>
  </si>
  <si>
    <t>等级战斗力</t>
  </si>
  <si>
    <t>道具id</t>
  </si>
  <si>
    <t>攻击技能 or 辅助技能（客户端头像专用）</t>
  </si>
  <si>
    <t>技能ICON图集</t>
  </si>
  <si>
    <t>技能ICON</t>
  </si>
  <si>
    <t>技能卡片图集</t>
  </si>
  <si>
    <t>技能卡片</t>
  </si>
  <si>
    <t>技能名字跳字颜色</t>
  </si>
  <si>
    <t>是否展示技能横幅</t>
  </si>
  <si>
    <t>是否在hud上显示技能（护送野怪生效）</t>
  </si>
  <si>
    <t>技能简要描述</t>
  </si>
  <si>
    <t>技能效果分类</t>
  </si>
  <si>
    <t>增益效果描述</t>
  </si>
  <si>
    <t>备注（临时用）</t>
  </si>
  <si>
    <t>增益效果图标（海外版需求）</t>
  </si>
  <si>
    <t>技能详细描述key(废弃，暂留以后订正用)</t>
  </si>
  <si>
    <t>技能详细描述key</t>
  </si>
  <si>
    <t>技能详细描述text(源文本)</t>
  </si>
  <si>
    <t>复制描述</t>
  </si>
  <si>
    <t>技能目标</t>
  </si>
  <si>
    <t>技能目标（文本）</t>
  </si>
  <si>
    <t>爬塔生效兵种范围</t>
  </si>
  <si>
    <t>排序规则</t>
  </si>
  <si>
    <t>排序规则（海外用）</t>
  </si>
  <si>
    <t>推荐英雄</t>
  </si>
  <si>
    <t>成长参数数量</t>
  </si>
  <si>
    <t>参数位置0</t>
  </si>
  <si>
    <t>参数位置1</t>
  </si>
  <si>
    <t>参数位置2</t>
  </si>
  <si>
    <t>替位0</t>
  </si>
  <si>
    <t>当前替位0</t>
  </si>
  <si>
    <t>结果0</t>
  </si>
  <si>
    <t>替位1</t>
  </si>
  <si>
    <t>当前替位1</t>
  </si>
  <si>
    <t>结果1</t>
  </si>
  <si>
    <t>替位2</t>
  </si>
  <si>
    <t>当前替位2</t>
  </si>
  <si>
    <t>结果2</t>
  </si>
  <si>
    <t>替位3</t>
  </si>
  <si>
    <t>当前替位3</t>
  </si>
  <si>
    <t>结果3</t>
  </si>
  <si>
    <t>喊话Id</t>
  </si>
  <si>
    <t>喊话存在时间</t>
  </si>
  <si>
    <t>是否显示通告</t>
  </si>
  <si>
    <t>skillName</t>
  </si>
  <si>
    <t>performanceId</t>
  </si>
  <si>
    <t>performanceDelay</t>
  </si>
  <si>
    <t>classicPerformance</t>
  </si>
  <si>
    <t>storyId</t>
  </si>
  <si>
    <t>isList</t>
  </si>
  <si>
    <t>isAdvanced</t>
  </si>
  <si>
    <t>isInherent</t>
  </si>
  <si>
    <t>isDestroyWall</t>
  </si>
  <si>
    <t>targetCond</t>
  </si>
  <si>
    <t>sceneType</t>
  </si>
  <si>
    <t>skillType</t>
  </si>
  <si>
    <t>basic.type</t>
  </si>
  <si>
    <t>triggerTiming</t>
  </si>
  <si>
    <t>operateType</t>
  </si>
  <si>
    <t>isPrepare</t>
  </si>
  <si>
    <t>intervalRound</t>
  </si>
  <si>
    <t>soldierType</t>
  </si>
  <si>
    <t>forbidLazyInit</t>
  </si>
  <si>
    <t>launchProbability</t>
  </si>
  <si>
    <t>probabilityLevelUp</t>
  </si>
  <si>
    <t>probabilityStageUp</t>
  </si>
  <si>
    <t>probabilityStageAddNonLinear[;]</t>
  </si>
  <si>
    <t>buffItems.id</t>
  </si>
  <si>
    <t>buffItems.triggerType</t>
  </si>
  <si>
    <t>buffItems.buffTargetType</t>
  </si>
  <si>
    <t>buffItems.buffAttachType</t>
  </si>
  <si>
    <t>buffItems.targetSelector.&amp;BuffTargetSelectorOneof</t>
  </si>
  <si>
    <t>buffItems.duration</t>
  </si>
  <si>
    <t>buffItems.durationStr</t>
  </si>
  <si>
    <t>buffItems.cond</t>
  </si>
  <si>
    <t>buffItems.preCondOnAddTarget.&amp;skillCondDecorator</t>
  </si>
  <si>
    <t>buffItems.performanceId</t>
  </si>
  <si>
    <t>buffItems.collectorHeroPerformanceId</t>
  </si>
  <si>
    <t>buffItems.needPerformance</t>
  </si>
  <si>
    <t>buffItems.allowMultiTrigger</t>
  </si>
  <si>
    <t>buffItems.recordSkillTriggerTimes</t>
  </si>
  <si>
    <t>buffItems.skillTriggerTimes4Report</t>
  </si>
  <si>
    <t>buffItems.targetIgnoreGroup</t>
  </si>
  <si>
    <t>buffItems.canNotBeCached</t>
  </si>
  <si>
    <t>buffItems.growUp[0].paraType</t>
  </si>
  <si>
    <t>buffItems.growUp[0].basic</t>
  </si>
  <si>
    <t>buffItems.growUp[0].levelAdd</t>
  </si>
  <si>
    <t>buffItems.growUp[0].stageAdd</t>
  </si>
  <si>
    <t>buffItems.growUp[0].stageAddNonLinear[;]</t>
  </si>
  <si>
    <t>buffItems.growUp[0].forceAdd</t>
  </si>
  <si>
    <t>buffItems.growUp[0].strategyAdd</t>
  </si>
  <si>
    <t>buffItems.growUp[0].defenceAdd</t>
  </si>
  <si>
    <t>buffItems.growUp[0].deCityAdd</t>
  </si>
  <si>
    <t>buffItems.growUp[1].paraType</t>
  </si>
  <si>
    <t>buffItems.growUp[1].basic</t>
  </si>
  <si>
    <t>buffItems.growUp[1].levelAdd</t>
  </si>
  <si>
    <t>buffItems.growUp[1].stageAdd</t>
  </si>
  <si>
    <t>buffItems.growUp[1].stageAddNonLinear[;]</t>
  </si>
  <si>
    <t>buffItems.growUp[1].forceAdd</t>
  </si>
  <si>
    <t>buffItems.growUp[1].strategyAdd</t>
  </si>
  <si>
    <t>buffItems.growUp[1].defenceAdd</t>
  </si>
  <si>
    <t>buffItems.growUp[1].deCityAdd</t>
  </si>
  <si>
    <t>buffItems.growUp[2].paraType</t>
  </si>
  <si>
    <t>buffItems.growUp[2].basic</t>
  </si>
  <si>
    <t>buffItems.growUp[2].levelAdd</t>
  </si>
  <si>
    <t>buffItems.growUp[2].stageAdd</t>
  </si>
  <si>
    <t>buffItems.growUp[2].stageAddNonLinear[;]</t>
  </si>
  <si>
    <t>buffItems.growUp[2].forceAdd</t>
  </si>
  <si>
    <t>buffItems.growUp[2].strategyAdd</t>
  </si>
  <si>
    <t>buffItems.growUp[2].defenceAdd</t>
  </si>
  <si>
    <t>buffItems.growUp[2].deCityAdd</t>
  </si>
  <si>
    <t>buffItems.shapeType</t>
  </si>
  <si>
    <t>buffItems.shapeDetail</t>
  </si>
  <si>
    <t>buffItems.shapeDetail.count</t>
  </si>
  <si>
    <t>buffItems.condition</t>
  </si>
  <si>
    <t>condition</t>
  </si>
  <si>
    <t>rangeCondDetail.&amp;SkillRangeCondDetailOneOf</t>
  </si>
  <si>
    <t>targetIgnoreGroup</t>
  </si>
  <si>
    <t>shapeType</t>
  </si>
  <si>
    <t>shapeDetail</t>
  </si>
  <si>
    <t>shapeDetail.position.type</t>
  </si>
  <si>
    <t>shapeDetail.count</t>
  </si>
  <si>
    <t>needHeroAnger</t>
  </si>
  <si>
    <t>baseAnger</t>
  </si>
  <si>
    <t>maxAnger</t>
  </si>
  <si>
    <t>angerPerSec</t>
  </si>
  <si>
    <t>basic.delay</t>
  </si>
  <si>
    <t>chantTime</t>
  </si>
  <si>
    <t>initialChantProgress</t>
  </si>
  <si>
    <t>chantExpireSec</t>
  </si>
  <si>
    <t>startChantText</t>
  </si>
  <si>
    <t>isShowChantBar</t>
  </si>
  <si>
    <t>skillQuality</t>
  </si>
  <si>
    <t>maxEquipTimes</t>
  </si>
  <si>
    <t>sacredObjectId</t>
  </si>
  <si>
    <t>isHurtSkill</t>
  </si>
  <si>
    <t>atlasPath</t>
  </si>
  <si>
    <t>icon</t>
  </si>
  <si>
    <t>cardAtlas</t>
  </si>
  <si>
    <t>cardIcon</t>
  </si>
  <si>
    <t>colorId</t>
  </si>
  <si>
    <t>showBanner</t>
  </si>
  <si>
    <t>showInHud</t>
  </si>
  <si>
    <t>basic.description</t>
  </si>
  <si>
    <t>basic.effectTypeName[|]</t>
  </si>
  <si>
    <t>basic.gainEffectTip[|]</t>
  </si>
  <si>
    <t>basic.gainEffectIcon[|]</t>
  </si>
  <si>
    <t>basic.descDetail</t>
  </si>
  <si>
    <t>targetStr</t>
  </si>
  <si>
    <t>babelEffectiveRange</t>
  </si>
  <si>
    <t>sort</t>
  </si>
  <si>
    <t>recommendHero[;]</t>
  </si>
  <si>
    <t>dialogId</t>
  </si>
  <si>
    <t>dialogLife</t>
  </si>
  <si>
    <t>showTip</t>
  </si>
  <si>
    <t>TID_CombatHeroSkillConf_100300_skillName_CN_Main</t>
  </si>
  <si>
    <t>凯旋</t>
  </si>
  <si>
    <t>凯撒</t>
  </si>
  <si>
    <t>主将技能</t>
  </si>
  <si>
    <t>主将技</t>
  </si>
  <si>
    <t>数值%</t>
  </si>
  <si>
    <t>范围内敌方</t>
  </si>
  <si>
    <t>circle{
radius:500
}</t>
  </si>
  <si>
    <t>橙</t>
  </si>
  <si>
    <t>icon_heroskill</t>
  </si>
  <si>
    <t>icon_heroskill_100300</t>
  </si>
  <si>
    <t>icon_n_heroskill</t>
  </si>
  <si>
    <t>icon_n_heroskill_006</t>
  </si>
  <si>
    <t>TID_CombatHeroSkillConf_1701013001_descDetail_CN_Main</t>
  </si>
  <si>
    <t>（主将技）对圆形范围内所有敌军造成武力伤害</t>
  </si>
  <si>
    <t/>
  </si>
  <si>
    <t>0:0</t>
  </si>
  <si>
    <t>1:0</t>
  </si>
  <si>
    <t>2:0</t>
  </si>
  <si>
    <t>{0}</t>
  </si>
  <si>
    <t>{1}</t>
  </si>
  <si>
    <t>{2}</t>
  </si>
  <si>
    <t>{3}</t>
  </si>
  <si>
    <t>TID_CombatHeroSkillConf_100001001_skillName_CN_Main</t>
  </si>
  <si>
    <t>神圣祝福</t>
  </si>
  <si>
    <t>贞德-主将</t>
  </si>
  <si>
    <t>技能释放者</t>
  </si>
  <si>
    <t>icon_heroskill_039</t>
  </si>
  <si>
    <t>icon_n_heroskill_008</t>
  </si>
  <si>
    <t>TID_CombatHeroSkillConf_103600_skillName_CN_Main</t>
  </si>
  <si>
    <t>钢铁蔷薇</t>
  </si>
  <si>
    <t>安德莉亚</t>
  </si>
  <si>
    <t>谋略伤害</t>
  </si>
  <si>
    <t>主目标</t>
  </si>
  <si>
    <t>icon_heroskill_103600</t>
  </si>
  <si>
    <t>icon_n_heroskill_001</t>
  </si>
  <si>
    <t>谋略|控制</t>
  </si>
  <si>
    <t>TID_CombatHeroSkillConf_1703023002_gainEffectTip_CN_Main</t>
  </si>
  <si>
    <t>TID_CombatHeroSkillConf_1703023002_descDetail_CN_Main</t>
  </si>
  <si>
    <t>（主将技）对目标敌军造成谋略伤害，并附加5秒沉默</t>
  </si>
  <si>
    <t>TID_CombatHeroSkillConf_170501_skillName_CN_Main</t>
  </si>
  <si>
    <t>毁灭</t>
  </si>
  <si>
    <t>蛮王boss</t>
  </si>
  <si>
    <t>circle{
radius:1000
}</t>
  </si>
  <si>
    <t>icon_heroskill_043</t>
  </si>
  <si>
    <t>icon_n_heroskill_005</t>
  </si>
  <si>
    <t>TID_CombatHeroSkillConf_1705013001_descDetail_CN_Main</t>
  </si>
  <si>
    <t>（主将技）对扇形范围内至多3个目标释放枪阵，造成{0}伤害。击飞目标并让目标晕眩，持续3秒</t>
  </si>
  <si>
    <t>回血</t>
  </si>
  <si>
    <t>部队</t>
  </si>
  <si>
    <t>特效表现</t>
  </si>
  <si>
    <t>TID_CombatHeroSkillConf_170503_skillName_CN_Main</t>
  </si>
  <si>
    <t>战争践踏</t>
  </si>
  <si>
    <t>蛮王boss-10-p2-p4</t>
  </si>
  <si>
    <t>circle{
radius:3000
}</t>
  </si>
  <si>
    <t>SkillDetail_17050301</t>
  </si>
  <si>
    <t>icon_heroskill_200073</t>
  </si>
  <si>
    <t>icon_n_heroskill_200033</t>
  </si>
  <si>
    <t>SkillDetail_170503</t>
  </si>
  <si>
    <t>TID_CombatHeroSkillConf_1705033001_descDetail_CN_Main</t>
  </si>
  <si>
    <t>蛮族之王经过短时间的蓄力之后，践踏大地，对周围的单位造成大量伤害</t>
  </si>
  <si>
    <t>{0:0}%</t>
  </si>
  <si>
    <t>{1:0}%</t>
  </si>
  <si>
    <t>{2:0}</t>
  </si>
  <si>
    <t>击退进度条</t>
  </si>
  <si>
    <t>间接触发</t>
  </si>
  <si>
    <t>-数值%</t>
  </si>
  <si>
    <t>监控主将技能释放</t>
  </si>
  <si>
    <t>吟唱触发</t>
  </si>
  <si>
    <t>TID_CombatHeroSkillConf_170504_skillName_CN_Main</t>
  </si>
  <si>
    <t>裂地斩</t>
  </si>
  <si>
    <t>蛮王boss-10</t>
  </si>
  <si>
    <t>武力伤害</t>
  </si>
  <si>
    <t>sector{
radius:2500
angle:90
}</t>
  </si>
  <si>
    <t>SkillDetail_17050401</t>
  </si>
  <si>
    <t>icon_heroskill_102700</t>
  </si>
  <si>
    <t>SkillDetail_170504</t>
  </si>
  <si>
    <t>TID_CombatHeroSkillConf_1705043001_descDetail_CN_Main</t>
  </si>
  <si>
    <t>蛮族之王经过短时间的蓄力之后，向前劈砍，对正前方单位造成大量伤害及沉默</t>
  </si>
  <si>
    <t>{1:0}</t>
  </si>
  <si>
    <t>{2:0}%</t>
  </si>
  <si>
    <t>施加沉默效果</t>
  </si>
  <si>
    <t>血手阿提卡</t>
  </si>
  <si>
    <t>指令技能</t>
  </si>
  <si>
    <t>circle{
radius:2000
}</t>
  </si>
  <si>
    <t>SkillDetail_171503</t>
  </si>
  <si>
    <t>TID_CombatHeroSkillConf_171504_skillName_CN_Main</t>
  </si>
  <si>
    <t>亡命之焰</t>
  </si>
  <si>
    <t>指向目标区域</t>
  </si>
  <si>
    <t>火计</t>
  </si>
  <si>
    <t>数值</t>
  </si>
  <si>
    <t>方向</t>
  </si>
  <si>
    <t>direction{length:800}</t>
  </si>
  <si>
    <t>SkillDetail_171504</t>
  </si>
  <si>
    <t>血手阿提卡-优化版本</t>
  </si>
  <si>
    <t>重甲蛮族队长 - 1技能</t>
  </si>
  <si>
    <t>circle{
radius:2500
}</t>
  </si>
  <si>
    <t>重甲蛮族队长 - 2技能</t>
  </si>
  <si>
    <t>sector{
radius:1900
angle:90
}</t>
  </si>
  <si>
    <t>尖锋蛮族队长 - 1技能</t>
  </si>
  <si>
    <t>TID_CombatHeroSkillConf_171514_skillName_CN_Main_1077772854879</t>
  </si>
  <si>
    <t>箭雨</t>
  </si>
  <si>
    <t>尖锋蛮族队长 - 2技能</t>
  </si>
  <si>
    <t>sector{
radius:1800
angle:100
}</t>
  </si>
  <si>
    <t>尖锋蛮族首领 - 1技能</t>
  </si>
  <si>
    <t>TID_CombatHeroSkillConf_171516_skillName_CN_Main</t>
  </si>
  <si>
    <t>尖锋蛮族首领 - 2技能</t>
  </si>
  <si>
    <t>sector{
radius:600
angle:100
}</t>
  </si>
  <si>
    <t>碎颅者·蒙杜克</t>
  </si>
  <si>
    <t>circle{
radius:30
}</t>
  </si>
  <si>
    <t>监控受击</t>
  </si>
  <si>
    <t>TID_CombatHeroSkillConf_170505_skillName_CN_Main</t>
  </si>
  <si>
    <t>毁灭箭雨</t>
  </si>
  <si>
    <t>空地</t>
  </si>
  <si>
    <t>circle{
radius:100
}</t>
  </si>
  <si>
    <t>icon_heroskill_100601</t>
  </si>
  <si>
    <t>SkillDetail_170505</t>
  </si>
  <si>
    <t>TID_CombatHeroSkillConf_1705053001_descDetail_CN_Main</t>
  </si>
  <si>
    <t>蛮族之王向随机的区域射出密集箭雨，箭雨区域内的部队会受到伤害</t>
  </si>
  <si>
    <t>伤害圈</t>
  </si>
  <si>
    <t>伤害轮数</t>
  </si>
  <si>
    <t>清除技能范围表现</t>
  </si>
  <si>
    <t>TID_CombatHeroSkillConf_171520_skillName_CN_Main</t>
  </si>
  <si>
    <t>炽烈魂破</t>
  </si>
  <si>
    <t>sector{
radius:700
angle:90
}</t>
  </si>
  <si>
    <t>TID_CombatHeroSkillConf_171521_skillName_CN_Main</t>
  </si>
  <si>
    <t>狂暴</t>
  </si>
  <si>
    <t>尖锋蛮族队长</t>
  </si>
  <si>
    <t>增加暴击率</t>
  </si>
  <si>
    <t>所有英雄</t>
  </si>
  <si>
    <t>SkillDetail_171521</t>
  </si>
  <si>
    <t>icon_n_heroskill_200036</t>
  </si>
  <si>
    <t>TID_CombatHeroSkillConf_17152117152101_descDetail_CN_Main</t>
  </si>
  <si>
    <t>提升我军全体英雄{0}暴击率，造成暴击后降低敌军全体英雄{1}点守备，最多叠加3层。</t>
  </si>
  <si>
    <t>TID_CombatHeroSkillConf_10010010010001_targetStr_CN_Main</t>
  </si>
  <si>
    <t>我军全体英雄</t>
  </si>
  <si>
    <t>0:1</t>
  </si>
  <si>
    <t>2:1</t>
  </si>
  <si>
    <t>造成普攻伤害提高</t>
  </si>
  <si>
    <t>尖锋蛮族首领</t>
  </si>
  <si>
    <t>TID_CombatHeroSkillConf_20003620003601_descDetail_CN_Main</t>
  </si>
  <si>
    <t>TID_CombatHeroSkillConf_171524_skillName_CN_Main</t>
  </si>
  <si>
    <t>强化</t>
  </si>
  <si>
    <t>非正常流程进战的强化</t>
  </si>
  <si>
    <t>进战监控</t>
  </si>
  <si>
    <t>攻击强化</t>
  </si>
  <si>
    <t>防御强化</t>
  </si>
  <si>
    <t>蛮族遭遇战boss</t>
  </si>
  <si>
    <t>circle{
radius:650
}</t>
  </si>
  <si>
    <t>SkillDetail_17050501</t>
  </si>
  <si>
    <t>TID_CombatHeroSkillConf_170506_skillName_CN_Main</t>
  </si>
  <si>
    <t>战术冲锋</t>
  </si>
  <si>
    <t>icon_heroskill_170506</t>
  </si>
  <si>
    <t>icon_n_heroskill_200018</t>
  </si>
  <si>
    <t>ResCombatSkill_description_200018</t>
  </si>
  <si>
    <t>谋略|武力</t>
  </si>
  <si>
    <t>SkillDetail_170506</t>
  </si>
  <si>
    <t>TID_CombatHeroSkillConf_1705063001_descDetail_CN_Main</t>
  </si>
  <si>
    <t>对敌军造成武力伤害（伤害率{0}，武力加成）和谋略伤害（伤害率{1}，谋略加成）。</t>
  </si>
  <si>
    <t>TID_CombatHeroSkillConf_1002003001_targetStr_CN_Main</t>
  </si>
  <si>
    <t>敌军</t>
  </si>
  <si>
    <t>对敌军造成武力伤害（伤害率{0:0}%，武力加成）和谋略伤害（伤害率{1}，谋略加成）。</t>
  </si>
  <si>
    <t>对敌军造成武力伤害（伤害率{0:0}%，武力加成）和谋略伤害（伤害率{1:0}%，谋略加成）。</t>
  </si>
  <si>
    <t>TID_CombatHeroSkillConf_170507_skillName_CN_Main</t>
  </si>
  <si>
    <t>坚若磐石</t>
  </si>
  <si>
    <t>固有技能</t>
  </si>
  <si>
    <t>被动技</t>
  </si>
  <si>
    <t>免控</t>
  </si>
  <si>
    <t>icon_heroskill_101701</t>
  </si>
  <si>
    <t>SkillDetail_170507</t>
  </si>
  <si>
    <t>TID_CombatHeroSkillConf_17050710350104_descDetail_CN_Main</t>
  </si>
  <si>
    <t>蛮族之王意志坚定，不会被任何控制左右</t>
  </si>
  <si>
    <t>施法英雄</t>
  </si>
  <si>
    <t>蛮王boss-10-p6</t>
  </si>
  <si>
    <t>SkillDetail_17050801</t>
  </si>
  <si>
    <t>SkillDetail_170508</t>
  </si>
  <si>
    <t>蛮族之王聚集能量，在短暂吟唱后对周围区域造成巨量aoe伤害</t>
  </si>
  <si>
    <t>蛮王boss-9</t>
  </si>
  <si>
    <t>sector{
radius:600
angle:150
}</t>
  </si>
  <si>
    <t>SkillDetail_17050901</t>
  </si>
  <si>
    <t>SkillDetail_170509</t>
  </si>
  <si>
    <t>TID_CombatHeroSkillConf_1705093001_descDetail_CN_Main</t>
  </si>
  <si>
    <t>蛮族将军经过短时间的蓄力之后，向前劈砍，对正前方单位造成大量伤害及沉默</t>
  </si>
  <si>
    <t>circle{
radius:900
}</t>
  </si>
  <si>
    <t>SkillDetail_17051101</t>
  </si>
  <si>
    <t>SkillDetail_170511</t>
  </si>
  <si>
    <t>TID_CombatHeroSkillConf_1705113001_descDetail_CN_Main</t>
  </si>
  <si>
    <t>蛮族将军经过短时间的蓄力之后，践踏大地，对周围的单位造成大量伤害</t>
  </si>
  <si>
    <t>蛮王boss-8</t>
  </si>
  <si>
    <t>SkillDetail_17051201</t>
  </si>
  <si>
    <t>SkillDetail_170512</t>
  </si>
  <si>
    <t>TID_CombatHeroSkillConf_170513_skillName_CN_Main</t>
  </si>
  <si>
    <t>万箭齐发</t>
  </si>
  <si>
    <t>SkillDetail_17051301</t>
  </si>
  <si>
    <t>SkillDetail_170513</t>
  </si>
  <si>
    <t>TID_CombatHeroSkillConf_1705133001_descDetail_CN_Main</t>
  </si>
  <si>
    <t>蛮族将军向随机的区域射出密集箭雨，箭雨区域内的部队会受到伤害</t>
  </si>
  <si>
    <t>TID_CombatHeroSkillConf_170514_skillName_CN_Main</t>
  </si>
  <si>
    <t>毁灭风暴</t>
  </si>
  <si>
    <t>circle{
radius:800
}</t>
  </si>
  <si>
    <t>SkillDetail_17051401</t>
  </si>
  <si>
    <t>SkillDetail_170514</t>
  </si>
  <si>
    <t>TID_CombatHeroSkillConf_1705143001_descDetail_CN_Main</t>
  </si>
  <si>
    <t>蛮族将军经过短时间的蓄力之后，对周围的单位释放冲击波造成大量伤害</t>
  </si>
  <si>
    <t>蛮王boss-6</t>
  </si>
  <si>
    <t>SkillDetail_17051501</t>
  </si>
  <si>
    <t>SkillDetail_170515</t>
  </si>
  <si>
    <t>SkillDetail_17051601</t>
  </si>
  <si>
    <t>SkillDetail_170516</t>
  </si>
  <si>
    <t>SkillDetail_17051701</t>
  </si>
  <si>
    <t>SkillDetail_170517</t>
  </si>
  <si>
    <t>TID_CombatHeroSkillConf_170518_skillName_CN_Main</t>
  </si>
  <si>
    <t>毁灭之弧</t>
  </si>
  <si>
    <t>蛮族反攻</t>
  </si>
  <si>
    <t>SkillDetail_17051801</t>
  </si>
  <si>
    <t>SkillDetail_170518</t>
  </si>
  <si>
    <t>SkillDetail_17051901</t>
  </si>
  <si>
    <t>SkillDetail_170519</t>
  </si>
  <si>
    <t>SkillDetail_17052001</t>
  </si>
  <si>
    <t>SkillDetail_170520</t>
  </si>
  <si>
    <t>蛮王boss-其他</t>
  </si>
  <si>
    <t>sector{
radius:800
angle:150
}</t>
  </si>
  <si>
    <t>TID_CombatHeroSkillConf_1705213001_descDetail_CN_Main</t>
  </si>
  <si>
    <t>蛮族之王挥舞武器，对前方扇形区域造成巨量aoe伤害</t>
  </si>
  <si>
    <t>TID_CombatHeroSkillConf_1705223001_descDetail_CN_Main</t>
  </si>
  <si>
    <t>蛮王boss-阶段3</t>
  </si>
  <si>
    <t>sector{
radius:400
angle:150
}</t>
  </si>
  <si>
    <t>TID_CombatHeroSkillConf_1705273001_descDetail_CN_Main</t>
  </si>
  <si>
    <t>蛮族之王召唤他的援军射出密集箭雨，对随机区域造成伤害</t>
  </si>
  <si>
    <t>世界boss-出生州-大</t>
  </si>
  <si>
    <t>icon_heroskill_200033</t>
  </si>
  <si>
    <t>世界boss-资源州-大</t>
  </si>
  <si>
    <t>世界boss-出生州-小</t>
  </si>
  <si>
    <t>世界boss-资源州-小</t>
  </si>
  <si>
    <t>世界boss-皇城州-大</t>
  </si>
  <si>
    <t>世界boss-皇城州-小</t>
  </si>
  <si>
    <t>天启统帅-1</t>
  </si>
  <si>
    <t>TID_CombatHeroSkillConf_1705583001_descDetail_CN_Main</t>
  </si>
  <si>
    <t>天启统帅经过短时间的蓄力之后，向前劈砍，对正前方单位造成大量伤害及沉默</t>
  </si>
  <si>
    <t>TID_CombatHeroSkillConf_1705593001_descDetail_CN_Main</t>
  </si>
  <si>
    <t>天启统帅向随机的区域射出密集箭雨，箭雨区域内的部队会受到伤害</t>
  </si>
  <si>
    <t>TID_CombatHeroSkillConf_1705603001_descDetail_CN_Main</t>
  </si>
  <si>
    <t>天启统帅经过短时间的蓄力之后，对周围的单位释放冲击波造成大量伤害</t>
  </si>
  <si>
    <t>天启统帅-2</t>
  </si>
  <si>
    <t>天启统帅-3</t>
  </si>
  <si>
    <t>天启统帅-4</t>
  </si>
  <si>
    <t>天启统帅-5</t>
  </si>
  <si>
    <t>天启统帅-6</t>
  </si>
  <si>
    <t>天启统帅-7</t>
  </si>
  <si>
    <t>天启统帅-8</t>
  </si>
  <si>
    <t>天启统帅-9</t>
  </si>
  <si>
    <t>天启统帅-10</t>
  </si>
  <si>
    <t>天启统帅</t>
  </si>
  <si>
    <t>TID_CombatHeroSkillConf_17058810350104_descDetail_CN_Main</t>
  </si>
  <si>
    <t>天启统帅意志坚定，不会被任何控制左右</t>
  </si>
  <si>
    <t>TID_CombatHeroSkillConf_172004_skillName_CN_Main</t>
  </si>
  <si>
    <t>天地大劫</t>
  </si>
  <si>
    <t>大巫祝s-打断</t>
  </si>
  <si>
    <t>SkillDetail_17200401</t>
  </si>
  <si>
    <t>icon_heroskill_200060</t>
  </si>
  <si>
    <t>TID_CombatHeroSkillConf_1720043001_descDetail_CN_Main</t>
  </si>
  <si>
    <t>大巫祝祈求上苍并运用宰劫之力灼烧周围的敌人</t>
  </si>
  <si>
    <t>TID_CombatHeroSkillConf_172005_skillName_CN_Main</t>
  </si>
  <si>
    <t>后土流沙</t>
  </si>
  <si>
    <t>大巫祝-不可打断</t>
  </si>
  <si>
    <t>SkillDetail_17200501</t>
  </si>
  <si>
    <t>TID_CombatHeroSkillConf_1720053001_descDetail_CN_Main</t>
  </si>
  <si>
    <t>大巫祝祈求大地并运用厚土之力埋葬周围的敌人</t>
  </si>
  <si>
    <t>TID_CombatHeroSkillConf_172006_skillName_CN_Main</t>
  </si>
  <si>
    <t>皇天离火</t>
  </si>
  <si>
    <t>大巫祝-箭雨</t>
  </si>
  <si>
    <t>SkillDetail_17200601</t>
  </si>
  <si>
    <t>icon_heroskill_200061</t>
  </si>
  <si>
    <t>TID_CombatHeroSkillConf_1720063001_descDetail_CN_Main</t>
  </si>
  <si>
    <t>大巫祝祈求上苍召唤天外陨石摧毁周围的敌人</t>
  </si>
  <si>
    <t>TID_CombatHeroSkillConf_172007_skillName_CN_Main</t>
  </si>
  <si>
    <t>北衙天威</t>
  </si>
  <si>
    <t>上将军-打断</t>
  </si>
  <si>
    <t>SkillDetail_17200701</t>
  </si>
  <si>
    <t>TID_CombatHeroSkillConf_1720073001_descDetail_CN_Main</t>
  </si>
  <si>
    <t>上将军经过短时间的蓄力之后，践踏周围的敌人</t>
  </si>
  <si>
    <t>TID_CombatHeroSkillConf_172008_skillName_CN_Main</t>
  </si>
  <si>
    <t>神策军锋</t>
  </si>
  <si>
    <t>上将军-不可打断</t>
  </si>
  <si>
    <t>SkillDetail_17200801</t>
  </si>
  <si>
    <t>TID_CombatHeroSkillConf_1720083001_descDetail_CN_Main</t>
  </si>
  <si>
    <t>上将军挥舞佩刀，劈砍前方的敌人</t>
  </si>
  <si>
    <t>TID_CombatHeroSkillConf_172009_skillName_CN_Main</t>
  </si>
  <si>
    <t>御林齐射</t>
  </si>
  <si>
    <t>上将军-箭雨</t>
  </si>
  <si>
    <t>SkillDetail_17200901</t>
  </si>
  <si>
    <t>TID_CombatHeroSkillConf_1720093001_descDetail_CN_Main</t>
  </si>
  <si>
    <t>上将军召唤大内弓箭手助阵，诛灭周围的敌人</t>
  </si>
  <si>
    <t>TID_CombatHeroSkillConf_172010_skillName_CN_Main</t>
  </si>
  <si>
    <t>竞技场之王</t>
  </si>
  <si>
    <t>裁判官-打断</t>
  </si>
  <si>
    <t>SkillDetail_17201001</t>
  </si>
  <si>
    <t>TID_CombatHeroSkillConf_1720103001_descDetail_CN_Main</t>
  </si>
  <si>
    <t>裁判官经过短时间的蓄力之后，践踏周围的敌人</t>
  </si>
  <si>
    <t>TID_CombatHeroSkillConf_172011_skillName_CN_Main</t>
  </si>
  <si>
    <t>清扫</t>
  </si>
  <si>
    <t>裁判官-不可打断</t>
  </si>
  <si>
    <t>SkillDetail_17201101</t>
  </si>
  <si>
    <t>TID_CombatHeroSkillConf_1720113001_descDetail_CN_Main</t>
  </si>
  <si>
    <t>裁判官挥舞长枪，劈砍前方的敌人</t>
  </si>
  <si>
    <t>TID_CombatHeroSkillConf_172012_skillName_CN_Main</t>
  </si>
  <si>
    <t>肃静</t>
  </si>
  <si>
    <t>裁判官-箭雨</t>
  </si>
  <si>
    <t>SkillDetail_17201201</t>
  </si>
  <si>
    <t>TID_CombatHeroSkillConf_1720123001_descDetail_CN_Main</t>
  </si>
  <si>
    <t>裁判官召唤弓箭手助阵，诛灭周围的敌人</t>
  </si>
  <si>
    <t>TID_CombatHeroSkillConf_172013_skillName_CN_Main</t>
  </si>
  <si>
    <t>狄安娜之怒</t>
  </si>
  <si>
    <t>狩猎祭司-打断</t>
  </si>
  <si>
    <t>SkillDetail_17201301</t>
  </si>
  <si>
    <t>TID_CombatHeroSkillConf_172014_skillName_CN_Main</t>
  </si>
  <si>
    <t>荒芜之罚</t>
  </si>
  <si>
    <t>狩猎祭司-不可打断</t>
  </si>
  <si>
    <t>SkillDetail_17201401</t>
  </si>
  <si>
    <t>TID_CombatHeroSkillConf_172015_skillName_CN_Main</t>
  </si>
  <si>
    <t>逐兽之火</t>
  </si>
  <si>
    <t>狩猎祭司-箭雨</t>
  </si>
  <si>
    <t>SkillDetail_17201501</t>
  </si>
  <si>
    <t>TID_CombatHeroSkillConf_172016_skillName_CN_Main</t>
  </si>
  <si>
    <t>陨落之日</t>
  </si>
  <si>
    <t>太阳祭司-打断</t>
  </si>
  <si>
    <t>SkillDetail_17201601</t>
  </si>
  <si>
    <t>TID_CombatHeroSkillConf_1720163001_descDetail_CN_Main</t>
  </si>
  <si>
    <t>太阳祭祀勾动太阳之力，降下天火灼烧周围敌人</t>
  </si>
  <si>
    <t>TID_CombatHeroSkillConf_172017_skillName_CN_Main</t>
  </si>
  <si>
    <t>干枯大地</t>
  </si>
  <si>
    <t>太阳祭司-不可打断</t>
  </si>
  <si>
    <t>SkillDetail_17201701</t>
  </si>
  <si>
    <t>TID_CombatHeroSkillConf_1720173001_descDetail_CN_Main</t>
  </si>
  <si>
    <t>太阳祭祀将敌人埋葬在被太阳烤干的沙漠中</t>
  </si>
  <si>
    <t>TID_CombatHeroSkillConf_172018_skillName_CN_Main</t>
  </si>
  <si>
    <t>叹息之刺</t>
  </si>
  <si>
    <t>太阳祭司-箭雨</t>
  </si>
  <si>
    <t>SkillDetail_17201801</t>
  </si>
  <si>
    <t>TID_CombatHeroSkillConf_1720183001_descDetail_CN_Main</t>
  </si>
  <si>
    <t>太阳祭祀借用寒冬的力量，冻结一切敌人</t>
  </si>
  <si>
    <t>TID_CombatHeroSkillConf_172019_skillName_CN_Main</t>
  </si>
  <si>
    <t>安息的归宿</t>
  </si>
  <si>
    <t>胡狼卫士-打断</t>
  </si>
  <si>
    <t>SkillDetail_17201901</t>
  </si>
  <si>
    <t>TID_CombatHeroSkillConf_1720193001_descDetail_CN_Main</t>
  </si>
  <si>
    <t>胡狼卫士与冥界沟通，将周围敌人送至安息之地</t>
  </si>
  <si>
    <t>TID_CombatHeroSkillConf_172020_skillName_CN_Main</t>
  </si>
  <si>
    <t>寂灭的接引</t>
  </si>
  <si>
    <t>胡狼卫士-不可打断</t>
  </si>
  <si>
    <t>SkillDetail_17202001</t>
  </si>
  <si>
    <t>TID_CombatHeroSkillConf_1720203001_descDetail_CN_Main</t>
  </si>
  <si>
    <t>胡狼卫士召唤沙漠的力量，将胆敢正面挑战的敌人送至冥界</t>
  </si>
  <si>
    <t>TID_CombatHeroSkillConf_172021_skillName_CN_Main</t>
  </si>
  <si>
    <t>荣耀的恩赐</t>
  </si>
  <si>
    <t>胡狼卫士-箭雨</t>
  </si>
  <si>
    <t>SkillDetail_17202101</t>
  </si>
  <si>
    <t>TID_CombatHeroSkillConf_1720213001_descDetail_CN_Main</t>
  </si>
  <si>
    <t>胡狼卫士与冥界沟通，降下无尽的神罚消灭周围之敌人</t>
  </si>
  <si>
    <t>TID_CombatHeroSkillConf_172022_skillName_CN_Main</t>
  </si>
  <si>
    <t>火雨之刑</t>
  </si>
  <si>
    <t>全知者-打断</t>
  </si>
  <si>
    <t>SkillDetail_17202201</t>
  </si>
  <si>
    <t>TID_CombatHeroSkillConf_1720223001_descDetail_CN_Main</t>
  </si>
  <si>
    <t>全知者翻阅禁忌的法典，降下火雨灼烧一切他认为有罪之人</t>
  </si>
  <si>
    <t>TID_CombatHeroSkillConf_172023_skillName_CN_Main</t>
  </si>
  <si>
    <t>地动之禁</t>
  </si>
  <si>
    <t>全知者-不可打断</t>
  </si>
  <si>
    <t>SkillDetail_17202301</t>
  </si>
  <si>
    <t>TID_CombatHeroSkillConf_1720233001_descDetail_CN_Main</t>
  </si>
  <si>
    <t>全知者沟通大地，发动沙暴埋葬使周围敌人</t>
  </si>
  <si>
    <t>TID_CombatHeroSkillConf_172024_skillName_CN_Main</t>
  </si>
  <si>
    <t>天怒</t>
  </si>
  <si>
    <t>全知者-箭雨</t>
  </si>
  <si>
    <t>SkillDetail_17202401</t>
  </si>
  <si>
    <t>TID_CombatHeroSkillConf_1720243001_descDetail_CN_Main</t>
  </si>
  <si>
    <t>全知者运用未知的知识，撬动了天地之力，毁灭周围的敌人</t>
  </si>
  <si>
    <t>TID_CombatHeroSkillConf_172025_skillName_CN_Main</t>
  </si>
  <si>
    <t>雷霆之怒</t>
  </si>
  <si>
    <t>全知者-雷</t>
  </si>
  <si>
    <t>全知者-冰</t>
  </si>
  <si>
    <t>奇迹</t>
  </si>
  <si>
    <t>TID_CombatHeroSkillConf_17202710350104_descDetail_CN_Main</t>
  </si>
  <si>
    <t>传奇英灵被奇迹的神秘力量加持，无法被控制技能影响</t>
  </si>
  <si>
    <t>TID_CombatHeroSkillConf_172028_skillName_CN_Main</t>
  </si>
  <si>
    <t>烈焰轰击</t>
  </si>
  <si>
    <t>中立战场-打断</t>
  </si>
  <si>
    <t>SkillDetail_17203701</t>
  </si>
  <si>
    <t>TID_CombatHeroSkillConf_1720283001_descDetail_CN_Main</t>
  </si>
  <si>
    <t>中立战场-不可打断</t>
  </si>
  <si>
    <t>SkillDetail_17203801</t>
  </si>
  <si>
    <t>TID_CombatHeroSkillConf_1720293001_descDetail_CN_Main</t>
  </si>
  <si>
    <t>TID_CombatHeroSkillConf_172030_skillName_CN_Main</t>
  </si>
  <si>
    <t>箭阵突击</t>
  </si>
  <si>
    <t>中立战场-箭雨</t>
  </si>
  <si>
    <t>SkillDetail_17203901</t>
  </si>
  <si>
    <t>TID_CombatHeroSkillConf_1720303001_descDetail_CN_Main</t>
  </si>
  <si>
    <t>TID_CombatHeroSkillConf_170901_skillName_CN_Main</t>
  </si>
  <si>
    <t>霸王本色</t>
  </si>
  <si>
    <t>项楚</t>
  </si>
  <si>
    <t>范围武力伤害</t>
  </si>
  <si>
    <t>icon_heroskill_100700</t>
  </si>
  <si>
    <t>icon_n_heroskill_018</t>
  </si>
  <si>
    <t>TID_CombatHeroSkillConf_17090117110101_descDetail_CN_Main</t>
  </si>
  <si>
    <t>（主将技）对周身范围内最多10支敌军造成武力伤害</t>
  </si>
  <si>
    <t>蛮族挑衅技能</t>
  </si>
  <si>
    <t>TID_CombatHeroSkillConf_171201_skillName_CN_Main</t>
  </si>
  <si>
    <t>白蛇灵约</t>
  </si>
  <si>
    <t>刘沛</t>
  </si>
  <si>
    <t>范围回复</t>
  </si>
  <si>
    <t>范围内友方</t>
  </si>
  <si>
    <t>icon_heroskill_200049</t>
  </si>
  <si>
    <t>icon_n_heroskill_007</t>
  </si>
  <si>
    <t>TID_CombatHeroSkillConf_17120117120101_descDetail_CN_Main</t>
  </si>
  <si>
    <t>（主将技）恢复周围友军一定兵力</t>
  </si>
  <si>
    <t>TID_CombatHeroSkillConf_172201_skillName_CN_Main</t>
  </si>
  <si>
    <t>剑刃风暴</t>
  </si>
  <si>
    <t>项羽2关守将</t>
  </si>
  <si>
    <t>circle{
radius:600
}</t>
  </si>
  <si>
    <t>TID_CombatHeroSkillConf_17220117220101_descDetail_CN_Main</t>
  </si>
  <si>
    <t>（主将技）对扇形范围内至多3个目标释放枪阵，造成{0}伤害。</t>
  </si>
  <si>
    <t>（主将技）对扇形范围内至多3个目标释放枪阵，造成{0:0}%伤害。</t>
  </si>
  <si>
    <t>TID_CombatHeroSkillConf_100501_skillName_CN_Main</t>
  </si>
  <si>
    <t>单刀赴会</t>
  </si>
  <si>
    <t>关羽的主将技</t>
  </si>
  <si>
    <t>icon_heroskill_179900</t>
  </si>
  <si>
    <t>武力</t>
  </si>
  <si>
    <t>TID_CombatHeroSkillConf_10050110050101_gainEffectTip_CN_Main</t>
  </si>
  <si>
    <t>TID_CombatHeroSkillConf_1799003001_descDetail_CN_Main</t>
  </si>
  <si>
    <t>（主将技）对敌军造成武力伤害（伤害率：{0}，武力加成），获得100%暴击率，持续3秒。</t>
  </si>
  <si>
    <t>（主将技）对敌军造成武力伤害（伤害率：{0:0}%，武力加成），获得100%暴击率，持续3秒。</t>
  </si>
  <si>
    <t>必爆</t>
  </si>
  <si>
    <t>TID_CombatHeroSkillConf_103900_skillName_CN_Main</t>
  </si>
  <si>
    <t>侠客行</t>
  </si>
  <si>
    <t>李白主将技</t>
  </si>
  <si>
    <t>根据目标buff层数跳转</t>
  </si>
  <si>
    <t>sector{
radius:500
angle:120
}</t>
  </si>
  <si>
    <t>icon_heroskill_103900</t>
  </si>
  <si>
    <t>icon_n_heroskill_200078</t>
  </si>
  <si>
    <t>TID_CombatHeroSkillConf_10390010390001_descDetail_CN_Main</t>
  </si>
  <si>
    <t>（主将技）对前方扇形范围内最多3支敌军造成3段武力伤害（伤害率：{0}，武力加成），当剑气满4层时，会消耗4层剑气，改为造成5段武力伤害（伤害率：{1}，武力加成）。进入战斗时，立即获得100初始怒气。</t>
  </si>
  <si>
    <t>39</t>
  </si>
  <si>
    <t>3次伤害</t>
  </si>
  <si>
    <t>10390001</t>
  </si>
  <si>
    <t>5次伤害</t>
  </si>
  <si>
    <t>10390002</t>
  </si>
  <si>
    <t>清除buff</t>
  </si>
  <si>
    <t>删剑气特效表现</t>
  </si>
  <si>
    <t>TID_CombatHeroSkillConf_104500_skillName_CN_Main</t>
  </si>
  <si>
    <t>忿火诛仇</t>
  </si>
  <si>
    <t>马超主将技</t>
  </si>
  <si>
    <t>马超主将技-武力伤害</t>
  </si>
  <si>
    <t>sector{
radius:500
angle:90
}</t>
  </si>
  <si>
    <t>icon_heroskill_104200</t>
  </si>
  <si>
    <t>icon_n_heroskill_200019</t>
  </si>
  <si>
    <t>武力|增益</t>
  </si>
  <si>
    <t>TID_CombatHeroSkillConf_10270210270203_gainEffectTip_838747170566_CN_Main</t>
  </si>
  <si>
    <t>TID_CombatHeroSkillConf_17450010450001_descDetail_CN_Main</t>
  </si>
  <si>
    <t>（主将技）对敌军造成武力伤害（伤害率：{0}，武力加成），该次伤害有的60%概率无视目标70%防御。</t>
  </si>
  <si>
    <t>45</t>
  </si>
  <si>
    <t>马超固有技能-获得破甲属性</t>
  </si>
  <si>
    <t>被动触发</t>
  </si>
  <si>
    <t>天下布武</t>
  </si>
  <si>
    <t>主动技</t>
  </si>
  <si>
    <t>icon_n_heroskill_003</t>
  </si>
  <si>
    <t>TID_CombatHeroSkillConf_10020013001_descDetail_CN_Main</t>
  </si>
  <si>
    <t>对敌方造成武力{0}武力伤害</t>
  </si>
  <si>
    <t>无冕之王</t>
  </si>
  <si>
    <t>指挥技</t>
  </si>
  <si>
    <t>icon_n_heroskill_017</t>
  </si>
  <si>
    <t>TID_CombatHeroSkillConf_10030013001_descDetail_CN_Main</t>
  </si>
  <si>
    <t>每3秒一次，对敌军造成{0}武力伤害</t>
  </si>
  <si>
    <t>进战加攻</t>
  </si>
  <si>
    <t>TID_CombatHeroSkillConf_30000014001_descDetail_CN_Main</t>
  </si>
  <si>
    <t>进入战斗后提升{0}攻击力，持续5秒</t>
  </si>
  <si>
    <t>增加伤害</t>
  </si>
  <si>
    <t>TRUE</t>
  </si>
  <si>
    <t>TID_CombatHeroSkillConf_88888888_skillName_CN_Main</t>
  </si>
  <si>
    <t>恭喜发财</t>
  </si>
  <si>
    <t>hale测试勿动</t>
  </si>
  <si>
    <t>增减怒气测试</t>
  </si>
  <si>
    <t>TID_CombatHeroSkillConf_1000030013001_descDetail_CN_Main</t>
  </si>
  <si>
    <t>对扇形范围内至多3个目标造成{0}伤害</t>
  </si>
  <si>
    <t>多段伤害</t>
  </si>
  <si>
    <t>测试虚弱</t>
  </si>
  <si>
    <t>贞德-主动</t>
  </si>
  <si>
    <t>icon_heroskill_038</t>
  </si>
  <si>
    <t>TID_CombatHeroSkillConf_1000010012105_descDetail_CN_Main</t>
  </si>
  <si>
    <t>增加剑士{0}生命加成，持续5秒</t>
  </si>
  <si>
    <t>TID_CombatHeroSkillConf_1000010022255_descDetail_CN_Main</t>
  </si>
  <si>
    <t>增加部队{0}减伤，持续10秒</t>
  </si>
  <si>
    <t>TID_CombatHeroSkillConf_100003001_skillName_CN_Main</t>
  </si>
  <si>
    <t>帝国荣耀</t>
  </si>
  <si>
    <t>icon_heroskill_040</t>
  </si>
  <si>
    <t>TID_CombatHeroSkillConf_1000030022303_descDetail_CN_Main</t>
  </si>
  <si>
    <t>增加部队{0}暴击概率，持续5秒</t>
  </si>
  <si>
    <t>TID_CombatHeroSkillConf_100007001_skillName_CN_Main</t>
  </si>
  <si>
    <t>霸王横枪</t>
  </si>
  <si>
    <t>项羽</t>
  </si>
  <si>
    <t>追击技</t>
  </si>
  <si>
    <t>icon_heroskill_041</t>
  </si>
  <si>
    <t>TID_CombatHeroSkillConf_10000700113001_descDetail_CN_Main</t>
  </si>
  <si>
    <t>普通攻击后，对目标造成一次{0}伤害，并让目标减速目标，持续3秒</t>
  </si>
  <si>
    <t>circle{
radius:300
}</t>
  </si>
  <si>
    <t>icon_n_heroskill_012</t>
  </si>
  <si>
    <t>TID_CombatHeroSkillConf_10000700213001_descDetail_CN_Main</t>
  </si>
  <si>
    <t>对扇形范围内至多3个目标释放枪阵，造成{0}伤害。击飞目标并让目标晕眩，持续3秒</t>
  </si>
  <si>
    <t>TID_CombatHeroSkillConf_100009001_skillName_CN_Main</t>
  </si>
  <si>
    <t>巾帼英雄</t>
  </si>
  <si>
    <t>花木兰</t>
  </si>
  <si>
    <t>icon_heroskill_047</t>
  </si>
  <si>
    <t>TID_CombatHeroSkillConf_10000900113001_descDetail_CN_Main</t>
  </si>
  <si>
    <t>普通攻击后，对目标造成一次{0}伤害</t>
  </si>
  <si>
    <t>circle{
radius:400
}</t>
  </si>
  <si>
    <t>icon_heroskill_046</t>
  </si>
  <si>
    <t>TID_CombatHeroSkillConf_10000900212001_descDetail_CN_Main</t>
  </si>
  <si>
    <t>对圆形范围内友军恢复{0}兵力</t>
  </si>
  <si>
    <t>TID_CombatHeroSkillConf_10000100112105_descDetail_CN_Main</t>
  </si>
  <si>
    <t>增加剑士{0}生命加成，持续8秒</t>
  </si>
  <si>
    <t>TID_CombatHeroSkillConf_10000100212255_descDetail_CN_Main</t>
  </si>
  <si>
    <t>增加部队{0}减伤，持续12秒</t>
  </si>
  <si>
    <t>TID_CombatHeroSkillConf_10000300113001_descDetail_CN_Main</t>
  </si>
  <si>
    <t>对圆形范围内至多3个目标造成{0}伤害</t>
  </si>
  <si>
    <t>TID_CombatHeroSkillConf_10000300212303_descDetail_CN_Main</t>
  </si>
  <si>
    <t>增加部队{0}暴击概率，持续7秒</t>
  </si>
  <si>
    <t>icon_n_heroskill_011</t>
  </si>
  <si>
    <t>icon_n_heroskill_009</t>
  </si>
  <si>
    <t>TID_CombatHeroSkillConf_650101_skillName_CN_Main</t>
  </si>
  <si>
    <t>爆桶</t>
  </si>
  <si>
    <t>死亡触发</t>
  </si>
  <si>
    <t>召唤炸弹</t>
  </si>
  <si>
    <t>白</t>
  </si>
  <si>
    <t>icon_escortskill</t>
  </si>
  <si>
    <t>icon_escortskill_010</t>
  </si>
  <si>
    <t>TID_CombatHeroSkillConf_65010165010101_description_CN_Main</t>
  </si>
  <si>
    <t>响马爆破手被击败后将随身携带的爆桶点燃，数秒后爆炸对周围造成不分敌我的伤害</t>
  </si>
  <si>
    <t>TID_CombatHeroSkillConf_650102_skillName_CN_Main</t>
  </si>
  <si>
    <t>炸弹伤害</t>
  </si>
  <si>
    <t>跳转</t>
  </si>
  <si>
    <t>circle{
radius:200
}</t>
  </si>
  <si>
    <t>icon_escortskill_011</t>
  </si>
  <si>
    <t>打镖车伤害</t>
  </si>
  <si>
    <t>耐久</t>
  </si>
  <si>
    <t>自身实体类型</t>
  </si>
  <si>
    <t>镖车</t>
  </si>
  <si>
    <t>伤害</t>
  </si>
  <si>
    <t>父buff挂载目标</t>
  </si>
  <si>
    <t>护送玩法野怪</t>
  </si>
  <si>
    <t>TID_CombatHeroSkillConf_640101_skillName_CN_Main</t>
  </si>
  <si>
    <t>庇护光环</t>
  </si>
  <si>
    <t>计时器触发</t>
  </si>
  <si>
    <t>icon_escortskill_005</t>
  </si>
  <si>
    <t>TID_CombatHeroSkillConf_64010164010101_description_CN_Main</t>
  </si>
  <si>
    <t>响马祭祀调用神秘力量减少周围响马受到的伤害</t>
  </si>
  <si>
    <t>范围跳转</t>
  </si>
  <si>
    <t>范围目标</t>
  </si>
  <si>
    <t>减伤</t>
  </si>
  <si>
    <t>TID_CombatHeroSkillConf_640102_skillName_CN_Main</t>
  </si>
  <si>
    <t>强攻光环</t>
  </si>
  <si>
    <t>icon_escortskill_008</t>
  </si>
  <si>
    <t>TID_CombatHeroSkillConf_64010264010201_description_CN_Main</t>
  </si>
  <si>
    <t>响马祭祀调用神秘力量增加周围响马造成的伤害</t>
  </si>
  <si>
    <t>增伤</t>
  </si>
  <si>
    <t>TID_CombatHeroSkillConf_640103_skillName_CN_Main</t>
  </si>
  <si>
    <t>急速光环</t>
  </si>
  <si>
    <t>icon_escortskill_009</t>
  </si>
  <si>
    <t>TID_CombatHeroSkillConf_64010364010301_description_CN_Main</t>
  </si>
  <si>
    <t>响马祭祀调用神秘力量增加周围响马移动的速度</t>
  </si>
  <si>
    <t>战斗移速提升</t>
  </si>
  <si>
    <t>战斗外移速提升</t>
  </si>
  <si>
    <t>大当家读条</t>
  </si>
  <si>
    <t>TID_CombatHeroSkillConf_6401043001_descDetail_CN_Main</t>
  </si>
  <si>
    <t>响马当家经过短时间的蓄力之后，对周围的单位释放冲击波造成大量伤害</t>
  </si>
  <si>
    <t>大当家半圆</t>
  </si>
  <si>
    <t>TID_CombatHeroSkillConf_6401053001_descDetail_CN_Main</t>
  </si>
  <si>
    <t>响马当家经过短时间的蓄力之后，向前劈砍，对正前方单位造成大量伤害及沉默</t>
  </si>
  <si>
    <t>大当家箭雨</t>
  </si>
  <si>
    <t>TID_CombatHeroSkillConf_6401063001_descDetail_CN_Main</t>
  </si>
  <si>
    <t>响马当家向随机的区域射出密集箭雨，箭雨区域内的部队会受到伤害</t>
  </si>
  <si>
    <t>中当家读条</t>
  </si>
  <si>
    <t>中当家半圆</t>
  </si>
  <si>
    <t>中当家箭雨</t>
  </si>
  <si>
    <t>TID_CombatHeroSkillConf_64011010350104_description_CN_Main</t>
  </si>
  <si>
    <t>TID_CombatHeroSkillConf_64011010350104_descDetail_CN_Main</t>
  </si>
  <si>
    <t>响马当家被神秘的力量加持，无法被控制技能影响</t>
  </si>
  <si>
    <t>TID_CombatHeroSkillConf_100700_skillName_CN_Main</t>
  </si>
  <si>
    <t>霸王降世</t>
  </si>
  <si>
    <t>大当家读条项羽 枪</t>
  </si>
  <si>
    <t>SkillDetail_17202501</t>
  </si>
  <si>
    <t>TID_CombatHeroSkillConf_6601013001_descDetail_CN_Main</t>
  </si>
  <si>
    <t>项羽 枪-减速</t>
  </si>
  <si>
    <t>项羽 枪-击退进度条</t>
  </si>
  <si>
    <t>项羽 枪-监控主将技能释放</t>
  </si>
  <si>
    <t>TID_CombatHeroSkillConf_103300_skillName_CN_Main</t>
  </si>
  <si>
    <t>七星仗剑</t>
  </si>
  <si>
    <t>诸葛亮 弓大当家箭雨</t>
  </si>
  <si>
    <t>SkillDetail_17202601</t>
  </si>
  <si>
    <t>icon_heroskill_103300</t>
  </si>
  <si>
    <t>TID_CombatHeroSkillConf_6602013002_descDetail_CN_Main</t>
  </si>
  <si>
    <t>诸葛-弓燃烧</t>
  </si>
  <si>
    <t>诸葛-弓刷新伤害圈</t>
  </si>
  <si>
    <t>诸葛-弓刷新轮数</t>
  </si>
  <si>
    <t>诸葛-弓清空重置技能范围</t>
  </si>
  <si>
    <t>TID_CombatHeroSkillConf_101901_skillName_CN_Main</t>
  </si>
  <si>
    <t>征国战阵</t>
  </si>
  <si>
    <t>大当家读条大流士 枪</t>
  </si>
  <si>
    <t>SkillDetail_17202701</t>
  </si>
  <si>
    <t>icon_heroskill_101900</t>
  </si>
  <si>
    <t>大流士 枪缴械</t>
  </si>
  <si>
    <t>TID_CombatHeroSkillConf_101200_skillName_CN_Main</t>
  </si>
  <si>
    <t>以一退三</t>
  </si>
  <si>
    <t>大当家读条萨拉丁 骑</t>
  </si>
  <si>
    <t>SkillDetail_17202801</t>
  </si>
  <si>
    <t>icon_heroskill_101200</t>
  </si>
  <si>
    <t>萨拉丁 骑流血</t>
  </si>
  <si>
    <t>TID_CombatHeroSkillConf_104100_skillName_CN_Main</t>
  </si>
  <si>
    <t>帝统威严</t>
  </si>
  <si>
    <t>大当家读条查理曼 剑</t>
  </si>
  <si>
    <t>rectangle{length:1000 width:400}</t>
  </si>
  <si>
    <t>SkillDetail_17202901</t>
  </si>
  <si>
    <t>icon_heroskill_104100</t>
  </si>
  <si>
    <t>查理曼 剑流血</t>
  </si>
  <si>
    <t>TID_CombatHeroSkillConf_100600_skillName_CN_Main</t>
  </si>
  <si>
    <t>长弓齐射</t>
  </si>
  <si>
    <t>大当家箭雨亨利 弓</t>
  </si>
  <si>
    <t>SkillDetail_17203001</t>
  </si>
  <si>
    <t>icon_heroskill_100600</t>
  </si>
  <si>
    <t>TID_CombatHeroSkillConf_6606013002_descDetail_CN_Main</t>
  </si>
  <si>
    <t>亨利弓沉默</t>
  </si>
  <si>
    <t>大当家读条尤利乌斯 剑</t>
  </si>
  <si>
    <t>SkillDetail_17203101</t>
  </si>
  <si>
    <t>尤利乌斯 剑-降低守备</t>
  </si>
  <si>
    <t>-数值</t>
  </si>
  <si>
    <t>TID_CombatHeroSkillConf_103401_skillName_CN_Main</t>
  </si>
  <si>
    <t>大帝威权</t>
  </si>
  <si>
    <t>大当家读条屋大维 枪</t>
  </si>
  <si>
    <t>SkillDetail_17203201</t>
  </si>
  <si>
    <t>icon_heroskill_103400</t>
  </si>
  <si>
    <t>屋大维 枪-虚弱</t>
  </si>
  <si>
    <t>TID_CombatHeroSkillConf_102300_skillName_CN_Main</t>
  </si>
  <si>
    <t>出奇制胜</t>
  </si>
  <si>
    <t>大当家读条汉尼拔 骑</t>
  </si>
  <si>
    <t>SkillDetail_17203301</t>
  </si>
  <si>
    <t>icon_heroskill_102301</t>
  </si>
  <si>
    <t>汉尼拔 骑-降低武力</t>
  </si>
  <si>
    <t>武力最高英雄</t>
  </si>
  <si>
    <t>TID_CombatHeroSkillConf_100400_skillName_CN_Main</t>
  </si>
  <si>
    <t>倾国俘心</t>
  </si>
  <si>
    <t>大当家箭雨艳后 弓</t>
  </si>
  <si>
    <t>SkillDetail_17203401</t>
  </si>
  <si>
    <t>icon_heroskill_100400</t>
  </si>
  <si>
    <t>TID_CombatHeroSkillConf_6610013002_descDetail_CN_Main</t>
  </si>
  <si>
    <t>艳后 剑-降低谋略</t>
  </si>
  <si>
    <t>TID_CombatHeroSkillConf_103201_skillName_CN_Main</t>
  </si>
  <si>
    <t>毁灭者</t>
  </si>
  <si>
    <t>大当家读条阿提拉 骑</t>
  </si>
  <si>
    <t>SkillDetail_17203501</t>
  </si>
  <si>
    <t>icon_heroskill_103201</t>
  </si>
  <si>
    <t>icon_n_heroskill_200042</t>
  </si>
  <si>
    <t>TID_CombatHeroSkillConf_101100_skillName_CN_Main</t>
  </si>
  <si>
    <t>锯齿长枪</t>
  </si>
  <si>
    <t>大当家读条布狄卡 枪</t>
  </si>
  <si>
    <t>SkillDetail_17203601</t>
  </si>
  <si>
    <t>icon_heroskill_101100</t>
  </si>
  <si>
    <t>布狄卡 枪破甲</t>
  </si>
  <si>
    <t>TID_CombatHeroSkillConf_6613013001_description_CN_Main</t>
  </si>
  <si>
    <t>势力英杰经过短时间的蓄力之后，向前劈砍，对正前方单位造成大量伤害及沉默</t>
  </si>
  <si>
    <t>TID_CombatHeroSkillConf_6614013001_description_CN_Main</t>
  </si>
  <si>
    <t>势力英杰向随机的区域射出密集箭雨，箭雨区域内的部队会受到伤害</t>
  </si>
  <si>
    <t>TID_CombatHeroSkillConf_102200_skillName_CN_Main</t>
  </si>
  <si>
    <t>万疆征服</t>
  </si>
  <si>
    <t>亚历山大-园</t>
  </si>
  <si>
    <t>SkillDetail_17204001</t>
  </si>
  <si>
    <t>TID_CombatHeroSkillConf_104200_skillName_CN_Main</t>
  </si>
  <si>
    <t>勇挫骑锋</t>
  </si>
  <si>
    <t>理查-矩形</t>
  </si>
  <si>
    <t>SkillDetail_17204101</t>
  </si>
  <si>
    <t>TID_CombatHeroSkillConf_661801_skillName_CN_Main</t>
  </si>
  <si>
    <t>和平突击</t>
  </si>
  <si>
    <t>查士丁尼</t>
  </si>
  <si>
    <t>SkillDetail_17204201</t>
  </si>
  <si>
    <t>TID_CombatHeroSkillConf_100800_skillName_CN_Main</t>
  </si>
  <si>
    <t>重装出击</t>
  </si>
  <si>
    <t>康斯坦丁-矩形</t>
  </si>
  <si>
    <t>SkillDetail_17204301</t>
  </si>
  <si>
    <t>TID_CombatHeroSkillConf_102001_skillName_CN_Main</t>
  </si>
  <si>
    <t>水战八法</t>
  </si>
  <si>
    <t>李舜臣-园</t>
  </si>
  <si>
    <t>SkillDetail_17204401</t>
  </si>
  <si>
    <t>TID_CombatHeroSkillConf_660100_skillName_CN_Main</t>
  </si>
  <si>
    <t>兵形势家</t>
  </si>
  <si>
    <t>指挥</t>
  </si>
  <si>
    <t>icon_heroskill_200043</t>
  </si>
  <si>
    <t>TID_CombatHeroSkillConf_66010066030001_description_CN_Main</t>
  </si>
  <si>
    <t>增加周围单位15%指挥技能伤害</t>
  </si>
  <si>
    <t>指挥伤害增加</t>
  </si>
  <si>
    <t>被动</t>
  </si>
  <si>
    <t>icon_heroskill_121100</t>
  </si>
  <si>
    <t>TID_CombatHeroSkillConf_66011066010001_description_CN_Main</t>
  </si>
  <si>
    <t>增加周围单位15%被动技能伤害</t>
  </si>
  <si>
    <t>被动伤害增加</t>
  </si>
  <si>
    <t>追击</t>
  </si>
  <si>
    <t>icon_heroskill_120200</t>
  </si>
  <si>
    <t>TID_CombatHeroSkillConf_66012066110001_description_CN_Main</t>
  </si>
  <si>
    <t>增加周围单位15%追击技能伤害</t>
  </si>
  <si>
    <t>追击伤害提升</t>
  </si>
  <si>
    <t>主动</t>
  </si>
  <si>
    <t>icon_heroskill_200122</t>
  </si>
  <si>
    <t>TID_CombatHeroSkillConf_66013066060001_description_CN_Main</t>
  </si>
  <si>
    <t>增加周围单位15%主动技能伤害</t>
  </si>
  <si>
    <t>主动伤害提升</t>
  </si>
  <si>
    <t>TID_CombatHeroSkillConf_660200_skillName_CN_Main</t>
  </si>
  <si>
    <t>八阵图</t>
  </si>
  <si>
    <t>icon_heroskill_200040</t>
  </si>
  <si>
    <t>TID_CombatHeroSkillConf_66020066100001_description_CN_Main</t>
  </si>
  <si>
    <t>减少周围单位15%受到的指挥技能伤害</t>
  </si>
  <si>
    <t>受到指挥伤害降低</t>
  </si>
  <si>
    <t>icon_heroskill_121101</t>
  </si>
  <si>
    <t>TID_CombatHeroSkillConf_66021066120001_description_CN_Main</t>
  </si>
  <si>
    <t>减少周围单位15%受到的被动技能伤害</t>
  </si>
  <si>
    <t>受到被动伤害降低</t>
  </si>
  <si>
    <t>icon_heroskill_200069</t>
  </si>
  <si>
    <t>TID_CombatHeroSkillConf_66022066040001_description_CN_Main</t>
  </si>
  <si>
    <t>减少周围单位15%受到的追击技能伤害</t>
  </si>
  <si>
    <t>受到追击伤害降低</t>
  </si>
  <si>
    <t>icon_heroskill_200001</t>
  </si>
  <si>
    <t>TID_CombatHeroSkillConf_66023066020001_description_CN_Main</t>
  </si>
  <si>
    <t>减少周围单位15%受到的主动技能伤害</t>
  </si>
  <si>
    <t>受到主动伤害降低</t>
  </si>
  <si>
    <t>TID_CombatHeroSkillConf_660300_skillName_CN_Main</t>
  </si>
  <si>
    <t>长明圣火</t>
  </si>
  <si>
    <t>TID_CombatHeroSkillConf_660400_skillName_CN_Main</t>
  </si>
  <si>
    <t>圣鹰之域</t>
  </si>
  <si>
    <t>TID_CombatHeroSkillConf_660500_skillName_CN_Main</t>
  </si>
  <si>
    <t>骑士王朝</t>
  </si>
  <si>
    <t>TID_CombatHeroSkillConf_660600_skillName_CN_Main</t>
  </si>
  <si>
    <t>蔷薇之名</t>
  </si>
  <si>
    <t>TID_CombatHeroSkillConf_660700_skillName_CN_Main</t>
  </si>
  <si>
    <t>洛玛方阵</t>
  </si>
  <si>
    <t>TID_CombatHeroSkillConf_660800_skillName_CN_Main</t>
  </si>
  <si>
    <t>奥古斯都</t>
  </si>
  <si>
    <t>TID_CombatHeroSkillConf_660900_skillName_CN_Main</t>
  </si>
  <si>
    <t>战略之眼</t>
  </si>
  <si>
    <t>TID_CombatHeroSkillConf_661000_skillName_CN_Main</t>
  </si>
  <si>
    <t>灵蛇魅影</t>
  </si>
  <si>
    <t>TID_CombatHeroSkillConf_661100_skillName_CN_Main</t>
  </si>
  <si>
    <t>天启之鞭</t>
  </si>
  <si>
    <t>TID_CombatHeroSkillConf_661200_skillName_CN_Main</t>
  </si>
  <si>
    <t>不屈血脉</t>
  </si>
  <si>
    <t>TID_CombatHeroSkillConf_661231_skillName_CN_Main</t>
  </si>
  <si>
    <t>突击阵型</t>
  </si>
  <si>
    <t>TID_CombatHeroSkillConf_66123166030001_description_CN_Main</t>
  </si>
  <si>
    <t>增加周围单位8%指挥技能伤害</t>
  </si>
  <si>
    <t>TID_CombatHeroSkillConf_66123266010001_description_CN_Main</t>
  </si>
  <si>
    <t>增加周围单位8%被动技能伤害</t>
  </si>
  <si>
    <t>TID_CombatHeroSkillConf_66123366110001_description_CN_Main</t>
  </si>
  <si>
    <t>增加周围单位8%追击技能伤害</t>
  </si>
  <si>
    <t>TID_CombatHeroSkillConf_66123466060001_description_CN_Main</t>
  </si>
  <si>
    <t>增加周围单位8%主动技能伤害</t>
  </si>
  <si>
    <t>TID_CombatHeroSkillConf_661235_skillName_CN_Main</t>
  </si>
  <si>
    <t>抵御阵型</t>
  </si>
  <si>
    <t>TID_CombatHeroSkillConf_66123566100001_description_CN_Main</t>
  </si>
  <si>
    <t>减少周围单位8%受到的指挥技能伤害</t>
  </si>
  <si>
    <t>TID_CombatHeroSkillConf_66123666120001_description_CN_Main</t>
  </si>
  <si>
    <t>减少周围单位8%受到的被动技能伤害</t>
  </si>
  <si>
    <t>TID_CombatHeroSkillConf_66123766040001_description_CN_Main</t>
  </si>
  <si>
    <t>减少周围单位8%受到的追击技能伤害</t>
  </si>
  <si>
    <t>TID_CombatHeroSkillConf_66123866020001_description_CN_Main</t>
  </si>
  <si>
    <t>减少周围单位8%受到的主动技能伤害</t>
  </si>
  <si>
    <t>TID_CombatHeroSkillConf_700001_skillName_CN_Main</t>
  </si>
  <si>
    <t>武神降世</t>
  </si>
  <si>
    <t>自走棋关羽-战争践踏-</t>
  </si>
  <si>
    <t>场景内敌方</t>
  </si>
  <si>
    <t>TID_CombatHeroSkillConf_700001_descDetail_CN_Chant</t>
  </si>
  <si>
    <t>icon_g_autochessskill</t>
  </si>
  <si>
    <t>icon_autochessskill2_001</t>
  </si>
  <si>
    <t>蓄力后，造成巨额的范围伤害。蓄力过程可以被卡牌技能打断。</t>
  </si>
  <si>
    <t>TID_CombatHeroSkillConf_700002_skillName_CN_Main</t>
  </si>
  <si>
    <t>自走棋亨利-毁灭箭雨</t>
  </si>
  <si>
    <t>rectangle{
length:200
width:200
centerBySelf:true
}</t>
  </si>
  <si>
    <t>TID_CombatHeroSkillConf_700002_descDetail_CN_Chant</t>
  </si>
  <si>
    <t>icon_autochessskill2_002</t>
  </si>
  <si>
    <t>TID_CombatHeroSkillConf_700002_descDetail_CN_Main</t>
  </si>
  <si>
    <t>对局开始时，对自身周围5X5地格范围进行箭雨攻击。请注意躲避。</t>
  </si>
  <si>
    <t>TID_CombatHeroSkillConf_700003_skillName_CN_Main</t>
  </si>
  <si>
    <t>猩红加冕</t>
  </si>
  <si>
    <t>自走棋巴巴罗萨-剑士地刺</t>
  </si>
  <si>
    <t>剑士地刺 - 武力伤害</t>
  </si>
  <si>
    <t>TID_CombatHeroSkillConf_700003_descDetail_CN_Chant</t>
  </si>
  <si>
    <t>icon_autochessskill2_008</t>
  </si>
  <si>
    <t>TID_CombatHeroSkillConf_700003_descDetail_CN_Main</t>
  </si>
  <si>
    <t>瞬间眩晕周围敌军5秒，并造成大量伤害。</t>
  </si>
  <si>
    <t>TID_NewFog_Active_Skill_1_Des_1</t>
  </si>
  <si>
    <t>剑士地刺 - 延迟跳转</t>
  </si>
  <si>
    <t>剑士地刺 - 眩晕</t>
  </si>
  <si>
    <t>剑道无极（废弃）</t>
  </si>
  <si>
    <t>详见技能表自走棋-4000017</t>
  </si>
  <si>
    <t>血量降低增加输出</t>
  </si>
  <si>
    <t>血量降低加武力值</t>
  </si>
  <si>
    <t>圣女祷祝</t>
  </si>
  <si>
    <t>自走棋贞德-回血</t>
  </si>
  <si>
    <r>
      <rPr>
        <sz val="11"/>
        <color rgb="FF000000"/>
        <rFont val="微软雅黑"/>
        <family val="2"/>
        <charset val="134"/>
      </rPr>
      <t>rectangle{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length:1000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width:1000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centerBySelf:true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}</t>
    </r>
  </si>
  <si>
    <t>TID_CombatHeroSkillConf_700005_descDetail_CN_Chant</t>
  </si>
  <si>
    <t>icon_autochessskill2_010</t>
  </si>
  <si>
    <t>TID_CombatHeroSkillConf_700005_descDetail_CN_Main</t>
  </si>
  <si>
    <t>TID_CombatHeroSkillConf_700006_skillName_CN_Main</t>
  </si>
  <si>
    <t>天启神罚</t>
  </si>
  <si>
    <t>自走棋萨拉丁-狂暴</t>
  </si>
  <si>
    <t>TID_CombatHeroSkillConf_700006_descDetail_CN_CHANT</t>
  </si>
  <si>
    <t>icon_autochessskill2_004</t>
  </si>
  <si>
    <t>TID_CombatHeroSkillConf_700006_descDetail_CN_Main</t>
  </si>
  <si>
    <t>碎石狂潮</t>
  </si>
  <si>
    <t>自走棋投石车-弓兵远射</t>
  </si>
  <si>
    <t>弓兵圆阵 - 挂特效和阵型+禁普攻</t>
  </si>
  <si>
    <t>4</t>
  </si>
  <si>
    <t>circle{
radius:40000
}</t>
  </si>
  <si>
    <t>TID_CombatHeroSkillConf_700007_descDetail_CN_Chant</t>
  </si>
  <si>
    <t>icon_autochessskill2_003</t>
  </si>
  <si>
    <t>TID_CombatHeroSkillConf_700007_descDetail_CN_Main</t>
  </si>
  <si>
    <t>停止移动</t>
  </si>
  <si>
    <t>弓兵圆阵 - tik</t>
  </si>
  <si>
    <t>弓兵圆阵 - 武力伤害</t>
  </si>
  <si>
    <t>跨服boss战占坑</t>
    <phoneticPr fontId="21" type="noConversion"/>
  </si>
  <si>
    <t>弓兵圆阵 - 中间跳转</t>
  </si>
  <si>
    <t>部队</t>
    <phoneticPr fontId="21" type="noConversion"/>
  </si>
  <si>
    <t>icon_g_rebellion</t>
    <phoneticPr fontId="21" type="noConversion"/>
  </si>
  <si>
    <t>icon_rebellion_1</t>
    <phoneticPr fontId="21" type="noConversion"/>
  </si>
  <si>
    <t>icon_rebellion_2</t>
    <phoneticPr fontId="21" type="noConversion"/>
  </si>
  <si>
    <t>icon_rebellion_3</t>
    <phoneticPr fontId="21" type="noConversion"/>
  </si>
  <si>
    <t>TID_CombatHeroSkillConf_700007_skillName_CN_Main</t>
    <phoneticPr fontId="20" type="noConversion"/>
  </si>
  <si>
    <t>怯懦</t>
  </si>
  <si>
    <t>混乱</t>
  </si>
  <si>
    <t>鲁莽</t>
  </si>
  <si>
    <t>谋而无勇</t>
  </si>
  <si>
    <t>勇而无谋</t>
  </si>
  <si>
    <t>羸弱</t>
  </si>
  <si>
    <t>裸身</t>
  </si>
  <si>
    <t>跛足</t>
  </si>
  <si>
    <t>盲从</t>
  </si>
  <si>
    <t>迟钝</t>
  </si>
  <si>
    <t>TID_CombatHeroSkillConf_700005_skillName_CN_Main</t>
    <phoneticPr fontId="20" type="noConversion"/>
  </si>
  <si>
    <t>TID_CombatHeroSkillConf_720001_skillName_CN_Main</t>
    <phoneticPr fontId="20" type="noConversion"/>
  </si>
  <si>
    <t>TID_CombatHeroSkillConf_720002_skillName_CN_Main</t>
    <phoneticPr fontId="20" type="noConversion"/>
  </si>
  <si>
    <t>TID_CombatHeroSkillConf_720003_skillName_CN_Main</t>
  </si>
  <si>
    <t>TID_CombatHeroSkillConf_720004_skillName_CN_Main</t>
  </si>
  <si>
    <t>TID_CombatHeroSkillConf_720005_skillName_CN_Main</t>
  </si>
  <si>
    <t>TID_CombatHeroSkillConf_720006_skillName_CN_Main</t>
  </si>
  <si>
    <t>TID_CombatHeroSkillConf_720007_skillName_CN_Main</t>
  </si>
  <si>
    <t>TID_CombatHeroSkillConf_720008_skillName_CN_Main</t>
  </si>
  <si>
    <t>TID_CombatHeroSkillConf_720009_skillName_CN_Main</t>
  </si>
  <si>
    <t>受到的主动技能伤害增加</t>
  </si>
  <si>
    <t>受到的被动技能伤害增加</t>
  </si>
  <si>
    <t>受到的追击技能伤害增加</t>
  </si>
  <si>
    <t>受到的指挥技能伤害增加</t>
  </si>
  <si>
    <t>icon_rebellion_4</t>
  </si>
  <si>
    <t>icon_rebellion_5</t>
  </si>
  <si>
    <t>icon_rebellion_6</t>
  </si>
  <si>
    <t>icon_rebellion_7</t>
  </si>
  <si>
    <t>icon_rebellion_8</t>
  </si>
  <si>
    <t>icon_rebellion_9</t>
  </si>
  <si>
    <t>icon_rebellion_11</t>
  </si>
  <si>
    <t>icon_rebellion_12</t>
  </si>
  <si>
    <t>TID_CombatHeroSkillConf_121201_skillName_CN_Main</t>
  </si>
  <si>
    <t>耐久伤害</t>
    <phoneticPr fontId="20" type="noConversion"/>
  </si>
  <si>
    <t>活动特殊怪</t>
    <phoneticPr fontId="20" type="noConversion"/>
  </si>
  <si>
    <t>攻城</t>
    <phoneticPr fontId="20" type="noConversion"/>
  </si>
  <si>
    <t>数值</t>
    <phoneticPr fontId="20" type="noConversion"/>
  </si>
  <si>
    <t>城墙灼烧状态</t>
    <phoneticPr fontId="20" type="noConversion"/>
  </si>
  <si>
    <t>受到谋略伤害减少</t>
    <phoneticPr fontId="20" type="noConversion"/>
  </si>
  <si>
    <t>受到武力伤害增加</t>
    <phoneticPr fontId="20" type="noConversion"/>
  </si>
  <si>
    <t>受到武力伤害减少</t>
    <phoneticPr fontId="20" type="noConversion"/>
  </si>
  <si>
    <t>受到谋略伤害增加</t>
    <phoneticPr fontId="20" type="noConversion"/>
  </si>
  <si>
    <t>造成伤害增加</t>
    <phoneticPr fontId="20" type="noConversion"/>
  </si>
  <si>
    <t>受到伤害增加</t>
    <phoneticPr fontId="20" type="noConversion"/>
  </si>
  <si>
    <t>造成伤害减少</t>
    <phoneticPr fontId="20" type="noConversion"/>
  </si>
  <si>
    <t>受到伤害减少</t>
    <phoneticPr fontId="20" type="noConversion"/>
  </si>
  <si>
    <t>TID_CombatHeroSkillConf_6601013001_descDetail_CN_Main</t>
    <phoneticPr fontId="20" type="noConversion"/>
  </si>
  <si>
    <t>TID_CombatHeroSkillConf_700001_descDetail_CN_Main</t>
    <phoneticPr fontId="20" type="noConversion"/>
  </si>
  <si>
    <t>TID_CombatHeroSkillConf_720001_descDetail_CN_Main</t>
  </si>
  <si>
    <t>TID_CombatHeroSkillConf_700005_descDetail_CN_Main</t>
    <phoneticPr fontId="20" type="noConversion"/>
  </si>
  <si>
    <t>TID_CombatHeroSkillConf_720002_descDetail_CN_Main</t>
  </si>
  <si>
    <t>TID_CombatHeroSkillConf_720003_descDetail_CN_Main</t>
  </si>
  <si>
    <t>TID_CombatHeroSkillConf_720004_descDetail_CN_Main</t>
  </si>
  <si>
    <t>TID_CombatHeroSkillConf_720005_descDetail_CN_Main</t>
  </si>
  <si>
    <t>TID_CombatHeroSkillConf_720006_descDetail_CN_Main</t>
  </si>
  <si>
    <t>TID_CombatHeroSkillConf_720007_descDetail_CN_Main</t>
  </si>
  <si>
    <t>TID_CombatHeroSkillConf_720008_descDetail_CN_Main</t>
  </si>
  <si>
    <t>TID_CombatHeroSkillConf_720009_descDetail_CN_Main</t>
  </si>
  <si>
    <t>TID_CombatHeroSkillConf_720010_skillName_CN_Main</t>
    <phoneticPr fontId="20" type="noConversion"/>
  </si>
  <si>
    <t>TID_CombatHeroSkillConf_720011_skillName_CN_Main</t>
    <phoneticPr fontId="20" type="noConversion"/>
  </si>
  <si>
    <t>TID_CombatHeroSkillConf_720010_descDetail_CN_Main</t>
    <phoneticPr fontId="20" type="noConversion"/>
  </si>
  <si>
    <t>TID_CombatHeroSkillConf_720011_descDetail_CN_Main</t>
    <phoneticPr fontId="20" type="noConversion"/>
  </si>
  <si>
    <t>勇武弱点，敌方部队中每有一个勇武风格的英雄，受到的伤害增加5%</t>
    <phoneticPr fontId="21" type="noConversion"/>
  </si>
  <si>
    <t>统率弱点，敌方部队中每有一个统率风格的英雄，受到的伤害增加5%</t>
    <phoneticPr fontId="21" type="noConversion"/>
  </si>
  <si>
    <t>智谋弱点，敌方部队中每有一个智谋风格的英雄，受到的伤害增加5%</t>
    <phoneticPr fontId="21" type="noConversion"/>
  </si>
  <si>
    <t>武力弱点，受到武力伤害增加20%，受到的谋略伤害减少10%</t>
    <phoneticPr fontId="20" type="noConversion"/>
  </si>
  <si>
    <t>谋略弱点，受到谋略伤害增加20%，受到的武力伤害减少10%</t>
    <phoneticPr fontId="20" type="noConversion"/>
  </si>
  <si>
    <t>受到的主动技能伤害增加15%</t>
    <phoneticPr fontId="20" type="noConversion"/>
  </si>
  <si>
    <t>受到的被动技能伤害增加15%</t>
    <phoneticPr fontId="20" type="noConversion"/>
  </si>
  <si>
    <t>受到的追击技能伤害增加15%</t>
    <phoneticPr fontId="20" type="noConversion"/>
  </si>
  <si>
    <t>受到的指挥技能伤害增加15%</t>
    <phoneticPr fontId="20" type="noConversion"/>
  </si>
  <si>
    <t>造成伤害增加20%，受到伤害增加20%</t>
    <phoneticPr fontId="20" type="noConversion"/>
  </si>
  <si>
    <t>造成伤害减少20%，受到伤害减少20%</t>
    <phoneticPr fontId="20" type="noConversion"/>
  </si>
  <si>
    <t>TID_CombatHeroSkillConf_640101_skillName_CN_Main</t>
    <phoneticPr fontId="20" type="noConversion"/>
  </si>
  <si>
    <t>庇护光环</t>
    <phoneticPr fontId="20" type="noConversion"/>
  </si>
  <si>
    <t>队伍连锁反应-3阶</t>
    <phoneticPr fontId="20" type="noConversion"/>
  </si>
  <si>
    <t>TID_CombatHeroSkillConf_720101_descDetail_CN_Main</t>
    <phoneticPr fontId="20" type="noConversion"/>
  </si>
  <si>
    <t>我军受到伤害时，有20%的概率使受到伤害减少30%</t>
    <phoneticPr fontId="20" type="noConversion"/>
  </si>
  <si>
    <t>减伤</t>
    <phoneticPr fontId="20" type="noConversion"/>
  </si>
  <si>
    <t>数值%</t>
    <phoneticPr fontId="20" type="noConversion"/>
  </si>
  <si>
    <t>队伍连锁反应-4阶</t>
    <phoneticPr fontId="20" type="noConversion"/>
  </si>
  <si>
    <t>TID_CombatHeroSkillConf_720102_descDetail_CN_Main</t>
    <phoneticPr fontId="20" type="noConversion"/>
  </si>
  <si>
    <t>我军全体英雄攻击时，有15%的概率使造成伤害提高50%</t>
    <phoneticPr fontId="20" type="noConversion"/>
  </si>
  <si>
    <t>增伤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</si>
</sst>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);[Red]\(0.0000\)"/>
  </numFmts>
  <fonts count="26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0" tint="-0.34998626667073579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7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宋体"/>
      <family val="3"/>
      <charset val="134"/>
    </font>
    <font>
      <sz val="26"/>
      <color rgb="FF000000"/>
      <name val="黑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6" tint="0.396649067659535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693288979766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66490676595355"/>
        <bgColor indexed="64"/>
      </patternFill>
    </fill>
    <fill>
      <patternFill patternType="solid">
        <fgColor theme="5" tint="0.39664906765953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6649067659535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theme="6" tint="0.7993408001953185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6671956541642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3408001953185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39780877101962342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0.799798577837458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8290963469344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23">
    <xf numFmtId="0" fontId="0" fillId="0" borderId="0"/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6" fillId="38" borderId="4">
      <alignment vertical="center"/>
    </xf>
    <xf numFmtId="0" fontId="16" fillId="38" borderId="4">
      <alignment vertical="center"/>
    </xf>
    <xf numFmtId="0" fontId="16" fillId="38" borderId="4">
      <alignment vertical="center"/>
    </xf>
    <xf numFmtId="0" fontId="16" fillId="38" borderId="4">
      <alignment vertical="center"/>
    </xf>
    <xf numFmtId="0" fontId="11" fillId="0" borderId="0"/>
    <xf numFmtId="0" fontId="11" fillId="0" borderId="0"/>
  </cellStyleXfs>
  <cellXfs count="446">
    <xf numFmtId="0" fontId="0" fillId="0" borderId="0" xfId="0"/>
    <xf numFmtId="0" fontId="1" fillId="0" borderId="1" xfId="428" applyFont="1" applyBorder="1" applyAlignment="1">
      <alignment horizontal="center" vertical="center"/>
    </xf>
    <xf numFmtId="0" fontId="1" fillId="2" borderId="1" xfId="428" applyFont="1" applyFill="1" applyBorder="1" applyAlignment="1">
      <alignment horizontal="center" vertical="center"/>
    </xf>
    <xf numFmtId="0" fontId="1" fillId="3" borderId="1" xfId="428" applyFont="1" applyFill="1" applyBorder="1" applyAlignment="1">
      <alignment horizontal="center" vertical="center"/>
    </xf>
    <xf numFmtId="0" fontId="1" fillId="4" borderId="1" xfId="428" applyFont="1" applyFill="1" applyBorder="1" applyAlignment="1">
      <alignment horizontal="center" vertical="center"/>
    </xf>
    <xf numFmtId="0" fontId="1" fillId="5" borderId="1" xfId="428" applyFont="1" applyFill="1" applyBorder="1" applyAlignment="1">
      <alignment horizontal="center" vertical="center"/>
    </xf>
    <xf numFmtId="0" fontId="1" fillId="6" borderId="1" xfId="428" applyFont="1" applyFill="1" applyBorder="1" applyAlignment="1">
      <alignment horizontal="center" vertical="center"/>
    </xf>
    <xf numFmtId="0" fontId="1" fillId="7" borderId="1" xfId="428" applyFont="1" applyFill="1" applyBorder="1" applyAlignment="1">
      <alignment horizontal="center" vertical="center"/>
    </xf>
    <xf numFmtId="0" fontId="1" fillId="8" borderId="1" xfId="428" applyFont="1" applyFill="1" applyBorder="1" applyAlignment="1">
      <alignment horizontal="center" vertical="center"/>
    </xf>
    <xf numFmtId="0" fontId="1" fillId="9" borderId="1" xfId="428" applyFont="1" applyFill="1" applyBorder="1" applyAlignment="1">
      <alignment horizontal="center" vertical="center"/>
    </xf>
    <xf numFmtId="0" fontId="1" fillId="10" borderId="1" xfId="428" applyFont="1" applyFill="1" applyBorder="1" applyAlignment="1">
      <alignment horizontal="center" vertical="center"/>
    </xf>
    <xf numFmtId="0" fontId="1" fillId="11" borderId="1" xfId="428" applyFont="1" applyFill="1" applyBorder="1" applyAlignment="1">
      <alignment horizontal="center" vertical="center"/>
    </xf>
    <xf numFmtId="0" fontId="1" fillId="12" borderId="1" xfId="428" applyFont="1" applyFill="1" applyBorder="1" applyAlignment="1">
      <alignment horizontal="center" vertical="center"/>
    </xf>
    <xf numFmtId="0" fontId="1" fillId="13" borderId="1" xfId="428" applyFont="1" applyFill="1" applyBorder="1" applyAlignment="1">
      <alignment horizontal="center" vertical="center"/>
    </xf>
    <xf numFmtId="0" fontId="1" fillId="14" borderId="1" xfId="428" applyFont="1" applyFill="1" applyBorder="1" applyAlignment="1">
      <alignment horizontal="center" vertical="center"/>
    </xf>
    <xf numFmtId="0" fontId="1" fillId="15" borderId="1" xfId="428" applyFont="1" applyFill="1" applyBorder="1" applyAlignment="1">
      <alignment horizontal="center" vertical="center"/>
    </xf>
    <xf numFmtId="0" fontId="1" fillId="16" borderId="1" xfId="428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17" borderId="1" xfId="428" applyFont="1" applyFill="1" applyBorder="1" applyAlignment="1">
      <alignment horizontal="center" vertical="center"/>
    </xf>
    <xf numFmtId="0" fontId="1" fillId="18" borderId="1" xfId="428" applyFont="1" applyFill="1" applyBorder="1" applyAlignment="1">
      <alignment horizontal="center" vertical="center"/>
    </xf>
    <xf numFmtId="0" fontId="1" fillId="19" borderId="1" xfId="428" applyFont="1" applyFill="1" applyBorder="1" applyAlignment="1">
      <alignment horizontal="center" vertical="center"/>
    </xf>
    <xf numFmtId="0" fontId="1" fillId="8" borderId="1" xfId="431" applyFont="1" applyFill="1" applyBorder="1" applyAlignment="1">
      <alignment horizontal="center" vertical="center"/>
    </xf>
    <xf numFmtId="0" fontId="1" fillId="10" borderId="1" xfId="431" applyFont="1" applyFill="1" applyBorder="1" applyAlignment="1">
      <alignment horizontal="center" vertical="center"/>
    </xf>
    <xf numFmtId="0" fontId="1" fillId="0" borderId="1" xfId="431" applyFont="1" applyBorder="1" applyAlignment="1">
      <alignment horizontal="center" vertical="center"/>
    </xf>
    <xf numFmtId="0" fontId="1" fillId="20" borderId="1" xfId="428" applyFont="1" applyFill="1" applyBorder="1" applyAlignment="1">
      <alignment horizontal="center" vertical="center"/>
    </xf>
    <xf numFmtId="0" fontId="1" fillId="21" borderId="1" xfId="428" applyFont="1" applyFill="1" applyBorder="1" applyAlignment="1">
      <alignment horizontal="center" vertical="center"/>
    </xf>
    <xf numFmtId="0" fontId="1" fillId="0" borderId="0" xfId="428" applyFont="1" applyAlignment="1">
      <alignment horizontal="center" vertical="center"/>
    </xf>
    <xf numFmtId="0" fontId="1" fillId="0" borderId="0" xfId="428" applyFont="1" applyAlignment="1">
      <alignment horizontal="left" vertical="center"/>
    </xf>
    <xf numFmtId="0" fontId="1" fillId="22" borderId="0" xfId="428" applyFont="1" applyFill="1" applyAlignment="1">
      <alignment horizontal="center" vertical="center"/>
    </xf>
    <xf numFmtId="49" fontId="1" fillId="22" borderId="0" xfId="428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23" borderId="0" xfId="428" applyNumberFormat="1" applyFont="1" applyFill="1" applyAlignment="1">
      <alignment horizontal="center" vertical="center"/>
    </xf>
    <xf numFmtId="0" fontId="1" fillId="23" borderId="0" xfId="428" applyFont="1" applyFill="1" applyAlignment="1">
      <alignment horizontal="center" vertical="center"/>
    </xf>
    <xf numFmtId="0" fontId="1" fillId="24" borderId="0" xfId="428" applyFont="1" applyFill="1" applyAlignment="1">
      <alignment horizontal="center" vertical="center"/>
    </xf>
    <xf numFmtId="0" fontId="1" fillId="25" borderId="0" xfId="428" applyFont="1" applyFill="1" applyAlignment="1">
      <alignment horizontal="center" vertical="center"/>
    </xf>
    <xf numFmtId="0" fontId="1" fillId="0" borderId="0" xfId="428" applyFont="1" applyAlignment="1">
      <alignment horizontal="center" vertical="center" wrapText="1"/>
    </xf>
    <xf numFmtId="49" fontId="1" fillId="0" borderId="0" xfId="428" applyNumberFormat="1" applyFont="1" applyAlignment="1">
      <alignment horizontal="center" vertical="center"/>
    </xf>
    <xf numFmtId="0" fontId="1" fillId="0" borderId="1" xfId="428" applyFont="1" applyBorder="1" applyAlignment="1">
      <alignment horizontal="left" vertical="center"/>
    </xf>
    <xf numFmtId="0" fontId="1" fillId="0" borderId="1" xfId="428" applyFont="1" applyFill="1" applyBorder="1" applyAlignment="1">
      <alignment horizontal="center" vertical="center"/>
    </xf>
    <xf numFmtId="0" fontId="1" fillId="19" borderId="1" xfId="428" applyFont="1" applyFill="1" applyBorder="1" applyAlignment="1">
      <alignment horizontal="left" vertical="center"/>
    </xf>
    <xf numFmtId="0" fontId="2" fillId="0" borderId="1" xfId="428" applyFont="1" applyBorder="1" applyAlignment="1">
      <alignment horizontal="center" vertical="center"/>
    </xf>
    <xf numFmtId="0" fontId="3" fillId="26" borderId="1" xfId="428" applyFont="1" applyFill="1" applyBorder="1" applyAlignment="1">
      <alignment horizontal="center" vertical="center"/>
    </xf>
    <xf numFmtId="0" fontId="3" fillId="26" borderId="1" xfId="428" applyFont="1" applyFill="1" applyBorder="1" applyAlignment="1">
      <alignment horizontal="left" vertical="center"/>
    </xf>
    <xf numFmtId="0" fontId="2" fillId="19" borderId="1" xfId="428" applyFont="1" applyFill="1" applyBorder="1" applyAlignment="1">
      <alignment horizontal="left" vertical="center"/>
    </xf>
    <xf numFmtId="0" fontId="1" fillId="10" borderId="1" xfId="428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left" vertical="center"/>
    </xf>
    <xf numFmtId="0" fontId="1" fillId="4" borderId="1" xfId="428" applyFont="1" applyFill="1" applyBorder="1" applyAlignment="1">
      <alignment horizontal="left" vertical="center"/>
    </xf>
    <xf numFmtId="0" fontId="1" fillId="5" borderId="1" xfId="428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1" fillId="6" borderId="1" xfId="428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1" fillId="7" borderId="1" xfId="428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2" borderId="1" xfId="428" applyFont="1" applyFill="1" applyBorder="1" applyAlignment="1">
      <alignment horizontal="center" vertical="center"/>
    </xf>
    <xf numFmtId="0" fontId="1" fillId="0" borderId="1" xfId="428" applyFont="1" applyBorder="1" applyAlignment="1">
      <alignment horizontal="center" vertical="center" wrapText="1"/>
    </xf>
    <xf numFmtId="0" fontId="1" fillId="10" borderId="1" xfId="428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428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49" fontId="1" fillId="22" borderId="1" xfId="428" applyNumberFormat="1" applyFont="1" applyFill="1" applyBorder="1" applyAlignment="1">
      <alignment horizontal="center" vertical="center"/>
    </xf>
    <xf numFmtId="0" fontId="1" fillId="22" borderId="1" xfId="428" applyFont="1" applyFill="1" applyBorder="1" applyAlignment="1">
      <alignment horizontal="center" vertical="center" wrapText="1"/>
    </xf>
    <xf numFmtId="49" fontId="1" fillId="19" borderId="1" xfId="428" applyNumberFormat="1" applyFont="1" applyFill="1" applyBorder="1" applyAlignment="1">
      <alignment horizontal="center" vertical="center"/>
    </xf>
    <xf numFmtId="49" fontId="3" fillId="26" borderId="1" xfId="428" applyNumberFormat="1" applyFont="1" applyFill="1" applyBorder="1" applyAlignment="1">
      <alignment horizontal="center" vertical="center"/>
    </xf>
    <xf numFmtId="49" fontId="1" fillId="10" borderId="1" xfId="428" applyNumberFormat="1" applyFont="1" applyFill="1" applyBorder="1" applyAlignment="1">
      <alignment horizontal="center" vertical="center"/>
    </xf>
    <xf numFmtId="49" fontId="1" fillId="5" borderId="1" xfId="428" applyNumberFormat="1" applyFont="1" applyFill="1" applyBorder="1" applyAlignment="1">
      <alignment horizontal="center" vertical="center"/>
    </xf>
    <xf numFmtId="49" fontId="1" fillId="6" borderId="1" xfId="428" applyNumberFormat="1" applyFont="1" applyFill="1" applyBorder="1" applyAlignment="1">
      <alignment horizontal="center" vertical="center"/>
    </xf>
    <xf numFmtId="49" fontId="1" fillId="2" borderId="1" xfId="428" applyNumberFormat="1" applyFont="1" applyFill="1" applyBorder="1" applyAlignment="1">
      <alignment horizontal="center" vertical="center"/>
    </xf>
    <xf numFmtId="0" fontId="1" fillId="0" borderId="1" xfId="521" applyFont="1" applyBorder="1" applyAlignment="1">
      <alignment horizontal="center" vertical="center"/>
    </xf>
    <xf numFmtId="49" fontId="1" fillId="22" borderId="1" xfId="428" applyNumberFormat="1" applyFont="1" applyFill="1" applyBorder="1" applyAlignment="1">
      <alignment horizontal="center" vertical="center" wrapText="1"/>
    </xf>
    <xf numFmtId="0" fontId="1" fillId="5" borderId="1" xfId="521" applyFont="1" applyFill="1" applyBorder="1" applyAlignment="1">
      <alignment horizontal="center" vertical="center"/>
    </xf>
    <xf numFmtId="0" fontId="1" fillId="23" borderId="1" xfId="428" applyFont="1" applyFill="1" applyBorder="1" applyAlignment="1">
      <alignment horizontal="center" vertical="center"/>
    </xf>
    <xf numFmtId="0" fontId="5" fillId="23" borderId="1" xfId="428" applyFont="1" applyFill="1" applyBorder="1" applyAlignment="1">
      <alignment horizontal="center" vertical="center"/>
    </xf>
    <xf numFmtId="49" fontId="1" fillId="23" borderId="1" xfId="428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4" borderId="1" xfId="428" applyFont="1" applyFill="1" applyBorder="1" applyAlignment="1">
      <alignment horizontal="center" vertical="center"/>
    </xf>
    <xf numFmtId="0" fontId="1" fillId="23" borderId="1" xfId="428" applyFont="1" applyFill="1" applyBorder="1" applyAlignment="1">
      <alignment horizontal="center" vertical="center" wrapText="1"/>
    </xf>
    <xf numFmtId="0" fontId="6" fillId="0" borderId="1" xfId="428" applyFont="1" applyBorder="1" applyAlignment="1">
      <alignment horizontal="center" vertical="center"/>
    </xf>
    <xf numFmtId="0" fontId="6" fillId="0" borderId="1" xfId="428" applyFont="1" applyBorder="1" applyAlignment="1">
      <alignment horizontal="center" vertical="center" wrapText="1"/>
    </xf>
    <xf numFmtId="0" fontId="1" fillId="19" borderId="1" xfId="428" applyFont="1" applyFill="1" applyBorder="1" applyAlignment="1">
      <alignment horizontal="center" vertical="center" wrapText="1"/>
    </xf>
    <xf numFmtId="0" fontId="1" fillId="4" borderId="1" xfId="428" applyFont="1" applyFill="1" applyBorder="1" applyAlignment="1">
      <alignment horizontal="center" vertical="center" wrapText="1"/>
    </xf>
    <xf numFmtId="0" fontId="1" fillId="5" borderId="1" xfId="428" applyFont="1" applyFill="1" applyBorder="1" applyAlignment="1">
      <alignment horizontal="center" vertical="center" wrapText="1"/>
    </xf>
    <xf numFmtId="0" fontId="1" fillId="7" borderId="1" xfId="428" applyFont="1" applyFill="1" applyBorder="1" applyAlignment="1">
      <alignment horizontal="center" vertical="center" wrapText="1"/>
    </xf>
    <xf numFmtId="0" fontId="2" fillId="19" borderId="1" xfId="428" applyFont="1" applyFill="1" applyBorder="1" applyAlignment="1">
      <alignment horizontal="center" vertical="center"/>
    </xf>
    <xf numFmtId="0" fontId="2" fillId="10" borderId="1" xfId="428" applyFont="1" applyFill="1" applyBorder="1" applyAlignment="1">
      <alignment horizontal="center" vertical="center"/>
    </xf>
    <xf numFmtId="0" fontId="2" fillId="5" borderId="1" xfId="428" applyFont="1" applyFill="1" applyBorder="1" applyAlignment="1">
      <alignment horizontal="center" vertical="center"/>
    </xf>
    <xf numFmtId="0" fontId="2" fillId="6" borderId="1" xfId="428" applyFont="1" applyFill="1" applyBorder="1" applyAlignment="1">
      <alignment horizontal="center" vertical="center"/>
    </xf>
    <xf numFmtId="0" fontId="7" fillId="6" borderId="1" xfId="428" applyFont="1" applyFill="1" applyBorder="1" applyAlignment="1">
      <alignment horizontal="center" vertical="center"/>
    </xf>
    <xf numFmtId="0" fontId="7" fillId="10" borderId="1" xfId="428" applyFont="1" applyFill="1" applyBorder="1" applyAlignment="1">
      <alignment horizontal="center" vertical="center"/>
    </xf>
    <xf numFmtId="0" fontId="1" fillId="25" borderId="1" xfId="0" applyFont="1" applyFill="1" applyBorder="1" applyAlignment="1">
      <alignment horizontal="center" vertical="center"/>
    </xf>
    <xf numFmtId="0" fontId="1" fillId="25" borderId="1" xfId="428" applyFont="1" applyFill="1" applyBorder="1" applyAlignment="1">
      <alignment horizontal="center" vertical="center" wrapText="1"/>
    </xf>
    <xf numFmtId="0" fontId="1" fillId="25" borderId="1" xfId="428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1" fillId="0" borderId="1" xfId="428" applyNumberFormat="1" applyFont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 wrapText="1"/>
    </xf>
    <xf numFmtId="49" fontId="1" fillId="4" borderId="1" xfId="428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7" fillId="6" borderId="1" xfId="428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49" fontId="1" fillId="7" borderId="1" xfId="428" applyNumberFormat="1" applyFont="1" applyFill="1" applyBorder="1" applyAlignment="1">
      <alignment horizontal="center" vertical="center"/>
    </xf>
    <xf numFmtId="0" fontId="7" fillId="10" borderId="1" xfId="428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2" borderId="1" xfId="428" applyFont="1" applyFill="1" applyBorder="1" applyAlignment="1">
      <alignment horizontal="center" vertical="center" wrapText="1"/>
    </xf>
    <xf numFmtId="49" fontId="1" fillId="0" borderId="1" xfId="428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49" fontId="3" fillId="26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49" fontId="1" fillId="10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49" fontId="1" fillId="6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428" applyFont="1" applyFill="1" applyBorder="1" applyAlignment="1">
      <alignment horizontal="left" vertical="center"/>
    </xf>
    <xf numFmtId="0" fontId="1" fillId="3" borderId="1" xfId="428" applyFont="1" applyFill="1" applyBorder="1" applyAlignment="1">
      <alignment horizontal="left" vertical="center"/>
    </xf>
    <xf numFmtId="0" fontId="1" fillId="27" borderId="1" xfId="428" applyFont="1" applyFill="1" applyBorder="1" applyAlignment="1">
      <alignment horizontal="center" vertical="center"/>
    </xf>
    <xf numFmtId="0" fontId="1" fillId="27" borderId="1" xfId="428" applyFont="1" applyFill="1" applyBorder="1" applyAlignment="1">
      <alignment horizontal="left" vertical="center"/>
    </xf>
    <xf numFmtId="0" fontId="1" fillId="16" borderId="1" xfId="428" applyFont="1" applyFill="1" applyBorder="1" applyAlignment="1">
      <alignment horizontal="left" vertical="center"/>
    </xf>
    <xf numFmtId="0" fontId="4" fillId="16" borderId="1" xfId="0" applyFont="1" applyFill="1" applyBorder="1" applyAlignment="1">
      <alignment horizontal="left" vertical="center"/>
    </xf>
    <xf numFmtId="0" fontId="1" fillId="9" borderId="1" xfId="428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left" vertical="center"/>
    </xf>
    <xf numFmtId="0" fontId="4" fillId="2" borderId="1" xfId="428" applyFont="1" applyFill="1" applyBorder="1" applyAlignment="1">
      <alignment horizontal="left" vertical="center"/>
    </xf>
    <xf numFmtId="0" fontId="1" fillId="8" borderId="1" xfId="428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center" vertical="center"/>
    </xf>
    <xf numFmtId="0" fontId="1" fillId="3" borderId="1" xfId="428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27" borderId="1" xfId="428" applyFont="1" applyFill="1" applyBorder="1" applyAlignment="1">
      <alignment horizontal="center" vertical="center" wrapText="1"/>
    </xf>
    <xf numFmtId="0" fontId="1" fillId="27" borderId="1" xfId="0" applyFont="1" applyFill="1" applyBorder="1" applyAlignment="1">
      <alignment horizontal="center" vertical="center"/>
    </xf>
    <xf numFmtId="0" fontId="1" fillId="16" borderId="1" xfId="428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/>
    </xf>
    <xf numFmtId="0" fontId="1" fillId="9" borderId="1" xfId="428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0" fontId="1" fillId="8" borderId="1" xfId="428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49" fontId="1" fillId="3" borderId="1" xfId="428" applyNumberFormat="1" applyFont="1" applyFill="1" applyBorder="1" applyAlignment="1">
      <alignment horizontal="center" vertical="center"/>
    </xf>
    <xf numFmtId="49" fontId="1" fillId="27" borderId="1" xfId="428" applyNumberFormat="1" applyFont="1" applyFill="1" applyBorder="1" applyAlignment="1">
      <alignment horizontal="center" vertical="center"/>
    </xf>
    <xf numFmtId="49" fontId="1" fillId="16" borderId="1" xfId="428" applyNumberFormat="1" applyFont="1" applyFill="1" applyBorder="1" applyAlignment="1">
      <alignment horizontal="center" vertical="center"/>
    </xf>
    <xf numFmtId="49" fontId="3" fillId="16" borderId="1" xfId="428" applyNumberFormat="1" applyFont="1" applyFill="1" applyBorder="1" applyAlignment="1">
      <alignment horizontal="center" vertical="center"/>
    </xf>
    <xf numFmtId="49" fontId="1" fillId="9" borderId="1" xfId="428" applyNumberFormat="1" applyFont="1" applyFill="1" applyBorder="1" applyAlignment="1">
      <alignment horizontal="center" vertical="center"/>
    </xf>
    <xf numFmtId="49" fontId="3" fillId="9" borderId="1" xfId="428" applyNumberFormat="1" applyFont="1" applyFill="1" applyBorder="1" applyAlignment="1">
      <alignment horizontal="center" vertical="center"/>
    </xf>
    <xf numFmtId="49" fontId="1" fillId="8" borderId="1" xfId="428" applyNumberFormat="1" applyFont="1" applyFill="1" applyBorder="1" applyAlignment="1">
      <alignment horizontal="center" vertical="center"/>
    </xf>
    <xf numFmtId="49" fontId="1" fillId="8" borderId="1" xfId="0" applyNumberFormat="1" applyFont="1" applyFill="1" applyBorder="1" applyAlignment="1">
      <alignment horizontal="center" vertical="center"/>
    </xf>
    <xf numFmtId="0" fontId="1" fillId="8" borderId="1" xfId="521" applyFont="1" applyFill="1" applyBorder="1" applyAlignment="1">
      <alignment horizontal="center" vertical="center"/>
    </xf>
    <xf numFmtId="49" fontId="1" fillId="8" borderId="1" xfId="521" applyNumberFormat="1" applyFont="1" applyFill="1" applyBorder="1" applyAlignment="1">
      <alignment horizontal="center" vertical="center"/>
    </xf>
    <xf numFmtId="9" fontId="1" fillId="8" borderId="1" xfId="428" applyNumberFormat="1" applyFont="1" applyFill="1" applyBorder="1" applyAlignment="1">
      <alignment horizontal="center" vertical="center"/>
    </xf>
    <xf numFmtId="176" fontId="4" fillId="8" borderId="1" xfId="0" applyNumberFormat="1" applyFont="1" applyFill="1" applyBorder="1" applyAlignment="1">
      <alignment horizontal="center" vertical="center" wrapText="1"/>
    </xf>
    <xf numFmtId="0" fontId="2" fillId="2" borderId="1" xfId="428" applyFont="1" applyFill="1" applyBorder="1" applyAlignment="1">
      <alignment horizontal="center" vertical="center"/>
    </xf>
    <xf numFmtId="0" fontId="2" fillId="16" borderId="1" xfId="428" applyFont="1" applyFill="1" applyBorder="1" applyAlignment="1">
      <alignment horizontal="center" vertical="center"/>
    </xf>
    <xf numFmtId="0" fontId="2" fillId="9" borderId="1" xfId="428" applyFont="1" applyFill="1" applyBorder="1" applyAlignment="1">
      <alignment horizontal="center" vertical="center"/>
    </xf>
    <xf numFmtId="0" fontId="2" fillId="8" borderId="1" xfId="428" applyFont="1" applyFill="1" applyBorder="1" applyAlignment="1">
      <alignment horizontal="center" vertical="center"/>
    </xf>
    <xf numFmtId="0" fontId="7" fillId="2" borderId="1" xfId="428" applyFont="1" applyFill="1" applyBorder="1" applyAlignment="1">
      <alignment horizontal="center" vertical="center"/>
    </xf>
    <xf numFmtId="0" fontId="7" fillId="16" borderId="1" xfId="428" applyFont="1" applyFill="1" applyBorder="1" applyAlignment="1">
      <alignment horizontal="center" vertical="center"/>
    </xf>
    <xf numFmtId="0" fontId="7" fillId="9" borderId="1" xfId="428" applyFont="1" applyFill="1" applyBorder="1" applyAlignment="1">
      <alignment horizontal="center" vertical="center"/>
    </xf>
    <xf numFmtId="0" fontId="7" fillId="2" borderId="1" xfId="428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7" fillId="16" borderId="1" xfId="428" applyFont="1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7" fillId="9" borderId="1" xfId="428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4" fillId="2" borderId="1" xfId="428" applyFont="1" applyFill="1" applyBorder="1" applyAlignment="1">
      <alignment horizontal="center" vertical="center" wrapText="1"/>
    </xf>
    <xf numFmtId="0" fontId="4" fillId="2" borderId="1" xfId="428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49" fontId="1" fillId="16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49" fontId="1" fillId="9" borderId="1" xfId="0" applyNumberFormat="1" applyFont="1" applyFill="1" applyBorder="1" applyAlignment="1">
      <alignment horizontal="center" vertical="center"/>
    </xf>
    <xf numFmtId="0" fontId="1" fillId="9" borderId="1" xfId="431" applyFont="1" applyFill="1" applyBorder="1" applyAlignment="1">
      <alignment horizontal="center" vertical="center"/>
    </xf>
    <xf numFmtId="0" fontId="1" fillId="9" borderId="1" xfId="431" applyFont="1" applyFill="1" applyBorder="1" applyAlignment="1">
      <alignment horizontal="left" vertical="center"/>
    </xf>
    <xf numFmtId="0" fontId="4" fillId="9" borderId="1" xfId="431" applyFont="1" applyFill="1" applyBorder="1" applyAlignment="1">
      <alignment horizontal="left" vertical="center"/>
    </xf>
    <xf numFmtId="0" fontId="1" fillId="28" borderId="1" xfId="431" applyFont="1" applyFill="1" applyBorder="1" applyAlignment="1">
      <alignment horizontal="center" vertical="center"/>
    </xf>
    <xf numFmtId="0" fontId="1" fillId="28" borderId="1" xfId="431" applyFont="1" applyFill="1" applyBorder="1" applyAlignment="1">
      <alignment horizontal="left" vertical="center"/>
    </xf>
    <xf numFmtId="0" fontId="4" fillId="28" borderId="1" xfId="431" applyFont="1" applyFill="1" applyBorder="1" applyAlignment="1">
      <alignment horizontal="left" vertical="center"/>
    </xf>
    <xf numFmtId="0" fontId="1" fillId="16" borderId="1" xfId="431" applyFont="1" applyFill="1" applyBorder="1" applyAlignment="1">
      <alignment horizontal="center" vertical="center"/>
    </xf>
    <xf numFmtId="0" fontId="1" fillId="16" borderId="1" xfId="431" applyFont="1" applyFill="1" applyBorder="1" applyAlignment="1">
      <alignment horizontal="left" vertical="center"/>
    </xf>
    <xf numFmtId="0" fontId="4" fillId="16" borderId="1" xfId="431" applyFont="1" applyFill="1" applyBorder="1" applyAlignment="1">
      <alignment horizontal="left" vertical="center"/>
    </xf>
    <xf numFmtId="0" fontId="1" fillId="11" borderId="1" xfId="428" applyFont="1" applyFill="1" applyBorder="1" applyAlignment="1">
      <alignment horizontal="left" vertical="center"/>
    </xf>
    <xf numFmtId="0" fontId="1" fillId="29" borderId="1" xfId="428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1" fillId="9" borderId="1" xfId="431" applyFont="1" applyFill="1" applyBorder="1" applyAlignment="1">
      <alignment horizontal="center" vertical="center" wrapText="1"/>
    </xf>
    <xf numFmtId="0" fontId="1" fillId="28" borderId="1" xfId="431" applyFont="1" applyFill="1" applyBorder="1" applyAlignment="1">
      <alignment horizontal="center" vertical="center" wrapText="1"/>
    </xf>
    <xf numFmtId="0" fontId="1" fillId="16" borderId="1" xfId="431" applyFont="1" applyFill="1" applyBorder="1" applyAlignment="1">
      <alignment horizontal="center" vertical="center" wrapText="1"/>
    </xf>
    <xf numFmtId="0" fontId="7" fillId="11" borderId="1" xfId="428" applyFont="1" applyFill="1" applyBorder="1" applyAlignment="1">
      <alignment horizontal="center" vertical="center"/>
    </xf>
    <xf numFmtId="0" fontId="1" fillId="11" borderId="1" xfId="428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7" fillId="11" borderId="1" xfId="428" applyFont="1" applyFill="1" applyBorder="1" applyAlignment="1">
      <alignment horizontal="center" vertical="center" wrapText="1"/>
    </xf>
    <xf numFmtId="49" fontId="3" fillId="10" borderId="1" xfId="428" applyNumberFormat="1" applyFont="1" applyFill="1" applyBorder="1" applyAlignment="1">
      <alignment horizontal="center" vertical="center"/>
    </xf>
    <xf numFmtId="49" fontId="1" fillId="11" borderId="1" xfId="428" applyNumberFormat="1" applyFont="1" applyFill="1" applyBorder="1" applyAlignment="1">
      <alignment horizontal="center" vertical="center"/>
    </xf>
    <xf numFmtId="49" fontId="1" fillId="9" borderId="1" xfId="431" applyNumberFormat="1" applyFont="1" applyFill="1" applyBorder="1" applyAlignment="1">
      <alignment horizontal="center" vertical="center"/>
    </xf>
    <xf numFmtId="49" fontId="1" fillId="28" borderId="1" xfId="431" applyNumberFormat="1" applyFont="1" applyFill="1" applyBorder="1" applyAlignment="1">
      <alignment horizontal="center" vertical="center"/>
    </xf>
    <xf numFmtId="49" fontId="1" fillId="16" borderId="1" xfId="431" applyNumberFormat="1" applyFont="1" applyFill="1" applyBorder="1" applyAlignment="1">
      <alignment horizontal="center" vertical="center"/>
    </xf>
    <xf numFmtId="49" fontId="8" fillId="11" borderId="1" xfId="428" applyNumberFormat="1" applyFont="1" applyFill="1" applyBorder="1" applyAlignment="1">
      <alignment horizontal="center" vertical="center"/>
    </xf>
    <xf numFmtId="0" fontId="8" fillId="11" borderId="1" xfId="428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2" fillId="11" borderId="1" xfId="428" applyFont="1" applyFill="1" applyBorder="1" applyAlignment="1">
      <alignment horizontal="center" vertical="center"/>
    </xf>
    <xf numFmtId="0" fontId="7" fillId="9" borderId="1" xfId="431" applyFont="1" applyFill="1" applyBorder="1" applyAlignment="1">
      <alignment horizontal="center" vertical="center"/>
    </xf>
    <xf numFmtId="0" fontId="7" fillId="28" borderId="1" xfId="431" applyFont="1" applyFill="1" applyBorder="1" applyAlignment="1">
      <alignment horizontal="center" vertical="center"/>
    </xf>
    <xf numFmtId="0" fontId="7" fillId="16" borderId="1" xfId="431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/>
    </xf>
    <xf numFmtId="49" fontId="1" fillId="11" borderId="1" xfId="0" applyNumberFormat="1" applyFont="1" applyFill="1" applyBorder="1" applyAlignment="1">
      <alignment horizontal="center" vertical="center"/>
    </xf>
    <xf numFmtId="49" fontId="3" fillId="11" borderId="1" xfId="428" applyNumberFormat="1" applyFont="1" applyFill="1" applyBorder="1" applyAlignment="1">
      <alignment horizontal="center" vertical="center"/>
    </xf>
    <xf numFmtId="0" fontId="1" fillId="12" borderId="1" xfId="428" applyFont="1" applyFill="1" applyBorder="1" applyAlignment="1">
      <alignment horizontal="left" vertical="center"/>
    </xf>
    <xf numFmtId="0" fontId="1" fillId="12" borderId="1" xfId="453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left" vertical="center"/>
    </xf>
    <xf numFmtId="0" fontId="1" fillId="13" borderId="1" xfId="428" applyFont="1" applyFill="1" applyBorder="1" applyAlignment="1">
      <alignment horizontal="left" vertical="center"/>
    </xf>
    <xf numFmtId="0" fontId="1" fillId="13" borderId="1" xfId="453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left" vertical="center"/>
    </xf>
    <xf numFmtId="0" fontId="1" fillId="2" borderId="1" xfId="453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1" fillId="14" borderId="1" xfId="428" applyFont="1" applyFill="1" applyBorder="1" applyAlignment="1">
      <alignment horizontal="left" vertical="center"/>
    </xf>
    <xf numFmtId="0" fontId="1" fillId="14" borderId="1" xfId="453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left" vertical="center"/>
    </xf>
    <xf numFmtId="0" fontId="1" fillId="15" borderId="1" xfId="428" applyFont="1" applyFill="1" applyBorder="1" applyAlignment="1">
      <alignment horizontal="left" vertical="center"/>
    </xf>
    <xf numFmtId="0" fontId="1" fillId="15" borderId="1" xfId="453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left" vertical="center"/>
    </xf>
    <xf numFmtId="0" fontId="1" fillId="12" borderId="1" xfId="453" applyFont="1" applyFill="1" applyBorder="1" applyAlignment="1">
      <alignment horizontal="center" vertical="center" wrapText="1"/>
    </xf>
    <xf numFmtId="0" fontId="1" fillId="13" borderId="1" xfId="453" applyFont="1" applyFill="1" applyBorder="1" applyAlignment="1">
      <alignment horizontal="center" vertical="center" wrapText="1"/>
    </xf>
    <xf numFmtId="0" fontId="1" fillId="2" borderId="1" xfId="453" applyFont="1" applyFill="1" applyBorder="1" applyAlignment="1">
      <alignment horizontal="center" vertical="center" wrapText="1"/>
    </xf>
    <xf numFmtId="0" fontId="1" fillId="14" borderId="1" xfId="453" applyFont="1" applyFill="1" applyBorder="1" applyAlignment="1">
      <alignment horizontal="center" vertical="center" wrapText="1"/>
    </xf>
    <xf numFmtId="0" fontId="1" fillId="15" borderId="1" xfId="453" applyFont="1" applyFill="1" applyBorder="1" applyAlignment="1">
      <alignment horizontal="center" vertical="center" wrapText="1"/>
    </xf>
    <xf numFmtId="49" fontId="1" fillId="12" borderId="1" xfId="428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49" fontId="1" fillId="13" borderId="1" xfId="428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49" fontId="1" fillId="14" borderId="1" xfId="428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49" fontId="1" fillId="12" borderId="1" xfId="453" applyNumberFormat="1" applyFont="1" applyFill="1" applyBorder="1" applyAlignment="1">
      <alignment horizontal="center" vertical="center"/>
    </xf>
    <xf numFmtId="49" fontId="1" fillId="13" borderId="1" xfId="453" applyNumberFormat="1" applyFont="1" applyFill="1" applyBorder="1" applyAlignment="1">
      <alignment horizontal="center" vertical="center"/>
    </xf>
    <xf numFmtId="49" fontId="1" fillId="2" borderId="1" xfId="453" applyNumberFormat="1" applyFont="1" applyFill="1" applyBorder="1" applyAlignment="1">
      <alignment horizontal="center" vertical="center"/>
    </xf>
    <xf numFmtId="49" fontId="1" fillId="14" borderId="1" xfId="453" applyNumberFormat="1" applyFont="1" applyFill="1" applyBorder="1" applyAlignment="1">
      <alignment horizontal="center" vertical="center"/>
    </xf>
    <xf numFmtId="49" fontId="1" fillId="15" borderId="1" xfId="453" applyNumberFormat="1" applyFont="1" applyFill="1" applyBorder="1" applyAlignment="1">
      <alignment horizontal="center" vertical="center"/>
    </xf>
    <xf numFmtId="0" fontId="1" fillId="0" borderId="1" xfId="453" applyFont="1" applyBorder="1" applyAlignment="1">
      <alignment horizontal="center" vertical="center"/>
    </xf>
    <xf numFmtId="0" fontId="2" fillId="12" borderId="1" xfId="453" applyFont="1" applyFill="1" applyBorder="1" applyAlignment="1">
      <alignment horizontal="center" vertical="center"/>
    </xf>
    <xf numFmtId="0" fontId="2" fillId="13" borderId="1" xfId="453" applyFont="1" applyFill="1" applyBorder="1" applyAlignment="1">
      <alignment horizontal="center" vertical="center"/>
    </xf>
    <xf numFmtId="0" fontId="2" fillId="2" borderId="1" xfId="453" applyFont="1" applyFill="1" applyBorder="1" applyAlignment="1">
      <alignment horizontal="center" vertical="center"/>
    </xf>
    <xf numFmtId="0" fontId="2" fillId="14" borderId="1" xfId="453" applyFont="1" applyFill="1" applyBorder="1" applyAlignment="1">
      <alignment horizontal="center" vertical="center"/>
    </xf>
    <xf numFmtId="0" fontId="2" fillId="15" borderId="1" xfId="453" applyFont="1" applyFill="1" applyBorder="1" applyAlignment="1">
      <alignment horizontal="center" vertical="center"/>
    </xf>
    <xf numFmtId="0" fontId="1" fillId="10" borderId="1" xfId="453" applyFont="1" applyFill="1" applyBorder="1" applyAlignment="1">
      <alignment horizontal="center" vertical="center"/>
    </xf>
    <xf numFmtId="0" fontId="7" fillId="10" borderId="1" xfId="453" applyFont="1" applyFill="1" applyBorder="1" applyAlignment="1">
      <alignment horizontal="center" vertical="center"/>
    </xf>
    <xf numFmtId="0" fontId="7" fillId="12" borderId="1" xfId="428" applyFont="1" applyFill="1" applyBorder="1" applyAlignment="1">
      <alignment horizontal="center" vertical="center"/>
    </xf>
    <xf numFmtId="0" fontId="7" fillId="12" borderId="1" xfId="453" applyFont="1" applyFill="1" applyBorder="1" applyAlignment="1">
      <alignment horizontal="center" vertical="center"/>
    </xf>
    <xf numFmtId="0" fontId="7" fillId="13" borderId="1" xfId="428" applyFont="1" applyFill="1" applyBorder="1" applyAlignment="1">
      <alignment horizontal="center" vertical="center"/>
    </xf>
    <xf numFmtId="0" fontId="7" fillId="13" borderId="1" xfId="453" applyFont="1" applyFill="1" applyBorder="1" applyAlignment="1">
      <alignment horizontal="center" vertical="center"/>
    </xf>
    <xf numFmtId="0" fontId="7" fillId="2" borderId="1" xfId="453" applyFont="1" applyFill="1" applyBorder="1" applyAlignment="1">
      <alignment horizontal="center" vertical="center"/>
    </xf>
    <xf numFmtId="0" fontId="7" fillId="14" borderId="1" xfId="428" applyFont="1" applyFill="1" applyBorder="1" applyAlignment="1">
      <alignment horizontal="center" vertical="center"/>
    </xf>
    <xf numFmtId="0" fontId="7" fillId="14" borderId="1" xfId="453" applyFont="1" applyFill="1" applyBorder="1" applyAlignment="1">
      <alignment horizontal="center" vertical="center"/>
    </xf>
    <xf numFmtId="0" fontId="2" fillId="10" borderId="1" xfId="453" applyFont="1" applyFill="1" applyBorder="1" applyAlignment="1">
      <alignment horizontal="center" vertical="center"/>
    </xf>
    <xf numFmtId="0" fontId="2" fillId="12" borderId="1" xfId="428" applyFont="1" applyFill="1" applyBorder="1" applyAlignment="1">
      <alignment horizontal="center" vertical="center"/>
    </xf>
    <xf numFmtId="0" fontId="2" fillId="13" borderId="1" xfId="428" applyFont="1" applyFill="1" applyBorder="1" applyAlignment="1">
      <alignment horizontal="center" vertical="center"/>
    </xf>
    <xf numFmtId="0" fontId="2" fillId="14" borderId="1" xfId="428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 wrapText="1"/>
    </xf>
    <xf numFmtId="0" fontId="7" fillId="13" borderId="1" xfId="453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 wrapText="1"/>
    </xf>
    <xf numFmtId="0" fontId="7" fillId="14" borderId="1" xfId="453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7" fillId="15" borderId="1" xfId="453" applyFont="1" applyFill="1" applyBorder="1" applyAlignment="1">
      <alignment horizontal="center" vertical="center" wrapText="1"/>
    </xf>
    <xf numFmtId="0" fontId="7" fillId="14" borderId="1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/>
    </xf>
    <xf numFmtId="49" fontId="1" fillId="12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49" fontId="1" fillId="13" borderId="1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49" fontId="1" fillId="14" borderId="1" xfId="0" applyNumberFormat="1" applyFont="1" applyFill="1" applyBorder="1" applyAlignment="1">
      <alignment horizontal="center" vertical="center"/>
    </xf>
    <xf numFmtId="0" fontId="1" fillId="16" borderId="1" xfId="453" applyFont="1" applyFill="1" applyBorder="1" applyAlignment="1">
      <alignment horizontal="center" vertical="center"/>
    </xf>
    <xf numFmtId="0" fontId="1" fillId="30" borderId="1" xfId="428" applyFont="1" applyFill="1" applyBorder="1" applyAlignment="1">
      <alignment horizontal="center" vertical="center"/>
    </xf>
    <xf numFmtId="0" fontId="1" fillId="30" borderId="1" xfId="428" applyFont="1" applyFill="1" applyBorder="1" applyAlignment="1">
      <alignment horizontal="left" vertical="center"/>
    </xf>
    <xf numFmtId="0" fontId="1" fillId="30" borderId="1" xfId="453" applyFont="1" applyFill="1" applyBorder="1" applyAlignment="1">
      <alignment horizontal="center" vertical="center"/>
    </xf>
    <xf numFmtId="0" fontId="1" fillId="12" borderId="1" xfId="515" applyFont="1" applyFill="1" applyBorder="1" applyAlignment="1">
      <alignment horizontal="center" vertical="center"/>
    </xf>
    <xf numFmtId="0" fontId="1" fillId="12" borderId="1" xfId="515" applyFont="1" applyFill="1" applyBorder="1" applyAlignment="1">
      <alignment horizontal="left" vertical="center"/>
    </xf>
    <xf numFmtId="0" fontId="1" fillId="10" borderId="1" xfId="515" applyFont="1" applyFill="1" applyBorder="1" applyAlignment="1">
      <alignment horizontal="center" vertical="center"/>
    </xf>
    <xf numFmtId="0" fontId="1" fillId="12" borderId="1" xfId="454" applyFont="1" applyFill="1" applyBorder="1" applyAlignment="1">
      <alignment horizontal="center" vertical="center"/>
    </xf>
    <xf numFmtId="0" fontId="4" fillId="12" borderId="1" xfId="382" applyFont="1" applyFill="1" applyBorder="1" applyAlignment="1">
      <alignment horizontal="left" vertical="center"/>
    </xf>
    <xf numFmtId="0" fontId="1" fillId="29" borderId="1" xfId="515" applyFont="1" applyFill="1" applyBorder="1" applyAlignment="1">
      <alignment horizontal="center" vertical="center"/>
    </xf>
    <xf numFmtId="0" fontId="1" fillId="31" borderId="1" xfId="428" applyFont="1" applyFill="1" applyBorder="1" applyAlignment="1">
      <alignment horizontal="center" vertical="center"/>
    </xf>
    <xf numFmtId="0" fontId="1" fillId="31" borderId="1" xfId="428" applyFont="1" applyFill="1" applyBorder="1" applyAlignment="1">
      <alignment horizontal="left" vertical="center"/>
    </xf>
    <xf numFmtId="0" fontId="4" fillId="0" borderId="1" xfId="428" applyFont="1" applyBorder="1" applyAlignment="1">
      <alignment horizontal="left" vertical="center"/>
    </xf>
    <xf numFmtId="0" fontId="7" fillId="0" borderId="1" xfId="428" applyFont="1" applyBorder="1" applyAlignment="1">
      <alignment horizontal="center" vertical="center"/>
    </xf>
    <xf numFmtId="0" fontId="1" fillId="28" borderId="1" xfId="428" applyFont="1" applyFill="1" applyBorder="1" applyAlignment="1">
      <alignment horizontal="center" vertical="center"/>
    </xf>
    <xf numFmtId="0" fontId="1" fillId="28" borderId="1" xfId="428" applyFont="1" applyFill="1" applyBorder="1" applyAlignment="1">
      <alignment horizontal="left" vertical="center"/>
    </xf>
    <xf numFmtId="0" fontId="1" fillId="17" borderId="1" xfId="428" applyFont="1" applyFill="1" applyBorder="1" applyAlignment="1">
      <alignment horizontal="left" vertical="center"/>
    </xf>
    <xf numFmtId="0" fontId="1" fillId="16" borderId="1" xfId="453" applyFont="1" applyFill="1" applyBorder="1" applyAlignment="1">
      <alignment horizontal="center" vertical="center" wrapText="1"/>
    </xf>
    <xf numFmtId="0" fontId="1" fillId="30" borderId="1" xfId="453" applyFont="1" applyFill="1" applyBorder="1" applyAlignment="1">
      <alignment horizontal="center" vertical="center" wrapText="1"/>
    </xf>
    <xf numFmtId="0" fontId="1" fillId="12" borderId="1" xfId="454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/>
    </xf>
    <xf numFmtId="0" fontId="1" fillId="32" borderId="1" xfId="428" applyFont="1" applyFill="1" applyBorder="1" applyAlignment="1">
      <alignment horizontal="center" vertical="center"/>
    </xf>
    <xf numFmtId="49" fontId="1" fillId="15" borderId="1" xfId="428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49" fontId="1" fillId="10" borderId="1" xfId="515" applyNumberFormat="1" applyFont="1" applyFill="1" applyBorder="1" applyAlignment="1">
      <alignment horizontal="center" vertical="center"/>
    </xf>
    <xf numFmtId="0" fontId="1" fillId="10" borderId="1" xfId="382" applyFont="1" applyFill="1" applyBorder="1" applyAlignment="1">
      <alignment horizontal="center" vertical="center"/>
    </xf>
    <xf numFmtId="49" fontId="1" fillId="31" borderId="1" xfId="428" applyNumberFormat="1" applyFont="1" applyFill="1" applyBorder="1" applyAlignment="1">
      <alignment horizontal="center" vertical="center"/>
    </xf>
    <xf numFmtId="49" fontId="1" fillId="28" borderId="1" xfId="428" applyNumberFormat="1" applyFont="1" applyFill="1" applyBorder="1" applyAlignment="1">
      <alignment horizontal="center" vertical="center"/>
    </xf>
    <xf numFmtId="49" fontId="1" fillId="17" borderId="1" xfId="428" applyNumberFormat="1" applyFont="1" applyFill="1" applyBorder="1" applyAlignment="1">
      <alignment horizontal="center" vertical="center"/>
    </xf>
    <xf numFmtId="49" fontId="1" fillId="16" borderId="1" xfId="453" applyNumberFormat="1" applyFont="1" applyFill="1" applyBorder="1" applyAlignment="1">
      <alignment horizontal="center" vertical="center"/>
    </xf>
    <xf numFmtId="49" fontId="1" fillId="30" borderId="1" xfId="453" applyNumberFormat="1" applyFont="1" applyFill="1" applyBorder="1" applyAlignment="1">
      <alignment horizontal="center" vertical="center"/>
    </xf>
    <xf numFmtId="49" fontId="1" fillId="12" borderId="1" xfId="454" applyNumberFormat="1" applyFont="1" applyFill="1" applyBorder="1" applyAlignment="1">
      <alignment horizontal="center" vertical="center"/>
    </xf>
    <xf numFmtId="0" fontId="1" fillId="13" borderId="1" xfId="454" applyFont="1" applyFill="1" applyBorder="1" applyAlignment="1">
      <alignment horizontal="center" vertical="center"/>
    </xf>
    <xf numFmtId="0" fontId="2" fillId="16" borderId="1" xfId="453" applyFont="1" applyFill="1" applyBorder="1" applyAlignment="1">
      <alignment horizontal="center" vertical="center"/>
    </xf>
    <xf numFmtId="0" fontId="1" fillId="0" borderId="1" xfId="454" applyFont="1" applyBorder="1" applyAlignment="1">
      <alignment horizontal="center" vertical="center"/>
    </xf>
    <xf numFmtId="0" fontId="2" fillId="12" borderId="1" xfId="454" applyFont="1" applyFill="1" applyBorder="1" applyAlignment="1">
      <alignment horizontal="center" vertical="center"/>
    </xf>
    <xf numFmtId="0" fontId="1" fillId="16" borderId="1" xfId="462" applyFont="1" applyFill="1" applyBorder="1" applyAlignment="1">
      <alignment horizontal="center" vertical="center"/>
    </xf>
    <xf numFmtId="0" fontId="2" fillId="31" borderId="1" xfId="428" applyFont="1" applyFill="1" applyBorder="1" applyAlignment="1">
      <alignment horizontal="center" vertical="center"/>
    </xf>
    <xf numFmtId="0" fontId="7" fillId="15" borderId="1" xfId="428" applyFont="1" applyFill="1" applyBorder="1" applyAlignment="1">
      <alignment horizontal="center" vertical="center"/>
    </xf>
    <xf numFmtId="0" fontId="7" fillId="15" borderId="1" xfId="453" applyFont="1" applyFill="1" applyBorder="1" applyAlignment="1">
      <alignment horizontal="center" vertical="center"/>
    </xf>
    <xf numFmtId="0" fontId="7" fillId="16" borderId="1" xfId="453" applyFont="1" applyFill="1" applyBorder="1" applyAlignment="1">
      <alignment horizontal="center" vertical="center"/>
    </xf>
    <xf numFmtId="0" fontId="1" fillId="10" borderId="1" xfId="454" applyFont="1" applyFill="1" applyBorder="1" applyAlignment="1">
      <alignment horizontal="center" vertical="center"/>
    </xf>
    <xf numFmtId="0" fontId="7" fillId="10" borderId="1" xfId="515" applyFont="1" applyFill="1" applyBorder="1" applyAlignment="1">
      <alignment horizontal="center" vertical="center"/>
    </xf>
    <xf numFmtId="0" fontId="7" fillId="10" borderId="1" xfId="454" applyFont="1" applyFill="1" applyBorder="1" applyAlignment="1">
      <alignment horizontal="center" vertical="center"/>
    </xf>
    <xf numFmtId="0" fontId="7" fillId="28" borderId="1" xfId="428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17" borderId="1" xfId="428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5" borderId="1" xfId="428" applyFont="1" applyFill="1" applyBorder="1" applyAlignment="1">
      <alignment horizontal="center" vertical="center"/>
    </xf>
    <xf numFmtId="0" fontId="2" fillId="10" borderId="1" xfId="454" applyFont="1" applyFill="1" applyBorder="1" applyAlignment="1">
      <alignment horizontal="center" vertical="center"/>
    </xf>
    <xf numFmtId="0" fontId="2" fillId="10" borderId="1" xfId="515" applyFont="1" applyFill="1" applyBorder="1" applyAlignment="1">
      <alignment horizontal="center" vertical="center"/>
    </xf>
    <xf numFmtId="0" fontId="1" fillId="0" borderId="1" xfId="515" applyFont="1" applyBorder="1" applyAlignment="1">
      <alignment horizontal="center" vertical="center"/>
    </xf>
    <xf numFmtId="0" fontId="1" fillId="25" borderId="1" xfId="515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 wrapText="1"/>
    </xf>
    <xf numFmtId="0" fontId="7" fillId="16" borderId="1" xfId="453" applyFont="1" applyFill="1" applyBorder="1" applyAlignment="1">
      <alignment horizontal="center" vertical="center" wrapText="1"/>
    </xf>
    <xf numFmtId="0" fontId="7" fillId="15" borderId="1" xfId="0" applyFont="1" applyFill="1" applyBorder="1" applyAlignment="1">
      <alignment horizontal="center" vertical="center" wrapText="1"/>
    </xf>
    <xf numFmtId="0" fontId="4" fillId="10" borderId="1" xfId="382" applyFont="1" applyFill="1" applyBorder="1" applyAlignment="1">
      <alignment horizontal="center" vertical="center" wrapText="1"/>
    </xf>
    <xf numFmtId="0" fontId="7" fillId="10" borderId="1" xfId="382" applyFont="1" applyFill="1" applyBorder="1" applyAlignment="1">
      <alignment horizontal="center" vertical="center" wrapText="1"/>
    </xf>
    <xf numFmtId="0" fontId="1" fillId="31" borderId="1" xfId="428" applyFont="1" applyFill="1" applyBorder="1" applyAlignment="1">
      <alignment horizontal="center" vertical="center" wrapText="1"/>
    </xf>
    <xf numFmtId="0" fontId="4" fillId="33" borderId="1" xfId="428" applyFont="1" applyFill="1" applyBorder="1" applyAlignment="1">
      <alignment horizontal="center" vertical="center" wrapText="1"/>
    </xf>
    <xf numFmtId="0" fontId="4" fillId="34" borderId="1" xfId="428" applyFont="1" applyFill="1" applyBorder="1" applyAlignment="1">
      <alignment horizontal="center" vertical="center" wrapText="1"/>
    </xf>
    <xf numFmtId="0" fontId="1" fillId="28" borderId="1" xfId="428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center" vertical="center"/>
    </xf>
    <xf numFmtId="49" fontId="1" fillId="15" borderId="1" xfId="0" applyNumberFormat="1" applyFont="1" applyFill="1" applyBorder="1" applyAlignment="1">
      <alignment horizontal="center" vertical="center"/>
    </xf>
    <xf numFmtId="0" fontId="1" fillId="0" borderId="1" xfId="390" applyFont="1" applyBorder="1" applyAlignment="1">
      <alignment horizontal="center" vertical="center"/>
    </xf>
    <xf numFmtId="0" fontId="4" fillId="10" borderId="1" xfId="382" applyFont="1" applyFill="1" applyBorder="1" applyAlignment="1">
      <alignment horizontal="center" vertical="center"/>
    </xf>
    <xf numFmtId="49" fontId="1" fillId="10" borderId="1" xfId="382" applyNumberFormat="1" applyFont="1" applyFill="1" applyBorder="1" applyAlignment="1">
      <alignment horizontal="center" vertical="center"/>
    </xf>
    <xf numFmtId="0" fontId="4" fillId="31" borderId="1" xfId="428" applyFont="1" applyFill="1" applyBorder="1" applyAlignment="1">
      <alignment horizontal="center" vertical="center"/>
    </xf>
    <xf numFmtId="0" fontId="4" fillId="0" borderId="1" xfId="428" applyFont="1" applyBorder="1" applyAlignment="1">
      <alignment horizontal="center" vertical="center"/>
    </xf>
    <xf numFmtId="49" fontId="1" fillId="28" borderId="1" xfId="0" applyNumberFormat="1" applyFont="1" applyFill="1" applyBorder="1" applyAlignment="1">
      <alignment horizontal="center" vertical="center"/>
    </xf>
    <xf numFmtId="0" fontId="2" fillId="0" borderId="1" xfId="428" applyFont="1" applyBorder="1" applyAlignment="1">
      <alignment horizontal="left" vertical="center"/>
    </xf>
    <xf numFmtId="0" fontId="1" fillId="0" borderId="1" xfId="584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30" borderId="1" xfId="428" applyFont="1" applyFill="1" applyBorder="1" applyAlignment="1">
      <alignment horizontal="center" vertical="center" wrapText="1"/>
    </xf>
    <xf numFmtId="49" fontId="1" fillId="30" borderId="1" xfId="428" applyNumberFormat="1" applyFont="1" applyFill="1" applyBorder="1" applyAlignment="1">
      <alignment horizontal="center" vertical="center"/>
    </xf>
    <xf numFmtId="49" fontId="3" fillId="16" borderId="1" xfId="431" applyNumberFormat="1" applyFont="1" applyFill="1" applyBorder="1" applyAlignment="1">
      <alignment horizontal="center" vertical="center"/>
    </xf>
    <xf numFmtId="0" fontId="1" fillId="16" borderId="1" xfId="466" applyFont="1" applyFill="1" applyBorder="1" applyAlignment="1">
      <alignment horizontal="center" vertical="center"/>
    </xf>
    <xf numFmtId="0" fontId="1" fillId="9" borderId="1" xfId="466" applyFont="1" applyFill="1" applyBorder="1" applyAlignment="1">
      <alignment horizontal="center" vertical="center"/>
    </xf>
    <xf numFmtId="0" fontId="1" fillId="16" borderId="1" xfId="468" applyFont="1" applyFill="1" applyBorder="1" applyAlignment="1">
      <alignment horizontal="center" vertical="center" wrapText="1"/>
    </xf>
    <xf numFmtId="0" fontId="1" fillId="16" borderId="1" xfId="468" applyFont="1" applyFill="1" applyBorder="1" applyAlignment="1">
      <alignment horizontal="center" vertical="center"/>
    </xf>
    <xf numFmtId="0" fontId="2" fillId="16" borderId="1" xfId="431" applyFont="1" applyFill="1" applyBorder="1" applyAlignment="1">
      <alignment horizontal="center" vertical="center"/>
    </xf>
    <xf numFmtId="0" fontId="1" fillId="0" borderId="1" xfId="381" applyFont="1" applyBorder="1" applyAlignment="1">
      <alignment horizontal="center" vertical="center"/>
    </xf>
    <xf numFmtId="0" fontId="1" fillId="25" borderId="1" xfId="431" applyFont="1" applyFill="1" applyBorder="1" applyAlignment="1">
      <alignment horizontal="center" vertical="center"/>
    </xf>
    <xf numFmtId="20" fontId="1" fillId="16" borderId="1" xfId="431" applyNumberFormat="1" applyFont="1" applyFill="1" applyBorder="1" applyAlignment="1">
      <alignment horizontal="center" vertical="center"/>
    </xf>
    <xf numFmtId="49" fontId="1" fillId="10" borderId="1" xfId="431" applyNumberFormat="1" applyFont="1" applyFill="1" applyBorder="1" applyAlignment="1">
      <alignment horizontal="center" vertical="center"/>
    </xf>
    <xf numFmtId="0" fontId="1" fillId="16" borderId="1" xfId="519" applyFont="1" applyFill="1" applyBorder="1" applyAlignment="1">
      <alignment horizontal="center" vertical="center"/>
    </xf>
    <xf numFmtId="0" fontId="1" fillId="16" borderId="1" xfId="386" applyFont="1" applyFill="1" applyBorder="1" applyAlignment="1">
      <alignment horizontal="center" vertical="center"/>
    </xf>
    <xf numFmtId="0" fontId="1" fillId="10" borderId="1" xfId="468" applyFont="1" applyFill="1" applyBorder="1" applyAlignment="1">
      <alignment horizontal="center" vertical="center" wrapText="1"/>
    </xf>
    <xf numFmtId="0" fontId="1" fillId="10" borderId="1" xfId="468" applyFont="1" applyFill="1" applyBorder="1" applyAlignment="1">
      <alignment horizontal="center" vertical="center"/>
    </xf>
    <xf numFmtId="0" fontId="1" fillId="0" borderId="1" xfId="468" applyFont="1" applyBorder="1" applyAlignment="1">
      <alignment horizontal="center" vertical="center"/>
    </xf>
    <xf numFmtId="0" fontId="1" fillId="16" borderId="1" xfId="429" applyFont="1" applyFill="1" applyBorder="1" applyAlignment="1">
      <alignment horizontal="center" vertical="center" wrapText="1"/>
    </xf>
    <xf numFmtId="0" fontId="1" fillId="10" borderId="1" xfId="429" applyFont="1" applyFill="1" applyBorder="1" applyAlignment="1">
      <alignment horizontal="center" vertical="center" wrapText="1"/>
    </xf>
    <xf numFmtId="0" fontId="1" fillId="16" borderId="1" xfId="429" applyFont="1" applyFill="1" applyBorder="1" applyAlignment="1">
      <alignment horizontal="center" vertical="center"/>
    </xf>
    <xf numFmtId="0" fontId="2" fillId="10" borderId="1" xfId="431" applyFont="1" applyFill="1" applyBorder="1" applyAlignment="1">
      <alignment horizontal="center" vertical="center"/>
    </xf>
    <xf numFmtId="0" fontId="7" fillId="10" borderId="1" xfId="431" applyFont="1" applyFill="1" applyBorder="1" applyAlignment="1">
      <alignment horizontal="center" vertical="center"/>
    </xf>
    <xf numFmtId="0" fontId="7" fillId="10" borderId="1" xfId="431" applyFont="1" applyFill="1" applyBorder="1" applyAlignment="1">
      <alignment horizontal="center" vertical="center" wrapText="1"/>
    </xf>
    <xf numFmtId="20" fontId="1" fillId="10" borderId="1" xfId="431" applyNumberFormat="1" applyFont="1" applyFill="1" applyBorder="1" applyAlignment="1">
      <alignment horizontal="center" vertical="center"/>
    </xf>
    <xf numFmtId="0" fontId="1" fillId="0" borderId="1" xfId="431" applyFont="1" applyBorder="1" applyAlignment="1">
      <alignment horizontal="left" vertical="center"/>
    </xf>
    <xf numFmtId="0" fontId="1" fillId="30" borderId="1" xfId="431" applyFont="1" applyFill="1" applyBorder="1" applyAlignment="1">
      <alignment horizontal="center" vertical="center"/>
    </xf>
    <xf numFmtId="0" fontId="1" fillId="22" borderId="1" xfId="431" applyFont="1" applyFill="1" applyBorder="1" applyAlignment="1">
      <alignment horizontal="center" vertical="center"/>
    </xf>
    <xf numFmtId="0" fontId="1" fillId="35" borderId="1" xfId="0" applyFont="1" applyFill="1" applyBorder="1" applyAlignment="1">
      <alignment horizontal="center" vertical="center"/>
    </xf>
    <xf numFmtId="49" fontId="1" fillId="22" borderId="1" xfId="431" applyNumberFormat="1" applyFont="1" applyFill="1" applyBorder="1" applyAlignment="1">
      <alignment horizontal="center" vertical="center"/>
    </xf>
    <xf numFmtId="49" fontId="1" fillId="23" borderId="1" xfId="431" applyNumberFormat="1" applyFont="1" applyFill="1" applyBorder="1" applyAlignment="1">
      <alignment horizontal="center" vertical="center"/>
    </xf>
    <xf numFmtId="0" fontId="1" fillId="23" borderId="1" xfId="431" applyFont="1" applyFill="1" applyBorder="1" applyAlignment="1">
      <alignment horizontal="center" vertical="center"/>
    </xf>
    <xf numFmtId="0" fontId="1" fillId="24" borderId="1" xfId="431" applyFont="1" applyFill="1" applyBorder="1" applyAlignment="1">
      <alignment horizontal="center" vertical="center"/>
    </xf>
    <xf numFmtId="0" fontId="1" fillId="0" borderId="1" xfId="431" applyFont="1" applyBorder="1" applyAlignment="1">
      <alignment horizontal="center" vertical="center" wrapText="1"/>
    </xf>
    <xf numFmtId="0" fontId="2" fillId="0" borderId="1" xfId="431" applyFont="1" applyBorder="1" applyAlignment="1">
      <alignment horizontal="center" vertical="center"/>
    </xf>
    <xf numFmtId="0" fontId="1" fillId="0" borderId="1" xfId="464" applyFont="1" applyBorder="1" applyAlignment="1">
      <alignment horizontal="center" vertical="center"/>
    </xf>
    <xf numFmtId="0" fontId="1" fillId="25" borderId="1" xfId="464" applyFont="1" applyFill="1" applyBorder="1" applyAlignment="1">
      <alignment horizontal="center" vertical="center"/>
    </xf>
    <xf numFmtId="49" fontId="1" fillId="0" borderId="1" xfId="431" applyNumberFormat="1" applyFon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8" fillId="20" borderId="1" xfId="428" applyFont="1" applyFill="1" applyBorder="1" applyAlignment="1">
      <alignment horizontal="center" vertical="center"/>
    </xf>
    <xf numFmtId="0" fontId="4" fillId="36" borderId="1" xfId="0" applyFont="1" applyFill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4" fillId="36" borderId="2" xfId="0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 vertical="center"/>
    </xf>
    <xf numFmtId="0" fontId="1" fillId="20" borderId="1" xfId="428" applyFont="1" applyFill="1" applyBorder="1" applyAlignment="1">
      <alignment horizontal="center" vertical="center" wrapText="1"/>
    </xf>
    <xf numFmtId="0" fontId="1" fillId="21" borderId="1" xfId="428" applyFont="1" applyFill="1" applyBorder="1" applyAlignment="1">
      <alignment horizontal="center" vertical="center" wrapText="1"/>
    </xf>
    <xf numFmtId="0" fontId="4" fillId="36" borderId="2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/>
    </xf>
    <xf numFmtId="0" fontId="0" fillId="0" borderId="0" xfId="0" applyAlignment="1">
      <alignment vertical="center" wrapText="1"/>
    </xf>
    <xf numFmtId="0" fontId="22" fillId="0" borderId="1" xfId="431" applyFont="1" applyBorder="1" applyAlignment="1">
      <alignment horizontal="center" vertical="center"/>
    </xf>
    <xf numFmtId="0" fontId="23" fillId="0" borderId="1" xfId="428" applyFont="1" applyBorder="1" applyAlignment="1">
      <alignment horizontal="center" vertical="center"/>
    </xf>
    <xf numFmtId="0" fontId="22" fillId="30" borderId="1" xfId="431" applyFont="1" applyFill="1" applyBorder="1" applyAlignment="1">
      <alignment horizontal="center" vertical="center"/>
    </xf>
    <xf numFmtId="0" fontId="22" fillId="0" borderId="0" xfId="428" applyFont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22" borderId="1" xfId="431" applyFont="1" applyFill="1" applyBorder="1" applyAlignment="1">
      <alignment horizontal="center" vertical="center"/>
    </xf>
    <xf numFmtId="0" fontId="22" fillId="42" borderId="1" xfId="431" applyFont="1" applyFill="1" applyBorder="1" applyAlignment="1">
      <alignment horizontal="center" vertical="center"/>
    </xf>
    <xf numFmtId="49" fontId="22" fillId="22" borderId="1" xfId="431" applyNumberFormat="1" applyFont="1" applyFill="1" applyBorder="1" applyAlignment="1">
      <alignment horizontal="center" vertical="center"/>
    </xf>
    <xf numFmtId="0" fontId="22" fillId="20" borderId="1" xfId="428" applyFont="1" applyFill="1" applyBorder="1" applyAlignment="1">
      <alignment horizontal="center" vertical="center"/>
    </xf>
    <xf numFmtId="0" fontId="22" fillId="23" borderId="1" xfId="431" applyFont="1" applyFill="1" applyBorder="1" applyAlignment="1">
      <alignment horizontal="center" vertical="center"/>
    </xf>
    <xf numFmtId="0" fontId="22" fillId="24" borderId="1" xfId="431" applyFont="1" applyFill="1" applyBorder="1" applyAlignment="1">
      <alignment horizontal="center" vertical="center"/>
    </xf>
    <xf numFmtId="0" fontId="22" fillId="0" borderId="1" xfId="381" applyFont="1" applyBorder="1" applyAlignment="1">
      <alignment horizontal="center" vertical="center"/>
    </xf>
    <xf numFmtId="0" fontId="22" fillId="10" borderId="1" xfId="431" applyFont="1" applyFill="1" applyBorder="1" applyAlignment="1">
      <alignment horizontal="center" vertical="center"/>
    </xf>
    <xf numFmtId="0" fontId="22" fillId="0" borderId="1" xfId="464" applyFont="1" applyBorder="1" applyAlignment="1">
      <alignment horizontal="center" vertical="center"/>
    </xf>
    <xf numFmtId="0" fontId="22" fillId="25" borderId="1" xfId="464" applyFont="1" applyFill="1" applyBorder="1" applyAlignment="1">
      <alignment horizontal="center" vertical="center"/>
    </xf>
    <xf numFmtId="0" fontId="22" fillId="0" borderId="1" xfId="428" applyFont="1" applyBorder="1" applyAlignment="1">
      <alignment horizontal="center" vertical="center"/>
    </xf>
    <xf numFmtId="49" fontId="22" fillId="0" borderId="1" xfId="431" applyNumberFormat="1" applyFont="1" applyBorder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2" fillId="0" borderId="1" xfId="431" applyFont="1" applyBorder="1" applyAlignment="1">
      <alignment horizontal="center" vertical="center" wrapText="1"/>
    </xf>
    <xf numFmtId="0" fontId="1" fillId="42" borderId="1" xfId="0" applyFont="1" applyFill="1" applyBorder="1" applyAlignment="1">
      <alignment horizontal="center" vertical="center"/>
    </xf>
    <xf numFmtId="0" fontId="2" fillId="42" borderId="1" xfId="428" applyFont="1" applyFill="1" applyBorder="1" applyAlignment="1">
      <alignment horizontal="center" vertical="center"/>
    </xf>
    <xf numFmtId="0" fontId="1" fillId="42" borderId="1" xfId="428" applyFont="1" applyFill="1" applyBorder="1" applyAlignment="1">
      <alignment horizontal="center" vertical="center"/>
    </xf>
    <xf numFmtId="49" fontId="1" fillId="42" borderId="1" xfId="428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49" fontId="1" fillId="42" borderId="1" xfId="0" applyNumberFormat="1" applyFont="1" applyFill="1" applyBorder="1" applyAlignment="1">
      <alignment horizontal="center" vertical="center"/>
    </xf>
    <xf numFmtId="0" fontId="1" fillId="42" borderId="2" xfId="428" applyFont="1" applyFill="1" applyBorder="1" applyAlignment="1">
      <alignment horizontal="center" vertical="center"/>
    </xf>
    <xf numFmtId="0" fontId="13" fillId="42" borderId="0" xfId="428" applyFont="1" applyFill="1" applyAlignment="1">
      <alignment horizontal="center" vertical="center"/>
    </xf>
    <xf numFmtId="0" fontId="1" fillId="42" borderId="0" xfId="428" applyFont="1" applyFill="1" applyAlignment="1">
      <alignment horizontal="center" vertical="center"/>
    </xf>
    <xf numFmtId="49" fontId="1" fillId="42" borderId="0" xfId="428" applyNumberFormat="1" applyFont="1" applyFill="1" applyAlignment="1">
      <alignment horizontal="center" vertical="center"/>
    </xf>
    <xf numFmtId="0" fontId="1" fillId="42" borderId="0" xfId="0" applyFont="1" applyFill="1" applyAlignment="1">
      <alignment horizontal="center" vertical="center"/>
    </xf>
    <xf numFmtId="0" fontId="1" fillId="42" borderId="0" xfId="428" applyFont="1" applyFill="1" applyAlignment="1">
      <alignment horizontal="left" vertical="center"/>
    </xf>
    <xf numFmtId="0" fontId="13" fillId="42" borderId="1" xfId="428" applyFont="1" applyFill="1" applyBorder="1" applyAlignment="1">
      <alignment horizontal="center" vertical="center"/>
    </xf>
    <xf numFmtId="0" fontId="1" fillId="42" borderId="0" xfId="428" applyFont="1" applyFill="1" applyAlignment="1">
      <alignment horizontal="center" vertical="center" wrapText="1"/>
    </xf>
    <xf numFmtId="0" fontId="1" fillId="24" borderId="0" xfId="398" applyFont="1" applyFill="1" applyAlignment="1">
      <alignment horizontal="center" vertical="center"/>
    </xf>
    <xf numFmtId="0" fontId="11" fillId="0" borderId="0" xfId="0" applyFont="1" applyFill="1" applyAlignment="1">
      <alignment vertical="center" wrapText="1"/>
    </xf>
    <xf numFmtId="0" fontId="1" fillId="43" borderId="1" xfId="428" applyFont="1" applyFill="1" applyBorder="1" applyAlignment="1">
      <alignment horizontal="center" vertical="center"/>
    </xf>
    <xf numFmtId="49" fontId="1" fillId="43" borderId="1" xfId="428" applyNumberFormat="1" applyFont="1" applyFill="1" applyBorder="1" applyAlignment="1">
      <alignment horizontal="center" vertical="center"/>
    </xf>
    <xf numFmtId="0" fontId="1" fillId="18" borderId="1" xfId="822" applyFont="1" applyFill="1" applyBorder="1" applyAlignment="1">
      <alignment horizontal="center" vertical="center"/>
    </xf>
    <xf numFmtId="0" fontId="1" fillId="0" borderId="1" xfId="428" applyFont="1" applyBorder="1" applyAlignment="1">
      <alignment horizontal="center" vertical="center"/>
    </xf>
    <xf numFmtId="0" fontId="1" fillId="24" borderId="1" xfId="428" applyFont="1" applyFill="1" applyBorder="1" applyAlignment="1">
      <alignment horizontal="center" vertical="center"/>
    </xf>
    <xf numFmtId="0" fontId="1" fillId="0" borderId="1" xfId="428" applyFont="1" applyBorder="1" applyAlignment="1">
      <alignment horizontal="center" vertical="center"/>
    </xf>
    <xf numFmtId="0" fontId="0" fillId="0" borderId="1" xfId="0" applyBorder="1"/>
    <xf numFmtId="0" fontId="1" fillId="24" borderId="1" xfId="428" applyFont="1" applyFill="1" applyBorder="1" applyAlignment="1">
      <alignment horizontal="center" vertical="center"/>
    </xf>
  </cellXfs>
  <cellStyles count="823">
    <cellStyle name="20% - 着色 3 10" xfId="1" xr:uid="{00000000-0005-0000-0000-000031000000}"/>
    <cellStyle name="20% - 着色 3 11" xfId="2" xr:uid="{00000000-0005-0000-0000-000032000000}"/>
    <cellStyle name="20% - 着色 3 2" xfId="3" xr:uid="{00000000-0005-0000-0000-000033000000}"/>
    <cellStyle name="20% - 着色 3 2 2" xfId="4" xr:uid="{00000000-0005-0000-0000-000034000000}"/>
    <cellStyle name="20% - 着色 3 2 2 2" xfId="5" xr:uid="{00000000-0005-0000-0000-000035000000}"/>
    <cellStyle name="20% - 着色 3 2 2 2 2" xfId="6" xr:uid="{00000000-0005-0000-0000-000036000000}"/>
    <cellStyle name="20% - 着色 3 2 2 2 2 2" xfId="7" xr:uid="{00000000-0005-0000-0000-000037000000}"/>
    <cellStyle name="20% - 着色 3 2 2 2 3" xfId="8" xr:uid="{00000000-0005-0000-0000-000038000000}"/>
    <cellStyle name="20% - 着色 3 2 2 2 3 2" xfId="9" xr:uid="{00000000-0005-0000-0000-000039000000}"/>
    <cellStyle name="20% - 着色 3 2 2 2 4" xfId="10" xr:uid="{00000000-0005-0000-0000-00003A000000}"/>
    <cellStyle name="20% - 着色 3 2 2 2 4 2" xfId="11" xr:uid="{00000000-0005-0000-0000-00003B000000}"/>
    <cellStyle name="20% - 着色 3 2 2 2 5" xfId="12" xr:uid="{00000000-0005-0000-0000-00003C000000}"/>
    <cellStyle name="20% - 着色 3 2 2 2 6" xfId="13" xr:uid="{00000000-0005-0000-0000-00003D000000}"/>
    <cellStyle name="20% - 着色 3 2 2 3" xfId="14" xr:uid="{00000000-0005-0000-0000-00003E000000}"/>
    <cellStyle name="20% - 着色 3 2 2 3 2" xfId="15" xr:uid="{00000000-0005-0000-0000-00003F000000}"/>
    <cellStyle name="20% - 着色 3 2 2 3 2 2" xfId="16" xr:uid="{00000000-0005-0000-0000-000040000000}"/>
    <cellStyle name="20% - 着色 3 2 2 3 3" xfId="17" xr:uid="{00000000-0005-0000-0000-000041000000}"/>
    <cellStyle name="20% - 着色 3 2 2 3 3 2" xfId="18" xr:uid="{00000000-0005-0000-0000-000042000000}"/>
    <cellStyle name="20% - 着色 3 2 2 3 4" xfId="19" xr:uid="{00000000-0005-0000-0000-000043000000}"/>
    <cellStyle name="20% - 着色 3 2 2 3 4 2" xfId="20" xr:uid="{00000000-0005-0000-0000-000044000000}"/>
    <cellStyle name="20% - 着色 3 2 2 3 5" xfId="21" xr:uid="{00000000-0005-0000-0000-000045000000}"/>
    <cellStyle name="20% - 着色 3 2 2 3 6" xfId="22" xr:uid="{00000000-0005-0000-0000-000046000000}"/>
    <cellStyle name="20% - 着色 3 2 2 4" xfId="23" xr:uid="{00000000-0005-0000-0000-000047000000}"/>
    <cellStyle name="20% - 着色 3 2 2 4 2" xfId="24" xr:uid="{00000000-0005-0000-0000-000048000000}"/>
    <cellStyle name="20% - 着色 3 2 2 5" xfId="25" xr:uid="{00000000-0005-0000-0000-000049000000}"/>
    <cellStyle name="20% - 着色 3 2 2 5 2" xfId="26" xr:uid="{00000000-0005-0000-0000-00004A000000}"/>
    <cellStyle name="20% - 着色 3 2 2 6" xfId="27" xr:uid="{00000000-0005-0000-0000-00004B000000}"/>
    <cellStyle name="20% - 着色 3 2 2 6 2" xfId="28" xr:uid="{00000000-0005-0000-0000-00004C000000}"/>
    <cellStyle name="20% - 着色 3 2 2 7" xfId="29" xr:uid="{00000000-0005-0000-0000-00004D000000}"/>
    <cellStyle name="20% - 着色 3 2 2 8" xfId="30" xr:uid="{00000000-0005-0000-0000-00004E000000}"/>
    <cellStyle name="20% - 着色 3 2 3" xfId="31" xr:uid="{00000000-0005-0000-0000-00004F000000}"/>
    <cellStyle name="20% - 着色 3 2 3 2" xfId="32" xr:uid="{00000000-0005-0000-0000-000050000000}"/>
    <cellStyle name="20% - 着色 3 2 3 2 2" xfId="33" xr:uid="{00000000-0005-0000-0000-000051000000}"/>
    <cellStyle name="20% - 着色 3 2 3 3" xfId="34" xr:uid="{00000000-0005-0000-0000-000052000000}"/>
    <cellStyle name="20% - 着色 3 2 3 3 2" xfId="35" xr:uid="{00000000-0005-0000-0000-000053000000}"/>
    <cellStyle name="20% - 着色 3 2 3 4" xfId="36" xr:uid="{00000000-0005-0000-0000-000054000000}"/>
    <cellStyle name="20% - 着色 3 2 3 4 2" xfId="37" xr:uid="{00000000-0005-0000-0000-000055000000}"/>
    <cellStyle name="20% - 着色 3 2 3 5" xfId="38" xr:uid="{00000000-0005-0000-0000-000056000000}"/>
    <cellStyle name="20% - 着色 3 2 3 6" xfId="39" xr:uid="{00000000-0005-0000-0000-000057000000}"/>
    <cellStyle name="20% - 着色 3 2 4" xfId="40" xr:uid="{00000000-0005-0000-0000-000058000000}"/>
    <cellStyle name="20% - 着色 3 2 4 2" xfId="41" xr:uid="{00000000-0005-0000-0000-000059000000}"/>
    <cellStyle name="20% - 着色 3 2 4 2 2" xfId="42" xr:uid="{00000000-0005-0000-0000-00005A000000}"/>
    <cellStyle name="20% - 着色 3 2 4 3" xfId="43" xr:uid="{00000000-0005-0000-0000-00005B000000}"/>
    <cellStyle name="20% - 着色 3 2 4 3 2" xfId="44" xr:uid="{00000000-0005-0000-0000-00005C000000}"/>
    <cellStyle name="20% - 着色 3 2 4 4" xfId="45" xr:uid="{00000000-0005-0000-0000-00005D000000}"/>
    <cellStyle name="20% - 着色 3 2 4 4 2" xfId="46" xr:uid="{00000000-0005-0000-0000-00005E000000}"/>
    <cellStyle name="20% - 着色 3 2 4 5" xfId="47" xr:uid="{00000000-0005-0000-0000-00005F000000}"/>
    <cellStyle name="20% - 着色 3 2 4 6" xfId="48" xr:uid="{00000000-0005-0000-0000-000060000000}"/>
    <cellStyle name="20% - 着色 3 2 5" xfId="49" xr:uid="{00000000-0005-0000-0000-000061000000}"/>
    <cellStyle name="20% - 着色 3 2 5 2" xfId="50" xr:uid="{00000000-0005-0000-0000-000062000000}"/>
    <cellStyle name="20% - 着色 3 2 6" xfId="51" xr:uid="{00000000-0005-0000-0000-000063000000}"/>
    <cellStyle name="20% - 着色 3 2 6 2" xfId="52" xr:uid="{00000000-0005-0000-0000-000064000000}"/>
    <cellStyle name="20% - 着色 3 2 7" xfId="53" xr:uid="{00000000-0005-0000-0000-000065000000}"/>
    <cellStyle name="20% - 着色 3 2 7 2" xfId="54" xr:uid="{00000000-0005-0000-0000-000066000000}"/>
    <cellStyle name="20% - 着色 3 2 8" xfId="55" xr:uid="{00000000-0005-0000-0000-000067000000}"/>
    <cellStyle name="20% - 着色 3 2 9" xfId="56" xr:uid="{00000000-0005-0000-0000-000068000000}"/>
    <cellStyle name="20% - 着色 3 3" xfId="57" xr:uid="{00000000-0005-0000-0000-000069000000}"/>
    <cellStyle name="20% - 着色 3 3 2" xfId="58" xr:uid="{00000000-0005-0000-0000-00006A000000}"/>
    <cellStyle name="20% - 着色 3 3 2 2" xfId="59" xr:uid="{00000000-0005-0000-0000-00006B000000}"/>
    <cellStyle name="20% - 着色 3 3 2 2 2" xfId="60" xr:uid="{00000000-0005-0000-0000-00006C000000}"/>
    <cellStyle name="20% - 着色 3 3 2 3" xfId="61" xr:uid="{00000000-0005-0000-0000-00006D000000}"/>
    <cellStyle name="20% - 着色 3 3 2 3 2" xfId="62" xr:uid="{00000000-0005-0000-0000-00006E000000}"/>
    <cellStyle name="20% - 着色 3 3 2 4" xfId="63" xr:uid="{00000000-0005-0000-0000-00006F000000}"/>
    <cellStyle name="20% - 着色 3 3 2 4 2" xfId="64" xr:uid="{00000000-0005-0000-0000-000070000000}"/>
    <cellStyle name="20% - 着色 3 3 2 5" xfId="65" xr:uid="{00000000-0005-0000-0000-000071000000}"/>
    <cellStyle name="20% - 着色 3 3 2 6" xfId="66" xr:uid="{00000000-0005-0000-0000-000072000000}"/>
    <cellStyle name="20% - 着色 3 3 3" xfId="67" xr:uid="{00000000-0005-0000-0000-000073000000}"/>
    <cellStyle name="20% - 着色 3 3 3 2" xfId="68" xr:uid="{00000000-0005-0000-0000-000074000000}"/>
    <cellStyle name="20% - 着色 3 3 3 2 2" xfId="69" xr:uid="{00000000-0005-0000-0000-000075000000}"/>
    <cellStyle name="20% - 着色 3 3 3 3" xfId="70" xr:uid="{00000000-0005-0000-0000-000076000000}"/>
    <cellStyle name="20% - 着色 3 3 3 3 2" xfId="71" xr:uid="{00000000-0005-0000-0000-000077000000}"/>
    <cellStyle name="20% - 着色 3 3 3 4" xfId="72" xr:uid="{00000000-0005-0000-0000-000078000000}"/>
    <cellStyle name="20% - 着色 3 3 3 4 2" xfId="73" xr:uid="{00000000-0005-0000-0000-000079000000}"/>
    <cellStyle name="20% - 着色 3 3 3 5" xfId="74" xr:uid="{00000000-0005-0000-0000-00007A000000}"/>
    <cellStyle name="20% - 着色 3 3 3 6" xfId="75" xr:uid="{00000000-0005-0000-0000-00007B000000}"/>
    <cellStyle name="20% - 着色 3 3 4" xfId="76" xr:uid="{00000000-0005-0000-0000-00007C000000}"/>
    <cellStyle name="20% - 着色 3 3 4 2" xfId="77" xr:uid="{00000000-0005-0000-0000-00007D000000}"/>
    <cellStyle name="20% - 着色 3 3 5" xfId="78" xr:uid="{00000000-0005-0000-0000-00007E000000}"/>
    <cellStyle name="20% - 着色 3 3 5 2" xfId="79" xr:uid="{00000000-0005-0000-0000-00007F000000}"/>
    <cellStyle name="20% - 着色 3 3 6" xfId="80" xr:uid="{00000000-0005-0000-0000-000080000000}"/>
    <cellStyle name="20% - 着色 3 3 6 2" xfId="81" xr:uid="{00000000-0005-0000-0000-000081000000}"/>
    <cellStyle name="20% - 着色 3 3 7" xfId="82" xr:uid="{00000000-0005-0000-0000-000082000000}"/>
    <cellStyle name="20% - 着色 3 3 8" xfId="83" xr:uid="{00000000-0005-0000-0000-000083000000}"/>
    <cellStyle name="20% - 着色 3 4" xfId="84" xr:uid="{00000000-0005-0000-0000-000084000000}"/>
    <cellStyle name="20% - 着色 3 4 2" xfId="85" xr:uid="{00000000-0005-0000-0000-000085000000}"/>
    <cellStyle name="20% - 着色 3 4 2 2" xfId="86" xr:uid="{00000000-0005-0000-0000-000086000000}"/>
    <cellStyle name="20% - 着色 3 4 3" xfId="87" xr:uid="{00000000-0005-0000-0000-000087000000}"/>
    <cellStyle name="20% - 着色 3 4 3 2" xfId="88" xr:uid="{00000000-0005-0000-0000-000088000000}"/>
    <cellStyle name="20% - 着色 3 4 4" xfId="89" xr:uid="{00000000-0005-0000-0000-000089000000}"/>
    <cellStyle name="20% - 着色 3 4 4 2" xfId="90" xr:uid="{00000000-0005-0000-0000-00008A000000}"/>
    <cellStyle name="20% - 着色 3 4 5" xfId="91" xr:uid="{00000000-0005-0000-0000-00008B000000}"/>
    <cellStyle name="20% - 着色 3 4 6" xfId="92" xr:uid="{00000000-0005-0000-0000-00008C000000}"/>
    <cellStyle name="20% - 着色 3 5" xfId="93" xr:uid="{00000000-0005-0000-0000-00008D000000}"/>
    <cellStyle name="20% - 着色 3 5 2" xfId="94" xr:uid="{00000000-0005-0000-0000-00008E000000}"/>
    <cellStyle name="20% - 着色 3 5 2 2" xfId="95" xr:uid="{00000000-0005-0000-0000-00008F000000}"/>
    <cellStyle name="20% - 着色 3 5 3" xfId="96" xr:uid="{00000000-0005-0000-0000-000090000000}"/>
    <cellStyle name="20% - 着色 3 5 3 2" xfId="97" xr:uid="{00000000-0005-0000-0000-000091000000}"/>
    <cellStyle name="20% - 着色 3 5 4" xfId="98" xr:uid="{00000000-0005-0000-0000-000092000000}"/>
    <cellStyle name="20% - 着色 3 5 4 2" xfId="99" xr:uid="{00000000-0005-0000-0000-000093000000}"/>
    <cellStyle name="20% - 着色 3 5 5" xfId="100" xr:uid="{00000000-0005-0000-0000-000094000000}"/>
    <cellStyle name="20% - 着色 3 5 6" xfId="101" xr:uid="{00000000-0005-0000-0000-000095000000}"/>
    <cellStyle name="20% - 着色 3 6" xfId="102" xr:uid="{00000000-0005-0000-0000-000096000000}"/>
    <cellStyle name="20% - 着色 3 6 2" xfId="103" xr:uid="{00000000-0005-0000-0000-000097000000}"/>
    <cellStyle name="20% - 着色 3 6 2 2" xfId="104" xr:uid="{00000000-0005-0000-0000-000098000000}"/>
    <cellStyle name="20% - 着色 3 6 3" xfId="105" xr:uid="{00000000-0005-0000-0000-000099000000}"/>
    <cellStyle name="20% - 着色 3 6 3 2" xfId="106" xr:uid="{00000000-0005-0000-0000-00009A000000}"/>
    <cellStyle name="20% - 着色 3 6 4" xfId="107" xr:uid="{00000000-0005-0000-0000-00009B000000}"/>
    <cellStyle name="20% - 着色 3 6 4 2" xfId="108" xr:uid="{00000000-0005-0000-0000-00009C000000}"/>
    <cellStyle name="20% - 着色 3 6 5" xfId="109" xr:uid="{00000000-0005-0000-0000-00009D000000}"/>
    <cellStyle name="20% - 着色 3 6 6" xfId="110" xr:uid="{00000000-0005-0000-0000-00009E000000}"/>
    <cellStyle name="20% - 着色 3 7" xfId="111" xr:uid="{00000000-0005-0000-0000-00009F000000}"/>
    <cellStyle name="20% - 着色 3 7 2" xfId="112" xr:uid="{00000000-0005-0000-0000-0000A0000000}"/>
    <cellStyle name="20% - 着色 3 8" xfId="113" xr:uid="{00000000-0005-0000-0000-0000A1000000}"/>
    <cellStyle name="20% - 着色 3 8 2" xfId="114" xr:uid="{00000000-0005-0000-0000-0000A2000000}"/>
    <cellStyle name="20% - 着色 3 9" xfId="115" xr:uid="{00000000-0005-0000-0000-0000A3000000}"/>
    <cellStyle name="20% - 着色 3 9 2" xfId="116" xr:uid="{00000000-0005-0000-0000-0000A4000000}"/>
    <cellStyle name="20% - 着色 4 10" xfId="117" xr:uid="{00000000-0005-0000-0000-0000A5000000}"/>
    <cellStyle name="20% - 着色 4 2" xfId="118" xr:uid="{00000000-0005-0000-0000-0000A6000000}"/>
    <cellStyle name="20% - 着色 4 2 2" xfId="119" xr:uid="{00000000-0005-0000-0000-0000A7000000}"/>
    <cellStyle name="20% - 着色 4 2 2 2" xfId="120" xr:uid="{00000000-0005-0000-0000-0000A8000000}"/>
    <cellStyle name="20% - 着色 4 2 2 2 2" xfId="121" xr:uid="{00000000-0005-0000-0000-0000A9000000}"/>
    <cellStyle name="20% - 着色 4 2 2 3" xfId="122" xr:uid="{00000000-0005-0000-0000-0000AA000000}"/>
    <cellStyle name="20% - 着色 4 2 2 3 2" xfId="123" xr:uid="{00000000-0005-0000-0000-0000AB000000}"/>
    <cellStyle name="20% - 着色 4 2 2 4" xfId="124" xr:uid="{00000000-0005-0000-0000-0000AC000000}"/>
    <cellStyle name="20% - 着色 4 2 2 4 2" xfId="125" xr:uid="{00000000-0005-0000-0000-0000AD000000}"/>
    <cellStyle name="20% - 着色 4 2 2 5" xfId="126" xr:uid="{00000000-0005-0000-0000-0000AE000000}"/>
    <cellStyle name="20% - 着色 4 2 2 6" xfId="127" xr:uid="{00000000-0005-0000-0000-0000AF000000}"/>
    <cellStyle name="20% - 着色 4 2 3" xfId="128" xr:uid="{00000000-0005-0000-0000-0000B0000000}"/>
    <cellStyle name="20% - 着色 4 2 3 2" xfId="129" xr:uid="{00000000-0005-0000-0000-0000B1000000}"/>
    <cellStyle name="20% - 着色 4 2 3 2 2" xfId="130" xr:uid="{00000000-0005-0000-0000-0000B2000000}"/>
    <cellStyle name="20% - 着色 4 2 3 3" xfId="131" xr:uid="{00000000-0005-0000-0000-0000B3000000}"/>
    <cellStyle name="20% - 着色 4 2 3 3 2" xfId="132" xr:uid="{00000000-0005-0000-0000-0000B4000000}"/>
    <cellStyle name="20% - 着色 4 2 3 4" xfId="133" xr:uid="{00000000-0005-0000-0000-0000B5000000}"/>
    <cellStyle name="20% - 着色 4 2 3 4 2" xfId="134" xr:uid="{00000000-0005-0000-0000-0000B6000000}"/>
    <cellStyle name="20% - 着色 4 2 3 5" xfId="135" xr:uid="{00000000-0005-0000-0000-0000B7000000}"/>
    <cellStyle name="20% - 着色 4 2 3 6" xfId="136" xr:uid="{00000000-0005-0000-0000-0000B8000000}"/>
    <cellStyle name="20% - 着色 4 2 4" xfId="137" xr:uid="{00000000-0005-0000-0000-0000B9000000}"/>
    <cellStyle name="20% - 着色 4 2 4 2" xfId="138" xr:uid="{00000000-0005-0000-0000-0000BA000000}"/>
    <cellStyle name="20% - 着色 4 2 5" xfId="139" xr:uid="{00000000-0005-0000-0000-0000BB000000}"/>
    <cellStyle name="20% - 着色 4 2 5 2" xfId="140" xr:uid="{00000000-0005-0000-0000-0000BC000000}"/>
    <cellStyle name="20% - 着色 4 2 6" xfId="141" xr:uid="{00000000-0005-0000-0000-0000BD000000}"/>
    <cellStyle name="20% - 着色 4 2 6 2" xfId="142" xr:uid="{00000000-0005-0000-0000-0000BE000000}"/>
    <cellStyle name="20% - 着色 4 2 7" xfId="143" xr:uid="{00000000-0005-0000-0000-0000BF000000}"/>
    <cellStyle name="20% - 着色 4 2 8" xfId="144" xr:uid="{00000000-0005-0000-0000-0000C0000000}"/>
    <cellStyle name="20% - 着色 4 3" xfId="145" xr:uid="{00000000-0005-0000-0000-0000C1000000}"/>
    <cellStyle name="20% - 着色 4 3 2" xfId="146" xr:uid="{00000000-0005-0000-0000-0000C2000000}"/>
    <cellStyle name="20% - 着色 4 3 2 2" xfId="147" xr:uid="{00000000-0005-0000-0000-0000C3000000}"/>
    <cellStyle name="20% - 着色 4 3 3" xfId="148" xr:uid="{00000000-0005-0000-0000-0000C4000000}"/>
    <cellStyle name="20% - 着色 4 3 3 2" xfId="149" xr:uid="{00000000-0005-0000-0000-0000C5000000}"/>
    <cellStyle name="20% - 着色 4 3 4" xfId="150" xr:uid="{00000000-0005-0000-0000-0000C6000000}"/>
    <cellStyle name="20% - 着色 4 3 4 2" xfId="151" xr:uid="{00000000-0005-0000-0000-0000C7000000}"/>
    <cellStyle name="20% - 着色 4 3 5" xfId="152" xr:uid="{00000000-0005-0000-0000-0000C8000000}"/>
    <cellStyle name="20% - 着色 4 3 6" xfId="153" xr:uid="{00000000-0005-0000-0000-0000C9000000}"/>
    <cellStyle name="20% - 着色 4 4" xfId="154" xr:uid="{00000000-0005-0000-0000-0000CA000000}"/>
    <cellStyle name="20% - 着色 4 4 2" xfId="155" xr:uid="{00000000-0005-0000-0000-0000CB000000}"/>
    <cellStyle name="20% - 着色 4 4 2 2" xfId="156" xr:uid="{00000000-0005-0000-0000-0000CC000000}"/>
    <cellStyle name="20% - 着色 4 4 3" xfId="157" xr:uid="{00000000-0005-0000-0000-0000CD000000}"/>
    <cellStyle name="20% - 着色 4 4 3 2" xfId="158" xr:uid="{00000000-0005-0000-0000-0000CE000000}"/>
    <cellStyle name="20% - 着色 4 4 4" xfId="159" xr:uid="{00000000-0005-0000-0000-0000CF000000}"/>
    <cellStyle name="20% - 着色 4 4 4 2" xfId="160" xr:uid="{00000000-0005-0000-0000-0000D0000000}"/>
    <cellStyle name="20% - 着色 4 4 5" xfId="161" xr:uid="{00000000-0005-0000-0000-0000D1000000}"/>
    <cellStyle name="20% - 着色 4 4 6" xfId="162" xr:uid="{00000000-0005-0000-0000-0000D2000000}"/>
    <cellStyle name="20% - 着色 4 5" xfId="163" xr:uid="{00000000-0005-0000-0000-0000D3000000}"/>
    <cellStyle name="20% - 着色 4 5 2" xfId="164" xr:uid="{00000000-0005-0000-0000-0000D4000000}"/>
    <cellStyle name="20% - 着色 4 5 2 2" xfId="165" xr:uid="{00000000-0005-0000-0000-0000D5000000}"/>
    <cellStyle name="20% - 着色 4 5 3" xfId="166" xr:uid="{00000000-0005-0000-0000-0000D6000000}"/>
    <cellStyle name="20% - 着色 4 5 3 2" xfId="167" xr:uid="{00000000-0005-0000-0000-0000D7000000}"/>
    <cellStyle name="20% - 着色 4 5 4" xfId="168" xr:uid="{00000000-0005-0000-0000-0000D8000000}"/>
    <cellStyle name="20% - 着色 4 5 4 2" xfId="169" xr:uid="{00000000-0005-0000-0000-0000D9000000}"/>
    <cellStyle name="20% - 着色 4 5 5" xfId="170" xr:uid="{00000000-0005-0000-0000-0000DA000000}"/>
    <cellStyle name="20% - 着色 4 5 6" xfId="171" xr:uid="{00000000-0005-0000-0000-0000DB000000}"/>
    <cellStyle name="20% - 着色 4 6" xfId="172" xr:uid="{00000000-0005-0000-0000-0000DC000000}"/>
    <cellStyle name="20% - 着色 4 6 2" xfId="173" xr:uid="{00000000-0005-0000-0000-0000DD000000}"/>
    <cellStyle name="20% - 着色 4 7" xfId="174" xr:uid="{00000000-0005-0000-0000-0000DE000000}"/>
    <cellStyle name="20% - 着色 4 7 2" xfId="175" xr:uid="{00000000-0005-0000-0000-0000DF000000}"/>
    <cellStyle name="20% - 着色 4 8" xfId="176" xr:uid="{00000000-0005-0000-0000-0000E0000000}"/>
    <cellStyle name="20% - 着色 4 8 2" xfId="177" xr:uid="{00000000-0005-0000-0000-0000E1000000}"/>
    <cellStyle name="20% - 着色 4 9" xfId="178" xr:uid="{00000000-0005-0000-0000-0000E2000000}"/>
    <cellStyle name="20% - 着色 6 10" xfId="179" xr:uid="{00000000-0005-0000-0000-0000E3000000}"/>
    <cellStyle name="20% - 着色 6 2" xfId="180" xr:uid="{00000000-0005-0000-0000-0000E4000000}"/>
    <cellStyle name="20% - 着色 6 2 2" xfId="181" xr:uid="{00000000-0005-0000-0000-0000E5000000}"/>
    <cellStyle name="20% - 着色 6 2 2 2" xfId="182" xr:uid="{00000000-0005-0000-0000-0000E6000000}"/>
    <cellStyle name="20% - 着色 6 2 2 2 2" xfId="183" xr:uid="{00000000-0005-0000-0000-0000E7000000}"/>
    <cellStyle name="20% - 着色 6 2 2 3" xfId="184" xr:uid="{00000000-0005-0000-0000-0000E8000000}"/>
    <cellStyle name="20% - 着色 6 2 2 3 2" xfId="185" xr:uid="{00000000-0005-0000-0000-0000E9000000}"/>
    <cellStyle name="20% - 着色 6 2 2 4" xfId="186" xr:uid="{00000000-0005-0000-0000-0000EA000000}"/>
    <cellStyle name="20% - 着色 6 2 2 4 2" xfId="187" xr:uid="{00000000-0005-0000-0000-0000EB000000}"/>
    <cellStyle name="20% - 着色 6 2 2 5" xfId="188" xr:uid="{00000000-0005-0000-0000-0000EC000000}"/>
    <cellStyle name="20% - 着色 6 2 2 6" xfId="189" xr:uid="{00000000-0005-0000-0000-0000ED000000}"/>
    <cellStyle name="20% - 着色 6 2 3" xfId="190" xr:uid="{00000000-0005-0000-0000-0000EE000000}"/>
    <cellStyle name="20% - 着色 6 2 3 2" xfId="191" xr:uid="{00000000-0005-0000-0000-0000EF000000}"/>
    <cellStyle name="20% - 着色 6 2 3 2 2" xfId="192" xr:uid="{00000000-0005-0000-0000-0000F0000000}"/>
    <cellStyle name="20% - 着色 6 2 3 3" xfId="193" xr:uid="{00000000-0005-0000-0000-0000F1000000}"/>
    <cellStyle name="20% - 着色 6 2 3 3 2" xfId="194" xr:uid="{00000000-0005-0000-0000-0000F2000000}"/>
    <cellStyle name="20% - 着色 6 2 3 4" xfId="195" xr:uid="{00000000-0005-0000-0000-0000F3000000}"/>
    <cellStyle name="20% - 着色 6 2 3 4 2" xfId="196" xr:uid="{00000000-0005-0000-0000-0000F4000000}"/>
    <cellStyle name="20% - 着色 6 2 3 5" xfId="197" xr:uid="{00000000-0005-0000-0000-0000F5000000}"/>
    <cellStyle name="20% - 着色 6 2 3 6" xfId="198" xr:uid="{00000000-0005-0000-0000-0000F6000000}"/>
    <cellStyle name="20% - 着色 6 2 4" xfId="199" xr:uid="{00000000-0005-0000-0000-0000F7000000}"/>
    <cellStyle name="20% - 着色 6 2 4 2" xfId="200" xr:uid="{00000000-0005-0000-0000-0000F8000000}"/>
    <cellStyle name="20% - 着色 6 2 5" xfId="201" xr:uid="{00000000-0005-0000-0000-0000F9000000}"/>
    <cellStyle name="20% - 着色 6 2 5 2" xfId="202" xr:uid="{00000000-0005-0000-0000-0000FA000000}"/>
    <cellStyle name="20% - 着色 6 2 6" xfId="203" xr:uid="{00000000-0005-0000-0000-0000FB000000}"/>
    <cellStyle name="20% - 着色 6 2 6 2" xfId="204" xr:uid="{00000000-0005-0000-0000-0000FC000000}"/>
    <cellStyle name="20% - 着色 6 2 7" xfId="205" xr:uid="{00000000-0005-0000-0000-0000FD000000}"/>
    <cellStyle name="20% - 着色 6 2 8" xfId="206" xr:uid="{00000000-0005-0000-0000-0000FE000000}"/>
    <cellStyle name="20% - 着色 6 3" xfId="207" xr:uid="{00000000-0005-0000-0000-0000FF000000}"/>
    <cellStyle name="20% - 着色 6 3 2" xfId="208" xr:uid="{00000000-0005-0000-0000-000000010000}"/>
    <cellStyle name="20% - 着色 6 3 2 2" xfId="209" xr:uid="{00000000-0005-0000-0000-000001010000}"/>
    <cellStyle name="20% - 着色 6 3 3" xfId="210" xr:uid="{00000000-0005-0000-0000-000002010000}"/>
    <cellStyle name="20% - 着色 6 3 3 2" xfId="211" xr:uid="{00000000-0005-0000-0000-000003010000}"/>
    <cellStyle name="20% - 着色 6 3 4" xfId="212" xr:uid="{00000000-0005-0000-0000-000004010000}"/>
    <cellStyle name="20% - 着色 6 3 4 2" xfId="213" xr:uid="{00000000-0005-0000-0000-000005010000}"/>
    <cellStyle name="20% - 着色 6 3 5" xfId="214" xr:uid="{00000000-0005-0000-0000-000006010000}"/>
    <cellStyle name="20% - 着色 6 3 6" xfId="215" xr:uid="{00000000-0005-0000-0000-000007010000}"/>
    <cellStyle name="20% - 着色 6 4" xfId="216" xr:uid="{00000000-0005-0000-0000-000008010000}"/>
    <cellStyle name="20% - 着色 6 4 2" xfId="217" xr:uid="{00000000-0005-0000-0000-000009010000}"/>
    <cellStyle name="20% - 着色 6 4 2 2" xfId="218" xr:uid="{00000000-0005-0000-0000-00000A010000}"/>
    <cellStyle name="20% - 着色 6 4 3" xfId="219" xr:uid="{00000000-0005-0000-0000-00000B010000}"/>
    <cellStyle name="20% - 着色 6 4 3 2" xfId="220" xr:uid="{00000000-0005-0000-0000-00000C010000}"/>
    <cellStyle name="20% - 着色 6 4 4" xfId="221" xr:uid="{00000000-0005-0000-0000-00000D010000}"/>
    <cellStyle name="20% - 着色 6 4 4 2" xfId="222" xr:uid="{00000000-0005-0000-0000-00000E010000}"/>
    <cellStyle name="20% - 着色 6 4 5" xfId="223" xr:uid="{00000000-0005-0000-0000-00000F010000}"/>
    <cellStyle name="20% - 着色 6 4 6" xfId="224" xr:uid="{00000000-0005-0000-0000-000010010000}"/>
    <cellStyle name="20% - 着色 6 5" xfId="225" xr:uid="{00000000-0005-0000-0000-000011010000}"/>
    <cellStyle name="20% - 着色 6 5 2" xfId="226" xr:uid="{00000000-0005-0000-0000-000012010000}"/>
    <cellStyle name="20% - 着色 6 5 2 2" xfId="227" xr:uid="{00000000-0005-0000-0000-000013010000}"/>
    <cellStyle name="20% - 着色 6 5 3" xfId="228" xr:uid="{00000000-0005-0000-0000-000014010000}"/>
    <cellStyle name="20% - 着色 6 5 3 2" xfId="229" xr:uid="{00000000-0005-0000-0000-000015010000}"/>
    <cellStyle name="20% - 着色 6 5 4" xfId="230" xr:uid="{00000000-0005-0000-0000-000016010000}"/>
    <cellStyle name="20% - 着色 6 5 4 2" xfId="231" xr:uid="{00000000-0005-0000-0000-000017010000}"/>
    <cellStyle name="20% - 着色 6 5 5" xfId="232" xr:uid="{00000000-0005-0000-0000-000018010000}"/>
    <cellStyle name="20% - 着色 6 5 6" xfId="233" xr:uid="{00000000-0005-0000-0000-000019010000}"/>
    <cellStyle name="20% - 着色 6 6" xfId="234" xr:uid="{00000000-0005-0000-0000-00001A010000}"/>
    <cellStyle name="20% - 着色 6 6 2" xfId="235" xr:uid="{00000000-0005-0000-0000-00001B010000}"/>
    <cellStyle name="20% - 着色 6 7" xfId="236" xr:uid="{00000000-0005-0000-0000-00001C010000}"/>
    <cellStyle name="20% - 着色 6 7 2" xfId="237" xr:uid="{00000000-0005-0000-0000-00001D010000}"/>
    <cellStyle name="20% - 着色 6 8" xfId="238" xr:uid="{00000000-0005-0000-0000-00001E010000}"/>
    <cellStyle name="20% - 着色 6 8 2" xfId="239" xr:uid="{00000000-0005-0000-0000-00001F010000}"/>
    <cellStyle name="20% - 着色 6 9" xfId="240" xr:uid="{00000000-0005-0000-0000-000020010000}"/>
    <cellStyle name="40% - 着色 6 10" xfId="241" xr:uid="{00000000-0005-0000-0000-000021010000}"/>
    <cellStyle name="40% - 着色 6 11" xfId="242" xr:uid="{00000000-0005-0000-0000-000022010000}"/>
    <cellStyle name="40% - 着色 6 2" xfId="243" xr:uid="{00000000-0005-0000-0000-000023010000}"/>
    <cellStyle name="40% - 着色 6 2 2" xfId="244" xr:uid="{00000000-0005-0000-0000-000024010000}"/>
    <cellStyle name="40% - 着色 6 2 2 2" xfId="245" xr:uid="{00000000-0005-0000-0000-000025010000}"/>
    <cellStyle name="40% - 着色 6 2 2 2 2" xfId="246" xr:uid="{00000000-0005-0000-0000-000026010000}"/>
    <cellStyle name="40% - 着色 6 2 2 2 2 2" xfId="247" xr:uid="{00000000-0005-0000-0000-000027010000}"/>
    <cellStyle name="40% - 着色 6 2 2 2 3" xfId="248" xr:uid="{00000000-0005-0000-0000-000028010000}"/>
    <cellStyle name="40% - 着色 6 2 2 2 3 2" xfId="249" xr:uid="{00000000-0005-0000-0000-000029010000}"/>
    <cellStyle name="40% - 着色 6 2 2 2 4" xfId="250" xr:uid="{00000000-0005-0000-0000-00002A010000}"/>
    <cellStyle name="40% - 着色 6 2 2 2 5" xfId="251" xr:uid="{00000000-0005-0000-0000-00002B010000}"/>
    <cellStyle name="40% - 着色 6 2 2 3" xfId="252" xr:uid="{00000000-0005-0000-0000-00002C010000}"/>
    <cellStyle name="40% - 着色 6 2 2 3 2" xfId="253" xr:uid="{00000000-0005-0000-0000-00002D010000}"/>
    <cellStyle name="40% - 着色 6 2 2 4" xfId="254" xr:uid="{00000000-0005-0000-0000-00002E010000}"/>
    <cellStyle name="40% - 着色 6 2 2 4 2" xfId="255" xr:uid="{00000000-0005-0000-0000-00002F010000}"/>
    <cellStyle name="40% - 着色 6 2 2 5" xfId="256" xr:uid="{00000000-0005-0000-0000-000030010000}"/>
    <cellStyle name="40% - 着色 6 2 2 5 2" xfId="257" xr:uid="{00000000-0005-0000-0000-000031010000}"/>
    <cellStyle name="40% - 着色 6 2 2 6" xfId="258" xr:uid="{00000000-0005-0000-0000-000032010000}"/>
    <cellStyle name="40% - 着色 6 2 2 7" xfId="259" xr:uid="{00000000-0005-0000-0000-000033010000}"/>
    <cellStyle name="40% - 着色 6 2 3" xfId="260" xr:uid="{00000000-0005-0000-0000-000034010000}"/>
    <cellStyle name="40% - 着色 6 2 3 2" xfId="261" xr:uid="{00000000-0005-0000-0000-000035010000}"/>
    <cellStyle name="40% - 着色 6 2 3 2 2" xfId="262" xr:uid="{00000000-0005-0000-0000-000036010000}"/>
    <cellStyle name="40% - 着色 6 2 3 2 2 2" xfId="263" xr:uid="{00000000-0005-0000-0000-000037010000}"/>
    <cellStyle name="40% - 着色 6 2 3 2 3" xfId="264" xr:uid="{00000000-0005-0000-0000-000038010000}"/>
    <cellStyle name="40% - 着色 6 2 3 2 3 2" xfId="265" xr:uid="{00000000-0005-0000-0000-000039010000}"/>
    <cellStyle name="40% - 着色 6 2 3 2 4" xfId="266" xr:uid="{00000000-0005-0000-0000-00003A010000}"/>
    <cellStyle name="40% - 着色 6 2 3 2 5" xfId="267" xr:uid="{00000000-0005-0000-0000-00003B010000}"/>
    <cellStyle name="40% - 着色 6 2 3 3" xfId="268" xr:uid="{00000000-0005-0000-0000-00003C010000}"/>
    <cellStyle name="40% - 着色 6 2 3 3 2" xfId="269" xr:uid="{00000000-0005-0000-0000-00003D010000}"/>
    <cellStyle name="40% - 着色 6 2 3 4" xfId="270" xr:uid="{00000000-0005-0000-0000-00003E010000}"/>
    <cellStyle name="40% - 着色 6 2 3 4 2" xfId="271" xr:uid="{00000000-0005-0000-0000-00003F010000}"/>
    <cellStyle name="40% - 着色 6 2 3 5" xfId="272" xr:uid="{00000000-0005-0000-0000-000040010000}"/>
    <cellStyle name="40% - 着色 6 2 3 5 2" xfId="273" xr:uid="{00000000-0005-0000-0000-000041010000}"/>
    <cellStyle name="40% - 着色 6 2 3 6" xfId="274" xr:uid="{00000000-0005-0000-0000-000042010000}"/>
    <cellStyle name="40% - 着色 6 2 3 7" xfId="275" xr:uid="{00000000-0005-0000-0000-000043010000}"/>
    <cellStyle name="40% - 着色 6 2 4" xfId="276" xr:uid="{00000000-0005-0000-0000-000044010000}"/>
    <cellStyle name="40% - 着色 6 2 4 2" xfId="277" xr:uid="{00000000-0005-0000-0000-000045010000}"/>
    <cellStyle name="40% - 着色 6 2 4 2 2" xfId="278" xr:uid="{00000000-0005-0000-0000-000046010000}"/>
    <cellStyle name="40% - 着色 6 2 4 3" xfId="279" xr:uid="{00000000-0005-0000-0000-000047010000}"/>
    <cellStyle name="40% - 着色 6 2 4 3 2" xfId="280" xr:uid="{00000000-0005-0000-0000-000048010000}"/>
    <cellStyle name="40% - 着色 6 2 4 4" xfId="281" xr:uid="{00000000-0005-0000-0000-000049010000}"/>
    <cellStyle name="40% - 着色 6 2 4 5" xfId="282" xr:uid="{00000000-0005-0000-0000-00004A010000}"/>
    <cellStyle name="40% - 着色 6 2 5" xfId="283" xr:uid="{00000000-0005-0000-0000-00004B010000}"/>
    <cellStyle name="40% - 着色 6 2 5 2" xfId="284" xr:uid="{00000000-0005-0000-0000-00004C010000}"/>
    <cellStyle name="40% - 着色 6 2 6" xfId="285" xr:uid="{00000000-0005-0000-0000-00004D010000}"/>
    <cellStyle name="40% - 着色 6 2 6 2" xfId="286" xr:uid="{00000000-0005-0000-0000-00004E010000}"/>
    <cellStyle name="40% - 着色 6 2 7" xfId="287" xr:uid="{00000000-0005-0000-0000-00004F010000}"/>
    <cellStyle name="40% - 着色 6 2 7 2" xfId="288" xr:uid="{00000000-0005-0000-0000-000050010000}"/>
    <cellStyle name="40% - 着色 6 2 8" xfId="289" xr:uid="{00000000-0005-0000-0000-000051010000}"/>
    <cellStyle name="40% - 着色 6 2 9" xfId="290" xr:uid="{00000000-0005-0000-0000-000052010000}"/>
    <cellStyle name="40% - 着色 6 3" xfId="291" xr:uid="{00000000-0005-0000-0000-000053010000}"/>
    <cellStyle name="40% - 着色 6 3 2" xfId="292" xr:uid="{00000000-0005-0000-0000-000054010000}"/>
    <cellStyle name="40% - 着色 6 3 2 2" xfId="293" xr:uid="{00000000-0005-0000-0000-000055010000}"/>
    <cellStyle name="40% - 着色 6 3 2 2 2" xfId="294" xr:uid="{00000000-0005-0000-0000-000056010000}"/>
    <cellStyle name="40% - 着色 6 3 2 3" xfId="295" xr:uid="{00000000-0005-0000-0000-000057010000}"/>
    <cellStyle name="40% - 着色 6 3 2 3 2" xfId="296" xr:uid="{00000000-0005-0000-0000-000058010000}"/>
    <cellStyle name="40% - 着色 6 3 2 4" xfId="297" xr:uid="{00000000-0005-0000-0000-000059010000}"/>
    <cellStyle name="40% - 着色 6 3 2 5" xfId="298" xr:uid="{00000000-0005-0000-0000-00005A010000}"/>
    <cellStyle name="40% - 着色 6 3 3" xfId="299" xr:uid="{00000000-0005-0000-0000-00005B010000}"/>
    <cellStyle name="40% - 着色 6 3 3 2" xfId="300" xr:uid="{00000000-0005-0000-0000-00005C010000}"/>
    <cellStyle name="40% - 着色 6 3 4" xfId="301" xr:uid="{00000000-0005-0000-0000-00005D010000}"/>
    <cellStyle name="40% - 着色 6 3 4 2" xfId="302" xr:uid="{00000000-0005-0000-0000-00005E010000}"/>
    <cellStyle name="40% - 着色 6 3 5" xfId="303" xr:uid="{00000000-0005-0000-0000-00005F010000}"/>
    <cellStyle name="40% - 着色 6 3 5 2" xfId="304" xr:uid="{00000000-0005-0000-0000-000060010000}"/>
    <cellStyle name="40% - 着色 6 3 6" xfId="305" xr:uid="{00000000-0005-0000-0000-000061010000}"/>
    <cellStyle name="40% - 着色 6 3 7" xfId="306" xr:uid="{00000000-0005-0000-0000-000062010000}"/>
    <cellStyle name="40% - 着色 6 4" xfId="307" xr:uid="{00000000-0005-0000-0000-000063010000}"/>
    <cellStyle name="40% - 着色 6 4 2" xfId="308" xr:uid="{00000000-0005-0000-0000-000064010000}"/>
    <cellStyle name="40% - 着色 6 4 2 2" xfId="309" xr:uid="{00000000-0005-0000-0000-000065010000}"/>
    <cellStyle name="40% - 着色 6 4 2 2 2" xfId="310" xr:uid="{00000000-0005-0000-0000-000066010000}"/>
    <cellStyle name="40% - 着色 6 4 2 3" xfId="311" xr:uid="{00000000-0005-0000-0000-000067010000}"/>
    <cellStyle name="40% - 着色 6 4 2 3 2" xfId="312" xr:uid="{00000000-0005-0000-0000-000068010000}"/>
    <cellStyle name="40% - 着色 6 4 2 4" xfId="313" xr:uid="{00000000-0005-0000-0000-000069010000}"/>
    <cellStyle name="40% - 着色 6 4 2 5" xfId="314" xr:uid="{00000000-0005-0000-0000-00006A010000}"/>
    <cellStyle name="40% - 着色 6 4 3" xfId="315" xr:uid="{00000000-0005-0000-0000-00006B010000}"/>
    <cellStyle name="40% - 着色 6 4 3 2" xfId="316" xr:uid="{00000000-0005-0000-0000-00006C010000}"/>
    <cellStyle name="40% - 着色 6 4 4" xfId="317" xr:uid="{00000000-0005-0000-0000-00006D010000}"/>
    <cellStyle name="40% - 着色 6 4 4 2" xfId="318" xr:uid="{00000000-0005-0000-0000-00006E010000}"/>
    <cellStyle name="40% - 着色 6 4 5" xfId="319" xr:uid="{00000000-0005-0000-0000-00006F010000}"/>
    <cellStyle name="40% - 着色 6 4 5 2" xfId="320" xr:uid="{00000000-0005-0000-0000-000070010000}"/>
    <cellStyle name="40% - 着色 6 4 6" xfId="321" xr:uid="{00000000-0005-0000-0000-000071010000}"/>
    <cellStyle name="40% - 着色 6 4 7" xfId="322" xr:uid="{00000000-0005-0000-0000-000072010000}"/>
    <cellStyle name="40% - 着色 6 5" xfId="323" xr:uid="{00000000-0005-0000-0000-000073010000}"/>
    <cellStyle name="40% - 着色 6 5 2" xfId="324" xr:uid="{00000000-0005-0000-0000-000074010000}"/>
    <cellStyle name="40% - 着色 6 5 2 2" xfId="325" xr:uid="{00000000-0005-0000-0000-000075010000}"/>
    <cellStyle name="40% - 着色 6 5 2 2 2" xfId="326" xr:uid="{00000000-0005-0000-0000-000076010000}"/>
    <cellStyle name="40% - 着色 6 5 2 3" xfId="327" xr:uid="{00000000-0005-0000-0000-000077010000}"/>
    <cellStyle name="40% - 着色 6 5 2 3 2" xfId="328" xr:uid="{00000000-0005-0000-0000-000078010000}"/>
    <cellStyle name="40% - 着色 6 5 2 4" xfId="329" xr:uid="{00000000-0005-0000-0000-000079010000}"/>
    <cellStyle name="40% - 着色 6 5 2 5" xfId="330" xr:uid="{00000000-0005-0000-0000-00007A010000}"/>
    <cellStyle name="40% - 着色 6 5 3" xfId="331" xr:uid="{00000000-0005-0000-0000-00007B010000}"/>
    <cellStyle name="40% - 着色 6 5 3 2" xfId="332" xr:uid="{00000000-0005-0000-0000-00007C010000}"/>
    <cellStyle name="40% - 着色 6 5 4" xfId="333" xr:uid="{00000000-0005-0000-0000-00007D010000}"/>
    <cellStyle name="40% - 着色 6 5 4 2" xfId="334" xr:uid="{00000000-0005-0000-0000-00007E010000}"/>
    <cellStyle name="40% - 着色 6 5 5" xfId="335" xr:uid="{00000000-0005-0000-0000-00007F010000}"/>
    <cellStyle name="40% - 着色 6 5 5 2" xfId="336" xr:uid="{00000000-0005-0000-0000-000080010000}"/>
    <cellStyle name="40% - 着色 6 5 6" xfId="337" xr:uid="{00000000-0005-0000-0000-000081010000}"/>
    <cellStyle name="40% - 着色 6 5 7" xfId="338" xr:uid="{00000000-0005-0000-0000-000082010000}"/>
    <cellStyle name="40% - 着色 6 6" xfId="339" xr:uid="{00000000-0005-0000-0000-000083010000}"/>
    <cellStyle name="40% - 着色 6 6 2" xfId="340" xr:uid="{00000000-0005-0000-0000-000084010000}"/>
    <cellStyle name="40% - 着色 6 6 2 2" xfId="341" xr:uid="{00000000-0005-0000-0000-000085010000}"/>
    <cellStyle name="40% - 着色 6 6 3" xfId="342" xr:uid="{00000000-0005-0000-0000-000086010000}"/>
    <cellStyle name="40% - 着色 6 6 3 2" xfId="343" xr:uid="{00000000-0005-0000-0000-000087010000}"/>
    <cellStyle name="40% - 着色 6 6 4" xfId="344" xr:uid="{00000000-0005-0000-0000-000088010000}"/>
    <cellStyle name="40% - 着色 6 6 5" xfId="345" xr:uid="{00000000-0005-0000-0000-000089010000}"/>
    <cellStyle name="40% - 着色 6 7" xfId="346" xr:uid="{00000000-0005-0000-0000-00008A010000}"/>
    <cellStyle name="40% - 着色 6 7 2" xfId="347" xr:uid="{00000000-0005-0000-0000-00008B010000}"/>
    <cellStyle name="40% - 着色 6 8" xfId="348" xr:uid="{00000000-0005-0000-0000-00008C010000}"/>
    <cellStyle name="40% - 着色 6 8 2" xfId="349" xr:uid="{00000000-0005-0000-0000-00008D010000}"/>
    <cellStyle name="40% - 着色 6 9" xfId="350" xr:uid="{00000000-0005-0000-0000-00008E010000}"/>
    <cellStyle name="40% - 着色 6 9 2" xfId="351" xr:uid="{00000000-0005-0000-0000-00008F010000}"/>
    <cellStyle name="差 2" xfId="352" xr:uid="{00000000-0005-0000-0000-000090010000}"/>
    <cellStyle name="差 2 2" xfId="353" xr:uid="{00000000-0005-0000-0000-000091010000}"/>
    <cellStyle name="差 2 2 2" xfId="354" xr:uid="{00000000-0005-0000-0000-000092010000}"/>
    <cellStyle name="差 2 2 3" xfId="355" xr:uid="{00000000-0005-0000-0000-000093010000}"/>
    <cellStyle name="差 2 2 4" xfId="356" xr:uid="{00000000-0005-0000-0000-000094010000}"/>
    <cellStyle name="差 2 2 5" xfId="357" xr:uid="{00000000-0005-0000-0000-000095010000}"/>
    <cellStyle name="差 2 3" xfId="358" xr:uid="{00000000-0005-0000-0000-000096010000}"/>
    <cellStyle name="差 2 3 2" xfId="359" xr:uid="{00000000-0005-0000-0000-000097010000}"/>
    <cellStyle name="差 2 3 3" xfId="360" xr:uid="{00000000-0005-0000-0000-000098010000}"/>
    <cellStyle name="差 2 3 4" xfId="361" xr:uid="{00000000-0005-0000-0000-000099010000}"/>
    <cellStyle name="差 2 3 5" xfId="362" xr:uid="{00000000-0005-0000-0000-00009A010000}"/>
    <cellStyle name="差 2 4" xfId="363" xr:uid="{00000000-0005-0000-0000-00009B010000}"/>
    <cellStyle name="差 2 5" xfId="364" xr:uid="{00000000-0005-0000-0000-00009C010000}"/>
    <cellStyle name="差 2 6" xfId="365" xr:uid="{00000000-0005-0000-0000-00009D010000}"/>
    <cellStyle name="差 2 7" xfId="366" xr:uid="{00000000-0005-0000-0000-00009E010000}"/>
    <cellStyle name="差 3" xfId="367" xr:uid="{00000000-0005-0000-0000-00009F010000}"/>
    <cellStyle name="差 3 2" xfId="368" xr:uid="{00000000-0005-0000-0000-0000A0010000}"/>
    <cellStyle name="差 3 3" xfId="369" xr:uid="{00000000-0005-0000-0000-0000A1010000}"/>
    <cellStyle name="差 3 4" xfId="370" xr:uid="{00000000-0005-0000-0000-0000A2010000}"/>
    <cellStyle name="差 3 5" xfId="371" xr:uid="{00000000-0005-0000-0000-0000A3010000}"/>
    <cellStyle name="差 4" xfId="372" xr:uid="{00000000-0005-0000-0000-0000A4010000}"/>
    <cellStyle name="差 4 2" xfId="373" xr:uid="{00000000-0005-0000-0000-0000A5010000}"/>
    <cellStyle name="差 4 3" xfId="374" xr:uid="{00000000-0005-0000-0000-0000A6010000}"/>
    <cellStyle name="差 4 4" xfId="375" xr:uid="{00000000-0005-0000-0000-0000A7010000}"/>
    <cellStyle name="差 4 5" xfId="376" xr:uid="{00000000-0005-0000-0000-0000A8010000}"/>
    <cellStyle name="差 5" xfId="377" xr:uid="{00000000-0005-0000-0000-0000A9010000}"/>
    <cellStyle name="差 6" xfId="378" xr:uid="{00000000-0005-0000-0000-0000AA010000}"/>
    <cellStyle name="差 7" xfId="379" xr:uid="{00000000-0005-0000-0000-0000AB010000}"/>
    <cellStyle name="差 8" xfId="380" xr:uid="{00000000-0005-0000-0000-0000AC010000}"/>
    <cellStyle name="常规" xfId="0" builtinId="0"/>
    <cellStyle name="常规 10" xfId="381" xr:uid="{00000000-0005-0000-0000-0000AD010000}"/>
    <cellStyle name="常规 10 2" xfId="382" xr:uid="{00000000-0005-0000-0000-0000AE010000}"/>
    <cellStyle name="常规 10 2 2" xfId="383" xr:uid="{00000000-0005-0000-0000-0000AF010000}"/>
    <cellStyle name="常规 10 2 2 2" xfId="821" xr:uid="{369CCD81-A29E-414F-B8AE-5F5F8FEFD168}"/>
    <cellStyle name="常规 10 3" xfId="384" xr:uid="{00000000-0005-0000-0000-0000B0010000}"/>
    <cellStyle name="常规 10 3 2" xfId="385" xr:uid="{00000000-0005-0000-0000-0000B1010000}"/>
    <cellStyle name="常规 10 4" xfId="386" xr:uid="{00000000-0005-0000-0000-0000B2010000}"/>
    <cellStyle name="常规 10 4 2" xfId="387" xr:uid="{00000000-0005-0000-0000-0000B3010000}"/>
    <cellStyle name="常规 10 5" xfId="388" xr:uid="{00000000-0005-0000-0000-0000B4010000}"/>
    <cellStyle name="常规 10 6" xfId="389" xr:uid="{00000000-0005-0000-0000-0000B5010000}"/>
    <cellStyle name="常规 11" xfId="390" xr:uid="{00000000-0005-0000-0000-0000B6010000}"/>
    <cellStyle name="常规 11 2" xfId="391" xr:uid="{00000000-0005-0000-0000-0000B7010000}"/>
    <cellStyle name="常规 12" xfId="392" xr:uid="{00000000-0005-0000-0000-0000B8010000}"/>
    <cellStyle name="常规 12 2" xfId="393" xr:uid="{00000000-0005-0000-0000-0000B9010000}"/>
    <cellStyle name="常规 13" xfId="394" xr:uid="{00000000-0005-0000-0000-0000BA010000}"/>
    <cellStyle name="常规 13 2" xfId="395" xr:uid="{00000000-0005-0000-0000-0000BB010000}"/>
    <cellStyle name="常规 14" xfId="396" xr:uid="{00000000-0005-0000-0000-0000BC010000}"/>
    <cellStyle name="常规 15" xfId="397" xr:uid="{00000000-0005-0000-0000-0000BD010000}"/>
    <cellStyle name="常规 2" xfId="398" xr:uid="{00000000-0005-0000-0000-0000BE010000}"/>
    <cellStyle name="常规 2 2" xfId="399" xr:uid="{00000000-0005-0000-0000-0000BF010000}"/>
    <cellStyle name="常规 2 2 2" xfId="400" xr:uid="{00000000-0005-0000-0000-0000C0010000}"/>
    <cellStyle name="常规 2 2 2 2" xfId="401" xr:uid="{00000000-0005-0000-0000-0000C1010000}"/>
    <cellStyle name="常规 2 2 2 3" xfId="402" xr:uid="{00000000-0005-0000-0000-0000C2010000}"/>
    <cellStyle name="常规 2 2 2 4" xfId="403" xr:uid="{00000000-0005-0000-0000-0000C3010000}"/>
    <cellStyle name="常规 2 2 2 5" xfId="404" xr:uid="{00000000-0005-0000-0000-0000C4010000}"/>
    <cellStyle name="常规 2 2 3" xfId="405" xr:uid="{00000000-0005-0000-0000-0000C5010000}"/>
    <cellStyle name="常规 2 2 3 2" xfId="406" xr:uid="{00000000-0005-0000-0000-0000C6010000}"/>
    <cellStyle name="常规 2 2 3 3" xfId="407" xr:uid="{00000000-0005-0000-0000-0000C7010000}"/>
    <cellStyle name="常规 2 2 3 4" xfId="408" xr:uid="{00000000-0005-0000-0000-0000C8010000}"/>
    <cellStyle name="常规 2 2 3 5" xfId="409" xr:uid="{00000000-0005-0000-0000-0000C9010000}"/>
    <cellStyle name="常规 2 2 4" xfId="410" xr:uid="{00000000-0005-0000-0000-0000CA010000}"/>
    <cellStyle name="常规 2 2 5" xfId="411" xr:uid="{00000000-0005-0000-0000-0000CB010000}"/>
    <cellStyle name="常规 2 2 6" xfId="412" xr:uid="{00000000-0005-0000-0000-0000CC010000}"/>
    <cellStyle name="常规 2 2 7" xfId="413" xr:uid="{00000000-0005-0000-0000-0000CD010000}"/>
    <cellStyle name="常规 2 3" xfId="414" xr:uid="{00000000-0005-0000-0000-0000CE010000}"/>
    <cellStyle name="常规 2 3 2" xfId="415" xr:uid="{00000000-0005-0000-0000-0000CF010000}"/>
    <cellStyle name="常规 2 3 3" xfId="416" xr:uid="{00000000-0005-0000-0000-0000D0010000}"/>
    <cellStyle name="常规 2 3 4" xfId="417" xr:uid="{00000000-0005-0000-0000-0000D1010000}"/>
    <cellStyle name="常规 2 3 5" xfId="418" xr:uid="{00000000-0005-0000-0000-0000D2010000}"/>
    <cellStyle name="常规 2 4" xfId="419" xr:uid="{00000000-0005-0000-0000-0000D3010000}"/>
    <cellStyle name="常规 2 4 2" xfId="420" xr:uid="{00000000-0005-0000-0000-0000D4010000}"/>
    <cellStyle name="常规 2 4 3" xfId="421" xr:uid="{00000000-0005-0000-0000-0000D5010000}"/>
    <cellStyle name="常规 2 4 4" xfId="422" xr:uid="{00000000-0005-0000-0000-0000D6010000}"/>
    <cellStyle name="常规 2 4 5" xfId="423" xr:uid="{00000000-0005-0000-0000-0000D7010000}"/>
    <cellStyle name="常规 2 5" xfId="424" xr:uid="{00000000-0005-0000-0000-0000D8010000}"/>
    <cellStyle name="常规 2 6" xfId="425" xr:uid="{00000000-0005-0000-0000-0000D9010000}"/>
    <cellStyle name="常规 2 7" xfId="426" xr:uid="{00000000-0005-0000-0000-0000DA010000}"/>
    <cellStyle name="常规 2 8" xfId="427" xr:uid="{00000000-0005-0000-0000-0000DB010000}"/>
    <cellStyle name="常规 3" xfId="428" xr:uid="{00000000-0005-0000-0000-0000DC010000}"/>
    <cellStyle name="常规 3 10" xfId="429" xr:uid="{00000000-0005-0000-0000-0000DD010000}"/>
    <cellStyle name="常规 3 10 2" xfId="822" xr:uid="{BD883916-46C7-4AC4-917D-6F98D8498009}"/>
    <cellStyle name="常规 3 11" xfId="430" xr:uid="{00000000-0005-0000-0000-0000DE010000}"/>
    <cellStyle name="常规 3 2" xfId="431" xr:uid="{00000000-0005-0000-0000-0000DF010000}"/>
    <cellStyle name="常规 3 2 2" xfId="432" xr:uid="{00000000-0005-0000-0000-0000E0010000}"/>
    <cellStyle name="常规 3 2 2 2" xfId="433" xr:uid="{00000000-0005-0000-0000-0000E1010000}"/>
    <cellStyle name="常规 3 2 2 2 2" xfId="434" xr:uid="{00000000-0005-0000-0000-0000E2010000}"/>
    <cellStyle name="常规 3 2 2 3" xfId="435" xr:uid="{00000000-0005-0000-0000-0000E3010000}"/>
    <cellStyle name="常规 3 2 2 3 2" xfId="436" xr:uid="{00000000-0005-0000-0000-0000E4010000}"/>
    <cellStyle name="常规 3 2 2 3 2 2" xfId="437" xr:uid="{00000000-0005-0000-0000-0000E5010000}"/>
    <cellStyle name="常规 3 2 2 3 3" xfId="438" xr:uid="{00000000-0005-0000-0000-0000E6010000}"/>
    <cellStyle name="常规 3 2 2 3 4" xfId="439" xr:uid="{00000000-0005-0000-0000-0000E7010000}"/>
    <cellStyle name="常规 3 2 2 4" xfId="440" xr:uid="{00000000-0005-0000-0000-0000E8010000}"/>
    <cellStyle name="常规 3 2 2 4 2" xfId="441" xr:uid="{00000000-0005-0000-0000-0000E9010000}"/>
    <cellStyle name="常规 3 2 2 5" xfId="442" xr:uid="{00000000-0005-0000-0000-0000EA010000}"/>
    <cellStyle name="常规 3 2 2 6" xfId="443" xr:uid="{00000000-0005-0000-0000-0000EB010000}"/>
    <cellStyle name="常规 3 2 3" xfId="444" xr:uid="{00000000-0005-0000-0000-0000EC010000}"/>
    <cellStyle name="常规 3 2 3 2" xfId="445" xr:uid="{00000000-0005-0000-0000-0000ED010000}"/>
    <cellStyle name="常规 3 2 3 2 2" xfId="446" xr:uid="{00000000-0005-0000-0000-0000EE010000}"/>
    <cellStyle name="常规 3 2 3 3" xfId="447" xr:uid="{00000000-0005-0000-0000-0000EF010000}"/>
    <cellStyle name="常规 3 2 3 3 2" xfId="448" xr:uid="{00000000-0005-0000-0000-0000F0010000}"/>
    <cellStyle name="常规 3 2 3 4" xfId="449" xr:uid="{00000000-0005-0000-0000-0000F1010000}"/>
    <cellStyle name="常规 3 2 3 4 2" xfId="450" xr:uid="{00000000-0005-0000-0000-0000F2010000}"/>
    <cellStyle name="常规 3 2 3 5" xfId="451" xr:uid="{00000000-0005-0000-0000-0000F3010000}"/>
    <cellStyle name="常规 3 2 3 6" xfId="452" xr:uid="{00000000-0005-0000-0000-0000F4010000}"/>
    <cellStyle name="常规 3 2 4" xfId="453" xr:uid="{00000000-0005-0000-0000-0000F5010000}"/>
    <cellStyle name="常规 3 2 4 2" xfId="454" xr:uid="{00000000-0005-0000-0000-0000F6010000}"/>
    <cellStyle name="常规 3 2 4 2 2" xfId="455" xr:uid="{00000000-0005-0000-0000-0000F7010000}"/>
    <cellStyle name="常规 3 2 4 3" xfId="456" xr:uid="{00000000-0005-0000-0000-0000F8010000}"/>
    <cellStyle name="常规 3 2 4 3 2" xfId="457" xr:uid="{00000000-0005-0000-0000-0000F9010000}"/>
    <cellStyle name="常规 3 2 4 4" xfId="458" xr:uid="{00000000-0005-0000-0000-0000FA010000}"/>
    <cellStyle name="常规 3 2 4 4 2" xfId="459" xr:uid="{00000000-0005-0000-0000-0000FB010000}"/>
    <cellStyle name="常规 3 2 4 5" xfId="460" xr:uid="{00000000-0005-0000-0000-0000FC010000}"/>
    <cellStyle name="常规 3 2 4 6" xfId="461" xr:uid="{00000000-0005-0000-0000-0000FD010000}"/>
    <cellStyle name="常规 3 2 5" xfId="462" xr:uid="{00000000-0005-0000-0000-0000FE010000}"/>
    <cellStyle name="常规 3 2 5 2" xfId="463" xr:uid="{00000000-0005-0000-0000-0000FF010000}"/>
    <cellStyle name="常规 3 2 6" xfId="464" xr:uid="{00000000-0005-0000-0000-000000020000}"/>
    <cellStyle name="常规 3 2 6 2" xfId="465" xr:uid="{00000000-0005-0000-0000-000001020000}"/>
    <cellStyle name="常规 3 2 7" xfId="466" xr:uid="{00000000-0005-0000-0000-000002020000}"/>
    <cellStyle name="常规 3 2 7 2" xfId="467" xr:uid="{00000000-0005-0000-0000-000003020000}"/>
    <cellStyle name="常规 3 2 8" xfId="468" xr:uid="{00000000-0005-0000-0000-000004020000}"/>
    <cellStyle name="常规 3 2 9" xfId="469" xr:uid="{00000000-0005-0000-0000-000005020000}"/>
    <cellStyle name="常规 3 3" xfId="470" xr:uid="{00000000-0005-0000-0000-000006020000}"/>
    <cellStyle name="常规 3 3 2" xfId="471" xr:uid="{00000000-0005-0000-0000-000007020000}"/>
    <cellStyle name="常规 3 3 2 2" xfId="472" xr:uid="{00000000-0005-0000-0000-000008020000}"/>
    <cellStyle name="常规 3 3 3" xfId="473" xr:uid="{00000000-0005-0000-0000-000009020000}"/>
    <cellStyle name="常规 3 3 3 2" xfId="474" xr:uid="{00000000-0005-0000-0000-00000A020000}"/>
    <cellStyle name="常规 3 3 4" xfId="475" xr:uid="{00000000-0005-0000-0000-00000B020000}"/>
    <cellStyle name="常规 3 3 4 2" xfId="476" xr:uid="{00000000-0005-0000-0000-00000C020000}"/>
    <cellStyle name="常规 3 3 5" xfId="477" xr:uid="{00000000-0005-0000-0000-00000D020000}"/>
    <cellStyle name="常规 3 3 6" xfId="478" xr:uid="{00000000-0005-0000-0000-00000E020000}"/>
    <cellStyle name="常规 3 4" xfId="479" xr:uid="{00000000-0005-0000-0000-00000F020000}"/>
    <cellStyle name="常规 3 4 2" xfId="480" xr:uid="{00000000-0005-0000-0000-000010020000}"/>
    <cellStyle name="常规 3 4 2 2" xfId="481" xr:uid="{00000000-0005-0000-0000-000011020000}"/>
    <cellStyle name="常规 3 4 3" xfId="482" xr:uid="{00000000-0005-0000-0000-000012020000}"/>
    <cellStyle name="常规 3 4 3 2" xfId="483" xr:uid="{00000000-0005-0000-0000-000013020000}"/>
    <cellStyle name="常规 3 4 4" xfId="484" xr:uid="{00000000-0005-0000-0000-000014020000}"/>
    <cellStyle name="常规 3 4 4 2" xfId="485" xr:uid="{00000000-0005-0000-0000-000015020000}"/>
    <cellStyle name="常规 3 4 5" xfId="486" xr:uid="{00000000-0005-0000-0000-000016020000}"/>
    <cellStyle name="常规 3 4 6" xfId="487" xr:uid="{00000000-0005-0000-0000-000017020000}"/>
    <cellStyle name="常规 3 5" xfId="488" xr:uid="{00000000-0005-0000-0000-000018020000}"/>
    <cellStyle name="常规 3 5 2" xfId="489" xr:uid="{00000000-0005-0000-0000-000019020000}"/>
    <cellStyle name="常规 3 5 2 2" xfId="490" xr:uid="{00000000-0005-0000-0000-00001A020000}"/>
    <cellStyle name="常规 3 5 2 2 2" xfId="491" xr:uid="{00000000-0005-0000-0000-00001B020000}"/>
    <cellStyle name="常规 3 5 2 3" xfId="492" xr:uid="{00000000-0005-0000-0000-00001C020000}"/>
    <cellStyle name="常规 3 5 2 3 2" xfId="493" xr:uid="{00000000-0005-0000-0000-00001D020000}"/>
    <cellStyle name="常规 3 5 2 4" xfId="494" xr:uid="{00000000-0005-0000-0000-00001E020000}"/>
    <cellStyle name="常规 3 5 2 4 2" xfId="495" xr:uid="{00000000-0005-0000-0000-00001F020000}"/>
    <cellStyle name="常规 3 5 2 5" xfId="496" xr:uid="{00000000-0005-0000-0000-000020020000}"/>
    <cellStyle name="常规 3 5 2 6" xfId="497" xr:uid="{00000000-0005-0000-0000-000021020000}"/>
    <cellStyle name="常规 3 5 3" xfId="498" xr:uid="{00000000-0005-0000-0000-000022020000}"/>
    <cellStyle name="常规 3 5 3 2" xfId="499" xr:uid="{00000000-0005-0000-0000-000023020000}"/>
    <cellStyle name="常规 3 5 4" xfId="500" xr:uid="{00000000-0005-0000-0000-000024020000}"/>
    <cellStyle name="常规 3 5 4 2" xfId="501" xr:uid="{00000000-0005-0000-0000-000025020000}"/>
    <cellStyle name="常规 3 5 5" xfId="502" xr:uid="{00000000-0005-0000-0000-000026020000}"/>
    <cellStyle name="常规 3 5 5 2" xfId="503" xr:uid="{00000000-0005-0000-0000-000027020000}"/>
    <cellStyle name="常规 3 5 6" xfId="504" xr:uid="{00000000-0005-0000-0000-000028020000}"/>
    <cellStyle name="常规 3 5 7" xfId="505" xr:uid="{00000000-0005-0000-0000-000029020000}"/>
    <cellStyle name="常规 3 6" xfId="506" xr:uid="{00000000-0005-0000-0000-00002A020000}"/>
    <cellStyle name="常规 3 6 2" xfId="507" xr:uid="{00000000-0005-0000-0000-00002B020000}"/>
    <cellStyle name="常规 3 6 2 2" xfId="508" xr:uid="{00000000-0005-0000-0000-00002C020000}"/>
    <cellStyle name="常规 3 6 3" xfId="509" xr:uid="{00000000-0005-0000-0000-00002D020000}"/>
    <cellStyle name="常规 3 6 3 2" xfId="510" xr:uid="{00000000-0005-0000-0000-00002E020000}"/>
    <cellStyle name="常规 3 6 4" xfId="511" xr:uid="{00000000-0005-0000-0000-00002F020000}"/>
    <cellStyle name="常规 3 6 4 2" xfId="512" xr:uid="{00000000-0005-0000-0000-000030020000}"/>
    <cellStyle name="常规 3 6 5" xfId="513" xr:uid="{00000000-0005-0000-0000-000031020000}"/>
    <cellStyle name="常规 3 6 6" xfId="514" xr:uid="{00000000-0005-0000-0000-000032020000}"/>
    <cellStyle name="常规 3 7" xfId="515" xr:uid="{00000000-0005-0000-0000-000033020000}"/>
    <cellStyle name="常规 3 7 2" xfId="516" xr:uid="{00000000-0005-0000-0000-000034020000}"/>
    <cellStyle name="常规 3 8" xfId="517" xr:uid="{00000000-0005-0000-0000-000035020000}"/>
    <cellStyle name="常规 3 8 2" xfId="518" xr:uid="{00000000-0005-0000-0000-000036020000}"/>
    <cellStyle name="常规 3 9" xfId="519" xr:uid="{00000000-0005-0000-0000-000037020000}"/>
    <cellStyle name="常规 3 9 2" xfId="520" xr:uid="{00000000-0005-0000-0000-000038020000}"/>
    <cellStyle name="常规 4" xfId="521" xr:uid="{00000000-0005-0000-0000-000039020000}"/>
    <cellStyle name="常规 4 10" xfId="522" xr:uid="{00000000-0005-0000-0000-00003A020000}"/>
    <cellStyle name="常规 4 2" xfId="523" xr:uid="{00000000-0005-0000-0000-00003B020000}"/>
    <cellStyle name="常规 4 2 2" xfId="524" xr:uid="{00000000-0005-0000-0000-00003C020000}"/>
    <cellStyle name="常规 4 2 2 2" xfId="525" xr:uid="{00000000-0005-0000-0000-00003D020000}"/>
    <cellStyle name="常规 4 2 2 2 2" xfId="526" xr:uid="{00000000-0005-0000-0000-00003E020000}"/>
    <cellStyle name="常规 4 2 2 3" xfId="527" xr:uid="{00000000-0005-0000-0000-00003F020000}"/>
    <cellStyle name="常规 4 2 2 3 2" xfId="528" xr:uid="{00000000-0005-0000-0000-000040020000}"/>
    <cellStyle name="常规 4 2 2 4" xfId="529" xr:uid="{00000000-0005-0000-0000-000041020000}"/>
    <cellStyle name="常规 4 2 2 4 2" xfId="530" xr:uid="{00000000-0005-0000-0000-000042020000}"/>
    <cellStyle name="常规 4 2 2 5" xfId="531" xr:uid="{00000000-0005-0000-0000-000043020000}"/>
    <cellStyle name="常规 4 2 2 6" xfId="532" xr:uid="{00000000-0005-0000-0000-000044020000}"/>
    <cellStyle name="常规 4 2 3" xfId="533" xr:uid="{00000000-0005-0000-0000-000045020000}"/>
    <cellStyle name="常规 4 2 3 2" xfId="534" xr:uid="{00000000-0005-0000-0000-000046020000}"/>
    <cellStyle name="常规 4 2 3 2 2" xfId="535" xr:uid="{00000000-0005-0000-0000-000047020000}"/>
    <cellStyle name="常规 4 2 3 3" xfId="536" xr:uid="{00000000-0005-0000-0000-000048020000}"/>
    <cellStyle name="常规 4 2 3 3 2" xfId="537" xr:uid="{00000000-0005-0000-0000-000049020000}"/>
    <cellStyle name="常规 4 2 3 4" xfId="538" xr:uid="{00000000-0005-0000-0000-00004A020000}"/>
    <cellStyle name="常规 4 2 3 4 2" xfId="539" xr:uid="{00000000-0005-0000-0000-00004B020000}"/>
    <cellStyle name="常规 4 2 3 5" xfId="540" xr:uid="{00000000-0005-0000-0000-00004C020000}"/>
    <cellStyle name="常规 4 2 3 6" xfId="541" xr:uid="{00000000-0005-0000-0000-00004D020000}"/>
    <cellStyle name="常规 4 2 4" xfId="542" xr:uid="{00000000-0005-0000-0000-00004E020000}"/>
    <cellStyle name="常规 4 2 4 2" xfId="543" xr:uid="{00000000-0005-0000-0000-00004F020000}"/>
    <cellStyle name="常规 4 2 5" xfId="544" xr:uid="{00000000-0005-0000-0000-000050020000}"/>
    <cellStyle name="常规 4 2 5 2" xfId="545" xr:uid="{00000000-0005-0000-0000-000051020000}"/>
    <cellStyle name="常规 4 2 6" xfId="546" xr:uid="{00000000-0005-0000-0000-000052020000}"/>
    <cellStyle name="常规 4 2 6 2" xfId="547" xr:uid="{00000000-0005-0000-0000-000053020000}"/>
    <cellStyle name="常规 4 2 7" xfId="548" xr:uid="{00000000-0005-0000-0000-000054020000}"/>
    <cellStyle name="常规 4 2 8" xfId="549" xr:uid="{00000000-0005-0000-0000-000055020000}"/>
    <cellStyle name="常规 4 3" xfId="550" xr:uid="{00000000-0005-0000-0000-000056020000}"/>
    <cellStyle name="常规 4 3 2" xfId="551" xr:uid="{00000000-0005-0000-0000-000057020000}"/>
    <cellStyle name="常规 4 3 2 2" xfId="552" xr:uid="{00000000-0005-0000-0000-000058020000}"/>
    <cellStyle name="常规 4 3 3" xfId="553" xr:uid="{00000000-0005-0000-0000-000059020000}"/>
    <cellStyle name="常规 4 3 3 2" xfId="554" xr:uid="{00000000-0005-0000-0000-00005A020000}"/>
    <cellStyle name="常规 4 3 4" xfId="555" xr:uid="{00000000-0005-0000-0000-00005B020000}"/>
    <cellStyle name="常规 4 3 4 2" xfId="556" xr:uid="{00000000-0005-0000-0000-00005C020000}"/>
    <cellStyle name="常规 4 3 5" xfId="557" xr:uid="{00000000-0005-0000-0000-00005D020000}"/>
    <cellStyle name="常规 4 3 6" xfId="558" xr:uid="{00000000-0005-0000-0000-00005E020000}"/>
    <cellStyle name="常规 4 4" xfId="559" xr:uid="{00000000-0005-0000-0000-00005F020000}"/>
    <cellStyle name="常规 4 4 2" xfId="560" xr:uid="{00000000-0005-0000-0000-000060020000}"/>
    <cellStyle name="常规 4 4 2 2" xfId="561" xr:uid="{00000000-0005-0000-0000-000061020000}"/>
    <cellStyle name="常规 4 4 3" xfId="562" xr:uid="{00000000-0005-0000-0000-000062020000}"/>
    <cellStyle name="常规 4 4 3 2" xfId="563" xr:uid="{00000000-0005-0000-0000-000063020000}"/>
    <cellStyle name="常规 4 4 4" xfId="564" xr:uid="{00000000-0005-0000-0000-000064020000}"/>
    <cellStyle name="常规 4 4 4 2" xfId="565" xr:uid="{00000000-0005-0000-0000-000065020000}"/>
    <cellStyle name="常规 4 4 5" xfId="566" xr:uid="{00000000-0005-0000-0000-000066020000}"/>
    <cellStyle name="常规 4 4 6" xfId="567" xr:uid="{00000000-0005-0000-0000-000067020000}"/>
    <cellStyle name="常规 4 5" xfId="568" xr:uid="{00000000-0005-0000-0000-000068020000}"/>
    <cellStyle name="常规 4 5 2" xfId="569" xr:uid="{00000000-0005-0000-0000-000069020000}"/>
    <cellStyle name="常规 4 5 2 2" xfId="570" xr:uid="{00000000-0005-0000-0000-00006A020000}"/>
    <cellStyle name="常规 4 5 3" xfId="571" xr:uid="{00000000-0005-0000-0000-00006B020000}"/>
    <cellStyle name="常规 4 5 3 2" xfId="572" xr:uid="{00000000-0005-0000-0000-00006C020000}"/>
    <cellStyle name="常规 4 5 4" xfId="573" xr:uid="{00000000-0005-0000-0000-00006D020000}"/>
    <cellStyle name="常规 4 5 4 2" xfId="574" xr:uid="{00000000-0005-0000-0000-00006E020000}"/>
    <cellStyle name="常规 4 5 5" xfId="575" xr:uid="{00000000-0005-0000-0000-00006F020000}"/>
    <cellStyle name="常规 4 5 6" xfId="576" xr:uid="{00000000-0005-0000-0000-000070020000}"/>
    <cellStyle name="常规 4 6" xfId="577" xr:uid="{00000000-0005-0000-0000-000071020000}"/>
    <cellStyle name="常规 4 6 2" xfId="578" xr:uid="{00000000-0005-0000-0000-000072020000}"/>
    <cellStyle name="常规 4 7" xfId="579" xr:uid="{00000000-0005-0000-0000-000073020000}"/>
    <cellStyle name="常规 4 7 2" xfId="580" xr:uid="{00000000-0005-0000-0000-000074020000}"/>
    <cellStyle name="常规 4 8" xfId="581" xr:uid="{00000000-0005-0000-0000-000075020000}"/>
    <cellStyle name="常规 4 8 2" xfId="582" xr:uid="{00000000-0005-0000-0000-000076020000}"/>
    <cellStyle name="常规 4 9" xfId="583" xr:uid="{00000000-0005-0000-0000-000077020000}"/>
    <cellStyle name="常规 5" xfId="584" xr:uid="{00000000-0005-0000-0000-000078020000}"/>
    <cellStyle name="常规 5 2" xfId="585" xr:uid="{00000000-0005-0000-0000-000079020000}"/>
    <cellStyle name="常规 5 2 2" xfId="586" xr:uid="{00000000-0005-0000-0000-00007A020000}"/>
    <cellStyle name="常规 5 2 2 2" xfId="587" xr:uid="{00000000-0005-0000-0000-00007B020000}"/>
    <cellStyle name="常规 5 2 2 2 2" xfId="588" xr:uid="{00000000-0005-0000-0000-00007C020000}"/>
    <cellStyle name="常规 5 2 2 3" xfId="589" xr:uid="{00000000-0005-0000-0000-00007D020000}"/>
    <cellStyle name="常规 5 2 2 3 2" xfId="590" xr:uid="{00000000-0005-0000-0000-00007E020000}"/>
    <cellStyle name="常规 5 2 2 4" xfId="591" xr:uid="{00000000-0005-0000-0000-00007F020000}"/>
    <cellStyle name="常规 5 2 2 4 2" xfId="592" xr:uid="{00000000-0005-0000-0000-000080020000}"/>
    <cellStyle name="常规 5 2 2 5" xfId="593" xr:uid="{00000000-0005-0000-0000-000081020000}"/>
    <cellStyle name="常规 5 2 2 6" xfId="594" xr:uid="{00000000-0005-0000-0000-000082020000}"/>
    <cellStyle name="常规 5 2 3" xfId="595" xr:uid="{00000000-0005-0000-0000-000083020000}"/>
    <cellStyle name="常规 5 2 3 2" xfId="596" xr:uid="{00000000-0005-0000-0000-000084020000}"/>
    <cellStyle name="常规 5 2 3 2 2" xfId="597" xr:uid="{00000000-0005-0000-0000-000085020000}"/>
    <cellStyle name="常规 5 2 3 3" xfId="598" xr:uid="{00000000-0005-0000-0000-000086020000}"/>
    <cellStyle name="常规 5 2 3 3 2" xfId="599" xr:uid="{00000000-0005-0000-0000-000087020000}"/>
    <cellStyle name="常规 5 2 3 4" xfId="600" xr:uid="{00000000-0005-0000-0000-000088020000}"/>
    <cellStyle name="常规 5 2 3 4 2" xfId="601" xr:uid="{00000000-0005-0000-0000-000089020000}"/>
    <cellStyle name="常规 5 2 3 5" xfId="602" xr:uid="{00000000-0005-0000-0000-00008A020000}"/>
    <cellStyle name="常规 5 2 3 6" xfId="603" xr:uid="{00000000-0005-0000-0000-00008B020000}"/>
    <cellStyle name="常规 5 2 4" xfId="604" xr:uid="{00000000-0005-0000-0000-00008C020000}"/>
    <cellStyle name="常规 5 2 4 2" xfId="605" xr:uid="{00000000-0005-0000-0000-00008D020000}"/>
    <cellStyle name="常规 5 2 5" xfId="606" xr:uid="{00000000-0005-0000-0000-00008E020000}"/>
    <cellStyle name="常规 5 2 5 2" xfId="607" xr:uid="{00000000-0005-0000-0000-00008F020000}"/>
    <cellStyle name="常规 5 2 6" xfId="608" xr:uid="{00000000-0005-0000-0000-000090020000}"/>
    <cellStyle name="常规 5 2 6 2" xfId="609" xr:uid="{00000000-0005-0000-0000-000091020000}"/>
    <cellStyle name="常规 5 2 7" xfId="610" xr:uid="{00000000-0005-0000-0000-000092020000}"/>
    <cellStyle name="常规 5 2 8" xfId="611" xr:uid="{00000000-0005-0000-0000-000093020000}"/>
    <cellStyle name="常规 5 3" xfId="612" xr:uid="{00000000-0005-0000-0000-000094020000}"/>
    <cellStyle name="常规 5 3 2" xfId="613" xr:uid="{00000000-0005-0000-0000-000095020000}"/>
    <cellStyle name="常规 5 3 2 2" xfId="614" xr:uid="{00000000-0005-0000-0000-000096020000}"/>
    <cellStyle name="常规 5 3 3" xfId="615" xr:uid="{00000000-0005-0000-0000-000097020000}"/>
    <cellStyle name="常规 5 3 3 2" xfId="616" xr:uid="{00000000-0005-0000-0000-000098020000}"/>
    <cellStyle name="常规 5 3 4" xfId="617" xr:uid="{00000000-0005-0000-0000-000099020000}"/>
    <cellStyle name="常规 5 3 4 2" xfId="618" xr:uid="{00000000-0005-0000-0000-00009A020000}"/>
    <cellStyle name="常规 5 3 5" xfId="619" xr:uid="{00000000-0005-0000-0000-00009B020000}"/>
    <cellStyle name="常规 5 3 6" xfId="620" xr:uid="{00000000-0005-0000-0000-00009C020000}"/>
    <cellStyle name="常规 5 4" xfId="621" xr:uid="{00000000-0005-0000-0000-00009D020000}"/>
    <cellStyle name="常规 5 4 2" xfId="622" xr:uid="{00000000-0005-0000-0000-00009E020000}"/>
    <cellStyle name="常规 5 4 2 2" xfId="623" xr:uid="{00000000-0005-0000-0000-00009F020000}"/>
    <cellStyle name="常规 5 4 3" xfId="624" xr:uid="{00000000-0005-0000-0000-0000A0020000}"/>
    <cellStyle name="常规 5 4 3 2" xfId="625" xr:uid="{00000000-0005-0000-0000-0000A1020000}"/>
    <cellStyle name="常规 5 4 4" xfId="626" xr:uid="{00000000-0005-0000-0000-0000A2020000}"/>
    <cellStyle name="常规 5 4 4 2" xfId="627" xr:uid="{00000000-0005-0000-0000-0000A3020000}"/>
    <cellStyle name="常规 5 4 5" xfId="628" xr:uid="{00000000-0005-0000-0000-0000A4020000}"/>
    <cellStyle name="常规 5 4 6" xfId="629" xr:uid="{00000000-0005-0000-0000-0000A5020000}"/>
    <cellStyle name="常规 5 5" xfId="630" xr:uid="{00000000-0005-0000-0000-0000A6020000}"/>
    <cellStyle name="常规 5 5 2" xfId="631" xr:uid="{00000000-0005-0000-0000-0000A7020000}"/>
    <cellStyle name="常规 5 6" xfId="632" xr:uid="{00000000-0005-0000-0000-0000A8020000}"/>
    <cellStyle name="常规 5 6 2" xfId="633" xr:uid="{00000000-0005-0000-0000-0000A9020000}"/>
    <cellStyle name="常规 5 7" xfId="634" xr:uid="{00000000-0005-0000-0000-0000AA020000}"/>
    <cellStyle name="常规 5 7 2" xfId="635" xr:uid="{00000000-0005-0000-0000-0000AB020000}"/>
    <cellStyle name="常规 5 8" xfId="636" xr:uid="{00000000-0005-0000-0000-0000AC020000}"/>
    <cellStyle name="常规 5 9" xfId="637" xr:uid="{00000000-0005-0000-0000-0000AD020000}"/>
    <cellStyle name="常规 6" xfId="638" xr:uid="{00000000-0005-0000-0000-0000AE020000}"/>
    <cellStyle name="常规 6 2" xfId="639" xr:uid="{00000000-0005-0000-0000-0000AF020000}"/>
    <cellStyle name="常规 6 2 2" xfId="640" xr:uid="{00000000-0005-0000-0000-0000B0020000}"/>
    <cellStyle name="常规 6 2 2 2" xfId="641" xr:uid="{00000000-0005-0000-0000-0000B1020000}"/>
    <cellStyle name="常规 6 2 3" xfId="642" xr:uid="{00000000-0005-0000-0000-0000B2020000}"/>
    <cellStyle name="常规 6 2 3 2" xfId="643" xr:uid="{00000000-0005-0000-0000-0000B3020000}"/>
    <cellStyle name="常规 6 2 4" xfId="644" xr:uid="{00000000-0005-0000-0000-0000B4020000}"/>
    <cellStyle name="常规 6 2 4 2" xfId="645" xr:uid="{00000000-0005-0000-0000-0000B5020000}"/>
    <cellStyle name="常规 6 2 5" xfId="646" xr:uid="{00000000-0005-0000-0000-0000B6020000}"/>
    <cellStyle name="常规 6 2 6" xfId="647" xr:uid="{00000000-0005-0000-0000-0000B7020000}"/>
    <cellStyle name="常规 6 3" xfId="648" xr:uid="{00000000-0005-0000-0000-0000B8020000}"/>
    <cellStyle name="常规 6 3 2" xfId="649" xr:uid="{00000000-0005-0000-0000-0000B9020000}"/>
    <cellStyle name="常规 6 3 2 2" xfId="650" xr:uid="{00000000-0005-0000-0000-0000BA020000}"/>
    <cellStyle name="常规 6 3 3" xfId="651" xr:uid="{00000000-0005-0000-0000-0000BB020000}"/>
    <cellStyle name="常规 6 3 3 2" xfId="652" xr:uid="{00000000-0005-0000-0000-0000BC020000}"/>
    <cellStyle name="常规 6 3 4" xfId="653" xr:uid="{00000000-0005-0000-0000-0000BD020000}"/>
    <cellStyle name="常规 6 3 4 2" xfId="654" xr:uid="{00000000-0005-0000-0000-0000BE020000}"/>
    <cellStyle name="常规 6 3 5" xfId="655" xr:uid="{00000000-0005-0000-0000-0000BF020000}"/>
    <cellStyle name="常规 6 3 6" xfId="656" xr:uid="{00000000-0005-0000-0000-0000C0020000}"/>
    <cellStyle name="常规 6 4" xfId="657" xr:uid="{00000000-0005-0000-0000-0000C1020000}"/>
    <cellStyle name="常规 6 4 2" xfId="658" xr:uid="{00000000-0005-0000-0000-0000C2020000}"/>
    <cellStyle name="常规 6 5" xfId="659" xr:uid="{00000000-0005-0000-0000-0000C3020000}"/>
    <cellStyle name="常规 6 5 2" xfId="660" xr:uid="{00000000-0005-0000-0000-0000C4020000}"/>
    <cellStyle name="常规 6 6" xfId="661" xr:uid="{00000000-0005-0000-0000-0000C5020000}"/>
    <cellStyle name="常规 6 6 2" xfId="662" xr:uid="{00000000-0005-0000-0000-0000C6020000}"/>
    <cellStyle name="常规 6 7" xfId="663" xr:uid="{00000000-0005-0000-0000-0000C7020000}"/>
    <cellStyle name="常规 6 8" xfId="664" xr:uid="{00000000-0005-0000-0000-0000C8020000}"/>
    <cellStyle name="常规 7" xfId="665" xr:uid="{00000000-0005-0000-0000-0000C9020000}"/>
    <cellStyle name="常规 7 2" xfId="666" xr:uid="{00000000-0005-0000-0000-0000CA020000}"/>
    <cellStyle name="常规 7 2 2" xfId="667" xr:uid="{00000000-0005-0000-0000-0000CB020000}"/>
    <cellStyle name="常规 7 3" xfId="668" xr:uid="{00000000-0005-0000-0000-0000CC020000}"/>
    <cellStyle name="常规 7 3 2" xfId="669" xr:uid="{00000000-0005-0000-0000-0000CD020000}"/>
    <cellStyle name="常规 7 4" xfId="670" xr:uid="{00000000-0005-0000-0000-0000CE020000}"/>
    <cellStyle name="常规 7 4 2" xfId="671" xr:uid="{00000000-0005-0000-0000-0000CF020000}"/>
    <cellStyle name="常规 7 5" xfId="672" xr:uid="{00000000-0005-0000-0000-0000D0020000}"/>
    <cellStyle name="常规 7 6" xfId="673" xr:uid="{00000000-0005-0000-0000-0000D1020000}"/>
    <cellStyle name="常规 8" xfId="674" xr:uid="{00000000-0005-0000-0000-0000D2020000}"/>
    <cellStyle name="常规 8 2" xfId="675" xr:uid="{00000000-0005-0000-0000-0000D3020000}"/>
    <cellStyle name="常规 8 2 2" xfId="676" xr:uid="{00000000-0005-0000-0000-0000D4020000}"/>
    <cellStyle name="常规 8 3" xfId="677" xr:uid="{00000000-0005-0000-0000-0000D5020000}"/>
    <cellStyle name="常规 8 3 2" xfId="678" xr:uid="{00000000-0005-0000-0000-0000D6020000}"/>
    <cellStyle name="常规 8 4" xfId="679" xr:uid="{00000000-0005-0000-0000-0000D7020000}"/>
    <cellStyle name="常规 8 4 2" xfId="680" xr:uid="{00000000-0005-0000-0000-0000D8020000}"/>
    <cellStyle name="常规 8 5" xfId="681" xr:uid="{00000000-0005-0000-0000-0000D9020000}"/>
    <cellStyle name="常规 8 6" xfId="682" xr:uid="{00000000-0005-0000-0000-0000DA020000}"/>
    <cellStyle name="常规 9" xfId="683" xr:uid="{00000000-0005-0000-0000-0000DB020000}"/>
    <cellStyle name="常规 9 2" xfId="684" xr:uid="{00000000-0005-0000-0000-0000DC020000}"/>
    <cellStyle name="常规 9 2 2" xfId="685" xr:uid="{00000000-0005-0000-0000-0000DD020000}"/>
    <cellStyle name="常规 9 3" xfId="686" xr:uid="{00000000-0005-0000-0000-0000DE020000}"/>
    <cellStyle name="常规 9 3 2" xfId="687" xr:uid="{00000000-0005-0000-0000-0000DF020000}"/>
    <cellStyle name="常规 9 4" xfId="688" xr:uid="{00000000-0005-0000-0000-0000E0020000}"/>
    <cellStyle name="常规 9 4 2" xfId="689" xr:uid="{00000000-0005-0000-0000-0000E1020000}"/>
    <cellStyle name="常规 9 5" xfId="690" xr:uid="{00000000-0005-0000-0000-0000E2020000}"/>
    <cellStyle name="常规 9 6" xfId="691" xr:uid="{00000000-0005-0000-0000-0000E3020000}"/>
    <cellStyle name="好 2" xfId="692" xr:uid="{00000000-0005-0000-0000-0000E4020000}"/>
    <cellStyle name="好 2 10" xfId="693" xr:uid="{00000000-0005-0000-0000-0000E5020000}"/>
    <cellStyle name="好 2 2" xfId="694" xr:uid="{00000000-0005-0000-0000-0000E6020000}"/>
    <cellStyle name="好 2 2 2" xfId="695" xr:uid="{00000000-0005-0000-0000-0000E7020000}"/>
    <cellStyle name="好 2 2 2 2" xfId="696" xr:uid="{00000000-0005-0000-0000-0000E8020000}"/>
    <cellStyle name="好 2 2 2 2 2" xfId="697" xr:uid="{00000000-0005-0000-0000-0000E9020000}"/>
    <cellStyle name="好 2 2 2 2 3" xfId="698" xr:uid="{00000000-0005-0000-0000-0000EA020000}"/>
    <cellStyle name="好 2 2 2 2 4" xfId="699" xr:uid="{00000000-0005-0000-0000-0000EB020000}"/>
    <cellStyle name="好 2 2 2 2 5" xfId="700" xr:uid="{00000000-0005-0000-0000-0000EC020000}"/>
    <cellStyle name="好 2 2 2 3" xfId="701" xr:uid="{00000000-0005-0000-0000-0000ED020000}"/>
    <cellStyle name="好 2 2 2 3 2" xfId="702" xr:uid="{00000000-0005-0000-0000-0000EE020000}"/>
    <cellStyle name="好 2 2 2 3 3" xfId="703" xr:uid="{00000000-0005-0000-0000-0000EF020000}"/>
    <cellStyle name="好 2 2 2 3 4" xfId="704" xr:uid="{00000000-0005-0000-0000-0000F0020000}"/>
    <cellStyle name="好 2 2 2 3 5" xfId="705" xr:uid="{00000000-0005-0000-0000-0000F1020000}"/>
    <cellStyle name="好 2 2 2 4" xfId="706" xr:uid="{00000000-0005-0000-0000-0000F2020000}"/>
    <cellStyle name="好 2 2 2 5" xfId="707" xr:uid="{00000000-0005-0000-0000-0000F3020000}"/>
    <cellStyle name="好 2 2 2 6" xfId="708" xr:uid="{00000000-0005-0000-0000-0000F4020000}"/>
    <cellStyle name="好 2 2 2 7" xfId="709" xr:uid="{00000000-0005-0000-0000-0000F5020000}"/>
    <cellStyle name="好 2 2 3" xfId="710" xr:uid="{00000000-0005-0000-0000-0000F6020000}"/>
    <cellStyle name="好 2 2 3 2" xfId="711" xr:uid="{00000000-0005-0000-0000-0000F7020000}"/>
    <cellStyle name="好 2 2 3 3" xfId="712" xr:uid="{00000000-0005-0000-0000-0000F8020000}"/>
    <cellStyle name="好 2 2 3 4" xfId="713" xr:uid="{00000000-0005-0000-0000-0000F9020000}"/>
    <cellStyle name="好 2 2 3 5" xfId="714" xr:uid="{00000000-0005-0000-0000-0000FA020000}"/>
    <cellStyle name="好 2 2 4" xfId="715" xr:uid="{00000000-0005-0000-0000-0000FB020000}"/>
    <cellStyle name="好 2 2 4 2" xfId="716" xr:uid="{00000000-0005-0000-0000-0000FC020000}"/>
    <cellStyle name="好 2 2 4 3" xfId="717" xr:uid="{00000000-0005-0000-0000-0000FD020000}"/>
    <cellStyle name="好 2 2 4 4" xfId="718" xr:uid="{00000000-0005-0000-0000-0000FE020000}"/>
    <cellStyle name="好 2 2 4 5" xfId="719" xr:uid="{00000000-0005-0000-0000-0000FF020000}"/>
    <cellStyle name="好 2 2 5" xfId="720" xr:uid="{00000000-0005-0000-0000-000000030000}"/>
    <cellStyle name="好 2 2 6" xfId="721" xr:uid="{00000000-0005-0000-0000-000001030000}"/>
    <cellStyle name="好 2 2 7" xfId="722" xr:uid="{00000000-0005-0000-0000-000002030000}"/>
    <cellStyle name="好 2 2 8" xfId="723" xr:uid="{00000000-0005-0000-0000-000003030000}"/>
    <cellStyle name="好 2 3" xfId="724" xr:uid="{00000000-0005-0000-0000-000004030000}"/>
    <cellStyle name="好 2 3 2" xfId="725" xr:uid="{00000000-0005-0000-0000-000005030000}"/>
    <cellStyle name="好 2 3 2 2" xfId="726" xr:uid="{00000000-0005-0000-0000-000006030000}"/>
    <cellStyle name="好 2 3 2 3" xfId="727" xr:uid="{00000000-0005-0000-0000-000007030000}"/>
    <cellStyle name="好 2 3 2 4" xfId="728" xr:uid="{00000000-0005-0000-0000-000008030000}"/>
    <cellStyle name="好 2 3 2 5" xfId="729" xr:uid="{00000000-0005-0000-0000-000009030000}"/>
    <cellStyle name="好 2 3 3" xfId="730" xr:uid="{00000000-0005-0000-0000-00000A030000}"/>
    <cellStyle name="好 2 3 3 2" xfId="731" xr:uid="{00000000-0005-0000-0000-00000B030000}"/>
    <cellStyle name="好 2 3 3 3" xfId="732" xr:uid="{00000000-0005-0000-0000-00000C030000}"/>
    <cellStyle name="好 2 3 3 4" xfId="733" xr:uid="{00000000-0005-0000-0000-00000D030000}"/>
    <cellStyle name="好 2 3 3 5" xfId="734" xr:uid="{00000000-0005-0000-0000-00000E030000}"/>
    <cellStyle name="好 2 3 4" xfId="735" xr:uid="{00000000-0005-0000-0000-00000F030000}"/>
    <cellStyle name="好 2 3 5" xfId="736" xr:uid="{00000000-0005-0000-0000-000010030000}"/>
    <cellStyle name="好 2 3 6" xfId="737" xr:uid="{00000000-0005-0000-0000-000011030000}"/>
    <cellStyle name="好 2 3 7" xfId="738" xr:uid="{00000000-0005-0000-0000-000012030000}"/>
    <cellStyle name="好 2 4" xfId="739" xr:uid="{00000000-0005-0000-0000-000013030000}"/>
    <cellStyle name="好 2 4 2" xfId="740" xr:uid="{00000000-0005-0000-0000-000014030000}"/>
    <cellStyle name="好 2 4 3" xfId="741" xr:uid="{00000000-0005-0000-0000-000015030000}"/>
    <cellStyle name="好 2 4 4" xfId="742" xr:uid="{00000000-0005-0000-0000-000016030000}"/>
    <cellStyle name="好 2 4 5" xfId="743" xr:uid="{00000000-0005-0000-0000-000017030000}"/>
    <cellStyle name="好 2 5" xfId="744" xr:uid="{00000000-0005-0000-0000-000018030000}"/>
    <cellStyle name="好 2 5 2" xfId="745" xr:uid="{00000000-0005-0000-0000-000019030000}"/>
    <cellStyle name="好 2 5 3" xfId="746" xr:uid="{00000000-0005-0000-0000-00001A030000}"/>
    <cellStyle name="好 2 5 4" xfId="747" xr:uid="{00000000-0005-0000-0000-00001B030000}"/>
    <cellStyle name="好 2 5 5" xfId="748" xr:uid="{00000000-0005-0000-0000-00001C030000}"/>
    <cellStyle name="好 2 6" xfId="749" xr:uid="{00000000-0005-0000-0000-00001D030000}"/>
    <cellStyle name="好 2 6 2" xfId="750" xr:uid="{00000000-0005-0000-0000-00001E030000}"/>
    <cellStyle name="好 2 6 3" xfId="751" xr:uid="{00000000-0005-0000-0000-00001F030000}"/>
    <cellStyle name="好 2 6 4" xfId="752" xr:uid="{00000000-0005-0000-0000-000020030000}"/>
    <cellStyle name="好 2 6 5" xfId="753" xr:uid="{00000000-0005-0000-0000-000021030000}"/>
    <cellStyle name="好 2 7" xfId="754" xr:uid="{00000000-0005-0000-0000-000022030000}"/>
    <cellStyle name="好 2 8" xfId="755" xr:uid="{00000000-0005-0000-0000-000023030000}"/>
    <cellStyle name="好 2 9" xfId="756" xr:uid="{00000000-0005-0000-0000-000024030000}"/>
    <cellStyle name="适中 2" xfId="757" xr:uid="{00000000-0005-0000-0000-000025030000}"/>
    <cellStyle name="适中 2 2" xfId="758" xr:uid="{00000000-0005-0000-0000-000026030000}"/>
    <cellStyle name="适中 2 2 2" xfId="759" xr:uid="{00000000-0005-0000-0000-000027030000}"/>
    <cellStyle name="适中 2 2 2 2" xfId="760" xr:uid="{00000000-0005-0000-0000-000028030000}"/>
    <cellStyle name="适中 2 2 2 2 2" xfId="761" xr:uid="{00000000-0005-0000-0000-000029030000}"/>
    <cellStyle name="适中 2 2 2 2 3" xfId="762" xr:uid="{00000000-0005-0000-0000-00002A030000}"/>
    <cellStyle name="适中 2 2 2 2 4" xfId="763" xr:uid="{00000000-0005-0000-0000-00002B030000}"/>
    <cellStyle name="适中 2 2 2 2 5" xfId="764" xr:uid="{00000000-0005-0000-0000-00002C030000}"/>
    <cellStyle name="适中 2 2 2 3" xfId="765" xr:uid="{00000000-0005-0000-0000-00002D030000}"/>
    <cellStyle name="适中 2 2 2 3 2" xfId="766" xr:uid="{00000000-0005-0000-0000-00002E030000}"/>
    <cellStyle name="适中 2 2 2 3 3" xfId="767" xr:uid="{00000000-0005-0000-0000-00002F030000}"/>
    <cellStyle name="适中 2 2 2 3 4" xfId="768" xr:uid="{00000000-0005-0000-0000-000030030000}"/>
    <cellStyle name="适中 2 2 2 3 5" xfId="769" xr:uid="{00000000-0005-0000-0000-000031030000}"/>
    <cellStyle name="适中 2 2 2 4" xfId="770" xr:uid="{00000000-0005-0000-0000-000032030000}"/>
    <cellStyle name="适中 2 2 2 5" xfId="771" xr:uid="{00000000-0005-0000-0000-000033030000}"/>
    <cellStyle name="适中 2 2 2 6" xfId="772" xr:uid="{00000000-0005-0000-0000-000034030000}"/>
    <cellStyle name="适中 2 2 2 7" xfId="773" xr:uid="{00000000-0005-0000-0000-000035030000}"/>
    <cellStyle name="适中 2 2 3" xfId="774" xr:uid="{00000000-0005-0000-0000-000036030000}"/>
    <cellStyle name="适中 2 2 3 2" xfId="775" xr:uid="{00000000-0005-0000-0000-000037030000}"/>
    <cellStyle name="适中 2 2 3 3" xfId="776" xr:uid="{00000000-0005-0000-0000-000038030000}"/>
    <cellStyle name="适中 2 2 3 4" xfId="777" xr:uid="{00000000-0005-0000-0000-000039030000}"/>
    <cellStyle name="适中 2 2 3 5" xfId="778" xr:uid="{00000000-0005-0000-0000-00003A030000}"/>
    <cellStyle name="适中 2 2 4" xfId="779" xr:uid="{00000000-0005-0000-0000-00003B030000}"/>
    <cellStyle name="适中 2 2 4 2" xfId="780" xr:uid="{00000000-0005-0000-0000-00003C030000}"/>
    <cellStyle name="适中 2 2 4 3" xfId="781" xr:uid="{00000000-0005-0000-0000-00003D030000}"/>
    <cellStyle name="适中 2 2 4 4" xfId="782" xr:uid="{00000000-0005-0000-0000-00003E030000}"/>
    <cellStyle name="适中 2 2 4 5" xfId="783" xr:uid="{00000000-0005-0000-0000-00003F030000}"/>
    <cellStyle name="适中 2 2 5" xfId="784" xr:uid="{00000000-0005-0000-0000-000040030000}"/>
    <cellStyle name="适中 2 2 6" xfId="785" xr:uid="{00000000-0005-0000-0000-000041030000}"/>
    <cellStyle name="适中 2 2 7" xfId="786" xr:uid="{00000000-0005-0000-0000-000042030000}"/>
    <cellStyle name="适中 2 2 8" xfId="787" xr:uid="{00000000-0005-0000-0000-000043030000}"/>
    <cellStyle name="适中 2 3" xfId="788" xr:uid="{00000000-0005-0000-0000-000044030000}"/>
    <cellStyle name="适中 2 3 2" xfId="789" xr:uid="{00000000-0005-0000-0000-000045030000}"/>
    <cellStyle name="适中 2 3 2 2" xfId="790" xr:uid="{00000000-0005-0000-0000-000046030000}"/>
    <cellStyle name="适中 2 3 2 3" xfId="791" xr:uid="{00000000-0005-0000-0000-000047030000}"/>
    <cellStyle name="适中 2 3 2 4" xfId="792" xr:uid="{00000000-0005-0000-0000-000048030000}"/>
    <cellStyle name="适中 2 3 2 5" xfId="793" xr:uid="{00000000-0005-0000-0000-000049030000}"/>
    <cellStyle name="适中 2 3 3" xfId="794" xr:uid="{00000000-0005-0000-0000-00004A030000}"/>
    <cellStyle name="适中 2 3 3 2" xfId="795" xr:uid="{00000000-0005-0000-0000-00004B030000}"/>
    <cellStyle name="适中 2 3 3 3" xfId="796" xr:uid="{00000000-0005-0000-0000-00004C030000}"/>
    <cellStyle name="适中 2 3 3 4" xfId="797" xr:uid="{00000000-0005-0000-0000-00004D030000}"/>
    <cellStyle name="适中 2 3 3 5" xfId="798" xr:uid="{00000000-0005-0000-0000-00004E030000}"/>
    <cellStyle name="适中 2 3 4" xfId="799" xr:uid="{00000000-0005-0000-0000-00004F030000}"/>
    <cellStyle name="适中 2 3 5" xfId="800" xr:uid="{00000000-0005-0000-0000-000050030000}"/>
    <cellStyle name="适中 2 3 6" xfId="801" xr:uid="{00000000-0005-0000-0000-000051030000}"/>
    <cellStyle name="适中 2 3 7" xfId="802" xr:uid="{00000000-0005-0000-0000-000052030000}"/>
    <cellStyle name="适中 2 4" xfId="803" xr:uid="{00000000-0005-0000-0000-000053030000}"/>
    <cellStyle name="适中 2 4 2" xfId="804" xr:uid="{00000000-0005-0000-0000-000054030000}"/>
    <cellStyle name="适中 2 4 3" xfId="805" xr:uid="{00000000-0005-0000-0000-000055030000}"/>
    <cellStyle name="适中 2 4 4" xfId="806" xr:uid="{00000000-0005-0000-0000-000056030000}"/>
    <cellStyle name="适中 2 4 5" xfId="807" xr:uid="{00000000-0005-0000-0000-000057030000}"/>
    <cellStyle name="适中 2 5" xfId="808" xr:uid="{00000000-0005-0000-0000-000058030000}"/>
    <cellStyle name="适中 2 5 2" xfId="809" xr:uid="{00000000-0005-0000-0000-000059030000}"/>
    <cellStyle name="适中 2 5 3" xfId="810" xr:uid="{00000000-0005-0000-0000-00005A030000}"/>
    <cellStyle name="适中 2 5 4" xfId="811" xr:uid="{00000000-0005-0000-0000-00005B030000}"/>
    <cellStyle name="适中 2 5 5" xfId="812" xr:uid="{00000000-0005-0000-0000-00005C030000}"/>
    <cellStyle name="适中 2 6" xfId="813" xr:uid="{00000000-0005-0000-0000-00005D030000}"/>
    <cellStyle name="适中 2 7" xfId="814" xr:uid="{00000000-0005-0000-0000-00005E030000}"/>
    <cellStyle name="适中 2 8" xfId="815" xr:uid="{00000000-0005-0000-0000-00005F030000}"/>
    <cellStyle name="适中 2 9" xfId="816" xr:uid="{00000000-0005-0000-0000-000060030000}"/>
    <cellStyle name="输入 2" xfId="817" xr:uid="{00000000-0005-0000-0000-000061030000}"/>
    <cellStyle name="输入 3" xfId="818" xr:uid="{00000000-0005-0000-0000-000062030000}"/>
    <cellStyle name="输入 4" xfId="819" xr:uid="{00000000-0005-0000-0000-000063030000}"/>
    <cellStyle name="输入 5" xfId="820" xr:uid="{00000000-0005-0000-0000-000064030000}"/>
  </cellStyles>
  <dxfs count="117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3" tint="0.59996337778862885"/>
        </patternFill>
      </fill>
    </dxf>
    <dxf>
      <fill>
        <patternFill patternType="solid"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waaaghwang\Documents\&#24037;&#20316;&#31807;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OEMobile_proj\document\Designer\&#31574;&#21010;&#25991;&#26723;\&#25968;&#20540;&#31995;&#32479;\&#32463;&#27982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6"/>
      <sheetName val="英雄"/>
      <sheetName val="英雄战斗技能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录"/>
      <sheetName val="总规|横向消耗"/>
      <sheetName val="总规|纵向消耗"/>
      <sheetName val="总规|产出"/>
      <sheetName val="总规|成长"/>
      <sheetName val="总规|资源"/>
      <sheetName val="总规|定价"/>
      <sheetName val="总规|bf"/>
      <sheetName val="总规|bf性价比"/>
      <sheetName val="总规|战力"/>
      <sheetName val="总规|活跃"/>
      <sheetName val="规|建筑"/>
      <sheetName val="规|科技"/>
      <sheetName val="规|文明"/>
      <sheetName val="规|领主"/>
      <sheetName val="规|英雄"/>
      <sheetName val="规|装备"/>
      <sheetName val="消&amp;bf|建筑"/>
      <sheetName val="消&amp;bf|建科"/>
      <sheetName val="消|时代"/>
      <sheetName val="消&amp;bf|科技"/>
      <sheetName val="消|城墙"/>
      <sheetName val="消|领主"/>
      <sheetName val="bf|领主"/>
      <sheetName val="消|英雄"/>
      <sheetName val="bf|英雄"/>
      <sheetName val="消|装备"/>
      <sheetName val="bf|装备"/>
      <sheetName val="消|部队"/>
      <sheetName val="消|弹药"/>
      <sheetName val="bf|联盟"/>
      <sheetName val="bf|VIP"/>
      <sheetName val="产|领主"/>
      <sheetName val="产|内采"/>
      <sheetName val="产|外采"/>
      <sheetName val="产|云游"/>
      <sheetName val="产|野怪"/>
      <sheetName val="产|码头"/>
      <sheetName val="产|活跃度"/>
      <sheetName val="产|联盟"/>
      <sheetName val="产|VIP"/>
      <sheetName val="产|AI"/>
      <sheetName val="产|商店"/>
      <sheetName val="产|活动"/>
      <sheetName val="产|一次性"/>
      <sheetName val="统|bf列表"/>
      <sheetName val="统|产出"/>
      <sheetName val="统|消耗"/>
      <sheetName val="统|战力"/>
      <sheetName val="统|成长"/>
      <sheetName val="轻测"/>
      <sheetName val="测试用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D1"/>
  <sheetViews>
    <sheetView workbookViewId="0"/>
  </sheetViews>
  <sheetFormatPr defaultColWidth="8.875" defaultRowHeight="13.5" x14ac:dyDescent="0.15"/>
  <cols>
    <col min="1" max="2" width="3" customWidth="1"/>
    <col min="3" max="3" width="7" customWidth="1"/>
    <col min="4" max="4" width="5" customWidth="1"/>
    <col min="5" max="5" width="17" customWidth="1"/>
    <col min="6" max="6" width="13" customWidth="1"/>
    <col min="7" max="7" width="21" customWidth="1"/>
    <col min="8" max="8" width="19" customWidth="1"/>
    <col min="9" max="9" width="15" customWidth="1"/>
    <col min="10" max="10" width="13" customWidth="1"/>
    <col min="11" max="11" width="17" customWidth="1"/>
    <col min="12" max="12" width="15" customWidth="1"/>
    <col min="13" max="13" width="21" customWidth="1"/>
    <col min="14" max="15" width="13" customWidth="1"/>
    <col min="16" max="17" width="17" customWidth="1"/>
    <col min="18" max="18" width="15" customWidth="1"/>
    <col min="19" max="19" width="17" customWidth="1"/>
    <col min="20" max="20" width="9" customWidth="1"/>
    <col min="21" max="22" width="21" customWidth="1"/>
    <col min="23" max="23" width="17" customWidth="1"/>
    <col min="24" max="24" width="21" customWidth="1"/>
    <col min="25" max="26" width="11" customWidth="1"/>
    <col min="27" max="27" width="15" customWidth="1"/>
    <col min="28" max="28" width="11.625" customWidth="1"/>
    <col min="29" max="29" width="15" customWidth="1"/>
    <col min="30" max="31" width="19" customWidth="1"/>
    <col min="32" max="32" width="20" customWidth="1"/>
    <col min="33" max="33" width="19" customWidth="1"/>
    <col min="34" max="35" width="25" customWidth="1"/>
    <col min="36" max="36" width="18" customWidth="1"/>
    <col min="37" max="38" width="19" customWidth="1"/>
    <col min="39" max="39" width="20" customWidth="1"/>
    <col min="40" max="40" width="19" customWidth="1"/>
    <col min="41" max="42" width="23.625" customWidth="1"/>
    <col min="43" max="43" width="25" customWidth="1"/>
    <col min="44" max="44" width="23.625" customWidth="1"/>
    <col min="45" max="46" width="18" customWidth="1"/>
    <col min="47" max="47" width="19" customWidth="1"/>
    <col min="48" max="48" width="18" customWidth="1"/>
    <col min="49" max="50" width="22.625" customWidth="1"/>
    <col min="51" max="51" width="23.625" customWidth="1"/>
    <col min="52" max="52" width="22.625" customWidth="1"/>
    <col min="53" max="54" width="16" customWidth="1"/>
    <col min="55" max="55" width="17" customWidth="1"/>
    <col min="56" max="56" width="16" customWidth="1"/>
    <col min="57" max="57" width="23.625" customWidth="1"/>
    <col min="58" max="58" width="30" customWidth="1"/>
    <col min="59" max="59" width="29" customWidth="1"/>
    <col min="60" max="60" width="27" customWidth="1"/>
    <col min="61" max="62" width="23.625" customWidth="1"/>
    <col min="63" max="63" width="25" customWidth="1"/>
    <col min="64" max="64" width="23.625" customWidth="1"/>
    <col min="65" max="65" width="35" customWidth="1"/>
    <col min="66" max="67" width="23.625" customWidth="1"/>
    <col min="68" max="68" width="25" customWidth="1"/>
    <col min="69" max="69" width="23.625" customWidth="1"/>
    <col min="70" max="71" width="35" customWidth="1"/>
    <col min="72" max="72" width="19" customWidth="1"/>
    <col min="73" max="73" width="27" customWidth="1"/>
    <col min="74" max="74" width="28" customWidth="1"/>
    <col min="75" max="75" width="27" customWidth="1"/>
    <col min="76" max="77" width="28" customWidth="1"/>
    <col min="78" max="79" width="23.625" customWidth="1"/>
    <col min="80" max="80" width="25" customWidth="1"/>
    <col min="81" max="81" width="23.625" customWidth="1"/>
    <col min="82" max="82" width="33.625" customWidth="1"/>
    <col min="83" max="84" width="21.625" customWidth="1"/>
    <col min="85" max="85" width="22.625" customWidth="1"/>
    <col min="86" max="86" width="21.625" customWidth="1"/>
    <col min="87" max="87" width="25" customWidth="1"/>
    <col min="88" max="89" width="27" customWidth="1"/>
    <col min="90" max="90" width="28" customWidth="1"/>
    <col min="91" max="91" width="27" customWidth="1"/>
    <col min="92" max="92" width="30" customWidth="1"/>
    <col min="93" max="94" width="28" customWidth="1"/>
    <col min="95" max="95" width="29" customWidth="1"/>
    <col min="96" max="96" width="28" customWidth="1"/>
    <col min="97" max="97" width="31.625" customWidth="1"/>
    <col min="98" max="99" width="27" customWidth="1"/>
    <col min="100" max="100" width="28" customWidth="1"/>
    <col min="101" max="101" width="27" customWidth="1"/>
    <col min="102" max="103" width="28" customWidth="1"/>
    <col min="104" max="104" width="29" customWidth="1"/>
    <col min="105" max="105" width="28" customWidth="1"/>
    <col min="106" max="107" width="30" customWidth="1"/>
    <col min="108" max="108" width="31.625" customWidth="1"/>
    <col min="109" max="109" width="30" customWidth="1"/>
    <col min="110" max="110" width="18" customWidth="1"/>
    <col min="111" max="111" width="26" customWidth="1"/>
    <col min="112" max="112" width="25" customWidth="1"/>
    <col min="113" max="113" width="32.625" customWidth="1"/>
    <col min="114" max="114" width="33.625" customWidth="1"/>
    <col min="115" max="115" width="23.625" customWidth="1"/>
    <col min="116" max="116" width="28" customWidth="1"/>
    <col min="117" max="117" width="23.625" customWidth="1"/>
    <col min="118" max="118" width="28" customWidth="1"/>
    <col min="119" max="119" width="26" customWidth="1"/>
    <col min="120" max="120" width="28" customWidth="1"/>
    <col min="121" max="121" width="32.625" customWidth="1"/>
    <col min="122" max="122" width="26" customWidth="1"/>
    <col min="123" max="123" width="32.625" customWidth="1"/>
    <col min="124" max="124" width="33.625" customWidth="1"/>
    <col min="125" max="125" width="26" customWidth="1"/>
    <col min="126" max="127" width="30" customWidth="1"/>
    <col min="128" max="128" width="29" customWidth="1"/>
    <col min="129" max="129" width="31.625" customWidth="1"/>
    <col min="130" max="130" width="23.625" customWidth="1"/>
    <col min="131" max="131" width="30" customWidth="1"/>
    <col min="132" max="132" width="25" customWidth="1"/>
    <col min="133" max="133" width="29" customWidth="1"/>
    <col min="134" max="134" width="27" customWidth="1"/>
    <col min="135" max="135" width="26" customWidth="1"/>
    <col min="136" max="136" width="31.625" customWidth="1"/>
    <col min="137" max="137" width="26" customWidth="1"/>
    <col min="138" max="139" width="19" customWidth="1"/>
    <col min="140" max="140" width="20" customWidth="1"/>
    <col min="141" max="141" width="18" customWidth="1"/>
    <col min="142" max="143" width="32.625" customWidth="1"/>
    <col min="144" max="144" width="28" customWidth="1"/>
    <col min="145" max="145" width="32.625" customWidth="1"/>
    <col min="146" max="146" width="26" customWidth="1"/>
    <col min="147" max="147" width="28" customWidth="1"/>
    <col min="148" max="148" width="32.625" customWidth="1"/>
    <col min="149" max="149" width="29" customWidth="1"/>
    <col min="150" max="151" width="16" customWidth="1"/>
    <col min="152" max="152" width="17" customWidth="1"/>
    <col min="153" max="153" width="16" customWidth="1"/>
    <col min="154" max="154" width="33.625" customWidth="1"/>
    <col min="155" max="155" width="25" customWidth="1"/>
    <col min="156" max="156" width="26" customWidth="1"/>
    <col min="157" max="157" width="22.625" customWidth="1"/>
    <col min="158" max="158" width="15" customWidth="1"/>
    <col min="159" max="159" width="16" customWidth="1"/>
    <col min="160" max="160" width="13.625" customWidth="1"/>
    <col min="161" max="161" width="26" customWidth="1"/>
    <col min="162" max="162" width="23.625" customWidth="1"/>
    <col min="163" max="163" width="26" customWidth="1"/>
    <col min="164" max="164" width="23.625" customWidth="1"/>
    <col min="165" max="165" width="25" customWidth="1"/>
    <col min="166" max="166" width="22.625" customWidth="1"/>
    <col min="167" max="167" width="25" customWidth="1"/>
    <col min="168" max="168" width="22.625" customWidth="1"/>
    <col min="169" max="169" width="18" customWidth="1"/>
    <col min="170" max="170" width="8" customWidth="1"/>
    <col min="171" max="171" width="12.625" customWidth="1"/>
    <col min="172" max="172" width="35" customWidth="1"/>
    <col min="173" max="173" width="29" customWidth="1"/>
    <col min="174" max="174" width="41.625" customWidth="1"/>
    <col min="175" max="175" width="40" customWidth="1"/>
    <col min="176" max="176" width="8" customWidth="1"/>
    <col min="177" max="177" width="13.625" customWidth="1"/>
    <col min="178" max="178" width="12.625" customWidth="1"/>
    <col min="179" max="179" width="10" customWidth="1"/>
    <col min="180" max="180" width="13.625" customWidth="1"/>
    <col min="181" max="181" width="11.625" customWidth="1"/>
    <col min="182" max="182" width="10" customWidth="1"/>
    <col min="183" max="184" width="17" customWidth="1"/>
    <col min="185" max="185" width="13.625" customWidth="1"/>
    <col min="186" max="186" width="11.625" customWidth="1"/>
    <col min="187" max="188" width="13.625" customWidth="1"/>
    <col min="189" max="189" width="10" customWidth="1"/>
    <col min="190" max="190" width="16" customWidth="1"/>
    <col min="191" max="191" width="10" customWidth="1"/>
    <col min="192" max="192" width="16" customWidth="1"/>
    <col min="193" max="194" width="40" customWidth="1"/>
    <col min="195" max="195" width="8" customWidth="1"/>
    <col min="196" max="196" width="13.625" customWidth="1"/>
    <col min="197" max="197" width="12.625" customWidth="1"/>
    <col min="198" max="198" width="10" customWidth="1"/>
    <col min="199" max="199" width="13.625" customWidth="1"/>
    <col min="200" max="200" width="11.625" customWidth="1"/>
    <col min="201" max="201" width="10" customWidth="1"/>
    <col min="202" max="203" width="17" customWidth="1"/>
    <col min="204" max="204" width="13.625" customWidth="1"/>
    <col min="205" max="205" width="11.625" customWidth="1"/>
    <col min="206" max="207" width="13.625" customWidth="1"/>
    <col min="208" max="209" width="10" customWidth="1"/>
    <col min="210" max="210" width="7" customWidth="1"/>
    <col min="211" max="211" width="12.625" customWidth="1"/>
    <col min="212" max="212" width="11.625" customWidth="1"/>
    <col min="213" max="213" width="9" customWidth="1"/>
    <col min="214" max="214" width="12.625" customWidth="1"/>
    <col min="215" max="215" width="10" customWidth="1"/>
    <col min="216" max="216" width="9" customWidth="1"/>
    <col min="217" max="218" width="16" customWidth="1"/>
    <col min="219" max="219" width="12.625" customWidth="1"/>
    <col min="220" max="220" width="10" customWidth="1"/>
    <col min="221" max="222" width="12.625" customWidth="1"/>
    <col min="223" max="224" width="9" customWidth="1"/>
    <col min="225" max="225" width="15" customWidth="1"/>
    <col min="226" max="226" width="13.625" customWidth="1"/>
    <col min="227" max="228" width="20" customWidth="1"/>
    <col min="229" max="229" width="17" customWidth="1"/>
    <col min="230" max="230" width="15" customWidth="1"/>
    <col min="231" max="232" width="17" customWidth="1"/>
    <col min="233" max="233" width="10" customWidth="1"/>
    <col min="234" max="234" width="16" customWidth="1"/>
    <col min="235" max="235" width="15" customWidth="1"/>
    <col min="236" max="236" width="12.625" customWidth="1"/>
    <col min="237" max="237" width="16" customWidth="1"/>
    <col min="238" max="238" width="13.625" customWidth="1"/>
    <col min="239" max="239" width="12.625" customWidth="1"/>
    <col min="240" max="241" width="19" customWidth="1"/>
    <col min="242" max="242" width="16" customWidth="1"/>
    <col min="243" max="243" width="13.625" customWidth="1"/>
    <col min="244" max="245" width="16" customWidth="1"/>
    <col min="246" max="247" width="12.625" customWidth="1"/>
    <col min="248" max="248" width="21.625" customWidth="1"/>
    <col min="249" max="249" width="26" customWidth="1"/>
    <col min="250" max="250" width="12.625" customWidth="1"/>
    <col min="251" max="251" width="18" customWidth="1"/>
    <col min="252" max="252" width="17" customWidth="1"/>
    <col min="253" max="253" width="15" customWidth="1"/>
    <col min="254" max="254" width="18" customWidth="1"/>
    <col min="255" max="255" width="16" customWidth="1"/>
    <col min="256" max="256" width="15" customWidth="1"/>
    <col min="257" max="258" width="21.625" customWidth="1"/>
    <col min="259" max="259" width="18" customWidth="1"/>
    <col min="260" max="260" width="16" customWidth="1"/>
    <col min="261" max="262" width="18" customWidth="1"/>
    <col min="263" max="264" width="15" customWidth="1"/>
    <col min="265" max="265" width="22.625" customWidth="1"/>
    <col min="266" max="266" width="26" customWidth="1"/>
    <col min="267" max="267" width="17" customWidth="1"/>
    <col min="268" max="268" width="16" customWidth="1"/>
    <col min="269" max="270" width="22.625" customWidth="1"/>
    <col min="271" max="271" width="19" customWidth="1"/>
    <col min="272" max="272" width="17" customWidth="1"/>
    <col min="273" max="274" width="19" customWidth="1"/>
    <col min="275" max="275" width="20" customWidth="1"/>
    <col min="276" max="276" width="19" customWidth="1"/>
    <col min="277" max="278" width="26" customWidth="1"/>
    <col min="279" max="279" width="22.625" customWidth="1"/>
    <col min="280" max="280" width="20" customWidth="1"/>
    <col min="281" max="282" width="22.625" customWidth="1"/>
    <col min="283" max="283" width="13.625" customWidth="1"/>
    <col min="284" max="284" width="12.625" customWidth="1"/>
    <col min="285" max="286" width="19" customWidth="1"/>
    <col min="287" max="287" width="16" customWidth="1"/>
    <col min="288" max="288" width="13.625" customWidth="1"/>
    <col min="289" max="290" width="16" customWidth="1"/>
    <col min="291" max="291" width="15" customWidth="1"/>
    <col min="292" max="292" width="13.625" customWidth="1"/>
    <col min="293" max="294" width="20" customWidth="1"/>
    <col min="295" max="295" width="17" customWidth="1"/>
    <col min="296" max="296" width="15" customWidth="1"/>
    <col min="297" max="298" width="17" customWidth="1"/>
    <col min="299" max="299" width="13.625" customWidth="1"/>
    <col min="300" max="300" width="17" customWidth="1"/>
    <col min="301" max="301" width="16" customWidth="1"/>
    <col min="302" max="302" width="22.625" customWidth="1"/>
    <col min="303" max="303" width="17" customWidth="1"/>
    <col min="304" max="304" width="20" customWidth="1"/>
    <col min="305" max="305" width="23.625" customWidth="1"/>
    <col min="306" max="306" width="22.625" customWidth="1"/>
    <col min="307" max="307" width="29" customWidth="1"/>
    <col min="308" max="308" width="23.625" customWidth="1"/>
    <col min="309" max="310" width="16" customWidth="1"/>
    <col min="311" max="312" width="17" customWidth="1"/>
    <col min="313" max="313" width="10" customWidth="1"/>
    <col min="314" max="314" width="22.625" customWidth="1"/>
    <col min="315" max="315" width="20" customWidth="1"/>
    <col min="316" max="316" width="26" customWidth="1"/>
    <col min="317" max="317" width="21.625" customWidth="1"/>
    <col min="318" max="318" width="25" customWidth="1"/>
    <col min="319" max="319" width="22.625" customWidth="1"/>
    <col min="320" max="320" width="26" customWidth="1"/>
    <col min="321" max="321" width="29" customWidth="1"/>
    <col min="322" max="322" width="16" customWidth="1"/>
    <col min="323" max="323" width="19" customWidth="1"/>
    <col min="324" max="324" width="17" customWidth="1"/>
    <col min="325" max="325" width="21.625" customWidth="1"/>
    <col min="326" max="327" width="38" customWidth="1"/>
    <col min="328" max="328" width="19" customWidth="1"/>
    <col min="329" max="329" width="26" customWidth="1"/>
    <col min="330" max="330" width="30" customWidth="1"/>
    <col min="331" max="331" width="25" customWidth="1"/>
    <col min="332" max="332" width="23.625" customWidth="1"/>
    <col min="333" max="333" width="28" customWidth="1"/>
    <col min="334" max="334" width="19" customWidth="1"/>
    <col min="335" max="335" width="26" customWidth="1"/>
    <col min="336" max="336" width="30" customWidth="1"/>
    <col min="337" max="337" width="17" customWidth="1"/>
    <col min="338" max="338" width="25" customWidth="1"/>
    <col min="339" max="339" width="15" customWidth="1"/>
    <col min="340" max="341" width="19" customWidth="1"/>
    <col min="342" max="342" width="22.625" customWidth="1"/>
    <col min="343" max="343" width="21.625" customWidth="1"/>
    <col min="344" max="344" width="23.625" customWidth="1"/>
    <col min="345" max="345" width="26" customWidth="1"/>
    <col min="346" max="346" width="13.625" customWidth="1"/>
    <col min="347" max="347" width="20" customWidth="1"/>
    <col min="348" max="348" width="17" customWidth="1"/>
    <col min="349" max="349" width="33.625" customWidth="1"/>
    <col min="350" max="350" width="27" customWidth="1"/>
    <col min="351" max="351" width="18" customWidth="1"/>
    <col min="352" max="352" width="13.625" customWidth="1"/>
    <col min="353" max="353" width="21.625" customWidth="1"/>
    <col min="354" max="354" width="25" customWidth="1"/>
    <col min="355" max="355" width="23.625" customWidth="1"/>
    <col min="356" max="356" width="30" customWidth="1"/>
    <col min="357" max="357" width="25" customWidth="1"/>
    <col min="358" max="358" width="23.625" customWidth="1"/>
    <col min="359" max="359" width="27" customWidth="1"/>
    <col min="360" max="360" width="26" customWidth="1"/>
    <col min="361" max="361" width="32.625" customWidth="1"/>
    <col min="362" max="362" width="27" customWidth="1"/>
    <col min="363" max="363" width="13.625" customWidth="1"/>
    <col min="364" max="364" width="17" customWidth="1"/>
    <col min="365" max="365" width="16" customWidth="1"/>
    <col min="366" max="366" width="22.625" customWidth="1"/>
    <col min="367" max="367" width="17" customWidth="1"/>
    <col min="368" max="368" width="13.625" customWidth="1"/>
    <col min="369" max="369" width="17" customWidth="1"/>
    <col min="370" max="370" width="16" customWidth="1"/>
    <col min="371" max="371" width="22.625" customWidth="1"/>
    <col min="372" max="372" width="17" customWidth="1"/>
    <col min="373" max="373" width="13.625" customWidth="1"/>
    <col min="374" max="374" width="17" customWidth="1"/>
    <col min="375" max="375" width="16" customWidth="1"/>
    <col min="376" max="376" width="22.625" customWidth="1"/>
    <col min="377" max="377" width="17" customWidth="1"/>
    <col min="378" max="378" width="13.625" customWidth="1"/>
    <col min="379" max="379" width="17" customWidth="1"/>
    <col min="380" max="380" width="16" customWidth="1"/>
    <col min="381" max="381" width="22.625" customWidth="1"/>
    <col min="382" max="382" width="17" customWidth="1"/>
    <col min="383" max="383" width="16" customWidth="1"/>
    <col min="384" max="384" width="19" customWidth="1"/>
    <col min="385" max="385" width="18" customWidth="1"/>
    <col min="386" max="386" width="25" customWidth="1"/>
    <col min="387" max="387" width="19" customWidth="1"/>
    <col min="388" max="388" width="16" customWidth="1"/>
    <col min="389" max="389" width="19" customWidth="1"/>
    <col min="390" max="390" width="18" customWidth="1"/>
    <col min="391" max="391" width="25" customWidth="1"/>
    <col min="392" max="392" width="19" customWidth="1"/>
    <col min="393" max="393" width="12.625" customWidth="1"/>
    <col min="394" max="394" width="16" customWidth="1"/>
    <col min="395" max="395" width="15" customWidth="1"/>
    <col min="396" max="396" width="21.625" customWidth="1"/>
    <col min="397" max="397" width="16" customWidth="1"/>
    <col min="398" max="398" width="12.625" customWidth="1"/>
    <col min="399" max="399" width="16" customWidth="1"/>
    <col min="400" max="400" width="15" customWidth="1"/>
    <col min="401" max="401" width="21.625" customWidth="1"/>
    <col min="402" max="402" width="16" customWidth="1"/>
    <col min="403" max="403" width="18" customWidth="1"/>
    <col min="404" max="404" width="21.625" customWidth="1"/>
    <col min="405" max="405" width="20" customWidth="1"/>
    <col min="406" max="406" width="27" customWidth="1"/>
    <col min="407" max="407" width="21.625" customWidth="1"/>
    <col min="408" max="408" width="18" customWidth="1"/>
    <col min="409" max="409" width="21.625" customWidth="1"/>
    <col min="410" max="410" width="20" customWidth="1"/>
    <col min="411" max="411" width="27" customWidth="1"/>
    <col min="412" max="412" width="21.625" customWidth="1"/>
    <col min="413" max="413" width="18" customWidth="1"/>
    <col min="414" max="414" width="21.625" customWidth="1"/>
    <col min="415" max="415" width="20" customWidth="1"/>
    <col min="416" max="416" width="27" customWidth="1"/>
    <col min="417" max="417" width="21.625" customWidth="1"/>
    <col min="418" max="418" width="19" customWidth="1"/>
    <col min="419" max="419" width="22.625" customWidth="1"/>
    <col min="420" max="420" width="21.625" customWidth="1"/>
    <col min="421" max="421" width="28" customWidth="1"/>
    <col min="422" max="422" width="22.625" customWidth="1"/>
    <col min="423" max="423" width="19" customWidth="1"/>
    <col min="424" max="424" width="22.625" customWidth="1"/>
    <col min="425" max="425" width="21.625" customWidth="1"/>
    <col min="426" max="426" width="28" customWidth="1"/>
    <col min="427" max="427" width="22.625" customWidth="1"/>
    <col min="428" max="428" width="17" customWidth="1"/>
    <col min="429" max="429" width="16" customWidth="1"/>
    <col min="430" max="430" width="22.625" customWidth="1"/>
    <col min="431" max="432" width="17" customWidth="1"/>
    <col min="433" max="433" width="16" customWidth="1"/>
    <col min="434" max="434" width="22.625" customWidth="1"/>
    <col min="435" max="436" width="17" customWidth="1"/>
    <col min="437" max="437" width="16" customWidth="1"/>
    <col min="438" max="438" width="22.625" customWidth="1"/>
    <col min="439" max="440" width="17" customWidth="1"/>
    <col min="441" max="441" width="16" customWidth="1"/>
    <col min="442" max="442" width="22.625" customWidth="1"/>
    <col min="443" max="444" width="17" customWidth="1"/>
    <col min="445" max="445" width="35" customWidth="1"/>
    <col min="446" max="446" width="28" customWidth="1"/>
    <col min="447" max="447" width="26" customWidth="1"/>
    <col min="448" max="448" width="33.625" customWidth="1"/>
    <col min="449" max="449" width="21.625" customWidth="1"/>
    <col min="450" max="450" width="26" customWidth="1"/>
    <col min="451" max="451" width="36" customWidth="1"/>
    <col min="452" max="452" width="29" customWidth="1"/>
    <col min="453" max="453" width="27" customWidth="1"/>
    <col min="454" max="454" width="35" customWidth="1"/>
    <col min="455" max="455" width="22.625" customWidth="1"/>
    <col min="456" max="456" width="23.625" customWidth="1"/>
    <col min="457" max="457" width="36" customWidth="1"/>
    <col min="458" max="458" width="29" customWidth="1"/>
    <col min="459" max="459" width="27" customWidth="1"/>
    <col min="460" max="460" width="35" customWidth="1"/>
    <col min="461" max="461" width="15" customWidth="1"/>
    <col min="462" max="462" width="19" customWidth="1"/>
    <col min="463" max="463" width="16" customWidth="1"/>
    <col min="464" max="464" width="22.625" customWidth="1"/>
    <col min="465" max="465" width="23.625" customWidth="1"/>
    <col min="466" max="466" width="19" customWidth="1"/>
    <col min="467" max="467" width="21.625" customWidth="1"/>
    <col min="468" max="468" width="19" customWidth="1"/>
    <col min="469" max="469" width="15" customWidth="1"/>
    <col min="470" max="471" width="25" customWidth="1"/>
    <col min="472" max="472" width="16" customWidth="1"/>
    <col min="473" max="473" width="22.625" customWidth="1"/>
    <col min="474" max="474" width="19" customWidth="1"/>
    <col min="475" max="475" width="20" customWidth="1"/>
    <col min="476" max="476" width="23.625" customWidth="1"/>
    <col min="477" max="477" width="13.625" customWidth="1"/>
    <col min="478" max="478" width="18" customWidth="1"/>
    <col min="479" max="479" width="27" customWidth="1"/>
    <col min="480" max="480" width="30" customWidth="1"/>
    <col min="481" max="481" width="20" customWidth="1"/>
    <col min="482" max="482" width="11.625" customWidth="1"/>
    <col min="483" max="483" width="15" customWidth="1"/>
    <col min="484" max="484" width="9" customWidth="1"/>
    <col min="485" max="485" width="8" customWidth="1"/>
    <col min="486" max="486" width="13.625" customWidth="1"/>
    <col min="487" max="487" width="12.625" customWidth="1"/>
    <col min="488" max="488" width="18" customWidth="1"/>
    <col min="489" max="489" width="16" customWidth="1"/>
    <col min="490" max="491" width="17" customWidth="1"/>
    <col min="492" max="492" width="18" customWidth="1"/>
    <col min="493" max="493" width="19" customWidth="1"/>
    <col min="494" max="494" width="17" customWidth="1"/>
    <col min="495" max="495" width="19" customWidth="1"/>
    <col min="496" max="496" width="10" customWidth="1"/>
    <col min="497" max="497" width="12.625" customWidth="1"/>
    <col min="498" max="498" width="20" customWidth="1"/>
    <col min="499" max="499" width="19" customWidth="1"/>
    <col min="500" max="500" width="17" customWidth="1"/>
    <col min="501" max="501" width="20" customWidth="1"/>
    <col min="502" max="502" width="22.625" customWidth="1"/>
    <col min="503" max="503" width="21.625" customWidth="1"/>
    <col min="504" max="504" width="19" customWidth="1"/>
    <col min="505" max="505" width="22.625" customWidth="1"/>
    <col min="506" max="506" width="20" customWidth="1"/>
    <col min="507" max="507" width="15" customWidth="1"/>
    <col min="508" max="510" width="13.625" customWidth="1"/>
    <col min="511" max="511" width="21.625" customWidth="1"/>
    <col min="512" max="512" width="19" customWidth="1"/>
    <col min="513" max="513" width="20" customWidth="1"/>
    <col min="514" max="515" width="28" customWidth="1"/>
    <col min="516" max="516" width="21.625" customWidth="1"/>
    <col min="517" max="517" width="27" customWidth="1"/>
    <col min="518" max="518" width="28" customWidth="1"/>
    <col min="519" max="519" width="26" customWidth="1"/>
    <col min="520" max="521" width="22.625" customWidth="1"/>
    <col min="522" max="522" width="21.625" customWidth="1"/>
    <col min="523" max="523" width="27" customWidth="1"/>
    <col min="524" max="524" width="28" customWidth="1"/>
    <col min="525" max="525" width="27" customWidth="1"/>
    <col min="526" max="526" width="28" customWidth="1"/>
    <col min="527" max="527" width="25" customWidth="1"/>
    <col min="528" max="528" width="20" customWidth="1"/>
    <col min="529" max="529" width="30" customWidth="1"/>
    <col min="530" max="530" width="29" customWidth="1"/>
    <col min="531" max="531" width="26" customWidth="1"/>
    <col min="532" max="532" width="35" customWidth="1"/>
    <col min="533" max="534" width="15" customWidth="1"/>
    <col min="535" max="535" width="20" customWidth="1"/>
    <col min="536" max="536" width="22.625" customWidth="1"/>
    <col min="537" max="537" width="29" customWidth="1"/>
    <col min="538" max="538" width="26" customWidth="1"/>
    <col min="539" max="539" width="29" customWidth="1"/>
    <col min="540" max="540" width="22.625" customWidth="1"/>
    <col min="541" max="541" width="28" customWidth="1"/>
    <col min="542" max="542" width="25" customWidth="1"/>
    <col min="543" max="543" width="39" customWidth="1"/>
    <col min="544" max="544" width="27" customWidth="1"/>
    <col min="545" max="545" width="28" customWidth="1"/>
    <col min="546" max="546" width="22.625" customWidth="1"/>
    <col min="547" max="548" width="32.625" customWidth="1"/>
    <col min="549" max="549" width="33.625" customWidth="1"/>
    <col min="550" max="550" width="32.625" customWidth="1"/>
    <col min="551" max="552" width="30" customWidth="1"/>
    <col min="553" max="553" width="31.625" customWidth="1"/>
    <col min="554" max="554" width="30" customWidth="1"/>
    <col min="555" max="556" width="29" customWidth="1"/>
    <col min="557" max="557" width="30" customWidth="1"/>
    <col min="558" max="558" width="29" customWidth="1"/>
    <col min="559" max="560" width="31.625" customWidth="1"/>
    <col min="561" max="561" width="32.625" customWidth="1"/>
    <col min="562" max="562" width="31.625" customWidth="1"/>
    <col min="563" max="564" width="39" customWidth="1"/>
    <col min="565" max="565" width="40" customWidth="1"/>
    <col min="566" max="566" width="39" customWidth="1"/>
    <col min="567" max="567" width="20" customWidth="1"/>
    <col min="568" max="568" width="26" customWidth="1"/>
    <col min="569" max="569" width="28" customWidth="1"/>
    <col min="570" max="570" width="23.625" customWidth="1"/>
    <col min="571" max="571" width="22.625" customWidth="1"/>
    <col min="572" max="572" width="29" customWidth="1"/>
    <col min="573" max="574" width="23.625" customWidth="1"/>
    <col min="575" max="575" width="22.625" customWidth="1"/>
    <col min="576" max="576" width="29" customWidth="1"/>
    <col min="577" max="577" width="23.625" customWidth="1"/>
    <col min="578" max="578" width="26" customWidth="1"/>
    <col min="579" max="579" width="25" customWidth="1"/>
    <col min="580" max="580" width="31.625" customWidth="1"/>
    <col min="581" max="581" width="26" customWidth="1"/>
    <col min="582" max="582" width="22.625" customWidth="1"/>
    <col min="583" max="583" width="21.625" customWidth="1"/>
    <col min="584" max="584" width="28" customWidth="1"/>
    <col min="585" max="585" width="22.625" customWidth="1"/>
    <col min="586" max="586" width="28" customWidth="1"/>
    <col min="587" max="587" width="27" customWidth="1"/>
    <col min="588" max="588" width="33.625" customWidth="1"/>
    <col min="589" max="589" width="28" customWidth="1"/>
    <col min="590" max="590" width="29" customWidth="1"/>
    <col min="591" max="591" width="28" customWidth="1"/>
    <col min="592" max="592" width="35" customWidth="1"/>
    <col min="593" max="593" width="29" customWidth="1"/>
    <col min="594" max="594" width="26" customWidth="1"/>
    <col min="595" max="595" width="25" customWidth="1"/>
    <col min="596" max="596" width="31.625" customWidth="1"/>
    <col min="597" max="597" width="26" customWidth="1"/>
    <col min="598" max="598" width="27" customWidth="1"/>
    <col min="599" max="599" width="26" customWidth="1"/>
    <col min="600" max="600" width="32.625" customWidth="1"/>
    <col min="601" max="601" width="27" customWidth="1"/>
    <col min="602" max="602" width="32.625" customWidth="1"/>
    <col min="603" max="603" width="31.625" customWidth="1"/>
    <col min="604" max="604" width="38" customWidth="1"/>
    <col min="605" max="605" width="32.625" customWidth="1"/>
    <col min="606" max="606" width="27" customWidth="1"/>
    <col min="607" max="607" width="26" customWidth="1"/>
    <col min="608" max="608" width="32.625" customWidth="1"/>
    <col min="609" max="609" width="27" customWidth="1"/>
    <col min="610" max="610" width="29" customWidth="1"/>
    <col min="611" max="611" width="28" customWidth="1"/>
    <col min="612" max="612" width="35" customWidth="1"/>
    <col min="613" max="614" width="29" customWidth="1"/>
    <col min="615" max="615" width="28" customWidth="1"/>
    <col min="616" max="616" width="35" customWidth="1"/>
    <col min="617" max="617" width="29" customWidth="1"/>
    <col min="618" max="618" width="31.625" customWidth="1"/>
    <col min="619" max="619" width="30" customWidth="1"/>
    <col min="620" max="620" width="37" customWidth="1"/>
    <col min="621" max="621" width="31.625" customWidth="1"/>
    <col min="622" max="622" width="28" customWidth="1"/>
    <col min="623" max="623" width="27" customWidth="1"/>
    <col min="624" max="624" width="33.625" customWidth="1"/>
    <col min="625" max="625" width="28" customWidth="1"/>
    <col min="626" max="626" width="33.625" customWidth="1"/>
    <col min="627" max="627" width="32.625" customWidth="1"/>
    <col min="628" max="628" width="39" customWidth="1"/>
    <col min="629" max="629" width="33.625" customWidth="1"/>
    <col min="630" max="630" width="35" customWidth="1"/>
    <col min="631" max="631" width="33.625" customWidth="1"/>
    <col min="632" max="632" width="40" customWidth="1"/>
    <col min="633" max="633" width="35" customWidth="1"/>
    <col min="634" max="634" width="31.625" customWidth="1"/>
    <col min="635" max="635" width="30" customWidth="1"/>
    <col min="636" max="636" width="37" customWidth="1"/>
    <col min="637" max="637" width="31.625" customWidth="1"/>
    <col min="638" max="638" width="29" customWidth="1"/>
    <col min="639" max="639" width="28" customWidth="1"/>
    <col min="640" max="640" width="35" customWidth="1"/>
    <col min="641" max="642" width="29" customWidth="1"/>
    <col min="643" max="643" width="28" customWidth="1"/>
    <col min="644" max="644" width="35" customWidth="1"/>
    <col min="645" max="645" width="29" customWidth="1"/>
    <col min="646" max="646" width="31.625" customWidth="1"/>
    <col min="647" max="647" width="30" customWidth="1"/>
    <col min="648" max="648" width="37" customWidth="1"/>
    <col min="649" max="649" width="31.625" customWidth="1"/>
    <col min="650" max="650" width="28" customWidth="1"/>
    <col min="651" max="651" width="27" customWidth="1"/>
    <col min="652" max="652" width="33.625" customWidth="1"/>
    <col min="653" max="653" width="28" customWidth="1"/>
    <col min="654" max="654" width="33.625" customWidth="1"/>
    <col min="655" max="655" width="32.625" customWidth="1"/>
    <col min="656" max="656" width="39" customWidth="1"/>
    <col min="657" max="657" width="33.625" customWidth="1"/>
    <col min="658" max="658" width="35" customWidth="1"/>
    <col min="659" max="659" width="33.625" customWidth="1"/>
    <col min="660" max="660" width="40" customWidth="1"/>
    <col min="661" max="661" width="35" customWidth="1"/>
    <col min="662" max="662" width="31.625" customWidth="1"/>
    <col min="663" max="663" width="30" customWidth="1"/>
    <col min="664" max="664" width="37" customWidth="1"/>
    <col min="665" max="665" width="31.625" customWidth="1"/>
    <col min="666" max="666" width="26" customWidth="1"/>
    <col min="667" max="667" width="25" customWidth="1"/>
    <col min="668" max="668" width="31.625" customWidth="1"/>
    <col min="669" max="670" width="26" customWidth="1"/>
    <col min="671" max="671" width="25" customWidth="1"/>
    <col min="672" max="672" width="31.625" customWidth="1"/>
    <col min="673" max="673" width="26" customWidth="1"/>
    <col min="674" max="674" width="28" customWidth="1"/>
    <col min="675" max="675" width="27" customWidth="1"/>
    <col min="676" max="676" width="33.625" customWidth="1"/>
    <col min="677" max="677" width="28" customWidth="1"/>
    <col min="678" max="678" width="25" customWidth="1"/>
    <col min="679" max="679" width="23.625" customWidth="1"/>
    <col min="680" max="680" width="30" customWidth="1"/>
    <col min="681" max="681" width="25" customWidth="1"/>
    <col min="682" max="682" width="30" customWidth="1"/>
    <col min="683" max="683" width="29" customWidth="1"/>
    <col min="684" max="684" width="36" customWidth="1"/>
    <col min="685" max="685" width="30" customWidth="1"/>
    <col min="686" max="686" width="31.625" customWidth="1"/>
    <col min="687" max="687" width="30" customWidth="1"/>
    <col min="688" max="688" width="37" customWidth="1"/>
    <col min="689" max="689" width="31.625" customWidth="1"/>
    <col min="690" max="690" width="28" customWidth="1"/>
    <col min="691" max="691" width="27" customWidth="1"/>
    <col min="692" max="692" width="33.625" customWidth="1"/>
    <col min="693" max="693" width="28" customWidth="1"/>
    <col min="694" max="694" width="26" customWidth="1"/>
    <col min="695" max="695" width="25" customWidth="1"/>
    <col min="696" max="696" width="31.625" customWidth="1"/>
    <col min="697" max="698" width="26" customWidth="1"/>
    <col min="699" max="699" width="25" customWidth="1"/>
    <col min="700" max="700" width="31.625" customWidth="1"/>
    <col min="701" max="701" width="26" customWidth="1"/>
    <col min="702" max="702" width="28" customWidth="1"/>
    <col min="703" max="703" width="27" customWidth="1"/>
    <col min="704" max="704" width="33.625" customWidth="1"/>
    <col min="705" max="705" width="28" customWidth="1"/>
    <col min="706" max="706" width="25" customWidth="1"/>
    <col min="707" max="707" width="23.625" customWidth="1"/>
    <col min="708" max="708" width="30" customWidth="1"/>
    <col min="709" max="709" width="25" customWidth="1"/>
    <col min="710" max="710" width="30" customWidth="1"/>
    <col min="711" max="711" width="29" customWidth="1"/>
    <col min="712" max="712" width="36" customWidth="1"/>
    <col min="713" max="713" width="30" customWidth="1"/>
    <col min="714" max="714" width="31.625" customWidth="1"/>
    <col min="715" max="715" width="30" customWidth="1"/>
    <col min="716" max="716" width="37" customWidth="1"/>
    <col min="717" max="717" width="31.625" customWidth="1"/>
    <col min="718" max="718" width="28" customWidth="1"/>
    <col min="719" max="719" width="27" customWidth="1"/>
    <col min="720" max="720" width="33.625" customWidth="1"/>
    <col min="721" max="721" width="28" customWidth="1"/>
    <col min="722" max="722" width="30" customWidth="1"/>
    <col min="723" max="723" width="29" customWidth="1"/>
    <col min="724" max="724" width="36" customWidth="1"/>
    <col min="725" max="725" width="30" customWidth="1"/>
    <col min="726" max="726" width="27" customWidth="1"/>
    <col min="727" max="727" width="26" customWidth="1"/>
    <col min="728" max="728" width="32.625" customWidth="1"/>
    <col min="729" max="729" width="27" customWidth="1"/>
    <col min="730" max="730" width="32.625" customWidth="1"/>
    <col min="731" max="731" width="31.625" customWidth="1"/>
    <col min="732" max="732" width="38" customWidth="1"/>
    <col min="733" max="733" width="32.625" customWidth="1"/>
    <col min="734" max="734" width="28" customWidth="1"/>
    <col min="735" max="735" width="27" customWidth="1"/>
    <col min="736" max="736" width="33.625" customWidth="1"/>
    <col min="737" max="738" width="28" customWidth="1"/>
    <col min="739" max="739" width="27" customWidth="1"/>
    <col min="740" max="740" width="33.625" customWidth="1"/>
    <col min="741" max="741" width="28" customWidth="1"/>
    <col min="742" max="742" width="29" customWidth="1"/>
    <col min="743" max="743" width="28" customWidth="1"/>
    <col min="744" max="744" width="35" customWidth="1"/>
    <col min="745" max="745" width="29" customWidth="1"/>
    <col min="746" max="746" width="36" customWidth="1"/>
    <col min="747" max="747" width="35" customWidth="1"/>
    <col min="748" max="748" width="41.625" customWidth="1"/>
    <col min="749" max="749" width="36" customWidth="1"/>
    <col min="750" max="750" width="30" customWidth="1"/>
    <col min="751" max="751" width="29" customWidth="1"/>
    <col min="752" max="752" width="36" customWidth="1"/>
    <col min="753" max="753" width="30" customWidth="1"/>
    <col min="754" max="754" width="31.625" customWidth="1"/>
    <col min="755" max="755" width="36" customWidth="1"/>
    <col min="756" max="756" width="38" customWidth="1"/>
    <col min="757" max="757" width="27" customWidth="1"/>
    <col min="758" max="759" width="39" customWidth="1"/>
    <col min="760" max="760" width="40" customWidth="1"/>
    <col min="761" max="761" width="39" customWidth="1"/>
    <col min="762" max="763" width="32.625" customWidth="1"/>
    <col min="764" max="764" width="33.625" customWidth="1"/>
    <col min="765" max="765" width="32.625" customWidth="1"/>
    <col min="766" max="767" width="31.625" customWidth="1"/>
    <col min="768" max="768" width="32.625" customWidth="1"/>
    <col min="769" max="769" width="31.625" customWidth="1"/>
    <col min="770" max="771" width="30" customWidth="1"/>
    <col min="772" max="772" width="31.625" customWidth="1"/>
    <col min="773" max="773" width="30" customWidth="1"/>
    <col min="774" max="774" width="38" customWidth="1"/>
    <col min="775" max="775" width="36" customWidth="1"/>
    <col min="776" max="776" width="38" customWidth="1"/>
    <col min="777" max="777" width="36" customWidth="1"/>
    <col min="778" max="778" width="37" customWidth="1"/>
    <col min="779" max="779" width="35" customWidth="1"/>
    <col min="780" max="780" width="37" customWidth="1"/>
    <col min="781" max="781" width="35" customWidth="1"/>
    <col min="782" max="783" width="39" customWidth="1"/>
    <col min="784" max="784" width="40" customWidth="1"/>
    <col min="785" max="785" width="39" customWidth="1"/>
    <col min="786" max="787" width="40" customWidth="1"/>
    <col min="788" max="788" width="41.625" customWidth="1"/>
    <col min="789" max="789" width="40" customWidth="1"/>
    <col min="790" max="791" width="36" customWidth="1"/>
    <col min="792" max="792" width="37" customWidth="1"/>
    <col min="793" max="793" width="36" customWidth="1"/>
    <col min="794" max="795" width="29" customWidth="1"/>
    <col min="796" max="797" width="28" customWidth="1"/>
    <col min="798" max="798" width="35" customWidth="1"/>
    <col min="799" max="799" width="27" customWidth="1"/>
    <col min="800" max="800" width="38" customWidth="1"/>
    <col min="801" max="801" width="36" customWidth="1"/>
    <col min="802" max="802" width="45" customWidth="1"/>
    <col min="803" max="803" width="49" customWidth="1"/>
    <col min="804" max="804" width="41.62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</sheetData>
  <phoneticPr fontId="2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FM742"/>
  <sheetViews>
    <sheetView showGridLines="0" tabSelected="1" zoomScale="70" zoomScaleNormal="70" workbookViewId="0">
      <pane xSplit="4" ySplit="3" topLeftCell="O723" activePane="bottomRight" state="frozen"/>
      <selection pane="topRight"/>
      <selection pane="bottomLeft"/>
      <selection pane="bottomRight" activeCell="V750" sqref="V750"/>
    </sheetView>
  </sheetViews>
  <sheetFormatPr defaultColWidth="20.875" defaultRowHeight="16.5" outlineLevelCol="2" x14ac:dyDescent="0.15"/>
  <cols>
    <col min="1" max="1" width="92.75" style="26" bestFit="1" customWidth="1"/>
    <col min="2" max="2" width="28.5" style="27" customWidth="1"/>
    <col min="3" max="3" width="23.875" style="26" customWidth="1"/>
    <col min="4" max="24" width="20.875" style="26" customWidth="1"/>
    <col min="25" max="27" width="20.875" style="26" customWidth="1" outlineLevel="1"/>
    <col min="28" max="28" width="20.875" style="28" customWidth="1"/>
    <col min="29" max="29" width="24.25" style="28" customWidth="1"/>
    <col min="30" max="37" width="20.875" style="28" customWidth="1" outlineLevel="1"/>
    <col min="38" max="44" width="20.875" style="29" customWidth="1" outlineLevel="1"/>
    <col min="45" max="46" width="20.875" style="30" customWidth="1"/>
    <col min="47" max="47" width="20.875" style="29" customWidth="1" outlineLevel="1"/>
    <col min="48" max="48" width="28.625" style="29" customWidth="1" outlineLevel="1"/>
    <col min="49" max="52" width="20.875" style="29" customWidth="1" outlineLevel="1"/>
    <col min="53" max="53" width="20.875" style="31" customWidth="1"/>
    <col min="54" max="61" width="20.875" style="32" customWidth="1"/>
    <col min="62" max="83" width="20.875" style="33" customWidth="1"/>
    <col min="84" max="115" width="20.875" style="26" customWidth="1"/>
    <col min="116" max="119" width="20.875" style="26" customWidth="1" outlineLevel="1"/>
    <col min="120" max="120" width="20.875" style="34" hidden="1" customWidth="1" outlineLevel="1"/>
    <col min="121" max="121" width="40.5" style="35" customWidth="1" outlineLevel="2"/>
    <col min="122" max="122" width="22.875" style="35" customWidth="1" outlineLevel="2"/>
    <col min="123" max="123" width="20.875" style="26" customWidth="1" outlineLevel="1"/>
    <col min="124" max="125" width="20.875" style="26" customWidth="1"/>
    <col min="126" max="126" width="20.875" style="36" customWidth="1"/>
    <col min="127" max="130" width="20.875" style="26" customWidth="1"/>
    <col min="131" max="134" width="20.875" style="36" customWidth="1"/>
    <col min="135" max="149" width="20.875" style="26" customWidth="1" outlineLevel="1"/>
    <col min="150" max="150" width="20.875" style="26" customWidth="1"/>
    <col min="151" max="16384" width="20.875" style="26"/>
  </cols>
  <sheetData>
    <row r="1" spans="1:149" s="1" customFormat="1" x14ac:dyDescent="0.15">
      <c r="A1" s="37" t="s">
        <v>4</v>
      </c>
      <c r="B1" s="37" t="s">
        <v>5</v>
      </c>
      <c r="F1" s="38"/>
      <c r="L1" s="1" t="s">
        <v>6</v>
      </c>
      <c r="X1" s="443" t="s">
        <v>7</v>
      </c>
      <c r="Y1" s="444"/>
      <c r="Z1" s="444"/>
      <c r="AA1" s="444"/>
      <c r="AB1" s="56" t="s">
        <v>8</v>
      </c>
      <c r="AC1" s="17"/>
      <c r="AD1" s="17"/>
      <c r="AE1" s="17"/>
      <c r="AF1" s="17"/>
      <c r="AG1" s="17"/>
      <c r="AH1" s="64" t="s">
        <v>9</v>
      </c>
      <c r="AI1" s="64" t="s">
        <v>10</v>
      </c>
      <c r="AJ1" s="17"/>
      <c r="AK1" s="17"/>
      <c r="AL1" s="64"/>
      <c r="AM1" s="64"/>
      <c r="AN1" s="64" t="s">
        <v>11</v>
      </c>
      <c r="AO1" s="64" t="s">
        <v>12</v>
      </c>
      <c r="AP1" s="64" t="s">
        <v>13</v>
      </c>
      <c r="AQ1" s="64" t="s">
        <v>14</v>
      </c>
      <c r="AR1" s="64" t="s">
        <v>15</v>
      </c>
      <c r="AS1" s="72"/>
      <c r="AT1" s="72"/>
      <c r="AU1" s="64"/>
      <c r="AV1" s="64"/>
      <c r="AW1" s="64"/>
      <c r="AX1" s="64"/>
      <c r="AY1" s="64"/>
      <c r="AZ1" s="64"/>
      <c r="BA1" s="75" t="s">
        <v>16</v>
      </c>
      <c r="BB1" s="75"/>
      <c r="BC1" s="76" t="s">
        <v>17</v>
      </c>
      <c r="BD1" s="75"/>
      <c r="BE1" s="75"/>
      <c r="BF1" s="75"/>
      <c r="BG1" s="75"/>
      <c r="BH1" s="75"/>
      <c r="BI1" s="75"/>
      <c r="BJ1" s="445" t="s">
        <v>18</v>
      </c>
      <c r="BK1" s="444"/>
      <c r="BL1" s="444"/>
      <c r="BM1" s="444"/>
      <c r="BN1" s="444"/>
      <c r="BO1" s="444"/>
      <c r="BP1" s="444"/>
      <c r="BQ1" s="444"/>
      <c r="BR1" s="444"/>
      <c r="BS1" s="445" t="s">
        <v>19</v>
      </c>
      <c r="BT1" s="444"/>
      <c r="BU1" s="444"/>
      <c r="BV1" s="444"/>
      <c r="BW1" s="444"/>
      <c r="BX1" s="444"/>
      <c r="BY1" s="444"/>
      <c r="BZ1" s="444"/>
      <c r="CA1" s="444"/>
      <c r="CB1" s="59"/>
      <c r="CC1" s="59"/>
      <c r="CD1" s="59"/>
      <c r="CE1" s="59"/>
      <c r="CH1" s="64" t="s">
        <v>20</v>
      </c>
      <c r="CI1" s="17"/>
      <c r="CJ1" s="17"/>
      <c r="CK1" s="17"/>
      <c r="CL1" s="17"/>
      <c r="CM1" s="17"/>
      <c r="CN1" s="17"/>
      <c r="CO1" s="17"/>
      <c r="CP1" s="17"/>
      <c r="CQ1" s="17"/>
      <c r="CR1" s="443" t="s">
        <v>21</v>
      </c>
      <c r="CS1" s="444"/>
      <c r="CT1" s="17"/>
      <c r="CU1" s="17"/>
      <c r="CV1" s="17"/>
      <c r="CW1" s="17"/>
      <c r="CX1" s="443" t="s">
        <v>22</v>
      </c>
      <c r="CY1" s="444"/>
      <c r="CZ1" s="444"/>
      <c r="DA1" s="444"/>
      <c r="DB1" s="444"/>
      <c r="DD1" s="1" t="s">
        <v>23</v>
      </c>
      <c r="DK1" s="1" t="s">
        <v>24</v>
      </c>
      <c r="DL1" s="17"/>
      <c r="DM1" s="17"/>
      <c r="DN1" s="17"/>
      <c r="DO1" s="17"/>
      <c r="DP1" s="94"/>
      <c r="DQ1" s="97"/>
      <c r="DR1" s="97"/>
      <c r="DS1" s="1" t="s">
        <v>25</v>
      </c>
      <c r="DV1" s="98"/>
      <c r="EA1" s="98"/>
      <c r="EB1" s="98"/>
      <c r="EC1" s="98"/>
      <c r="ED1" s="98"/>
    </row>
    <row r="2" spans="1:149" s="1" customFormat="1" ht="33" customHeight="1" x14ac:dyDescent="0.15">
      <c r="A2" s="1" t="s">
        <v>26</v>
      </c>
      <c r="B2" s="1" t="s">
        <v>27</v>
      </c>
      <c r="C2" s="1" t="s">
        <v>28</v>
      </c>
      <c r="D2" s="1" t="s">
        <v>29</v>
      </c>
      <c r="E2" s="1" t="s">
        <v>30</v>
      </c>
      <c r="F2" s="38" t="s">
        <v>31</v>
      </c>
      <c r="G2" s="1" t="s">
        <v>32</v>
      </c>
      <c r="H2" s="1" t="s">
        <v>33</v>
      </c>
      <c r="I2" s="1" t="s">
        <v>34</v>
      </c>
      <c r="J2" s="1" t="s">
        <v>35</v>
      </c>
      <c r="K2" s="1" t="s">
        <v>36</v>
      </c>
      <c r="L2" s="1" t="s">
        <v>37</v>
      </c>
      <c r="M2" s="1" t="s">
        <v>38</v>
      </c>
      <c r="N2" s="1" t="s">
        <v>39</v>
      </c>
      <c r="O2" s="1" t="s">
        <v>40</v>
      </c>
      <c r="P2" s="1" t="s">
        <v>41</v>
      </c>
      <c r="Q2" s="1" t="s">
        <v>42</v>
      </c>
      <c r="R2" s="1" t="s">
        <v>43</v>
      </c>
      <c r="S2" s="17" t="s">
        <v>44</v>
      </c>
      <c r="T2" s="1" t="s">
        <v>45</v>
      </c>
      <c r="U2" s="1" t="s">
        <v>46</v>
      </c>
      <c r="V2" s="1" t="s">
        <v>47</v>
      </c>
      <c r="W2" s="1" t="s">
        <v>48</v>
      </c>
      <c r="X2" s="1" t="s">
        <v>49</v>
      </c>
      <c r="Y2" s="1" t="s">
        <v>50</v>
      </c>
      <c r="Z2" s="1" t="s">
        <v>51</v>
      </c>
      <c r="AA2" s="57" t="s">
        <v>52</v>
      </c>
      <c r="AB2" s="56" t="s">
        <v>53</v>
      </c>
      <c r="AC2" s="56" t="s">
        <v>29</v>
      </c>
      <c r="AD2" s="56" t="s">
        <v>54</v>
      </c>
      <c r="AE2" s="56" t="s">
        <v>55</v>
      </c>
      <c r="AF2" s="56" t="s">
        <v>56</v>
      </c>
      <c r="AG2" s="56" t="s">
        <v>57</v>
      </c>
      <c r="AH2" s="56" t="s">
        <v>58</v>
      </c>
      <c r="AI2" s="56" t="s">
        <v>59</v>
      </c>
      <c r="AJ2" s="56" t="s">
        <v>60</v>
      </c>
      <c r="AK2" s="65" t="s">
        <v>61</v>
      </c>
      <c r="AL2" s="64" t="s">
        <v>62</v>
      </c>
      <c r="AM2" s="64" t="s">
        <v>63</v>
      </c>
      <c r="AN2" s="64" t="s">
        <v>64</v>
      </c>
      <c r="AO2" s="64" t="s">
        <v>65</v>
      </c>
      <c r="AP2" s="64" t="s">
        <v>66</v>
      </c>
      <c r="AQ2" s="64" t="s">
        <v>67</v>
      </c>
      <c r="AR2" s="64" t="s">
        <v>68</v>
      </c>
      <c r="AS2" s="73" t="s">
        <v>69</v>
      </c>
      <c r="AT2" s="73" t="s">
        <v>70</v>
      </c>
      <c r="AU2" s="73" t="s">
        <v>71</v>
      </c>
      <c r="AV2" s="73" t="s">
        <v>72</v>
      </c>
      <c r="AW2" s="73" t="s">
        <v>73</v>
      </c>
      <c r="AX2" s="73" t="s">
        <v>74</v>
      </c>
      <c r="AY2" s="64" t="s">
        <v>75</v>
      </c>
      <c r="AZ2" s="64" t="s">
        <v>76</v>
      </c>
      <c r="BA2" s="77" t="s">
        <v>77</v>
      </c>
      <c r="BB2" s="75" t="s">
        <v>78</v>
      </c>
      <c r="BC2" s="75" t="s">
        <v>79</v>
      </c>
      <c r="BD2" s="75" t="s">
        <v>80</v>
      </c>
      <c r="BE2" s="81" t="s">
        <v>81</v>
      </c>
      <c r="BF2" s="75" t="s">
        <v>82</v>
      </c>
      <c r="BG2" s="75" t="s">
        <v>83</v>
      </c>
      <c r="BH2" s="75" t="s">
        <v>84</v>
      </c>
      <c r="BI2" s="75" t="s">
        <v>85</v>
      </c>
      <c r="BJ2" s="80" t="s">
        <v>77</v>
      </c>
      <c r="BK2" s="80" t="s">
        <v>78</v>
      </c>
      <c r="BL2" s="80" t="s">
        <v>79</v>
      </c>
      <c r="BM2" s="80" t="s">
        <v>80</v>
      </c>
      <c r="BN2" s="81" t="s">
        <v>81</v>
      </c>
      <c r="BO2" s="80" t="s">
        <v>82</v>
      </c>
      <c r="BP2" s="80" t="s">
        <v>83</v>
      </c>
      <c r="BQ2" s="80" t="s">
        <v>84</v>
      </c>
      <c r="BR2" s="80" t="s">
        <v>85</v>
      </c>
      <c r="BS2" s="80" t="s">
        <v>77</v>
      </c>
      <c r="BT2" s="80" t="s">
        <v>78</v>
      </c>
      <c r="BU2" s="80" t="s">
        <v>79</v>
      </c>
      <c r="BV2" s="80" t="s">
        <v>80</v>
      </c>
      <c r="BW2" s="81" t="s">
        <v>81</v>
      </c>
      <c r="BX2" s="80" t="s">
        <v>82</v>
      </c>
      <c r="BY2" s="80" t="s">
        <v>83</v>
      </c>
      <c r="BZ2" s="80" t="s">
        <v>84</v>
      </c>
      <c r="CA2" s="80" t="s">
        <v>85</v>
      </c>
      <c r="CB2" s="82" t="s">
        <v>86</v>
      </c>
      <c r="CC2" s="82" t="s">
        <v>87</v>
      </c>
      <c r="CD2" s="82" t="s">
        <v>88</v>
      </c>
      <c r="CE2" s="82" t="s">
        <v>89</v>
      </c>
      <c r="CF2" s="82" t="s">
        <v>90</v>
      </c>
      <c r="CG2" s="82" t="s">
        <v>91</v>
      </c>
      <c r="CH2" s="83" t="s">
        <v>92</v>
      </c>
      <c r="CI2" s="82" t="s">
        <v>93</v>
      </c>
      <c r="CJ2" s="82" t="s">
        <v>94</v>
      </c>
      <c r="CK2" s="82" t="s">
        <v>95</v>
      </c>
      <c r="CL2" s="83" t="s">
        <v>96</v>
      </c>
      <c r="CM2" s="82" t="s">
        <v>88</v>
      </c>
      <c r="CN2" s="82" t="s">
        <v>97</v>
      </c>
      <c r="CO2" s="82" t="s">
        <v>98</v>
      </c>
      <c r="CP2" s="82" t="s">
        <v>99</v>
      </c>
      <c r="CQ2" s="82" t="s">
        <v>100</v>
      </c>
      <c r="CR2" s="1" t="s">
        <v>101</v>
      </c>
      <c r="CS2" s="1" t="s">
        <v>102</v>
      </c>
      <c r="CT2" s="1" t="s">
        <v>103</v>
      </c>
      <c r="CU2" s="1" t="s">
        <v>104</v>
      </c>
      <c r="CV2" s="1" t="s">
        <v>105</v>
      </c>
      <c r="CW2" s="1" t="s">
        <v>106</v>
      </c>
      <c r="CX2" s="1" t="s">
        <v>107</v>
      </c>
      <c r="CY2" s="1" t="s">
        <v>108</v>
      </c>
      <c r="CZ2" s="1" t="s">
        <v>109</v>
      </c>
      <c r="DA2" s="1" t="s">
        <v>110</v>
      </c>
      <c r="DB2" s="1" t="s">
        <v>111</v>
      </c>
      <c r="DC2" s="1" t="s">
        <v>112</v>
      </c>
      <c r="DD2" s="1" t="s">
        <v>113</v>
      </c>
      <c r="DE2" s="1" t="s">
        <v>114</v>
      </c>
      <c r="DF2" s="1" t="s">
        <v>115</v>
      </c>
      <c r="DG2" s="1" t="s">
        <v>116</v>
      </c>
      <c r="DH2" s="1" t="s">
        <v>117</v>
      </c>
      <c r="DI2" s="1" t="s">
        <v>118</v>
      </c>
      <c r="DJ2" s="1" t="s">
        <v>119</v>
      </c>
      <c r="DK2" s="1" t="s">
        <v>120</v>
      </c>
      <c r="DL2" s="1" t="s">
        <v>121</v>
      </c>
      <c r="DM2" s="1" t="s">
        <v>122</v>
      </c>
      <c r="DN2" s="57" t="s">
        <v>123</v>
      </c>
      <c r="DO2" s="57" t="s">
        <v>124</v>
      </c>
      <c r="DP2" s="95" t="s">
        <v>125</v>
      </c>
      <c r="DQ2" s="57" t="s">
        <v>126</v>
      </c>
      <c r="DR2" s="57" t="s">
        <v>127</v>
      </c>
      <c r="DS2" s="1" t="s">
        <v>128</v>
      </c>
      <c r="DT2" s="1" t="s">
        <v>129</v>
      </c>
      <c r="DU2" s="1" t="s">
        <v>130</v>
      </c>
      <c r="DV2" s="98" t="s">
        <v>131</v>
      </c>
      <c r="DW2" s="1" t="s">
        <v>132</v>
      </c>
      <c r="DX2" s="1" t="s">
        <v>133</v>
      </c>
      <c r="DY2" s="1" t="s">
        <v>134</v>
      </c>
      <c r="DZ2" s="1" t="s">
        <v>135</v>
      </c>
      <c r="EA2" s="108" t="s">
        <v>136</v>
      </c>
      <c r="EB2" s="108" t="s">
        <v>137</v>
      </c>
      <c r="EC2" s="108" t="s">
        <v>138</v>
      </c>
      <c r="ED2" s="108" t="s">
        <v>138</v>
      </c>
      <c r="EE2" s="57" t="s">
        <v>139</v>
      </c>
      <c r="EF2" s="57" t="s">
        <v>140</v>
      </c>
      <c r="EG2" s="57" t="s">
        <v>141</v>
      </c>
      <c r="EH2" s="57" t="s">
        <v>142</v>
      </c>
      <c r="EI2" s="57" t="s">
        <v>143</v>
      </c>
      <c r="EJ2" s="57" t="s">
        <v>144</v>
      </c>
      <c r="EK2" s="57" t="s">
        <v>145</v>
      </c>
      <c r="EL2" s="57" t="s">
        <v>146</v>
      </c>
      <c r="EM2" s="57" t="s">
        <v>147</v>
      </c>
      <c r="EN2" s="57" t="s">
        <v>148</v>
      </c>
      <c r="EO2" s="57" t="s">
        <v>149</v>
      </c>
      <c r="EP2" s="57" t="s">
        <v>150</v>
      </c>
      <c r="EQ2" s="57" t="s">
        <v>151</v>
      </c>
      <c r="ER2" s="57" t="s">
        <v>152</v>
      </c>
      <c r="ES2" s="57" t="s">
        <v>153</v>
      </c>
    </row>
    <row r="3" spans="1:149" s="1" customFormat="1" x14ac:dyDescent="0.15">
      <c r="A3" s="1" t="s">
        <v>26</v>
      </c>
      <c r="B3" s="1" t="s">
        <v>154</v>
      </c>
      <c r="E3" s="1" t="s">
        <v>155</v>
      </c>
      <c r="F3" s="38" t="s">
        <v>156</v>
      </c>
      <c r="G3" s="1" t="s">
        <v>157</v>
      </c>
      <c r="I3" s="1" t="s">
        <v>158</v>
      </c>
      <c r="J3" s="1" t="s">
        <v>159</v>
      </c>
      <c r="K3" s="1" t="s">
        <v>160</v>
      </c>
      <c r="L3" s="1" t="s">
        <v>161</v>
      </c>
      <c r="M3" s="1" t="s">
        <v>162</v>
      </c>
      <c r="N3" s="1" t="s">
        <v>163</v>
      </c>
      <c r="O3" s="1" t="s">
        <v>164</v>
      </c>
      <c r="P3" s="1" t="s">
        <v>165</v>
      </c>
      <c r="Q3" s="1" t="s">
        <v>166</v>
      </c>
      <c r="R3" s="1" t="s">
        <v>167</v>
      </c>
      <c r="S3" s="17" t="s">
        <v>168</v>
      </c>
      <c r="T3" s="1" t="s">
        <v>169</v>
      </c>
      <c r="U3" s="1" t="s">
        <v>170</v>
      </c>
      <c r="V3" s="1" t="s">
        <v>171</v>
      </c>
      <c r="W3" s="1" t="s">
        <v>172</v>
      </c>
      <c r="X3" s="1" t="s">
        <v>173</v>
      </c>
      <c r="Y3" s="1" t="s">
        <v>174</v>
      </c>
      <c r="Z3" s="1" t="s">
        <v>175</v>
      </c>
      <c r="AA3" s="1" t="s">
        <v>176</v>
      </c>
      <c r="AB3" s="56" t="s">
        <v>177</v>
      </c>
      <c r="AC3" s="56"/>
      <c r="AD3" s="56" t="s">
        <v>178</v>
      </c>
      <c r="AE3" s="56" t="s">
        <v>179</v>
      </c>
      <c r="AF3" s="56" t="s">
        <v>180</v>
      </c>
      <c r="AG3" s="64" t="s">
        <v>181</v>
      </c>
      <c r="AH3" s="56"/>
      <c r="AI3" s="56"/>
      <c r="AJ3" s="56" t="s">
        <v>182</v>
      </c>
      <c r="AK3" s="56" t="s">
        <v>183</v>
      </c>
      <c r="AL3" s="64" t="s">
        <v>184</v>
      </c>
      <c r="AM3" s="64" t="s">
        <v>185</v>
      </c>
      <c r="AN3" s="64"/>
      <c r="AO3" s="64"/>
      <c r="AP3" s="64"/>
      <c r="AQ3" s="64"/>
      <c r="AR3" s="64"/>
      <c r="AS3" s="64" t="s">
        <v>186</v>
      </c>
      <c r="AT3" s="64" t="s">
        <v>187</v>
      </c>
      <c r="AU3" s="64" t="s">
        <v>188</v>
      </c>
      <c r="AV3" s="64" t="s">
        <v>189</v>
      </c>
      <c r="AW3" s="64" t="s">
        <v>190</v>
      </c>
      <c r="AX3" s="64" t="s">
        <v>191</v>
      </c>
      <c r="AY3" s="64" t="s">
        <v>192</v>
      </c>
      <c r="AZ3" s="64" t="s">
        <v>193</v>
      </c>
      <c r="BA3" s="77" t="s">
        <v>194</v>
      </c>
      <c r="BB3" s="75" t="s">
        <v>195</v>
      </c>
      <c r="BC3" s="75" t="s">
        <v>196</v>
      </c>
      <c r="BD3" s="75" t="s">
        <v>197</v>
      </c>
      <c r="BE3" s="75" t="s">
        <v>198</v>
      </c>
      <c r="BF3" s="75" t="s">
        <v>199</v>
      </c>
      <c r="BG3" s="75" t="s">
        <v>200</v>
      </c>
      <c r="BH3" s="75" t="s">
        <v>201</v>
      </c>
      <c r="BI3" s="75" t="s">
        <v>202</v>
      </c>
      <c r="BJ3" s="80" t="s">
        <v>203</v>
      </c>
      <c r="BK3" s="80" t="s">
        <v>204</v>
      </c>
      <c r="BL3" s="80" t="s">
        <v>205</v>
      </c>
      <c r="BM3" s="80" t="s">
        <v>206</v>
      </c>
      <c r="BN3" s="75" t="s">
        <v>207</v>
      </c>
      <c r="BO3" s="80" t="s">
        <v>208</v>
      </c>
      <c r="BP3" s="80" t="s">
        <v>209</v>
      </c>
      <c r="BQ3" s="80" t="s">
        <v>210</v>
      </c>
      <c r="BR3" s="80" t="s">
        <v>211</v>
      </c>
      <c r="BS3" s="80" t="s">
        <v>212</v>
      </c>
      <c r="BT3" s="80" t="s">
        <v>213</v>
      </c>
      <c r="BU3" s="80" t="s">
        <v>214</v>
      </c>
      <c r="BV3" s="80" t="s">
        <v>215</v>
      </c>
      <c r="BW3" s="75" t="s">
        <v>216</v>
      </c>
      <c r="BX3" s="80" t="s">
        <v>217</v>
      </c>
      <c r="BY3" s="80" t="s">
        <v>218</v>
      </c>
      <c r="BZ3" s="80" t="s">
        <v>219</v>
      </c>
      <c r="CA3" s="80" t="s">
        <v>220</v>
      </c>
      <c r="CB3" s="1" t="s">
        <v>221</v>
      </c>
      <c r="CC3" s="1" t="s">
        <v>222</v>
      </c>
      <c r="CD3" s="1" t="s">
        <v>223</v>
      </c>
      <c r="CE3" s="1" t="s">
        <v>224</v>
      </c>
      <c r="CF3" s="1" t="s">
        <v>225</v>
      </c>
      <c r="CG3" s="64" t="s">
        <v>226</v>
      </c>
      <c r="CH3" s="64" t="s">
        <v>20</v>
      </c>
      <c r="CI3" s="1" t="s">
        <v>227</v>
      </c>
      <c r="CJ3" s="1" t="s">
        <v>228</v>
      </c>
      <c r="CK3" s="1" t="s">
        <v>229</v>
      </c>
      <c r="CL3" s="1" t="s">
        <v>230</v>
      </c>
      <c r="CM3" s="1" t="s">
        <v>231</v>
      </c>
      <c r="CN3" s="1" t="s">
        <v>232</v>
      </c>
      <c r="CO3" s="1" t="s">
        <v>233</v>
      </c>
      <c r="CP3" s="1" t="s">
        <v>234</v>
      </c>
      <c r="CQ3" s="1" t="s">
        <v>235</v>
      </c>
      <c r="CR3" s="1" t="s">
        <v>236</v>
      </c>
      <c r="CS3" s="1" t="s">
        <v>237</v>
      </c>
      <c r="CT3" s="1" t="s">
        <v>238</v>
      </c>
      <c r="CU3" s="1" t="s">
        <v>239</v>
      </c>
      <c r="CV3" s="1" t="s">
        <v>240</v>
      </c>
      <c r="CW3" s="1" t="s">
        <v>241</v>
      </c>
      <c r="CX3" s="1" t="s">
        <v>242</v>
      </c>
      <c r="CY3" s="1" t="s">
        <v>243</v>
      </c>
      <c r="DB3" s="1" t="s">
        <v>244</v>
      </c>
      <c r="DC3" s="1" t="s">
        <v>245</v>
      </c>
      <c r="DD3" s="1" t="s">
        <v>246</v>
      </c>
      <c r="DE3" s="1" t="s">
        <v>247</v>
      </c>
      <c r="DF3" s="1" t="s">
        <v>248</v>
      </c>
      <c r="DG3" s="1" t="s">
        <v>249</v>
      </c>
      <c r="DH3" s="1" t="s">
        <v>250</v>
      </c>
      <c r="DI3" s="1" t="s">
        <v>251</v>
      </c>
      <c r="DJ3" s="1" t="s">
        <v>252</v>
      </c>
      <c r="DK3" s="1" t="s">
        <v>253</v>
      </c>
      <c r="DL3" s="1" t="s">
        <v>254</v>
      </c>
      <c r="DM3" s="1" t="s">
        <v>255</v>
      </c>
      <c r="DN3" s="57"/>
      <c r="DO3" s="57" t="s">
        <v>256</v>
      </c>
      <c r="DP3" s="95"/>
      <c r="DQ3" s="57" t="s">
        <v>257</v>
      </c>
      <c r="DR3" s="57"/>
      <c r="DT3" s="1" t="s">
        <v>258</v>
      </c>
      <c r="DV3" s="98" t="s">
        <v>259</v>
      </c>
      <c r="DW3" s="1" t="s">
        <v>260</v>
      </c>
      <c r="DX3" s="10"/>
      <c r="DY3" s="1" t="s">
        <v>261</v>
      </c>
      <c r="EA3" s="98"/>
      <c r="EB3" s="108"/>
      <c r="EC3" s="108"/>
      <c r="ED3" s="108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 t="s">
        <v>262</v>
      </c>
      <c r="ER3" s="57" t="s">
        <v>263</v>
      </c>
      <c r="ES3" s="57" t="s">
        <v>264</v>
      </c>
    </row>
    <row r="4" spans="1:149" s="2" customFormat="1" ht="18" customHeight="1" x14ac:dyDescent="0.15">
      <c r="A4" s="20">
        <v>170101</v>
      </c>
      <c r="B4" s="39" t="s">
        <v>265</v>
      </c>
      <c r="C4" s="40" t="s">
        <v>266</v>
      </c>
      <c r="D4" s="20" t="s">
        <v>267</v>
      </c>
      <c r="E4" s="20"/>
      <c r="F4" s="20"/>
      <c r="G4" s="20"/>
      <c r="H4" s="20">
        <v>0</v>
      </c>
      <c r="I4" s="20"/>
      <c r="J4" s="20"/>
      <c r="K4" s="20"/>
      <c r="L4" s="20">
        <v>0</v>
      </c>
      <c r="M4" s="20"/>
      <c r="N4" s="20"/>
      <c r="O4" s="20"/>
      <c r="P4" s="1" t="s">
        <v>268</v>
      </c>
      <c r="Q4" s="20" t="s">
        <v>269</v>
      </c>
      <c r="R4" s="20"/>
      <c r="S4" s="20"/>
      <c r="T4" s="20"/>
      <c r="U4" s="20"/>
      <c r="V4" s="20"/>
      <c r="W4" s="20"/>
      <c r="X4" s="20">
        <v>1</v>
      </c>
      <c r="Y4" s="20">
        <v>0</v>
      </c>
      <c r="Z4" s="20">
        <v>0</v>
      </c>
      <c r="AA4" s="20"/>
      <c r="AB4" s="20">
        <v>3001</v>
      </c>
      <c r="AC4" s="20"/>
      <c r="AD4" s="20"/>
      <c r="AE4" s="20"/>
      <c r="AF4" s="20"/>
      <c r="AG4" s="20"/>
      <c r="AH4" s="20"/>
      <c r="AI4" s="20"/>
      <c r="AJ4" s="20"/>
      <c r="AK4" s="20"/>
      <c r="AL4" s="66"/>
      <c r="AM4" s="64"/>
      <c r="AN4" s="64"/>
      <c r="AO4" s="64"/>
      <c r="AP4" s="64"/>
      <c r="AQ4" s="64"/>
      <c r="AR4" s="64"/>
      <c r="AS4" s="17"/>
      <c r="AT4" s="17"/>
      <c r="AU4" s="66"/>
      <c r="AV4" s="66"/>
      <c r="AW4" s="66"/>
      <c r="AX4" s="66"/>
      <c r="AY4" s="66"/>
      <c r="AZ4" s="66"/>
      <c r="BA4" s="66" t="s">
        <v>270</v>
      </c>
      <c r="BB4" s="20">
        <v>7</v>
      </c>
      <c r="BC4" s="20">
        <v>0</v>
      </c>
      <c r="BD4" s="20"/>
      <c r="BE4" s="20"/>
      <c r="BF4" s="20">
        <v>0</v>
      </c>
      <c r="BG4" s="20">
        <v>0</v>
      </c>
      <c r="BH4" s="20">
        <v>0</v>
      </c>
      <c r="BI4" s="20"/>
      <c r="BJ4" s="80" t="s">
        <v>270</v>
      </c>
      <c r="BK4" s="80"/>
      <c r="BL4" s="80"/>
      <c r="BM4" s="80"/>
      <c r="BN4" s="80"/>
      <c r="BO4" s="80"/>
      <c r="BP4" s="80"/>
      <c r="BQ4" s="80"/>
      <c r="BR4" s="80"/>
      <c r="BS4" s="80" t="s">
        <v>270</v>
      </c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20" t="s">
        <v>271</v>
      </c>
      <c r="CG4" s="20"/>
      <c r="CH4" s="20"/>
      <c r="CI4" s="20"/>
      <c r="CJ4" s="20" t="s">
        <v>1</v>
      </c>
      <c r="CK4" s="20" t="s">
        <v>272</v>
      </c>
      <c r="CL4" s="20"/>
      <c r="CM4" s="20"/>
      <c r="CN4" s="20">
        <v>200</v>
      </c>
      <c r="CO4" s="20">
        <v>140</v>
      </c>
      <c r="CP4" s="20">
        <v>200</v>
      </c>
      <c r="CQ4" s="20">
        <v>12</v>
      </c>
      <c r="CR4" s="20"/>
      <c r="CS4" s="20"/>
      <c r="CT4" s="20"/>
      <c r="CU4" s="20"/>
      <c r="CV4" s="20"/>
      <c r="CW4" s="20"/>
      <c r="CX4" s="88" t="s">
        <v>273</v>
      </c>
      <c r="CY4" s="20"/>
      <c r="CZ4" s="20"/>
      <c r="DA4" s="20"/>
      <c r="DB4" s="20">
        <v>170101</v>
      </c>
      <c r="DC4" s="20" t="b">
        <v>1</v>
      </c>
      <c r="DD4" s="20" t="s">
        <v>274</v>
      </c>
      <c r="DE4" s="20" t="s">
        <v>275</v>
      </c>
      <c r="DF4" s="1" t="s">
        <v>276</v>
      </c>
      <c r="DG4" s="1" t="s">
        <v>277</v>
      </c>
      <c r="DH4" s="20">
        <v>0</v>
      </c>
      <c r="DI4" s="20" t="b">
        <v>1</v>
      </c>
      <c r="DJ4" s="20"/>
      <c r="DK4" s="1"/>
      <c r="DL4" s="1"/>
      <c r="DM4" s="1"/>
      <c r="DN4" s="1"/>
      <c r="DO4" s="1"/>
      <c r="DP4" s="96" t="str">
        <f>"SkillDetail_"&amp;A4</f>
        <v>SkillDetail_170101</v>
      </c>
      <c r="DQ4" s="1" t="s">
        <v>278</v>
      </c>
      <c r="DR4" s="57" t="e">
        <f t="shared" ref="DR4:DR57" si="0">IF(DZ4="","",IF(DZ4=1,EG4,IF(DZ4=2,EJ4,IF(DZ4=3,EM4,IF(DZ4=4,EP4,IF(DZ4=0,DS4,"【参数配置有误】"&amp;DS4))))))</f>
        <v>#VALUE!</v>
      </c>
      <c r="DS4" s="1" t="s">
        <v>279</v>
      </c>
      <c r="DT4" s="1"/>
      <c r="DU4" s="1" t="s">
        <v>280</v>
      </c>
      <c r="DV4" s="66"/>
      <c r="DW4" s="1"/>
      <c r="DX4" s="1"/>
      <c r="DY4" s="1"/>
      <c r="DZ4" s="109">
        <v>1</v>
      </c>
      <c r="EA4" s="110" t="s">
        <v>281</v>
      </c>
      <c r="EB4" s="110" t="s">
        <v>282</v>
      </c>
      <c r="EC4" s="110" t="s">
        <v>283</v>
      </c>
      <c r="ED4" s="110" t="s">
        <v>283</v>
      </c>
      <c r="EE4" s="1" t="s">
        <v>284</v>
      </c>
      <c r="EF4" s="1" t="str">
        <f>IF(ISNUMBER(FIND("数值%",INDEX($1:$693,ROW($BA4)+_xlfn.NUMBERVALUE(MID(EA4,1,1)),COLUMN($BA4)+9*_xlfn.NUMBERVALUE(MID(EA4,3,3))))),"{"&amp;EA4&amp;"}"&amp;"%","{"&amp;EA4&amp;"}")</f>
        <v>{0:0}%</v>
      </c>
      <c r="EG4" s="1" t="e">
        <f>REPLACEB(DS4,FINDB(EE4,DS4),LEN(EE4),EF4)</f>
        <v>#VALUE!</v>
      </c>
      <c r="EH4" s="1" t="s">
        <v>285</v>
      </c>
      <c r="EI4" s="1" t="str">
        <f>IF(ISNUMBER(FIND("数值%",INDEX($1:$693,ROW($BA4)+_xlfn.NUMBERVALUE(MID(EB4,1,1)),COLUMN($BA4)+9*_xlfn.NUMBERVALUE(MID(EB4,3,1))))),"{"&amp;EB4&amp;"}"&amp;"%","{"&amp;EB4&amp;"}")</f>
        <v>{1:0}%</v>
      </c>
      <c r="EJ4" s="1" t="e">
        <f>REPLACEB(EG4,FINDB(EH4,EG4),LEN(EH4),EI4)</f>
        <v>#VALUE!</v>
      </c>
      <c r="EK4" s="1" t="s">
        <v>286</v>
      </c>
      <c r="EL4" s="1" t="str">
        <f>IF(ISNUMBER(FIND("数值%",INDEX($1:$693,ROW($BA4)+_xlfn.NUMBERVALUE(MID(EC4,1,1)),COLUMN($BA4)+9*_xlfn.NUMBERVALUE(MID(EC4,3,1))))),"{"&amp;EC4&amp;"}"&amp;"%","{"&amp;EC4&amp;"}")</f>
        <v>{2:0}%</v>
      </c>
      <c r="EM4" s="1" t="e">
        <f>REPLACEB(EJ4,FINDB(EK4,EJ4),LEN(EK4),EL4)</f>
        <v>#VALUE!</v>
      </c>
      <c r="EN4" s="1" t="s">
        <v>287</v>
      </c>
      <c r="EO4" s="1" t="str">
        <f>IF(ISNUMBER(FIND("数值%",INDEX($1:$693,ROW($BA4)+_xlfn.NUMBERVALUE(MID(ED4,1,1)),COLUMN($BA4)+9*_xlfn.NUMBERVALUE(MID(ED4,3,1))))),"{"&amp;ED4&amp;"}"&amp;"%","{"&amp;ED4&amp;"}")</f>
        <v>{2:0}%</v>
      </c>
      <c r="EP4" s="1" t="e">
        <f>REPLACEB(EM4,FINDB(EN4,EM4),LEN(EN4),EO4)</f>
        <v>#VALUE!</v>
      </c>
      <c r="EQ4" s="1"/>
      <c r="ER4" s="1"/>
      <c r="ES4" s="1"/>
    </row>
    <row r="5" spans="1:149" s="2" customFormat="1" ht="34.5" customHeight="1" x14ac:dyDescent="0.15">
      <c r="A5" s="41">
        <v>170301</v>
      </c>
      <c r="B5" s="42" t="s">
        <v>288</v>
      </c>
      <c r="C5" s="40" t="s">
        <v>289</v>
      </c>
      <c r="D5" s="41" t="s">
        <v>290</v>
      </c>
      <c r="E5" s="41"/>
      <c r="F5" s="41"/>
      <c r="G5" s="41"/>
      <c r="H5" s="41">
        <v>0</v>
      </c>
      <c r="I5" s="41"/>
      <c r="J5" s="41"/>
      <c r="K5" s="41"/>
      <c r="L5" s="41">
        <v>0</v>
      </c>
      <c r="M5" s="41"/>
      <c r="N5" s="41"/>
      <c r="O5" s="41"/>
      <c r="P5" s="41"/>
      <c r="Q5" s="41" t="s">
        <v>269</v>
      </c>
      <c r="R5" s="41"/>
      <c r="S5" s="41"/>
      <c r="T5" s="41"/>
      <c r="U5" s="41"/>
      <c r="V5" s="41"/>
      <c r="W5" s="41"/>
      <c r="X5" s="41">
        <v>1</v>
      </c>
      <c r="Y5" s="41">
        <v>0</v>
      </c>
      <c r="Z5" s="41">
        <v>0</v>
      </c>
      <c r="AA5" s="41"/>
      <c r="AB5" s="41">
        <v>2255</v>
      </c>
      <c r="AC5" s="41"/>
      <c r="AD5" s="41"/>
      <c r="AE5" s="41" t="s">
        <v>291</v>
      </c>
      <c r="AF5" s="41"/>
      <c r="AG5" s="41"/>
      <c r="AH5" s="41"/>
      <c r="AI5" s="41"/>
      <c r="AJ5" s="41">
        <v>10</v>
      </c>
      <c r="AK5" s="41"/>
      <c r="AL5" s="67"/>
      <c r="AM5" s="64"/>
      <c r="AN5" s="64"/>
      <c r="AO5" s="64"/>
      <c r="AP5" s="64"/>
      <c r="AQ5" s="64"/>
      <c r="AR5" s="64"/>
      <c r="AS5" s="17"/>
      <c r="AT5" s="17"/>
      <c r="AU5" s="67"/>
      <c r="AV5" s="67"/>
      <c r="AW5" s="67"/>
      <c r="AX5" s="67"/>
      <c r="AY5" s="67"/>
      <c r="AZ5" s="67"/>
      <c r="BA5" s="67" t="s">
        <v>270</v>
      </c>
      <c r="BB5" s="41"/>
      <c r="BC5" s="41"/>
      <c r="BD5" s="41"/>
      <c r="BE5" s="41"/>
      <c r="BF5" s="41"/>
      <c r="BG5" s="41"/>
      <c r="BH5" s="41"/>
      <c r="BI5" s="41"/>
      <c r="BJ5" s="41" t="s">
        <v>270</v>
      </c>
      <c r="BK5" s="41"/>
      <c r="BL5" s="41"/>
      <c r="BM5" s="41"/>
      <c r="BN5" s="41"/>
      <c r="BO5" s="41"/>
      <c r="BP5" s="41"/>
      <c r="BQ5" s="41"/>
      <c r="BR5" s="41"/>
      <c r="BS5" s="41" t="s">
        <v>270</v>
      </c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>
        <v>200</v>
      </c>
      <c r="CO5" s="41">
        <v>200</v>
      </c>
      <c r="CP5" s="41">
        <v>200</v>
      </c>
      <c r="CQ5" s="41">
        <v>13</v>
      </c>
      <c r="CR5" s="41"/>
      <c r="CS5" s="41"/>
      <c r="CT5" s="41"/>
      <c r="CU5" s="41"/>
      <c r="CV5" s="41"/>
      <c r="CW5" s="41"/>
      <c r="CX5" s="41" t="s">
        <v>273</v>
      </c>
      <c r="CY5" s="41"/>
      <c r="CZ5" s="41"/>
      <c r="DA5" s="41"/>
      <c r="DB5" s="41">
        <v>170301</v>
      </c>
      <c r="DC5" s="41" t="b">
        <v>1</v>
      </c>
      <c r="DD5" s="41" t="s">
        <v>274</v>
      </c>
      <c r="DE5" s="41" t="s">
        <v>292</v>
      </c>
      <c r="DF5" s="41" t="s">
        <v>276</v>
      </c>
      <c r="DG5" s="41" t="s">
        <v>293</v>
      </c>
      <c r="DH5" s="41">
        <v>3</v>
      </c>
      <c r="DI5" s="41" t="b">
        <v>1</v>
      </c>
      <c r="DJ5" s="41"/>
      <c r="DK5" s="41"/>
      <c r="DL5" s="41"/>
      <c r="DM5" s="41"/>
      <c r="DN5" s="1"/>
      <c r="DO5" s="1"/>
      <c r="DP5" s="96" t="str">
        <f>"SkillDetail_"&amp;A5</f>
        <v>SkillDetail_170301</v>
      </c>
      <c r="DQ5" s="41"/>
      <c r="DR5" s="57" t="e">
        <f t="shared" si="0"/>
        <v>#VALUE!</v>
      </c>
      <c r="DS5" s="41"/>
      <c r="DT5" s="41"/>
      <c r="DU5" s="1" t="s">
        <v>280</v>
      </c>
      <c r="DV5" s="67"/>
      <c r="DW5" s="1"/>
      <c r="DX5" s="1"/>
      <c r="DY5" s="1"/>
      <c r="DZ5" s="111">
        <v>1</v>
      </c>
      <c r="EA5" s="112" t="s">
        <v>281</v>
      </c>
      <c r="EB5" s="112" t="s">
        <v>282</v>
      </c>
      <c r="EC5" s="112" t="s">
        <v>283</v>
      </c>
      <c r="ED5" s="112" t="s">
        <v>283</v>
      </c>
      <c r="EE5" s="1" t="s">
        <v>284</v>
      </c>
      <c r="EF5" s="1" t="str">
        <f>IF(ISNUMBER(FIND("数值%",INDEX($1:$693,ROW($BA5)+_xlfn.NUMBERVALUE(MID(EA5,1,1)),COLUMN($BA5)+9*_xlfn.NUMBERVALUE(MID(EA5,3,3))))),"{"&amp;EA5&amp;"}"&amp;"%","{"&amp;EA5&amp;"}")</f>
        <v>{0:0}%</v>
      </c>
      <c r="EG5" s="1" t="e">
        <f>REPLACEB(DS5,FINDB(EE5,DS5),LEN(EE5),EF5)</f>
        <v>#VALUE!</v>
      </c>
      <c r="EH5" s="1" t="s">
        <v>285</v>
      </c>
      <c r="EI5" s="1" t="str">
        <f>IF(ISNUMBER(FIND("数值%",INDEX($1:$693,ROW($BA5)+_xlfn.NUMBERVALUE(MID(EB5,1,1)),COLUMN($BA5)+9*_xlfn.NUMBERVALUE(MID(EB5,3,1))))),"{"&amp;EB5&amp;"}"&amp;"%","{"&amp;EB5&amp;"}")</f>
        <v>{1:0}%</v>
      </c>
      <c r="EJ5" s="1" t="e">
        <f>REPLACEB(EG5,FINDB(EH5,EG5),LEN(EH5),EI5)</f>
        <v>#VALUE!</v>
      </c>
      <c r="EK5" s="1" t="s">
        <v>286</v>
      </c>
      <c r="EL5" s="1" t="str">
        <f>IF(ISNUMBER(FIND("数值%",INDEX($1:$693,ROW($BA5)+_xlfn.NUMBERVALUE(MID(EC5,1,1)),COLUMN($BA5)+9*_xlfn.NUMBERVALUE(MID(EC5,3,1))))),"{"&amp;EC5&amp;"}"&amp;"%","{"&amp;EC5&amp;"}")</f>
        <v>{2:0}</v>
      </c>
      <c r="EM5" s="1" t="e">
        <f>REPLACEB(EJ5,FINDB(EK5,EJ5),LEN(EK5),EL5)</f>
        <v>#VALUE!</v>
      </c>
      <c r="EN5" s="1" t="s">
        <v>287</v>
      </c>
      <c r="EO5" s="1" t="str">
        <f>IF(ISNUMBER(FIND("数值%",INDEX($1:$693,ROW($BA5)+_xlfn.NUMBERVALUE(MID(ED5,1,1)),COLUMN($BA5)+9*_xlfn.NUMBERVALUE(MID(ED5,3,1))))),"{"&amp;ED5&amp;"}"&amp;"%","{"&amp;ED5&amp;"}")</f>
        <v>{2:0}</v>
      </c>
      <c r="EP5" s="1" t="e">
        <f>REPLACEB(EM5,FINDB(EN5,EM5),LEN(EN5),EO5)</f>
        <v>#VALUE!</v>
      </c>
      <c r="EQ5" s="1"/>
      <c r="ER5" s="1"/>
      <c r="ES5" s="1"/>
    </row>
    <row r="6" spans="1:149" s="2" customFormat="1" ht="27" customHeight="1" x14ac:dyDescent="0.15">
      <c r="A6" s="20">
        <v>170302</v>
      </c>
      <c r="B6" s="43" t="s">
        <v>294</v>
      </c>
      <c r="C6" s="40" t="s">
        <v>295</v>
      </c>
      <c r="D6" s="20" t="s">
        <v>296</v>
      </c>
      <c r="E6" s="20"/>
      <c r="F6" s="20"/>
      <c r="G6" s="20"/>
      <c r="H6" s="20">
        <v>0</v>
      </c>
      <c r="I6" s="20"/>
      <c r="J6" s="20"/>
      <c r="K6" s="20"/>
      <c r="L6" s="20">
        <v>0</v>
      </c>
      <c r="M6" s="20"/>
      <c r="N6" s="20"/>
      <c r="O6" s="20"/>
      <c r="P6" s="1" t="s">
        <v>268</v>
      </c>
      <c r="Q6" s="20" t="s">
        <v>269</v>
      </c>
      <c r="R6" s="20"/>
      <c r="S6" s="20"/>
      <c r="T6" s="20"/>
      <c r="U6" s="20"/>
      <c r="V6" s="20"/>
      <c r="W6" s="20"/>
      <c r="X6" s="20">
        <v>1</v>
      </c>
      <c r="Y6" s="20">
        <v>0</v>
      </c>
      <c r="Z6" s="20">
        <v>0</v>
      </c>
      <c r="AA6" s="20"/>
      <c r="AB6" s="20">
        <v>3002</v>
      </c>
      <c r="AC6" s="20" t="s">
        <v>297</v>
      </c>
      <c r="AD6" s="20"/>
      <c r="AE6" s="20"/>
      <c r="AF6" s="20"/>
      <c r="AG6" s="20"/>
      <c r="AH6" s="20"/>
      <c r="AI6" s="20"/>
      <c r="AJ6" s="20"/>
      <c r="AK6" s="20"/>
      <c r="AL6" s="66"/>
      <c r="AM6" s="64"/>
      <c r="AN6" s="64"/>
      <c r="AO6" s="64"/>
      <c r="AP6" s="64"/>
      <c r="AQ6" s="64"/>
      <c r="AR6" s="64"/>
      <c r="AS6" s="17"/>
      <c r="AT6" s="17"/>
      <c r="AU6" s="66"/>
      <c r="AV6" s="66"/>
      <c r="AW6" s="66"/>
      <c r="AX6" s="66"/>
      <c r="AY6" s="66"/>
      <c r="AZ6" s="66"/>
      <c r="BA6" s="66" t="s">
        <v>270</v>
      </c>
      <c r="BB6" s="20">
        <v>20</v>
      </c>
      <c r="BC6" s="20">
        <v>0</v>
      </c>
      <c r="BD6" s="20"/>
      <c r="BE6" s="20"/>
      <c r="BF6" s="20">
        <v>0</v>
      </c>
      <c r="BG6" s="20">
        <v>0</v>
      </c>
      <c r="BH6" s="20">
        <v>0</v>
      </c>
      <c r="BI6" s="2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20" t="s">
        <v>298</v>
      </c>
      <c r="CG6" s="20"/>
      <c r="CH6" s="20"/>
      <c r="CI6" s="20"/>
      <c r="CJ6" s="20"/>
      <c r="CK6" s="20"/>
      <c r="CL6" s="20"/>
      <c r="CM6" s="20"/>
      <c r="CN6" s="20">
        <v>200</v>
      </c>
      <c r="CO6" s="20">
        <v>200</v>
      </c>
      <c r="CP6" s="20">
        <v>200</v>
      </c>
      <c r="CQ6" s="20">
        <v>20</v>
      </c>
      <c r="CR6" s="20"/>
      <c r="CS6" s="20"/>
      <c r="CT6" s="20"/>
      <c r="CU6" s="20"/>
      <c r="CV6" s="20"/>
      <c r="CW6" s="20"/>
      <c r="CX6" s="88" t="s">
        <v>273</v>
      </c>
      <c r="CY6" s="20"/>
      <c r="CZ6" s="20">
        <v>1000</v>
      </c>
      <c r="DA6" s="20">
        <v>100</v>
      </c>
      <c r="DB6" s="20">
        <v>170302</v>
      </c>
      <c r="DC6" s="20" t="b">
        <v>1</v>
      </c>
      <c r="DD6" s="20" t="s">
        <v>274</v>
      </c>
      <c r="DE6" s="20" t="s">
        <v>299</v>
      </c>
      <c r="DF6" s="1" t="s">
        <v>276</v>
      </c>
      <c r="DG6" s="1" t="s">
        <v>300</v>
      </c>
      <c r="DH6" s="20">
        <v>1</v>
      </c>
      <c r="DI6" s="20" t="b">
        <v>1</v>
      </c>
      <c r="DJ6" s="20"/>
      <c r="DK6" s="1"/>
      <c r="DL6" s="1" t="s">
        <v>301</v>
      </c>
      <c r="DM6" s="1" t="s">
        <v>302</v>
      </c>
      <c r="DN6" s="1"/>
      <c r="DO6" s="1"/>
      <c r="DP6" s="96" t="str">
        <f>"SkillDetail_"&amp;A6</f>
        <v>SkillDetail_170302</v>
      </c>
      <c r="DQ6" s="1" t="s">
        <v>303</v>
      </c>
      <c r="DR6" s="57" t="e">
        <f t="shared" si="0"/>
        <v>#VALUE!</v>
      </c>
      <c r="DS6" s="1" t="s">
        <v>304</v>
      </c>
      <c r="DT6" s="1"/>
      <c r="DU6" s="1" t="s">
        <v>280</v>
      </c>
      <c r="DV6" s="66"/>
      <c r="DW6" s="1"/>
      <c r="DX6" s="1"/>
      <c r="DY6" s="1"/>
      <c r="DZ6" s="109">
        <v>1</v>
      </c>
      <c r="EA6" s="110" t="s">
        <v>281</v>
      </c>
      <c r="EB6" s="110" t="s">
        <v>282</v>
      </c>
      <c r="EC6" s="110" t="s">
        <v>283</v>
      </c>
      <c r="ED6" s="110" t="s">
        <v>283</v>
      </c>
      <c r="EE6" s="1" t="s">
        <v>284</v>
      </c>
      <c r="EF6" s="1" t="str">
        <f>IF(ISNUMBER(FIND("数值%",INDEX($1:$693,ROW($BA6)+_xlfn.NUMBERVALUE(MID(EA6,1,1)),COLUMN($BA6)+9*_xlfn.NUMBERVALUE(MID(EA6,3,3))))),"{"&amp;EA6&amp;"}"&amp;"%","{"&amp;EA6&amp;"}")</f>
        <v>{0:0}%</v>
      </c>
      <c r="EG6" s="1" t="e">
        <f>REPLACEB(DS6,FINDB(EE6,DS6),LEN(EE6),EF6)</f>
        <v>#VALUE!</v>
      </c>
      <c r="EH6" s="1" t="s">
        <v>285</v>
      </c>
      <c r="EI6" s="1" t="str">
        <f>IF(ISNUMBER(FIND("数值%",INDEX($1:$693,ROW($BA6)+_xlfn.NUMBERVALUE(MID(EB6,1,1)),COLUMN($BA6)+9*_xlfn.NUMBERVALUE(MID(EB6,3,1))))),"{"&amp;EB6&amp;"}"&amp;"%","{"&amp;EB6&amp;"}")</f>
        <v>{1:0}</v>
      </c>
      <c r="EJ6" s="1" t="e">
        <f>REPLACEB(EG6,FINDB(EH6,EG6),LEN(EH6),EI6)</f>
        <v>#VALUE!</v>
      </c>
      <c r="EK6" s="1" t="s">
        <v>286</v>
      </c>
      <c r="EL6" s="1" t="str">
        <f>IF(ISNUMBER(FIND("数值%",INDEX($1:$693,ROW($BA6)+_xlfn.NUMBERVALUE(MID(EC6,1,1)),COLUMN($BA6)+9*_xlfn.NUMBERVALUE(MID(EC6,3,1))))),"{"&amp;EC6&amp;"}"&amp;"%","{"&amp;EC6&amp;"}")</f>
        <v>{2:0}%</v>
      </c>
      <c r="EM6" s="1" t="e">
        <f>REPLACEB(EJ6,FINDB(EK6,EJ6),LEN(EK6),EL6)</f>
        <v>#VALUE!</v>
      </c>
      <c r="EN6" s="1" t="s">
        <v>287</v>
      </c>
      <c r="EO6" s="1" t="str">
        <f>IF(ISNUMBER(FIND("数值%",INDEX($1:$693,ROW($BA6)+_xlfn.NUMBERVALUE(MID(ED6,1,1)),COLUMN($BA6)+9*_xlfn.NUMBERVALUE(MID(ED6,3,1))))),"{"&amp;ED6&amp;"}"&amp;"%","{"&amp;ED6&amp;"}")</f>
        <v>{2:0}%</v>
      </c>
      <c r="EP6" s="1" t="e">
        <f>REPLACEB(EM6,FINDB(EN6,EM6),LEN(EN6),EO6)</f>
        <v>#VALUE!</v>
      </c>
      <c r="EQ6" s="1"/>
      <c r="ER6" s="1"/>
      <c r="ES6" s="1"/>
    </row>
    <row r="7" spans="1:149" s="2" customFormat="1" ht="27" customHeight="1" x14ac:dyDescent="0.15">
      <c r="A7" s="20"/>
      <c r="B7" s="43"/>
      <c r="C7" s="4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>
        <v>1002</v>
      </c>
      <c r="AC7" s="20"/>
      <c r="AD7" s="20"/>
      <c r="AE7" s="20"/>
      <c r="AF7" s="20"/>
      <c r="AG7" s="20"/>
      <c r="AH7" s="20"/>
      <c r="AI7" s="20"/>
      <c r="AJ7" s="20">
        <v>5</v>
      </c>
      <c r="AK7" s="20"/>
      <c r="AL7" s="66"/>
      <c r="AM7" s="64"/>
      <c r="AN7" s="64"/>
      <c r="AO7" s="64"/>
      <c r="AP7" s="64"/>
      <c r="AQ7" s="64"/>
      <c r="AR7" s="64"/>
      <c r="AS7" s="1"/>
      <c r="AT7" s="1"/>
      <c r="AU7" s="66"/>
      <c r="AV7" s="66"/>
      <c r="AW7" s="66"/>
      <c r="AX7" s="66"/>
      <c r="AY7" s="66"/>
      <c r="AZ7" s="66"/>
      <c r="BA7" s="66"/>
      <c r="BB7" s="20"/>
      <c r="BC7" s="20"/>
      <c r="BD7" s="20"/>
      <c r="BE7" s="20"/>
      <c r="BF7" s="20"/>
      <c r="BG7" s="20"/>
      <c r="BH7" s="20"/>
      <c r="BI7" s="2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8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88"/>
      <c r="CY7" s="20"/>
      <c r="CZ7" s="20"/>
      <c r="DA7" s="20"/>
      <c r="DB7" s="20"/>
      <c r="DC7" s="20"/>
      <c r="DD7" s="20"/>
      <c r="DE7" s="20"/>
      <c r="DF7" s="1"/>
      <c r="DG7" s="1"/>
      <c r="DH7" s="20"/>
      <c r="DI7" s="20"/>
      <c r="DJ7" s="20"/>
      <c r="DK7" s="20"/>
      <c r="DL7" s="20"/>
      <c r="DM7" s="20"/>
      <c r="DN7" s="20"/>
      <c r="DO7" s="20"/>
      <c r="DP7" s="96"/>
      <c r="DQ7" s="57">
        <f>$DS7</f>
        <v>0</v>
      </c>
      <c r="DR7" s="57" t="str">
        <f t="shared" si="0"/>
        <v/>
      </c>
      <c r="DS7" s="1"/>
      <c r="DT7" s="1"/>
      <c r="DU7" s="1" t="s">
        <v>280</v>
      </c>
      <c r="DV7" s="66"/>
      <c r="DW7" s="1"/>
      <c r="DX7" s="1"/>
      <c r="DY7" s="66"/>
      <c r="DZ7" s="1"/>
      <c r="EA7" s="98"/>
      <c r="EB7" s="98"/>
      <c r="EC7" s="98"/>
      <c r="ED7" s="98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</row>
    <row r="8" spans="1:149" s="2" customFormat="1" ht="57.95" customHeight="1" x14ac:dyDescent="0.15">
      <c r="A8" s="20">
        <v>170501</v>
      </c>
      <c r="B8" s="39" t="s">
        <v>305</v>
      </c>
      <c r="C8" s="40" t="s">
        <v>306</v>
      </c>
      <c r="D8" s="20" t="s">
        <v>307</v>
      </c>
      <c r="E8" s="20"/>
      <c r="F8" s="20"/>
      <c r="G8" s="20"/>
      <c r="H8" s="20">
        <v>0</v>
      </c>
      <c r="I8" s="20"/>
      <c r="J8" s="20"/>
      <c r="K8" s="20"/>
      <c r="L8" s="20">
        <v>0</v>
      </c>
      <c r="M8" s="20"/>
      <c r="N8" s="20"/>
      <c r="O8" s="20"/>
      <c r="P8" s="1" t="s">
        <v>268</v>
      </c>
      <c r="Q8" s="20" t="s">
        <v>269</v>
      </c>
      <c r="R8" s="20"/>
      <c r="S8" s="20"/>
      <c r="T8" s="20"/>
      <c r="U8" s="20"/>
      <c r="V8" s="20"/>
      <c r="W8" s="20"/>
      <c r="X8" s="20">
        <v>1</v>
      </c>
      <c r="Y8" s="20">
        <v>0</v>
      </c>
      <c r="Z8" s="20">
        <v>0</v>
      </c>
      <c r="AA8" s="20"/>
      <c r="AB8" s="20">
        <v>3001</v>
      </c>
      <c r="AC8" s="20"/>
      <c r="AD8" s="20"/>
      <c r="AE8" s="20"/>
      <c r="AF8" s="20"/>
      <c r="AG8" s="20"/>
      <c r="AH8" s="20"/>
      <c r="AI8" s="20"/>
      <c r="AJ8" s="20"/>
      <c r="AK8" s="20"/>
      <c r="AL8" s="66"/>
      <c r="AM8" s="64"/>
      <c r="AN8" s="64"/>
      <c r="AO8" s="64"/>
      <c r="AP8" s="64"/>
      <c r="AQ8" s="64"/>
      <c r="AR8" s="64"/>
      <c r="AS8" s="1"/>
      <c r="AT8" s="1"/>
      <c r="AU8" s="66"/>
      <c r="AV8" s="66"/>
      <c r="AW8" s="66"/>
      <c r="AX8" s="66"/>
      <c r="AY8" s="66"/>
      <c r="AZ8" s="66"/>
      <c r="BA8" s="66" t="s">
        <v>270</v>
      </c>
      <c r="BB8" s="10">
        <v>20</v>
      </c>
      <c r="BC8" s="20">
        <v>0</v>
      </c>
      <c r="BD8" s="20"/>
      <c r="BE8" s="20"/>
      <c r="BF8" s="20">
        <v>0</v>
      </c>
      <c r="BG8" s="20">
        <v>0</v>
      </c>
      <c r="BH8" s="20">
        <v>0</v>
      </c>
      <c r="BI8" s="20"/>
      <c r="BJ8" s="80" t="s">
        <v>270</v>
      </c>
      <c r="BK8" s="80"/>
      <c r="BL8" s="80"/>
      <c r="BM8" s="80"/>
      <c r="BN8" s="80"/>
      <c r="BO8" s="80"/>
      <c r="BP8" s="80"/>
      <c r="BQ8" s="80"/>
      <c r="BR8" s="80"/>
      <c r="BS8" s="80" t="s">
        <v>270</v>
      </c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20" t="s">
        <v>271</v>
      </c>
      <c r="CG8" s="20"/>
      <c r="CH8" s="20"/>
      <c r="CI8" s="20"/>
      <c r="CJ8" s="20" t="s">
        <v>1</v>
      </c>
      <c r="CK8" s="84" t="s">
        <v>308</v>
      </c>
      <c r="CL8" s="84"/>
      <c r="CM8" s="20">
        <v>10</v>
      </c>
      <c r="CN8" s="20">
        <v>200</v>
      </c>
      <c r="CO8" s="20">
        <v>200</v>
      </c>
      <c r="CP8" s="20">
        <v>200</v>
      </c>
      <c r="CQ8" s="20">
        <v>50</v>
      </c>
      <c r="CR8" s="20"/>
      <c r="CS8" s="20">
        <v>6</v>
      </c>
      <c r="CT8" s="20"/>
      <c r="CU8" s="20">
        <v>6</v>
      </c>
      <c r="CV8" s="20"/>
      <c r="CW8" s="20"/>
      <c r="CX8" s="88" t="s">
        <v>273</v>
      </c>
      <c r="CY8" s="20"/>
      <c r="CZ8" s="20"/>
      <c r="DA8" s="20"/>
      <c r="DB8" s="20">
        <v>170501</v>
      </c>
      <c r="DC8" s="20" t="b">
        <v>1</v>
      </c>
      <c r="DD8" s="20" t="s">
        <v>274</v>
      </c>
      <c r="DE8" s="20" t="s">
        <v>309</v>
      </c>
      <c r="DF8" s="1" t="s">
        <v>276</v>
      </c>
      <c r="DG8" s="1" t="s">
        <v>310</v>
      </c>
      <c r="DH8" s="20">
        <v>4</v>
      </c>
      <c r="DI8" s="88" t="b">
        <v>0</v>
      </c>
      <c r="DJ8" s="88"/>
      <c r="DK8" s="1"/>
      <c r="DL8" s="1"/>
      <c r="DM8" s="1"/>
      <c r="DN8" s="1"/>
      <c r="DO8" s="1"/>
      <c r="DP8" s="96" t="str">
        <f>"SkillDetail_"&amp;A8</f>
        <v>SkillDetail_170501</v>
      </c>
      <c r="DQ8" s="57" t="s">
        <v>311</v>
      </c>
      <c r="DR8" s="57" t="str">
        <f t="shared" si="0"/>
        <v>（主将技）对扇形范围内至多3个目标释放枪阵，造成{0:0}%伤害。击飞目标并让目标晕眩，持续3秒</v>
      </c>
      <c r="DS8" s="1" t="s">
        <v>312</v>
      </c>
      <c r="DT8" s="1"/>
      <c r="DU8" s="1" t="s">
        <v>280</v>
      </c>
      <c r="DV8" s="66"/>
      <c r="DW8" s="1"/>
      <c r="DX8" s="1"/>
      <c r="DY8" s="1"/>
      <c r="DZ8" s="109">
        <v>1</v>
      </c>
      <c r="EA8" s="110" t="s">
        <v>281</v>
      </c>
      <c r="EB8" s="110" t="s">
        <v>282</v>
      </c>
      <c r="EC8" s="110" t="s">
        <v>283</v>
      </c>
      <c r="ED8" s="110" t="s">
        <v>283</v>
      </c>
      <c r="EE8" s="1" t="s">
        <v>284</v>
      </c>
      <c r="EF8" s="1" t="str">
        <f>IF(ISNUMBER(FIND("数值%",INDEX($1:$693,ROW($BA8)+_xlfn.NUMBERVALUE(MID(EA8,1,1)),COLUMN($BA8)+9*_xlfn.NUMBERVALUE(MID(EA8,3,3))))),"{"&amp;EA8&amp;"}"&amp;"%","{"&amp;EA8&amp;"}")</f>
        <v>{0:0}%</v>
      </c>
      <c r="EG8" s="1" t="str">
        <f>REPLACEB(DS8,FINDB(EE8,DS8),LEN(EE8),EF8)</f>
        <v>（主将技）对扇形范围内至多3个目标释放枪阵，造成{0:0}%伤害。击飞目标并让目标晕眩，持续3秒</v>
      </c>
      <c r="EH8" s="1" t="s">
        <v>285</v>
      </c>
      <c r="EI8" s="1" t="str">
        <f>IF(ISNUMBER(FIND("数值%",INDEX($1:$693,ROW($BA8)+_xlfn.NUMBERVALUE(MID(EB8,1,1)),COLUMN($BA8)+9*_xlfn.NUMBERVALUE(MID(EB8,3,1))))),"{"&amp;EB8&amp;"}"&amp;"%","{"&amp;EB8&amp;"}")</f>
        <v>{1:0}%</v>
      </c>
      <c r="EJ8" s="1" t="e">
        <f>REPLACEB(EG8,FINDB(EH8,EG8),LEN(EH8),EI8)</f>
        <v>#VALUE!</v>
      </c>
      <c r="EK8" s="1" t="s">
        <v>286</v>
      </c>
      <c r="EL8" s="1" t="str">
        <f>IF(ISNUMBER(FIND("数值%",INDEX($1:$693,ROW($BA8)+_xlfn.NUMBERVALUE(MID(EC8,1,1)),COLUMN($BA8)+9*_xlfn.NUMBERVALUE(MID(EC8,3,1))))),"{"&amp;EC8&amp;"}"&amp;"%","{"&amp;EC8&amp;"}")</f>
        <v>{2:0}</v>
      </c>
      <c r="EM8" s="1" t="e">
        <f>REPLACEB(EJ8,FINDB(EK8,EJ8),LEN(EK8),EL8)</f>
        <v>#VALUE!</v>
      </c>
      <c r="EN8" s="1" t="s">
        <v>287</v>
      </c>
      <c r="EO8" s="1" t="str">
        <f>IF(ISNUMBER(FIND("数值%",INDEX($1:$693,ROW($BA8)+_xlfn.NUMBERVALUE(MID(ED8,1,1)),COLUMN($BA8)+9*_xlfn.NUMBERVALUE(MID(ED8,3,1))))),"{"&amp;ED8&amp;"}"&amp;"%","{"&amp;ED8&amp;"}")</f>
        <v>{2:0}</v>
      </c>
      <c r="EP8" s="1" t="e">
        <f>REPLACEB(EM8,FINDB(EN8,EM8),LEN(EN8),EO8)</f>
        <v>#VALUE!</v>
      </c>
      <c r="EQ8" s="1"/>
      <c r="ER8" s="1"/>
      <c r="ES8" s="1"/>
    </row>
    <row r="9" spans="1:149" s="2" customFormat="1" ht="49.5" customHeight="1" x14ac:dyDescent="0.15">
      <c r="A9" s="20"/>
      <c r="B9" s="39"/>
      <c r="C9" s="4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>
        <v>17050102</v>
      </c>
      <c r="AC9" s="20" t="s">
        <v>313</v>
      </c>
      <c r="AD9" s="20"/>
      <c r="AE9" s="20" t="s">
        <v>291</v>
      </c>
      <c r="AF9" s="56" t="s">
        <v>314</v>
      </c>
      <c r="AG9" s="56"/>
      <c r="AH9" s="56"/>
      <c r="AI9" s="56"/>
      <c r="AJ9" s="20"/>
      <c r="AK9" s="20"/>
      <c r="AL9" s="64"/>
      <c r="AM9" s="66"/>
      <c r="AN9" s="66"/>
      <c r="AO9" s="66"/>
      <c r="AP9" s="66"/>
      <c r="AQ9" s="66"/>
      <c r="AR9" s="66"/>
      <c r="AS9" s="1"/>
      <c r="AT9" s="1"/>
      <c r="AU9" s="64"/>
      <c r="AV9" s="64"/>
      <c r="AW9" s="64"/>
      <c r="AX9" s="64"/>
      <c r="AY9" s="64"/>
      <c r="AZ9" s="64"/>
      <c r="BA9" s="66" t="s">
        <v>270</v>
      </c>
      <c r="BB9" s="10">
        <v>50</v>
      </c>
      <c r="BC9" s="20"/>
      <c r="BD9" s="20"/>
      <c r="BE9" s="20"/>
      <c r="BF9" s="20"/>
      <c r="BG9" s="20"/>
      <c r="BH9" s="20"/>
      <c r="BI9" s="2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88"/>
      <c r="CY9" s="20"/>
      <c r="CZ9" s="20"/>
      <c r="DA9" s="20"/>
      <c r="DB9" s="20"/>
      <c r="DC9" s="20"/>
      <c r="DD9" s="20"/>
      <c r="DE9" s="20"/>
      <c r="DF9" s="1"/>
      <c r="DG9" s="1"/>
      <c r="DH9" s="20"/>
      <c r="DI9" s="88"/>
      <c r="DJ9" s="88"/>
      <c r="DK9" s="1"/>
      <c r="DL9" s="1"/>
      <c r="DM9" s="1"/>
      <c r="DN9" s="1"/>
      <c r="DO9" s="1"/>
      <c r="DP9" s="96"/>
      <c r="DQ9" s="57">
        <f>$DS9</f>
        <v>0</v>
      </c>
      <c r="DR9" s="57" t="str">
        <f t="shared" si="0"/>
        <v/>
      </c>
      <c r="DS9" s="1"/>
      <c r="DT9" s="1"/>
      <c r="DU9" s="1" t="s">
        <v>280</v>
      </c>
      <c r="DV9" s="66"/>
      <c r="DW9" s="1"/>
      <c r="DX9" s="1"/>
      <c r="DY9" s="66"/>
      <c r="DZ9" s="109"/>
      <c r="EA9" s="110"/>
      <c r="EB9" s="110"/>
      <c r="EC9" s="110"/>
      <c r="ED9" s="110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</row>
    <row r="10" spans="1:149" s="2" customFormat="1" ht="15" customHeight="1" x14ac:dyDescent="0.15">
      <c r="A10" s="1"/>
      <c r="B10" s="37"/>
      <c r="C10" s="40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56">
        <v>17050103</v>
      </c>
      <c r="AC10" s="56" t="s">
        <v>315</v>
      </c>
      <c r="AD10" s="56"/>
      <c r="AE10" s="56"/>
      <c r="AF10" s="56"/>
      <c r="AG10" s="56"/>
      <c r="AH10" s="56"/>
      <c r="AI10" s="56"/>
      <c r="AJ10" s="56">
        <v>3</v>
      </c>
      <c r="AK10" s="56"/>
      <c r="AL10" s="64"/>
      <c r="AM10" s="67"/>
      <c r="AN10" s="67"/>
      <c r="AO10" s="67"/>
      <c r="AP10" s="67"/>
      <c r="AQ10" s="67"/>
      <c r="AR10" s="67"/>
      <c r="AS10" s="1"/>
      <c r="AT10" s="1"/>
      <c r="AU10" s="64"/>
      <c r="AV10" s="64"/>
      <c r="AW10" s="64"/>
      <c r="AX10" s="64"/>
      <c r="AY10" s="64"/>
      <c r="AZ10" s="64"/>
      <c r="BA10" s="77"/>
      <c r="BB10" s="75"/>
      <c r="BC10" s="75"/>
      <c r="BD10" s="75"/>
      <c r="BE10" s="75"/>
      <c r="BF10" s="75"/>
      <c r="BG10" s="75"/>
      <c r="BH10" s="75"/>
      <c r="BI10" s="75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80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96"/>
      <c r="DQ10" s="57"/>
      <c r="DR10" s="57" t="str">
        <f t="shared" si="0"/>
        <v/>
      </c>
      <c r="DS10" s="1"/>
      <c r="DT10" s="1"/>
      <c r="DU10" s="1" t="s">
        <v>280</v>
      </c>
      <c r="DV10" s="98"/>
      <c r="DW10" s="1"/>
      <c r="DX10" s="1"/>
      <c r="DY10" s="98"/>
      <c r="DZ10" s="1"/>
      <c r="EA10" s="98"/>
      <c r="EB10" s="98"/>
      <c r="EC10" s="98"/>
      <c r="ED10" s="98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</row>
    <row r="11" spans="1:149" s="2" customFormat="1" ht="43.5" customHeight="1" x14ac:dyDescent="0.15">
      <c r="A11" s="20">
        <v>170502</v>
      </c>
      <c r="B11" s="39" t="s">
        <v>305</v>
      </c>
      <c r="C11" s="40" t="s">
        <v>306</v>
      </c>
      <c r="D11" s="20" t="s">
        <v>307</v>
      </c>
      <c r="E11" s="20"/>
      <c r="F11" s="20"/>
      <c r="G11" s="20"/>
      <c r="H11" s="20">
        <v>0</v>
      </c>
      <c r="I11" s="20"/>
      <c r="J11" s="20"/>
      <c r="K11" s="20"/>
      <c r="L11" s="20">
        <v>0</v>
      </c>
      <c r="M11" s="20"/>
      <c r="N11" s="20"/>
      <c r="O11" s="20"/>
      <c r="P11" s="1" t="s">
        <v>268</v>
      </c>
      <c r="Q11" s="20" t="s">
        <v>269</v>
      </c>
      <c r="R11" s="20"/>
      <c r="S11" s="20"/>
      <c r="T11" s="20"/>
      <c r="U11" s="20"/>
      <c r="V11" s="20"/>
      <c r="W11" s="20"/>
      <c r="X11" s="20">
        <v>1</v>
      </c>
      <c r="Y11" s="20">
        <v>0</v>
      </c>
      <c r="Z11" s="20">
        <v>0</v>
      </c>
      <c r="AA11" s="20"/>
      <c r="AB11" s="20">
        <v>3001</v>
      </c>
      <c r="AC11" s="20"/>
      <c r="AD11" s="20"/>
      <c r="AE11" s="20"/>
      <c r="AF11" s="20"/>
      <c r="AG11" s="20"/>
      <c r="AH11" s="20"/>
      <c r="AI11" s="20"/>
      <c r="AJ11" s="20"/>
      <c r="AK11" s="20"/>
      <c r="AL11" s="66"/>
      <c r="AM11" s="66"/>
      <c r="AN11" s="66"/>
      <c r="AO11" s="66"/>
      <c r="AP11" s="66"/>
      <c r="AQ11" s="66"/>
      <c r="AR11" s="66"/>
      <c r="AS11" s="1"/>
      <c r="AT11" s="1"/>
      <c r="AU11" s="66"/>
      <c r="AV11" s="66"/>
      <c r="AW11" s="66"/>
      <c r="AX11" s="66"/>
      <c r="AY11" s="66"/>
      <c r="AZ11" s="66"/>
      <c r="BA11" s="66" t="s">
        <v>270</v>
      </c>
      <c r="BB11" s="10">
        <v>20</v>
      </c>
      <c r="BC11" s="20">
        <v>0</v>
      </c>
      <c r="BD11" s="20"/>
      <c r="BE11" s="20"/>
      <c r="BF11" s="20">
        <v>0</v>
      </c>
      <c r="BG11" s="20">
        <v>0</v>
      </c>
      <c r="BH11" s="20">
        <v>0</v>
      </c>
      <c r="BI11" s="20"/>
      <c r="BJ11" s="80" t="s">
        <v>270</v>
      </c>
      <c r="BK11" s="80"/>
      <c r="BL11" s="80"/>
      <c r="BM11" s="80"/>
      <c r="BN11" s="80"/>
      <c r="BO11" s="80"/>
      <c r="BP11" s="80"/>
      <c r="BQ11" s="80"/>
      <c r="BR11" s="80"/>
      <c r="BS11" s="80" t="s">
        <v>270</v>
      </c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20" t="s">
        <v>271</v>
      </c>
      <c r="CG11" s="20"/>
      <c r="CH11" s="20"/>
      <c r="CI11" s="20"/>
      <c r="CJ11" s="20" t="s">
        <v>1</v>
      </c>
      <c r="CK11" s="84" t="s">
        <v>308</v>
      </c>
      <c r="CL11" s="84"/>
      <c r="CM11" s="20">
        <v>10</v>
      </c>
      <c r="CN11" s="20">
        <v>200</v>
      </c>
      <c r="CO11" s="20">
        <v>200</v>
      </c>
      <c r="CP11" s="20">
        <v>200</v>
      </c>
      <c r="CQ11" s="20">
        <v>8</v>
      </c>
      <c r="CR11" s="20"/>
      <c r="CS11" s="20">
        <v>6</v>
      </c>
      <c r="CT11" s="20"/>
      <c r="CU11" s="20">
        <v>6</v>
      </c>
      <c r="CV11" s="20"/>
      <c r="CW11" s="20"/>
      <c r="CX11" s="88" t="s">
        <v>273</v>
      </c>
      <c r="CY11" s="20"/>
      <c r="CZ11" s="20"/>
      <c r="DA11" s="20"/>
      <c r="DB11" s="20">
        <v>170501</v>
      </c>
      <c r="DC11" s="20" t="b">
        <v>1</v>
      </c>
      <c r="DD11" s="20" t="s">
        <v>274</v>
      </c>
      <c r="DE11" s="20" t="s">
        <v>309</v>
      </c>
      <c r="DF11" s="1" t="s">
        <v>276</v>
      </c>
      <c r="DG11" s="1" t="s">
        <v>310</v>
      </c>
      <c r="DH11" s="20">
        <v>4</v>
      </c>
      <c r="DI11" s="88" t="b">
        <v>0</v>
      </c>
      <c r="DJ11" s="88"/>
      <c r="DK11" s="1"/>
      <c r="DL11" s="1"/>
      <c r="DM11" s="1"/>
      <c r="DN11" s="1"/>
      <c r="DO11" s="1"/>
      <c r="DP11" s="96" t="str">
        <f>"SkillDetail_"&amp;A11</f>
        <v>SkillDetail_170502</v>
      </c>
      <c r="DQ11" s="57" t="s">
        <v>311</v>
      </c>
      <c r="DR11" s="57" t="str">
        <f t="shared" si="0"/>
        <v>（主将技）对扇形范围内至多3个目标释放枪阵，造成{0:0}%伤害。击飞目标并让目标晕眩，持续3秒</v>
      </c>
      <c r="DS11" s="1" t="s">
        <v>312</v>
      </c>
      <c r="DT11" s="1"/>
      <c r="DU11" s="1" t="s">
        <v>280</v>
      </c>
      <c r="DV11" s="66"/>
      <c r="DW11" s="1"/>
      <c r="DX11" s="1"/>
      <c r="DY11" s="1"/>
      <c r="DZ11" s="109">
        <v>1</v>
      </c>
      <c r="EA11" s="110" t="s">
        <v>281</v>
      </c>
      <c r="EB11" s="110" t="s">
        <v>282</v>
      </c>
      <c r="EC11" s="110" t="s">
        <v>283</v>
      </c>
      <c r="ED11" s="110" t="s">
        <v>283</v>
      </c>
      <c r="EE11" s="1" t="s">
        <v>284</v>
      </c>
      <c r="EF11" s="1" t="str">
        <f>IF(ISNUMBER(FIND("数值%",INDEX($1:$693,ROW($BA11)+_xlfn.NUMBERVALUE(MID(EA11,1,1)),COLUMN($BA11)+9*_xlfn.NUMBERVALUE(MID(EA11,3,3))))),"{"&amp;EA11&amp;"}"&amp;"%","{"&amp;EA11&amp;"}")</f>
        <v>{0:0}%</v>
      </c>
      <c r="EG11" s="1" t="str">
        <f>REPLACEB(DS11,FINDB(EE11,DS11),LEN(EE11),EF11)</f>
        <v>（主将技）对扇形范围内至多3个目标释放枪阵，造成{0:0}%伤害。击飞目标并让目标晕眩，持续3秒</v>
      </c>
      <c r="EH11" s="1" t="s">
        <v>285</v>
      </c>
      <c r="EI11" s="1" t="str">
        <f>IF(ISNUMBER(FIND("数值%",INDEX($1:$693,ROW($BA11)+_xlfn.NUMBERVALUE(MID(EB11,1,1)),COLUMN($BA11)+9*_xlfn.NUMBERVALUE(MID(EB11,3,1))))),"{"&amp;EB11&amp;"}"&amp;"%","{"&amp;EB11&amp;"}")</f>
        <v>{1:0}%</v>
      </c>
      <c r="EJ11" s="1" t="e">
        <f>REPLACEB(EG11,FINDB(EH11,EG11),LEN(EH11),EI11)</f>
        <v>#VALUE!</v>
      </c>
      <c r="EK11" s="1" t="s">
        <v>286</v>
      </c>
      <c r="EL11" s="1" t="str">
        <f>IF(ISNUMBER(FIND("数值%",INDEX($1:$693,ROW($BA11)+_xlfn.NUMBERVALUE(MID(EC11,1,1)),COLUMN($BA11)+9*_xlfn.NUMBERVALUE(MID(EC11,3,1))))),"{"&amp;EC11&amp;"}"&amp;"%","{"&amp;EC11&amp;"}")</f>
        <v>{2:0}</v>
      </c>
      <c r="EM11" s="1" t="e">
        <f>REPLACEB(EJ11,FINDB(EK11,EJ11),LEN(EK11),EL11)</f>
        <v>#VALUE!</v>
      </c>
      <c r="EN11" s="1" t="s">
        <v>287</v>
      </c>
      <c r="EO11" s="1" t="str">
        <f>IF(ISNUMBER(FIND("数值%",INDEX($1:$693,ROW($BA11)+_xlfn.NUMBERVALUE(MID(ED11,1,1)),COLUMN($BA11)+9*_xlfn.NUMBERVALUE(MID(ED11,3,1))))),"{"&amp;ED11&amp;"}"&amp;"%","{"&amp;ED11&amp;"}")</f>
        <v>{2:0}</v>
      </c>
      <c r="EP11" s="1" t="e">
        <f>REPLACEB(EM11,FINDB(EN11,EM11),LEN(EN11),EO11)</f>
        <v>#VALUE!</v>
      </c>
      <c r="EQ11" s="1"/>
      <c r="ER11" s="1"/>
      <c r="ES11" s="1"/>
    </row>
    <row r="12" spans="1:149" s="2" customFormat="1" ht="15" customHeight="1" x14ac:dyDescent="0.15">
      <c r="A12" s="20"/>
      <c r="B12" s="39"/>
      <c r="C12" s="4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>
        <v>17050102</v>
      </c>
      <c r="AC12" s="20" t="s">
        <v>313</v>
      </c>
      <c r="AD12" s="20"/>
      <c r="AE12" s="20" t="s">
        <v>291</v>
      </c>
      <c r="AF12" s="56" t="s">
        <v>314</v>
      </c>
      <c r="AG12" s="56"/>
      <c r="AH12" s="56"/>
      <c r="AI12" s="56"/>
      <c r="AJ12" s="20"/>
      <c r="AK12" s="20"/>
      <c r="AL12" s="64"/>
      <c r="AM12" s="66"/>
      <c r="AN12" s="66"/>
      <c r="AO12" s="66"/>
      <c r="AP12" s="66"/>
      <c r="AQ12" s="66"/>
      <c r="AR12" s="66"/>
      <c r="AS12" s="1"/>
      <c r="AT12" s="1"/>
      <c r="AU12" s="64"/>
      <c r="AV12" s="64"/>
      <c r="AW12" s="64"/>
      <c r="AX12" s="64"/>
      <c r="AY12" s="64"/>
      <c r="AZ12" s="64"/>
      <c r="BA12" s="66" t="s">
        <v>270</v>
      </c>
      <c r="BB12" s="10">
        <v>50</v>
      </c>
      <c r="BC12" s="20"/>
      <c r="BD12" s="20"/>
      <c r="BE12" s="20"/>
      <c r="BF12" s="20"/>
      <c r="BG12" s="20"/>
      <c r="BH12" s="20"/>
      <c r="BI12" s="2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88"/>
      <c r="CY12" s="20"/>
      <c r="CZ12" s="20"/>
      <c r="DA12" s="20"/>
      <c r="DB12" s="20"/>
      <c r="DC12" s="20"/>
      <c r="DD12" s="20"/>
      <c r="DE12" s="20"/>
      <c r="DF12" s="1"/>
      <c r="DG12" s="1"/>
      <c r="DH12" s="20"/>
      <c r="DI12" s="88"/>
      <c r="DJ12" s="88"/>
      <c r="DK12" s="1"/>
      <c r="DL12" s="1"/>
      <c r="DM12" s="1"/>
      <c r="DN12" s="1"/>
      <c r="DO12" s="1"/>
      <c r="DP12" s="96"/>
      <c r="DQ12" s="57">
        <f>$DS12</f>
        <v>0</v>
      </c>
      <c r="DR12" s="57" t="str">
        <f t="shared" si="0"/>
        <v/>
      </c>
      <c r="DS12" s="1"/>
      <c r="DT12" s="1"/>
      <c r="DU12" s="1" t="s">
        <v>280</v>
      </c>
      <c r="DV12" s="66"/>
      <c r="DW12" s="1"/>
      <c r="DX12" s="1"/>
      <c r="DY12" s="66"/>
      <c r="DZ12" s="109"/>
      <c r="EA12" s="110"/>
      <c r="EB12" s="110"/>
      <c r="EC12" s="110"/>
      <c r="ED12" s="110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</row>
    <row r="13" spans="1:149" s="3" customFormat="1" ht="15" customHeight="1" x14ac:dyDescent="0.15">
      <c r="A13" s="1"/>
      <c r="B13" s="37"/>
      <c r="C13" s="40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56">
        <v>17050103</v>
      </c>
      <c r="AC13" s="56" t="s">
        <v>315</v>
      </c>
      <c r="AD13" s="56"/>
      <c r="AE13" s="56"/>
      <c r="AF13" s="56"/>
      <c r="AG13" s="56"/>
      <c r="AH13" s="56"/>
      <c r="AI13" s="56"/>
      <c r="AJ13" s="56">
        <v>3</v>
      </c>
      <c r="AK13" s="56"/>
      <c r="AL13" s="64"/>
      <c r="AM13" s="66"/>
      <c r="AN13" s="66"/>
      <c r="AO13" s="66"/>
      <c r="AP13" s="66"/>
      <c r="AQ13" s="66"/>
      <c r="AR13" s="66"/>
      <c r="AS13" s="1"/>
      <c r="AT13" s="1"/>
      <c r="AU13" s="64"/>
      <c r="AV13" s="64"/>
      <c r="AW13" s="64"/>
      <c r="AX13" s="64"/>
      <c r="AY13" s="64"/>
      <c r="AZ13" s="64"/>
      <c r="BA13" s="77"/>
      <c r="BB13" s="75"/>
      <c r="BC13" s="75"/>
      <c r="BD13" s="75"/>
      <c r="BE13" s="75"/>
      <c r="BF13" s="75"/>
      <c r="BG13" s="75"/>
      <c r="BH13" s="75"/>
      <c r="BI13" s="75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80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96"/>
      <c r="DQ13" s="57"/>
      <c r="DR13" s="57" t="str">
        <f t="shared" si="0"/>
        <v/>
      </c>
      <c r="DS13" s="1"/>
      <c r="DT13" s="1"/>
      <c r="DU13" s="1" t="s">
        <v>280</v>
      </c>
      <c r="DV13" s="98"/>
      <c r="DW13" s="1"/>
      <c r="DX13" s="1"/>
      <c r="DY13" s="98"/>
      <c r="DZ13" s="1"/>
      <c r="EA13" s="98"/>
      <c r="EB13" s="98"/>
      <c r="EC13" s="98"/>
      <c r="ED13" s="98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</row>
    <row r="14" spans="1:149" s="3" customFormat="1" ht="39.950000000000003" customHeight="1" x14ac:dyDescent="0.15">
      <c r="A14" s="10">
        <v>170503</v>
      </c>
      <c r="B14" s="44" t="s">
        <v>316</v>
      </c>
      <c r="C14" s="40" t="s">
        <v>317</v>
      </c>
      <c r="D14" s="10" t="s">
        <v>318</v>
      </c>
      <c r="E14" s="10"/>
      <c r="F14" s="10"/>
      <c r="G14" s="10"/>
      <c r="H14" s="10">
        <v>0</v>
      </c>
      <c r="I14" s="10"/>
      <c r="J14" s="10"/>
      <c r="K14" s="10"/>
      <c r="L14" s="10">
        <v>0</v>
      </c>
      <c r="M14" s="10"/>
      <c r="N14" s="10"/>
      <c r="O14" s="10"/>
      <c r="P14" s="10" t="s">
        <v>268</v>
      </c>
      <c r="Q14" s="10" t="s">
        <v>269</v>
      </c>
      <c r="R14" s="10"/>
      <c r="S14" s="10"/>
      <c r="T14" s="10"/>
      <c r="U14" s="10"/>
      <c r="V14" s="10"/>
      <c r="W14" s="10"/>
      <c r="X14" s="10">
        <v>1</v>
      </c>
      <c r="Y14" s="10">
        <v>0</v>
      </c>
      <c r="Z14" s="10">
        <v>0</v>
      </c>
      <c r="AA14" s="10"/>
      <c r="AB14" s="10">
        <v>3001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68"/>
      <c r="AM14" s="68"/>
      <c r="AN14" s="68"/>
      <c r="AO14" s="68"/>
      <c r="AP14" s="68"/>
      <c r="AQ14" s="68"/>
      <c r="AR14" s="68"/>
      <c r="AS14" s="10"/>
      <c r="AT14" s="10"/>
      <c r="AU14" s="68"/>
      <c r="AV14" s="68"/>
      <c r="AW14" s="68"/>
      <c r="AX14" s="68"/>
      <c r="AY14" s="68"/>
      <c r="AZ14" s="68"/>
      <c r="BA14" s="68" t="s">
        <v>270</v>
      </c>
      <c r="BB14" s="10">
        <v>300</v>
      </c>
      <c r="BC14" s="10">
        <v>0</v>
      </c>
      <c r="BD14" s="10"/>
      <c r="BE14" s="10"/>
      <c r="BF14" s="10">
        <v>0</v>
      </c>
      <c r="BG14" s="10">
        <v>0</v>
      </c>
      <c r="BH14" s="10">
        <v>0</v>
      </c>
      <c r="BI14" s="10"/>
      <c r="BJ14" s="10" t="s">
        <v>270</v>
      </c>
      <c r="BK14" s="10"/>
      <c r="BL14" s="10"/>
      <c r="BM14" s="10"/>
      <c r="BN14" s="10"/>
      <c r="BO14" s="10"/>
      <c r="BP14" s="10"/>
      <c r="BQ14" s="10"/>
      <c r="BR14" s="10"/>
      <c r="BS14" s="10" t="s">
        <v>270</v>
      </c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 t="s">
        <v>271</v>
      </c>
      <c r="CG14" s="10"/>
      <c r="CH14" s="10"/>
      <c r="CI14" s="10"/>
      <c r="CJ14" s="10" t="s">
        <v>1</v>
      </c>
      <c r="CK14" s="58" t="s">
        <v>319</v>
      </c>
      <c r="CL14" s="58"/>
      <c r="CM14" s="10">
        <v>999</v>
      </c>
      <c r="CN14" s="10">
        <v>0</v>
      </c>
      <c r="CO14" s="10">
        <v>0</v>
      </c>
      <c r="CP14" s="10">
        <v>0</v>
      </c>
      <c r="CQ14" s="10">
        <v>0</v>
      </c>
      <c r="CR14" s="10"/>
      <c r="CS14" s="10">
        <v>16</v>
      </c>
      <c r="CT14" s="10">
        <v>8</v>
      </c>
      <c r="CU14" s="10">
        <v>24</v>
      </c>
      <c r="CV14" s="1" t="s">
        <v>320</v>
      </c>
      <c r="CW14" s="10" t="b">
        <v>1</v>
      </c>
      <c r="CX14" s="89" t="s">
        <v>273</v>
      </c>
      <c r="CY14" s="10"/>
      <c r="CZ14" s="10"/>
      <c r="DA14" s="10"/>
      <c r="DB14" s="10">
        <v>170501</v>
      </c>
      <c r="DC14" s="10" t="b">
        <v>1</v>
      </c>
      <c r="DD14" s="10" t="s">
        <v>274</v>
      </c>
      <c r="DE14" s="10" t="s">
        <v>321</v>
      </c>
      <c r="DF14" s="10" t="s">
        <v>276</v>
      </c>
      <c r="DG14" s="10" t="s">
        <v>322</v>
      </c>
      <c r="DH14" s="10">
        <v>4</v>
      </c>
      <c r="DI14" s="89" t="b">
        <v>0</v>
      </c>
      <c r="DJ14" s="1" t="b">
        <v>1</v>
      </c>
      <c r="DK14" s="10"/>
      <c r="DL14" s="10"/>
      <c r="DM14" s="10"/>
      <c r="DN14" s="1"/>
      <c r="DO14" s="1"/>
      <c r="DP14" s="96" t="s">
        <v>323</v>
      </c>
      <c r="DQ14" s="58" t="s">
        <v>324</v>
      </c>
      <c r="DR14" s="57" t="e">
        <f t="shared" si="0"/>
        <v>#VALUE!</v>
      </c>
      <c r="DS14" s="58" t="s">
        <v>325</v>
      </c>
      <c r="DT14" s="10"/>
      <c r="DU14" s="1" t="s">
        <v>280</v>
      </c>
      <c r="DV14" s="68"/>
      <c r="DW14" s="10"/>
      <c r="DX14" s="10"/>
      <c r="DY14" s="1"/>
      <c r="DZ14" s="113">
        <v>1</v>
      </c>
      <c r="EA14" s="114" t="s">
        <v>281</v>
      </c>
      <c r="EB14" s="114" t="s">
        <v>282</v>
      </c>
      <c r="EC14" s="114" t="s">
        <v>283</v>
      </c>
      <c r="ED14" s="114" t="s">
        <v>283</v>
      </c>
      <c r="EE14" s="10" t="s">
        <v>284</v>
      </c>
      <c r="EF14" s="10" t="s">
        <v>326</v>
      </c>
      <c r="EG14" s="10" t="e">
        <v>#VALUE!</v>
      </c>
      <c r="EH14" s="10" t="s">
        <v>285</v>
      </c>
      <c r="EI14" s="10" t="s">
        <v>327</v>
      </c>
      <c r="EJ14" s="10" t="e">
        <v>#VALUE!</v>
      </c>
      <c r="EK14" s="10" t="s">
        <v>286</v>
      </c>
      <c r="EL14" s="10" t="s">
        <v>328</v>
      </c>
      <c r="EM14" s="10" t="e">
        <v>#VALUE!</v>
      </c>
      <c r="EN14" s="10" t="s">
        <v>287</v>
      </c>
      <c r="EO14" s="10" t="s">
        <v>328</v>
      </c>
      <c r="EP14" s="10" t="e">
        <v>#VALUE!</v>
      </c>
      <c r="EQ14" s="10"/>
      <c r="ER14" s="10"/>
      <c r="ES14" s="10"/>
    </row>
    <row r="15" spans="1:149" s="3" customFormat="1" ht="39.950000000000003" customHeight="1" x14ac:dyDescent="0.15">
      <c r="A15" s="10"/>
      <c r="B15" s="44"/>
      <c r="C15" s="4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>
        <v>17050301</v>
      </c>
      <c r="AC15" s="58" t="s">
        <v>329</v>
      </c>
      <c r="AD15" s="10" t="s">
        <v>330</v>
      </c>
      <c r="AE15" s="10" t="s">
        <v>291</v>
      </c>
      <c r="AF15" s="10" t="s">
        <v>314</v>
      </c>
      <c r="AG15" s="10"/>
      <c r="AH15" s="10"/>
      <c r="AI15" s="10"/>
      <c r="AJ15" s="10"/>
      <c r="AK15" s="10"/>
      <c r="AL15" s="68"/>
      <c r="AM15" s="68"/>
      <c r="AN15" s="68"/>
      <c r="AO15" s="68"/>
      <c r="AP15" s="68"/>
      <c r="AQ15" s="68"/>
      <c r="AR15" s="68"/>
      <c r="AS15" s="10"/>
      <c r="AT15" s="10"/>
      <c r="AU15" s="68"/>
      <c r="AV15" s="68"/>
      <c r="AW15" s="68"/>
      <c r="AX15" s="68"/>
      <c r="AY15" s="68"/>
      <c r="AZ15" s="68"/>
      <c r="BA15" s="68" t="s">
        <v>331</v>
      </c>
      <c r="BB15" s="10">
        <v>1.7999999999999999E-2</v>
      </c>
      <c r="BC15" s="10">
        <v>0</v>
      </c>
      <c r="BD15" s="10"/>
      <c r="BE15" s="10"/>
      <c r="BF15" s="10">
        <v>0</v>
      </c>
      <c r="BG15" s="10">
        <v>0</v>
      </c>
      <c r="BH15" s="10">
        <v>0</v>
      </c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" t="b">
        <v>1</v>
      </c>
      <c r="DK15" s="10"/>
      <c r="DL15" s="10"/>
      <c r="DM15" s="10"/>
      <c r="DN15" s="10"/>
      <c r="DO15" s="10"/>
      <c r="DP15" s="96"/>
      <c r="DQ15" s="58"/>
      <c r="DR15" s="57" t="str">
        <f t="shared" si="0"/>
        <v/>
      </c>
      <c r="DS15" s="10"/>
      <c r="DT15" s="10"/>
      <c r="DU15" s="1" t="s">
        <v>280</v>
      </c>
      <c r="DV15" s="68"/>
      <c r="DW15" s="10"/>
      <c r="DX15" s="10"/>
      <c r="DY15" s="68"/>
      <c r="DZ15" s="10"/>
      <c r="EA15" s="68"/>
      <c r="EB15" s="68"/>
      <c r="EC15" s="68"/>
      <c r="ED15" s="68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</row>
    <row r="16" spans="1:149" s="3" customFormat="1" ht="39.950000000000003" customHeight="1" x14ac:dyDescent="0.15">
      <c r="A16" s="10"/>
      <c r="B16" s="44"/>
      <c r="C16" s="4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>
        <v>17050302</v>
      </c>
      <c r="AC16" s="58" t="s">
        <v>332</v>
      </c>
      <c r="AD16" s="10" t="s">
        <v>333</v>
      </c>
      <c r="AE16" s="10" t="s">
        <v>291</v>
      </c>
      <c r="AF16" s="10" t="s">
        <v>314</v>
      </c>
      <c r="AG16" s="10"/>
      <c r="AH16" s="10"/>
      <c r="AI16" s="10"/>
      <c r="AJ16" s="10">
        <v>-1</v>
      </c>
      <c r="AK16" s="10"/>
      <c r="AL16" s="68"/>
      <c r="AM16" s="68"/>
      <c r="AN16" s="68"/>
      <c r="AO16" s="68"/>
      <c r="AP16" s="68"/>
      <c r="AQ16" s="68"/>
      <c r="AR16" s="68"/>
      <c r="AS16" s="10"/>
      <c r="AT16" s="10"/>
      <c r="AU16" s="68"/>
      <c r="AV16" s="68"/>
      <c r="AW16" s="68"/>
      <c r="AX16" s="68"/>
      <c r="AY16" s="68"/>
      <c r="AZ16" s="68"/>
      <c r="BA16" s="68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" t="b">
        <v>1</v>
      </c>
      <c r="DK16" s="10"/>
      <c r="DL16" s="10"/>
      <c r="DM16" s="10"/>
      <c r="DN16" s="10"/>
      <c r="DO16" s="10"/>
      <c r="DP16" s="96"/>
      <c r="DQ16" s="58"/>
      <c r="DR16" s="57" t="str">
        <f t="shared" si="0"/>
        <v/>
      </c>
      <c r="DS16" s="10"/>
      <c r="DT16" s="10"/>
      <c r="DU16" s="1" t="s">
        <v>280</v>
      </c>
      <c r="DV16" s="68"/>
      <c r="DW16" s="10"/>
      <c r="DX16" s="10"/>
      <c r="DY16" s="68"/>
      <c r="DZ16" s="10"/>
      <c r="EA16" s="68"/>
      <c r="EB16" s="68"/>
      <c r="EC16" s="68"/>
      <c r="ED16" s="68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</row>
    <row r="17" spans="1:149" s="2" customFormat="1" ht="39.950000000000003" customHeight="1" x14ac:dyDescent="0.15">
      <c r="A17" s="10">
        <v>170504</v>
      </c>
      <c r="B17" s="45" t="s">
        <v>334</v>
      </c>
      <c r="C17" s="40" t="s">
        <v>335</v>
      </c>
      <c r="D17" s="10" t="s">
        <v>336</v>
      </c>
      <c r="E17" s="10"/>
      <c r="F17" s="10"/>
      <c r="G17" s="10"/>
      <c r="H17" s="10">
        <v>0</v>
      </c>
      <c r="I17" s="10"/>
      <c r="J17" s="10"/>
      <c r="K17" s="10"/>
      <c r="L17" s="10">
        <v>0</v>
      </c>
      <c r="M17" s="10"/>
      <c r="N17" s="10"/>
      <c r="O17" s="10"/>
      <c r="P17" s="10" t="s">
        <v>268</v>
      </c>
      <c r="Q17" s="10" t="s">
        <v>269</v>
      </c>
      <c r="R17" s="10"/>
      <c r="S17" s="10"/>
      <c r="T17" s="10"/>
      <c r="U17" s="10"/>
      <c r="V17" s="10"/>
      <c r="W17" s="10"/>
      <c r="X17" s="10">
        <v>1</v>
      </c>
      <c r="Y17" s="10">
        <v>0</v>
      </c>
      <c r="Z17" s="10">
        <v>0</v>
      </c>
      <c r="AA17" s="10"/>
      <c r="AB17" s="10">
        <v>3001</v>
      </c>
      <c r="AC17" s="10" t="s">
        <v>337</v>
      </c>
      <c r="AD17" s="10"/>
      <c r="AE17" s="10" t="s">
        <v>129</v>
      </c>
      <c r="AF17" s="10" t="s">
        <v>314</v>
      </c>
      <c r="AG17" s="10"/>
      <c r="AH17" s="10"/>
      <c r="AI17" s="10"/>
      <c r="AJ17" s="10"/>
      <c r="AK17" s="10"/>
      <c r="AL17" s="68"/>
      <c r="AM17" s="68"/>
      <c r="AN17" s="68"/>
      <c r="AO17" s="68"/>
      <c r="AP17" s="68"/>
      <c r="AQ17" s="68"/>
      <c r="AR17" s="68"/>
      <c r="AS17" s="10"/>
      <c r="AT17" s="10"/>
      <c r="AU17" s="68"/>
      <c r="AV17" s="68"/>
      <c r="AW17" s="68"/>
      <c r="AX17" s="68"/>
      <c r="AY17" s="68"/>
      <c r="AZ17" s="68"/>
      <c r="BA17" s="68" t="s">
        <v>270</v>
      </c>
      <c r="BB17" s="10">
        <v>200</v>
      </c>
      <c r="BC17" s="10">
        <v>0</v>
      </c>
      <c r="BD17" s="10"/>
      <c r="BE17" s="10"/>
      <c r="BF17" s="10">
        <v>0</v>
      </c>
      <c r="BG17" s="10">
        <v>0</v>
      </c>
      <c r="BH17" s="10">
        <v>0</v>
      </c>
      <c r="BI17" s="10"/>
      <c r="BJ17" s="10" t="s">
        <v>270</v>
      </c>
      <c r="BK17" s="10"/>
      <c r="BL17" s="10"/>
      <c r="BM17" s="10"/>
      <c r="BN17" s="10"/>
      <c r="BO17" s="10"/>
      <c r="BP17" s="10"/>
      <c r="BQ17" s="10"/>
      <c r="BR17" s="10"/>
      <c r="BS17" s="10" t="s">
        <v>270</v>
      </c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 t="s">
        <v>271</v>
      </c>
      <c r="CG17" s="10"/>
      <c r="CH17" s="10"/>
      <c r="CI17" s="10"/>
      <c r="CJ17" s="10" t="s">
        <v>3</v>
      </c>
      <c r="CK17" s="58" t="s">
        <v>338</v>
      </c>
      <c r="CL17" s="58"/>
      <c r="CM17" s="10">
        <v>999</v>
      </c>
      <c r="CN17" s="10">
        <v>0</v>
      </c>
      <c r="CO17" s="10">
        <v>0</v>
      </c>
      <c r="CP17" s="10">
        <v>0</v>
      </c>
      <c r="CQ17" s="10">
        <v>0</v>
      </c>
      <c r="CR17" s="10"/>
      <c r="CS17" s="10">
        <v>12</v>
      </c>
      <c r="CT17" s="10"/>
      <c r="CU17" s="10">
        <v>13</v>
      </c>
      <c r="CV17" s="1" t="s">
        <v>339</v>
      </c>
      <c r="CW17" s="10" t="b">
        <v>0</v>
      </c>
      <c r="CX17" s="89" t="s">
        <v>273</v>
      </c>
      <c r="CY17" s="10"/>
      <c r="CZ17" s="10"/>
      <c r="DA17" s="10"/>
      <c r="DB17" s="10">
        <v>100300</v>
      </c>
      <c r="DC17" s="10" t="b">
        <v>1</v>
      </c>
      <c r="DD17" s="10" t="s">
        <v>274</v>
      </c>
      <c r="DE17" s="10" t="s">
        <v>340</v>
      </c>
      <c r="DF17" s="10" t="s">
        <v>276</v>
      </c>
      <c r="DG17" s="10" t="s">
        <v>277</v>
      </c>
      <c r="DH17" s="10">
        <v>4</v>
      </c>
      <c r="DI17" s="89" t="b">
        <v>0</v>
      </c>
      <c r="DJ17" s="1" t="b">
        <v>1</v>
      </c>
      <c r="DK17" s="10"/>
      <c r="DL17" s="10"/>
      <c r="DM17" s="59"/>
      <c r="DN17" s="1"/>
      <c r="DO17" s="1"/>
      <c r="DP17" s="96" t="s">
        <v>341</v>
      </c>
      <c r="DQ17" s="58" t="s">
        <v>342</v>
      </c>
      <c r="DR17" s="57" t="e">
        <f t="shared" si="0"/>
        <v>#VALUE!</v>
      </c>
      <c r="DS17" s="58" t="s">
        <v>343</v>
      </c>
      <c r="DT17" s="99"/>
      <c r="DU17" s="1" t="s">
        <v>280</v>
      </c>
      <c r="DV17" s="68"/>
      <c r="DW17" s="10"/>
      <c r="DX17" s="10"/>
      <c r="DY17" s="1"/>
      <c r="DZ17" s="113">
        <v>1</v>
      </c>
      <c r="EA17" s="114" t="s">
        <v>281</v>
      </c>
      <c r="EB17" s="114" t="s">
        <v>282</v>
      </c>
      <c r="EC17" s="114" t="s">
        <v>283</v>
      </c>
      <c r="ED17" s="114" t="s">
        <v>283</v>
      </c>
      <c r="EE17" s="10" t="s">
        <v>284</v>
      </c>
      <c r="EF17" s="10" t="s">
        <v>326</v>
      </c>
      <c r="EG17" s="10" t="e">
        <v>#VALUE!</v>
      </c>
      <c r="EH17" s="10" t="s">
        <v>285</v>
      </c>
      <c r="EI17" s="10" t="s">
        <v>344</v>
      </c>
      <c r="EJ17" s="10" t="e">
        <v>#VALUE!</v>
      </c>
      <c r="EK17" s="10" t="s">
        <v>286</v>
      </c>
      <c r="EL17" s="10" t="s">
        <v>345</v>
      </c>
      <c r="EM17" s="10" t="e">
        <v>#VALUE!</v>
      </c>
      <c r="EN17" s="10" t="s">
        <v>287</v>
      </c>
      <c r="EO17" s="10" t="s">
        <v>345</v>
      </c>
      <c r="EP17" s="10" t="e">
        <v>#VALUE!</v>
      </c>
      <c r="EQ17" s="10"/>
      <c r="ER17" s="10"/>
      <c r="ES17" s="10"/>
    </row>
    <row r="18" spans="1:149" s="2" customFormat="1" ht="39.950000000000003" customHeight="1" x14ac:dyDescent="0.15">
      <c r="A18" s="10"/>
      <c r="B18" s="44"/>
      <c r="C18" s="4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59">
        <v>10240102</v>
      </c>
      <c r="AC18" s="59" t="s">
        <v>346</v>
      </c>
      <c r="AD18" s="10"/>
      <c r="AE18" s="59" t="s">
        <v>129</v>
      </c>
      <c r="AF18" s="59" t="s">
        <v>314</v>
      </c>
      <c r="AG18" s="59"/>
      <c r="AH18" s="59"/>
      <c r="AI18" s="59"/>
      <c r="AJ18" s="59">
        <v>3</v>
      </c>
      <c r="AK18" s="59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" t="b">
        <v>1</v>
      </c>
      <c r="DK18" s="10"/>
      <c r="DL18" s="10"/>
      <c r="DM18" s="10"/>
      <c r="DN18" s="10"/>
      <c r="DO18" s="10"/>
      <c r="DP18" s="96"/>
      <c r="DQ18" s="10"/>
      <c r="DR18" s="57" t="str">
        <f t="shared" si="0"/>
        <v/>
      </c>
      <c r="DS18" s="10"/>
      <c r="DT18" s="10"/>
      <c r="DU18" s="1" t="s">
        <v>280</v>
      </c>
      <c r="DV18" s="68"/>
      <c r="DW18" s="10"/>
      <c r="DX18" s="10"/>
      <c r="DY18" s="68"/>
      <c r="DZ18" s="10"/>
      <c r="EA18" s="68"/>
      <c r="EB18" s="68"/>
      <c r="EC18" s="68"/>
      <c r="ED18" s="68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</row>
    <row r="19" spans="1:149" s="4" customFormat="1" ht="39.950000000000003" customHeight="1" x14ac:dyDescent="0.15">
      <c r="A19" s="4">
        <v>171503</v>
      </c>
      <c r="B19" s="46" t="s">
        <v>316</v>
      </c>
      <c r="C19" s="40" t="s">
        <v>317</v>
      </c>
      <c r="D19" s="4" t="s">
        <v>347</v>
      </c>
      <c r="H19" s="4">
        <v>0</v>
      </c>
      <c r="L19" s="4">
        <v>0</v>
      </c>
      <c r="P19" s="4" t="s">
        <v>268</v>
      </c>
      <c r="Q19" s="4" t="s">
        <v>348</v>
      </c>
      <c r="X19" s="4">
        <v>1</v>
      </c>
      <c r="Y19" s="4">
        <v>0</v>
      </c>
      <c r="Z19" s="4">
        <v>0</v>
      </c>
      <c r="AB19" s="4">
        <v>3001</v>
      </c>
      <c r="AC19" s="60"/>
      <c r="AD19" s="60"/>
      <c r="AF19" s="60"/>
      <c r="AG19" s="60"/>
      <c r="AH19" s="60"/>
      <c r="AI19" s="60"/>
      <c r="AJ19" s="60"/>
      <c r="AK19" s="60"/>
      <c r="AL19" s="60"/>
      <c r="BA19" s="4" t="s">
        <v>270</v>
      </c>
      <c r="BB19" s="4">
        <v>16</v>
      </c>
      <c r="BC19" s="4">
        <v>0</v>
      </c>
      <c r="BF19" s="4">
        <v>0</v>
      </c>
      <c r="BG19" s="4">
        <v>0</v>
      </c>
      <c r="BH19" s="4">
        <v>0</v>
      </c>
      <c r="BJ19" s="4" t="s">
        <v>270</v>
      </c>
      <c r="BS19" s="4" t="s">
        <v>270</v>
      </c>
      <c r="CF19" s="4" t="s">
        <v>271</v>
      </c>
      <c r="CJ19" s="4" t="s">
        <v>1</v>
      </c>
      <c r="CK19" s="85" t="s">
        <v>349</v>
      </c>
      <c r="CL19" s="85"/>
      <c r="CM19" s="4">
        <v>999</v>
      </c>
      <c r="CN19" s="4">
        <v>0</v>
      </c>
      <c r="CO19" s="4">
        <v>0</v>
      </c>
      <c r="CP19" s="4">
        <v>0</v>
      </c>
      <c r="CQ19" s="4">
        <v>0</v>
      </c>
      <c r="CS19" s="4">
        <v>8</v>
      </c>
      <c r="CT19" s="4">
        <v>0</v>
      </c>
      <c r="CU19" s="4">
        <v>15</v>
      </c>
      <c r="CV19" s="4" t="s">
        <v>350</v>
      </c>
      <c r="CW19" s="4" t="b">
        <v>1</v>
      </c>
      <c r="CX19" s="4" t="s">
        <v>273</v>
      </c>
      <c r="DB19" s="4">
        <v>170501</v>
      </c>
      <c r="DC19" s="4" t="b">
        <v>1</v>
      </c>
      <c r="DD19" s="4" t="s">
        <v>274</v>
      </c>
      <c r="DE19" s="4" t="s">
        <v>321</v>
      </c>
      <c r="DF19" s="4" t="s">
        <v>276</v>
      </c>
      <c r="DG19" s="4" t="s">
        <v>322</v>
      </c>
      <c r="DH19" s="4">
        <v>4</v>
      </c>
      <c r="DI19" s="4" t="b">
        <v>0</v>
      </c>
      <c r="DJ19" s="4" t="b">
        <v>1</v>
      </c>
      <c r="DP19" s="96" t="s">
        <v>323</v>
      </c>
      <c r="DQ19" s="4" t="s">
        <v>324</v>
      </c>
      <c r="DR19" s="57" t="e">
        <f t="shared" si="0"/>
        <v>#VALUE!</v>
      </c>
      <c r="DS19" s="4" t="s">
        <v>325</v>
      </c>
      <c r="DU19" s="1" t="s">
        <v>280</v>
      </c>
      <c r="DW19" s="100"/>
      <c r="DZ19" s="100">
        <v>1</v>
      </c>
      <c r="EA19" s="4" t="s">
        <v>281</v>
      </c>
      <c r="EB19" s="100" t="s">
        <v>282</v>
      </c>
      <c r="EC19" s="100" t="s">
        <v>283</v>
      </c>
      <c r="ED19" s="100" t="s">
        <v>283</v>
      </c>
      <c r="EE19" s="100" t="s">
        <v>284</v>
      </c>
      <c r="EF19" s="4" t="s">
        <v>326</v>
      </c>
      <c r="EG19" s="4" t="e">
        <v>#VALUE!</v>
      </c>
      <c r="EH19" s="4" t="s">
        <v>285</v>
      </c>
      <c r="EI19" s="4" t="s">
        <v>327</v>
      </c>
      <c r="EJ19" s="4" t="e">
        <v>#VALUE!</v>
      </c>
      <c r="EK19" s="4" t="s">
        <v>286</v>
      </c>
      <c r="EL19" s="4" t="s">
        <v>328</v>
      </c>
      <c r="EM19" s="4" t="e">
        <v>#VALUE!</v>
      </c>
      <c r="EN19" s="4" t="s">
        <v>287</v>
      </c>
      <c r="EO19" s="4" t="s">
        <v>328</v>
      </c>
      <c r="EP19" s="4" t="e">
        <v>#VALUE!</v>
      </c>
    </row>
    <row r="20" spans="1:149" s="4" customFormat="1" ht="39.950000000000003" customHeight="1" x14ac:dyDescent="0.15">
      <c r="B20" s="46"/>
      <c r="C20" s="40"/>
      <c r="AB20" s="4">
        <v>17050301</v>
      </c>
      <c r="AC20" s="60" t="s">
        <v>329</v>
      </c>
      <c r="AD20" s="60" t="s">
        <v>330</v>
      </c>
      <c r="AE20" s="4" t="s">
        <v>291</v>
      </c>
      <c r="AF20" s="60" t="s">
        <v>314</v>
      </c>
      <c r="AG20" s="60"/>
      <c r="AH20" s="60"/>
      <c r="AI20" s="60"/>
      <c r="AJ20" s="60"/>
      <c r="AK20" s="60"/>
      <c r="AL20" s="60"/>
      <c r="BA20" s="4" t="s">
        <v>331</v>
      </c>
      <c r="BB20" s="4">
        <v>1</v>
      </c>
      <c r="BC20" s="4">
        <v>0</v>
      </c>
      <c r="BF20" s="4">
        <v>0</v>
      </c>
      <c r="BG20" s="4">
        <v>0</v>
      </c>
      <c r="BH20" s="4">
        <v>0</v>
      </c>
      <c r="DJ20" s="4" t="b">
        <v>1</v>
      </c>
      <c r="DP20" s="96"/>
      <c r="DR20" s="57" t="str">
        <f t="shared" si="0"/>
        <v/>
      </c>
      <c r="DU20" s="1" t="s">
        <v>280</v>
      </c>
      <c r="DW20" s="100"/>
      <c r="DZ20" s="100"/>
      <c r="EB20" s="100"/>
      <c r="EC20" s="100"/>
      <c r="ED20" s="100"/>
      <c r="EE20" s="100"/>
    </row>
    <row r="21" spans="1:149" s="4" customFormat="1" ht="39.950000000000003" customHeight="1" x14ac:dyDescent="0.15">
      <c r="B21" s="46"/>
      <c r="C21" s="40"/>
      <c r="AB21" s="4">
        <v>17050302</v>
      </c>
      <c r="AC21" s="60" t="s">
        <v>332</v>
      </c>
      <c r="AD21" s="60" t="s">
        <v>333</v>
      </c>
      <c r="AE21" s="4" t="s">
        <v>291</v>
      </c>
      <c r="AF21" s="60" t="s">
        <v>314</v>
      </c>
      <c r="AG21" s="60"/>
      <c r="AH21" s="60"/>
      <c r="AI21" s="60"/>
      <c r="AJ21" s="60">
        <v>-1</v>
      </c>
      <c r="AK21" s="60"/>
      <c r="AL21" s="60"/>
      <c r="DJ21" s="4" t="b">
        <v>1</v>
      </c>
      <c r="DP21" s="96"/>
      <c r="DR21" s="57" t="str">
        <f t="shared" si="0"/>
        <v/>
      </c>
      <c r="DU21" s="1" t="s">
        <v>280</v>
      </c>
      <c r="DW21" s="100"/>
      <c r="DZ21" s="100"/>
      <c r="EB21" s="100"/>
      <c r="EC21" s="100"/>
      <c r="ED21" s="100"/>
      <c r="EE21" s="100"/>
    </row>
    <row r="22" spans="1:149" s="4" customFormat="1" ht="39.950000000000003" customHeight="1" x14ac:dyDescent="0.15">
      <c r="A22" s="4">
        <v>171504</v>
      </c>
      <c r="B22" s="46" t="s">
        <v>351</v>
      </c>
      <c r="C22" s="40" t="s">
        <v>352</v>
      </c>
      <c r="D22" s="4" t="s">
        <v>347</v>
      </c>
      <c r="E22" s="4">
        <v>171504</v>
      </c>
      <c r="H22" s="4">
        <v>0</v>
      </c>
      <c r="L22" s="4">
        <v>0</v>
      </c>
      <c r="P22" s="4" t="s">
        <v>268</v>
      </c>
      <c r="Q22" s="4" t="s">
        <v>348</v>
      </c>
      <c r="S22" s="4" t="s">
        <v>353</v>
      </c>
      <c r="X22" s="4">
        <v>1</v>
      </c>
      <c r="Y22" s="4">
        <v>0</v>
      </c>
      <c r="Z22" s="4">
        <v>0</v>
      </c>
      <c r="AB22" s="60">
        <v>17150401</v>
      </c>
      <c r="AC22" s="4" t="s">
        <v>354</v>
      </c>
      <c r="AD22" s="60"/>
      <c r="AE22" s="60" t="s">
        <v>291</v>
      </c>
      <c r="AF22" s="60" t="s">
        <v>314</v>
      </c>
      <c r="AG22" s="60"/>
      <c r="AH22" s="60"/>
      <c r="AI22" s="60"/>
      <c r="AJ22" s="60"/>
      <c r="AK22" s="60"/>
      <c r="AL22" s="60"/>
      <c r="BA22" s="4" t="s">
        <v>355</v>
      </c>
      <c r="BB22" s="4">
        <v>5</v>
      </c>
      <c r="BC22" s="4">
        <v>0</v>
      </c>
      <c r="BF22" s="4">
        <v>0</v>
      </c>
      <c r="BG22" s="4">
        <v>0</v>
      </c>
      <c r="BH22" s="4">
        <v>0</v>
      </c>
      <c r="BJ22" s="4" t="s">
        <v>270</v>
      </c>
      <c r="BS22" s="4" t="s">
        <v>270</v>
      </c>
      <c r="CF22" s="4" t="s">
        <v>271</v>
      </c>
      <c r="CJ22" s="4" t="s">
        <v>356</v>
      </c>
      <c r="CK22" s="85" t="s">
        <v>357</v>
      </c>
      <c r="CL22" s="85"/>
      <c r="CM22" s="4">
        <v>999</v>
      </c>
      <c r="CN22" s="4">
        <v>0</v>
      </c>
      <c r="CO22" s="4">
        <v>0</v>
      </c>
      <c r="CP22" s="4">
        <v>0</v>
      </c>
      <c r="CQ22" s="4">
        <v>0</v>
      </c>
      <c r="CS22" s="4">
        <v>5</v>
      </c>
      <c r="CT22" s="4">
        <v>0</v>
      </c>
      <c r="CU22" s="4">
        <v>10</v>
      </c>
      <c r="CV22" s="4" t="s">
        <v>358</v>
      </c>
      <c r="CW22" s="5" t="b">
        <v>1</v>
      </c>
      <c r="CX22" s="4" t="s">
        <v>273</v>
      </c>
      <c r="DB22" s="4">
        <v>100300</v>
      </c>
      <c r="DC22" s="4" t="b">
        <v>1</v>
      </c>
      <c r="DD22" s="4" t="s">
        <v>274</v>
      </c>
      <c r="DE22" s="4" t="s">
        <v>340</v>
      </c>
      <c r="DF22" s="4" t="s">
        <v>276</v>
      </c>
      <c r="DG22" s="4" t="s">
        <v>277</v>
      </c>
      <c r="DH22" s="4">
        <v>4</v>
      </c>
      <c r="DI22" s="4" t="b">
        <v>0</v>
      </c>
      <c r="DJ22" s="4" t="b">
        <v>1</v>
      </c>
      <c r="DP22" s="96" t="s">
        <v>341</v>
      </c>
      <c r="DQ22" s="4" t="s">
        <v>342</v>
      </c>
      <c r="DR22" s="57" t="e">
        <f t="shared" si="0"/>
        <v>#VALUE!</v>
      </c>
      <c r="DS22" s="4" t="s">
        <v>343</v>
      </c>
      <c r="DU22" s="1" t="s">
        <v>280</v>
      </c>
      <c r="DW22" s="100"/>
      <c r="DZ22" s="100">
        <v>1</v>
      </c>
      <c r="EA22" s="4" t="s">
        <v>281</v>
      </c>
      <c r="EB22" s="100" t="s">
        <v>282</v>
      </c>
      <c r="EC22" s="100" t="s">
        <v>283</v>
      </c>
      <c r="ED22" s="100" t="s">
        <v>283</v>
      </c>
      <c r="EE22" s="100" t="s">
        <v>284</v>
      </c>
      <c r="EF22" s="4" t="s">
        <v>326</v>
      </c>
      <c r="EG22" s="4" t="e">
        <v>#VALUE!</v>
      </c>
      <c r="EH22" s="4" t="s">
        <v>285</v>
      </c>
      <c r="EI22" s="4" t="s">
        <v>344</v>
      </c>
      <c r="EJ22" s="4" t="e">
        <v>#VALUE!</v>
      </c>
      <c r="EK22" s="4" t="s">
        <v>286</v>
      </c>
      <c r="EL22" s="4" t="s">
        <v>345</v>
      </c>
      <c r="EM22" s="4" t="e">
        <v>#VALUE!</v>
      </c>
      <c r="EN22" s="4" t="s">
        <v>287</v>
      </c>
      <c r="EO22" s="4" t="s">
        <v>345</v>
      </c>
      <c r="EP22" s="4" t="e">
        <v>#VALUE!</v>
      </c>
      <c r="ES22" s="4" t="b">
        <v>1</v>
      </c>
    </row>
    <row r="23" spans="1:149" s="4" customFormat="1" ht="39.950000000000003" customHeight="1" x14ac:dyDescent="0.15">
      <c r="A23" s="4">
        <v>171505</v>
      </c>
      <c r="B23" s="46" t="s">
        <v>351</v>
      </c>
      <c r="C23" s="40" t="s">
        <v>352</v>
      </c>
      <c r="D23" s="4" t="s">
        <v>359</v>
      </c>
      <c r="H23" s="4">
        <v>0</v>
      </c>
      <c r="L23" s="4">
        <v>0</v>
      </c>
      <c r="P23" s="4" t="s">
        <v>268</v>
      </c>
      <c r="Q23" s="4" t="s">
        <v>348</v>
      </c>
      <c r="S23" s="4" t="s">
        <v>353</v>
      </c>
      <c r="X23" s="4">
        <v>1</v>
      </c>
      <c r="Y23" s="4">
        <v>0</v>
      </c>
      <c r="Z23" s="4">
        <v>0</v>
      </c>
      <c r="AB23" s="60">
        <v>17150401</v>
      </c>
      <c r="AC23" s="4" t="s">
        <v>354</v>
      </c>
      <c r="AD23" s="60"/>
      <c r="AE23" s="60" t="s">
        <v>291</v>
      </c>
      <c r="AF23" s="60" t="s">
        <v>314</v>
      </c>
      <c r="AG23" s="60"/>
      <c r="AH23" s="60"/>
      <c r="AI23" s="60"/>
      <c r="AJ23" s="60"/>
      <c r="AK23" s="60"/>
      <c r="AL23" s="60"/>
      <c r="BA23" s="4" t="s">
        <v>355</v>
      </c>
      <c r="BB23" s="4">
        <v>5</v>
      </c>
      <c r="BC23" s="4">
        <v>0</v>
      </c>
      <c r="BF23" s="4">
        <v>0</v>
      </c>
      <c r="BG23" s="4">
        <v>0</v>
      </c>
      <c r="BH23" s="4">
        <v>0</v>
      </c>
      <c r="BJ23" s="4" t="s">
        <v>270</v>
      </c>
      <c r="BS23" s="4" t="s">
        <v>270</v>
      </c>
      <c r="CF23" s="4" t="s">
        <v>271</v>
      </c>
      <c r="CJ23" s="4" t="s">
        <v>356</v>
      </c>
      <c r="CK23" s="85" t="s">
        <v>357</v>
      </c>
      <c r="CL23" s="85"/>
      <c r="CM23" s="4">
        <v>999</v>
      </c>
      <c r="CN23" s="4">
        <v>0</v>
      </c>
      <c r="CO23" s="4">
        <v>0</v>
      </c>
      <c r="CP23" s="4">
        <v>0</v>
      </c>
      <c r="CQ23" s="4">
        <v>0</v>
      </c>
      <c r="CS23" s="4">
        <v>5</v>
      </c>
      <c r="CT23" s="4">
        <v>0</v>
      </c>
      <c r="CU23" s="4">
        <v>10</v>
      </c>
      <c r="CV23" s="4" t="s">
        <v>358</v>
      </c>
      <c r="CW23" s="5" t="b">
        <v>1</v>
      </c>
      <c r="CX23" s="4" t="s">
        <v>273</v>
      </c>
      <c r="DB23" s="4">
        <v>100300</v>
      </c>
      <c r="DC23" s="4" t="b">
        <v>1</v>
      </c>
      <c r="DD23" s="4" t="s">
        <v>274</v>
      </c>
      <c r="DE23" s="4" t="s">
        <v>340</v>
      </c>
      <c r="DF23" s="4" t="s">
        <v>276</v>
      </c>
      <c r="DG23" s="4" t="s">
        <v>277</v>
      </c>
      <c r="DH23" s="4">
        <v>4</v>
      </c>
      <c r="DI23" s="4" t="b">
        <v>0</v>
      </c>
      <c r="DJ23" s="4" t="b">
        <v>1</v>
      </c>
      <c r="DP23" s="96" t="s">
        <v>341</v>
      </c>
      <c r="DQ23" s="4" t="s">
        <v>342</v>
      </c>
      <c r="DR23" s="57" t="e">
        <f t="shared" ref="DR23:DR24" si="1">IF(DZ23="","",IF(DZ23=1,EG23,IF(DZ23=2,EJ23,IF(DZ23=3,EM23,IF(DZ23=4,EP23,IF(DZ23=0,DS23,"【参数配置有误】"&amp;DS23))))))</f>
        <v>#VALUE!</v>
      </c>
      <c r="DS23" s="4" t="s">
        <v>343</v>
      </c>
      <c r="DU23" s="1" t="s">
        <v>280</v>
      </c>
      <c r="DW23" s="100"/>
      <c r="DZ23" s="100">
        <v>1</v>
      </c>
      <c r="EA23" s="4" t="s">
        <v>281</v>
      </c>
      <c r="EB23" s="100" t="s">
        <v>282</v>
      </c>
      <c r="EC23" s="100" t="s">
        <v>283</v>
      </c>
      <c r="ED23" s="100" t="s">
        <v>283</v>
      </c>
      <c r="EE23" s="100" t="s">
        <v>284</v>
      </c>
      <c r="EF23" s="4" t="s">
        <v>326</v>
      </c>
      <c r="EG23" s="4" t="e">
        <v>#VALUE!</v>
      </c>
      <c r="EH23" s="4" t="s">
        <v>285</v>
      </c>
      <c r="EI23" s="4" t="s">
        <v>344</v>
      </c>
      <c r="EJ23" s="4" t="e">
        <v>#VALUE!</v>
      </c>
      <c r="EK23" s="4" t="s">
        <v>286</v>
      </c>
      <c r="EL23" s="4" t="s">
        <v>345</v>
      </c>
      <c r="EM23" s="4" t="e">
        <v>#VALUE!</v>
      </c>
      <c r="EN23" s="4" t="s">
        <v>287</v>
      </c>
      <c r="EO23" s="4" t="s">
        <v>345</v>
      </c>
      <c r="EP23" s="4" t="e">
        <v>#VALUE!</v>
      </c>
      <c r="ES23" s="4" t="b">
        <v>1</v>
      </c>
    </row>
    <row r="24" spans="1:149" s="4" customFormat="1" ht="39.950000000000003" customHeight="1" x14ac:dyDescent="0.15">
      <c r="A24" s="4">
        <v>171506</v>
      </c>
      <c r="B24" s="46" t="s">
        <v>351</v>
      </c>
      <c r="C24" s="40" t="s">
        <v>352</v>
      </c>
      <c r="D24" s="4" t="s">
        <v>347</v>
      </c>
      <c r="E24" s="4">
        <v>171506</v>
      </c>
      <c r="H24" s="4">
        <v>0</v>
      </c>
      <c r="L24" s="4">
        <v>0</v>
      </c>
      <c r="P24" s="4" t="s">
        <v>268</v>
      </c>
      <c r="Q24" s="4" t="s">
        <v>348</v>
      </c>
      <c r="S24" s="4" t="s">
        <v>353</v>
      </c>
      <c r="X24" s="4">
        <v>1</v>
      </c>
      <c r="Y24" s="4">
        <v>0</v>
      </c>
      <c r="Z24" s="4">
        <v>0</v>
      </c>
      <c r="AB24" s="60">
        <v>17150401</v>
      </c>
      <c r="AC24" s="4" t="s">
        <v>354</v>
      </c>
      <c r="AD24" s="60"/>
      <c r="AE24" s="60" t="s">
        <v>291</v>
      </c>
      <c r="AF24" s="60" t="s">
        <v>314</v>
      </c>
      <c r="AG24" s="60"/>
      <c r="AH24" s="60"/>
      <c r="AI24" s="60"/>
      <c r="AJ24" s="60"/>
      <c r="AK24" s="60"/>
      <c r="AL24" s="60"/>
      <c r="BA24" s="4" t="s">
        <v>355</v>
      </c>
      <c r="BB24" s="4">
        <v>5</v>
      </c>
      <c r="BC24" s="4">
        <v>0</v>
      </c>
      <c r="BF24" s="4">
        <v>0</v>
      </c>
      <c r="BG24" s="4">
        <v>0</v>
      </c>
      <c r="BH24" s="4">
        <v>0</v>
      </c>
      <c r="BJ24" s="4" t="s">
        <v>270</v>
      </c>
      <c r="BS24" s="4" t="s">
        <v>270</v>
      </c>
      <c r="CF24" s="4" t="s">
        <v>271</v>
      </c>
      <c r="CJ24" s="4" t="s">
        <v>356</v>
      </c>
      <c r="CK24" s="85" t="s">
        <v>357</v>
      </c>
      <c r="CL24" s="85"/>
      <c r="CM24" s="4">
        <v>999</v>
      </c>
      <c r="CN24" s="4">
        <v>0</v>
      </c>
      <c r="CO24" s="4">
        <v>0</v>
      </c>
      <c r="CP24" s="4">
        <v>0</v>
      </c>
      <c r="CQ24" s="4">
        <v>0</v>
      </c>
      <c r="CS24" s="4">
        <v>5</v>
      </c>
      <c r="CT24" s="4">
        <v>0</v>
      </c>
      <c r="CU24" s="4">
        <v>10</v>
      </c>
      <c r="CV24" s="4" t="s">
        <v>358</v>
      </c>
      <c r="CW24" s="5" t="b">
        <v>1</v>
      </c>
      <c r="CX24" s="4" t="s">
        <v>273</v>
      </c>
      <c r="DB24" s="4">
        <v>100300</v>
      </c>
      <c r="DC24" s="4" t="b">
        <v>1</v>
      </c>
      <c r="DD24" s="4" t="s">
        <v>274</v>
      </c>
      <c r="DE24" s="4" t="s">
        <v>340</v>
      </c>
      <c r="DF24" s="4" t="s">
        <v>276</v>
      </c>
      <c r="DG24" s="4" t="s">
        <v>277</v>
      </c>
      <c r="DH24" s="4">
        <v>4</v>
      </c>
      <c r="DI24" s="4" t="b">
        <v>0</v>
      </c>
      <c r="DJ24" s="4" t="b">
        <v>1</v>
      </c>
      <c r="DP24" s="96" t="s">
        <v>341</v>
      </c>
      <c r="DQ24" s="4" t="s">
        <v>342</v>
      </c>
      <c r="DR24" s="57" t="e">
        <f t="shared" si="1"/>
        <v>#VALUE!</v>
      </c>
      <c r="DS24" s="4" t="s">
        <v>343</v>
      </c>
      <c r="DU24" s="1" t="s">
        <v>280</v>
      </c>
      <c r="DW24" s="100"/>
      <c r="DZ24" s="100">
        <v>1</v>
      </c>
      <c r="EA24" s="4" t="s">
        <v>281</v>
      </c>
      <c r="EB24" s="100" t="s">
        <v>282</v>
      </c>
      <c r="EC24" s="100" t="s">
        <v>283</v>
      </c>
      <c r="ED24" s="100" t="s">
        <v>283</v>
      </c>
      <c r="EE24" s="100" t="s">
        <v>284</v>
      </c>
      <c r="EF24" s="4" t="s">
        <v>326</v>
      </c>
      <c r="EG24" s="4" t="e">
        <v>#VALUE!</v>
      </c>
      <c r="EH24" s="4" t="s">
        <v>285</v>
      </c>
      <c r="EI24" s="4" t="s">
        <v>344</v>
      </c>
      <c r="EJ24" s="4" t="e">
        <v>#VALUE!</v>
      </c>
      <c r="EK24" s="4" t="s">
        <v>286</v>
      </c>
      <c r="EL24" s="4" t="s">
        <v>345</v>
      </c>
      <c r="EM24" s="4" t="e">
        <v>#VALUE!</v>
      </c>
      <c r="EN24" s="4" t="s">
        <v>287</v>
      </c>
      <c r="EO24" s="4" t="s">
        <v>345</v>
      </c>
      <c r="EP24" s="4" t="e">
        <v>#VALUE!</v>
      </c>
      <c r="ES24" s="4" t="b">
        <v>1</v>
      </c>
    </row>
    <row r="25" spans="1:149" s="5" customFormat="1" ht="39.950000000000003" customHeight="1" x14ac:dyDescent="0.15">
      <c r="A25" s="5">
        <v>171511</v>
      </c>
      <c r="B25" s="47" t="s">
        <v>316</v>
      </c>
      <c r="C25" s="40" t="s">
        <v>317</v>
      </c>
      <c r="D25" s="5" t="s">
        <v>360</v>
      </c>
      <c r="H25" s="5">
        <v>0</v>
      </c>
      <c r="L25" s="5">
        <v>0</v>
      </c>
      <c r="P25" s="5" t="s">
        <v>268</v>
      </c>
      <c r="Q25" s="5" t="s">
        <v>348</v>
      </c>
      <c r="X25" s="5">
        <v>1</v>
      </c>
      <c r="Y25" s="5">
        <v>0</v>
      </c>
      <c r="Z25" s="5">
        <v>0</v>
      </c>
      <c r="AB25" s="5">
        <v>3001</v>
      </c>
      <c r="AC25" s="54"/>
      <c r="AD25" s="54"/>
      <c r="AF25" s="54"/>
      <c r="AG25" s="54"/>
      <c r="AH25" s="54"/>
      <c r="AI25" s="54"/>
      <c r="AJ25" s="54"/>
      <c r="AK25" s="54"/>
      <c r="AL25" s="54"/>
      <c r="BA25" s="5" t="s">
        <v>270</v>
      </c>
      <c r="BB25" s="5">
        <v>10</v>
      </c>
      <c r="BC25" s="5">
        <v>0</v>
      </c>
      <c r="BF25" s="5">
        <v>0</v>
      </c>
      <c r="BG25" s="5">
        <v>0</v>
      </c>
      <c r="BH25" s="5">
        <v>0</v>
      </c>
      <c r="BJ25" s="5" t="s">
        <v>270</v>
      </c>
      <c r="BS25" s="5" t="s">
        <v>270</v>
      </c>
      <c r="CF25" s="5" t="s">
        <v>271</v>
      </c>
      <c r="CJ25" s="5" t="s">
        <v>1</v>
      </c>
      <c r="CK25" s="86" t="s">
        <v>361</v>
      </c>
      <c r="CL25" s="86"/>
      <c r="CM25" s="5">
        <v>999</v>
      </c>
      <c r="CN25" s="5">
        <v>0</v>
      </c>
      <c r="CO25" s="5">
        <v>0</v>
      </c>
      <c r="CP25" s="5">
        <v>0</v>
      </c>
      <c r="CQ25" s="5">
        <v>0</v>
      </c>
      <c r="CS25" s="5">
        <v>8</v>
      </c>
      <c r="CT25" s="5">
        <v>0</v>
      </c>
      <c r="CU25" s="5">
        <v>15</v>
      </c>
      <c r="CV25" s="5" t="str">
        <f>"SkillDetail_"&amp;A25</f>
        <v>SkillDetail_171511</v>
      </c>
      <c r="CW25" s="5" t="b">
        <v>1</v>
      </c>
      <c r="CX25" s="5" t="s">
        <v>273</v>
      </c>
      <c r="DB25" s="5">
        <v>170501</v>
      </c>
      <c r="DC25" s="5" t="b">
        <v>1</v>
      </c>
      <c r="DD25" s="5" t="s">
        <v>274</v>
      </c>
      <c r="DE25" s="5" t="s">
        <v>321</v>
      </c>
      <c r="DF25" s="5" t="s">
        <v>276</v>
      </c>
      <c r="DG25" s="5" t="s">
        <v>322</v>
      </c>
      <c r="DH25" s="5">
        <v>4</v>
      </c>
      <c r="DI25" s="5" t="b">
        <v>0</v>
      </c>
      <c r="DJ25" s="5" t="b">
        <v>1</v>
      </c>
      <c r="DP25" s="96" t="s">
        <v>323</v>
      </c>
      <c r="DQ25" s="5" t="s">
        <v>324</v>
      </c>
      <c r="DR25" s="57" t="e">
        <f t="shared" si="0"/>
        <v>#VALUE!</v>
      </c>
      <c r="DS25" s="5" t="s">
        <v>325</v>
      </c>
      <c r="DU25" s="1" t="s">
        <v>280</v>
      </c>
      <c r="DW25" s="69"/>
      <c r="DZ25" s="69">
        <v>1</v>
      </c>
      <c r="EA25" s="5" t="s">
        <v>281</v>
      </c>
      <c r="EB25" s="69" t="s">
        <v>282</v>
      </c>
      <c r="EC25" s="69" t="s">
        <v>283</v>
      </c>
      <c r="ED25" s="69" t="s">
        <v>283</v>
      </c>
      <c r="EE25" s="69" t="s">
        <v>284</v>
      </c>
      <c r="EF25" s="5" t="s">
        <v>326</v>
      </c>
      <c r="EG25" s="5" t="e">
        <v>#VALUE!</v>
      </c>
      <c r="EH25" s="5" t="s">
        <v>285</v>
      </c>
      <c r="EI25" s="5" t="s">
        <v>327</v>
      </c>
      <c r="EJ25" s="5" t="e">
        <v>#VALUE!</v>
      </c>
      <c r="EK25" s="5" t="s">
        <v>286</v>
      </c>
      <c r="EL25" s="5" t="s">
        <v>328</v>
      </c>
      <c r="EM25" s="5" t="e">
        <v>#VALUE!</v>
      </c>
      <c r="EN25" s="5" t="s">
        <v>287</v>
      </c>
      <c r="EO25" s="5" t="s">
        <v>328</v>
      </c>
      <c r="EP25" s="5" t="e">
        <v>#VALUE!</v>
      </c>
    </row>
    <row r="26" spans="1:149" s="5" customFormat="1" ht="39.950000000000003" customHeight="1" x14ac:dyDescent="0.15">
      <c r="B26" s="47"/>
      <c r="C26" s="40"/>
      <c r="AB26" s="5">
        <v>17050301</v>
      </c>
      <c r="AC26" s="54" t="s">
        <v>329</v>
      </c>
      <c r="AD26" s="54" t="s">
        <v>330</v>
      </c>
      <c r="AE26" s="5" t="s">
        <v>291</v>
      </c>
      <c r="AF26" s="54" t="s">
        <v>314</v>
      </c>
      <c r="AG26" s="54"/>
      <c r="AH26" s="54"/>
      <c r="AI26" s="54"/>
      <c r="AJ26" s="54"/>
      <c r="AK26" s="54"/>
      <c r="AL26" s="54"/>
      <c r="BA26" s="5" t="s">
        <v>331</v>
      </c>
      <c r="BB26" s="5">
        <v>1</v>
      </c>
      <c r="BC26" s="5">
        <v>0</v>
      </c>
      <c r="BF26" s="5">
        <v>0</v>
      </c>
      <c r="BG26" s="5">
        <v>0</v>
      </c>
      <c r="BH26" s="5">
        <v>0</v>
      </c>
      <c r="DJ26" s="5" t="b">
        <v>1</v>
      </c>
      <c r="DP26" s="96"/>
      <c r="DR26" s="57" t="str">
        <f t="shared" si="0"/>
        <v/>
      </c>
      <c r="DU26" s="1" t="s">
        <v>280</v>
      </c>
      <c r="DW26" s="69"/>
      <c r="DZ26" s="69"/>
      <c r="EB26" s="69"/>
      <c r="EC26" s="69"/>
      <c r="ED26" s="69"/>
      <c r="EE26" s="69"/>
    </row>
    <row r="27" spans="1:149" s="5" customFormat="1" ht="39.950000000000003" customHeight="1" x14ac:dyDescent="0.15">
      <c r="B27" s="47"/>
      <c r="C27" s="40"/>
      <c r="AB27" s="5">
        <v>17050302</v>
      </c>
      <c r="AC27" s="54" t="s">
        <v>332</v>
      </c>
      <c r="AD27" s="54" t="s">
        <v>333</v>
      </c>
      <c r="AE27" s="5" t="s">
        <v>291</v>
      </c>
      <c r="AF27" s="54" t="s">
        <v>314</v>
      </c>
      <c r="AG27" s="54"/>
      <c r="AH27" s="54"/>
      <c r="AI27" s="54"/>
      <c r="AJ27" s="54">
        <v>-1</v>
      </c>
      <c r="AK27" s="54"/>
      <c r="AL27" s="54"/>
      <c r="DJ27" s="5" t="b">
        <v>1</v>
      </c>
      <c r="DP27" s="96"/>
      <c r="DR27" s="57" t="str">
        <f t="shared" si="0"/>
        <v/>
      </c>
      <c r="DU27" s="1" t="s">
        <v>280</v>
      </c>
      <c r="DW27" s="69"/>
      <c r="DZ27" s="69"/>
      <c r="EB27" s="69"/>
      <c r="EC27" s="69"/>
      <c r="ED27" s="69"/>
      <c r="EE27" s="69"/>
    </row>
    <row r="28" spans="1:149" s="5" customFormat="1" ht="39.950000000000003" customHeight="1" x14ac:dyDescent="0.15">
      <c r="A28" s="5">
        <v>171512</v>
      </c>
      <c r="B28" s="48" t="s">
        <v>334</v>
      </c>
      <c r="C28" s="40" t="s">
        <v>335</v>
      </c>
      <c r="D28" s="5" t="s">
        <v>362</v>
      </c>
      <c r="H28" s="5">
        <v>0</v>
      </c>
      <c r="L28" s="5">
        <v>0</v>
      </c>
      <c r="P28" s="5" t="s">
        <v>268</v>
      </c>
      <c r="Q28" s="5" t="s">
        <v>348</v>
      </c>
      <c r="X28" s="5">
        <v>1</v>
      </c>
      <c r="Y28" s="5">
        <v>0</v>
      </c>
      <c r="Z28" s="5">
        <v>0</v>
      </c>
      <c r="AB28" s="5">
        <v>3001</v>
      </c>
      <c r="AC28" s="5" t="s">
        <v>337</v>
      </c>
      <c r="AE28" s="5" t="s">
        <v>129</v>
      </c>
      <c r="AF28" s="5" t="s">
        <v>314</v>
      </c>
      <c r="AL28" s="69"/>
      <c r="AM28" s="69"/>
      <c r="AN28" s="69"/>
      <c r="AO28" s="69"/>
      <c r="AP28" s="69"/>
      <c r="AQ28" s="69"/>
      <c r="AR28" s="69"/>
      <c r="AU28" s="69"/>
      <c r="AV28" s="69"/>
      <c r="AW28" s="69"/>
      <c r="AX28" s="69"/>
      <c r="AY28" s="69"/>
      <c r="AZ28" s="69"/>
      <c r="BA28" s="69" t="s">
        <v>270</v>
      </c>
      <c r="BB28" s="5">
        <v>7</v>
      </c>
      <c r="BC28" s="5">
        <v>0</v>
      </c>
      <c r="BF28" s="5">
        <v>0</v>
      </c>
      <c r="BG28" s="5">
        <v>0</v>
      </c>
      <c r="BH28" s="5">
        <v>0</v>
      </c>
      <c r="BJ28" s="5" t="s">
        <v>270</v>
      </c>
      <c r="BS28" s="5" t="s">
        <v>270</v>
      </c>
      <c r="CF28" s="5" t="s">
        <v>271</v>
      </c>
      <c r="CJ28" s="5" t="s">
        <v>3</v>
      </c>
      <c r="CK28" s="86" t="s">
        <v>363</v>
      </c>
      <c r="CL28" s="86"/>
      <c r="CM28" s="5">
        <v>999</v>
      </c>
      <c r="CN28" s="5">
        <v>0</v>
      </c>
      <c r="CO28" s="5">
        <v>0</v>
      </c>
      <c r="CP28" s="5">
        <v>0</v>
      </c>
      <c r="CQ28" s="5">
        <v>0</v>
      </c>
      <c r="CS28" s="5">
        <v>7</v>
      </c>
      <c r="CU28" s="5">
        <v>8</v>
      </c>
      <c r="CV28" s="5" t="str">
        <f>"SkillDetail_"&amp;A28</f>
        <v>SkillDetail_171512</v>
      </c>
      <c r="CW28" s="5" t="b">
        <v>0</v>
      </c>
      <c r="CX28" s="90" t="s">
        <v>273</v>
      </c>
      <c r="DB28" s="5">
        <v>100300</v>
      </c>
      <c r="DC28" s="5" t="b">
        <v>1</v>
      </c>
      <c r="DD28" s="5" t="s">
        <v>274</v>
      </c>
      <c r="DE28" s="5" t="s">
        <v>340</v>
      </c>
      <c r="DF28" s="5" t="s">
        <v>276</v>
      </c>
      <c r="DG28" s="5" t="s">
        <v>277</v>
      </c>
      <c r="DH28" s="5">
        <v>4</v>
      </c>
      <c r="DI28" s="90" t="b">
        <v>0</v>
      </c>
      <c r="DJ28" s="5" t="b">
        <v>1</v>
      </c>
      <c r="DM28" s="54"/>
      <c r="DP28" s="96" t="s">
        <v>341</v>
      </c>
      <c r="DQ28" s="86" t="s">
        <v>342</v>
      </c>
      <c r="DR28" s="57" t="e">
        <f t="shared" si="0"/>
        <v>#VALUE!</v>
      </c>
      <c r="DS28" s="86" t="s">
        <v>343</v>
      </c>
      <c r="DT28" s="78"/>
      <c r="DU28" s="1" t="s">
        <v>280</v>
      </c>
      <c r="DV28" s="69"/>
      <c r="DZ28" s="115">
        <v>1</v>
      </c>
      <c r="EA28" s="116" t="s">
        <v>281</v>
      </c>
      <c r="EB28" s="116" t="s">
        <v>282</v>
      </c>
      <c r="EC28" s="116" t="s">
        <v>283</v>
      </c>
      <c r="ED28" s="116" t="s">
        <v>283</v>
      </c>
      <c r="EE28" s="5" t="s">
        <v>284</v>
      </c>
      <c r="EF28" s="5" t="s">
        <v>326</v>
      </c>
      <c r="EG28" s="5" t="e">
        <v>#VALUE!</v>
      </c>
      <c r="EH28" s="5" t="s">
        <v>285</v>
      </c>
      <c r="EI28" s="5" t="s">
        <v>344</v>
      </c>
      <c r="EJ28" s="5" t="e">
        <v>#VALUE!</v>
      </c>
      <c r="EK28" s="5" t="s">
        <v>286</v>
      </c>
      <c r="EL28" s="5" t="s">
        <v>345</v>
      </c>
      <c r="EM28" s="5" t="e">
        <v>#VALUE!</v>
      </c>
      <c r="EN28" s="5" t="s">
        <v>287</v>
      </c>
      <c r="EO28" s="5" t="s">
        <v>345</v>
      </c>
      <c r="EP28" s="5" t="e">
        <v>#VALUE!</v>
      </c>
      <c r="ES28" s="5" t="b">
        <v>1</v>
      </c>
    </row>
    <row r="29" spans="1:149" s="6" customFormat="1" ht="39.950000000000003" customHeight="1" x14ac:dyDescent="0.15">
      <c r="A29" s="6">
        <v>171513</v>
      </c>
      <c r="B29" s="49" t="s">
        <v>316</v>
      </c>
      <c r="C29" s="40" t="s">
        <v>317</v>
      </c>
      <c r="D29" s="6" t="s">
        <v>364</v>
      </c>
      <c r="H29" s="6">
        <v>0</v>
      </c>
      <c r="L29" s="6">
        <v>0</v>
      </c>
      <c r="P29" s="6" t="s">
        <v>268</v>
      </c>
      <c r="Q29" s="5" t="s">
        <v>348</v>
      </c>
      <c r="X29" s="6">
        <v>1</v>
      </c>
      <c r="Y29" s="6">
        <v>0</v>
      </c>
      <c r="Z29" s="6">
        <v>0</v>
      </c>
      <c r="AB29" s="6">
        <v>3001</v>
      </c>
      <c r="AC29" s="61"/>
      <c r="AD29" s="61"/>
      <c r="AF29" s="61"/>
      <c r="AG29" s="61"/>
      <c r="AH29" s="61"/>
      <c r="AI29" s="61"/>
      <c r="AJ29" s="61"/>
      <c r="AK29" s="61"/>
      <c r="AL29" s="61"/>
      <c r="BA29" s="6" t="s">
        <v>270</v>
      </c>
      <c r="BB29" s="6">
        <v>10</v>
      </c>
      <c r="BC29" s="6">
        <v>0</v>
      </c>
      <c r="BF29" s="6">
        <v>0</v>
      </c>
      <c r="BG29" s="6">
        <v>0</v>
      </c>
      <c r="BH29" s="6">
        <v>0</v>
      </c>
      <c r="BJ29" s="6" t="s">
        <v>270</v>
      </c>
      <c r="BS29" s="6" t="s">
        <v>270</v>
      </c>
      <c r="CF29" s="6" t="s">
        <v>271</v>
      </c>
      <c r="CJ29" s="6" t="s">
        <v>1</v>
      </c>
      <c r="CK29" s="62" t="s">
        <v>361</v>
      </c>
      <c r="CL29" s="62"/>
      <c r="CM29" s="6">
        <v>999</v>
      </c>
      <c r="CN29" s="6">
        <v>0</v>
      </c>
      <c r="CO29" s="6">
        <v>0</v>
      </c>
      <c r="CP29" s="6">
        <v>0</v>
      </c>
      <c r="CQ29" s="6">
        <v>0</v>
      </c>
      <c r="CS29" s="6">
        <v>8</v>
      </c>
      <c r="CT29" s="6">
        <v>0</v>
      </c>
      <c r="CU29" s="10">
        <v>15</v>
      </c>
      <c r="CV29" s="6" t="str">
        <f>"SkillDetail_"&amp;A29</f>
        <v>SkillDetail_171513</v>
      </c>
      <c r="CW29" s="6" t="b">
        <v>1</v>
      </c>
      <c r="CX29" s="6" t="s">
        <v>273</v>
      </c>
      <c r="DB29" s="6">
        <v>170501</v>
      </c>
      <c r="DC29" s="6" t="b">
        <v>1</v>
      </c>
      <c r="DD29" s="6" t="s">
        <v>274</v>
      </c>
      <c r="DE29" s="6" t="s">
        <v>321</v>
      </c>
      <c r="DF29" s="6" t="s">
        <v>276</v>
      </c>
      <c r="DG29" s="6" t="s">
        <v>322</v>
      </c>
      <c r="DH29" s="6">
        <v>4</v>
      </c>
      <c r="DI29" s="6" t="b">
        <v>0</v>
      </c>
      <c r="DJ29" s="6" t="b">
        <v>1</v>
      </c>
      <c r="DP29" s="96" t="s">
        <v>323</v>
      </c>
      <c r="DQ29" s="6" t="s">
        <v>324</v>
      </c>
      <c r="DR29" s="57" t="e">
        <f t="shared" si="0"/>
        <v>#VALUE!</v>
      </c>
      <c r="DS29" s="6" t="s">
        <v>325</v>
      </c>
      <c r="DU29" s="1" t="s">
        <v>280</v>
      </c>
      <c r="DW29" s="70"/>
      <c r="DZ29" s="70">
        <v>1</v>
      </c>
      <c r="EA29" s="6" t="s">
        <v>281</v>
      </c>
      <c r="EB29" s="70" t="s">
        <v>282</v>
      </c>
      <c r="EC29" s="70" t="s">
        <v>283</v>
      </c>
      <c r="ED29" s="70" t="s">
        <v>283</v>
      </c>
      <c r="EE29" s="70" t="s">
        <v>284</v>
      </c>
      <c r="EF29" s="6" t="s">
        <v>326</v>
      </c>
      <c r="EG29" s="6" t="e">
        <v>#VALUE!</v>
      </c>
      <c r="EH29" s="6" t="s">
        <v>285</v>
      </c>
      <c r="EI29" s="6" t="s">
        <v>327</v>
      </c>
      <c r="EJ29" s="6" t="e">
        <v>#VALUE!</v>
      </c>
      <c r="EK29" s="6" t="s">
        <v>286</v>
      </c>
      <c r="EL29" s="6" t="s">
        <v>328</v>
      </c>
      <c r="EM29" s="6" t="e">
        <v>#VALUE!</v>
      </c>
      <c r="EN29" s="6" t="s">
        <v>287</v>
      </c>
      <c r="EO29" s="6" t="s">
        <v>328</v>
      </c>
      <c r="EP29" s="6" t="e">
        <v>#VALUE!</v>
      </c>
    </row>
    <row r="30" spans="1:149" s="6" customFormat="1" ht="39.950000000000003" customHeight="1" x14ac:dyDescent="0.15">
      <c r="B30" s="49"/>
      <c r="C30" s="40"/>
      <c r="AB30" s="6">
        <v>17050301</v>
      </c>
      <c r="AC30" s="61" t="s">
        <v>329</v>
      </c>
      <c r="AD30" s="61" t="s">
        <v>330</v>
      </c>
      <c r="AE30" s="6" t="s">
        <v>291</v>
      </c>
      <c r="AF30" s="61" t="s">
        <v>314</v>
      </c>
      <c r="AG30" s="61"/>
      <c r="AH30" s="61"/>
      <c r="AI30" s="61"/>
      <c r="AJ30" s="61"/>
      <c r="AK30" s="61"/>
      <c r="AL30" s="61"/>
      <c r="BA30" s="6" t="s">
        <v>331</v>
      </c>
      <c r="BB30" s="6">
        <v>1</v>
      </c>
      <c r="BC30" s="6">
        <v>0</v>
      </c>
      <c r="BF30" s="6">
        <v>0</v>
      </c>
      <c r="BG30" s="6">
        <v>0</v>
      </c>
      <c r="BH30" s="6">
        <v>0</v>
      </c>
      <c r="DJ30" s="6" t="b">
        <v>1</v>
      </c>
      <c r="DP30" s="96"/>
      <c r="DR30" s="57" t="str">
        <f t="shared" si="0"/>
        <v/>
      </c>
      <c r="DU30" s="1" t="s">
        <v>280</v>
      </c>
      <c r="DW30" s="70"/>
      <c r="DZ30" s="70"/>
      <c r="EB30" s="70"/>
      <c r="EC30" s="70"/>
      <c r="ED30" s="70"/>
      <c r="EE30" s="70"/>
    </row>
    <row r="31" spans="1:149" s="6" customFormat="1" ht="39.950000000000003" customHeight="1" x14ac:dyDescent="0.15">
      <c r="B31" s="49"/>
      <c r="C31" s="40"/>
      <c r="AB31" s="6">
        <v>17050302</v>
      </c>
      <c r="AC31" s="61" t="s">
        <v>332</v>
      </c>
      <c r="AD31" s="61" t="s">
        <v>333</v>
      </c>
      <c r="AE31" s="6" t="s">
        <v>291</v>
      </c>
      <c r="AF31" s="61" t="s">
        <v>314</v>
      </c>
      <c r="AG31" s="61"/>
      <c r="AH31" s="61"/>
      <c r="AI31" s="61"/>
      <c r="AJ31" s="61">
        <v>-1</v>
      </c>
      <c r="AK31" s="61"/>
      <c r="AL31" s="61"/>
      <c r="DJ31" s="6" t="b">
        <v>1</v>
      </c>
      <c r="DP31" s="96"/>
      <c r="DR31" s="57" t="str">
        <f t="shared" si="0"/>
        <v/>
      </c>
      <c r="DU31" s="1" t="s">
        <v>280</v>
      </c>
      <c r="DW31" s="70"/>
      <c r="DZ31" s="70"/>
      <c r="EB31" s="70"/>
      <c r="EC31" s="70"/>
      <c r="ED31" s="70"/>
      <c r="EE31" s="70"/>
    </row>
    <row r="32" spans="1:149" s="6" customFormat="1" ht="39.950000000000003" customHeight="1" x14ac:dyDescent="0.15">
      <c r="A32" s="6">
        <v>171514</v>
      </c>
      <c r="B32" s="50" t="s">
        <v>365</v>
      </c>
      <c r="C32" s="40" t="s">
        <v>366</v>
      </c>
      <c r="D32" s="6" t="s">
        <v>367</v>
      </c>
      <c r="H32" s="6">
        <v>0</v>
      </c>
      <c r="L32" s="6">
        <v>0</v>
      </c>
      <c r="P32" s="6" t="s">
        <v>268</v>
      </c>
      <c r="Q32" s="5" t="s">
        <v>348</v>
      </c>
      <c r="X32" s="6">
        <v>1</v>
      </c>
      <c r="Y32" s="6">
        <v>0</v>
      </c>
      <c r="Z32" s="6">
        <v>0</v>
      </c>
      <c r="AB32" s="6">
        <v>3001</v>
      </c>
      <c r="AC32" s="6" t="s">
        <v>337</v>
      </c>
      <c r="AE32" s="6" t="s">
        <v>129</v>
      </c>
      <c r="AF32" s="6" t="s">
        <v>314</v>
      </c>
      <c r="AL32" s="70"/>
      <c r="AM32" s="70"/>
      <c r="AN32" s="70"/>
      <c r="AO32" s="70"/>
      <c r="AP32" s="70"/>
      <c r="AQ32" s="70"/>
      <c r="AR32" s="70"/>
      <c r="AU32" s="70"/>
      <c r="AV32" s="70"/>
      <c r="AW32" s="70"/>
      <c r="AX32" s="70"/>
      <c r="AY32" s="70"/>
      <c r="AZ32" s="70"/>
      <c r="BA32" s="70" t="s">
        <v>270</v>
      </c>
      <c r="BB32" s="6">
        <v>7</v>
      </c>
      <c r="BC32" s="6">
        <v>0</v>
      </c>
      <c r="BF32" s="6">
        <v>0</v>
      </c>
      <c r="BG32" s="6">
        <v>0</v>
      </c>
      <c r="BH32" s="6">
        <v>0</v>
      </c>
      <c r="BJ32" s="6" t="s">
        <v>270</v>
      </c>
      <c r="BS32" s="6" t="s">
        <v>270</v>
      </c>
      <c r="CF32" s="6" t="s">
        <v>271</v>
      </c>
      <c r="CJ32" s="6" t="s">
        <v>3</v>
      </c>
      <c r="CK32" s="62" t="s">
        <v>368</v>
      </c>
      <c r="CL32" s="62"/>
      <c r="CM32" s="6">
        <v>999</v>
      </c>
      <c r="CN32" s="6">
        <v>0</v>
      </c>
      <c r="CO32" s="6">
        <v>0</v>
      </c>
      <c r="CP32" s="6">
        <v>0</v>
      </c>
      <c r="CQ32" s="6">
        <v>0</v>
      </c>
      <c r="CS32" s="6">
        <v>7.5</v>
      </c>
      <c r="CU32" s="6">
        <v>8</v>
      </c>
      <c r="CV32" s="6" t="str">
        <f>"SkillDetail_"&amp;A32</f>
        <v>SkillDetail_171514</v>
      </c>
      <c r="CW32" s="6" t="b">
        <v>0</v>
      </c>
      <c r="CX32" s="91" t="s">
        <v>273</v>
      </c>
      <c r="DB32" s="6">
        <v>100300</v>
      </c>
      <c r="DC32" s="6" t="b">
        <v>1</v>
      </c>
      <c r="DD32" s="6" t="s">
        <v>274</v>
      </c>
      <c r="DE32" s="6" t="s">
        <v>340</v>
      </c>
      <c r="DF32" s="6" t="s">
        <v>276</v>
      </c>
      <c r="DG32" s="6" t="s">
        <v>277</v>
      </c>
      <c r="DH32" s="6">
        <v>4</v>
      </c>
      <c r="DI32" s="91" t="b">
        <v>0</v>
      </c>
      <c r="DJ32" s="6" t="b">
        <v>1</v>
      </c>
      <c r="DM32" s="61"/>
      <c r="DP32" s="96" t="s">
        <v>341</v>
      </c>
      <c r="DQ32" s="62" t="s">
        <v>342</v>
      </c>
      <c r="DR32" s="57" t="e">
        <f t="shared" si="0"/>
        <v>#VALUE!</v>
      </c>
      <c r="DS32" s="62" t="s">
        <v>343</v>
      </c>
      <c r="DT32" s="101"/>
      <c r="DU32" s="1" t="s">
        <v>280</v>
      </c>
      <c r="DV32" s="70"/>
      <c r="DZ32" s="117">
        <v>1</v>
      </c>
      <c r="EA32" s="118" t="s">
        <v>281</v>
      </c>
      <c r="EB32" s="118" t="s">
        <v>282</v>
      </c>
      <c r="EC32" s="118" t="s">
        <v>283</v>
      </c>
      <c r="ED32" s="118" t="s">
        <v>283</v>
      </c>
      <c r="EE32" s="6" t="s">
        <v>284</v>
      </c>
      <c r="EF32" s="6" t="s">
        <v>326</v>
      </c>
      <c r="EG32" s="6" t="e">
        <v>#VALUE!</v>
      </c>
      <c r="EH32" s="6" t="s">
        <v>285</v>
      </c>
      <c r="EI32" s="6" t="s">
        <v>344</v>
      </c>
      <c r="EJ32" s="6" t="e">
        <v>#VALUE!</v>
      </c>
      <c r="EK32" s="6" t="s">
        <v>286</v>
      </c>
      <c r="EL32" s="6" t="s">
        <v>345</v>
      </c>
      <c r="EM32" s="6" t="e">
        <v>#VALUE!</v>
      </c>
      <c r="EN32" s="6" t="s">
        <v>287</v>
      </c>
      <c r="EO32" s="6" t="s">
        <v>345</v>
      </c>
      <c r="EP32" s="6" t="e">
        <v>#VALUE!</v>
      </c>
      <c r="ES32" s="6" t="b">
        <v>1</v>
      </c>
    </row>
    <row r="33" spans="1:149" s="5" customFormat="1" ht="39.950000000000003" customHeight="1" x14ac:dyDescent="0.15">
      <c r="A33" s="5">
        <v>171515</v>
      </c>
      <c r="B33" s="47" t="s">
        <v>316</v>
      </c>
      <c r="C33" s="40" t="s">
        <v>317</v>
      </c>
      <c r="D33" s="5" t="s">
        <v>369</v>
      </c>
      <c r="H33" s="5">
        <v>0</v>
      </c>
      <c r="L33" s="5">
        <v>0</v>
      </c>
      <c r="P33" s="5" t="s">
        <v>268</v>
      </c>
      <c r="Q33" s="5" t="s">
        <v>348</v>
      </c>
      <c r="X33" s="5">
        <v>1</v>
      </c>
      <c r="Y33" s="5">
        <v>0</v>
      </c>
      <c r="Z33" s="5">
        <v>0</v>
      </c>
      <c r="AB33" s="5">
        <v>3001</v>
      </c>
      <c r="AC33" s="54"/>
      <c r="AD33" s="54"/>
      <c r="AF33" s="54"/>
      <c r="AG33" s="54"/>
      <c r="AH33" s="54"/>
      <c r="AI33" s="54"/>
      <c r="AJ33" s="54"/>
      <c r="AK33" s="54"/>
      <c r="AL33" s="54"/>
      <c r="BA33" s="5" t="s">
        <v>270</v>
      </c>
      <c r="BB33" s="5">
        <v>10</v>
      </c>
      <c r="BC33" s="5">
        <v>0</v>
      </c>
      <c r="BF33" s="5">
        <v>0</v>
      </c>
      <c r="BG33" s="5">
        <v>0</v>
      </c>
      <c r="BH33" s="5">
        <v>0</v>
      </c>
      <c r="BJ33" s="5" t="s">
        <v>270</v>
      </c>
      <c r="BS33" s="5" t="s">
        <v>270</v>
      </c>
      <c r="CF33" s="5" t="s">
        <v>271</v>
      </c>
      <c r="CJ33" s="5" t="s">
        <v>1</v>
      </c>
      <c r="CK33" s="86" t="s">
        <v>361</v>
      </c>
      <c r="CL33" s="86"/>
      <c r="CM33" s="5">
        <v>999</v>
      </c>
      <c r="CN33" s="5">
        <v>0</v>
      </c>
      <c r="CO33" s="5">
        <v>0</v>
      </c>
      <c r="CP33" s="5">
        <v>0</v>
      </c>
      <c r="CQ33" s="5">
        <v>0</v>
      </c>
      <c r="CS33" s="5">
        <v>8</v>
      </c>
      <c r="CT33" s="5">
        <v>0</v>
      </c>
      <c r="CU33" s="5">
        <v>15</v>
      </c>
      <c r="CV33" s="5" t="str">
        <f>"SkillDetail_"&amp;A33</f>
        <v>SkillDetail_171515</v>
      </c>
      <c r="CW33" s="5" t="b">
        <v>1</v>
      </c>
      <c r="CX33" s="5" t="s">
        <v>273</v>
      </c>
      <c r="DB33" s="5">
        <v>170501</v>
      </c>
      <c r="DC33" s="5" t="b">
        <v>1</v>
      </c>
      <c r="DD33" s="5" t="s">
        <v>274</v>
      </c>
      <c r="DE33" s="5" t="s">
        <v>321</v>
      </c>
      <c r="DF33" s="5" t="s">
        <v>276</v>
      </c>
      <c r="DG33" s="5" t="s">
        <v>322</v>
      </c>
      <c r="DH33" s="5">
        <v>4</v>
      </c>
      <c r="DI33" s="5" t="b">
        <v>0</v>
      </c>
      <c r="DJ33" s="5" t="b">
        <v>1</v>
      </c>
      <c r="DP33" s="96" t="s">
        <v>323</v>
      </c>
      <c r="DQ33" s="5" t="s">
        <v>324</v>
      </c>
      <c r="DR33" s="57" t="e">
        <f t="shared" si="0"/>
        <v>#VALUE!</v>
      </c>
      <c r="DS33" s="5" t="s">
        <v>325</v>
      </c>
      <c r="DU33" s="1" t="s">
        <v>280</v>
      </c>
      <c r="DW33" s="69"/>
      <c r="DZ33" s="69">
        <v>1</v>
      </c>
      <c r="EA33" s="5" t="s">
        <v>281</v>
      </c>
      <c r="EB33" s="69" t="s">
        <v>282</v>
      </c>
      <c r="EC33" s="69" t="s">
        <v>283</v>
      </c>
      <c r="ED33" s="69" t="s">
        <v>283</v>
      </c>
      <c r="EE33" s="69" t="s">
        <v>284</v>
      </c>
      <c r="EF33" s="5" t="s">
        <v>326</v>
      </c>
      <c r="EG33" s="5" t="e">
        <v>#VALUE!</v>
      </c>
      <c r="EH33" s="5" t="s">
        <v>285</v>
      </c>
      <c r="EI33" s="5" t="s">
        <v>327</v>
      </c>
      <c r="EJ33" s="5" t="e">
        <v>#VALUE!</v>
      </c>
      <c r="EK33" s="5" t="s">
        <v>286</v>
      </c>
      <c r="EL33" s="5" t="s">
        <v>328</v>
      </c>
      <c r="EM33" s="5" t="e">
        <v>#VALUE!</v>
      </c>
      <c r="EN33" s="5" t="s">
        <v>287</v>
      </c>
      <c r="EO33" s="5" t="s">
        <v>328</v>
      </c>
      <c r="EP33" s="5" t="e">
        <v>#VALUE!</v>
      </c>
    </row>
    <row r="34" spans="1:149" s="5" customFormat="1" ht="39.950000000000003" customHeight="1" x14ac:dyDescent="0.15">
      <c r="B34" s="47"/>
      <c r="C34" s="40"/>
      <c r="AB34" s="5">
        <v>17050301</v>
      </c>
      <c r="AC34" s="54" t="s">
        <v>329</v>
      </c>
      <c r="AD34" s="54" t="s">
        <v>330</v>
      </c>
      <c r="AE34" s="5" t="s">
        <v>291</v>
      </c>
      <c r="AF34" s="54" t="s">
        <v>314</v>
      </c>
      <c r="AG34" s="54"/>
      <c r="AH34" s="54"/>
      <c r="AI34" s="54"/>
      <c r="AJ34" s="54"/>
      <c r="AK34" s="54"/>
      <c r="AL34" s="54"/>
      <c r="BA34" s="5" t="s">
        <v>331</v>
      </c>
      <c r="BB34" s="5">
        <v>1</v>
      </c>
      <c r="BC34" s="5">
        <v>0</v>
      </c>
      <c r="BF34" s="5">
        <v>0</v>
      </c>
      <c r="BG34" s="5">
        <v>0</v>
      </c>
      <c r="BH34" s="5">
        <v>0</v>
      </c>
      <c r="DJ34" s="5" t="b">
        <v>1</v>
      </c>
      <c r="DP34" s="96"/>
      <c r="DR34" s="57" t="str">
        <f t="shared" si="0"/>
        <v/>
      </c>
      <c r="DU34" s="1" t="s">
        <v>280</v>
      </c>
      <c r="DW34" s="69"/>
      <c r="DZ34" s="69"/>
      <c r="EB34" s="69"/>
      <c r="EC34" s="69"/>
      <c r="ED34" s="69"/>
      <c r="EE34" s="69"/>
    </row>
    <row r="35" spans="1:149" s="5" customFormat="1" ht="39.950000000000003" customHeight="1" x14ac:dyDescent="0.15">
      <c r="B35" s="47"/>
      <c r="C35" s="40"/>
      <c r="AB35" s="5">
        <v>17050302</v>
      </c>
      <c r="AC35" s="54" t="s">
        <v>332</v>
      </c>
      <c r="AD35" s="54" t="s">
        <v>333</v>
      </c>
      <c r="AE35" s="5" t="s">
        <v>291</v>
      </c>
      <c r="AF35" s="54" t="s">
        <v>314</v>
      </c>
      <c r="AG35" s="54"/>
      <c r="AH35" s="54"/>
      <c r="AI35" s="54"/>
      <c r="AJ35" s="54">
        <v>-1</v>
      </c>
      <c r="AK35" s="54"/>
      <c r="AL35" s="54"/>
      <c r="DJ35" s="5" t="b">
        <v>1</v>
      </c>
      <c r="DP35" s="96"/>
      <c r="DR35" s="57" t="str">
        <f t="shared" si="0"/>
        <v/>
      </c>
      <c r="DU35" s="1" t="s">
        <v>280</v>
      </c>
      <c r="DW35" s="69"/>
      <c r="DZ35" s="69"/>
      <c r="EB35" s="69"/>
      <c r="EC35" s="69"/>
      <c r="ED35" s="69"/>
      <c r="EE35" s="69"/>
    </row>
    <row r="36" spans="1:149" s="5" customFormat="1" ht="39.950000000000003" customHeight="1" x14ac:dyDescent="0.15">
      <c r="A36" s="5">
        <v>171516</v>
      </c>
      <c r="B36" s="47" t="s">
        <v>370</v>
      </c>
      <c r="C36" s="40" t="s">
        <v>366</v>
      </c>
      <c r="D36" s="5" t="s">
        <v>371</v>
      </c>
      <c r="H36" s="5">
        <v>0</v>
      </c>
      <c r="L36" s="5">
        <v>0</v>
      </c>
      <c r="P36" s="5" t="s">
        <v>268</v>
      </c>
      <c r="Q36" s="5" t="s">
        <v>348</v>
      </c>
      <c r="X36" s="5">
        <v>1</v>
      </c>
      <c r="Y36" s="5">
        <v>0</v>
      </c>
      <c r="Z36" s="5">
        <v>0</v>
      </c>
      <c r="AB36" s="5">
        <v>3001</v>
      </c>
      <c r="AC36" s="54" t="s">
        <v>337</v>
      </c>
      <c r="AD36" s="54"/>
      <c r="AE36" s="5" t="s">
        <v>129</v>
      </c>
      <c r="AF36" s="54" t="s">
        <v>314</v>
      </c>
      <c r="AG36" s="54"/>
      <c r="AH36" s="54"/>
      <c r="AI36" s="54"/>
      <c r="AJ36" s="54"/>
      <c r="AK36" s="54"/>
      <c r="AL36" s="54"/>
      <c r="BA36" s="5" t="s">
        <v>270</v>
      </c>
      <c r="BB36" s="5">
        <v>7</v>
      </c>
      <c r="BC36" s="5">
        <v>0</v>
      </c>
      <c r="BF36" s="5">
        <v>0</v>
      </c>
      <c r="BG36" s="5">
        <v>0</v>
      </c>
      <c r="BH36" s="5">
        <v>0</v>
      </c>
      <c r="BJ36" s="5" t="s">
        <v>270</v>
      </c>
      <c r="BS36" s="5" t="s">
        <v>270</v>
      </c>
      <c r="CF36" s="5" t="s">
        <v>271</v>
      </c>
      <c r="CJ36" s="5" t="s">
        <v>3</v>
      </c>
      <c r="CK36" s="86" t="s">
        <v>372</v>
      </c>
      <c r="CL36" s="86"/>
      <c r="CM36" s="5">
        <v>999</v>
      </c>
      <c r="CN36" s="5">
        <v>0</v>
      </c>
      <c r="CO36" s="5">
        <v>0</v>
      </c>
      <c r="CP36" s="5">
        <v>0</v>
      </c>
      <c r="CQ36" s="5">
        <v>0</v>
      </c>
      <c r="CS36" s="5">
        <v>7.5</v>
      </c>
      <c r="CU36" s="5">
        <v>8</v>
      </c>
      <c r="CV36" s="5" t="str">
        <f>"SkillDetail_"&amp;A36</f>
        <v>SkillDetail_171516</v>
      </c>
      <c r="CW36" s="5" t="b">
        <v>0</v>
      </c>
      <c r="CX36" s="5" t="s">
        <v>273</v>
      </c>
      <c r="DB36" s="5">
        <v>100300</v>
      </c>
      <c r="DC36" s="5" t="b">
        <v>1</v>
      </c>
      <c r="DD36" s="5" t="s">
        <v>274</v>
      </c>
      <c r="DE36" s="5" t="s">
        <v>340</v>
      </c>
      <c r="DF36" s="5" t="s">
        <v>276</v>
      </c>
      <c r="DG36" s="5" t="s">
        <v>277</v>
      </c>
      <c r="DH36" s="5">
        <v>4</v>
      </c>
      <c r="DI36" s="5" t="b">
        <v>0</v>
      </c>
      <c r="DJ36" s="5" t="b">
        <v>1</v>
      </c>
      <c r="DP36" s="96" t="s">
        <v>341</v>
      </c>
      <c r="DQ36" s="5" t="s">
        <v>342</v>
      </c>
      <c r="DR36" s="57" t="e">
        <f t="shared" si="0"/>
        <v>#VALUE!</v>
      </c>
      <c r="DS36" s="5" t="s">
        <v>343</v>
      </c>
      <c r="DU36" s="1" t="s">
        <v>280</v>
      </c>
      <c r="DW36" s="69"/>
      <c r="DZ36" s="69">
        <v>1</v>
      </c>
      <c r="EA36" s="5" t="s">
        <v>281</v>
      </c>
      <c r="EB36" s="69" t="s">
        <v>282</v>
      </c>
      <c r="EC36" s="69" t="s">
        <v>283</v>
      </c>
      <c r="ED36" s="69" t="s">
        <v>283</v>
      </c>
      <c r="EE36" s="69" t="s">
        <v>284</v>
      </c>
      <c r="EF36" s="5" t="s">
        <v>326</v>
      </c>
      <c r="EG36" s="5" t="e">
        <v>#VALUE!</v>
      </c>
      <c r="EH36" s="5" t="s">
        <v>285</v>
      </c>
      <c r="EI36" s="5" t="s">
        <v>344</v>
      </c>
      <c r="EJ36" s="5" t="e">
        <v>#VALUE!</v>
      </c>
      <c r="EK36" s="5" t="s">
        <v>286</v>
      </c>
      <c r="EL36" s="5" t="s">
        <v>345</v>
      </c>
      <c r="EM36" s="5" t="e">
        <v>#VALUE!</v>
      </c>
      <c r="EN36" s="5" t="s">
        <v>287</v>
      </c>
      <c r="EO36" s="5" t="s">
        <v>345</v>
      </c>
      <c r="EP36" s="5" t="e">
        <v>#VALUE!</v>
      </c>
      <c r="ES36" s="5" t="b">
        <v>1</v>
      </c>
    </row>
    <row r="37" spans="1:149" s="6" customFormat="1" ht="39.950000000000003" customHeight="1" x14ac:dyDescent="0.15">
      <c r="A37" s="6">
        <v>171517</v>
      </c>
      <c r="B37" s="49" t="s">
        <v>316</v>
      </c>
      <c r="C37" s="40" t="s">
        <v>317</v>
      </c>
      <c r="D37" s="6" t="s">
        <v>373</v>
      </c>
      <c r="H37" s="6">
        <v>0</v>
      </c>
      <c r="L37" s="6">
        <v>0</v>
      </c>
      <c r="P37" s="6" t="s">
        <v>268</v>
      </c>
      <c r="Q37" s="5" t="s">
        <v>348</v>
      </c>
      <c r="X37" s="6">
        <v>1</v>
      </c>
      <c r="Y37" s="6">
        <v>0</v>
      </c>
      <c r="Z37" s="6">
        <v>0</v>
      </c>
      <c r="AB37" s="6">
        <v>3001</v>
      </c>
      <c r="AC37" s="61"/>
      <c r="AD37" s="61"/>
      <c r="AF37" s="61"/>
      <c r="AG37" s="61"/>
      <c r="AH37" s="61"/>
      <c r="AI37" s="61"/>
      <c r="AJ37" s="61"/>
      <c r="AK37" s="61"/>
      <c r="AL37" s="61"/>
      <c r="BA37" s="6" t="s">
        <v>270</v>
      </c>
      <c r="BB37" s="6">
        <v>10</v>
      </c>
      <c r="BC37" s="6">
        <v>0</v>
      </c>
      <c r="BF37" s="6">
        <v>0</v>
      </c>
      <c r="BG37" s="6">
        <v>0</v>
      </c>
      <c r="BH37" s="6">
        <v>0</v>
      </c>
      <c r="BJ37" s="6" t="s">
        <v>270</v>
      </c>
      <c r="BS37" s="6" t="s">
        <v>270</v>
      </c>
      <c r="CF37" s="6" t="s">
        <v>271</v>
      </c>
      <c r="CJ37" s="6" t="s">
        <v>1</v>
      </c>
      <c r="CK37" s="62" t="s">
        <v>374</v>
      </c>
      <c r="CL37" s="62"/>
      <c r="CM37" s="6">
        <v>999</v>
      </c>
      <c r="CN37" s="6">
        <v>0</v>
      </c>
      <c r="CO37" s="6">
        <v>0</v>
      </c>
      <c r="CP37" s="6">
        <v>0</v>
      </c>
      <c r="CQ37" s="6">
        <v>0</v>
      </c>
      <c r="CS37" s="6">
        <v>8</v>
      </c>
      <c r="CT37" s="6">
        <v>0</v>
      </c>
      <c r="CU37" s="10">
        <v>12</v>
      </c>
      <c r="CV37" s="6" t="str">
        <f>"SkillDetail_"&amp;A37</f>
        <v>SkillDetail_171517</v>
      </c>
      <c r="CW37" s="6" t="b">
        <v>1</v>
      </c>
      <c r="CX37" s="6" t="s">
        <v>273</v>
      </c>
      <c r="DB37" s="6">
        <v>170501</v>
      </c>
      <c r="DC37" s="6" t="b">
        <v>1</v>
      </c>
      <c r="DD37" s="6" t="s">
        <v>274</v>
      </c>
      <c r="DE37" s="6" t="s">
        <v>321</v>
      </c>
      <c r="DF37" s="6" t="s">
        <v>276</v>
      </c>
      <c r="DG37" s="6" t="s">
        <v>322</v>
      </c>
      <c r="DH37" s="6">
        <v>4</v>
      </c>
      <c r="DI37" s="6" t="b">
        <v>0</v>
      </c>
      <c r="DJ37" s="6" t="b">
        <v>1</v>
      </c>
      <c r="DP37" s="96" t="s">
        <v>323</v>
      </c>
      <c r="DQ37" s="6" t="s">
        <v>324</v>
      </c>
      <c r="DR37" s="57" t="e">
        <f t="shared" si="0"/>
        <v>#VALUE!</v>
      </c>
      <c r="DS37" s="6" t="s">
        <v>325</v>
      </c>
      <c r="DU37" s="1" t="s">
        <v>280</v>
      </c>
      <c r="DW37" s="70"/>
      <c r="DZ37" s="70">
        <v>1</v>
      </c>
      <c r="EA37" s="6" t="s">
        <v>281</v>
      </c>
      <c r="EB37" s="70" t="s">
        <v>282</v>
      </c>
      <c r="EC37" s="70" t="s">
        <v>283</v>
      </c>
      <c r="ED37" s="70" t="s">
        <v>283</v>
      </c>
      <c r="EE37" s="70" t="s">
        <v>284</v>
      </c>
      <c r="EF37" s="6" t="s">
        <v>326</v>
      </c>
      <c r="EG37" s="6" t="e">
        <v>#VALUE!</v>
      </c>
      <c r="EH37" s="6" t="s">
        <v>285</v>
      </c>
      <c r="EI37" s="6" t="s">
        <v>327</v>
      </c>
      <c r="EJ37" s="6" t="e">
        <v>#VALUE!</v>
      </c>
      <c r="EK37" s="6" t="s">
        <v>286</v>
      </c>
      <c r="EL37" s="6" t="s">
        <v>328</v>
      </c>
      <c r="EM37" s="6" t="e">
        <v>#VALUE!</v>
      </c>
      <c r="EN37" s="6" t="s">
        <v>287</v>
      </c>
      <c r="EO37" s="6" t="s">
        <v>328</v>
      </c>
      <c r="EP37" s="6" t="e">
        <v>#VALUE!</v>
      </c>
    </row>
    <row r="38" spans="1:149" s="6" customFormat="1" ht="39.950000000000003" customHeight="1" x14ac:dyDescent="0.15">
      <c r="B38" s="49"/>
      <c r="C38" s="40"/>
      <c r="AB38" s="6">
        <v>17050301</v>
      </c>
      <c r="AC38" s="61" t="s">
        <v>329</v>
      </c>
      <c r="AD38" s="61" t="s">
        <v>330</v>
      </c>
      <c r="AE38" s="6" t="s">
        <v>291</v>
      </c>
      <c r="AF38" s="61" t="s">
        <v>314</v>
      </c>
      <c r="AG38" s="61"/>
      <c r="AH38" s="61"/>
      <c r="AI38" s="61"/>
      <c r="AJ38" s="61"/>
      <c r="AK38" s="61"/>
      <c r="AL38" s="61"/>
      <c r="BA38" s="6" t="s">
        <v>331</v>
      </c>
      <c r="BB38" s="6">
        <v>1</v>
      </c>
      <c r="BC38" s="6">
        <v>0</v>
      </c>
      <c r="BF38" s="6">
        <v>0</v>
      </c>
      <c r="BG38" s="6">
        <v>0</v>
      </c>
      <c r="BH38" s="6">
        <v>0</v>
      </c>
      <c r="DJ38" s="6" t="b">
        <v>1</v>
      </c>
      <c r="DP38" s="96"/>
      <c r="DR38" s="57" t="str">
        <f t="shared" si="0"/>
        <v/>
      </c>
      <c r="DU38" s="1" t="s">
        <v>280</v>
      </c>
      <c r="DW38" s="70"/>
      <c r="DZ38" s="70"/>
      <c r="EB38" s="70"/>
      <c r="EC38" s="70"/>
      <c r="ED38" s="70"/>
      <c r="EE38" s="70"/>
    </row>
    <row r="39" spans="1:149" s="6" customFormat="1" ht="39.950000000000003" customHeight="1" x14ac:dyDescent="0.15">
      <c r="B39" s="49"/>
      <c r="C39" s="40"/>
      <c r="AB39" s="6">
        <v>17050302</v>
      </c>
      <c r="AC39" s="61" t="s">
        <v>332</v>
      </c>
      <c r="AD39" s="61" t="s">
        <v>333</v>
      </c>
      <c r="AE39" s="6" t="s">
        <v>291</v>
      </c>
      <c r="AF39" s="61" t="s">
        <v>314</v>
      </c>
      <c r="AG39" s="61"/>
      <c r="AH39" s="61"/>
      <c r="AI39" s="61"/>
      <c r="AJ39" s="61">
        <v>-1</v>
      </c>
      <c r="AK39" s="61"/>
      <c r="AL39" s="61"/>
      <c r="DJ39" s="6" t="b">
        <v>1</v>
      </c>
      <c r="DP39" s="96"/>
      <c r="DR39" s="57" t="str">
        <f t="shared" si="0"/>
        <v/>
      </c>
      <c r="DU39" s="1" t="s">
        <v>280</v>
      </c>
      <c r="DW39" s="70"/>
      <c r="DZ39" s="70"/>
      <c r="EB39" s="70"/>
      <c r="EC39" s="70"/>
      <c r="ED39" s="70"/>
      <c r="EE39" s="70"/>
    </row>
    <row r="40" spans="1:149" s="6" customFormat="1" ht="39.950000000000003" customHeight="1" x14ac:dyDescent="0.15">
      <c r="B40" s="49"/>
      <c r="C40" s="40"/>
      <c r="AB40" s="6">
        <v>17050303</v>
      </c>
      <c r="AC40" s="6" t="s">
        <v>375</v>
      </c>
      <c r="AD40" s="6" t="s">
        <v>333</v>
      </c>
      <c r="AE40" s="6" t="s">
        <v>291</v>
      </c>
      <c r="AF40" s="6" t="s">
        <v>314</v>
      </c>
      <c r="AH40" s="61"/>
      <c r="AI40" s="61"/>
      <c r="AJ40" s="61">
        <v>-1</v>
      </c>
      <c r="AK40" s="61"/>
      <c r="AL40" s="61"/>
      <c r="DP40" s="96"/>
      <c r="DR40" s="57"/>
      <c r="DU40" s="1"/>
      <c r="DW40" s="70"/>
      <c r="DZ40" s="70"/>
      <c r="EB40" s="70"/>
      <c r="EC40" s="70"/>
      <c r="ED40" s="70"/>
      <c r="EE40" s="70"/>
    </row>
    <row r="41" spans="1:149" s="6" customFormat="1" ht="39.950000000000003" customHeight="1" x14ac:dyDescent="0.15">
      <c r="A41" s="6">
        <v>171518</v>
      </c>
      <c r="B41" s="49" t="s">
        <v>376</v>
      </c>
      <c r="C41" s="40" t="s">
        <v>377</v>
      </c>
      <c r="D41" s="6" t="s">
        <v>373</v>
      </c>
      <c r="H41" s="6">
        <v>0</v>
      </c>
      <c r="L41" s="6">
        <v>0</v>
      </c>
      <c r="P41" s="6" t="s">
        <v>268</v>
      </c>
      <c r="Q41" s="5" t="s">
        <v>348</v>
      </c>
      <c r="X41" s="6">
        <v>1</v>
      </c>
      <c r="Y41" s="6">
        <v>0</v>
      </c>
      <c r="Z41" s="6">
        <v>0</v>
      </c>
      <c r="AB41" s="6">
        <v>3001</v>
      </c>
      <c r="AC41" s="6" t="s">
        <v>337</v>
      </c>
      <c r="AD41" s="6" t="s">
        <v>330</v>
      </c>
      <c r="AL41" s="70"/>
      <c r="AM41" s="70"/>
      <c r="AN41" s="70"/>
      <c r="AO41" s="70"/>
      <c r="AP41" s="70"/>
      <c r="AQ41" s="70"/>
      <c r="AR41" s="70"/>
      <c r="AU41" s="70"/>
      <c r="AV41" s="70"/>
      <c r="AW41" s="70"/>
      <c r="AX41" s="70"/>
      <c r="AY41" s="70"/>
      <c r="AZ41" s="70"/>
      <c r="BA41" s="70" t="s">
        <v>270</v>
      </c>
      <c r="BB41" s="6">
        <v>7</v>
      </c>
      <c r="BC41" s="6">
        <v>0</v>
      </c>
      <c r="BF41" s="6">
        <v>0</v>
      </c>
      <c r="BG41" s="6">
        <v>0</v>
      </c>
      <c r="BH41" s="6">
        <v>0</v>
      </c>
      <c r="BJ41" s="6" t="s">
        <v>270</v>
      </c>
      <c r="BS41" s="6" t="s">
        <v>270</v>
      </c>
      <c r="CF41" s="6" t="s">
        <v>378</v>
      </c>
      <c r="CJ41" s="6" t="s">
        <v>1</v>
      </c>
      <c r="CK41" s="62" t="s">
        <v>379</v>
      </c>
      <c r="CL41" s="62"/>
      <c r="CM41" s="6">
        <v>999</v>
      </c>
      <c r="CN41" s="6">
        <v>0</v>
      </c>
      <c r="CO41" s="6">
        <v>0</v>
      </c>
      <c r="CP41" s="6">
        <v>0</v>
      </c>
      <c r="CQ41" s="6">
        <v>0</v>
      </c>
      <c r="CS41" s="6">
        <v>5</v>
      </c>
      <c r="CU41" s="6">
        <v>20</v>
      </c>
      <c r="CV41" s="6" t="str">
        <f>"SkillDetail_"&amp;A41</f>
        <v>SkillDetail_171518</v>
      </c>
      <c r="CW41" s="6" t="b">
        <v>0</v>
      </c>
      <c r="CX41" s="91" t="s">
        <v>273</v>
      </c>
      <c r="DB41" s="6">
        <v>102401</v>
      </c>
      <c r="DC41" s="6" t="b">
        <v>1</v>
      </c>
      <c r="DD41" s="92" t="s">
        <v>274</v>
      </c>
      <c r="DE41" s="61" t="s">
        <v>380</v>
      </c>
      <c r="DF41" s="92" t="s">
        <v>276</v>
      </c>
      <c r="DG41" s="92" t="s">
        <v>293</v>
      </c>
      <c r="DH41" s="92">
        <v>4</v>
      </c>
      <c r="DI41" s="92" t="b">
        <v>0</v>
      </c>
      <c r="DJ41" s="6" t="b">
        <v>1</v>
      </c>
      <c r="DP41" s="96" t="s">
        <v>381</v>
      </c>
      <c r="DQ41" s="102" t="s">
        <v>382</v>
      </c>
      <c r="DR41" s="57" t="e">
        <f t="shared" si="0"/>
        <v>#VALUE!</v>
      </c>
      <c r="DS41" s="102" t="s">
        <v>383</v>
      </c>
      <c r="DT41" s="103"/>
      <c r="DU41" s="1" t="s">
        <v>280</v>
      </c>
      <c r="DV41" s="70"/>
      <c r="DZ41" s="117">
        <v>1</v>
      </c>
      <c r="EA41" s="118" t="s">
        <v>281</v>
      </c>
      <c r="EB41" s="118" t="s">
        <v>282</v>
      </c>
      <c r="EC41" s="118" t="s">
        <v>283</v>
      </c>
      <c r="ED41" s="118" t="s">
        <v>283</v>
      </c>
      <c r="EE41" s="6" t="s">
        <v>284</v>
      </c>
      <c r="EF41" s="6" t="s">
        <v>326</v>
      </c>
      <c r="EG41" s="6" t="e">
        <v>#VALUE!</v>
      </c>
      <c r="EH41" s="6" t="s">
        <v>285</v>
      </c>
      <c r="EI41" s="6" t="s">
        <v>344</v>
      </c>
      <c r="EJ41" s="6" t="e">
        <v>#VALUE!</v>
      </c>
      <c r="EK41" s="6" t="s">
        <v>286</v>
      </c>
      <c r="EL41" s="6" t="s">
        <v>328</v>
      </c>
      <c r="EM41" s="6" t="e">
        <v>#VALUE!</v>
      </c>
      <c r="EN41" s="6" t="s">
        <v>287</v>
      </c>
      <c r="EO41" s="6" t="s">
        <v>328</v>
      </c>
      <c r="EP41" s="6" t="e">
        <v>#VALUE!</v>
      </c>
      <c r="ES41" s="6" t="b">
        <v>1</v>
      </c>
    </row>
    <row r="42" spans="1:149" s="6" customFormat="1" ht="39.950000000000003" customHeight="1" x14ac:dyDescent="0.15">
      <c r="B42" s="49"/>
      <c r="C42" s="40"/>
      <c r="AB42" s="62">
        <v>17151801</v>
      </c>
      <c r="AC42" s="61" t="s">
        <v>384</v>
      </c>
      <c r="AD42" s="6" t="s">
        <v>330</v>
      </c>
      <c r="AE42" s="6" t="s">
        <v>291</v>
      </c>
      <c r="AF42" s="6" t="s">
        <v>314</v>
      </c>
      <c r="AJ42" s="61"/>
      <c r="AK42" s="61"/>
      <c r="BA42" s="61"/>
      <c r="BB42" s="61"/>
      <c r="DJ42" s="6" t="b">
        <v>1</v>
      </c>
      <c r="DP42" s="96"/>
      <c r="DR42" s="57" t="str">
        <f t="shared" si="0"/>
        <v/>
      </c>
      <c r="DU42" s="1" t="s">
        <v>280</v>
      </c>
      <c r="DV42" s="70"/>
      <c r="DY42" s="70"/>
      <c r="EA42" s="70"/>
      <c r="EB42" s="70"/>
      <c r="EC42" s="70"/>
      <c r="ED42" s="70"/>
    </row>
    <row r="43" spans="1:149" s="6" customFormat="1" ht="39.950000000000003" customHeight="1" x14ac:dyDescent="0.15">
      <c r="B43" s="49"/>
      <c r="C43" s="40"/>
      <c r="AB43" s="62">
        <v>17151802</v>
      </c>
      <c r="AC43" s="61" t="s">
        <v>385</v>
      </c>
      <c r="AE43" s="6" t="s">
        <v>291</v>
      </c>
      <c r="AF43" s="6" t="s">
        <v>314</v>
      </c>
      <c r="AJ43" s="61">
        <v>3</v>
      </c>
      <c r="AK43" s="61"/>
      <c r="BA43" s="61"/>
      <c r="BB43" s="61"/>
      <c r="DJ43" s="6" t="b">
        <v>1</v>
      </c>
      <c r="DP43" s="96"/>
      <c r="DR43" s="57" t="str">
        <f t="shared" si="0"/>
        <v/>
      </c>
      <c r="DU43" s="1" t="s">
        <v>280</v>
      </c>
      <c r="DV43" s="70"/>
      <c r="DY43" s="70"/>
      <c r="EA43" s="70"/>
      <c r="EB43" s="70"/>
      <c r="EC43" s="70"/>
      <c r="ED43" s="70"/>
    </row>
    <row r="44" spans="1:149" s="6" customFormat="1" ht="39.950000000000003" customHeight="1" x14ac:dyDescent="0.15">
      <c r="B44" s="49"/>
      <c r="C44" s="40"/>
      <c r="AB44" s="6">
        <v>17151803</v>
      </c>
      <c r="AC44" s="62" t="s">
        <v>386</v>
      </c>
      <c r="AD44" s="6" t="s">
        <v>330</v>
      </c>
      <c r="AE44" s="6" t="s">
        <v>291</v>
      </c>
      <c r="AF44" s="6" t="s">
        <v>314</v>
      </c>
      <c r="AL44" s="70"/>
      <c r="AM44" s="70"/>
      <c r="AN44" s="70"/>
      <c r="AO44" s="70"/>
      <c r="AP44" s="70"/>
      <c r="AQ44" s="70"/>
      <c r="AR44" s="70"/>
      <c r="AU44" s="70"/>
      <c r="AV44" s="70"/>
      <c r="AW44" s="70"/>
      <c r="AX44" s="70"/>
      <c r="AY44" s="70"/>
      <c r="AZ44" s="70"/>
      <c r="BA44" s="70"/>
      <c r="DJ44" s="6" t="b">
        <v>1</v>
      </c>
      <c r="DP44" s="96"/>
      <c r="DQ44" s="62"/>
      <c r="DR44" s="57" t="str">
        <f t="shared" si="0"/>
        <v/>
      </c>
      <c r="DU44" s="1" t="s">
        <v>280</v>
      </c>
      <c r="DV44" s="70"/>
      <c r="DY44" s="70"/>
      <c r="EA44" s="70"/>
      <c r="EB44" s="70"/>
      <c r="EC44" s="70"/>
      <c r="ED44" s="70"/>
    </row>
    <row r="45" spans="1:149" s="7" customFormat="1" ht="39.950000000000003" customHeight="1" x14ac:dyDescent="0.15">
      <c r="A45" s="7">
        <v>171519</v>
      </c>
      <c r="B45" s="51" t="s">
        <v>334</v>
      </c>
      <c r="C45" s="40" t="s">
        <v>335</v>
      </c>
      <c r="D45" s="7" t="s">
        <v>373</v>
      </c>
      <c r="H45" s="7">
        <v>0</v>
      </c>
      <c r="L45" s="7">
        <v>0</v>
      </c>
      <c r="P45" s="7" t="s">
        <v>268</v>
      </c>
      <c r="Q45" s="7" t="s">
        <v>348</v>
      </c>
      <c r="X45" s="7">
        <v>1</v>
      </c>
      <c r="Y45" s="7">
        <v>0</v>
      </c>
      <c r="Z45" s="7">
        <v>0</v>
      </c>
      <c r="AB45" s="63">
        <v>17150401</v>
      </c>
      <c r="AC45" s="7" t="s">
        <v>354</v>
      </c>
      <c r="AD45" s="63"/>
      <c r="AE45" s="63" t="s">
        <v>291</v>
      </c>
      <c r="AF45" s="63" t="s">
        <v>314</v>
      </c>
      <c r="AG45" s="63"/>
      <c r="AH45" s="63"/>
      <c r="AI45" s="63"/>
      <c r="AJ45" s="63"/>
      <c r="AK45" s="63"/>
      <c r="AL45" s="63"/>
      <c r="BA45" s="7" t="s">
        <v>355</v>
      </c>
      <c r="BB45" s="7">
        <v>8</v>
      </c>
      <c r="BC45" s="7">
        <v>0</v>
      </c>
      <c r="BF45" s="7">
        <v>0</v>
      </c>
      <c r="BG45" s="7">
        <v>0</v>
      </c>
      <c r="BH45" s="7">
        <v>0</v>
      </c>
      <c r="BJ45" s="7" t="s">
        <v>270</v>
      </c>
      <c r="BS45" s="7" t="s">
        <v>270</v>
      </c>
      <c r="CF45" s="7" t="s">
        <v>271</v>
      </c>
      <c r="CJ45" s="7" t="s">
        <v>356</v>
      </c>
      <c r="CK45" s="87" t="s">
        <v>357</v>
      </c>
      <c r="CL45" s="87"/>
      <c r="CM45" s="7">
        <v>999</v>
      </c>
      <c r="CN45" s="7">
        <v>0</v>
      </c>
      <c r="CO45" s="7">
        <v>0</v>
      </c>
      <c r="CP45" s="7">
        <v>0</v>
      </c>
      <c r="CQ45" s="7">
        <v>0</v>
      </c>
      <c r="CV45" s="7" t="str">
        <f>"SkillDetail_"&amp;A45</f>
        <v>SkillDetail_171519</v>
      </c>
      <c r="CX45" s="7" t="s">
        <v>273</v>
      </c>
      <c r="DB45" s="7">
        <v>100300</v>
      </c>
      <c r="DC45" s="7" t="b">
        <v>1</v>
      </c>
      <c r="DD45" s="7" t="s">
        <v>274</v>
      </c>
      <c r="DE45" s="7" t="s">
        <v>340</v>
      </c>
      <c r="DF45" s="7" t="s">
        <v>276</v>
      </c>
      <c r="DG45" s="7" t="s">
        <v>277</v>
      </c>
      <c r="DH45" s="7">
        <v>4</v>
      </c>
      <c r="DI45" s="7" t="b">
        <v>0</v>
      </c>
      <c r="DJ45" s="7" t="b">
        <v>1</v>
      </c>
      <c r="DP45" s="96" t="s">
        <v>341</v>
      </c>
      <c r="DQ45" s="7" t="s">
        <v>342</v>
      </c>
      <c r="DR45" s="57" t="e">
        <f t="shared" si="0"/>
        <v>#VALUE!</v>
      </c>
      <c r="DS45" s="7" t="s">
        <v>343</v>
      </c>
      <c r="DU45" s="1" t="s">
        <v>280</v>
      </c>
      <c r="DW45" s="104"/>
      <c r="DZ45" s="104">
        <v>1</v>
      </c>
      <c r="EA45" s="7" t="s">
        <v>281</v>
      </c>
      <c r="EB45" s="104" t="s">
        <v>282</v>
      </c>
      <c r="EC45" s="104" t="s">
        <v>283</v>
      </c>
      <c r="ED45" s="104" t="s">
        <v>283</v>
      </c>
      <c r="EE45" s="104" t="s">
        <v>284</v>
      </c>
      <c r="EF45" s="7" t="s">
        <v>326</v>
      </c>
      <c r="EG45" s="7" t="e">
        <v>#VALUE!</v>
      </c>
      <c r="EH45" s="7" t="s">
        <v>285</v>
      </c>
      <c r="EI45" s="7" t="s">
        <v>344</v>
      </c>
      <c r="EJ45" s="7" t="e">
        <v>#VALUE!</v>
      </c>
      <c r="EK45" s="7" t="s">
        <v>286</v>
      </c>
      <c r="EL45" s="7" t="s">
        <v>345</v>
      </c>
      <c r="EM45" s="7" t="e">
        <v>#VALUE!</v>
      </c>
      <c r="EN45" s="7" t="s">
        <v>287</v>
      </c>
      <c r="EO45" s="7" t="s">
        <v>345</v>
      </c>
      <c r="EP45" s="7" t="e">
        <v>#VALUE!</v>
      </c>
      <c r="ES45" s="7" t="b">
        <v>1</v>
      </c>
    </row>
    <row r="46" spans="1:149" s="6" customFormat="1" ht="39.950000000000003" customHeight="1" x14ac:dyDescent="0.15">
      <c r="A46" s="6">
        <v>171520</v>
      </c>
      <c r="B46" s="50" t="s">
        <v>387</v>
      </c>
      <c r="C46" s="40" t="s">
        <v>388</v>
      </c>
      <c r="D46" s="6" t="s">
        <v>373</v>
      </c>
      <c r="H46" s="6">
        <v>0</v>
      </c>
      <c r="L46" s="6">
        <v>0</v>
      </c>
      <c r="P46" s="6" t="s">
        <v>268</v>
      </c>
      <c r="Q46" s="6" t="s">
        <v>348</v>
      </c>
      <c r="X46" s="6">
        <v>1</v>
      </c>
      <c r="Y46" s="6">
        <v>0</v>
      </c>
      <c r="Z46" s="6">
        <v>0</v>
      </c>
      <c r="AB46" s="6">
        <v>3001</v>
      </c>
      <c r="AC46" s="6" t="s">
        <v>337</v>
      </c>
      <c r="AE46" s="6" t="s">
        <v>129</v>
      </c>
      <c r="AF46" s="6" t="s">
        <v>314</v>
      </c>
      <c r="AL46" s="70"/>
      <c r="AM46" s="70"/>
      <c r="AN46" s="70"/>
      <c r="AO46" s="70"/>
      <c r="AP46" s="70"/>
      <c r="AQ46" s="70"/>
      <c r="AR46" s="70"/>
      <c r="AU46" s="70"/>
      <c r="AV46" s="70"/>
      <c r="AW46" s="70"/>
      <c r="AX46" s="70"/>
      <c r="AY46" s="70"/>
      <c r="AZ46" s="70"/>
      <c r="BA46" s="70" t="s">
        <v>270</v>
      </c>
      <c r="BB46" s="6">
        <v>8</v>
      </c>
      <c r="BC46" s="6">
        <v>0</v>
      </c>
      <c r="BF46" s="6">
        <v>0</v>
      </c>
      <c r="BG46" s="6">
        <v>0</v>
      </c>
      <c r="BH46" s="6">
        <v>0</v>
      </c>
      <c r="BJ46" s="6" t="s">
        <v>270</v>
      </c>
      <c r="BS46" s="6" t="s">
        <v>270</v>
      </c>
      <c r="CF46" s="6" t="s">
        <v>271</v>
      </c>
      <c r="CJ46" s="6" t="s">
        <v>3</v>
      </c>
      <c r="CK46" s="62" t="s">
        <v>389</v>
      </c>
      <c r="CL46" s="62"/>
      <c r="CM46" s="6">
        <v>999</v>
      </c>
      <c r="CN46" s="6">
        <v>0</v>
      </c>
      <c r="CO46" s="6">
        <v>0</v>
      </c>
      <c r="CP46" s="6">
        <v>0</v>
      </c>
      <c r="CQ46" s="6">
        <v>0</v>
      </c>
      <c r="CS46" s="6">
        <v>7.5</v>
      </c>
      <c r="CU46" s="6">
        <v>8</v>
      </c>
      <c r="CV46" s="6" t="str">
        <f>"SkillDetail_"&amp;A46</f>
        <v>SkillDetail_171520</v>
      </c>
      <c r="CW46" s="6" t="b">
        <v>0</v>
      </c>
      <c r="CX46" s="91" t="s">
        <v>273</v>
      </c>
      <c r="DB46" s="6">
        <v>100300</v>
      </c>
      <c r="DC46" s="6" t="b">
        <v>1</v>
      </c>
      <c r="DD46" s="6" t="s">
        <v>274</v>
      </c>
      <c r="DE46" s="6" t="s">
        <v>340</v>
      </c>
      <c r="DF46" s="6" t="s">
        <v>276</v>
      </c>
      <c r="DG46" s="6" t="s">
        <v>277</v>
      </c>
      <c r="DH46" s="6">
        <v>4</v>
      </c>
      <c r="DI46" s="91" t="b">
        <v>0</v>
      </c>
      <c r="DJ46" s="6" t="b">
        <v>1</v>
      </c>
      <c r="DM46" s="61"/>
      <c r="DP46" s="96" t="s">
        <v>341</v>
      </c>
      <c r="DQ46" s="62" t="s">
        <v>342</v>
      </c>
      <c r="DR46" s="57" t="e">
        <f t="shared" si="0"/>
        <v>#VALUE!</v>
      </c>
      <c r="DS46" s="62" t="s">
        <v>343</v>
      </c>
      <c r="DT46" s="101"/>
      <c r="DU46" s="1" t="s">
        <v>280</v>
      </c>
      <c r="DV46" s="70"/>
      <c r="DZ46" s="117">
        <v>1</v>
      </c>
      <c r="EA46" s="118" t="s">
        <v>281</v>
      </c>
      <c r="EB46" s="118" t="s">
        <v>282</v>
      </c>
      <c r="EC46" s="118" t="s">
        <v>283</v>
      </c>
      <c r="ED46" s="118" t="s">
        <v>283</v>
      </c>
      <c r="EE46" s="6" t="s">
        <v>284</v>
      </c>
      <c r="EF46" s="6" t="s">
        <v>326</v>
      </c>
      <c r="EG46" s="6" t="e">
        <v>#VALUE!</v>
      </c>
      <c r="EH46" s="6" t="s">
        <v>285</v>
      </c>
      <c r="EI46" s="6" t="s">
        <v>344</v>
      </c>
      <c r="EJ46" s="6" t="e">
        <v>#VALUE!</v>
      </c>
      <c r="EK46" s="6" t="s">
        <v>286</v>
      </c>
      <c r="EL46" s="6" t="s">
        <v>345</v>
      </c>
      <c r="EM46" s="6" t="e">
        <v>#VALUE!</v>
      </c>
      <c r="EN46" s="6" t="s">
        <v>287</v>
      </c>
      <c r="EO46" s="6" t="s">
        <v>345</v>
      </c>
      <c r="EP46" s="6" t="e">
        <v>#VALUE!</v>
      </c>
      <c r="ES46" s="6" t="b">
        <v>1</v>
      </c>
    </row>
    <row r="47" spans="1:149" s="5" customFormat="1" ht="33" customHeight="1" x14ac:dyDescent="0.15">
      <c r="A47" s="5">
        <v>171521</v>
      </c>
      <c r="B47" s="52" t="s">
        <v>390</v>
      </c>
      <c r="C47" s="40" t="s">
        <v>391</v>
      </c>
      <c r="D47" s="5" t="s">
        <v>392</v>
      </c>
      <c r="H47" s="5">
        <v>0</v>
      </c>
      <c r="L47" s="5">
        <v>0</v>
      </c>
      <c r="P47" s="5" t="s">
        <v>268</v>
      </c>
      <c r="Q47" s="5" t="s">
        <v>269</v>
      </c>
      <c r="R47" s="54"/>
      <c r="S47" s="54"/>
      <c r="X47" s="54">
        <v>1</v>
      </c>
      <c r="Y47" s="54">
        <v>0</v>
      </c>
      <c r="Z47" s="54">
        <v>0</v>
      </c>
      <c r="AA47" s="54"/>
      <c r="AB47" s="5">
        <v>17152101</v>
      </c>
      <c r="AC47" s="5" t="s">
        <v>393</v>
      </c>
      <c r="AE47" s="5" t="s">
        <v>291</v>
      </c>
      <c r="AF47" s="5" t="s">
        <v>394</v>
      </c>
      <c r="AJ47" s="5">
        <v>6</v>
      </c>
      <c r="AL47" s="69"/>
      <c r="AM47" s="69"/>
      <c r="AN47" s="69"/>
      <c r="AO47" s="69"/>
      <c r="AP47" s="69"/>
      <c r="AQ47" s="69"/>
      <c r="AR47" s="69"/>
      <c r="AS47" s="74"/>
      <c r="AT47" s="74"/>
      <c r="AU47" s="69"/>
      <c r="AV47" s="69"/>
      <c r="AW47" s="69"/>
      <c r="AX47" s="69"/>
      <c r="AY47" s="69"/>
      <c r="AZ47" s="69"/>
      <c r="BA47" s="69" t="s">
        <v>270</v>
      </c>
      <c r="BB47" s="78">
        <v>1</v>
      </c>
      <c r="BC47" s="78">
        <v>0</v>
      </c>
      <c r="BD47" s="78"/>
      <c r="BE47" s="78"/>
      <c r="BJ47" s="69" t="s">
        <v>270</v>
      </c>
      <c r="BK47" s="78">
        <v>1</v>
      </c>
      <c r="BL47" s="78">
        <v>0</v>
      </c>
      <c r="BM47" s="78">
        <v>0</v>
      </c>
      <c r="CF47" s="5" t="s">
        <v>298</v>
      </c>
      <c r="CM47" s="5">
        <v>1</v>
      </c>
      <c r="CV47" s="5" t="s">
        <v>395</v>
      </c>
      <c r="CX47" s="54" t="s">
        <v>273</v>
      </c>
      <c r="DB47" s="5">
        <v>122036</v>
      </c>
      <c r="DC47" s="5" t="b">
        <v>0</v>
      </c>
      <c r="DD47" s="5" t="s">
        <v>274</v>
      </c>
      <c r="DE47" s="5" t="str">
        <f>"icon_heroskill_"&amp;A47</f>
        <v>icon_heroskill_171521</v>
      </c>
      <c r="DF47" s="5" t="s">
        <v>276</v>
      </c>
      <c r="DG47" s="5" t="s">
        <v>396</v>
      </c>
      <c r="DH47" s="5">
        <v>3</v>
      </c>
      <c r="DI47" s="5" t="b">
        <v>0</v>
      </c>
      <c r="DK47" s="54"/>
      <c r="DL47" s="54"/>
      <c r="DM47" s="54"/>
      <c r="DP47" s="96" t="str">
        <f>"SkillDetail_"&amp;A47</f>
        <v>SkillDetail_171521</v>
      </c>
      <c r="DQ47" s="86" t="s">
        <v>397</v>
      </c>
      <c r="DR47" s="57" t="str">
        <f t="shared" si="0"/>
        <v>提升我军全体英雄{0:1}%暴击率，造成暴击后降低敌军全体英雄{2:1}%点守备，最多叠加3层。</v>
      </c>
      <c r="DS47" s="78" t="s">
        <v>398</v>
      </c>
      <c r="DT47" s="78" t="s">
        <v>399</v>
      </c>
      <c r="DU47" s="1" t="s">
        <v>400</v>
      </c>
      <c r="DV47" s="69"/>
      <c r="DZ47" s="115">
        <v>2</v>
      </c>
      <c r="EA47" s="116" t="s">
        <v>401</v>
      </c>
      <c r="EB47" s="116" t="s">
        <v>402</v>
      </c>
      <c r="EC47" s="116" t="s">
        <v>283</v>
      </c>
      <c r="ED47" s="116" t="s">
        <v>283</v>
      </c>
      <c r="EE47" s="5" t="s">
        <v>284</v>
      </c>
      <c r="EF47" s="5" t="str">
        <f>IF(ISNUMBER(FIND("数值%",INDEX($1:$693,ROW($BA47)+_xlfn.NUMBERVALUE(MID(EA47,1,1)),COLUMN($BA47)+9*_xlfn.NUMBERVALUE(MID(EA47,3,3))))),"{"&amp;EA47&amp;"}"&amp;"%","{"&amp;EA47&amp;"}")</f>
        <v>{0:1}%</v>
      </c>
      <c r="EG47" s="5" t="str">
        <f>REPLACEB(DS47,FINDB(EE47,DS47),LEN(EE47),EF47)</f>
        <v>提升我军全体英雄{0:1}%暴击率，造成暴击后降低敌军全体英雄{1}点守备，最多叠加3层。</v>
      </c>
      <c r="EH47" s="5" t="s">
        <v>285</v>
      </c>
      <c r="EI47" s="5" t="str">
        <f>IF(ISNUMBER(FIND("数值%",INDEX($1:$693,ROW($BA47)+_xlfn.NUMBERVALUE(MID(EB47,1,1)),COLUMN($BA47)+9*_xlfn.NUMBERVALUE(MID(EB47,3,1))))),"{"&amp;EB47&amp;"}"&amp;"%","{"&amp;EB47&amp;"}")</f>
        <v>{2:1}%</v>
      </c>
      <c r="EJ47" s="5" t="str">
        <f>REPLACEB(EG47,FINDB(EH47,EG47),LEN(EH47),EI47)</f>
        <v>提升我军全体英雄{0:1}%暴击率，造成暴击后降低敌军全体英雄{2:1}%点守备，最多叠加3层。</v>
      </c>
      <c r="EK47" s="5" t="s">
        <v>286</v>
      </c>
      <c r="EL47" s="5" t="str">
        <f>IF(ISNUMBER(FIND("数值%",INDEX($1:$693,ROW($BA47)+_xlfn.NUMBERVALUE(MID(EC47,1,1)),COLUMN($BA47)+9*_xlfn.NUMBERVALUE(MID(EC47,3,1))))),"{"&amp;EC47&amp;"}"&amp;"%","{"&amp;EC47&amp;"}")</f>
        <v>{2:0}%</v>
      </c>
      <c r="EM47" s="5" t="e">
        <f>REPLACEB(EJ47,FINDB(EK47,EJ47),LEN(EK47),EL47)</f>
        <v>#VALUE!</v>
      </c>
      <c r="EN47" s="5" t="s">
        <v>287</v>
      </c>
      <c r="EO47" s="5" t="str">
        <f>IF(ISNUMBER(FIND("数值%",INDEX($1:$693,ROW($BA47)+_xlfn.NUMBERVALUE(MID(ED47,1,1)),COLUMN($BA47)+9*_xlfn.NUMBERVALUE(MID(ED47,3,1))))),"{"&amp;ED47&amp;"}"&amp;"%","{"&amp;ED47&amp;"}")</f>
        <v>{2:0}%</v>
      </c>
      <c r="EP47" s="5" t="e">
        <f>REPLACEB(EM47,FINDB(EN47,EM47),LEN(EN47),EO47)</f>
        <v>#VALUE!</v>
      </c>
      <c r="ES47" s="5" t="b">
        <v>1</v>
      </c>
    </row>
    <row r="48" spans="1:149" s="5" customFormat="1" ht="14.25" customHeight="1" x14ac:dyDescent="0.15">
      <c r="B48" s="52"/>
      <c r="C48" s="40"/>
      <c r="Q48" s="54"/>
      <c r="R48" s="54"/>
      <c r="S48" s="54"/>
      <c r="X48" s="54"/>
      <c r="Y48" s="54"/>
      <c r="Z48" s="54"/>
      <c r="AA48" s="54"/>
      <c r="AB48" s="5">
        <v>17152102</v>
      </c>
      <c r="AC48" s="5" t="s">
        <v>403</v>
      </c>
      <c r="AE48" s="5" t="s">
        <v>291</v>
      </c>
      <c r="AF48" s="5" t="s">
        <v>394</v>
      </c>
      <c r="AJ48" s="5">
        <v>6</v>
      </c>
      <c r="AL48" s="69"/>
      <c r="AM48" s="69"/>
      <c r="AN48" s="69"/>
      <c r="AO48" s="69"/>
      <c r="AP48" s="69"/>
      <c r="AQ48" s="69"/>
      <c r="AR48" s="69"/>
      <c r="AS48" s="74"/>
      <c r="AT48" s="74"/>
      <c r="AU48" s="69"/>
      <c r="AV48" s="69"/>
      <c r="AW48" s="69"/>
      <c r="AX48" s="69"/>
      <c r="AY48" s="69"/>
      <c r="AZ48" s="69"/>
      <c r="BA48" s="69" t="s">
        <v>270</v>
      </c>
      <c r="BB48" s="78">
        <v>0.3</v>
      </c>
      <c r="BC48" s="78">
        <v>0</v>
      </c>
      <c r="BD48" s="78"/>
      <c r="BE48" s="78"/>
      <c r="CX48" s="54"/>
      <c r="DK48" s="54"/>
      <c r="DL48" s="54"/>
      <c r="DM48" s="54"/>
      <c r="DN48" s="54"/>
      <c r="DO48" s="54"/>
      <c r="DP48" s="94"/>
      <c r="DQ48" s="86"/>
      <c r="DR48" s="57" t="str">
        <f t="shared" si="0"/>
        <v/>
      </c>
      <c r="DS48" s="54"/>
      <c r="DT48" s="54"/>
      <c r="DU48" s="1" t="s">
        <v>280</v>
      </c>
      <c r="DV48" s="69"/>
      <c r="DY48" s="69"/>
      <c r="EA48" s="69"/>
      <c r="EB48" s="69"/>
      <c r="EC48" s="69"/>
      <c r="ED48" s="69"/>
    </row>
    <row r="49" spans="1:149" s="5" customFormat="1" ht="33" customHeight="1" x14ac:dyDescent="0.15">
      <c r="A49" s="5">
        <v>171522</v>
      </c>
      <c r="B49" s="52" t="s">
        <v>390</v>
      </c>
      <c r="C49" s="40" t="s">
        <v>391</v>
      </c>
      <c r="D49" s="5" t="s">
        <v>404</v>
      </c>
      <c r="H49" s="5">
        <v>0</v>
      </c>
      <c r="L49" s="5">
        <v>0</v>
      </c>
      <c r="P49" s="5" t="s">
        <v>268</v>
      </c>
      <c r="Q49" s="5" t="s">
        <v>269</v>
      </c>
      <c r="R49" s="54"/>
      <c r="S49" s="54"/>
      <c r="X49" s="54">
        <v>1</v>
      </c>
      <c r="Y49" s="54">
        <v>0</v>
      </c>
      <c r="Z49" s="54">
        <v>0</v>
      </c>
      <c r="AA49" s="54"/>
      <c r="AB49" s="5">
        <v>17152101</v>
      </c>
      <c r="AC49" s="5" t="s">
        <v>393</v>
      </c>
      <c r="AE49" s="5" t="s">
        <v>291</v>
      </c>
      <c r="AF49" s="5" t="s">
        <v>394</v>
      </c>
      <c r="AJ49" s="5">
        <v>6</v>
      </c>
      <c r="AL49" s="69"/>
      <c r="AM49" s="69"/>
      <c r="AN49" s="69"/>
      <c r="AO49" s="69"/>
      <c r="AP49" s="69"/>
      <c r="AQ49" s="69"/>
      <c r="AR49" s="69"/>
      <c r="AS49" s="74"/>
      <c r="AT49" s="74"/>
      <c r="AU49" s="69"/>
      <c r="AV49" s="69"/>
      <c r="AW49" s="69"/>
      <c r="AX49" s="69"/>
      <c r="AY49" s="69"/>
      <c r="AZ49" s="69"/>
      <c r="BA49" s="69" t="s">
        <v>270</v>
      </c>
      <c r="BB49" s="78">
        <v>1</v>
      </c>
      <c r="BC49" s="78">
        <v>0</v>
      </c>
      <c r="BD49" s="78"/>
      <c r="BE49" s="78"/>
      <c r="BJ49" s="69" t="s">
        <v>270</v>
      </c>
      <c r="BK49" s="78">
        <v>1</v>
      </c>
      <c r="BL49" s="78">
        <v>0</v>
      </c>
      <c r="BM49" s="78">
        <v>0</v>
      </c>
      <c r="CF49" s="5" t="s">
        <v>298</v>
      </c>
      <c r="CM49" s="5">
        <v>1</v>
      </c>
      <c r="CV49" s="5" t="s">
        <v>395</v>
      </c>
      <c r="CX49" s="54" t="s">
        <v>273</v>
      </c>
      <c r="DB49" s="5">
        <v>122036</v>
      </c>
      <c r="DC49" s="5" t="b">
        <v>0</v>
      </c>
      <c r="DD49" s="5" t="s">
        <v>274</v>
      </c>
      <c r="DE49" s="5" t="str">
        <f>"icon_heroskill_"&amp;A49</f>
        <v>icon_heroskill_171522</v>
      </c>
      <c r="DF49" s="5" t="s">
        <v>276</v>
      </c>
      <c r="DG49" s="5" t="s">
        <v>396</v>
      </c>
      <c r="DH49" s="5">
        <v>3</v>
      </c>
      <c r="DI49" s="5" t="b">
        <v>0</v>
      </c>
      <c r="DK49" s="54"/>
      <c r="DL49" s="54"/>
      <c r="DM49" s="54"/>
      <c r="DP49" s="96" t="str">
        <f>"SkillDetail_"&amp;A49</f>
        <v>SkillDetail_171522</v>
      </c>
      <c r="DQ49" s="86" t="s">
        <v>397</v>
      </c>
      <c r="DR49" s="57" t="str">
        <f t="shared" si="0"/>
        <v>提升我军全体英雄{0:1}%暴击率，造成暴击后降低敌军全体英雄{2:1}%点守备，最多叠加3层。</v>
      </c>
      <c r="DS49" s="78" t="s">
        <v>398</v>
      </c>
      <c r="DT49" s="78" t="s">
        <v>399</v>
      </c>
      <c r="DU49" s="1" t="s">
        <v>400</v>
      </c>
      <c r="DV49" s="69"/>
      <c r="DZ49" s="115">
        <v>2</v>
      </c>
      <c r="EA49" s="116" t="s">
        <v>401</v>
      </c>
      <c r="EB49" s="116" t="s">
        <v>402</v>
      </c>
      <c r="EC49" s="116" t="s">
        <v>283</v>
      </c>
      <c r="ED49" s="116" t="s">
        <v>283</v>
      </c>
      <c r="EE49" s="5" t="s">
        <v>284</v>
      </c>
      <c r="EF49" s="5" t="str">
        <f>IF(ISNUMBER(FIND("数值%",INDEX($1:$693,ROW($BA49)+_xlfn.NUMBERVALUE(MID(EA49,1,1)),COLUMN($BA49)+9*_xlfn.NUMBERVALUE(MID(EA49,3,3))))),"{"&amp;EA49&amp;"}"&amp;"%","{"&amp;EA49&amp;"}")</f>
        <v>{0:1}%</v>
      </c>
      <c r="EG49" s="5" t="str">
        <f>REPLACEB(DS49,FINDB(EE49,DS49),LEN(EE49),EF49)</f>
        <v>提升我军全体英雄{0:1}%暴击率，造成暴击后降低敌军全体英雄{1}点守备，最多叠加3层。</v>
      </c>
      <c r="EH49" s="5" t="s">
        <v>285</v>
      </c>
      <c r="EI49" s="5" t="str">
        <f>IF(ISNUMBER(FIND("数值%",INDEX($1:$693,ROW($BA49)+_xlfn.NUMBERVALUE(MID(EB49,1,1)),COLUMN($BA49)+9*_xlfn.NUMBERVALUE(MID(EB49,3,1))))),"{"&amp;EB49&amp;"}"&amp;"%","{"&amp;EB49&amp;"}")</f>
        <v>{2:1}%</v>
      </c>
      <c r="EJ49" s="5" t="str">
        <f>REPLACEB(EG49,FINDB(EH49,EG49),LEN(EH49),EI49)</f>
        <v>提升我军全体英雄{0:1}%暴击率，造成暴击后降低敌军全体英雄{2:1}%点守备，最多叠加3层。</v>
      </c>
      <c r="EK49" s="5" t="s">
        <v>286</v>
      </c>
      <c r="EL49" s="5" t="str">
        <f>IF(ISNUMBER(FIND("数值%",INDEX($1:$693,ROW($BA49)+_xlfn.NUMBERVALUE(MID(EC49,1,1)),COLUMN($BA49)+9*_xlfn.NUMBERVALUE(MID(EC49,3,1))))),"{"&amp;EC49&amp;"}"&amp;"%","{"&amp;EC49&amp;"}")</f>
        <v>{2:0}%</v>
      </c>
      <c r="EM49" s="5" t="e">
        <f>REPLACEB(EJ49,FINDB(EK49,EJ49),LEN(EK49),EL49)</f>
        <v>#VALUE!</v>
      </c>
      <c r="EN49" s="5" t="s">
        <v>287</v>
      </c>
      <c r="EO49" s="5" t="str">
        <f>IF(ISNUMBER(FIND("数值%",INDEX($1:$693,ROW($BA49)+_xlfn.NUMBERVALUE(MID(ED49,1,1)),COLUMN($BA49)+9*_xlfn.NUMBERVALUE(MID(ED49,3,1))))),"{"&amp;ED49&amp;"}"&amp;"%","{"&amp;ED49&amp;"}")</f>
        <v>{2:0}%</v>
      </c>
      <c r="EP49" s="5" t="e">
        <f>REPLACEB(EM49,FINDB(EN49,EM49),LEN(EN49),EO49)</f>
        <v>#VALUE!</v>
      </c>
      <c r="ES49" s="5" t="b">
        <v>1</v>
      </c>
    </row>
    <row r="50" spans="1:149" s="5" customFormat="1" ht="14.25" customHeight="1" x14ac:dyDescent="0.15">
      <c r="B50" s="52"/>
      <c r="C50" s="40"/>
      <c r="Q50" s="54"/>
      <c r="R50" s="54"/>
      <c r="S50" s="54"/>
      <c r="X50" s="54"/>
      <c r="Y50" s="54"/>
      <c r="Z50" s="54"/>
      <c r="AA50" s="54"/>
      <c r="AB50" s="5">
        <v>17152102</v>
      </c>
      <c r="AC50" s="5" t="s">
        <v>403</v>
      </c>
      <c r="AE50" s="5" t="s">
        <v>291</v>
      </c>
      <c r="AF50" s="5" t="s">
        <v>394</v>
      </c>
      <c r="AJ50" s="5">
        <v>6</v>
      </c>
      <c r="AL50" s="69"/>
      <c r="AM50" s="69"/>
      <c r="AN50" s="69"/>
      <c r="AO50" s="69"/>
      <c r="AP50" s="69"/>
      <c r="AQ50" s="69"/>
      <c r="AR50" s="69"/>
      <c r="AS50" s="74"/>
      <c r="AT50" s="74"/>
      <c r="AU50" s="69"/>
      <c r="AV50" s="69"/>
      <c r="AW50" s="69"/>
      <c r="AX50" s="69"/>
      <c r="AY50" s="69"/>
      <c r="AZ50" s="69"/>
      <c r="BA50" s="69" t="s">
        <v>270</v>
      </c>
      <c r="BB50" s="78">
        <v>0.3</v>
      </c>
      <c r="BC50" s="78">
        <v>0</v>
      </c>
      <c r="BD50" s="78"/>
      <c r="BE50" s="78"/>
      <c r="CX50" s="54"/>
      <c r="DK50" s="54"/>
      <c r="DL50" s="54"/>
      <c r="DM50" s="54"/>
      <c r="DN50" s="54"/>
      <c r="DO50" s="54"/>
      <c r="DP50" s="94"/>
      <c r="DQ50" s="86"/>
      <c r="DR50" s="57" t="str">
        <f t="shared" si="0"/>
        <v/>
      </c>
      <c r="DS50" s="54"/>
      <c r="DT50" s="54"/>
      <c r="DU50" s="1" t="s">
        <v>280</v>
      </c>
      <c r="DV50" s="69"/>
      <c r="DY50" s="69"/>
      <c r="EA50" s="69"/>
      <c r="EB50" s="69"/>
      <c r="EC50" s="69"/>
      <c r="ED50" s="69"/>
    </row>
    <row r="51" spans="1:149" s="5" customFormat="1" ht="33" customHeight="1" x14ac:dyDescent="0.15">
      <c r="A51" s="5">
        <v>171523</v>
      </c>
      <c r="B51" s="52" t="s">
        <v>390</v>
      </c>
      <c r="C51" s="40" t="s">
        <v>391</v>
      </c>
      <c r="D51" s="5" t="s">
        <v>373</v>
      </c>
      <c r="H51" s="5">
        <v>0</v>
      </c>
      <c r="L51" s="5">
        <v>0</v>
      </c>
      <c r="P51" s="5" t="s">
        <v>268</v>
      </c>
      <c r="Q51" s="5" t="s">
        <v>269</v>
      </c>
      <c r="R51" s="54"/>
      <c r="S51" s="54"/>
      <c r="X51" s="54">
        <v>1</v>
      </c>
      <c r="Y51" s="54">
        <v>0</v>
      </c>
      <c r="Z51" s="54">
        <v>0</v>
      </c>
      <c r="AA51" s="54"/>
      <c r="AB51" s="5">
        <v>17152101</v>
      </c>
      <c r="AC51" s="5" t="s">
        <v>393</v>
      </c>
      <c r="AE51" s="5" t="s">
        <v>291</v>
      </c>
      <c r="AF51" s="5" t="s">
        <v>394</v>
      </c>
      <c r="AJ51" s="5">
        <v>6</v>
      </c>
      <c r="AL51" s="69"/>
      <c r="AM51" s="69"/>
      <c r="AN51" s="69"/>
      <c r="AO51" s="69"/>
      <c r="AP51" s="69"/>
      <c r="AQ51" s="69"/>
      <c r="AR51" s="69"/>
      <c r="AS51" s="74"/>
      <c r="AT51" s="74"/>
      <c r="AU51" s="69"/>
      <c r="AV51" s="69"/>
      <c r="AW51" s="69"/>
      <c r="AX51" s="69"/>
      <c r="AY51" s="69"/>
      <c r="AZ51" s="69"/>
      <c r="BA51" s="69" t="s">
        <v>270</v>
      </c>
      <c r="BB51" s="78">
        <v>1</v>
      </c>
      <c r="BC51" s="78">
        <v>0</v>
      </c>
      <c r="BD51" s="78"/>
      <c r="BE51" s="78"/>
      <c r="BJ51" s="69" t="s">
        <v>270</v>
      </c>
      <c r="BK51" s="78">
        <v>1</v>
      </c>
      <c r="BL51" s="78">
        <v>0</v>
      </c>
      <c r="BM51" s="78">
        <v>0</v>
      </c>
      <c r="CF51" s="5" t="s">
        <v>298</v>
      </c>
      <c r="CM51" s="5">
        <v>1</v>
      </c>
      <c r="CV51" s="5" t="s">
        <v>395</v>
      </c>
      <c r="CX51" s="54" t="s">
        <v>273</v>
      </c>
      <c r="DB51" s="5">
        <v>122036</v>
      </c>
      <c r="DC51" s="5" t="b">
        <v>0</v>
      </c>
      <c r="DD51" s="5" t="s">
        <v>274</v>
      </c>
      <c r="DE51" s="5" t="str">
        <f>"icon_heroskill_"&amp;A51</f>
        <v>icon_heroskill_171523</v>
      </c>
      <c r="DF51" s="5" t="s">
        <v>276</v>
      </c>
      <c r="DG51" s="5" t="s">
        <v>396</v>
      </c>
      <c r="DH51" s="5">
        <v>3</v>
      </c>
      <c r="DI51" s="5" t="b">
        <v>0</v>
      </c>
      <c r="DK51" s="54"/>
      <c r="DL51" s="54"/>
      <c r="DM51" s="54"/>
      <c r="DP51" s="96" t="str">
        <f>"SkillDetail_"&amp;A51</f>
        <v>SkillDetail_171523</v>
      </c>
      <c r="DQ51" s="86" t="s">
        <v>405</v>
      </c>
      <c r="DR51" s="57" t="str">
        <f t="shared" si="0"/>
        <v>提升我军全体英雄{0:1}%暴击率，造成暴击后降低敌军全体英雄{2:1}点守备，最多叠加3层。</v>
      </c>
      <c r="DS51" s="78" t="s">
        <v>398</v>
      </c>
      <c r="DT51" s="78" t="s">
        <v>399</v>
      </c>
      <c r="DU51" s="1" t="s">
        <v>400</v>
      </c>
      <c r="DV51" s="69"/>
      <c r="DZ51" s="115">
        <v>2</v>
      </c>
      <c r="EA51" s="116" t="s">
        <v>401</v>
      </c>
      <c r="EB51" s="116" t="s">
        <v>402</v>
      </c>
      <c r="EC51" s="116" t="s">
        <v>283</v>
      </c>
      <c r="ED51" s="116" t="s">
        <v>283</v>
      </c>
      <c r="EE51" s="5" t="s">
        <v>284</v>
      </c>
      <c r="EF51" s="5" t="str">
        <f>IF(ISNUMBER(FIND("数值%",INDEX($1:$693,ROW($BA51)+_xlfn.NUMBERVALUE(MID(EA51,1,1)),COLUMN($BA51)+9*_xlfn.NUMBERVALUE(MID(EA51,3,3))))),"{"&amp;EA51&amp;"}"&amp;"%","{"&amp;EA51&amp;"}")</f>
        <v>{0:1}%</v>
      </c>
      <c r="EG51" s="5" t="str">
        <f>REPLACEB(DS51,FINDB(EE51,DS51),LEN(EE51),EF51)</f>
        <v>提升我军全体英雄{0:1}%暴击率，造成暴击后降低敌军全体英雄{1}点守备，最多叠加3层。</v>
      </c>
      <c r="EH51" s="5" t="s">
        <v>285</v>
      </c>
      <c r="EI51" s="5" t="str">
        <f>IF(ISNUMBER(FIND("数值%",INDEX($1:$693,ROW($BA51)+_xlfn.NUMBERVALUE(MID(EB51,1,1)),COLUMN($BA51)+9*_xlfn.NUMBERVALUE(MID(EB51,3,1))))),"{"&amp;EB51&amp;"}"&amp;"%","{"&amp;EB51&amp;"}")</f>
        <v>{2:1}</v>
      </c>
      <c r="EJ51" s="5" t="str">
        <f>REPLACEB(EG51,FINDB(EH51,EG51),LEN(EH51),EI51)</f>
        <v>提升我军全体英雄{0:1}%暴击率，造成暴击后降低敌军全体英雄{2:1}点守备，最多叠加3层。</v>
      </c>
      <c r="EK51" s="5" t="s">
        <v>286</v>
      </c>
      <c r="EL51" s="5" t="str">
        <f>IF(ISNUMBER(FIND("数值%",INDEX($1:$693,ROW($BA51)+_xlfn.NUMBERVALUE(MID(EC51,1,1)),COLUMN($BA51)+9*_xlfn.NUMBERVALUE(MID(EC51,3,1))))),"{"&amp;EC51&amp;"}"&amp;"%","{"&amp;EC51&amp;"}")</f>
        <v>{2:0}</v>
      </c>
      <c r="EM51" s="5" t="e">
        <f>REPLACEB(EJ51,FINDB(EK51,EJ51),LEN(EK51),EL51)</f>
        <v>#VALUE!</v>
      </c>
      <c r="EN51" s="5" t="s">
        <v>287</v>
      </c>
      <c r="EO51" s="5" t="str">
        <f>IF(ISNUMBER(FIND("数值%",INDEX($1:$693,ROW($BA51)+_xlfn.NUMBERVALUE(MID(ED51,1,1)),COLUMN($BA51)+9*_xlfn.NUMBERVALUE(MID(ED51,3,1))))),"{"&amp;ED51&amp;"}"&amp;"%","{"&amp;ED51&amp;"}")</f>
        <v>{2:0}</v>
      </c>
      <c r="EP51" s="5" t="e">
        <f>REPLACEB(EM51,FINDB(EN51,EM51),LEN(EN51),EO51)</f>
        <v>#VALUE!</v>
      </c>
      <c r="ES51" s="5" t="b">
        <v>1</v>
      </c>
    </row>
    <row r="52" spans="1:149" s="5" customFormat="1" ht="14.25" customHeight="1" x14ac:dyDescent="0.15">
      <c r="B52" s="52"/>
      <c r="C52" s="40"/>
      <c r="Q52" s="54"/>
      <c r="R52" s="54"/>
      <c r="S52" s="54"/>
      <c r="X52" s="54"/>
      <c r="Y52" s="54"/>
      <c r="Z52" s="54"/>
      <c r="AA52" s="54"/>
      <c r="AB52" s="5">
        <v>17152102</v>
      </c>
      <c r="AC52" s="5" t="s">
        <v>403</v>
      </c>
      <c r="AE52" s="5" t="s">
        <v>291</v>
      </c>
      <c r="AF52" s="5" t="s">
        <v>394</v>
      </c>
      <c r="AJ52" s="5">
        <v>6</v>
      </c>
      <c r="AL52" s="69"/>
      <c r="AM52" s="69"/>
      <c r="AN52" s="69"/>
      <c r="AO52" s="69"/>
      <c r="AP52" s="69"/>
      <c r="AQ52" s="69"/>
      <c r="AR52" s="69"/>
      <c r="AS52" s="74"/>
      <c r="AT52" s="74"/>
      <c r="AU52" s="69"/>
      <c r="AV52" s="69"/>
      <c r="AW52" s="69"/>
      <c r="AX52" s="69"/>
      <c r="AY52" s="69"/>
      <c r="AZ52" s="69"/>
      <c r="BA52" s="69" t="s">
        <v>270</v>
      </c>
      <c r="BB52" s="78">
        <v>0.3</v>
      </c>
      <c r="BC52" s="78">
        <v>0</v>
      </c>
      <c r="BD52" s="78"/>
      <c r="BE52" s="78"/>
      <c r="CX52" s="54"/>
      <c r="DK52" s="54"/>
      <c r="DL52" s="54"/>
      <c r="DM52" s="54"/>
      <c r="DN52" s="54"/>
      <c r="DO52" s="54"/>
      <c r="DP52" s="94"/>
      <c r="DQ52" s="86"/>
      <c r="DR52" s="57" t="str">
        <f t="shared" si="0"/>
        <v/>
      </c>
      <c r="DS52" s="54"/>
      <c r="DT52" s="54"/>
      <c r="DU52" s="1" t="s">
        <v>280</v>
      </c>
      <c r="DV52" s="69"/>
      <c r="DY52" s="69"/>
      <c r="EA52" s="69"/>
      <c r="EB52" s="69"/>
      <c r="EC52" s="69"/>
      <c r="ED52" s="69"/>
    </row>
    <row r="53" spans="1:149" s="5" customFormat="1" ht="14.25" customHeight="1" x14ac:dyDescent="0.15">
      <c r="A53" s="5">
        <v>171524</v>
      </c>
      <c r="B53" s="52" t="s">
        <v>406</v>
      </c>
      <c r="C53" s="40" t="s">
        <v>407</v>
      </c>
      <c r="D53" s="5" t="s">
        <v>408</v>
      </c>
      <c r="H53" s="5">
        <v>0</v>
      </c>
      <c r="L53" s="5">
        <v>0</v>
      </c>
      <c r="P53" s="5" t="s">
        <v>268</v>
      </c>
      <c r="Q53" s="54" t="s">
        <v>269</v>
      </c>
      <c r="R53" s="54"/>
      <c r="S53" s="54"/>
      <c r="X53" s="54">
        <v>1</v>
      </c>
      <c r="Y53" s="54">
        <v>0</v>
      </c>
      <c r="Z53" s="54">
        <v>0</v>
      </c>
      <c r="AA53" s="54"/>
      <c r="AB53" s="5">
        <v>17152401</v>
      </c>
      <c r="AC53" s="5" t="s">
        <v>409</v>
      </c>
      <c r="AE53" s="5" t="s">
        <v>291</v>
      </c>
      <c r="AJ53" s="5">
        <v>-1</v>
      </c>
      <c r="AL53" s="69"/>
      <c r="AM53" s="69"/>
      <c r="AN53" s="69"/>
      <c r="AO53" s="69"/>
      <c r="AP53" s="69"/>
      <c r="AQ53" s="69"/>
      <c r="AR53" s="69"/>
      <c r="AS53" s="74"/>
      <c r="AT53" s="74"/>
      <c r="AU53" s="69"/>
      <c r="AV53" s="69"/>
      <c r="AW53" s="69"/>
      <c r="AX53" s="69"/>
      <c r="AY53" s="69"/>
      <c r="AZ53" s="69"/>
      <c r="BA53" s="69"/>
      <c r="BB53" s="78"/>
      <c r="BC53" s="78"/>
      <c r="BD53" s="78"/>
      <c r="BE53" s="78"/>
      <c r="CF53" s="5" t="s">
        <v>298</v>
      </c>
      <c r="CM53" s="5">
        <v>1</v>
      </c>
      <c r="CX53" s="54" t="s">
        <v>273</v>
      </c>
      <c r="DB53" s="5">
        <v>122036</v>
      </c>
      <c r="DC53" s="5" t="b">
        <v>0</v>
      </c>
      <c r="DD53" s="5" t="s">
        <v>274</v>
      </c>
      <c r="DE53" s="5" t="str">
        <f>"icon_heroskill_"&amp;A53</f>
        <v>icon_heroskill_171524</v>
      </c>
      <c r="DF53" s="5" t="s">
        <v>276</v>
      </c>
      <c r="DG53" s="5" t="s">
        <v>396</v>
      </c>
      <c r="DH53" s="5">
        <v>3</v>
      </c>
      <c r="DI53" s="5" t="b">
        <v>0</v>
      </c>
      <c r="DK53" s="54"/>
      <c r="DL53" s="54"/>
      <c r="DM53" s="54"/>
      <c r="DN53" s="54"/>
      <c r="DO53" s="54"/>
      <c r="DP53" s="94"/>
      <c r="DQ53" s="86"/>
      <c r="DR53" s="57" t="str">
        <f t="shared" si="0"/>
        <v/>
      </c>
      <c r="DS53" s="54"/>
      <c r="DT53" s="54"/>
      <c r="DU53" s="1" t="s">
        <v>280</v>
      </c>
      <c r="DV53" s="69"/>
      <c r="DY53" s="69"/>
      <c r="DZ53" s="115"/>
      <c r="EA53" s="116"/>
      <c r="EB53" s="116"/>
      <c r="EC53" s="116"/>
      <c r="ED53" s="116"/>
    </row>
    <row r="54" spans="1:149" s="5" customFormat="1" ht="14.25" customHeight="1" x14ac:dyDescent="0.15">
      <c r="B54" s="52"/>
      <c r="C54" s="40"/>
      <c r="Q54" s="54"/>
      <c r="R54" s="54"/>
      <c r="S54" s="54"/>
      <c r="X54" s="54"/>
      <c r="Y54" s="54"/>
      <c r="Z54" s="54"/>
      <c r="AA54" s="54"/>
      <c r="AB54" s="5">
        <v>17152402</v>
      </c>
      <c r="AC54" s="5" t="s">
        <v>410</v>
      </c>
      <c r="AD54" s="5" t="s">
        <v>330</v>
      </c>
      <c r="AE54" s="5" t="s">
        <v>291</v>
      </c>
      <c r="AF54" s="5" t="s">
        <v>394</v>
      </c>
      <c r="AJ54" s="5">
        <v>-1</v>
      </c>
      <c r="AL54" s="69"/>
      <c r="AM54" s="69"/>
      <c r="AN54" s="69"/>
      <c r="AO54" s="69"/>
      <c r="AP54" s="69"/>
      <c r="AQ54" s="69"/>
      <c r="AR54" s="69"/>
      <c r="AS54" s="74"/>
      <c r="AT54" s="74"/>
      <c r="AU54" s="69"/>
      <c r="AV54" s="69"/>
      <c r="AW54" s="69"/>
      <c r="AX54" s="69"/>
      <c r="AY54" s="69"/>
      <c r="AZ54" s="69"/>
      <c r="BA54" s="69" t="s">
        <v>270</v>
      </c>
      <c r="BB54" s="78">
        <v>1</v>
      </c>
      <c r="BC54" s="78"/>
      <c r="BD54" s="78"/>
      <c r="BE54" s="78"/>
      <c r="CX54" s="54"/>
      <c r="DK54" s="54"/>
      <c r="DL54" s="54"/>
      <c r="DM54" s="54"/>
      <c r="DN54" s="54"/>
      <c r="DO54" s="54"/>
      <c r="DP54" s="94"/>
      <c r="DQ54" s="86"/>
      <c r="DR54" s="57" t="str">
        <f t="shared" si="0"/>
        <v/>
      </c>
      <c r="DS54" s="54"/>
      <c r="DT54" s="54"/>
      <c r="DU54" s="1" t="s">
        <v>280</v>
      </c>
      <c r="DV54" s="69"/>
      <c r="DY54" s="69"/>
      <c r="EA54" s="69"/>
      <c r="EB54" s="69"/>
      <c r="EC54" s="69"/>
      <c r="ED54" s="69"/>
    </row>
    <row r="55" spans="1:149" s="5" customFormat="1" ht="14.25" customHeight="1" x14ac:dyDescent="0.15">
      <c r="B55" s="52"/>
      <c r="C55" s="40"/>
      <c r="Q55" s="54"/>
      <c r="R55" s="54"/>
      <c r="S55" s="54"/>
      <c r="X55" s="54"/>
      <c r="Y55" s="54"/>
      <c r="Z55" s="54"/>
      <c r="AA55" s="54"/>
      <c r="AB55" s="5">
        <v>17152403</v>
      </c>
      <c r="AC55" s="5" t="s">
        <v>411</v>
      </c>
      <c r="AD55" s="5" t="s">
        <v>330</v>
      </c>
      <c r="AE55" s="5" t="s">
        <v>291</v>
      </c>
      <c r="AF55" s="5" t="s">
        <v>314</v>
      </c>
      <c r="AJ55" s="5">
        <v>-1</v>
      </c>
      <c r="AL55" s="69"/>
      <c r="AM55" s="69"/>
      <c r="AN55" s="69"/>
      <c r="AO55" s="69"/>
      <c r="AP55" s="69"/>
      <c r="AQ55" s="69"/>
      <c r="AR55" s="69"/>
      <c r="AS55" s="74"/>
      <c r="AT55" s="74"/>
      <c r="AU55" s="69"/>
      <c r="AV55" s="69"/>
      <c r="AW55" s="69"/>
      <c r="AX55" s="69"/>
      <c r="AY55" s="69"/>
      <c r="AZ55" s="69"/>
      <c r="BA55" s="69" t="s">
        <v>270</v>
      </c>
      <c r="BB55" s="78">
        <v>1</v>
      </c>
      <c r="BC55" s="78"/>
      <c r="BD55" s="78"/>
      <c r="BE55" s="78"/>
      <c r="CX55" s="54"/>
      <c r="DK55" s="54"/>
      <c r="DL55" s="54"/>
      <c r="DM55" s="54"/>
      <c r="DN55" s="54"/>
      <c r="DO55" s="54"/>
      <c r="DP55" s="94"/>
      <c r="DQ55" s="86"/>
      <c r="DR55" s="57" t="str">
        <f t="shared" si="0"/>
        <v/>
      </c>
      <c r="DS55" s="54"/>
      <c r="DT55" s="54"/>
      <c r="DU55" s="1" t="s">
        <v>280</v>
      </c>
      <c r="DV55" s="69"/>
      <c r="DY55" s="69"/>
      <c r="EA55" s="69"/>
      <c r="EB55" s="69"/>
      <c r="EC55" s="69"/>
      <c r="ED55" s="69"/>
    </row>
    <row r="56" spans="1:149" s="4" customFormat="1" ht="39.950000000000003" customHeight="1" x14ac:dyDescent="0.15">
      <c r="A56" s="4">
        <v>171525</v>
      </c>
      <c r="B56" s="46" t="s">
        <v>316</v>
      </c>
      <c r="C56" s="40" t="s">
        <v>317</v>
      </c>
      <c r="D56" s="4" t="s">
        <v>412</v>
      </c>
      <c r="H56" s="4">
        <v>0</v>
      </c>
      <c r="L56" s="4">
        <v>0</v>
      </c>
      <c r="P56" s="4" t="s">
        <v>268</v>
      </c>
      <c r="Q56" s="4" t="s">
        <v>348</v>
      </c>
      <c r="X56" s="4">
        <v>1</v>
      </c>
      <c r="Y56" s="4">
        <v>0</v>
      </c>
      <c r="Z56" s="4">
        <v>0</v>
      </c>
      <c r="AB56" s="4">
        <v>3001</v>
      </c>
      <c r="AC56" s="60"/>
      <c r="AD56" s="60"/>
      <c r="AF56" s="60"/>
      <c r="AG56" s="60"/>
      <c r="AH56" s="60"/>
      <c r="AI56" s="60"/>
      <c r="AJ56" s="60"/>
      <c r="AK56" s="60"/>
      <c r="AL56" s="60"/>
      <c r="BA56" s="4" t="s">
        <v>270</v>
      </c>
      <c r="BB56" s="4">
        <v>6</v>
      </c>
      <c r="BC56" s="4">
        <v>0</v>
      </c>
      <c r="BF56" s="4">
        <v>0</v>
      </c>
      <c r="BG56" s="4">
        <v>0</v>
      </c>
      <c r="BH56" s="4">
        <v>0</v>
      </c>
      <c r="BJ56" s="4" t="s">
        <v>270</v>
      </c>
      <c r="BS56" s="4" t="s">
        <v>270</v>
      </c>
      <c r="CF56" s="4" t="s">
        <v>271</v>
      </c>
      <c r="CJ56" s="4" t="s">
        <v>1</v>
      </c>
      <c r="CK56" s="85" t="s">
        <v>413</v>
      </c>
      <c r="CL56" s="85"/>
      <c r="CM56" s="4">
        <v>999</v>
      </c>
      <c r="CN56" s="4">
        <v>0</v>
      </c>
      <c r="CO56" s="4">
        <v>0</v>
      </c>
      <c r="CP56" s="4">
        <v>0</v>
      </c>
      <c r="CQ56" s="4">
        <v>0</v>
      </c>
      <c r="CS56" s="4">
        <v>8</v>
      </c>
      <c r="CT56" s="4">
        <v>0</v>
      </c>
      <c r="CU56" s="4">
        <v>15</v>
      </c>
      <c r="CV56" s="4" t="s">
        <v>350</v>
      </c>
      <c r="CW56" s="4" t="b">
        <v>1</v>
      </c>
      <c r="CX56" s="4" t="s">
        <v>273</v>
      </c>
      <c r="DB56" s="4">
        <v>170501</v>
      </c>
      <c r="DC56" s="4" t="b">
        <v>1</v>
      </c>
      <c r="DD56" s="4" t="s">
        <v>274</v>
      </c>
      <c r="DE56" s="4" t="s">
        <v>321</v>
      </c>
      <c r="DF56" s="4" t="s">
        <v>276</v>
      </c>
      <c r="DG56" s="4" t="s">
        <v>322</v>
      </c>
      <c r="DH56" s="4">
        <v>4</v>
      </c>
      <c r="DI56" s="4" t="b">
        <v>0</v>
      </c>
      <c r="DJ56" s="4" t="b">
        <v>1</v>
      </c>
      <c r="DP56" s="96" t="s">
        <v>323</v>
      </c>
      <c r="DQ56" s="4" t="s">
        <v>324</v>
      </c>
      <c r="DR56" s="57" t="e">
        <f t="shared" si="0"/>
        <v>#VALUE!</v>
      </c>
      <c r="DS56" s="4" t="s">
        <v>325</v>
      </c>
      <c r="DU56" s="1" t="s">
        <v>280</v>
      </c>
      <c r="DW56" s="100"/>
      <c r="DZ56" s="100">
        <v>1</v>
      </c>
      <c r="EA56" s="4" t="s">
        <v>281</v>
      </c>
      <c r="EB56" s="100" t="s">
        <v>282</v>
      </c>
      <c r="EC56" s="100" t="s">
        <v>283</v>
      </c>
      <c r="ED56" s="100" t="s">
        <v>283</v>
      </c>
      <c r="EE56" s="100" t="s">
        <v>284</v>
      </c>
      <c r="EF56" s="4" t="s">
        <v>326</v>
      </c>
      <c r="EG56" s="4" t="e">
        <v>#VALUE!</v>
      </c>
      <c r="EH56" s="4" t="s">
        <v>285</v>
      </c>
      <c r="EI56" s="4" t="s">
        <v>327</v>
      </c>
      <c r="EJ56" s="4" t="e">
        <v>#VALUE!</v>
      </c>
      <c r="EK56" s="4" t="s">
        <v>286</v>
      </c>
      <c r="EL56" s="4" t="s">
        <v>328</v>
      </c>
      <c r="EM56" s="4" t="e">
        <v>#VALUE!</v>
      </c>
      <c r="EN56" s="4" t="s">
        <v>287</v>
      </c>
      <c r="EO56" s="4" t="s">
        <v>328</v>
      </c>
      <c r="EP56" s="4" t="e">
        <v>#VALUE!</v>
      </c>
    </row>
    <row r="57" spans="1:149" s="4" customFormat="1" ht="39.950000000000003" customHeight="1" x14ac:dyDescent="0.15">
      <c r="B57" s="46"/>
      <c r="AB57" s="4">
        <v>17050301</v>
      </c>
      <c r="AC57" s="60" t="s">
        <v>329</v>
      </c>
      <c r="AD57" s="60" t="s">
        <v>330</v>
      </c>
      <c r="AE57" s="4" t="s">
        <v>291</v>
      </c>
      <c r="AF57" s="60" t="s">
        <v>314</v>
      </c>
      <c r="AG57" s="60"/>
      <c r="AH57" s="60"/>
      <c r="AI57" s="60"/>
      <c r="AJ57" s="60"/>
      <c r="AK57" s="60"/>
      <c r="AL57" s="60"/>
      <c r="BA57" s="4" t="s">
        <v>331</v>
      </c>
      <c r="BB57" s="4">
        <v>1</v>
      </c>
      <c r="BC57" s="4">
        <v>0</v>
      </c>
      <c r="BF57" s="4">
        <v>0</v>
      </c>
      <c r="BG57" s="4">
        <v>0</v>
      </c>
      <c r="BH57" s="4">
        <v>0</v>
      </c>
      <c r="DJ57" s="4" t="b">
        <v>1</v>
      </c>
      <c r="DP57" s="96"/>
      <c r="DR57" s="57" t="str">
        <f t="shared" si="0"/>
        <v/>
      </c>
      <c r="DU57" s="1" t="s">
        <v>280</v>
      </c>
      <c r="DW57" s="100"/>
      <c r="DZ57" s="100"/>
      <c r="EB57" s="100"/>
      <c r="EC57" s="100"/>
      <c r="ED57" s="100"/>
      <c r="EE57" s="100"/>
    </row>
    <row r="58" spans="1:149" s="4" customFormat="1" ht="39.950000000000003" customHeight="1" x14ac:dyDescent="0.15">
      <c r="B58" s="46"/>
      <c r="C58" s="40"/>
      <c r="AB58" s="4">
        <v>17050302</v>
      </c>
      <c r="AC58" s="60" t="s">
        <v>332</v>
      </c>
      <c r="AD58" s="60" t="s">
        <v>333</v>
      </c>
      <c r="AE58" s="4" t="s">
        <v>291</v>
      </c>
      <c r="AF58" s="60" t="s">
        <v>314</v>
      </c>
      <c r="AG58" s="60"/>
      <c r="AH58" s="60"/>
      <c r="AI58" s="60"/>
      <c r="AJ58" s="60">
        <v>-1</v>
      </c>
      <c r="AK58" s="60"/>
      <c r="AL58" s="60"/>
      <c r="DJ58" s="4" t="b">
        <v>1</v>
      </c>
      <c r="DP58" s="96"/>
      <c r="DR58" s="57" t="str">
        <f t="shared" ref="DR58:DR122" si="2">IF(DZ58="","",IF(DZ58=1,EG58,IF(DZ58=2,EJ58,IF(DZ58=3,EM58,IF(DZ58=4,EP58,IF(DZ58=0,DS58,"【参数配置有误】"&amp;DS58))))))</f>
        <v/>
      </c>
      <c r="DU58" s="1" t="s">
        <v>280</v>
      </c>
      <c r="DW58" s="100"/>
      <c r="DZ58" s="100"/>
      <c r="EB58" s="100"/>
      <c r="EC58" s="100"/>
      <c r="ED58" s="100"/>
      <c r="EE58" s="100"/>
    </row>
    <row r="59" spans="1:149" s="4" customFormat="1" ht="39.950000000000003" customHeight="1" x14ac:dyDescent="0.15">
      <c r="B59" s="46"/>
      <c r="C59" s="40"/>
      <c r="AB59" s="4">
        <v>17050303</v>
      </c>
      <c r="AC59" s="60" t="s">
        <v>375</v>
      </c>
      <c r="AD59" s="60" t="s">
        <v>333</v>
      </c>
      <c r="AE59" s="4" t="s">
        <v>291</v>
      </c>
      <c r="AF59" s="60" t="s">
        <v>314</v>
      </c>
      <c r="AG59" s="60"/>
      <c r="AH59" s="60"/>
      <c r="AI59" s="60"/>
      <c r="AJ59" s="60">
        <v>-1</v>
      </c>
      <c r="AK59" s="60"/>
      <c r="AL59" s="60"/>
      <c r="DP59" s="96"/>
      <c r="DR59" s="57"/>
      <c r="DU59" s="1"/>
      <c r="DW59" s="100"/>
      <c r="DZ59" s="100"/>
      <c r="EB59" s="100"/>
      <c r="EC59" s="100"/>
      <c r="ED59" s="100"/>
      <c r="EE59" s="100"/>
    </row>
    <row r="60" spans="1:149" s="2" customFormat="1" ht="39" customHeight="1" x14ac:dyDescent="0.15">
      <c r="A60" s="10">
        <v>170505</v>
      </c>
      <c r="B60" s="44" t="s">
        <v>376</v>
      </c>
      <c r="C60" s="40" t="s">
        <v>377</v>
      </c>
      <c r="D60" s="10" t="s">
        <v>336</v>
      </c>
      <c r="E60" s="10"/>
      <c r="F60" s="10"/>
      <c r="G60" s="10"/>
      <c r="H60" s="10">
        <v>0</v>
      </c>
      <c r="I60" s="10"/>
      <c r="J60" s="10"/>
      <c r="K60" s="10"/>
      <c r="L60" s="10">
        <v>0</v>
      </c>
      <c r="M60" s="10"/>
      <c r="N60" s="10"/>
      <c r="O60" s="10"/>
      <c r="P60" s="10" t="s">
        <v>268</v>
      </c>
      <c r="Q60" s="10" t="s">
        <v>269</v>
      </c>
      <c r="R60" s="10"/>
      <c r="S60" s="10"/>
      <c r="T60" s="10"/>
      <c r="U60" s="10"/>
      <c r="V60" s="10"/>
      <c r="W60" s="10"/>
      <c r="X60" s="10">
        <v>1</v>
      </c>
      <c r="Y60" s="10">
        <v>0</v>
      </c>
      <c r="Z60" s="10">
        <v>0</v>
      </c>
      <c r="AA60" s="10"/>
      <c r="AB60" s="10">
        <v>3001</v>
      </c>
      <c r="AC60" s="10" t="s">
        <v>337</v>
      </c>
      <c r="AD60" s="10" t="s">
        <v>330</v>
      </c>
      <c r="AE60" s="10"/>
      <c r="AF60" s="10"/>
      <c r="AG60" s="10"/>
      <c r="AH60" s="10"/>
      <c r="AI60" s="10"/>
      <c r="AJ60" s="10"/>
      <c r="AK60" s="10"/>
      <c r="AL60" s="68"/>
      <c r="AM60" s="68"/>
      <c r="AN60" s="68"/>
      <c r="AO60" s="68"/>
      <c r="AP60" s="68"/>
      <c r="AQ60" s="68"/>
      <c r="AR60" s="68"/>
      <c r="AS60" s="10"/>
      <c r="AT60" s="10"/>
      <c r="AU60" s="68"/>
      <c r="AV60" s="68"/>
      <c r="AW60" s="68"/>
      <c r="AX60" s="68"/>
      <c r="AY60" s="68"/>
      <c r="AZ60" s="68"/>
      <c r="BA60" s="68" t="s">
        <v>270</v>
      </c>
      <c r="BB60" s="10">
        <v>150</v>
      </c>
      <c r="BC60" s="10">
        <v>0</v>
      </c>
      <c r="BD60" s="10"/>
      <c r="BE60" s="10"/>
      <c r="BF60" s="10">
        <v>0</v>
      </c>
      <c r="BG60" s="10">
        <v>0</v>
      </c>
      <c r="BH60" s="10">
        <v>0</v>
      </c>
      <c r="BI60" s="10"/>
      <c r="BJ60" s="10" t="s">
        <v>270</v>
      </c>
      <c r="BK60" s="10"/>
      <c r="BL60" s="10"/>
      <c r="BM60" s="10"/>
      <c r="BN60" s="10"/>
      <c r="BO60" s="10"/>
      <c r="BP60" s="10"/>
      <c r="BQ60" s="10"/>
      <c r="BR60" s="10"/>
      <c r="BS60" s="10" t="s">
        <v>270</v>
      </c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 t="s">
        <v>378</v>
      </c>
      <c r="CG60" s="10"/>
      <c r="CH60" s="10"/>
      <c r="CI60" s="10"/>
      <c r="CJ60" s="10" t="s">
        <v>1</v>
      </c>
      <c r="CK60" s="58" t="s">
        <v>379</v>
      </c>
      <c r="CL60" s="58"/>
      <c r="CM60" s="10">
        <v>999</v>
      </c>
      <c r="CN60" s="10">
        <v>0</v>
      </c>
      <c r="CO60" s="10">
        <v>0</v>
      </c>
      <c r="CP60" s="10">
        <v>0</v>
      </c>
      <c r="CQ60" s="10">
        <v>0</v>
      </c>
      <c r="CR60" s="10"/>
      <c r="CS60" s="10">
        <v>5</v>
      </c>
      <c r="CT60" s="10"/>
      <c r="CU60" s="10">
        <v>20</v>
      </c>
      <c r="CV60" s="1" t="s">
        <v>414</v>
      </c>
      <c r="CW60" s="10" t="b">
        <v>0</v>
      </c>
      <c r="CX60" s="89" t="s">
        <v>273</v>
      </c>
      <c r="CY60" s="10"/>
      <c r="CZ60" s="10"/>
      <c r="DA60" s="10"/>
      <c r="DB60" s="10">
        <v>102401</v>
      </c>
      <c r="DC60" s="10" t="b">
        <v>1</v>
      </c>
      <c r="DD60" s="93" t="s">
        <v>274</v>
      </c>
      <c r="DE60" s="59" t="s">
        <v>380</v>
      </c>
      <c r="DF60" s="93" t="s">
        <v>276</v>
      </c>
      <c r="DG60" s="93" t="s">
        <v>293</v>
      </c>
      <c r="DH60" s="93">
        <v>4</v>
      </c>
      <c r="DI60" s="93" t="b">
        <v>0</v>
      </c>
      <c r="DJ60" s="1" t="b">
        <v>1</v>
      </c>
      <c r="DK60" s="10"/>
      <c r="DL60" s="10"/>
      <c r="DM60" s="10"/>
      <c r="DN60" s="1"/>
      <c r="DO60" s="1"/>
      <c r="DP60" s="96" t="s">
        <v>381</v>
      </c>
      <c r="DQ60" s="105" t="s">
        <v>382</v>
      </c>
      <c r="DR60" s="57" t="e">
        <f t="shared" si="2"/>
        <v>#VALUE!</v>
      </c>
      <c r="DS60" s="105" t="s">
        <v>383</v>
      </c>
      <c r="DT60" s="106"/>
      <c r="DU60" s="1" t="s">
        <v>280</v>
      </c>
      <c r="DV60" s="68"/>
      <c r="DW60" s="10"/>
      <c r="DX60" s="10"/>
      <c r="DY60" s="1"/>
      <c r="DZ60" s="113">
        <v>1</v>
      </c>
      <c r="EA60" s="114" t="s">
        <v>281</v>
      </c>
      <c r="EB60" s="114" t="s">
        <v>282</v>
      </c>
      <c r="EC60" s="114" t="s">
        <v>283</v>
      </c>
      <c r="ED60" s="114" t="s">
        <v>283</v>
      </c>
      <c r="EE60" s="10" t="s">
        <v>284</v>
      </c>
      <c r="EF60" s="10" t="s">
        <v>326</v>
      </c>
      <c r="EG60" s="10" t="e">
        <v>#VALUE!</v>
      </c>
      <c r="EH60" s="10" t="s">
        <v>285</v>
      </c>
      <c r="EI60" s="10" t="s">
        <v>344</v>
      </c>
      <c r="EJ60" s="10" t="e">
        <v>#VALUE!</v>
      </c>
      <c r="EK60" s="10" t="s">
        <v>286</v>
      </c>
      <c r="EL60" s="10" t="s">
        <v>328</v>
      </c>
      <c r="EM60" s="10" t="e">
        <v>#VALUE!</v>
      </c>
      <c r="EN60" s="10" t="s">
        <v>287</v>
      </c>
      <c r="EO60" s="10" t="s">
        <v>328</v>
      </c>
      <c r="EP60" s="10" t="e">
        <v>#VALUE!</v>
      </c>
      <c r="EQ60" s="10"/>
      <c r="ER60" s="10"/>
      <c r="ES60" s="10"/>
    </row>
    <row r="61" spans="1:149" s="2" customFormat="1" ht="15" customHeight="1" x14ac:dyDescent="0.15">
      <c r="A61" s="10"/>
      <c r="B61" s="44"/>
      <c r="C61" s="4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58">
        <v>17050501</v>
      </c>
      <c r="AC61" s="59" t="s">
        <v>384</v>
      </c>
      <c r="AD61" s="10" t="s">
        <v>330</v>
      </c>
      <c r="AE61" s="10" t="s">
        <v>291</v>
      </c>
      <c r="AF61" s="10" t="s">
        <v>314</v>
      </c>
      <c r="AG61" s="10"/>
      <c r="AH61" s="10"/>
      <c r="AI61" s="10"/>
      <c r="AJ61" s="59"/>
      <c r="AK61" s="59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59"/>
      <c r="BB61" s="59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" t="b">
        <v>1</v>
      </c>
      <c r="DK61" s="10"/>
      <c r="DL61" s="10"/>
      <c r="DM61" s="10"/>
      <c r="DN61" s="10"/>
      <c r="DO61" s="10"/>
      <c r="DP61" s="96"/>
      <c r="DQ61" s="10"/>
      <c r="DR61" s="57" t="str">
        <f t="shared" si="2"/>
        <v/>
      </c>
      <c r="DS61" s="10"/>
      <c r="DT61" s="10"/>
      <c r="DU61" s="1" t="s">
        <v>280</v>
      </c>
      <c r="DV61" s="68"/>
      <c r="DW61" s="10"/>
      <c r="DX61" s="10"/>
      <c r="DY61" s="68"/>
      <c r="DZ61" s="10"/>
      <c r="EA61" s="68"/>
      <c r="EB61" s="68"/>
      <c r="EC61" s="68"/>
      <c r="ED61" s="68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</row>
    <row r="62" spans="1:149" s="2" customFormat="1" ht="14.25" customHeight="1" x14ac:dyDescent="0.15">
      <c r="A62" s="10"/>
      <c r="B62" s="44"/>
      <c r="C62" s="4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58">
        <v>17050502</v>
      </c>
      <c r="AC62" s="59" t="s">
        <v>385</v>
      </c>
      <c r="AD62" s="10"/>
      <c r="AE62" s="10" t="s">
        <v>291</v>
      </c>
      <c r="AF62" s="10" t="s">
        <v>314</v>
      </c>
      <c r="AG62" s="10"/>
      <c r="AH62" s="10"/>
      <c r="AI62" s="10"/>
      <c r="AJ62" s="59">
        <v>8</v>
      </c>
      <c r="AK62" s="59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59"/>
      <c r="BB62" s="59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" t="b">
        <v>1</v>
      </c>
      <c r="DK62" s="10"/>
      <c r="DL62" s="10"/>
      <c r="DM62" s="10"/>
      <c r="DN62" s="10"/>
      <c r="DO62" s="10"/>
      <c r="DP62" s="96"/>
      <c r="DQ62" s="10"/>
      <c r="DR62" s="57" t="str">
        <f t="shared" si="2"/>
        <v/>
      </c>
      <c r="DS62" s="10"/>
      <c r="DT62" s="10"/>
      <c r="DU62" s="1" t="s">
        <v>280</v>
      </c>
      <c r="DV62" s="68"/>
      <c r="DW62" s="10"/>
      <c r="DX62" s="10"/>
      <c r="DY62" s="68"/>
      <c r="DZ62" s="10"/>
      <c r="EA62" s="68"/>
      <c r="EB62" s="68"/>
      <c r="EC62" s="68"/>
      <c r="ED62" s="68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</row>
    <row r="63" spans="1:149" s="2" customFormat="1" ht="15" customHeight="1" x14ac:dyDescent="0.15">
      <c r="A63" s="10"/>
      <c r="B63" s="44"/>
      <c r="C63" s="4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>
        <v>17050503</v>
      </c>
      <c r="AC63" s="58" t="s">
        <v>386</v>
      </c>
      <c r="AD63" s="10" t="s">
        <v>330</v>
      </c>
      <c r="AE63" s="10" t="s">
        <v>291</v>
      </c>
      <c r="AF63" s="10" t="s">
        <v>314</v>
      </c>
      <c r="AG63" s="10"/>
      <c r="AH63" s="10"/>
      <c r="AI63" s="10"/>
      <c r="AJ63" s="10"/>
      <c r="AK63" s="10"/>
      <c r="AL63" s="68"/>
      <c r="AM63" s="68"/>
      <c r="AN63" s="68"/>
      <c r="AO63" s="68"/>
      <c r="AP63" s="68"/>
      <c r="AQ63" s="68"/>
      <c r="AR63" s="68"/>
      <c r="AS63" s="10"/>
      <c r="AT63" s="10"/>
      <c r="AU63" s="68"/>
      <c r="AV63" s="68"/>
      <c r="AW63" s="68"/>
      <c r="AX63" s="68"/>
      <c r="AY63" s="68"/>
      <c r="AZ63" s="68"/>
      <c r="BA63" s="68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" t="b">
        <v>1</v>
      </c>
      <c r="DK63" s="10"/>
      <c r="DL63" s="10"/>
      <c r="DM63" s="10"/>
      <c r="DN63" s="10"/>
      <c r="DO63" s="10"/>
      <c r="DP63" s="96"/>
      <c r="DQ63" s="58"/>
      <c r="DR63" s="57" t="str">
        <f t="shared" si="2"/>
        <v/>
      </c>
      <c r="DS63" s="10"/>
      <c r="DT63" s="10"/>
      <c r="DU63" s="1" t="s">
        <v>280</v>
      </c>
      <c r="DV63" s="68"/>
      <c r="DW63" s="10"/>
      <c r="DX63" s="10"/>
      <c r="DY63" s="68"/>
      <c r="DZ63" s="10"/>
      <c r="EA63" s="68"/>
      <c r="EB63" s="68"/>
      <c r="EC63" s="68"/>
      <c r="ED63" s="68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</row>
    <row r="64" spans="1:149" s="2" customFormat="1" ht="66" customHeight="1" x14ac:dyDescent="0.15">
      <c r="A64" s="2">
        <v>170506</v>
      </c>
      <c r="B64" s="53" t="s">
        <v>415</v>
      </c>
      <c r="C64" s="40" t="s">
        <v>416</v>
      </c>
      <c r="H64" s="2">
        <v>1</v>
      </c>
      <c r="L64" s="2">
        <v>0</v>
      </c>
      <c r="P64" s="2" t="s">
        <v>268</v>
      </c>
      <c r="Q64" s="2" t="s">
        <v>269</v>
      </c>
      <c r="X64" s="55">
        <v>1</v>
      </c>
      <c r="Y64" s="55">
        <v>0</v>
      </c>
      <c r="Z64" s="55">
        <v>0</v>
      </c>
      <c r="AA64" s="55"/>
      <c r="AB64" s="2">
        <v>3001</v>
      </c>
      <c r="AC64" s="2" t="s">
        <v>337</v>
      </c>
      <c r="AE64" s="2" t="s">
        <v>129</v>
      </c>
      <c r="AF64" s="2" t="s">
        <v>314</v>
      </c>
      <c r="AL64" s="71"/>
      <c r="AM64" s="71"/>
      <c r="AN64" s="71"/>
      <c r="AO64" s="71"/>
      <c r="AP64" s="71"/>
      <c r="AQ64" s="71"/>
      <c r="AR64" s="71"/>
      <c r="AS64" s="55"/>
      <c r="AT64" s="55"/>
      <c r="AU64" s="71"/>
      <c r="AV64" s="71"/>
      <c r="AW64" s="71"/>
      <c r="AX64" s="71"/>
      <c r="AY64" s="71"/>
      <c r="AZ64" s="71"/>
      <c r="BA64" s="71" t="s">
        <v>270</v>
      </c>
      <c r="BB64" s="79">
        <v>0.8</v>
      </c>
      <c r="BC64" s="79">
        <v>0.08</v>
      </c>
      <c r="BD64" s="79"/>
      <c r="BE64" s="79"/>
      <c r="BF64" s="2">
        <v>3.0000000000000001E-3</v>
      </c>
      <c r="CX64" s="55" t="s">
        <v>273</v>
      </c>
      <c r="CY64" s="2">
        <v>1</v>
      </c>
      <c r="CZ64" s="2">
        <v>1000</v>
      </c>
      <c r="DA64" s="2">
        <v>100</v>
      </c>
      <c r="DB64" s="2">
        <v>22018</v>
      </c>
      <c r="DC64" s="2" t="b">
        <v>1</v>
      </c>
      <c r="DD64" s="2" t="s">
        <v>274</v>
      </c>
      <c r="DE64" s="2" t="s">
        <v>417</v>
      </c>
      <c r="DF64" s="2" t="s">
        <v>276</v>
      </c>
      <c r="DG64" s="2" t="s">
        <v>418</v>
      </c>
      <c r="DH64" s="2">
        <v>1</v>
      </c>
      <c r="DI64" s="2" t="b">
        <v>0</v>
      </c>
      <c r="DJ64" s="1" t="b">
        <v>1</v>
      </c>
      <c r="DK64" s="55" t="s">
        <v>419</v>
      </c>
      <c r="DL64" s="55" t="s">
        <v>420</v>
      </c>
      <c r="DM64" s="55"/>
      <c r="DN64" s="1"/>
      <c r="DO64" s="1"/>
      <c r="DP64" s="96" t="s">
        <v>421</v>
      </c>
      <c r="DQ64" s="107" t="s">
        <v>422</v>
      </c>
      <c r="DR64" s="57" t="str">
        <f t="shared" si="2"/>
        <v>对敌军造成武力伤害（伤害率{0:0}%，武力加成）和谋略伤害（伤害率{1:0}%，谋略加成）。</v>
      </c>
      <c r="DS64" s="79" t="s">
        <v>423</v>
      </c>
      <c r="DT64" s="79" t="s">
        <v>424</v>
      </c>
      <c r="DU64" s="1" t="s">
        <v>425</v>
      </c>
      <c r="DV64" s="71"/>
      <c r="DY64" s="1"/>
      <c r="DZ64" s="119">
        <v>2</v>
      </c>
      <c r="EA64" s="120" t="s">
        <v>281</v>
      </c>
      <c r="EB64" s="120" t="s">
        <v>282</v>
      </c>
      <c r="EC64" s="120" t="s">
        <v>283</v>
      </c>
      <c r="ED64" s="120" t="s">
        <v>283</v>
      </c>
      <c r="EE64" s="2" t="s">
        <v>284</v>
      </c>
      <c r="EF64" s="2" t="s">
        <v>326</v>
      </c>
      <c r="EG64" s="2" t="s">
        <v>426</v>
      </c>
      <c r="EH64" s="2" t="s">
        <v>285</v>
      </c>
      <c r="EI64" s="2" t="s">
        <v>327</v>
      </c>
      <c r="EJ64" s="2" t="s">
        <v>427</v>
      </c>
      <c r="EK64" s="2" t="s">
        <v>286</v>
      </c>
      <c r="EL64" s="2" t="s">
        <v>328</v>
      </c>
      <c r="EM64" s="2" t="e">
        <v>#VALUE!</v>
      </c>
      <c r="EN64" s="2" t="s">
        <v>287</v>
      </c>
      <c r="EO64" s="2" t="s">
        <v>328</v>
      </c>
      <c r="EP64" s="2" t="e">
        <v>#VALUE!</v>
      </c>
    </row>
    <row r="65" spans="1:149" s="2" customFormat="1" ht="57" customHeight="1" x14ac:dyDescent="0.15">
      <c r="B65" s="53"/>
      <c r="C65" s="40"/>
      <c r="Q65" s="55"/>
      <c r="R65" s="55"/>
      <c r="S65" s="55"/>
      <c r="X65" s="55"/>
      <c r="Y65" s="55"/>
      <c r="Z65" s="55"/>
      <c r="AA65" s="55"/>
      <c r="AB65" s="2">
        <v>3002</v>
      </c>
      <c r="AC65" s="2" t="s">
        <v>297</v>
      </c>
      <c r="AE65" s="2" t="s">
        <v>129</v>
      </c>
      <c r="AF65" s="2" t="s">
        <v>314</v>
      </c>
      <c r="AL65" s="71"/>
      <c r="AM65" s="71"/>
      <c r="AN65" s="71"/>
      <c r="AO65" s="71"/>
      <c r="AP65" s="71"/>
      <c r="AQ65" s="71"/>
      <c r="AR65" s="71"/>
      <c r="AS65" s="55"/>
      <c r="AT65" s="55"/>
      <c r="AU65" s="71"/>
      <c r="AV65" s="71"/>
      <c r="AW65" s="71"/>
      <c r="AX65" s="71"/>
      <c r="AY65" s="71"/>
      <c r="AZ65" s="71"/>
      <c r="BA65" s="71" t="s">
        <v>270</v>
      </c>
      <c r="BB65" s="79">
        <v>0.8</v>
      </c>
      <c r="BC65" s="79">
        <v>0.08</v>
      </c>
      <c r="BD65" s="79"/>
      <c r="BE65" s="79"/>
      <c r="BG65" s="2">
        <v>3.0000000000000001E-3</v>
      </c>
      <c r="CX65" s="55"/>
      <c r="DJ65" s="1" t="b">
        <v>1</v>
      </c>
      <c r="DK65" s="55"/>
      <c r="DL65" s="55"/>
      <c r="DM65" s="55"/>
      <c r="DN65" s="55"/>
      <c r="DO65" s="55"/>
      <c r="DP65" s="94"/>
      <c r="DQ65" s="107"/>
      <c r="DR65" s="57" t="str">
        <f t="shared" si="2"/>
        <v/>
      </c>
      <c r="DS65" s="55"/>
      <c r="DT65" s="55"/>
      <c r="DU65" s="1" t="s">
        <v>280</v>
      </c>
      <c r="DV65" s="71"/>
      <c r="DY65" s="71"/>
      <c r="EA65" s="71"/>
      <c r="EB65" s="71"/>
      <c r="EC65" s="71"/>
      <c r="ED65" s="71"/>
    </row>
    <row r="66" spans="1:149" s="2" customFormat="1" ht="15" customHeight="1" x14ac:dyDescent="0.15">
      <c r="A66" s="2">
        <v>170507</v>
      </c>
      <c r="B66" s="121" t="s">
        <v>428</v>
      </c>
      <c r="C66" s="40" t="s">
        <v>429</v>
      </c>
      <c r="D66" s="2" t="s">
        <v>307</v>
      </c>
      <c r="H66" s="2">
        <v>0</v>
      </c>
      <c r="L66" s="2">
        <v>0</v>
      </c>
      <c r="P66" s="2" t="s">
        <v>430</v>
      </c>
      <c r="Q66" s="55" t="s">
        <v>431</v>
      </c>
      <c r="R66" s="55"/>
      <c r="S66" s="55"/>
      <c r="X66" s="2">
        <v>1</v>
      </c>
      <c r="Y66" s="2">
        <v>0</v>
      </c>
      <c r="Z66" s="2">
        <v>0</v>
      </c>
      <c r="AB66" s="2">
        <v>10350104</v>
      </c>
      <c r="AC66" s="55" t="s">
        <v>432</v>
      </c>
      <c r="AE66" s="2" t="s">
        <v>291</v>
      </c>
      <c r="AF66" s="2" t="s">
        <v>394</v>
      </c>
      <c r="AJ66" s="2">
        <v>-1</v>
      </c>
      <c r="AL66" s="71"/>
      <c r="AM66" s="71"/>
      <c r="AN66" s="71"/>
      <c r="AO66" s="71"/>
      <c r="AP66" s="71"/>
      <c r="AQ66" s="71"/>
      <c r="AR66" s="71"/>
      <c r="AS66" s="71"/>
      <c r="AT66" s="71"/>
      <c r="AU66" s="71"/>
      <c r="AV66" s="71"/>
      <c r="AW66" s="71"/>
      <c r="AX66" s="71"/>
      <c r="AY66" s="71"/>
      <c r="AZ66" s="71"/>
      <c r="BA66" s="71"/>
      <c r="CX66" s="55" t="s">
        <v>273</v>
      </c>
      <c r="CY66" s="2">
        <v>1</v>
      </c>
      <c r="CZ66" s="2">
        <v>1000</v>
      </c>
      <c r="DA66" s="2">
        <v>100</v>
      </c>
      <c r="DB66" s="2">
        <v>22018</v>
      </c>
      <c r="DC66" s="2" t="b">
        <v>1</v>
      </c>
      <c r="DD66" s="2" t="s">
        <v>274</v>
      </c>
      <c r="DE66" s="2" t="s">
        <v>433</v>
      </c>
      <c r="DF66" s="2" t="s">
        <v>276</v>
      </c>
      <c r="DG66" s="2" t="s">
        <v>418</v>
      </c>
      <c r="DH66" s="2">
        <v>1</v>
      </c>
      <c r="DI66" s="2" t="b">
        <v>0</v>
      </c>
      <c r="DJ66" s="1" t="b">
        <v>1</v>
      </c>
      <c r="DN66" s="1"/>
      <c r="DO66" s="1"/>
      <c r="DP66" s="96" t="s">
        <v>434</v>
      </c>
      <c r="DQ66" s="107" t="s">
        <v>435</v>
      </c>
      <c r="DR66" s="57" t="str">
        <f t="shared" si="2"/>
        <v/>
      </c>
      <c r="DS66" s="107" t="s">
        <v>436</v>
      </c>
      <c r="DU66" s="1" t="s">
        <v>280</v>
      </c>
      <c r="DV66" s="71"/>
      <c r="DY66" s="1"/>
      <c r="DZ66" s="119"/>
      <c r="EA66" s="120"/>
      <c r="EB66" s="120"/>
      <c r="EC66" s="71"/>
      <c r="ED66" s="71"/>
    </row>
    <row r="67" spans="1:149" s="2" customFormat="1" ht="15" customHeight="1" x14ac:dyDescent="0.15">
      <c r="B67" s="121"/>
      <c r="C67" s="40"/>
      <c r="Q67" s="55"/>
      <c r="R67" s="55"/>
      <c r="S67" s="55"/>
      <c r="AB67" s="2">
        <v>10350104</v>
      </c>
      <c r="AC67" s="55" t="s">
        <v>432</v>
      </c>
      <c r="AE67" s="2" t="s">
        <v>291</v>
      </c>
      <c r="AF67" s="2" t="s">
        <v>314</v>
      </c>
      <c r="AJ67" s="2">
        <v>-1</v>
      </c>
      <c r="AL67" s="71"/>
      <c r="AM67" s="71"/>
      <c r="AN67" s="71"/>
      <c r="AO67" s="71"/>
      <c r="AP67" s="71"/>
      <c r="AQ67" s="71"/>
      <c r="AR67" s="71"/>
      <c r="AS67" s="71"/>
      <c r="AT67" s="71"/>
      <c r="AU67" s="71"/>
      <c r="AV67" s="71"/>
      <c r="AW67" s="71"/>
      <c r="AX67" s="71"/>
      <c r="AY67" s="71"/>
      <c r="AZ67" s="71"/>
      <c r="BA67" s="71"/>
      <c r="CX67" s="55"/>
      <c r="DJ67" s="1" t="b">
        <v>1</v>
      </c>
      <c r="DP67" s="96"/>
      <c r="DQ67" s="107"/>
      <c r="DR67" s="57" t="str">
        <f t="shared" si="2"/>
        <v/>
      </c>
      <c r="DS67" s="79"/>
      <c r="DU67" s="1" t="s">
        <v>280</v>
      </c>
      <c r="DV67" s="71"/>
      <c r="DY67" s="71"/>
      <c r="DZ67" s="119"/>
      <c r="EA67" s="120"/>
      <c r="EB67" s="120"/>
      <c r="EC67" s="71"/>
      <c r="ED67" s="71"/>
    </row>
    <row r="68" spans="1:149" s="2" customFormat="1" ht="42" customHeight="1" x14ac:dyDescent="0.15">
      <c r="B68" s="121"/>
      <c r="C68" s="40"/>
      <c r="Q68" s="55"/>
      <c r="R68" s="55"/>
      <c r="S68" s="55"/>
      <c r="AB68" s="2">
        <v>10350104</v>
      </c>
      <c r="AC68" s="55" t="s">
        <v>432</v>
      </c>
      <c r="AE68" s="2" t="s">
        <v>291</v>
      </c>
      <c r="AF68" s="2" t="s">
        <v>437</v>
      </c>
      <c r="AJ68" s="2">
        <v>-1</v>
      </c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  <c r="AW68" s="71"/>
      <c r="AX68" s="71"/>
      <c r="AY68" s="71"/>
      <c r="AZ68" s="71"/>
      <c r="BA68" s="71"/>
      <c r="CX68" s="55"/>
      <c r="DJ68" s="1" t="b">
        <v>1</v>
      </c>
      <c r="DP68" s="96"/>
      <c r="DQ68" s="107"/>
      <c r="DR68" s="57" t="str">
        <f t="shared" si="2"/>
        <v/>
      </c>
      <c r="DS68" s="79"/>
      <c r="DU68" s="1" t="s">
        <v>280</v>
      </c>
      <c r="DV68" s="71"/>
      <c r="DY68" s="71"/>
      <c r="DZ68" s="119"/>
      <c r="EA68" s="120"/>
      <c r="EB68" s="120"/>
      <c r="EC68" s="71"/>
      <c r="ED68" s="71"/>
    </row>
    <row r="69" spans="1:149" s="2" customFormat="1" ht="43.5" customHeight="1" x14ac:dyDescent="0.15">
      <c r="A69" s="10">
        <v>170508</v>
      </c>
      <c r="B69" s="44" t="s">
        <v>316</v>
      </c>
      <c r="C69" s="40" t="s">
        <v>317</v>
      </c>
      <c r="D69" s="10" t="s">
        <v>438</v>
      </c>
      <c r="E69" s="10"/>
      <c r="F69" s="10"/>
      <c r="G69" s="10"/>
      <c r="H69" s="10">
        <v>0</v>
      </c>
      <c r="I69" s="10"/>
      <c r="J69" s="10"/>
      <c r="K69" s="10"/>
      <c r="L69" s="10">
        <v>0</v>
      </c>
      <c r="M69" s="10"/>
      <c r="N69" s="10"/>
      <c r="O69" s="10"/>
      <c r="P69" s="10" t="s">
        <v>268</v>
      </c>
      <c r="Q69" s="10" t="s">
        <v>269</v>
      </c>
      <c r="R69" s="10"/>
      <c r="S69" s="10"/>
      <c r="T69" s="10"/>
      <c r="U69" s="10"/>
      <c r="V69" s="10"/>
      <c r="W69" s="10"/>
      <c r="X69" s="10">
        <v>1</v>
      </c>
      <c r="Y69" s="10">
        <v>0</v>
      </c>
      <c r="Z69" s="10">
        <v>0</v>
      </c>
      <c r="AA69" s="10"/>
      <c r="AB69" s="10">
        <v>3001</v>
      </c>
      <c r="AC69" s="10"/>
      <c r="AD69" s="10"/>
      <c r="AE69" s="10"/>
      <c r="AF69" s="10"/>
      <c r="AG69" s="10"/>
      <c r="AH69" s="10"/>
      <c r="AI69" s="10"/>
      <c r="AJ69" s="10"/>
      <c r="AK69" s="10"/>
      <c r="AL69" s="68"/>
      <c r="AM69" s="68"/>
      <c r="AN69" s="68"/>
      <c r="AO69" s="68"/>
      <c r="AP69" s="68"/>
      <c r="AQ69" s="68"/>
      <c r="AR69" s="68"/>
      <c r="AS69" s="10"/>
      <c r="AT69" s="10"/>
      <c r="AU69" s="68"/>
      <c r="AV69" s="68"/>
      <c r="AW69" s="68"/>
      <c r="AX69" s="68"/>
      <c r="AY69" s="68"/>
      <c r="AZ69" s="68"/>
      <c r="BA69" s="68" t="s">
        <v>270</v>
      </c>
      <c r="BB69" s="10">
        <v>450</v>
      </c>
      <c r="BC69" s="10">
        <v>0</v>
      </c>
      <c r="BD69" s="10"/>
      <c r="BE69" s="10"/>
      <c r="BF69" s="10">
        <v>0</v>
      </c>
      <c r="BG69" s="10">
        <v>0</v>
      </c>
      <c r="BH69" s="10">
        <v>0</v>
      </c>
      <c r="BI69" s="10"/>
      <c r="BJ69" s="10" t="s">
        <v>270</v>
      </c>
      <c r="BK69" s="10"/>
      <c r="BL69" s="10"/>
      <c r="BM69" s="10"/>
      <c r="BN69" s="10"/>
      <c r="BO69" s="10"/>
      <c r="BP69" s="10"/>
      <c r="BQ69" s="10"/>
      <c r="BR69" s="10"/>
      <c r="BS69" s="10" t="s">
        <v>270</v>
      </c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 t="s">
        <v>271</v>
      </c>
      <c r="CG69" s="10"/>
      <c r="CH69" s="10"/>
      <c r="CI69" s="10"/>
      <c r="CJ69" s="10" t="s">
        <v>1</v>
      </c>
      <c r="CK69" s="58" t="s">
        <v>308</v>
      </c>
      <c r="CL69" s="58"/>
      <c r="CM69" s="10">
        <v>999</v>
      </c>
      <c r="CN69" s="10">
        <v>0</v>
      </c>
      <c r="CO69" s="10">
        <v>0</v>
      </c>
      <c r="CP69" s="10">
        <v>0</v>
      </c>
      <c r="CQ69" s="10">
        <v>0</v>
      </c>
      <c r="CR69" s="10"/>
      <c r="CS69" s="10">
        <v>8</v>
      </c>
      <c r="CT69" s="10">
        <v>4</v>
      </c>
      <c r="CU69" s="10">
        <v>24</v>
      </c>
      <c r="CV69" s="1" t="s">
        <v>439</v>
      </c>
      <c r="CW69" s="10" t="b">
        <v>1</v>
      </c>
      <c r="CX69" s="89" t="s">
        <v>273</v>
      </c>
      <c r="CY69" s="10"/>
      <c r="CZ69" s="10"/>
      <c r="DA69" s="10"/>
      <c r="DB69" s="10">
        <v>170501</v>
      </c>
      <c r="DC69" s="10" t="b">
        <v>1</v>
      </c>
      <c r="DD69" s="10" t="s">
        <v>274</v>
      </c>
      <c r="DE69" s="10" t="s">
        <v>321</v>
      </c>
      <c r="DF69" s="10" t="s">
        <v>276</v>
      </c>
      <c r="DG69" s="10" t="s">
        <v>322</v>
      </c>
      <c r="DH69" s="10">
        <v>4</v>
      </c>
      <c r="DI69" s="89" t="b">
        <v>0</v>
      </c>
      <c r="DJ69" s="1" t="b">
        <v>1</v>
      </c>
      <c r="DK69" s="10"/>
      <c r="DL69" s="10"/>
      <c r="DM69" s="10"/>
      <c r="DN69" s="1"/>
      <c r="DO69" s="1"/>
      <c r="DP69" s="96" t="s">
        <v>440</v>
      </c>
      <c r="DQ69" s="58" t="s">
        <v>324</v>
      </c>
      <c r="DR69" s="57" t="e">
        <f t="shared" si="2"/>
        <v>#VALUE!</v>
      </c>
      <c r="DS69" s="58" t="s">
        <v>441</v>
      </c>
      <c r="DT69" s="10"/>
      <c r="DU69" s="1" t="s">
        <v>280</v>
      </c>
      <c r="DV69" s="68"/>
      <c r="DW69" s="10"/>
      <c r="DX69" s="10"/>
      <c r="DY69" s="1"/>
      <c r="DZ69" s="113">
        <v>1</v>
      </c>
      <c r="EA69" s="114" t="s">
        <v>281</v>
      </c>
      <c r="EB69" s="114" t="s">
        <v>282</v>
      </c>
      <c r="EC69" s="114" t="s">
        <v>283</v>
      </c>
      <c r="ED69" s="114" t="s">
        <v>283</v>
      </c>
      <c r="EE69" s="10" t="s">
        <v>284</v>
      </c>
      <c r="EF69" s="10" t="s">
        <v>326</v>
      </c>
      <c r="EG69" s="10" t="e">
        <v>#VALUE!</v>
      </c>
      <c r="EH69" s="10" t="s">
        <v>285</v>
      </c>
      <c r="EI69" s="10" t="s">
        <v>327</v>
      </c>
      <c r="EJ69" s="10" t="e">
        <v>#VALUE!</v>
      </c>
      <c r="EK69" s="10" t="s">
        <v>286</v>
      </c>
      <c r="EL69" s="10" t="s">
        <v>328</v>
      </c>
      <c r="EM69" s="10" t="e">
        <v>#VALUE!</v>
      </c>
      <c r="EN69" s="10" t="s">
        <v>287</v>
      </c>
      <c r="EO69" s="10" t="s">
        <v>328</v>
      </c>
      <c r="EP69" s="10" t="e">
        <v>#VALUE!</v>
      </c>
      <c r="EQ69" s="10"/>
      <c r="ER69" s="10"/>
      <c r="ES69" s="10"/>
    </row>
    <row r="70" spans="1:149" s="2" customFormat="1" ht="15" customHeight="1" x14ac:dyDescent="0.15">
      <c r="A70" s="10"/>
      <c r="B70" s="44"/>
      <c r="C70" s="4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>
        <v>17050301</v>
      </c>
      <c r="AC70" s="58" t="s">
        <v>329</v>
      </c>
      <c r="AD70" s="10" t="s">
        <v>330</v>
      </c>
      <c r="AE70" s="10" t="s">
        <v>291</v>
      </c>
      <c r="AF70" s="10" t="s">
        <v>314</v>
      </c>
      <c r="AG70" s="10"/>
      <c r="AH70" s="10"/>
      <c r="AI70" s="10"/>
      <c r="AJ70" s="10"/>
      <c r="AK70" s="10"/>
      <c r="AL70" s="68"/>
      <c r="AM70" s="68"/>
      <c r="AN70" s="68"/>
      <c r="AO70" s="68"/>
      <c r="AP70" s="68"/>
      <c r="AQ70" s="68"/>
      <c r="AR70" s="68"/>
      <c r="AS70" s="10"/>
      <c r="AT70" s="10"/>
      <c r="AU70" s="68"/>
      <c r="AV70" s="68"/>
      <c r="AW70" s="68"/>
      <c r="AX70" s="68"/>
      <c r="AY70" s="68"/>
      <c r="AZ70" s="68"/>
      <c r="BA70" s="68" t="s">
        <v>331</v>
      </c>
      <c r="BB70" s="10">
        <v>1.7999999999999999E-2</v>
      </c>
      <c r="BC70" s="10">
        <v>0</v>
      </c>
      <c r="BD70" s="10"/>
      <c r="BE70" s="10"/>
      <c r="BF70" s="10">
        <v>0</v>
      </c>
      <c r="BG70" s="10">
        <v>0</v>
      </c>
      <c r="BH70" s="10">
        <v>0</v>
      </c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" t="b">
        <v>1</v>
      </c>
      <c r="DK70" s="10"/>
      <c r="DL70" s="10"/>
      <c r="DM70" s="10"/>
      <c r="DN70" s="10"/>
      <c r="DO70" s="10"/>
      <c r="DP70" s="96"/>
      <c r="DQ70" s="58"/>
      <c r="DR70" s="57" t="str">
        <f t="shared" si="2"/>
        <v/>
      </c>
      <c r="DS70" s="10"/>
      <c r="DT70" s="10"/>
      <c r="DU70" s="1" t="s">
        <v>280</v>
      </c>
      <c r="DV70" s="68"/>
      <c r="DW70" s="10"/>
      <c r="DX70" s="10"/>
      <c r="DY70" s="68"/>
      <c r="DZ70" s="10"/>
      <c r="EA70" s="68"/>
      <c r="EB70" s="68"/>
      <c r="EC70" s="68"/>
      <c r="ED70" s="68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</row>
    <row r="71" spans="1:149" s="2" customFormat="1" ht="15" customHeight="1" x14ac:dyDescent="0.15">
      <c r="A71" s="10"/>
      <c r="B71" s="44"/>
      <c r="C71" s="4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>
        <v>17050302</v>
      </c>
      <c r="AC71" s="58" t="s">
        <v>332</v>
      </c>
      <c r="AD71" s="10" t="s">
        <v>333</v>
      </c>
      <c r="AE71" s="10" t="s">
        <v>291</v>
      </c>
      <c r="AF71" s="10" t="s">
        <v>314</v>
      </c>
      <c r="AG71" s="10"/>
      <c r="AH71" s="10"/>
      <c r="AI71" s="10"/>
      <c r="AJ71" s="10">
        <v>-1</v>
      </c>
      <c r="AK71" s="10"/>
      <c r="AL71" s="68"/>
      <c r="AM71" s="68"/>
      <c r="AN71" s="68"/>
      <c r="AO71" s="68"/>
      <c r="AP71" s="68"/>
      <c r="AQ71" s="68"/>
      <c r="AR71" s="68"/>
      <c r="AS71" s="10"/>
      <c r="AT71" s="10"/>
      <c r="AU71" s="68"/>
      <c r="AV71" s="68"/>
      <c r="AW71" s="68"/>
      <c r="AX71" s="68"/>
      <c r="AY71" s="68"/>
      <c r="AZ71" s="68"/>
      <c r="BA71" s="68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" t="b">
        <v>1</v>
      </c>
      <c r="DK71" s="10"/>
      <c r="DL71" s="10"/>
      <c r="DM71" s="10"/>
      <c r="DN71" s="10"/>
      <c r="DO71" s="10"/>
      <c r="DP71" s="96"/>
      <c r="DQ71" s="58"/>
      <c r="DR71" s="57" t="str">
        <f t="shared" si="2"/>
        <v/>
      </c>
      <c r="DS71" s="10"/>
      <c r="DT71" s="10"/>
      <c r="DU71" s="1" t="s">
        <v>280</v>
      </c>
      <c r="DV71" s="68"/>
      <c r="DW71" s="10"/>
      <c r="DX71" s="10"/>
      <c r="DY71" s="68"/>
      <c r="DZ71" s="10"/>
      <c r="EA71" s="68"/>
      <c r="EB71" s="68"/>
      <c r="EC71" s="68"/>
      <c r="ED71" s="68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</row>
    <row r="72" spans="1:149" s="2" customFormat="1" ht="58.5" customHeight="1" x14ac:dyDescent="0.15">
      <c r="A72" s="3">
        <v>170509</v>
      </c>
      <c r="B72" s="122" t="s">
        <v>334</v>
      </c>
      <c r="C72" s="40" t="s">
        <v>335</v>
      </c>
      <c r="D72" s="3" t="s">
        <v>442</v>
      </c>
      <c r="E72" s="3"/>
      <c r="F72" s="3"/>
      <c r="G72" s="3"/>
      <c r="H72" s="3">
        <v>0</v>
      </c>
      <c r="I72" s="3"/>
      <c r="J72" s="3"/>
      <c r="K72" s="3"/>
      <c r="L72" s="3">
        <v>0</v>
      </c>
      <c r="M72" s="3"/>
      <c r="N72" s="3"/>
      <c r="O72" s="3"/>
      <c r="P72" s="3" t="s">
        <v>268</v>
      </c>
      <c r="Q72" s="3" t="s">
        <v>269</v>
      </c>
      <c r="R72" s="3"/>
      <c r="S72" s="3"/>
      <c r="T72" s="3"/>
      <c r="U72" s="3"/>
      <c r="V72" s="3"/>
      <c r="W72" s="3"/>
      <c r="X72" s="3">
        <v>1</v>
      </c>
      <c r="Y72" s="3">
        <v>0</v>
      </c>
      <c r="Z72" s="3">
        <v>0</v>
      </c>
      <c r="AA72" s="3"/>
      <c r="AB72" s="3">
        <v>3001</v>
      </c>
      <c r="AC72" s="136" t="s">
        <v>337</v>
      </c>
      <c r="AD72" s="3"/>
      <c r="AE72" s="3" t="s">
        <v>129</v>
      </c>
      <c r="AF72" s="3" t="s">
        <v>314</v>
      </c>
      <c r="AG72" s="3"/>
      <c r="AH72" s="3"/>
      <c r="AI72" s="3"/>
      <c r="AJ72" s="3"/>
      <c r="AK72" s="3"/>
      <c r="AL72" s="146"/>
      <c r="AM72" s="146"/>
      <c r="AN72" s="146"/>
      <c r="AO72" s="146"/>
      <c r="AP72" s="146"/>
      <c r="AQ72" s="146"/>
      <c r="AR72" s="146"/>
      <c r="AS72" s="3"/>
      <c r="AT72" s="3"/>
      <c r="AU72" s="146"/>
      <c r="AV72" s="146"/>
      <c r="AW72" s="146"/>
      <c r="AX72" s="146"/>
      <c r="AY72" s="146"/>
      <c r="AZ72" s="146"/>
      <c r="BA72" s="146" t="s">
        <v>270</v>
      </c>
      <c r="BB72" s="3">
        <v>200</v>
      </c>
      <c r="BC72" s="3">
        <v>0</v>
      </c>
      <c r="BD72" s="3"/>
      <c r="BE72" s="3"/>
      <c r="BF72" s="3">
        <v>0</v>
      </c>
      <c r="BG72" s="3">
        <v>0</v>
      </c>
      <c r="BH72" s="3">
        <v>0</v>
      </c>
      <c r="BI72" s="3"/>
      <c r="BJ72" s="3" t="s">
        <v>270</v>
      </c>
      <c r="BK72" s="3"/>
      <c r="BL72" s="3"/>
      <c r="BM72" s="3"/>
      <c r="BN72" s="3"/>
      <c r="BO72" s="3"/>
      <c r="BP72" s="3"/>
      <c r="BQ72" s="3"/>
      <c r="BR72" s="3"/>
      <c r="BS72" s="3" t="s">
        <v>270</v>
      </c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 t="s">
        <v>271</v>
      </c>
      <c r="CG72" s="3"/>
      <c r="CH72" s="3"/>
      <c r="CI72" s="3"/>
      <c r="CJ72" s="3" t="s">
        <v>3</v>
      </c>
      <c r="CK72" s="136" t="s">
        <v>443</v>
      </c>
      <c r="CL72" s="136"/>
      <c r="CM72" s="10">
        <v>999</v>
      </c>
      <c r="CN72" s="3">
        <v>0</v>
      </c>
      <c r="CO72" s="3">
        <v>0</v>
      </c>
      <c r="CP72" s="3">
        <v>0</v>
      </c>
      <c r="CQ72" s="3">
        <v>0</v>
      </c>
      <c r="CR72" s="3"/>
      <c r="CS72" s="3">
        <v>13</v>
      </c>
      <c r="CT72" s="3"/>
      <c r="CU72" s="3">
        <v>20</v>
      </c>
      <c r="CV72" s="1" t="s">
        <v>444</v>
      </c>
      <c r="CW72" s="3" t="b">
        <v>0</v>
      </c>
      <c r="CX72" s="3" t="s">
        <v>273</v>
      </c>
      <c r="CY72" s="3"/>
      <c r="CZ72" s="3"/>
      <c r="DA72" s="3"/>
      <c r="DB72" s="3">
        <v>100300</v>
      </c>
      <c r="DC72" s="3" t="b">
        <v>1</v>
      </c>
      <c r="DD72" s="3" t="s">
        <v>274</v>
      </c>
      <c r="DE72" s="3" t="s">
        <v>340</v>
      </c>
      <c r="DF72" s="3" t="s">
        <v>276</v>
      </c>
      <c r="DG72" s="3" t="s">
        <v>277</v>
      </c>
      <c r="DH72" s="3">
        <v>4</v>
      </c>
      <c r="DI72" s="3" t="b">
        <v>0</v>
      </c>
      <c r="DJ72" s="1" t="b">
        <v>1</v>
      </c>
      <c r="DK72" s="3"/>
      <c r="DL72" s="3"/>
      <c r="DM72" s="3"/>
      <c r="DN72" s="1"/>
      <c r="DO72" s="1"/>
      <c r="DP72" s="96" t="s">
        <v>445</v>
      </c>
      <c r="DQ72" s="136" t="s">
        <v>446</v>
      </c>
      <c r="DR72" s="57" t="e">
        <f t="shared" si="2"/>
        <v>#VALUE!</v>
      </c>
      <c r="DS72" s="3" t="s">
        <v>447</v>
      </c>
      <c r="DT72" s="3"/>
      <c r="DU72" s="1" t="s">
        <v>280</v>
      </c>
      <c r="DV72" s="146"/>
      <c r="DW72" s="3"/>
      <c r="DX72" s="3"/>
      <c r="DY72" s="1"/>
      <c r="DZ72" s="3">
        <v>1</v>
      </c>
      <c r="EA72" s="146">
        <v>-1</v>
      </c>
      <c r="EB72" s="146">
        <v>4.1666666666666699E-2</v>
      </c>
      <c r="EC72" s="146">
        <v>8.3333333333333301E-2</v>
      </c>
      <c r="ED72" s="146">
        <v>8.3333333333333301E-2</v>
      </c>
      <c r="EE72" s="3" t="s">
        <v>284</v>
      </c>
      <c r="EF72" s="3" t="s">
        <v>326</v>
      </c>
      <c r="EG72" s="3" t="e">
        <v>#VALUE!</v>
      </c>
      <c r="EH72" s="3" t="s">
        <v>285</v>
      </c>
      <c r="EI72" s="3" t="s">
        <v>344</v>
      </c>
      <c r="EJ72" s="3" t="e">
        <v>#VALUE!</v>
      </c>
      <c r="EK72" s="3" t="s">
        <v>286</v>
      </c>
      <c r="EL72" s="3" t="s">
        <v>328</v>
      </c>
      <c r="EM72" s="3" t="e">
        <v>#VALUE!</v>
      </c>
      <c r="EN72" s="3" t="s">
        <v>287</v>
      </c>
      <c r="EO72" s="3" t="s">
        <v>328</v>
      </c>
      <c r="EP72" s="3" t="e">
        <v>#VALUE!</v>
      </c>
      <c r="EQ72" s="3"/>
      <c r="ER72" s="3"/>
      <c r="ES72" s="3"/>
    </row>
    <row r="73" spans="1:149" s="2" customFormat="1" ht="15" customHeight="1" x14ac:dyDescent="0.15">
      <c r="A73" s="3"/>
      <c r="B73" s="122"/>
      <c r="C73" s="40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>
        <v>10240102</v>
      </c>
      <c r="AC73" s="136" t="s">
        <v>346</v>
      </c>
      <c r="AD73" s="3"/>
      <c r="AE73" s="3" t="s">
        <v>129</v>
      </c>
      <c r="AF73" s="3" t="s">
        <v>314</v>
      </c>
      <c r="AG73" s="3"/>
      <c r="AH73" s="3"/>
      <c r="AI73" s="3"/>
      <c r="AJ73" s="3">
        <v>3</v>
      </c>
      <c r="AK73" s="3"/>
      <c r="AL73" s="146"/>
      <c r="AM73" s="146"/>
      <c r="AN73" s="146"/>
      <c r="AO73" s="146"/>
      <c r="AP73" s="146"/>
      <c r="AQ73" s="146"/>
      <c r="AR73" s="146"/>
      <c r="AS73" s="3"/>
      <c r="AT73" s="3"/>
      <c r="AU73" s="146"/>
      <c r="AV73" s="146"/>
      <c r="AW73" s="146"/>
      <c r="AX73" s="146"/>
      <c r="AY73" s="146"/>
      <c r="AZ73" s="146"/>
      <c r="BA73" s="146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1" t="b">
        <v>1</v>
      </c>
      <c r="DK73" s="3"/>
      <c r="DL73" s="3"/>
      <c r="DM73" s="3"/>
      <c r="DN73" s="3"/>
      <c r="DO73" s="3"/>
      <c r="DP73" s="96"/>
      <c r="DQ73" s="136"/>
      <c r="DR73" s="57" t="str">
        <f t="shared" si="2"/>
        <v/>
      </c>
      <c r="DS73" s="3"/>
      <c r="DT73" s="3"/>
      <c r="DU73" s="1" t="s">
        <v>280</v>
      </c>
      <c r="DV73" s="146"/>
      <c r="DW73" s="3"/>
      <c r="DX73" s="3"/>
      <c r="DY73" s="146"/>
      <c r="DZ73" s="3"/>
      <c r="EA73" s="146"/>
      <c r="EB73" s="146"/>
      <c r="EC73" s="146"/>
      <c r="ED73" s="146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</row>
    <row r="74" spans="1:149" s="8" customFormat="1" ht="14.25" customHeight="1" x14ac:dyDescent="0.15">
      <c r="A74" s="3">
        <v>170511</v>
      </c>
      <c r="B74" s="122" t="s">
        <v>316</v>
      </c>
      <c r="C74" s="40" t="s">
        <v>317</v>
      </c>
      <c r="D74" s="3" t="s">
        <v>442</v>
      </c>
      <c r="E74" s="3"/>
      <c r="F74" s="3"/>
      <c r="G74" s="3"/>
      <c r="H74" s="3">
        <v>0</v>
      </c>
      <c r="I74" s="3"/>
      <c r="J74" s="3"/>
      <c r="K74" s="3"/>
      <c r="L74" s="3">
        <v>0</v>
      </c>
      <c r="M74" s="3"/>
      <c r="N74" s="3"/>
      <c r="O74" s="3"/>
      <c r="P74" s="3" t="s">
        <v>268</v>
      </c>
      <c r="Q74" s="3" t="s">
        <v>269</v>
      </c>
      <c r="R74" s="3"/>
      <c r="S74" s="3"/>
      <c r="T74" s="3"/>
      <c r="U74" s="3"/>
      <c r="V74" s="3"/>
      <c r="W74" s="3"/>
      <c r="X74" s="3">
        <v>1</v>
      </c>
      <c r="Y74" s="3">
        <v>0</v>
      </c>
      <c r="Z74" s="3">
        <v>0</v>
      </c>
      <c r="AA74" s="3"/>
      <c r="AB74" s="137">
        <v>3001</v>
      </c>
      <c r="AC74" s="137"/>
      <c r="AD74" s="3"/>
      <c r="AE74" s="137"/>
      <c r="AF74" s="137"/>
      <c r="AG74" s="137"/>
      <c r="AH74" s="137"/>
      <c r="AI74" s="137"/>
      <c r="AJ74" s="137"/>
      <c r="AK74" s="137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 t="s">
        <v>270</v>
      </c>
      <c r="BB74" s="3">
        <v>200</v>
      </c>
      <c r="BC74" s="3">
        <v>0</v>
      </c>
      <c r="BD74" s="3"/>
      <c r="BE74" s="3"/>
      <c r="BF74" s="3">
        <v>0</v>
      </c>
      <c r="BG74" s="3">
        <v>0</v>
      </c>
      <c r="BH74" s="3">
        <v>0</v>
      </c>
      <c r="BI74" s="3"/>
      <c r="BJ74" s="3" t="s">
        <v>270</v>
      </c>
      <c r="BK74" s="3"/>
      <c r="BL74" s="3"/>
      <c r="BM74" s="3"/>
      <c r="BN74" s="3"/>
      <c r="BO74" s="3"/>
      <c r="BP74" s="3"/>
      <c r="BQ74" s="3"/>
      <c r="BR74" s="3"/>
      <c r="BS74" s="3" t="s">
        <v>270</v>
      </c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 t="s">
        <v>271</v>
      </c>
      <c r="CG74" s="3"/>
      <c r="CH74" s="3"/>
      <c r="CI74" s="3"/>
      <c r="CJ74" s="3" t="s">
        <v>1</v>
      </c>
      <c r="CK74" s="136" t="s">
        <v>448</v>
      </c>
      <c r="CL74" s="136"/>
      <c r="CM74" s="10">
        <v>999</v>
      </c>
      <c r="CN74" s="3">
        <v>0</v>
      </c>
      <c r="CO74" s="3">
        <v>0</v>
      </c>
      <c r="CP74" s="3">
        <v>0</v>
      </c>
      <c r="CQ74" s="3">
        <v>0</v>
      </c>
      <c r="CR74" s="3"/>
      <c r="CS74" s="3">
        <v>17</v>
      </c>
      <c r="CT74" s="3">
        <v>8</v>
      </c>
      <c r="CU74" s="3">
        <v>24</v>
      </c>
      <c r="CV74" s="1" t="s">
        <v>449</v>
      </c>
      <c r="CW74" s="3" t="b">
        <v>1</v>
      </c>
      <c r="CX74" s="3" t="s">
        <v>273</v>
      </c>
      <c r="CY74" s="3"/>
      <c r="CZ74" s="3"/>
      <c r="DA74" s="3"/>
      <c r="DB74" s="3">
        <v>170501</v>
      </c>
      <c r="DC74" s="3" t="b">
        <v>1</v>
      </c>
      <c r="DD74" s="10" t="s">
        <v>274</v>
      </c>
      <c r="DE74" s="10" t="s">
        <v>321</v>
      </c>
      <c r="DF74" s="10" t="s">
        <v>276</v>
      </c>
      <c r="DG74" s="10" t="s">
        <v>322</v>
      </c>
      <c r="DH74" s="3">
        <v>4</v>
      </c>
      <c r="DI74" s="3" t="b">
        <v>0</v>
      </c>
      <c r="DJ74" s="1" t="b">
        <v>1</v>
      </c>
      <c r="DK74" s="3"/>
      <c r="DL74" s="3"/>
      <c r="DM74" s="3"/>
      <c r="DN74" s="1"/>
      <c r="DO74" s="1"/>
      <c r="DP74" s="96" t="s">
        <v>450</v>
      </c>
      <c r="DQ74" s="3" t="s">
        <v>451</v>
      </c>
      <c r="DR74" s="57" t="e">
        <f t="shared" si="2"/>
        <v>#VALUE!</v>
      </c>
      <c r="DS74" s="3" t="s">
        <v>452</v>
      </c>
      <c r="DT74" s="3"/>
      <c r="DU74" s="1" t="s">
        <v>280</v>
      </c>
      <c r="DV74" s="146"/>
      <c r="DW74" s="3"/>
      <c r="DX74" s="3"/>
      <c r="DY74" s="1"/>
      <c r="DZ74" s="3">
        <v>1</v>
      </c>
      <c r="EA74" s="146">
        <v>-1</v>
      </c>
      <c r="EB74" s="146">
        <v>4.1666666666666699E-2</v>
      </c>
      <c r="EC74" s="146">
        <v>8.3333333333333301E-2</v>
      </c>
      <c r="ED74" s="146">
        <v>8.3333333333333301E-2</v>
      </c>
      <c r="EE74" s="3" t="s">
        <v>284</v>
      </c>
      <c r="EF74" s="3" t="s">
        <v>326</v>
      </c>
      <c r="EG74" s="3" t="e">
        <v>#VALUE!</v>
      </c>
      <c r="EH74" s="3" t="s">
        <v>285</v>
      </c>
      <c r="EI74" s="3" t="s">
        <v>327</v>
      </c>
      <c r="EJ74" s="3" t="e">
        <v>#VALUE!</v>
      </c>
      <c r="EK74" s="3" t="s">
        <v>286</v>
      </c>
      <c r="EL74" s="3" t="s">
        <v>328</v>
      </c>
      <c r="EM74" s="3" t="e">
        <v>#VALUE!</v>
      </c>
      <c r="EN74" s="3" t="s">
        <v>287</v>
      </c>
      <c r="EO74" s="3" t="s">
        <v>328</v>
      </c>
      <c r="EP74" s="3" t="e">
        <v>#VALUE!</v>
      </c>
      <c r="EQ74" s="3"/>
      <c r="ER74" s="3"/>
      <c r="ES74" s="3"/>
    </row>
    <row r="75" spans="1:149" s="8" customFormat="1" ht="14.25" customHeight="1" x14ac:dyDescent="0.15">
      <c r="A75" s="3"/>
      <c r="B75" s="122"/>
      <c r="C75" s="40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136">
        <v>17050301</v>
      </c>
      <c r="AC75" s="137" t="s">
        <v>329</v>
      </c>
      <c r="AD75" s="3" t="s">
        <v>330</v>
      </c>
      <c r="AE75" s="3" t="s">
        <v>291</v>
      </c>
      <c r="AF75" s="3" t="s">
        <v>314</v>
      </c>
      <c r="AG75" s="3"/>
      <c r="AH75" s="3"/>
      <c r="AI75" s="3"/>
      <c r="AJ75" s="137"/>
      <c r="AK75" s="137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137" t="s">
        <v>331</v>
      </c>
      <c r="BB75" s="137">
        <v>2.4E-2</v>
      </c>
      <c r="BC75" s="3">
        <v>0</v>
      </c>
      <c r="BD75" s="3"/>
      <c r="BE75" s="3"/>
      <c r="BF75" s="3">
        <v>0</v>
      </c>
      <c r="BG75" s="3">
        <v>0</v>
      </c>
      <c r="BH75" s="3">
        <v>0</v>
      </c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1" t="b">
        <v>1</v>
      </c>
      <c r="DK75" s="3"/>
      <c r="DL75" s="3"/>
      <c r="DM75" s="3"/>
      <c r="DN75" s="3"/>
      <c r="DO75" s="3"/>
      <c r="DP75" s="96"/>
      <c r="DQ75" s="3"/>
      <c r="DR75" s="57" t="str">
        <f t="shared" si="2"/>
        <v/>
      </c>
      <c r="DS75" s="3"/>
      <c r="DT75" s="3"/>
      <c r="DU75" s="1" t="s">
        <v>280</v>
      </c>
      <c r="DV75" s="146"/>
      <c r="DW75" s="3"/>
      <c r="DX75" s="3"/>
      <c r="DY75" s="146"/>
      <c r="DZ75" s="3"/>
      <c r="EA75" s="146"/>
      <c r="EB75" s="146"/>
      <c r="EC75" s="146"/>
      <c r="ED75" s="146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</row>
    <row r="76" spans="1:149" s="8" customFormat="1" ht="14.25" customHeight="1" x14ac:dyDescent="0.15">
      <c r="A76" s="3"/>
      <c r="B76" s="122"/>
      <c r="C76" s="40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>
        <v>17050302</v>
      </c>
      <c r="AC76" s="136" t="s">
        <v>332</v>
      </c>
      <c r="AD76" s="3" t="s">
        <v>333</v>
      </c>
      <c r="AE76" s="3" t="s">
        <v>291</v>
      </c>
      <c r="AF76" s="3" t="s">
        <v>314</v>
      </c>
      <c r="AG76" s="3"/>
      <c r="AH76" s="3"/>
      <c r="AI76" s="3"/>
      <c r="AJ76" s="3">
        <v>-1</v>
      </c>
      <c r="AK76" s="3"/>
      <c r="AL76" s="146"/>
      <c r="AM76" s="146"/>
      <c r="AN76" s="146"/>
      <c r="AO76" s="146"/>
      <c r="AP76" s="146"/>
      <c r="AQ76" s="146"/>
      <c r="AR76" s="146"/>
      <c r="AS76" s="3"/>
      <c r="AT76" s="3"/>
      <c r="AU76" s="146"/>
      <c r="AV76" s="146"/>
      <c r="AW76" s="146"/>
      <c r="AX76" s="146"/>
      <c r="AY76" s="146"/>
      <c r="AZ76" s="146"/>
      <c r="BA76" s="146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1" t="b">
        <v>1</v>
      </c>
      <c r="DK76" s="3"/>
      <c r="DL76" s="3"/>
      <c r="DM76" s="3"/>
      <c r="DN76" s="3"/>
      <c r="DO76" s="3"/>
      <c r="DP76" s="96"/>
      <c r="DQ76" s="136"/>
      <c r="DR76" s="57" t="str">
        <f t="shared" si="2"/>
        <v/>
      </c>
      <c r="DS76" s="3"/>
      <c r="DT76" s="3"/>
      <c r="DU76" s="1" t="s">
        <v>280</v>
      </c>
      <c r="DV76" s="146"/>
      <c r="DW76" s="3"/>
      <c r="DX76" s="3"/>
      <c r="DY76" s="146"/>
      <c r="DZ76" s="3"/>
      <c r="EA76" s="146"/>
      <c r="EB76" s="146"/>
      <c r="EC76" s="146"/>
      <c r="ED76" s="146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</row>
    <row r="77" spans="1:149" s="9" customFormat="1" ht="15" customHeight="1" x14ac:dyDescent="0.15">
      <c r="A77" s="123">
        <v>170512</v>
      </c>
      <c r="B77" s="124" t="s">
        <v>334</v>
      </c>
      <c r="C77" s="40" t="s">
        <v>335</v>
      </c>
      <c r="D77" s="123" t="s">
        <v>453</v>
      </c>
      <c r="E77" s="123"/>
      <c r="F77" s="123"/>
      <c r="G77" s="123"/>
      <c r="H77" s="123">
        <v>0</v>
      </c>
      <c r="I77" s="123"/>
      <c r="J77" s="123"/>
      <c r="K77" s="123"/>
      <c r="L77" s="123">
        <v>0</v>
      </c>
      <c r="M77" s="123"/>
      <c r="N77" s="123"/>
      <c r="O77" s="123"/>
      <c r="P77" s="123" t="s">
        <v>268</v>
      </c>
      <c r="Q77" s="123" t="s">
        <v>269</v>
      </c>
      <c r="R77" s="123"/>
      <c r="S77" s="123"/>
      <c r="T77" s="123"/>
      <c r="U77" s="123"/>
      <c r="V77" s="123"/>
      <c r="W77" s="123"/>
      <c r="X77" s="123">
        <v>1</v>
      </c>
      <c r="Y77" s="123">
        <v>0</v>
      </c>
      <c r="Z77" s="123">
        <v>0</v>
      </c>
      <c r="AA77" s="123"/>
      <c r="AB77" s="123">
        <v>3001</v>
      </c>
      <c r="AC77" s="138" t="s">
        <v>337</v>
      </c>
      <c r="AD77" s="123"/>
      <c r="AE77" s="123" t="s">
        <v>129</v>
      </c>
      <c r="AF77" s="123" t="s">
        <v>314</v>
      </c>
      <c r="AG77" s="123"/>
      <c r="AH77" s="123"/>
      <c r="AI77" s="123"/>
      <c r="AJ77" s="123"/>
      <c r="AK77" s="123"/>
      <c r="AL77" s="147"/>
      <c r="AM77" s="147"/>
      <c r="AN77" s="147"/>
      <c r="AO77" s="147"/>
      <c r="AP77" s="147"/>
      <c r="AQ77" s="147"/>
      <c r="AR77" s="147"/>
      <c r="AS77" s="123"/>
      <c r="AT77" s="123"/>
      <c r="AU77" s="147"/>
      <c r="AV77" s="147"/>
      <c r="AW77" s="147"/>
      <c r="AX77" s="147"/>
      <c r="AY77" s="147"/>
      <c r="AZ77" s="147"/>
      <c r="BA77" s="147" t="s">
        <v>270</v>
      </c>
      <c r="BB77" s="123">
        <v>200</v>
      </c>
      <c r="BC77" s="123">
        <v>0</v>
      </c>
      <c r="BD77" s="123"/>
      <c r="BE77" s="123"/>
      <c r="BF77" s="123">
        <v>0</v>
      </c>
      <c r="BG77" s="123">
        <v>0</v>
      </c>
      <c r="BH77" s="123">
        <v>0</v>
      </c>
      <c r="BI77" s="123"/>
      <c r="BJ77" s="123" t="s">
        <v>270</v>
      </c>
      <c r="BK77" s="123"/>
      <c r="BL77" s="123"/>
      <c r="BM77" s="123"/>
      <c r="BN77" s="123"/>
      <c r="BO77" s="123"/>
      <c r="BP77" s="123"/>
      <c r="BQ77" s="123"/>
      <c r="BR77" s="123"/>
      <c r="BS77" s="123" t="s">
        <v>270</v>
      </c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 t="s">
        <v>271</v>
      </c>
      <c r="CG77" s="123"/>
      <c r="CH77" s="123"/>
      <c r="CI77" s="123"/>
      <c r="CJ77" s="123" t="s">
        <v>3</v>
      </c>
      <c r="CK77" s="138" t="s">
        <v>443</v>
      </c>
      <c r="CL77" s="138"/>
      <c r="CM77" s="10">
        <v>999</v>
      </c>
      <c r="CN77" s="123">
        <v>0</v>
      </c>
      <c r="CO77" s="123">
        <v>0</v>
      </c>
      <c r="CP77" s="123">
        <v>0</v>
      </c>
      <c r="CQ77" s="123">
        <v>0</v>
      </c>
      <c r="CR77" s="123"/>
      <c r="CS77" s="123">
        <v>14</v>
      </c>
      <c r="CT77" s="123"/>
      <c r="CU77" s="123">
        <v>20</v>
      </c>
      <c r="CV77" s="1" t="s">
        <v>454</v>
      </c>
      <c r="CW77" s="123" t="b">
        <v>0</v>
      </c>
      <c r="CX77" s="123" t="s">
        <v>273</v>
      </c>
      <c r="CY77" s="123"/>
      <c r="CZ77" s="123"/>
      <c r="DA77" s="123"/>
      <c r="DB77" s="123">
        <v>100300</v>
      </c>
      <c r="DC77" s="123" t="b">
        <v>1</v>
      </c>
      <c r="DD77" s="123" t="s">
        <v>274</v>
      </c>
      <c r="DE77" s="123" t="s">
        <v>340</v>
      </c>
      <c r="DF77" s="123" t="s">
        <v>276</v>
      </c>
      <c r="DG77" s="123" t="s">
        <v>277</v>
      </c>
      <c r="DH77" s="123">
        <v>4</v>
      </c>
      <c r="DI77" s="123" t="b">
        <v>0</v>
      </c>
      <c r="DJ77" s="1" t="b">
        <v>1</v>
      </c>
      <c r="DK77" s="123"/>
      <c r="DL77" s="123"/>
      <c r="DM77" s="123"/>
      <c r="DN77" s="1"/>
      <c r="DO77" s="1"/>
      <c r="DP77" s="96" t="s">
        <v>455</v>
      </c>
      <c r="DQ77" s="138" t="s">
        <v>446</v>
      </c>
      <c r="DR77" s="57" t="e">
        <f t="shared" si="2"/>
        <v>#VALUE!</v>
      </c>
      <c r="DS77" s="123" t="s">
        <v>447</v>
      </c>
      <c r="DT77" s="123"/>
      <c r="DU77" s="1" t="s">
        <v>280</v>
      </c>
      <c r="DV77" s="147"/>
      <c r="DW77" s="123"/>
      <c r="DX77" s="123"/>
      <c r="DY77" s="1"/>
      <c r="DZ77" s="123">
        <v>1</v>
      </c>
      <c r="EA77" s="147">
        <v>-1</v>
      </c>
      <c r="EB77" s="147">
        <v>4.1666666666666699E-2</v>
      </c>
      <c r="EC77" s="147">
        <v>8.3333333333333301E-2</v>
      </c>
      <c r="ED77" s="147">
        <v>8.3333333333333301E-2</v>
      </c>
      <c r="EE77" s="123" t="s">
        <v>284</v>
      </c>
      <c r="EF77" s="123" t="s">
        <v>326</v>
      </c>
      <c r="EG77" s="123" t="e">
        <v>#VALUE!</v>
      </c>
      <c r="EH77" s="123" t="s">
        <v>285</v>
      </c>
      <c r="EI77" s="123" t="s">
        <v>344</v>
      </c>
      <c r="EJ77" s="123" t="e">
        <v>#VALUE!</v>
      </c>
      <c r="EK77" s="123" t="s">
        <v>286</v>
      </c>
      <c r="EL77" s="123" t="s">
        <v>328</v>
      </c>
      <c r="EM77" s="123" t="e">
        <v>#VALUE!</v>
      </c>
      <c r="EN77" s="123" t="s">
        <v>287</v>
      </c>
      <c r="EO77" s="123" t="s">
        <v>328</v>
      </c>
      <c r="EP77" s="123" t="e">
        <v>#VALUE!</v>
      </c>
      <c r="EQ77" s="123"/>
      <c r="ER77" s="123"/>
      <c r="ES77" s="123"/>
    </row>
    <row r="78" spans="1:149" s="9" customFormat="1" ht="15" customHeight="1" x14ac:dyDescent="0.15">
      <c r="A78" s="123"/>
      <c r="B78" s="124"/>
      <c r="C78" s="40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>
        <v>10240102</v>
      </c>
      <c r="AC78" s="138" t="s">
        <v>346</v>
      </c>
      <c r="AD78" s="123"/>
      <c r="AE78" s="123" t="s">
        <v>129</v>
      </c>
      <c r="AF78" s="123" t="s">
        <v>314</v>
      </c>
      <c r="AG78" s="123"/>
      <c r="AH78" s="123"/>
      <c r="AI78" s="123"/>
      <c r="AJ78" s="123">
        <v>3</v>
      </c>
      <c r="AK78" s="123"/>
      <c r="AL78" s="147"/>
      <c r="AM78" s="147"/>
      <c r="AN78" s="147"/>
      <c r="AO78" s="147"/>
      <c r="AP78" s="147"/>
      <c r="AQ78" s="147"/>
      <c r="AR78" s="147"/>
      <c r="AS78" s="123"/>
      <c r="AT78" s="123"/>
      <c r="AU78" s="147"/>
      <c r="AV78" s="147"/>
      <c r="AW78" s="147"/>
      <c r="AX78" s="147"/>
      <c r="AY78" s="147"/>
      <c r="AZ78" s="147"/>
      <c r="BA78" s="147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" t="b">
        <v>1</v>
      </c>
      <c r="DK78" s="123"/>
      <c r="DL78" s="123"/>
      <c r="DM78" s="123"/>
      <c r="DN78" s="123"/>
      <c r="DO78" s="123"/>
      <c r="DP78" s="96"/>
      <c r="DQ78" s="138"/>
      <c r="DR78" s="57" t="str">
        <f t="shared" si="2"/>
        <v/>
      </c>
      <c r="DS78" s="123"/>
      <c r="DT78" s="123"/>
      <c r="DU78" s="1" t="s">
        <v>280</v>
      </c>
      <c r="DV78" s="147"/>
      <c r="DW78" s="123"/>
      <c r="DX78" s="123"/>
      <c r="DY78" s="147"/>
      <c r="DZ78" s="123"/>
      <c r="EA78" s="147"/>
      <c r="EB78" s="147"/>
      <c r="EC78" s="147"/>
      <c r="ED78" s="147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3"/>
      <c r="EP78" s="123"/>
      <c r="EQ78" s="123"/>
      <c r="ER78" s="123"/>
      <c r="ES78" s="123"/>
    </row>
    <row r="79" spans="1:149" s="9" customFormat="1" ht="43.5" customHeight="1" x14ac:dyDescent="0.15">
      <c r="A79" s="2">
        <v>170513</v>
      </c>
      <c r="B79" s="121" t="s">
        <v>456</v>
      </c>
      <c r="C79" s="40" t="s">
        <v>457</v>
      </c>
      <c r="D79" s="2" t="s">
        <v>453</v>
      </c>
      <c r="E79" s="2"/>
      <c r="F79" s="2"/>
      <c r="G79" s="2"/>
      <c r="H79" s="2">
        <v>0</v>
      </c>
      <c r="I79" s="2"/>
      <c r="J79" s="2"/>
      <c r="K79" s="2"/>
      <c r="L79" s="2">
        <v>0</v>
      </c>
      <c r="M79" s="2"/>
      <c r="N79" s="2"/>
      <c r="O79" s="2"/>
      <c r="P79" s="2" t="s">
        <v>268</v>
      </c>
      <c r="Q79" s="2" t="s">
        <v>269</v>
      </c>
      <c r="R79" s="2"/>
      <c r="S79" s="2"/>
      <c r="T79" s="2"/>
      <c r="U79" s="2"/>
      <c r="V79" s="2"/>
      <c r="W79" s="2"/>
      <c r="X79" s="2">
        <v>1</v>
      </c>
      <c r="Y79" s="2">
        <v>0</v>
      </c>
      <c r="Z79" s="2">
        <v>0</v>
      </c>
      <c r="AA79" s="2"/>
      <c r="AB79" s="2">
        <v>3001</v>
      </c>
      <c r="AC79" s="2" t="s">
        <v>337</v>
      </c>
      <c r="AD79" s="2" t="s">
        <v>330</v>
      </c>
      <c r="AE79" s="2"/>
      <c r="AF79" s="2"/>
      <c r="AG79" s="2"/>
      <c r="AH79" s="2"/>
      <c r="AI79" s="2"/>
      <c r="AJ79" s="2"/>
      <c r="AK79" s="2"/>
      <c r="AL79" s="71"/>
      <c r="AM79" s="71"/>
      <c r="AN79" s="71"/>
      <c r="AO79" s="71"/>
      <c r="AP79" s="71"/>
      <c r="AQ79" s="71"/>
      <c r="AR79" s="71"/>
      <c r="AS79" s="2"/>
      <c r="AT79" s="2"/>
      <c r="AU79" s="71"/>
      <c r="AV79" s="71"/>
      <c r="AW79" s="71"/>
      <c r="AX79" s="71"/>
      <c r="AY79" s="71"/>
      <c r="AZ79" s="71"/>
      <c r="BA79" s="71" t="s">
        <v>270</v>
      </c>
      <c r="BB79" s="2">
        <v>120</v>
      </c>
      <c r="BC79" s="2">
        <v>0</v>
      </c>
      <c r="BD79" s="2"/>
      <c r="BE79" s="2"/>
      <c r="BF79" s="2">
        <v>0</v>
      </c>
      <c r="BG79" s="2">
        <v>0</v>
      </c>
      <c r="BH79" s="2">
        <v>0</v>
      </c>
      <c r="BI79" s="2"/>
      <c r="BJ79" s="2" t="s">
        <v>270</v>
      </c>
      <c r="BK79" s="2"/>
      <c r="BL79" s="2"/>
      <c r="BM79" s="2"/>
      <c r="BN79" s="2"/>
      <c r="BO79" s="2"/>
      <c r="BP79" s="2"/>
      <c r="BQ79" s="2"/>
      <c r="BR79" s="2"/>
      <c r="BS79" s="2" t="s">
        <v>270</v>
      </c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 t="s">
        <v>378</v>
      </c>
      <c r="CG79" s="2"/>
      <c r="CH79" s="2"/>
      <c r="CI79" s="2"/>
      <c r="CJ79" s="2" t="s">
        <v>1</v>
      </c>
      <c r="CK79" s="58" t="s">
        <v>379</v>
      </c>
      <c r="CL79" s="58"/>
      <c r="CM79" s="10">
        <v>999</v>
      </c>
      <c r="CN79" s="2">
        <v>0</v>
      </c>
      <c r="CO79" s="2">
        <v>0</v>
      </c>
      <c r="CP79" s="2">
        <v>0</v>
      </c>
      <c r="CQ79" s="2">
        <v>0</v>
      </c>
      <c r="CR79" s="2"/>
      <c r="CS79" s="2">
        <v>5</v>
      </c>
      <c r="CT79" s="2"/>
      <c r="CU79" s="2">
        <v>20</v>
      </c>
      <c r="CV79" s="1" t="s">
        <v>458</v>
      </c>
      <c r="CW79" s="2" t="b">
        <v>0</v>
      </c>
      <c r="CX79" s="158" t="s">
        <v>273</v>
      </c>
      <c r="CY79" s="2"/>
      <c r="CZ79" s="2"/>
      <c r="DA79" s="2"/>
      <c r="DB79" s="2">
        <v>102401</v>
      </c>
      <c r="DC79" s="2" t="b">
        <v>1</v>
      </c>
      <c r="DD79" s="162" t="s">
        <v>274</v>
      </c>
      <c r="DE79" s="2" t="s">
        <v>380</v>
      </c>
      <c r="DF79" s="162" t="s">
        <v>276</v>
      </c>
      <c r="DG79" s="162" t="s">
        <v>293</v>
      </c>
      <c r="DH79" s="162">
        <v>4</v>
      </c>
      <c r="DI79" s="162" t="b">
        <v>0</v>
      </c>
      <c r="DJ79" s="1" t="b">
        <v>1</v>
      </c>
      <c r="DK79" s="2"/>
      <c r="DL79" s="2"/>
      <c r="DM79" s="2"/>
      <c r="DN79" s="1"/>
      <c r="DO79" s="1"/>
      <c r="DP79" s="96" t="s">
        <v>459</v>
      </c>
      <c r="DQ79" s="165" t="s">
        <v>460</v>
      </c>
      <c r="DR79" s="57" t="e">
        <f t="shared" si="2"/>
        <v>#VALUE!</v>
      </c>
      <c r="DS79" s="165" t="s">
        <v>461</v>
      </c>
      <c r="DT79" s="165"/>
      <c r="DU79" s="1" t="s">
        <v>280</v>
      </c>
      <c r="DV79" s="71"/>
      <c r="DW79" s="2"/>
      <c r="DX79" s="2"/>
      <c r="DY79" s="1"/>
      <c r="DZ79" s="174">
        <v>1</v>
      </c>
      <c r="EA79" s="71" t="s">
        <v>281</v>
      </c>
      <c r="EB79" s="71" t="s">
        <v>282</v>
      </c>
      <c r="EC79" s="71" t="s">
        <v>283</v>
      </c>
      <c r="ED79" s="71" t="s">
        <v>283</v>
      </c>
      <c r="EE79" s="2" t="s">
        <v>284</v>
      </c>
      <c r="EF79" s="2" t="s">
        <v>326</v>
      </c>
      <c r="EG79" s="2" t="e">
        <v>#VALUE!</v>
      </c>
      <c r="EH79" s="2" t="s">
        <v>285</v>
      </c>
      <c r="EI79" s="2" t="s">
        <v>344</v>
      </c>
      <c r="EJ79" s="2" t="e">
        <v>#VALUE!</v>
      </c>
      <c r="EK79" s="2" t="s">
        <v>286</v>
      </c>
      <c r="EL79" s="2" t="s">
        <v>328</v>
      </c>
      <c r="EM79" s="2" t="e">
        <v>#VALUE!</v>
      </c>
      <c r="EN79" s="2" t="s">
        <v>287</v>
      </c>
      <c r="EO79" s="2" t="s">
        <v>328</v>
      </c>
      <c r="EP79" s="2" t="e">
        <v>#VALUE!</v>
      </c>
      <c r="EQ79" s="2"/>
      <c r="ER79" s="2"/>
      <c r="ES79" s="2"/>
    </row>
    <row r="80" spans="1:149" s="9" customFormat="1" ht="15" customHeight="1" x14ac:dyDescent="0.15">
      <c r="A80" s="2"/>
      <c r="B80" s="121"/>
      <c r="C80" s="40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107">
        <v>17050501</v>
      </c>
      <c r="AC80" s="2" t="s">
        <v>384</v>
      </c>
      <c r="AD80" s="2" t="s">
        <v>330</v>
      </c>
      <c r="AE80" s="2" t="s">
        <v>291</v>
      </c>
      <c r="AF80" s="2" t="s">
        <v>314</v>
      </c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1" t="b">
        <v>1</v>
      </c>
      <c r="DK80" s="2"/>
      <c r="DL80" s="2"/>
      <c r="DM80" s="2"/>
      <c r="DN80" s="2"/>
      <c r="DO80" s="2"/>
      <c r="DP80" s="96"/>
      <c r="DQ80" s="2"/>
      <c r="DR80" s="57" t="str">
        <f t="shared" si="2"/>
        <v/>
      </c>
      <c r="DS80" s="2"/>
      <c r="DT80" s="2"/>
      <c r="DU80" s="1" t="s">
        <v>280</v>
      </c>
      <c r="DV80" s="71"/>
      <c r="DW80" s="2"/>
      <c r="DX80" s="2"/>
      <c r="DY80" s="71"/>
      <c r="DZ80" s="2"/>
      <c r="EA80" s="71"/>
      <c r="EB80" s="71"/>
      <c r="EC80" s="71"/>
      <c r="ED80" s="71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</row>
    <row r="81" spans="1:149" s="9" customFormat="1" ht="15" customHeight="1" x14ac:dyDescent="0.15">
      <c r="A81" s="2"/>
      <c r="B81" s="121"/>
      <c r="C81" s="40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107">
        <v>17050502</v>
      </c>
      <c r="AC81" s="2" t="s">
        <v>385</v>
      </c>
      <c r="AD81" s="2"/>
      <c r="AE81" s="2" t="s">
        <v>291</v>
      </c>
      <c r="AF81" s="2" t="s">
        <v>314</v>
      </c>
      <c r="AG81" s="2"/>
      <c r="AH81" s="2"/>
      <c r="AI81" s="2"/>
      <c r="AJ81" s="2">
        <v>8</v>
      </c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1" t="b">
        <v>1</v>
      </c>
      <c r="DK81" s="2"/>
      <c r="DL81" s="2"/>
      <c r="DM81" s="2"/>
      <c r="DN81" s="2"/>
      <c r="DO81" s="2"/>
      <c r="DP81" s="96"/>
      <c r="DQ81" s="2"/>
      <c r="DR81" s="57" t="str">
        <f t="shared" si="2"/>
        <v/>
      </c>
      <c r="DS81" s="2"/>
      <c r="DT81" s="2"/>
      <c r="DU81" s="1" t="s">
        <v>280</v>
      </c>
      <c r="DV81" s="71"/>
      <c r="DW81" s="2"/>
      <c r="DX81" s="2"/>
      <c r="DY81" s="71"/>
      <c r="DZ81" s="2"/>
      <c r="EA81" s="71"/>
      <c r="EB81" s="71"/>
      <c r="EC81" s="71"/>
      <c r="ED81" s="71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</row>
    <row r="82" spans="1:149" s="9" customFormat="1" ht="15" customHeight="1" x14ac:dyDescent="0.15">
      <c r="A82" s="2"/>
      <c r="B82" s="121"/>
      <c r="C82" s="40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>
        <v>17050503</v>
      </c>
      <c r="AC82" s="107" t="s">
        <v>386</v>
      </c>
      <c r="AD82" s="2" t="s">
        <v>330</v>
      </c>
      <c r="AE82" s="2" t="s">
        <v>291</v>
      </c>
      <c r="AF82" s="2" t="s">
        <v>314</v>
      </c>
      <c r="AG82" s="2"/>
      <c r="AH82" s="2"/>
      <c r="AI82" s="2"/>
      <c r="AJ82" s="2"/>
      <c r="AK82" s="2"/>
      <c r="AL82" s="71"/>
      <c r="AM82" s="71"/>
      <c r="AN82" s="71"/>
      <c r="AO82" s="71"/>
      <c r="AP82" s="71"/>
      <c r="AQ82" s="71"/>
      <c r="AR82" s="71"/>
      <c r="AS82" s="2"/>
      <c r="AT82" s="2"/>
      <c r="AU82" s="71"/>
      <c r="AV82" s="71"/>
      <c r="AW82" s="71"/>
      <c r="AX82" s="71"/>
      <c r="AY82" s="71"/>
      <c r="AZ82" s="71"/>
      <c r="BA82" s="71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1" t="b">
        <v>1</v>
      </c>
      <c r="DK82" s="2"/>
      <c r="DL82" s="2"/>
      <c r="DM82" s="2"/>
      <c r="DN82" s="2"/>
      <c r="DO82" s="2"/>
      <c r="DP82" s="96"/>
      <c r="DQ82" s="107"/>
      <c r="DR82" s="57" t="str">
        <f t="shared" si="2"/>
        <v/>
      </c>
      <c r="DS82" s="2"/>
      <c r="DT82" s="2"/>
      <c r="DU82" s="1" t="s">
        <v>280</v>
      </c>
      <c r="DV82" s="71"/>
      <c r="DW82" s="2"/>
      <c r="DX82" s="2"/>
      <c r="DY82" s="71"/>
      <c r="DZ82" s="2"/>
      <c r="EA82" s="71"/>
      <c r="EB82" s="71"/>
      <c r="EC82" s="71"/>
      <c r="ED82" s="71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</row>
    <row r="83" spans="1:149" s="9" customFormat="1" ht="43.5" customHeight="1" x14ac:dyDescent="0.15">
      <c r="A83" s="123">
        <v>170514</v>
      </c>
      <c r="B83" s="124" t="s">
        <v>462</v>
      </c>
      <c r="C83" s="40" t="s">
        <v>463</v>
      </c>
      <c r="D83" s="123" t="s">
        <v>453</v>
      </c>
      <c r="E83" s="123"/>
      <c r="F83" s="123"/>
      <c r="G83" s="123"/>
      <c r="H83" s="123">
        <v>0</v>
      </c>
      <c r="I83" s="123"/>
      <c r="J83" s="123"/>
      <c r="K83" s="123"/>
      <c r="L83" s="123">
        <v>0</v>
      </c>
      <c r="M83" s="123"/>
      <c r="N83" s="123"/>
      <c r="O83" s="123"/>
      <c r="P83" s="123" t="s">
        <v>268</v>
      </c>
      <c r="Q83" s="123" t="s">
        <v>269</v>
      </c>
      <c r="R83" s="123"/>
      <c r="S83" s="123"/>
      <c r="T83" s="123"/>
      <c r="U83" s="123"/>
      <c r="V83" s="123"/>
      <c r="W83" s="123"/>
      <c r="X83" s="123">
        <v>1</v>
      </c>
      <c r="Y83" s="123">
        <v>0</v>
      </c>
      <c r="Z83" s="123">
        <v>0</v>
      </c>
      <c r="AA83" s="123"/>
      <c r="AB83" s="139">
        <v>3001</v>
      </c>
      <c r="AC83" s="139"/>
      <c r="AD83" s="123"/>
      <c r="AE83" s="139"/>
      <c r="AF83" s="139"/>
      <c r="AG83" s="139"/>
      <c r="AH83" s="139"/>
      <c r="AI83" s="139"/>
      <c r="AJ83" s="139"/>
      <c r="AK83" s="139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 t="s">
        <v>270</v>
      </c>
      <c r="BB83" s="123">
        <v>200</v>
      </c>
      <c r="BC83" s="123">
        <v>0</v>
      </c>
      <c r="BD83" s="123"/>
      <c r="BE83" s="123"/>
      <c r="BF83" s="123">
        <v>0</v>
      </c>
      <c r="BG83" s="123">
        <v>0</v>
      </c>
      <c r="BH83" s="123">
        <v>0</v>
      </c>
      <c r="BI83" s="123"/>
      <c r="BJ83" s="123" t="s">
        <v>270</v>
      </c>
      <c r="BK83" s="123"/>
      <c r="BL83" s="123"/>
      <c r="BM83" s="123"/>
      <c r="BN83" s="123"/>
      <c r="BO83" s="123"/>
      <c r="BP83" s="123"/>
      <c r="BQ83" s="123"/>
      <c r="BR83" s="123"/>
      <c r="BS83" s="123" t="s">
        <v>270</v>
      </c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 t="s">
        <v>271</v>
      </c>
      <c r="CG83" s="123"/>
      <c r="CH83" s="123"/>
      <c r="CI83" s="123"/>
      <c r="CJ83" s="123" t="s">
        <v>1</v>
      </c>
      <c r="CK83" s="138" t="s">
        <v>464</v>
      </c>
      <c r="CL83" s="138"/>
      <c r="CM83" s="10">
        <v>999</v>
      </c>
      <c r="CN83" s="123">
        <v>0</v>
      </c>
      <c r="CO83" s="123">
        <v>0</v>
      </c>
      <c r="CP83" s="123">
        <v>0</v>
      </c>
      <c r="CQ83" s="123">
        <v>0</v>
      </c>
      <c r="CR83" s="123"/>
      <c r="CS83" s="123">
        <v>18</v>
      </c>
      <c r="CT83" s="123">
        <v>9</v>
      </c>
      <c r="CU83" s="123">
        <v>24</v>
      </c>
      <c r="CV83" s="1" t="s">
        <v>465</v>
      </c>
      <c r="CW83" s="123" t="b">
        <v>1</v>
      </c>
      <c r="CX83" s="123" t="s">
        <v>273</v>
      </c>
      <c r="CY83" s="123"/>
      <c r="CZ83" s="123"/>
      <c r="DA83" s="123"/>
      <c r="DB83" s="123">
        <v>170501</v>
      </c>
      <c r="DC83" s="123" t="b">
        <v>1</v>
      </c>
      <c r="DD83" s="10" t="s">
        <v>274</v>
      </c>
      <c r="DE83" s="10" t="s">
        <v>340</v>
      </c>
      <c r="DF83" s="10" t="s">
        <v>276</v>
      </c>
      <c r="DG83" s="10" t="s">
        <v>322</v>
      </c>
      <c r="DH83" s="123">
        <v>4</v>
      </c>
      <c r="DI83" s="123" t="b">
        <v>0</v>
      </c>
      <c r="DJ83" s="1" t="b">
        <v>1</v>
      </c>
      <c r="DK83" s="123"/>
      <c r="DL83" s="123"/>
      <c r="DM83" s="123"/>
      <c r="DN83" s="1"/>
      <c r="DO83" s="1"/>
      <c r="DP83" s="96" t="s">
        <v>466</v>
      </c>
      <c r="DQ83" s="123" t="s">
        <v>467</v>
      </c>
      <c r="DR83" s="57" t="e">
        <f t="shared" si="2"/>
        <v>#VALUE!</v>
      </c>
      <c r="DS83" s="123" t="s">
        <v>468</v>
      </c>
      <c r="DT83" s="123"/>
      <c r="DU83" s="1" t="s">
        <v>280</v>
      </c>
      <c r="DV83" s="147"/>
      <c r="DW83" s="123"/>
      <c r="DX83" s="123"/>
      <c r="DY83" s="1"/>
      <c r="DZ83" s="123">
        <v>1</v>
      </c>
      <c r="EA83" s="147">
        <v>-1</v>
      </c>
      <c r="EB83" s="147">
        <v>4.1666666666666699E-2</v>
      </c>
      <c r="EC83" s="147">
        <v>8.3333333333333301E-2</v>
      </c>
      <c r="ED83" s="147">
        <v>8.3333333333333301E-2</v>
      </c>
      <c r="EE83" s="123" t="s">
        <v>284</v>
      </c>
      <c r="EF83" s="123" t="s">
        <v>326</v>
      </c>
      <c r="EG83" s="123" t="e">
        <v>#VALUE!</v>
      </c>
      <c r="EH83" s="123" t="s">
        <v>285</v>
      </c>
      <c r="EI83" s="123" t="s">
        <v>327</v>
      </c>
      <c r="EJ83" s="123" t="e">
        <v>#VALUE!</v>
      </c>
      <c r="EK83" s="123" t="s">
        <v>286</v>
      </c>
      <c r="EL83" s="123" t="s">
        <v>328</v>
      </c>
      <c r="EM83" s="123" t="e">
        <v>#VALUE!</v>
      </c>
      <c r="EN83" s="123" t="s">
        <v>287</v>
      </c>
      <c r="EO83" s="123" t="s">
        <v>328</v>
      </c>
      <c r="EP83" s="123" t="e">
        <v>#VALUE!</v>
      </c>
      <c r="EQ83" s="123"/>
      <c r="ER83" s="123"/>
      <c r="ES83" s="123"/>
    </row>
    <row r="84" spans="1:149" s="9" customFormat="1" ht="14.25" customHeight="1" x14ac:dyDescent="0.15">
      <c r="A84" s="123"/>
      <c r="B84" s="124"/>
      <c r="C84" s="40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38">
        <v>17050301</v>
      </c>
      <c r="AC84" s="139" t="s">
        <v>329</v>
      </c>
      <c r="AD84" s="123" t="s">
        <v>330</v>
      </c>
      <c r="AE84" s="123" t="s">
        <v>291</v>
      </c>
      <c r="AF84" s="123" t="s">
        <v>314</v>
      </c>
      <c r="AG84" s="123"/>
      <c r="AH84" s="123"/>
      <c r="AI84" s="123"/>
      <c r="AJ84" s="139"/>
      <c r="AK84" s="139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39" t="s">
        <v>331</v>
      </c>
      <c r="BB84" s="137">
        <v>3.5999999999999997E-2</v>
      </c>
      <c r="BC84" s="123">
        <v>0</v>
      </c>
      <c r="BD84" s="123"/>
      <c r="BE84" s="123"/>
      <c r="BF84" s="123">
        <v>0</v>
      </c>
      <c r="BG84" s="123">
        <v>0</v>
      </c>
      <c r="BH84" s="123">
        <v>0</v>
      </c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" t="b">
        <v>1</v>
      </c>
      <c r="DK84" s="123"/>
      <c r="DL84" s="123"/>
      <c r="DM84" s="123"/>
      <c r="DN84" s="123"/>
      <c r="DO84" s="123"/>
      <c r="DP84" s="96"/>
      <c r="DQ84" s="123"/>
      <c r="DR84" s="57" t="str">
        <f t="shared" si="2"/>
        <v/>
      </c>
      <c r="DS84" s="123"/>
      <c r="DT84" s="123"/>
      <c r="DU84" s="1" t="s">
        <v>280</v>
      </c>
      <c r="DV84" s="147"/>
      <c r="DW84" s="123"/>
      <c r="DX84" s="123"/>
      <c r="DY84" s="147"/>
      <c r="DZ84" s="123"/>
      <c r="EA84" s="147"/>
      <c r="EB84" s="147"/>
      <c r="EC84" s="147"/>
      <c r="ED84" s="147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</row>
    <row r="85" spans="1:149" s="9" customFormat="1" ht="14.25" customHeight="1" x14ac:dyDescent="0.15">
      <c r="A85" s="123"/>
      <c r="B85" s="124"/>
      <c r="C85" s="40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>
        <v>17050302</v>
      </c>
      <c r="AC85" s="138" t="s">
        <v>332</v>
      </c>
      <c r="AD85" s="123" t="s">
        <v>333</v>
      </c>
      <c r="AE85" s="123" t="s">
        <v>291</v>
      </c>
      <c r="AF85" s="123" t="s">
        <v>314</v>
      </c>
      <c r="AG85" s="123"/>
      <c r="AH85" s="123"/>
      <c r="AI85" s="123"/>
      <c r="AJ85" s="123">
        <v>-1</v>
      </c>
      <c r="AK85" s="123"/>
      <c r="AL85" s="147"/>
      <c r="AM85" s="147"/>
      <c r="AN85" s="147"/>
      <c r="AO85" s="147"/>
      <c r="AP85" s="147"/>
      <c r="AQ85" s="147"/>
      <c r="AR85" s="147"/>
      <c r="AS85" s="123"/>
      <c r="AT85" s="123"/>
      <c r="AU85" s="147"/>
      <c r="AV85" s="147"/>
      <c r="AW85" s="147"/>
      <c r="AX85" s="147"/>
      <c r="AY85" s="147"/>
      <c r="AZ85" s="147"/>
      <c r="BA85" s="147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" t="b">
        <v>1</v>
      </c>
      <c r="DK85" s="123"/>
      <c r="DL85" s="123"/>
      <c r="DM85" s="123"/>
      <c r="DN85" s="123"/>
      <c r="DO85" s="123"/>
      <c r="DP85" s="96"/>
      <c r="DQ85" s="138"/>
      <c r="DR85" s="57" t="str">
        <f t="shared" si="2"/>
        <v/>
      </c>
      <c r="DS85" s="123"/>
      <c r="DT85" s="123"/>
      <c r="DU85" s="1" t="s">
        <v>280</v>
      </c>
      <c r="DV85" s="147"/>
      <c r="DW85" s="123"/>
      <c r="DX85" s="123"/>
      <c r="DY85" s="147"/>
      <c r="DZ85" s="123"/>
      <c r="EA85" s="147"/>
      <c r="EB85" s="147"/>
      <c r="EC85" s="147"/>
      <c r="ED85" s="147"/>
      <c r="EE85" s="123"/>
      <c r="EF85" s="123"/>
      <c r="EG85" s="123"/>
      <c r="EH85" s="123"/>
      <c r="EI85" s="123"/>
      <c r="EJ85" s="123"/>
      <c r="EK85" s="123"/>
      <c r="EL85" s="123"/>
      <c r="EM85" s="123"/>
      <c r="EN85" s="123"/>
      <c r="EO85" s="123"/>
      <c r="EP85" s="123"/>
      <c r="EQ85" s="123"/>
      <c r="ER85" s="123"/>
      <c r="ES85" s="123"/>
    </row>
    <row r="86" spans="1:149" s="8" customFormat="1" ht="14.25" customHeight="1" x14ac:dyDescent="0.15">
      <c r="A86" s="16">
        <v>170515</v>
      </c>
      <c r="B86" s="125" t="s">
        <v>334</v>
      </c>
      <c r="C86" s="40" t="s">
        <v>335</v>
      </c>
      <c r="D86" s="16" t="s">
        <v>469</v>
      </c>
      <c r="E86" s="16"/>
      <c r="F86" s="16"/>
      <c r="G86" s="16"/>
      <c r="H86" s="16">
        <v>0</v>
      </c>
      <c r="I86" s="16"/>
      <c r="J86" s="16"/>
      <c r="K86" s="16"/>
      <c r="L86" s="16">
        <v>0</v>
      </c>
      <c r="M86" s="16"/>
      <c r="N86" s="16"/>
      <c r="O86" s="16"/>
      <c r="P86" s="16" t="s">
        <v>268</v>
      </c>
      <c r="Q86" s="16" t="s">
        <v>269</v>
      </c>
      <c r="R86" s="16"/>
      <c r="S86" s="16"/>
      <c r="T86" s="16"/>
      <c r="U86" s="16"/>
      <c r="V86" s="16"/>
      <c r="W86" s="16"/>
      <c r="X86" s="16">
        <v>1</v>
      </c>
      <c r="Y86" s="16">
        <v>0</v>
      </c>
      <c r="Z86" s="16">
        <v>0</v>
      </c>
      <c r="AA86" s="16"/>
      <c r="AB86" s="16">
        <v>3001</v>
      </c>
      <c r="AC86" s="140" t="s">
        <v>337</v>
      </c>
      <c r="AD86" s="16"/>
      <c r="AE86" s="16" t="s">
        <v>129</v>
      </c>
      <c r="AF86" s="16" t="s">
        <v>314</v>
      </c>
      <c r="AG86" s="16"/>
      <c r="AH86" s="16"/>
      <c r="AI86" s="16"/>
      <c r="AJ86" s="16"/>
      <c r="AK86" s="16"/>
      <c r="AL86" s="148"/>
      <c r="AM86" s="148"/>
      <c r="AN86" s="148"/>
      <c r="AO86" s="148"/>
      <c r="AP86" s="148"/>
      <c r="AQ86" s="148"/>
      <c r="AR86" s="148"/>
      <c r="AS86" s="16"/>
      <c r="AT86" s="16"/>
      <c r="AU86" s="148"/>
      <c r="AV86" s="148"/>
      <c r="AW86" s="148"/>
      <c r="AX86" s="148"/>
      <c r="AY86" s="148"/>
      <c r="AZ86" s="148"/>
      <c r="BA86" s="148" t="s">
        <v>270</v>
      </c>
      <c r="BB86" s="16">
        <v>200</v>
      </c>
      <c r="BC86" s="16">
        <v>0</v>
      </c>
      <c r="BD86" s="16"/>
      <c r="BE86" s="16"/>
      <c r="BF86" s="16">
        <v>0</v>
      </c>
      <c r="BG86" s="16">
        <v>0</v>
      </c>
      <c r="BH86" s="16">
        <v>0</v>
      </c>
      <c r="BI86" s="16"/>
      <c r="BJ86" s="16" t="s">
        <v>270</v>
      </c>
      <c r="BK86" s="16"/>
      <c r="BL86" s="16"/>
      <c r="BM86" s="16"/>
      <c r="BN86" s="16"/>
      <c r="BO86" s="16"/>
      <c r="BP86" s="16"/>
      <c r="BQ86" s="16"/>
      <c r="BR86" s="16"/>
      <c r="BS86" s="16" t="s">
        <v>270</v>
      </c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 t="s">
        <v>271</v>
      </c>
      <c r="CG86" s="16"/>
      <c r="CH86" s="16"/>
      <c r="CI86" s="16"/>
      <c r="CJ86" s="16" t="s">
        <v>3</v>
      </c>
      <c r="CK86" s="140" t="s">
        <v>443</v>
      </c>
      <c r="CL86" s="140"/>
      <c r="CM86" s="10">
        <v>999</v>
      </c>
      <c r="CN86" s="16">
        <v>0</v>
      </c>
      <c r="CO86" s="16">
        <v>0</v>
      </c>
      <c r="CP86" s="16">
        <v>0</v>
      </c>
      <c r="CQ86" s="16">
        <v>0</v>
      </c>
      <c r="CR86" s="16"/>
      <c r="CS86" s="16">
        <v>15</v>
      </c>
      <c r="CT86" s="16"/>
      <c r="CU86" s="16">
        <v>15</v>
      </c>
      <c r="CV86" s="1" t="s">
        <v>470</v>
      </c>
      <c r="CW86" s="16" t="b">
        <v>0</v>
      </c>
      <c r="CX86" s="16" t="s">
        <v>273</v>
      </c>
      <c r="CY86" s="16"/>
      <c r="CZ86" s="16"/>
      <c r="DA86" s="16"/>
      <c r="DB86" s="16">
        <v>100300</v>
      </c>
      <c r="DC86" s="16" t="b">
        <v>1</v>
      </c>
      <c r="DD86" s="16" t="s">
        <v>274</v>
      </c>
      <c r="DE86" s="16" t="s">
        <v>340</v>
      </c>
      <c r="DF86" s="16" t="s">
        <v>276</v>
      </c>
      <c r="DG86" s="16" t="s">
        <v>277</v>
      </c>
      <c r="DH86" s="16">
        <v>4</v>
      </c>
      <c r="DI86" s="16" t="b">
        <v>0</v>
      </c>
      <c r="DJ86" s="1" t="b">
        <v>1</v>
      </c>
      <c r="DK86" s="16"/>
      <c r="DL86" s="16"/>
      <c r="DM86" s="16"/>
      <c r="DN86" s="1"/>
      <c r="DO86" s="1"/>
      <c r="DP86" s="96" t="s">
        <v>471</v>
      </c>
      <c r="DQ86" s="140" t="s">
        <v>446</v>
      </c>
      <c r="DR86" s="57" t="e">
        <f t="shared" si="2"/>
        <v>#VALUE!</v>
      </c>
      <c r="DS86" s="16" t="s">
        <v>447</v>
      </c>
      <c r="DT86" s="16"/>
      <c r="DU86" s="1" t="s">
        <v>280</v>
      </c>
      <c r="DV86" s="148"/>
      <c r="DW86" s="16"/>
      <c r="DX86" s="16"/>
      <c r="DY86" s="1"/>
      <c r="DZ86" s="16">
        <v>1</v>
      </c>
      <c r="EA86" s="148">
        <v>-1</v>
      </c>
      <c r="EB86" s="148">
        <v>4.1666666666666699E-2</v>
      </c>
      <c r="EC86" s="148">
        <v>8.3333333333333301E-2</v>
      </c>
      <c r="ED86" s="148">
        <v>8.3333333333333301E-2</v>
      </c>
      <c r="EE86" s="16" t="s">
        <v>284</v>
      </c>
      <c r="EF86" s="16" t="s">
        <v>326</v>
      </c>
      <c r="EG86" s="16" t="e">
        <v>#VALUE!</v>
      </c>
      <c r="EH86" s="16" t="s">
        <v>285</v>
      </c>
      <c r="EI86" s="16" t="s">
        <v>344</v>
      </c>
      <c r="EJ86" s="16" t="e">
        <v>#VALUE!</v>
      </c>
      <c r="EK86" s="16" t="s">
        <v>286</v>
      </c>
      <c r="EL86" s="16" t="s">
        <v>345</v>
      </c>
      <c r="EM86" s="16" t="e">
        <v>#VALUE!</v>
      </c>
      <c r="EN86" s="16" t="s">
        <v>287</v>
      </c>
      <c r="EO86" s="16" t="s">
        <v>345</v>
      </c>
      <c r="EP86" s="16" t="e">
        <v>#VALUE!</v>
      </c>
      <c r="EQ86" s="16"/>
      <c r="ER86" s="16"/>
      <c r="ES86" s="16"/>
    </row>
    <row r="87" spans="1:149" s="8" customFormat="1" ht="14.25" customHeight="1" x14ac:dyDescent="0.15">
      <c r="A87" s="16"/>
      <c r="B87" s="126"/>
      <c r="C87" s="40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>
        <v>10240102</v>
      </c>
      <c r="AC87" s="16" t="s">
        <v>346</v>
      </c>
      <c r="AD87" s="16"/>
      <c r="AE87" s="16" t="s">
        <v>129</v>
      </c>
      <c r="AF87" s="16" t="s">
        <v>314</v>
      </c>
      <c r="AG87" s="16"/>
      <c r="AH87" s="16"/>
      <c r="AI87" s="16"/>
      <c r="AJ87" s="16">
        <v>3</v>
      </c>
      <c r="AK87" s="16"/>
      <c r="AL87" s="148"/>
      <c r="AM87" s="148"/>
      <c r="AN87" s="148"/>
      <c r="AO87" s="148"/>
      <c r="AP87" s="148"/>
      <c r="AQ87" s="148"/>
      <c r="AR87" s="148"/>
      <c r="AS87" s="16"/>
      <c r="AT87" s="16"/>
      <c r="AU87" s="148"/>
      <c r="AV87" s="148"/>
      <c r="AW87" s="148"/>
      <c r="AX87" s="148"/>
      <c r="AY87" s="148"/>
      <c r="AZ87" s="148"/>
      <c r="BA87" s="148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40"/>
      <c r="CL87" s="140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59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59"/>
      <c r="DJ87" s="1" t="b">
        <v>1</v>
      </c>
      <c r="DK87" s="16"/>
      <c r="DL87" s="16"/>
      <c r="DM87" s="141"/>
      <c r="DN87" s="141"/>
      <c r="DO87" s="141"/>
      <c r="DP87" s="94"/>
      <c r="DQ87" s="140"/>
      <c r="DR87" s="57" t="str">
        <f t="shared" si="2"/>
        <v/>
      </c>
      <c r="DS87" s="140"/>
      <c r="DT87" s="166"/>
      <c r="DU87" s="1" t="s">
        <v>280</v>
      </c>
      <c r="DV87" s="148"/>
      <c r="DW87" s="16"/>
      <c r="DX87" s="16"/>
      <c r="DY87" s="148"/>
      <c r="DZ87" s="175"/>
      <c r="EA87" s="176"/>
      <c r="EB87" s="176"/>
      <c r="EC87" s="176"/>
      <c r="ED87" s="17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</row>
    <row r="88" spans="1:149" s="8" customFormat="1" ht="14.25" customHeight="1" x14ac:dyDescent="0.15">
      <c r="A88" s="16">
        <v>170516</v>
      </c>
      <c r="B88" s="125" t="s">
        <v>456</v>
      </c>
      <c r="C88" s="40" t="s">
        <v>457</v>
      </c>
      <c r="D88" s="16" t="s">
        <v>469</v>
      </c>
      <c r="E88" s="16"/>
      <c r="F88" s="16"/>
      <c r="G88" s="16"/>
      <c r="H88" s="16">
        <v>0</v>
      </c>
      <c r="I88" s="16"/>
      <c r="J88" s="16"/>
      <c r="K88" s="16"/>
      <c r="L88" s="16">
        <v>0</v>
      </c>
      <c r="M88" s="16"/>
      <c r="N88" s="16"/>
      <c r="O88" s="16"/>
      <c r="P88" s="16" t="s">
        <v>268</v>
      </c>
      <c r="Q88" s="16" t="s">
        <v>269</v>
      </c>
      <c r="R88" s="16"/>
      <c r="S88" s="16"/>
      <c r="T88" s="16"/>
      <c r="U88" s="16"/>
      <c r="V88" s="16"/>
      <c r="W88" s="16"/>
      <c r="X88" s="16">
        <v>1</v>
      </c>
      <c r="Y88" s="16">
        <v>0</v>
      </c>
      <c r="Z88" s="16">
        <v>0</v>
      </c>
      <c r="AA88" s="16"/>
      <c r="AB88" s="141">
        <v>3001</v>
      </c>
      <c r="AC88" s="141" t="s">
        <v>337</v>
      </c>
      <c r="AD88" s="16" t="s">
        <v>330</v>
      </c>
      <c r="AE88" s="141"/>
      <c r="AF88" s="141"/>
      <c r="AG88" s="141"/>
      <c r="AH88" s="141"/>
      <c r="AI88" s="141"/>
      <c r="AJ88" s="141"/>
      <c r="AK88" s="141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 t="s">
        <v>270</v>
      </c>
      <c r="BB88" s="16">
        <v>200</v>
      </c>
      <c r="BC88" s="16">
        <v>0</v>
      </c>
      <c r="BD88" s="16"/>
      <c r="BE88" s="16"/>
      <c r="BF88" s="16">
        <v>0</v>
      </c>
      <c r="BG88" s="16">
        <v>0</v>
      </c>
      <c r="BH88" s="16">
        <v>0</v>
      </c>
      <c r="BI88" s="16"/>
      <c r="BJ88" s="16" t="s">
        <v>270</v>
      </c>
      <c r="BK88" s="16"/>
      <c r="BL88" s="16"/>
      <c r="BM88" s="16"/>
      <c r="BN88" s="16"/>
      <c r="BO88" s="16"/>
      <c r="BP88" s="16"/>
      <c r="BQ88" s="16"/>
      <c r="BR88" s="16"/>
      <c r="BS88" s="16" t="s">
        <v>270</v>
      </c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 t="s">
        <v>378</v>
      </c>
      <c r="CG88" s="16"/>
      <c r="CH88" s="16"/>
      <c r="CI88" s="16"/>
      <c r="CJ88" s="16" t="s">
        <v>1</v>
      </c>
      <c r="CK88" s="58" t="s">
        <v>379</v>
      </c>
      <c r="CL88" s="58"/>
      <c r="CM88" s="10">
        <v>999</v>
      </c>
      <c r="CN88" s="16">
        <v>0</v>
      </c>
      <c r="CO88" s="16">
        <v>0</v>
      </c>
      <c r="CP88" s="16">
        <v>0</v>
      </c>
      <c r="CQ88" s="16">
        <v>0</v>
      </c>
      <c r="CR88" s="16"/>
      <c r="CS88" s="16">
        <v>5</v>
      </c>
      <c r="CT88" s="16"/>
      <c r="CU88" s="16">
        <v>20</v>
      </c>
      <c r="CV88" s="1" t="s">
        <v>472</v>
      </c>
      <c r="CW88" s="16" t="b">
        <v>0</v>
      </c>
      <c r="CX88" s="16" t="s">
        <v>273</v>
      </c>
      <c r="CY88" s="16"/>
      <c r="CZ88" s="16"/>
      <c r="DA88" s="16"/>
      <c r="DB88" s="16">
        <v>102401</v>
      </c>
      <c r="DC88" s="16" t="b">
        <v>1</v>
      </c>
      <c r="DD88" s="16" t="s">
        <v>274</v>
      </c>
      <c r="DE88" s="16" t="s">
        <v>380</v>
      </c>
      <c r="DF88" s="16" t="s">
        <v>276</v>
      </c>
      <c r="DG88" s="16" t="s">
        <v>293</v>
      </c>
      <c r="DH88" s="16">
        <v>4</v>
      </c>
      <c r="DI88" s="16" t="b">
        <v>0</v>
      </c>
      <c r="DJ88" s="1" t="b">
        <v>1</v>
      </c>
      <c r="DK88" s="16"/>
      <c r="DL88" s="16"/>
      <c r="DM88" s="16"/>
      <c r="DN88" s="1"/>
      <c r="DO88" s="1"/>
      <c r="DP88" s="96" t="s">
        <v>473</v>
      </c>
      <c r="DQ88" s="16" t="s">
        <v>460</v>
      </c>
      <c r="DR88" s="57" t="e">
        <f t="shared" si="2"/>
        <v>#VALUE!</v>
      </c>
      <c r="DS88" s="16" t="s">
        <v>461</v>
      </c>
      <c r="DT88" s="16"/>
      <c r="DU88" s="1" t="s">
        <v>280</v>
      </c>
      <c r="DV88" s="148"/>
      <c r="DW88" s="16"/>
      <c r="DX88" s="16"/>
      <c r="DY88" s="1"/>
      <c r="DZ88" s="16">
        <v>1</v>
      </c>
      <c r="EA88" s="148">
        <v>-1</v>
      </c>
      <c r="EB88" s="148">
        <v>4.1666666666666699E-2</v>
      </c>
      <c r="EC88" s="148">
        <v>8.3333333333333301E-2</v>
      </c>
      <c r="ED88" s="148">
        <v>8.3333333333333301E-2</v>
      </c>
      <c r="EE88" s="16" t="s">
        <v>284</v>
      </c>
      <c r="EF88" s="16" t="s">
        <v>326</v>
      </c>
      <c r="EG88" s="16" t="e">
        <v>#VALUE!</v>
      </c>
      <c r="EH88" s="16" t="s">
        <v>285</v>
      </c>
      <c r="EI88" s="16" t="s">
        <v>344</v>
      </c>
      <c r="EJ88" s="16" t="e">
        <v>#VALUE!</v>
      </c>
      <c r="EK88" s="16" t="s">
        <v>286</v>
      </c>
      <c r="EL88" s="16" t="s">
        <v>328</v>
      </c>
      <c r="EM88" s="16" t="e">
        <v>#VALUE!</v>
      </c>
      <c r="EN88" s="16" t="s">
        <v>287</v>
      </c>
      <c r="EO88" s="16" t="s">
        <v>328</v>
      </c>
      <c r="EP88" s="16" t="e">
        <v>#VALUE!</v>
      </c>
      <c r="EQ88" s="16"/>
      <c r="ER88" s="16"/>
      <c r="ES88" s="16"/>
    </row>
    <row r="89" spans="1:149" s="8" customFormat="1" ht="14.25" customHeight="1" x14ac:dyDescent="0.15">
      <c r="A89" s="16"/>
      <c r="B89" s="125"/>
      <c r="C89" s="40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41">
        <v>17050505</v>
      </c>
      <c r="AC89" s="141" t="s">
        <v>384</v>
      </c>
      <c r="AD89" s="16" t="s">
        <v>330</v>
      </c>
      <c r="AE89" s="141" t="s">
        <v>291</v>
      </c>
      <c r="AF89" s="141" t="s">
        <v>314</v>
      </c>
      <c r="AG89" s="141"/>
      <c r="AH89" s="141"/>
      <c r="AI89" s="141"/>
      <c r="AJ89" s="141"/>
      <c r="AK89" s="141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" t="b">
        <v>1</v>
      </c>
      <c r="DK89" s="16"/>
      <c r="DL89" s="16"/>
      <c r="DM89" s="16"/>
      <c r="DN89" s="16"/>
      <c r="DO89" s="16"/>
      <c r="DP89" s="96"/>
      <c r="DQ89" s="16"/>
      <c r="DR89" s="57" t="str">
        <f t="shared" si="2"/>
        <v/>
      </c>
      <c r="DS89" s="16"/>
      <c r="DT89" s="16"/>
      <c r="DU89" s="1" t="s">
        <v>280</v>
      </c>
      <c r="DV89" s="148"/>
      <c r="DW89" s="16"/>
      <c r="DX89" s="16"/>
      <c r="DY89" s="148"/>
      <c r="DZ89" s="16"/>
      <c r="EA89" s="148"/>
      <c r="EB89" s="148"/>
      <c r="EC89" s="148"/>
      <c r="ED89" s="148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</row>
    <row r="90" spans="1:149" s="8" customFormat="1" ht="14.25" customHeight="1" x14ac:dyDescent="0.15">
      <c r="A90" s="16"/>
      <c r="B90" s="125"/>
      <c r="C90" s="40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>
        <v>17050506</v>
      </c>
      <c r="AC90" s="16" t="s">
        <v>385</v>
      </c>
      <c r="AD90" s="16"/>
      <c r="AE90" s="16" t="s">
        <v>291</v>
      </c>
      <c r="AF90" s="16" t="s">
        <v>314</v>
      </c>
      <c r="AG90" s="16"/>
      <c r="AH90" s="16"/>
      <c r="AI90" s="16"/>
      <c r="AJ90" s="16">
        <v>8</v>
      </c>
      <c r="AK90" s="16"/>
      <c r="AL90" s="148"/>
      <c r="AM90" s="148"/>
      <c r="AN90" s="148"/>
      <c r="AO90" s="148"/>
      <c r="AP90" s="148"/>
      <c r="AQ90" s="148"/>
      <c r="AR90" s="148"/>
      <c r="AS90" s="16"/>
      <c r="AT90" s="16"/>
      <c r="AU90" s="148"/>
      <c r="AV90" s="148"/>
      <c r="AW90" s="148"/>
      <c r="AX90" s="148"/>
      <c r="AY90" s="148"/>
      <c r="AZ90" s="148"/>
      <c r="BA90" s="148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40"/>
      <c r="CL90" s="140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59"/>
      <c r="CY90" s="16"/>
      <c r="CZ90" s="16"/>
      <c r="DA90" s="16"/>
      <c r="DB90" s="16"/>
      <c r="DC90" s="16"/>
      <c r="DD90" s="163"/>
      <c r="DE90" s="141"/>
      <c r="DF90" s="163"/>
      <c r="DG90" s="163"/>
      <c r="DH90" s="163"/>
      <c r="DI90" s="163"/>
      <c r="DJ90" s="1" t="b">
        <v>1</v>
      </c>
      <c r="DK90" s="16"/>
      <c r="DL90" s="16"/>
      <c r="DM90" s="16"/>
      <c r="DN90" s="16"/>
      <c r="DO90" s="16"/>
      <c r="DP90" s="96"/>
      <c r="DQ90" s="167"/>
      <c r="DR90" s="57" t="str">
        <f t="shared" si="2"/>
        <v/>
      </c>
      <c r="DS90" s="167"/>
      <c r="DT90" s="168"/>
      <c r="DU90" s="1" t="s">
        <v>280</v>
      </c>
      <c r="DV90" s="148"/>
      <c r="DW90" s="16"/>
      <c r="DX90" s="16"/>
      <c r="DY90" s="148"/>
      <c r="DZ90" s="175"/>
      <c r="EA90" s="176"/>
      <c r="EB90" s="176"/>
      <c r="EC90" s="176"/>
      <c r="ED90" s="17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</row>
    <row r="91" spans="1:149" s="8" customFormat="1" ht="14.25" customHeight="1" x14ac:dyDescent="0.15">
      <c r="A91" s="16"/>
      <c r="B91" s="125"/>
      <c r="C91" s="40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40">
        <v>17050507</v>
      </c>
      <c r="AC91" s="141" t="s">
        <v>386</v>
      </c>
      <c r="AD91" s="16" t="s">
        <v>330</v>
      </c>
      <c r="AE91" s="16" t="s">
        <v>291</v>
      </c>
      <c r="AF91" s="16" t="s">
        <v>314</v>
      </c>
      <c r="AG91" s="16"/>
      <c r="AH91" s="16"/>
      <c r="AI91" s="16"/>
      <c r="AJ91" s="141"/>
      <c r="AK91" s="141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41"/>
      <c r="BB91" s="141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" t="b">
        <v>1</v>
      </c>
      <c r="DK91" s="16"/>
      <c r="DL91" s="16"/>
      <c r="DM91" s="16"/>
      <c r="DN91" s="16"/>
      <c r="DO91" s="16"/>
      <c r="DP91" s="96"/>
      <c r="DQ91" s="16"/>
      <c r="DR91" s="57" t="str">
        <f t="shared" si="2"/>
        <v/>
      </c>
      <c r="DS91" s="16"/>
      <c r="DT91" s="16"/>
      <c r="DU91" s="1" t="s">
        <v>280</v>
      </c>
      <c r="DV91" s="148"/>
      <c r="DW91" s="16"/>
      <c r="DX91" s="16"/>
      <c r="DY91" s="148"/>
      <c r="DZ91" s="16"/>
      <c r="EA91" s="148"/>
      <c r="EB91" s="148"/>
      <c r="EC91" s="148"/>
      <c r="ED91" s="148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</row>
    <row r="92" spans="1:149" s="8" customFormat="1" ht="14.25" customHeight="1" x14ac:dyDescent="0.15">
      <c r="A92" s="16">
        <v>170517</v>
      </c>
      <c r="B92" s="125" t="s">
        <v>462</v>
      </c>
      <c r="C92" s="40" t="s">
        <v>463</v>
      </c>
      <c r="D92" s="16" t="s">
        <v>469</v>
      </c>
      <c r="E92" s="16"/>
      <c r="F92" s="16"/>
      <c r="G92" s="16"/>
      <c r="H92" s="16">
        <v>0</v>
      </c>
      <c r="I92" s="16"/>
      <c r="J92" s="16"/>
      <c r="K92" s="16"/>
      <c r="L92" s="16">
        <v>0</v>
      </c>
      <c r="M92" s="16"/>
      <c r="N92" s="16"/>
      <c r="O92" s="16"/>
      <c r="P92" s="16" t="s">
        <v>268</v>
      </c>
      <c r="Q92" s="16" t="s">
        <v>269</v>
      </c>
      <c r="R92" s="16"/>
      <c r="S92" s="16"/>
      <c r="T92" s="16"/>
      <c r="U92" s="16"/>
      <c r="V92" s="16"/>
      <c r="W92" s="16"/>
      <c r="X92" s="16">
        <v>1</v>
      </c>
      <c r="Y92" s="16">
        <v>0</v>
      </c>
      <c r="Z92" s="16">
        <v>0</v>
      </c>
      <c r="AA92" s="16"/>
      <c r="AB92" s="16">
        <v>3001</v>
      </c>
      <c r="AC92" s="140"/>
      <c r="AD92" s="16"/>
      <c r="AE92" s="16"/>
      <c r="AF92" s="16"/>
      <c r="AG92" s="16"/>
      <c r="AH92" s="16"/>
      <c r="AI92" s="16"/>
      <c r="AJ92" s="16"/>
      <c r="AK92" s="16"/>
      <c r="AL92" s="148"/>
      <c r="AM92" s="148"/>
      <c r="AN92" s="148"/>
      <c r="AO92" s="148"/>
      <c r="AP92" s="148"/>
      <c r="AQ92" s="148"/>
      <c r="AR92" s="148"/>
      <c r="AS92" s="16"/>
      <c r="AT92" s="16"/>
      <c r="AU92" s="148"/>
      <c r="AV92" s="148"/>
      <c r="AW92" s="148"/>
      <c r="AX92" s="148"/>
      <c r="AY92" s="148"/>
      <c r="AZ92" s="148"/>
      <c r="BA92" s="148" t="s">
        <v>270</v>
      </c>
      <c r="BB92" s="16">
        <v>200</v>
      </c>
      <c r="BC92" s="16">
        <v>0</v>
      </c>
      <c r="BD92" s="16"/>
      <c r="BE92" s="16"/>
      <c r="BF92" s="16">
        <v>0</v>
      </c>
      <c r="BG92" s="16">
        <v>0</v>
      </c>
      <c r="BH92" s="16">
        <v>0</v>
      </c>
      <c r="BI92" s="16"/>
      <c r="BJ92" s="16" t="s">
        <v>270</v>
      </c>
      <c r="BK92" s="16"/>
      <c r="BL92" s="16"/>
      <c r="BM92" s="16"/>
      <c r="BN92" s="16"/>
      <c r="BO92" s="16"/>
      <c r="BP92" s="16"/>
      <c r="BQ92" s="16"/>
      <c r="BR92" s="16"/>
      <c r="BS92" s="16" t="s">
        <v>270</v>
      </c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 t="s">
        <v>271</v>
      </c>
      <c r="CG92" s="16"/>
      <c r="CH92" s="16"/>
      <c r="CI92" s="16"/>
      <c r="CJ92" s="16" t="s">
        <v>1</v>
      </c>
      <c r="CK92" s="140" t="s">
        <v>464</v>
      </c>
      <c r="CL92" s="140"/>
      <c r="CM92" s="10">
        <v>999</v>
      </c>
      <c r="CN92" s="16">
        <v>0</v>
      </c>
      <c r="CO92" s="16">
        <v>0</v>
      </c>
      <c r="CP92" s="16">
        <v>0</v>
      </c>
      <c r="CQ92" s="16">
        <v>0</v>
      </c>
      <c r="CR92" s="16"/>
      <c r="CS92" s="16">
        <v>20</v>
      </c>
      <c r="CT92" s="16">
        <v>10</v>
      </c>
      <c r="CU92" s="16">
        <v>28</v>
      </c>
      <c r="CV92" s="1" t="s">
        <v>474</v>
      </c>
      <c r="CW92" s="16" t="b">
        <v>1</v>
      </c>
      <c r="CX92" s="16" t="s">
        <v>273</v>
      </c>
      <c r="CY92" s="16"/>
      <c r="CZ92" s="16"/>
      <c r="DA92" s="16"/>
      <c r="DB92" s="16">
        <v>170501</v>
      </c>
      <c r="DC92" s="16" t="b">
        <v>1</v>
      </c>
      <c r="DD92" s="10" t="s">
        <v>274</v>
      </c>
      <c r="DE92" s="10" t="s">
        <v>340</v>
      </c>
      <c r="DF92" s="10" t="s">
        <v>276</v>
      </c>
      <c r="DG92" s="10" t="s">
        <v>322</v>
      </c>
      <c r="DH92" s="16">
        <v>4</v>
      </c>
      <c r="DI92" s="16" t="b">
        <v>0</v>
      </c>
      <c r="DJ92" s="1" t="b">
        <v>1</v>
      </c>
      <c r="DK92" s="16"/>
      <c r="DL92" s="16"/>
      <c r="DM92" s="16"/>
      <c r="DN92" s="1"/>
      <c r="DO92" s="1"/>
      <c r="DP92" s="96" t="s">
        <v>475</v>
      </c>
      <c r="DQ92" s="140" t="s">
        <v>467</v>
      </c>
      <c r="DR92" s="57" t="e">
        <f t="shared" si="2"/>
        <v>#VALUE!</v>
      </c>
      <c r="DS92" s="16" t="s">
        <v>468</v>
      </c>
      <c r="DT92" s="16"/>
      <c r="DU92" s="1" t="s">
        <v>280</v>
      </c>
      <c r="DV92" s="148"/>
      <c r="DW92" s="16"/>
      <c r="DX92" s="16"/>
      <c r="DY92" s="1"/>
      <c r="DZ92" s="16">
        <v>1</v>
      </c>
      <c r="EA92" s="148">
        <v>-1</v>
      </c>
      <c r="EB92" s="148">
        <v>4.1666666666666699E-2</v>
      </c>
      <c r="EC92" s="148">
        <v>8.3333333333333301E-2</v>
      </c>
      <c r="ED92" s="148">
        <v>8.3333333333333301E-2</v>
      </c>
      <c r="EE92" s="16" t="s">
        <v>284</v>
      </c>
      <c r="EF92" s="16" t="s">
        <v>326</v>
      </c>
      <c r="EG92" s="16" t="e">
        <v>#VALUE!</v>
      </c>
      <c r="EH92" s="16" t="s">
        <v>285</v>
      </c>
      <c r="EI92" s="16" t="s">
        <v>327</v>
      </c>
      <c r="EJ92" s="16" t="e">
        <v>#VALUE!</v>
      </c>
      <c r="EK92" s="16" t="s">
        <v>286</v>
      </c>
      <c r="EL92" s="16" t="s">
        <v>328</v>
      </c>
      <c r="EM92" s="16" t="e">
        <v>#VALUE!</v>
      </c>
      <c r="EN92" s="16" t="s">
        <v>287</v>
      </c>
      <c r="EO92" s="16" t="s">
        <v>328</v>
      </c>
      <c r="EP92" s="16" t="e">
        <v>#VALUE!</v>
      </c>
      <c r="EQ92" s="16"/>
      <c r="ER92" s="16"/>
      <c r="ES92" s="16"/>
    </row>
    <row r="93" spans="1:149" s="8" customFormat="1" ht="14.25" customHeight="1" x14ac:dyDescent="0.15">
      <c r="A93" s="16"/>
      <c r="B93" s="125"/>
      <c r="C93" s="40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>
        <v>17050301</v>
      </c>
      <c r="AC93" s="16" t="s">
        <v>329</v>
      </c>
      <c r="AD93" s="16" t="s">
        <v>330</v>
      </c>
      <c r="AE93" s="16" t="s">
        <v>291</v>
      </c>
      <c r="AF93" s="16" t="s">
        <v>314</v>
      </c>
      <c r="AG93" s="16"/>
      <c r="AH93" s="16"/>
      <c r="AI93" s="16"/>
      <c r="AJ93" s="16"/>
      <c r="AK93" s="16"/>
      <c r="AL93" s="148"/>
      <c r="AM93" s="148"/>
      <c r="AN93" s="148"/>
      <c r="AO93" s="148"/>
      <c r="AP93" s="148"/>
      <c r="AQ93" s="148"/>
      <c r="AR93" s="148"/>
      <c r="AS93" s="16"/>
      <c r="AT93" s="16"/>
      <c r="AU93" s="148"/>
      <c r="AV93" s="148"/>
      <c r="AW93" s="148"/>
      <c r="AX93" s="148"/>
      <c r="AY93" s="148"/>
      <c r="AZ93" s="148"/>
      <c r="BA93" s="148" t="s">
        <v>331</v>
      </c>
      <c r="BB93" s="16">
        <v>4.2000000000000003E-2</v>
      </c>
      <c r="BC93" s="16">
        <v>0</v>
      </c>
      <c r="BD93" s="16"/>
      <c r="BE93" s="16"/>
      <c r="BF93" s="16">
        <v>0</v>
      </c>
      <c r="BG93" s="16">
        <v>0</v>
      </c>
      <c r="BH93" s="16">
        <v>0</v>
      </c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59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59"/>
      <c r="DJ93" s="1" t="b">
        <v>1</v>
      </c>
      <c r="DK93" s="16"/>
      <c r="DL93" s="16"/>
      <c r="DM93" s="16"/>
      <c r="DN93" s="16"/>
      <c r="DO93" s="16"/>
      <c r="DP93" s="96"/>
      <c r="DQ93" s="140"/>
      <c r="DR93" s="57" t="str">
        <f t="shared" si="2"/>
        <v/>
      </c>
      <c r="DS93" s="16"/>
      <c r="DT93" s="16"/>
      <c r="DU93" s="1" t="s">
        <v>280</v>
      </c>
      <c r="DV93" s="148"/>
      <c r="DW93" s="16"/>
      <c r="DX93" s="16"/>
      <c r="DY93" s="148"/>
      <c r="DZ93" s="175"/>
      <c r="EA93" s="176"/>
      <c r="EB93" s="176"/>
      <c r="EC93" s="176"/>
      <c r="ED93" s="17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</row>
    <row r="94" spans="1:149" s="8" customFormat="1" ht="14.25" customHeight="1" x14ac:dyDescent="0.15">
      <c r="A94" s="16"/>
      <c r="B94" s="125"/>
      <c r="C94" s="40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>
        <v>17050302</v>
      </c>
      <c r="AC94" s="16" t="s">
        <v>332</v>
      </c>
      <c r="AD94" s="16" t="s">
        <v>333</v>
      </c>
      <c r="AE94" s="16" t="s">
        <v>291</v>
      </c>
      <c r="AF94" s="16" t="s">
        <v>314</v>
      </c>
      <c r="AG94" s="16"/>
      <c r="AH94" s="16"/>
      <c r="AI94" s="16"/>
      <c r="AJ94" s="16">
        <v>-1</v>
      </c>
      <c r="AK94" s="16"/>
      <c r="AL94" s="148"/>
      <c r="AM94" s="149"/>
      <c r="AN94" s="149"/>
      <c r="AO94" s="149"/>
      <c r="AP94" s="149"/>
      <c r="AQ94" s="149"/>
      <c r="AR94" s="149"/>
      <c r="AS94" s="16"/>
      <c r="AT94" s="16"/>
      <c r="AU94" s="148"/>
      <c r="AV94" s="148"/>
      <c r="AW94" s="148"/>
      <c r="AX94" s="148"/>
      <c r="AY94" s="148"/>
      <c r="AZ94" s="148"/>
      <c r="BA94" s="148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" t="b">
        <v>1</v>
      </c>
      <c r="DK94" s="16"/>
      <c r="DL94" s="16"/>
      <c r="DM94" s="16"/>
      <c r="DN94" s="16"/>
      <c r="DO94" s="16"/>
      <c r="DP94" s="96"/>
      <c r="DQ94" s="140"/>
      <c r="DR94" s="57" t="str">
        <f t="shared" si="2"/>
        <v/>
      </c>
      <c r="DS94" s="16"/>
      <c r="DT94" s="16"/>
      <c r="DU94" s="1" t="s">
        <v>280</v>
      </c>
      <c r="DV94" s="148"/>
      <c r="DW94" s="16"/>
      <c r="DX94" s="16"/>
      <c r="DY94" s="148"/>
      <c r="DZ94" s="16"/>
      <c r="EA94" s="148"/>
      <c r="EB94" s="148"/>
      <c r="EC94" s="148"/>
      <c r="ED94" s="148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</row>
    <row r="95" spans="1:149" s="8" customFormat="1" ht="14.25" customHeight="1" x14ac:dyDescent="0.15">
      <c r="A95" s="9">
        <v>170518</v>
      </c>
      <c r="B95" s="127" t="s">
        <v>476</v>
      </c>
      <c r="C95" s="40" t="s">
        <v>477</v>
      </c>
      <c r="D95" s="9" t="s">
        <v>478</v>
      </c>
      <c r="E95" s="9"/>
      <c r="F95" s="9"/>
      <c r="G95" s="9"/>
      <c r="H95" s="9">
        <v>0</v>
      </c>
      <c r="I95" s="9"/>
      <c r="J95" s="9"/>
      <c r="K95" s="9"/>
      <c r="L95" s="9">
        <v>0</v>
      </c>
      <c r="M95" s="9"/>
      <c r="N95" s="9"/>
      <c r="O95" s="9"/>
      <c r="P95" s="9" t="s">
        <v>268</v>
      </c>
      <c r="Q95" s="9" t="s">
        <v>269</v>
      </c>
      <c r="R95" s="9"/>
      <c r="S95" s="9"/>
      <c r="T95" s="9"/>
      <c r="U95" s="9"/>
      <c r="V95" s="9"/>
      <c r="W95" s="9"/>
      <c r="X95" s="9">
        <v>1</v>
      </c>
      <c r="Y95" s="9">
        <v>0</v>
      </c>
      <c r="Z95" s="9">
        <v>0</v>
      </c>
      <c r="AA95" s="9"/>
      <c r="AB95" s="9">
        <v>3001</v>
      </c>
      <c r="AC95" s="142" t="s">
        <v>337</v>
      </c>
      <c r="AD95" s="9"/>
      <c r="AE95" s="9" t="s">
        <v>129</v>
      </c>
      <c r="AF95" s="9" t="s">
        <v>314</v>
      </c>
      <c r="AG95" s="9"/>
      <c r="AH95" s="9"/>
      <c r="AI95" s="9"/>
      <c r="AJ95" s="9"/>
      <c r="AK95" s="9"/>
      <c r="AL95" s="150"/>
      <c r="AM95" s="150"/>
      <c r="AN95" s="150"/>
      <c r="AO95" s="150"/>
      <c r="AP95" s="150"/>
      <c r="AQ95" s="150"/>
      <c r="AR95" s="150"/>
      <c r="AS95" s="9"/>
      <c r="AT95" s="9"/>
      <c r="AU95" s="150"/>
      <c r="AV95" s="150"/>
      <c r="AW95" s="150"/>
      <c r="AX95" s="150"/>
      <c r="AY95" s="150"/>
      <c r="AZ95" s="150"/>
      <c r="BA95" s="150" t="s">
        <v>270</v>
      </c>
      <c r="BB95" s="9">
        <v>100</v>
      </c>
      <c r="BC95" s="9">
        <v>0</v>
      </c>
      <c r="BD95" s="9"/>
      <c r="BE95" s="9"/>
      <c r="BF95" s="9">
        <v>0</v>
      </c>
      <c r="BG95" s="9">
        <v>0</v>
      </c>
      <c r="BH95" s="9">
        <v>0</v>
      </c>
      <c r="BI95" s="9"/>
      <c r="BJ95" s="9" t="s">
        <v>270</v>
      </c>
      <c r="BK95" s="9"/>
      <c r="BL95" s="9"/>
      <c r="BM95" s="9"/>
      <c r="BN95" s="9"/>
      <c r="BO95" s="9"/>
      <c r="BP95" s="9"/>
      <c r="BQ95" s="9"/>
      <c r="BR95" s="9"/>
      <c r="BS95" s="9" t="s">
        <v>270</v>
      </c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 t="s">
        <v>271</v>
      </c>
      <c r="CG95" s="9"/>
      <c r="CH95" s="9"/>
      <c r="CI95" s="9"/>
      <c r="CJ95" s="9" t="s">
        <v>3</v>
      </c>
      <c r="CK95" s="142" t="s">
        <v>443</v>
      </c>
      <c r="CL95" s="142"/>
      <c r="CM95" s="9">
        <v>999</v>
      </c>
      <c r="CN95" s="9">
        <v>0</v>
      </c>
      <c r="CO95" s="9">
        <v>0</v>
      </c>
      <c r="CP95" s="9">
        <v>0</v>
      </c>
      <c r="CQ95" s="9">
        <v>0</v>
      </c>
      <c r="CR95" s="9"/>
      <c r="CS95" s="9">
        <v>15</v>
      </c>
      <c r="CT95" s="9"/>
      <c r="CU95" s="9">
        <v>15</v>
      </c>
      <c r="CV95" s="1" t="s">
        <v>479</v>
      </c>
      <c r="CW95" s="9" t="b">
        <v>0</v>
      </c>
      <c r="CX95" s="9" t="s">
        <v>273</v>
      </c>
      <c r="CY95" s="9"/>
      <c r="CZ95" s="9"/>
      <c r="DA95" s="9"/>
      <c r="DB95" s="9">
        <v>100300</v>
      </c>
      <c r="DC95" s="9" t="b">
        <v>1</v>
      </c>
      <c r="DD95" s="9" t="s">
        <v>274</v>
      </c>
      <c r="DE95" s="9" t="s">
        <v>340</v>
      </c>
      <c r="DF95" s="9" t="s">
        <v>276</v>
      </c>
      <c r="DG95" s="9" t="s">
        <v>277</v>
      </c>
      <c r="DH95" s="9">
        <v>4</v>
      </c>
      <c r="DI95" s="9" t="b">
        <v>0</v>
      </c>
      <c r="DJ95" s="1" t="b">
        <v>1</v>
      </c>
      <c r="DK95" s="9"/>
      <c r="DL95" s="9"/>
      <c r="DM95" s="9"/>
      <c r="DN95" s="1"/>
      <c r="DO95" s="1"/>
      <c r="DP95" s="96" t="s">
        <v>480</v>
      </c>
      <c r="DQ95" s="142" t="s">
        <v>446</v>
      </c>
      <c r="DR95" s="57" t="e">
        <f t="shared" si="2"/>
        <v>#VALUE!</v>
      </c>
      <c r="DS95" s="9" t="s">
        <v>447</v>
      </c>
      <c r="DT95" s="9"/>
      <c r="DU95" s="1" t="s">
        <v>280</v>
      </c>
      <c r="DV95" s="150"/>
      <c r="DW95" s="9"/>
      <c r="DX95" s="9"/>
      <c r="DY95" s="1"/>
      <c r="DZ95" s="9">
        <v>1</v>
      </c>
      <c r="EA95" s="150">
        <v>-1</v>
      </c>
      <c r="EB95" s="150">
        <v>4.1666666666666699E-2</v>
      </c>
      <c r="EC95" s="150">
        <v>8.3333333333333301E-2</v>
      </c>
      <c r="ED95" s="150">
        <v>8.3333333333333301E-2</v>
      </c>
      <c r="EE95" s="9" t="s">
        <v>284</v>
      </c>
      <c r="EF95" s="9" t="s">
        <v>326</v>
      </c>
      <c r="EG95" s="9" t="e">
        <v>#VALUE!</v>
      </c>
      <c r="EH95" s="9" t="s">
        <v>285</v>
      </c>
      <c r="EI95" s="9" t="s">
        <v>344</v>
      </c>
      <c r="EJ95" s="9" t="e">
        <v>#VALUE!</v>
      </c>
      <c r="EK95" s="9" t="s">
        <v>286</v>
      </c>
      <c r="EL95" s="9" t="s">
        <v>345</v>
      </c>
      <c r="EM95" s="9" t="e">
        <v>#VALUE!</v>
      </c>
      <c r="EN95" s="9" t="s">
        <v>287</v>
      </c>
      <c r="EO95" s="9" t="s">
        <v>345</v>
      </c>
      <c r="EP95" s="9" t="e">
        <v>#VALUE!</v>
      </c>
      <c r="EQ95" s="9"/>
      <c r="ER95" s="9"/>
      <c r="ES95" s="9"/>
    </row>
    <row r="96" spans="1:149" s="8" customFormat="1" ht="14.25" customHeight="1" x14ac:dyDescent="0.15">
      <c r="A96" s="9"/>
      <c r="B96" s="128"/>
      <c r="C96" s="40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>
        <v>10240102</v>
      </c>
      <c r="AC96" s="9" t="s">
        <v>346</v>
      </c>
      <c r="AD96" s="9"/>
      <c r="AE96" s="9" t="s">
        <v>129</v>
      </c>
      <c r="AF96" s="9" t="s">
        <v>314</v>
      </c>
      <c r="AG96" s="9"/>
      <c r="AH96" s="9"/>
      <c r="AI96" s="9"/>
      <c r="AJ96" s="9">
        <v>3</v>
      </c>
      <c r="AK96" s="9"/>
      <c r="AL96" s="150"/>
      <c r="AM96" s="150"/>
      <c r="AN96" s="150"/>
      <c r="AO96" s="150"/>
      <c r="AP96" s="150"/>
      <c r="AQ96" s="150"/>
      <c r="AR96" s="150"/>
      <c r="AS96" s="9"/>
      <c r="AT96" s="9"/>
      <c r="AU96" s="150"/>
      <c r="AV96" s="150"/>
      <c r="AW96" s="150"/>
      <c r="AX96" s="150"/>
      <c r="AY96" s="150"/>
      <c r="AZ96" s="150"/>
      <c r="BA96" s="150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142"/>
      <c r="CL96" s="142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160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160"/>
      <c r="DJ96" s="1" t="b">
        <v>1</v>
      </c>
      <c r="DK96" s="9"/>
      <c r="DL96" s="9"/>
      <c r="DM96" s="143"/>
      <c r="DN96" s="143"/>
      <c r="DO96" s="143"/>
      <c r="DP96" s="94"/>
      <c r="DQ96" s="142"/>
      <c r="DR96" s="57" t="str">
        <f t="shared" si="2"/>
        <v/>
      </c>
      <c r="DS96" s="142"/>
      <c r="DT96" s="169"/>
      <c r="DU96" s="1" t="s">
        <v>280</v>
      </c>
      <c r="DV96" s="150"/>
      <c r="DW96" s="9"/>
      <c r="DX96" s="9"/>
      <c r="DY96" s="150"/>
      <c r="DZ96" s="177"/>
      <c r="EA96" s="178"/>
      <c r="EB96" s="178"/>
      <c r="EC96" s="178"/>
      <c r="ED96" s="178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</row>
    <row r="97" spans="1:149" s="8" customFormat="1" ht="14.25" customHeight="1" x14ac:dyDescent="0.15">
      <c r="A97" s="9">
        <v>170519</v>
      </c>
      <c r="B97" s="127" t="s">
        <v>456</v>
      </c>
      <c r="C97" s="40" t="s">
        <v>457</v>
      </c>
      <c r="D97" s="9" t="s">
        <v>478</v>
      </c>
      <c r="E97" s="9"/>
      <c r="F97" s="9"/>
      <c r="G97" s="9"/>
      <c r="H97" s="9">
        <v>0</v>
      </c>
      <c r="I97" s="9"/>
      <c r="J97" s="9"/>
      <c r="K97" s="9"/>
      <c r="L97" s="9">
        <v>0</v>
      </c>
      <c r="M97" s="9"/>
      <c r="N97" s="9"/>
      <c r="O97" s="9"/>
      <c r="P97" s="9" t="s">
        <v>268</v>
      </c>
      <c r="Q97" s="9" t="s">
        <v>269</v>
      </c>
      <c r="R97" s="9"/>
      <c r="S97" s="9"/>
      <c r="T97" s="9"/>
      <c r="U97" s="9"/>
      <c r="V97" s="9"/>
      <c r="W97" s="9"/>
      <c r="X97" s="9">
        <v>1</v>
      </c>
      <c r="Y97" s="9">
        <v>0</v>
      </c>
      <c r="Z97" s="9">
        <v>0</v>
      </c>
      <c r="AA97" s="9"/>
      <c r="AB97" s="143">
        <v>3001</v>
      </c>
      <c r="AC97" s="143" t="s">
        <v>337</v>
      </c>
      <c r="AD97" s="9" t="s">
        <v>330</v>
      </c>
      <c r="AE97" s="143"/>
      <c r="AF97" s="143"/>
      <c r="AG97" s="143"/>
      <c r="AH97" s="143"/>
      <c r="AI97" s="143"/>
      <c r="AJ97" s="143"/>
      <c r="AK97" s="143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 t="s">
        <v>270</v>
      </c>
      <c r="BB97" s="9">
        <v>50</v>
      </c>
      <c r="BC97" s="9">
        <v>0</v>
      </c>
      <c r="BD97" s="9"/>
      <c r="BE97" s="9"/>
      <c r="BF97" s="9">
        <v>0</v>
      </c>
      <c r="BG97" s="9">
        <v>0</v>
      </c>
      <c r="BH97" s="9">
        <v>0</v>
      </c>
      <c r="BI97" s="9"/>
      <c r="BJ97" s="9" t="s">
        <v>270</v>
      </c>
      <c r="BK97" s="9"/>
      <c r="BL97" s="9"/>
      <c r="BM97" s="9"/>
      <c r="BN97" s="9"/>
      <c r="BO97" s="9"/>
      <c r="BP97" s="9"/>
      <c r="BQ97" s="9"/>
      <c r="BR97" s="9"/>
      <c r="BS97" s="9" t="s">
        <v>270</v>
      </c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 t="s">
        <v>378</v>
      </c>
      <c r="CG97" s="9"/>
      <c r="CH97" s="9"/>
      <c r="CI97" s="9"/>
      <c r="CJ97" s="9" t="s">
        <v>1</v>
      </c>
      <c r="CK97" s="142" t="s">
        <v>379</v>
      </c>
      <c r="CL97" s="142"/>
      <c r="CM97" s="9">
        <v>999</v>
      </c>
      <c r="CN97" s="9">
        <v>0</v>
      </c>
      <c r="CO97" s="9">
        <v>0</v>
      </c>
      <c r="CP97" s="9">
        <v>0</v>
      </c>
      <c r="CQ97" s="9">
        <v>0</v>
      </c>
      <c r="CR97" s="9"/>
      <c r="CS97" s="9">
        <v>5</v>
      </c>
      <c r="CT97" s="9"/>
      <c r="CU97" s="9">
        <v>20</v>
      </c>
      <c r="CV97" s="1" t="s">
        <v>481</v>
      </c>
      <c r="CW97" s="9" t="b">
        <v>0</v>
      </c>
      <c r="CX97" s="9" t="s">
        <v>273</v>
      </c>
      <c r="CY97" s="9"/>
      <c r="CZ97" s="9"/>
      <c r="DA97" s="9"/>
      <c r="DB97" s="9">
        <v>102401</v>
      </c>
      <c r="DC97" s="9" t="b">
        <v>1</v>
      </c>
      <c r="DD97" s="9" t="s">
        <v>274</v>
      </c>
      <c r="DE97" s="9" t="s">
        <v>380</v>
      </c>
      <c r="DF97" s="9" t="s">
        <v>276</v>
      </c>
      <c r="DG97" s="9" t="s">
        <v>293</v>
      </c>
      <c r="DH97" s="9">
        <v>4</v>
      </c>
      <c r="DI97" s="9" t="b">
        <v>0</v>
      </c>
      <c r="DJ97" s="1" t="b">
        <v>1</v>
      </c>
      <c r="DK97" s="9"/>
      <c r="DL97" s="9"/>
      <c r="DM97" s="9"/>
      <c r="DN97" s="1"/>
      <c r="DO97" s="1"/>
      <c r="DP97" s="96" t="s">
        <v>482</v>
      </c>
      <c r="DQ97" s="9" t="s">
        <v>460</v>
      </c>
      <c r="DR97" s="57" t="e">
        <f t="shared" si="2"/>
        <v>#VALUE!</v>
      </c>
      <c r="DS97" s="9" t="s">
        <v>461</v>
      </c>
      <c r="DT97" s="9"/>
      <c r="DU97" s="1" t="s">
        <v>280</v>
      </c>
      <c r="DV97" s="150"/>
      <c r="DW97" s="9"/>
      <c r="DX97" s="9"/>
      <c r="DY97" s="1"/>
      <c r="DZ97" s="9">
        <v>1</v>
      </c>
      <c r="EA97" s="150">
        <v>-1</v>
      </c>
      <c r="EB97" s="150">
        <v>4.1666666666666699E-2</v>
      </c>
      <c r="EC97" s="150">
        <v>8.3333333333333301E-2</v>
      </c>
      <c r="ED97" s="150">
        <v>8.3333333333333301E-2</v>
      </c>
      <c r="EE97" s="9" t="s">
        <v>284</v>
      </c>
      <c r="EF97" s="9" t="s">
        <v>326</v>
      </c>
      <c r="EG97" s="9" t="e">
        <v>#VALUE!</v>
      </c>
      <c r="EH97" s="9" t="s">
        <v>285</v>
      </c>
      <c r="EI97" s="9" t="s">
        <v>344</v>
      </c>
      <c r="EJ97" s="9" t="e">
        <v>#VALUE!</v>
      </c>
      <c r="EK97" s="9" t="s">
        <v>286</v>
      </c>
      <c r="EL97" s="9" t="s">
        <v>328</v>
      </c>
      <c r="EM97" s="9" t="e">
        <v>#VALUE!</v>
      </c>
      <c r="EN97" s="9" t="s">
        <v>287</v>
      </c>
      <c r="EO97" s="9" t="s">
        <v>328</v>
      </c>
      <c r="EP97" s="9" t="e">
        <v>#VALUE!</v>
      </c>
      <c r="EQ97" s="9"/>
      <c r="ER97" s="9"/>
      <c r="ES97" s="9"/>
    </row>
    <row r="98" spans="1:149" s="8" customFormat="1" ht="14.25" customHeight="1" x14ac:dyDescent="0.15">
      <c r="A98" s="9"/>
      <c r="B98" s="127"/>
      <c r="C98" s="40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143">
        <v>17050505</v>
      </c>
      <c r="AC98" s="143" t="s">
        <v>384</v>
      </c>
      <c r="AD98" s="9" t="s">
        <v>330</v>
      </c>
      <c r="AE98" s="143" t="s">
        <v>291</v>
      </c>
      <c r="AF98" s="143" t="s">
        <v>314</v>
      </c>
      <c r="AG98" s="143"/>
      <c r="AH98" s="143"/>
      <c r="AI98" s="143"/>
      <c r="AJ98" s="143"/>
      <c r="AK98" s="143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1" t="b">
        <v>1</v>
      </c>
      <c r="DK98" s="9"/>
      <c r="DL98" s="9"/>
      <c r="DM98" s="9"/>
      <c r="DN98" s="9"/>
      <c r="DO98" s="9"/>
      <c r="DP98" s="96"/>
      <c r="DQ98" s="9"/>
      <c r="DR98" s="57" t="str">
        <f t="shared" si="2"/>
        <v/>
      </c>
      <c r="DS98" s="9"/>
      <c r="DT98" s="9"/>
      <c r="DU98" s="1" t="s">
        <v>280</v>
      </c>
      <c r="DV98" s="150"/>
      <c r="DW98" s="9"/>
      <c r="DX98" s="9"/>
      <c r="DY98" s="150"/>
      <c r="DZ98" s="9"/>
      <c r="EA98" s="150"/>
      <c r="EB98" s="150"/>
      <c r="EC98" s="150"/>
      <c r="ED98" s="150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</row>
    <row r="99" spans="1:149" s="8" customFormat="1" ht="15" customHeight="1" x14ac:dyDescent="0.15">
      <c r="A99" s="9"/>
      <c r="B99" s="127"/>
      <c r="C99" s="40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>
        <v>17050506</v>
      </c>
      <c r="AC99" s="9" t="s">
        <v>385</v>
      </c>
      <c r="AD99" s="9"/>
      <c r="AE99" s="9" t="s">
        <v>291</v>
      </c>
      <c r="AF99" s="9" t="s">
        <v>314</v>
      </c>
      <c r="AG99" s="9"/>
      <c r="AH99" s="9"/>
      <c r="AI99" s="9"/>
      <c r="AJ99" s="9">
        <v>8</v>
      </c>
      <c r="AK99" s="9"/>
      <c r="AL99" s="150"/>
      <c r="AM99" s="150"/>
      <c r="AN99" s="150"/>
      <c r="AO99" s="150"/>
      <c r="AP99" s="150"/>
      <c r="AQ99" s="150"/>
      <c r="AR99" s="150"/>
      <c r="AS99" s="9"/>
      <c r="AT99" s="9"/>
      <c r="AU99" s="150"/>
      <c r="AV99" s="150"/>
      <c r="AW99" s="150"/>
      <c r="AX99" s="150"/>
      <c r="AY99" s="150"/>
      <c r="AZ99" s="150"/>
      <c r="BA99" s="150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142"/>
      <c r="CL99" s="142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160"/>
      <c r="CY99" s="9"/>
      <c r="CZ99" s="9"/>
      <c r="DA99" s="9"/>
      <c r="DB99" s="9"/>
      <c r="DC99" s="9"/>
      <c r="DD99" s="164"/>
      <c r="DE99" s="143"/>
      <c r="DF99" s="164"/>
      <c r="DG99" s="164"/>
      <c r="DH99" s="164"/>
      <c r="DI99" s="164"/>
      <c r="DJ99" s="1" t="b">
        <v>1</v>
      </c>
      <c r="DK99" s="9"/>
      <c r="DL99" s="9"/>
      <c r="DM99" s="9"/>
      <c r="DN99" s="9"/>
      <c r="DO99" s="9"/>
      <c r="DP99" s="96"/>
      <c r="DQ99" s="170"/>
      <c r="DR99" s="57" t="str">
        <f t="shared" si="2"/>
        <v/>
      </c>
      <c r="DS99" s="170"/>
      <c r="DT99" s="171"/>
      <c r="DU99" s="1" t="s">
        <v>280</v>
      </c>
      <c r="DV99" s="150"/>
      <c r="DW99" s="9"/>
      <c r="DX99" s="9"/>
      <c r="DY99" s="150"/>
      <c r="DZ99" s="177"/>
      <c r="EA99" s="178"/>
      <c r="EB99" s="178"/>
      <c r="EC99" s="178"/>
      <c r="ED99" s="178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</row>
    <row r="100" spans="1:149" s="8" customFormat="1" ht="29.25" customHeight="1" x14ac:dyDescent="0.15">
      <c r="A100" s="9"/>
      <c r="B100" s="127"/>
      <c r="C100" s="40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142">
        <v>17050507</v>
      </c>
      <c r="AC100" s="143" t="s">
        <v>386</v>
      </c>
      <c r="AD100" s="9" t="s">
        <v>330</v>
      </c>
      <c r="AE100" s="9" t="s">
        <v>291</v>
      </c>
      <c r="AF100" s="9" t="s">
        <v>314</v>
      </c>
      <c r="AG100" s="9"/>
      <c r="AH100" s="9"/>
      <c r="AI100" s="9"/>
      <c r="AJ100" s="143"/>
      <c r="AK100" s="143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143"/>
      <c r="BB100" s="143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1" t="b">
        <v>1</v>
      </c>
      <c r="DK100" s="9"/>
      <c r="DL100" s="9"/>
      <c r="DM100" s="9"/>
      <c r="DN100" s="9"/>
      <c r="DO100" s="9"/>
      <c r="DP100" s="96"/>
      <c r="DQ100" s="9"/>
      <c r="DR100" s="57" t="str">
        <f t="shared" si="2"/>
        <v/>
      </c>
      <c r="DS100" s="9"/>
      <c r="DT100" s="9"/>
      <c r="DU100" s="1" t="s">
        <v>280</v>
      </c>
      <c r="DV100" s="150"/>
      <c r="DW100" s="9"/>
      <c r="DX100" s="9"/>
      <c r="DY100" s="150"/>
      <c r="DZ100" s="9"/>
      <c r="EA100" s="150"/>
      <c r="EB100" s="150"/>
      <c r="EC100" s="150"/>
      <c r="ED100" s="150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</row>
    <row r="101" spans="1:149" s="8" customFormat="1" ht="14.25" customHeight="1" x14ac:dyDescent="0.15">
      <c r="A101" s="9">
        <v>170520</v>
      </c>
      <c r="B101" s="127" t="s">
        <v>462</v>
      </c>
      <c r="C101" s="40" t="s">
        <v>463</v>
      </c>
      <c r="D101" s="9" t="s">
        <v>478</v>
      </c>
      <c r="E101" s="9"/>
      <c r="F101" s="9"/>
      <c r="G101" s="9"/>
      <c r="H101" s="9">
        <v>0</v>
      </c>
      <c r="I101" s="9"/>
      <c r="J101" s="9"/>
      <c r="K101" s="9"/>
      <c r="L101" s="9">
        <v>0</v>
      </c>
      <c r="M101" s="9"/>
      <c r="N101" s="9"/>
      <c r="O101" s="9"/>
      <c r="P101" s="9" t="s">
        <v>268</v>
      </c>
      <c r="Q101" s="9" t="s">
        <v>269</v>
      </c>
      <c r="R101" s="9"/>
      <c r="S101" s="9"/>
      <c r="T101" s="9"/>
      <c r="U101" s="9"/>
      <c r="V101" s="9"/>
      <c r="W101" s="9"/>
      <c r="X101" s="9">
        <v>1</v>
      </c>
      <c r="Y101" s="9">
        <v>0</v>
      </c>
      <c r="Z101" s="9">
        <v>0</v>
      </c>
      <c r="AA101" s="9"/>
      <c r="AB101" s="9">
        <v>3001</v>
      </c>
      <c r="AC101" s="142"/>
      <c r="AD101" s="9"/>
      <c r="AE101" s="9"/>
      <c r="AF101" s="9"/>
      <c r="AG101" s="9"/>
      <c r="AH101" s="9"/>
      <c r="AI101" s="9"/>
      <c r="AJ101" s="9"/>
      <c r="AK101" s="9"/>
      <c r="AL101" s="150"/>
      <c r="AM101" s="150"/>
      <c r="AN101" s="150"/>
      <c r="AO101" s="150"/>
      <c r="AP101" s="150"/>
      <c r="AQ101" s="150"/>
      <c r="AR101" s="150"/>
      <c r="AS101" s="9"/>
      <c r="AT101" s="9"/>
      <c r="AU101" s="150"/>
      <c r="AV101" s="150"/>
      <c r="AW101" s="150"/>
      <c r="AX101" s="150"/>
      <c r="AY101" s="150"/>
      <c r="AZ101" s="150"/>
      <c r="BA101" s="150" t="s">
        <v>270</v>
      </c>
      <c r="BB101" s="9">
        <v>150</v>
      </c>
      <c r="BC101" s="9">
        <v>0</v>
      </c>
      <c r="BD101" s="9"/>
      <c r="BE101" s="9"/>
      <c r="BF101" s="9">
        <v>0</v>
      </c>
      <c r="BG101" s="9">
        <v>0</v>
      </c>
      <c r="BH101" s="9">
        <v>0</v>
      </c>
      <c r="BI101" s="9"/>
      <c r="BJ101" s="9" t="s">
        <v>270</v>
      </c>
      <c r="BK101" s="9"/>
      <c r="BL101" s="9"/>
      <c r="BM101" s="9"/>
      <c r="BN101" s="9"/>
      <c r="BO101" s="9"/>
      <c r="BP101" s="9"/>
      <c r="BQ101" s="9"/>
      <c r="BR101" s="9"/>
      <c r="BS101" s="9" t="s">
        <v>270</v>
      </c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 t="s">
        <v>271</v>
      </c>
      <c r="CG101" s="9"/>
      <c r="CH101" s="9"/>
      <c r="CI101" s="9"/>
      <c r="CJ101" s="9" t="s">
        <v>1</v>
      </c>
      <c r="CK101" s="142" t="s">
        <v>464</v>
      </c>
      <c r="CL101" s="142"/>
      <c r="CM101" s="9">
        <v>999</v>
      </c>
      <c r="CN101" s="9">
        <v>0</v>
      </c>
      <c r="CO101" s="9">
        <v>0</v>
      </c>
      <c r="CP101" s="9">
        <v>0</v>
      </c>
      <c r="CQ101" s="9">
        <v>0</v>
      </c>
      <c r="CR101" s="9"/>
      <c r="CS101" s="9">
        <v>20</v>
      </c>
      <c r="CT101" s="9">
        <v>10</v>
      </c>
      <c r="CU101" s="9">
        <v>28</v>
      </c>
      <c r="CV101" s="1" t="s">
        <v>483</v>
      </c>
      <c r="CW101" s="9" t="b">
        <v>1</v>
      </c>
      <c r="CX101" s="9" t="s">
        <v>273</v>
      </c>
      <c r="CY101" s="9"/>
      <c r="CZ101" s="9"/>
      <c r="DA101" s="9"/>
      <c r="DB101" s="9">
        <v>170501</v>
      </c>
      <c r="DC101" s="9" t="b">
        <v>1</v>
      </c>
      <c r="DD101" s="10" t="s">
        <v>274</v>
      </c>
      <c r="DE101" s="10" t="s">
        <v>340</v>
      </c>
      <c r="DF101" s="10" t="s">
        <v>276</v>
      </c>
      <c r="DG101" s="10" t="s">
        <v>322</v>
      </c>
      <c r="DH101" s="9">
        <v>4</v>
      </c>
      <c r="DI101" s="9" t="b">
        <v>0</v>
      </c>
      <c r="DJ101" s="1" t="b">
        <v>1</v>
      </c>
      <c r="DK101" s="9"/>
      <c r="DL101" s="9"/>
      <c r="DM101" s="9"/>
      <c r="DN101" s="1"/>
      <c r="DO101" s="1"/>
      <c r="DP101" s="96" t="s">
        <v>484</v>
      </c>
      <c r="DQ101" s="142" t="s">
        <v>467</v>
      </c>
      <c r="DR101" s="57" t="e">
        <f t="shared" si="2"/>
        <v>#VALUE!</v>
      </c>
      <c r="DS101" s="9" t="s">
        <v>468</v>
      </c>
      <c r="DT101" s="9"/>
      <c r="DU101" s="1" t="s">
        <v>280</v>
      </c>
      <c r="DV101" s="150"/>
      <c r="DW101" s="9"/>
      <c r="DX101" s="9"/>
      <c r="DY101" s="1"/>
      <c r="DZ101" s="9">
        <v>1</v>
      </c>
      <c r="EA101" s="150">
        <v>-1</v>
      </c>
      <c r="EB101" s="150">
        <v>4.1666666666666699E-2</v>
      </c>
      <c r="EC101" s="150">
        <v>8.3333333333333301E-2</v>
      </c>
      <c r="ED101" s="150">
        <v>8.3333333333333301E-2</v>
      </c>
      <c r="EE101" s="9" t="s">
        <v>284</v>
      </c>
      <c r="EF101" s="9" t="s">
        <v>326</v>
      </c>
      <c r="EG101" s="9" t="e">
        <v>#VALUE!</v>
      </c>
      <c r="EH101" s="9" t="s">
        <v>285</v>
      </c>
      <c r="EI101" s="9" t="s">
        <v>327</v>
      </c>
      <c r="EJ101" s="9" t="e">
        <v>#VALUE!</v>
      </c>
      <c r="EK101" s="9" t="s">
        <v>286</v>
      </c>
      <c r="EL101" s="9" t="s">
        <v>328</v>
      </c>
      <c r="EM101" s="9" t="e">
        <v>#VALUE!</v>
      </c>
      <c r="EN101" s="9" t="s">
        <v>287</v>
      </c>
      <c r="EO101" s="9" t="s">
        <v>328</v>
      </c>
      <c r="EP101" s="9" t="e">
        <v>#VALUE!</v>
      </c>
      <c r="EQ101" s="9"/>
      <c r="ER101" s="9"/>
      <c r="ES101" s="9"/>
    </row>
    <row r="102" spans="1:149" s="8" customFormat="1" ht="34.5" customHeight="1" x14ac:dyDescent="0.15">
      <c r="A102" s="9"/>
      <c r="B102" s="127"/>
      <c r="C102" s="40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>
        <v>17050301</v>
      </c>
      <c r="AC102" s="9" t="s">
        <v>329</v>
      </c>
      <c r="AD102" s="9" t="s">
        <v>330</v>
      </c>
      <c r="AE102" s="9" t="s">
        <v>291</v>
      </c>
      <c r="AF102" s="9" t="s">
        <v>314</v>
      </c>
      <c r="AG102" s="9"/>
      <c r="AH102" s="9"/>
      <c r="AI102" s="9"/>
      <c r="AJ102" s="9"/>
      <c r="AK102" s="9"/>
      <c r="AL102" s="150"/>
      <c r="AM102" s="150"/>
      <c r="AN102" s="150"/>
      <c r="AO102" s="150"/>
      <c r="AP102" s="150"/>
      <c r="AQ102" s="150"/>
      <c r="AR102" s="150"/>
      <c r="AS102" s="9"/>
      <c r="AT102" s="9"/>
      <c r="AU102" s="150"/>
      <c r="AV102" s="150"/>
      <c r="AW102" s="150"/>
      <c r="AX102" s="150"/>
      <c r="AY102" s="150"/>
      <c r="AZ102" s="150"/>
      <c r="BA102" s="150" t="s">
        <v>331</v>
      </c>
      <c r="BB102" s="9">
        <v>0.2</v>
      </c>
      <c r="BC102" s="9">
        <v>0</v>
      </c>
      <c r="BD102" s="9"/>
      <c r="BE102" s="9"/>
      <c r="BF102" s="9">
        <v>0</v>
      </c>
      <c r="BG102" s="9">
        <v>0</v>
      </c>
      <c r="BH102" s="9">
        <v>0</v>
      </c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160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160"/>
      <c r="DJ102" s="1" t="b">
        <v>1</v>
      </c>
      <c r="DK102" s="9"/>
      <c r="DL102" s="9"/>
      <c r="DM102" s="9"/>
      <c r="DN102" s="9"/>
      <c r="DO102" s="9"/>
      <c r="DP102" s="96"/>
      <c r="DQ102" s="142"/>
      <c r="DR102" s="57" t="str">
        <f t="shared" si="2"/>
        <v/>
      </c>
      <c r="DS102" s="9"/>
      <c r="DT102" s="9"/>
      <c r="DU102" s="1" t="s">
        <v>280</v>
      </c>
      <c r="DV102" s="150"/>
      <c r="DW102" s="9"/>
      <c r="DX102" s="9"/>
      <c r="DY102" s="150"/>
      <c r="DZ102" s="177"/>
      <c r="EA102" s="178"/>
      <c r="EB102" s="178"/>
      <c r="EC102" s="178"/>
      <c r="ED102" s="178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</row>
    <row r="103" spans="1:149" s="8" customFormat="1" ht="14.25" customHeight="1" x14ac:dyDescent="0.15">
      <c r="A103" s="9"/>
      <c r="B103" s="127"/>
      <c r="C103" s="40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>
        <v>17050302</v>
      </c>
      <c r="AC103" s="9" t="s">
        <v>332</v>
      </c>
      <c r="AD103" s="9" t="s">
        <v>333</v>
      </c>
      <c r="AE103" s="9" t="s">
        <v>291</v>
      </c>
      <c r="AF103" s="9" t="s">
        <v>314</v>
      </c>
      <c r="AG103" s="9"/>
      <c r="AH103" s="9"/>
      <c r="AI103" s="9"/>
      <c r="AJ103" s="9">
        <v>-1</v>
      </c>
      <c r="AK103" s="9"/>
      <c r="AL103" s="150"/>
      <c r="AM103" s="151"/>
      <c r="AN103" s="151"/>
      <c r="AO103" s="151"/>
      <c r="AP103" s="151"/>
      <c r="AQ103" s="151"/>
      <c r="AR103" s="151"/>
      <c r="AS103" s="9"/>
      <c r="AT103" s="9"/>
      <c r="AU103" s="150"/>
      <c r="AV103" s="150"/>
      <c r="AW103" s="150"/>
      <c r="AX103" s="150"/>
      <c r="AY103" s="150"/>
      <c r="AZ103" s="150"/>
      <c r="BA103" s="150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1" t="b">
        <v>1</v>
      </c>
      <c r="DK103" s="9"/>
      <c r="DL103" s="9"/>
      <c r="DM103" s="9"/>
      <c r="DN103" s="9"/>
      <c r="DO103" s="9"/>
      <c r="DP103" s="96"/>
      <c r="DQ103" s="142"/>
      <c r="DR103" s="57" t="str">
        <f t="shared" si="2"/>
        <v/>
      </c>
      <c r="DS103" s="9"/>
      <c r="DT103" s="9"/>
      <c r="DU103" s="1" t="s">
        <v>280</v>
      </c>
      <c r="DV103" s="150"/>
      <c r="DW103" s="9"/>
      <c r="DX103" s="9"/>
      <c r="DY103" s="150"/>
      <c r="DZ103" s="9"/>
      <c r="EA103" s="150"/>
      <c r="EB103" s="150"/>
      <c r="EC103" s="150"/>
      <c r="ED103" s="150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</row>
    <row r="104" spans="1:149" s="8" customFormat="1" ht="15" customHeight="1" x14ac:dyDescent="0.15">
      <c r="A104" s="8">
        <v>170521</v>
      </c>
      <c r="B104" s="129" t="s">
        <v>476</v>
      </c>
      <c r="C104" s="40" t="s">
        <v>477</v>
      </c>
      <c r="D104" s="8" t="s">
        <v>485</v>
      </c>
      <c r="H104" s="8">
        <v>0</v>
      </c>
      <c r="L104" s="8">
        <v>0</v>
      </c>
      <c r="P104" s="8" t="s">
        <v>268</v>
      </c>
      <c r="Q104" s="135" t="s">
        <v>269</v>
      </c>
      <c r="R104" s="135"/>
      <c r="S104" s="135"/>
      <c r="X104" s="135">
        <v>1</v>
      </c>
      <c r="Y104" s="135">
        <v>0</v>
      </c>
      <c r="Z104" s="135">
        <v>0</v>
      </c>
      <c r="AA104" s="135"/>
      <c r="AB104" s="8">
        <v>3001</v>
      </c>
      <c r="AC104" s="144" t="s">
        <v>337</v>
      </c>
      <c r="AE104" s="8" t="s">
        <v>129</v>
      </c>
      <c r="AF104" s="8" t="s">
        <v>314</v>
      </c>
      <c r="AL104" s="152"/>
      <c r="AM104" s="152"/>
      <c r="AN104" s="152"/>
      <c r="AO104" s="152"/>
      <c r="AP104" s="152"/>
      <c r="AQ104" s="152"/>
      <c r="AR104" s="152"/>
      <c r="AU104" s="152"/>
      <c r="AV104" s="152"/>
      <c r="AW104" s="152"/>
      <c r="AX104" s="152"/>
      <c r="AY104" s="152"/>
      <c r="AZ104" s="152"/>
      <c r="BA104" s="152" t="s">
        <v>270</v>
      </c>
      <c r="BB104" s="8">
        <v>150</v>
      </c>
      <c r="BC104" s="8">
        <v>0</v>
      </c>
      <c r="BF104" s="8">
        <v>0</v>
      </c>
      <c r="BG104" s="8">
        <v>0</v>
      </c>
      <c r="BH104" s="8">
        <v>0</v>
      </c>
      <c r="BJ104" s="8" t="s">
        <v>270</v>
      </c>
      <c r="BS104" s="8" t="s">
        <v>270</v>
      </c>
      <c r="CF104" s="8" t="s">
        <v>271</v>
      </c>
      <c r="CJ104" s="8" t="s">
        <v>3</v>
      </c>
      <c r="CK104" s="144" t="s">
        <v>486</v>
      </c>
      <c r="CL104" s="144"/>
      <c r="CM104" s="10">
        <v>300</v>
      </c>
      <c r="CN104" s="8">
        <v>0</v>
      </c>
      <c r="CO104" s="8">
        <v>0</v>
      </c>
      <c r="CP104" s="8">
        <v>0</v>
      </c>
      <c r="CQ104" s="8">
        <v>0</v>
      </c>
      <c r="CS104" s="8">
        <v>7</v>
      </c>
      <c r="CU104" s="8">
        <v>10</v>
      </c>
      <c r="CW104" s="8" t="b">
        <v>0</v>
      </c>
      <c r="CX104" s="135" t="s">
        <v>273</v>
      </c>
      <c r="DB104" s="8">
        <v>100300</v>
      </c>
      <c r="DC104" s="8" t="b">
        <v>1</v>
      </c>
      <c r="DD104" s="8" t="s">
        <v>274</v>
      </c>
      <c r="DE104" s="8" t="s">
        <v>340</v>
      </c>
      <c r="DF104" s="8" t="s">
        <v>276</v>
      </c>
      <c r="DG104" s="8" t="s">
        <v>277</v>
      </c>
      <c r="DH104" s="8">
        <v>4</v>
      </c>
      <c r="DI104" s="8" t="b">
        <v>0</v>
      </c>
      <c r="DJ104" s="1" t="b">
        <v>1</v>
      </c>
      <c r="DK104" s="135"/>
      <c r="DL104" s="135"/>
      <c r="DM104" s="135"/>
      <c r="DN104" s="1"/>
      <c r="DO104" s="1"/>
      <c r="DP104" s="96" t="str">
        <f>"SkillDetail_"&amp;A104</f>
        <v>SkillDetail_170521</v>
      </c>
      <c r="DQ104" s="144" t="s">
        <v>487</v>
      </c>
      <c r="DR104" s="57" t="e">
        <f t="shared" si="2"/>
        <v>#VALUE!</v>
      </c>
      <c r="DS104" s="172" t="s">
        <v>488</v>
      </c>
      <c r="DT104" s="172"/>
      <c r="DU104" s="1" t="s">
        <v>280</v>
      </c>
      <c r="DV104" s="152"/>
      <c r="DY104" s="1"/>
      <c r="DZ104" s="145">
        <v>1</v>
      </c>
      <c r="EA104" s="153" t="s">
        <v>281</v>
      </c>
      <c r="EB104" s="153" t="s">
        <v>282</v>
      </c>
      <c r="EC104" s="153" t="s">
        <v>283</v>
      </c>
      <c r="ED104" s="153" t="s">
        <v>283</v>
      </c>
      <c r="EE104" s="8" t="s">
        <v>284</v>
      </c>
      <c r="EF104" s="8" t="s">
        <v>326</v>
      </c>
      <c r="EG104" s="8" t="e">
        <v>#VALUE!</v>
      </c>
      <c r="EH104" s="8" t="s">
        <v>285</v>
      </c>
      <c r="EI104" s="8" t="s">
        <v>344</v>
      </c>
      <c r="EJ104" s="8" t="e">
        <v>#VALUE!</v>
      </c>
      <c r="EK104" s="8" t="s">
        <v>286</v>
      </c>
      <c r="EL104" s="8" t="s">
        <v>328</v>
      </c>
      <c r="EM104" s="8" t="e">
        <v>#VALUE!</v>
      </c>
      <c r="EN104" s="8" t="s">
        <v>287</v>
      </c>
      <c r="EO104" s="8" t="s">
        <v>328</v>
      </c>
      <c r="EP104" s="8" t="e">
        <v>#VALUE!</v>
      </c>
    </row>
    <row r="105" spans="1:149" s="8" customFormat="1" ht="14.25" customHeight="1" x14ac:dyDescent="0.15">
      <c r="B105" s="130"/>
      <c r="C105" s="40"/>
      <c r="D105" s="131"/>
      <c r="E105" s="131"/>
      <c r="F105" s="131"/>
      <c r="G105" s="131"/>
      <c r="AB105" s="8">
        <v>10240102</v>
      </c>
      <c r="AC105" s="8" t="s">
        <v>346</v>
      </c>
      <c r="AE105" s="8" t="s">
        <v>129</v>
      </c>
      <c r="AF105" s="8" t="s">
        <v>314</v>
      </c>
      <c r="AJ105" s="8">
        <v>3</v>
      </c>
      <c r="AL105" s="152"/>
      <c r="AM105" s="152"/>
      <c r="AN105" s="152"/>
      <c r="AO105" s="152"/>
      <c r="AP105" s="152"/>
      <c r="AQ105" s="152"/>
      <c r="AR105" s="152"/>
      <c r="AS105" s="154"/>
      <c r="AT105" s="154"/>
      <c r="AU105" s="152"/>
      <c r="AV105" s="152"/>
      <c r="AW105" s="152"/>
      <c r="AX105" s="152"/>
      <c r="AY105" s="152"/>
      <c r="AZ105" s="152"/>
      <c r="BA105" s="152"/>
      <c r="CX105" s="161"/>
      <c r="DJ105" s="1" t="b">
        <v>1</v>
      </c>
      <c r="DP105" s="96"/>
      <c r="DQ105" s="144"/>
      <c r="DR105" s="57" t="str">
        <f t="shared" si="2"/>
        <v/>
      </c>
      <c r="DU105" s="1" t="s">
        <v>280</v>
      </c>
      <c r="DV105" s="152"/>
      <c r="DY105" s="152"/>
      <c r="EA105" s="152"/>
      <c r="EB105" s="152"/>
      <c r="EC105" s="152"/>
      <c r="ED105" s="152"/>
    </row>
    <row r="106" spans="1:149" s="8" customFormat="1" ht="14.25" customHeight="1" x14ac:dyDescent="0.15">
      <c r="A106" s="8">
        <v>170522</v>
      </c>
      <c r="B106" s="129" t="s">
        <v>462</v>
      </c>
      <c r="C106" s="40" t="s">
        <v>463</v>
      </c>
      <c r="D106" s="8" t="s">
        <v>485</v>
      </c>
      <c r="H106" s="8">
        <v>0</v>
      </c>
      <c r="L106" s="8">
        <v>0</v>
      </c>
      <c r="P106" s="8" t="s">
        <v>268</v>
      </c>
      <c r="Q106" s="135" t="s">
        <v>269</v>
      </c>
      <c r="R106" s="135"/>
      <c r="S106" s="135"/>
      <c r="X106" s="135">
        <v>1</v>
      </c>
      <c r="Y106" s="135">
        <v>0</v>
      </c>
      <c r="Z106" s="135">
        <v>0</v>
      </c>
      <c r="AA106" s="135"/>
      <c r="AB106" s="8">
        <v>3001</v>
      </c>
      <c r="AL106" s="152"/>
      <c r="AM106" s="152"/>
      <c r="AN106" s="152"/>
      <c r="AO106" s="152"/>
      <c r="AP106" s="152"/>
      <c r="AQ106" s="152"/>
      <c r="AR106" s="152"/>
      <c r="AS106" s="154"/>
      <c r="AT106" s="154"/>
      <c r="AU106" s="152"/>
      <c r="AV106" s="152"/>
      <c r="AW106" s="152"/>
      <c r="AX106" s="152"/>
      <c r="AY106" s="152"/>
      <c r="AZ106" s="152"/>
      <c r="BA106" s="152" t="s">
        <v>270</v>
      </c>
      <c r="BB106" s="8">
        <v>260</v>
      </c>
      <c r="BC106" s="8">
        <v>0</v>
      </c>
      <c r="BF106" s="8">
        <v>0</v>
      </c>
      <c r="BG106" s="8">
        <v>0</v>
      </c>
      <c r="BH106" s="8">
        <v>0</v>
      </c>
      <c r="BJ106" s="8" t="s">
        <v>270</v>
      </c>
      <c r="BS106" s="8" t="s">
        <v>270</v>
      </c>
      <c r="CF106" s="8" t="s">
        <v>271</v>
      </c>
      <c r="CJ106" s="8" t="s">
        <v>1</v>
      </c>
      <c r="CK106" s="144" t="s">
        <v>308</v>
      </c>
      <c r="CL106" s="144"/>
      <c r="CM106" s="10">
        <v>300</v>
      </c>
      <c r="CN106" s="8">
        <v>0</v>
      </c>
      <c r="CO106" s="8">
        <v>0</v>
      </c>
      <c r="CP106" s="8">
        <v>0</v>
      </c>
      <c r="CQ106" s="8">
        <v>0</v>
      </c>
      <c r="CS106" s="8">
        <v>8</v>
      </c>
      <c r="CT106" s="8">
        <v>3</v>
      </c>
      <c r="CU106" s="8">
        <v>20</v>
      </c>
      <c r="CW106" s="8" t="b">
        <v>1</v>
      </c>
      <c r="CX106" s="135" t="s">
        <v>273</v>
      </c>
      <c r="DB106" s="8">
        <v>170501</v>
      </c>
      <c r="DC106" s="8" t="b">
        <v>1</v>
      </c>
      <c r="DD106" s="8" t="s">
        <v>274</v>
      </c>
      <c r="DE106" s="8" t="s">
        <v>309</v>
      </c>
      <c r="DF106" s="8" t="s">
        <v>276</v>
      </c>
      <c r="DG106" s="8" t="s">
        <v>310</v>
      </c>
      <c r="DH106" s="8">
        <v>4</v>
      </c>
      <c r="DI106" s="8" t="b">
        <v>0</v>
      </c>
      <c r="DJ106" s="1" t="b">
        <v>1</v>
      </c>
      <c r="DK106" s="135"/>
      <c r="DL106" s="135"/>
      <c r="DM106" s="135"/>
      <c r="DN106" s="1"/>
      <c r="DO106" s="1"/>
      <c r="DP106" s="96" t="str">
        <f>"SkillDetail_"&amp;A106</f>
        <v>SkillDetail_170522</v>
      </c>
      <c r="DQ106" s="144" t="s">
        <v>489</v>
      </c>
      <c r="DR106" s="57" t="e">
        <f t="shared" si="2"/>
        <v>#VALUE!</v>
      </c>
      <c r="DS106" s="172" t="s">
        <v>441</v>
      </c>
      <c r="DT106" s="172"/>
      <c r="DU106" s="1" t="s">
        <v>280</v>
      </c>
      <c r="DV106" s="152"/>
      <c r="DY106" s="1"/>
      <c r="DZ106" s="145">
        <v>1</v>
      </c>
      <c r="EA106" s="153" t="s">
        <v>281</v>
      </c>
      <c r="EB106" s="153" t="s">
        <v>282</v>
      </c>
      <c r="EC106" s="153" t="s">
        <v>283</v>
      </c>
      <c r="ED106" s="153" t="s">
        <v>283</v>
      </c>
      <c r="EE106" s="8" t="s">
        <v>284</v>
      </c>
      <c r="EF106" s="8" t="s">
        <v>326</v>
      </c>
      <c r="EG106" s="8" t="e">
        <v>#VALUE!</v>
      </c>
      <c r="EH106" s="8" t="s">
        <v>285</v>
      </c>
      <c r="EI106" s="8" t="s">
        <v>327</v>
      </c>
      <c r="EJ106" s="8" t="e">
        <v>#VALUE!</v>
      </c>
      <c r="EK106" s="8" t="s">
        <v>286</v>
      </c>
      <c r="EL106" s="8" t="s">
        <v>328</v>
      </c>
      <c r="EM106" s="8" t="e">
        <v>#VALUE!</v>
      </c>
      <c r="EN106" s="8" t="s">
        <v>287</v>
      </c>
      <c r="EO106" s="8" t="s">
        <v>328</v>
      </c>
      <c r="EP106" s="8" t="e">
        <v>#VALUE!</v>
      </c>
    </row>
    <row r="107" spans="1:149" s="8" customFormat="1" ht="14.25" customHeight="1" x14ac:dyDescent="0.15">
      <c r="B107" s="132"/>
      <c r="C107" s="40"/>
      <c r="Q107" s="135"/>
      <c r="R107" s="135"/>
      <c r="S107" s="135"/>
      <c r="X107" s="135"/>
      <c r="Y107" s="135"/>
      <c r="Z107" s="135"/>
      <c r="AA107" s="135"/>
      <c r="AB107" s="8">
        <v>17050102</v>
      </c>
      <c r="AC107" s="8" t="s">
        <v>313</v>
      </c>
      <c r="AE107" s="8" t="s">
        <v>291</v>
      </c>
      <c r="AF107" s="8" t="s">
        <v>314</v>
      </c>
      <c r="AL107" s="152"/>
      <c r="AM107" s="152"/>
      <c r="AN107" s="152"/>
      <c r="AO107" s="152"/>
      <c r="AP107" s="152"/>
      <c r="AQ107" s="152"/>
      <c r="AR107" s="152"/>
      <c r="AS107" s="154"/>
      <c r="AT107" s="154"/>
      <c r="AU107" s="152"/>
      <c r="AV107" s="152"/>
      <c r="AW107" s="152"/>
      <c r="AX107" s="152"/>
      <c r="AY107" s="152"/>
      <c r="AZ107" s="152"/>
      <c r="BA107" s="152" t="s">
        <v>270</v>
      </c>
      <c r="BB107" s="8">
        <v>0</v>
      </c>
      <c r="CX107" s="135"/>
      <c r="DJ107" s="1" t="b">
        <v>1</v>
      </c>
      <c r="DK107" s="135"/>
      <c r="DL107" s="135"/>
      <c r="DM107" s="135"/>
      <c r="DN107" s="135"/>
      <c r="DO107" s="135"/>
      <c r="DP107" s="94"/>
      <c r="DQ107" s="144">
        <v>0</v>
      </c>
      <c r="DR107" s="57" t="str">
        <f t="shared" si="2"/>
        <v/>
      </c>
      <c r="DS107" s="172"/>
      <c r="DT107" s="172"/>
      <c r="DU107" s="1" t="s">
        <v>280</v>
      </c>
      <c r="DV107" s="152"/>
      <c r="DY107" s="152"/>
      <c r="DZ107" s="145"/>
      <c r="EA107" s="153"/>
      <c r="EB107" s="153"/>
      <c r="EC107" s="153"/>
      <c r="ED107" s="153"/>
    </row>
    <row r="108" spans="1:149" s="8" customFormat="1" ht="14.25" customHeight="1" x14ac:dyDescent="0.15">
      <c r="B108" s="129"/>
      <c r="C108" s="40"/>
      <c r="Q108" s="135"/>
      <c r="R108" s="135"/>
      <c r="S108" s="135"/>
      <c r="X108" s="135"/>
      <c r="Y108" s="135"/>
      <c r="Z108" s="135"/>
      <c r="AA108" s="135"/>
      <c r="AB108" s="8">
        <v>17050103</v>
      </c>
      <c r="AC108" s="8" t="s">
        <v>315</v>
      </c>
      <c r="AJ108" s="8">
        <v>3</v>
      </c>
      <c r="AL108" s="152"/>
      <c r="AM108" s="152"/>
      <c r="AN108" s="152"/>
      <c r="AO108" s="152"/>
      <c r="AP108" s="152"/>
      <c r="AQ108" s="152"/>
      <c r="AR108" s="152"/>
      <c r="AS108" s="155"/>
      <c r="AT108" s="155"/>
      <c r="AU108" s="152"/>
      <c r="AV108" s="152"/>
      <c r="AW108" s="152"/>
      <c r="AX108" s="152"/>
      <c r="AY108" s="152"/>
      <c r="AZ108" s="152"/>
      <c r="BA108" s="152"/>
      <c r="CX108" s="135"/>
      <c r="DJ108" s="1" t="b">
        <v>1</v>
      </c>
      <c r="DK108" s="135"/>
      <c r="DL108" s="135"/>
      <c r="DM108" s="135"/>
      <c r="DN108" s="135"/>
      <c r="DO108" s="135"/>
      <c r="DP108" s="94"/>
      <c r="DQ108" s="144"/>
      <c r="DR108" s="57" t="str">
        <f t="shared" si="2"/>
        <v/>
      </c>
      <c r="DS108" s="172"/>
      <c r="DT108" s="172"/>
      <c r="DU108" s="1" t="s">
        <v>280</v>
      </c>
      <c r="DV108" s="152"/>
      <c r="DY108" s="152"/>
      <c r="DZ108" s="145"/>
      <c r="EA108" s="153"/>
      <c r="EB108" s="153"/>
      <c r="EC108" s="153"/>
      <c r="ED108" s="153"/>
    </row>
    <row r="109" spans="1:149" s="8" customFormat="1" ht="14.25" customHeight="1" x14ac:dyDescent="0.15">
      <c r="B109" s="129"/>
      <c r="C109" s="40"/>
      <c r="Q109" s="135"/>
      <c r="R109" s="135"/>
      <c r="S109" s="135"/>
      <c r="X109" s="135"/>
      <c r="Y109" s="135"/>
      <c r="Z109" s="135"/>
      <c r="AA109" s="135"/>
      <c r="AB109" s="8">
        <v>17050301</v>
      </c>
      <c r="AC109" s="135" t="s">
        <v>329</v>
      </c>
      <c r="AD109" s="8" t="s">
        <v>330</v>
      </c>
      <c r="AE109" s="8" t="s">
        <v>291</v>
      </c>
      <c r="AF109" s="135" t="s">
        <v>314</v>
      </c>
      <c r="AG109" s="135"/>
      <c r="AH109" s="135"/>
      <c r="AI109" s="135"/>
      <c r="AL109" s="153"/>
      <c r="AM109" s="152"/>
      <c r="AN109" s="152"/>
      <c r="AO109" s="152"/>
      <c r="AP109" s="152"/>
      <c r="AQ109" s="152"/>
      <c r="AR109" s="152"/>
      <c r="AS109" s="155"/>
      <c r="AT109" s="155"/>
      <c r="AU109" s="153"/>
      <c r="AV109" s="153"/>
      <c r="AW109" s="153"/>
      <c r="AX109" s="153"/>
      <c r="AY109" s="153"/>
      <c r="AZ109" s="153"/>
      <c r="BA109" s="152" t="s">
        <v>331</v>
      </c>
      <c r="BB109" s="8">
        <v>0.03</v>
      </c>
      <c r="BC109" s="8">
        <v>0</v>
      </c>
      <c r="BF109" s="8">
        <v>0</v>
      </c>
      <c r="BG109" s="8">
        <v>0</v>
      </c>
      <c r="BH109" s="8">
        <v>0</v>
      </c>
      <c r="CX109" s="135"/>
      <c r="DJ109" s="1" t="b">
        <v>1</v>
      </c>
      <c r="DK109" s="135"/>
      <c r="DL109" s="135"/>
      <c r="DM109" s="135"/>
      <c r="DN109" s="135"/>
      <c r="DO109" s="135"/>
      <c r="DP109" s="94"/>
      <c r="DQ109" s="144"/>
      <c r="DR109" s="57" t="str">
        <f t="shared" si="2"/>
        <v/>
      </c>
      <c r="DS109" s="135"/>
      <c r="DT109" s="135"/>
      <c r="DU109" s="1" t="s">
        <v>280</v>
      </c>
      <c r="DV109" s="152"/>
      <c r="DY109" s="152"/>
      <c r="DZ109" s="145"/>
      <c r="EA109" s="153"/>
      <c r="EB109" s="153"/>
      <c r="EC109" s="153"/>
      <c r="ED109" s="153"/>
    </row>
    <row r="110" spans="1:149" s="8" customFormat="1" ht="14.25" customHeight="1" x14ac:dyDescent="0.15">
      <c r="B110" s="129"/>
      <c r="C110" s="40"/>
      <c r="Q110" s="135"/>
      <c r="R110" s="135"/>
      <c r="S110" s="135"/>
      <c r="X110" s="135"/>
      <c r="Y110" s="135"/>
      <c r="Z110" s="135"/>
      <c r="AA110" s="135"/>
      <c r="AB110" s="8">
        <v>17050302</v>
      </c>
      <c r="AC110" s="135" t="s">
        <v>332</v>
      </c>
      <c r="AD110" s="8" t="s">
        <v>333</v>
      </c>
      <c r="AE110" s="8" t="s">
        <v>291</v>
      </c>
      <c r="AF110" s="135" t="s">
        <v>314</v>
      </c>
      <c r="AG110" s="135"/>
      <c r="AH110" s="135"/>
      <c r="AI110" s="135"/>
      <c r="AJ110" s="8">
        <v>-1</v>
      </c>
      <c r="AL110" s="153"/>
      <c r="AM110" s="152"/>
      <c r="AN110" s="152"/>
      <c r="AO110" s="152"/>
      <c r="AP110" s="152"/>
      <c r="AQ110" s="152"/>
      <c r="AR110" s="152"/>
      <c r="AS110" s="154"/>
      <c r="AT110" s="154"/>
      <c r="AU110" s="153"/>
      <c r="AV110" s="153"/>
      <c r="AW110" s="153"/>
      <c r="AX110" s="153"/>
      <c r="AY110" s="153"/>
      <c r="AZ110" s="153"/>
      <c r="BA110" s="152"/>
      <c r="CX110" s="135"/>
      <c r="DJ110" s="1" t="b">
        <v>1</v>
      </c>
      <c r="DK110" s="135"/>
      <c r="DL110" s="135"/>
      <c r="DM110" s="135"/>
      <c r="DN110" s="135"/>
      <c r="DO110" s="135"/>
      <c r="DP110" s="94"/>
      <c r="DQ110" s="144"/>
      <c r="DR110" s="57" t="str">
        <f t="shared" si="2"/>
        <v/>
      </c>
      <c r="DS110" s="135"/>
      <c r="DT110" s="135"/>
      <c r="DU110" s="1" t="s">
        <v>280</v>
      </c>
      <c r="DV110" s="152"/>
      <c r="DY110" s="152"/>
      <c r="DZ110" s="145"/>
      <c r="EA110" s="153"/>
      <c r="EB110" s="153"/>
      <c r="EC110" s="153"/>
      <c r="ED110" s="153"/>
    </row>
    <row r="111" spans="1:149" s="8" customFormat="1" ht="15" customHeight="1" x14ac:dyDescent="0.15">
      <c r="A111" s="2">
        <v>170523</v>
      </c>
      <c r="B111" s="133" t="s">
        <v>476</v>
      </c>
      <c r="C111" s="40" t="s">
        <v>477</v>
      </c>
      <c r="D111" s="2" t="s">
        <v>490</v>
      </c>
      <c r="E111" s="2"/>
      <c r="F111" s="2"/>
      <c r="G111" s="2"/>
      <c r="H111" s="2">
        <v>0</v>
      </c>
      <c r="I111" s="2"/>
      <c r="J111" s="2"/>
      <c r="K111" s="2"/>
      <c r="L111" s="2">
        <v>0</v>
      </c>
      <c r="M111" s="2"/>
      <c r="N111" s="2"/>
      <c r="O111" s="2"/>
      <c r="P111" s="2" t="s">
        <v>268</v>
      </c>
      <c r="Q111" s="2" t="s">
        <v>269</v>
      </c>
      <c r="R111" s="2"/>
      <c r="S111" s="2"/>
      <c r="T111" s="2"/>
      <c r="U111" s="2"/>
      <c r="V111" s="2"/>
      <c r="W111" s="2"/>
      <c r="X111" s="2">
        <v>1</v>
      </c>
      <c r="Y111" s="2">
        <v>0</v>
      </c>
      <c r="Z111" s="2">
        <v>0</v>
      </c>
      <c r="AA111" s="2"/>
      <c r="AB111" s="2">
        <v>3001</v>
      </c>
      <c r="AC111" s="2" t="s">
        <v>337</v>
      </c>
      <c r="AD111" s="2"/>
      <c r="AE111" s="2" t="s">
        <v>129</v>
      </c>
      <c r="AF111" s="2" t="s">
        <v>314</v>
      </c>
      <c r="AG111" s="2"/>
      <c r="AH111" s="2"/>
      <c r="AI111" s="2"/>
      <c r="AJ111" s="2"/>
      <c r="AK111" s="2"/>
      <c r="AL111" s="71"/>
      <c r="AM111" s="71"/>
      <c r="AN111" s="71"/>
      <c r="AO111" s="71"/>
      <c r="AP111" s="71"/>
      <c r="AQ111" s="71"/>
      <c r="AR111" s="71"/>
      <c r="AS111" s="2"/>
      <c r="AT111" s="2"/>
      <c r="AU111" s="71"/>
      <c r="AV111" s="71"/>
      <c r="AW111" s="71"/>
      <c r="AX111" s="71"/>
      <c r="AY111" s="71"/>
      <c r="AZ111" s="71"/>
      <c r="BA111" s="71" t="s">
        <v>270</v>
      </c>
      <c r="BB111" s="2">
        <v>240</v>
      </c>
      <c r="BC111" s="2">
        <v>0</v>
      </c>
      <c r="BD111" s="2"/>
      <c r="BE111" s="2"/>
      <c r="BF111" s="2">
        <v>0</v>
      </c>
      <c r="BG111" s="2">
        <v>0</v>
      </c>
      <c r="BH111" s="2">
        <v>0</v>
      </c>
      <c r="BI111" s="2"/>
      <c r="BJ111" s="2" t="s">
        <v>270</v>
      </c>
      <c r="BK111" s="2"/>
      <c r="BL111" s="2"/>
      <c r="BM111" s="2"/>
      <c r="BN111" s="2"/>
      <c r="BO111" s="2"/>
      <c r="BP111" s="2"/>
      <c r="BQ111" s="2"/>
      <c r="BR111" s="2"/>
      <c r="BS111" s="2" t="s">
        <v>270</v>
      </c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 t="s">
        <v>271</v>
      </c>
      <c r="CG111" s="2"/>
      <c r="CH111" s="2"/>
      <c r="CI111" s="2"/>
      <c r="CJ111" s="2" t="s">
        <v>3</v>
      </c>
      <c r="CK111" s="107" t="s">
        <v>486</v>
      </c>
      <c r="CL111" s="107"/>
      <c r="CM111" s="10">
        <v>300</v>
      </c>
      <c r="CN111" s="2">
        <v>0</v>
      </c>
      <c r="CO111" s="2">
        <v>0</v>
      </c>
      <c r="CP111" s="2">
        <v>0</v>
      </c>
      <c r="CQ111" s="2">
        <v>0</v>
      </c>
      <c r="CR111" s="2"/>
      <c r="CS111" s="2">
        <v>7</v>
      </c>
      <c r="CT111" s="2"/>
      <c r="CU111" s="2">
        <v>10</v>
      </c>
      <c r="CV111" s="2"/>
      <c r="CW111" s="2" t="b">
        <v>0</v>
      </c>
      <c r="CX111" s="158" t="s">
        <v>273</v>
      </c>
      <c r="CY111" s="2"/>
      <c r="CZ111" s="2"/>
      <c r="DA111" s="2"/>
      <c r="DB111" s="2">
        <v>100300</v>
      </c>
      <c r="DC111" s="2" t="b">
        <v>1</v>
      </c>
      <c r="DD111" s="2" t="s">
        <v>274</v>
      </c>
      <c r="DE111" s="2" t="s">
        <v>340</v>
      </c>
      <c r="DF111" s="2" t="s">
        <v>276</v>
      </c>
      <c r="DG111" s="2" t="s">
        <v>277</v>
      </c>
      <c r="DH111" s="2">
        <v>4</v>
      </c>
      <c r="DI111" s="158" t="b">
        <v>0</v>
      </c>
      <c r="DJ111" s="1" t="b">
        <v>1</v>
      </c>
      <c r="DK111" s="2"/>
      <c r="DL111" s="2"/>
      <c r="DM111" s="2"/>
      <c r="DN111" s="1"/>
      <c r="DO111" s="1"/>
      <c r="DP111" s="96" t="str">
        <f>"SkillDetail_"&amp;A111</f>
        <v>SkillDetail_170523</v>
      </c>
      <c r="DQ111" s="107" t="s">
        <v>487</v>
      </c>
      <c r="DR111" s="57" t="e">
        <f t="shared" si="2"/>
        <v>#VALUE!</v>
      </c>
      <c r="DS111" s="107" t="s">
        <v>488</v>
      </c>
      <c r="DT111" s="173"/>
      <c r="DU111" s="1" t="s">
        <v>280</v>
      </c>
      <c r="DV111" s="71"/>
      <c r="DW111" s="2"/>
      <c r="DX111" s="2"/>
      <c r="DY111" s="1"/>
      <c r="DZ111" s="174">
        <v>1</v>
      </c>
      <c r="EA111" s="71" t="s">
        <v>281</v>
      </c>
      <c r="EB111" s="71" t="s">
        <v>282</v>
      </c>
      <c r="EC111" s="71" t="s">
        <v>283</v>
      </c>
      <c r="ED111" s="71" t="s">
        <v>283</v>
      </c>
      <c r="EE111" s="2" t="s">
        <v>284</v>
      </c>
      <c r="EF111" s="2" t="s">
        <v>326</v>
      </c>
      <c r="EG111" s="2" t="e">
        <v>#VALUE!</v>
      </c>
      <c r="EH111" s="2" t="s">
        <v>285</v>
      </c>
      <c r="EI111" s="2" t="s">
        <v>344</v>
      </c>
      <c r="EJ111" s="2" t="e">
        <v>#VALUE!</v>
      </c>
      <c r="EK111" s="2" t="s">
        <v>286</v>
      </c>
      <c r="EL111" s="2" t="s">
        <v>345</v>
      </c>
      <c r="EM111" s="2" t="e">
        <v>#VALUE!</v>
      </c>
      <c r="EN111" s="2" t="s">
        <v>287</v>
      </c>
      <c r="EO111" s="2" t="s">
        <v>345</v>
      </c>
      <c r="EP111" s="2" t="e">
        <v>#VALUE!</v>
      </c>
      <c r="EQ111" s="2"/>
      <c r="ER111" s="2"/>
      <c r="ES111" s="2"/>
    </row>
    <row r="112" spans="1:149" s="8" customFormat="1" ht="15" customHeight="1" x14ac:dyDescent="0.15">
      <c r="A112" s="2"/>
      <c r="B112" s="121"/>
      <c r="C112" s="40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>
        <v>10240102</v>
      </c>
      <c r="AC112" s="2" t="s">
        <v>346</v>
      </c>
      <c r="AD112" s="2"/>
      <c r="AE112" s="2" t="s">
        <v>129</v>
      </c>
      <c r="AF112" s="2" t="s">
        <v>314</v>
      </c>
      <c r="AG112" s="2"/>
      <c r="AH112" s="2"/>
      <c r="AI112" s="2"/>
      <c r="AJ112" s="2">
        <v>3</v>
      </c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1" t="b">
        <v>1</v>
      </c>
      <c r="DK112" s="2"/>
      <c r="DL112" s="2"/>
      <c r="DM112" s="2"/>
      <c r="DN112" s="2"/>
      <c r="DO112" s="2"/>
      <c r="DP112" s="96"/>
      <c r="DQ112" s="2"/>
      <c r="DR112" s="57" t="str">
        <f t="shared" si="2"/>
        <v/>
      </c>
      <c r="DS112" s="2"/>
      <c r="DT112" s="2"/>
      <c r="DU112" s="1" t="s">
        <v>280</v>
      </c>
      <c r="DV112" s="71"/>
      <c r="DW112" s="2"/>
      <c r="DX112" s="2"/>
      <c r="DY112" s="71"/>
      <c r="DZ112" s="2"/>
      <c r="EA112" s="71"/>
      <c r="EB112" s="71"/>
      <c r="EC112" s="71"/>
      <c r="ED112" s="71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</row>
    <row r="113" spans="1:149" s="8" customFormat="1" ht="15" customHeight="1" x14ac:dyDescent="0.15">
      <c r="A113" s="8">
        <v>170524</v>
      </c>
      <c r="B113" s="129" t="s">
        <v>462</v>
      </c>
      <c r="C113" s="40" t="s">
        <v>463</v>
      </c>
      <c r="D113" s="8" t="s">
        <v>485</v>
      </c>
      <c r="H113" s="8">
        <v>0</v>
      </c>
      <c r="L113" s="8">
        <v>0</v>
      </c>
      <c r="P113" s="8" t="s">
        <v>268</v>
      </c>
      <c r="Q113" s="135" t="s">
        <v>269</v>
      </c>
      <c r="R113" s="135"/>
      <c r="S113" s="135"/>
      <c r="X113" s="135">
        <v>1</v>
      </c>
      <c r="Y113" s="135">
        <v>0</v>
      </c>
      <c r="Z113" s="135">
        <v>0</v>
      </c>
      <c r="AA113" s="135"/>
      <c r="AB113" s="145">
        <v>3001</v>
      </c>
      <c r="AC113" s="135"/>
      <c r="AL113" s="152"/>
      <c r="AM113" s="152"/>
      <c r="AN113" s="152"/>
      <c r="AO113" s="152"/>
      <c r="AP113" s="152"/>
      <c r="AQ113" s="152"/>
      <c r="AR113" s="152"/>
      <c r="AS113" s="154"/>
      <c r="AT113" s="154"/>
      <c r="AU113" s="152"/>
      <c r="AV113" s="152"/>
      <c r="AW113" s="152"/>
      <c r="AX113" s="152"/>
      <c r="AY113" s="152"/>
      <c r="AZ113" s="152"/>
      <c r="BA113" s="8" t="s">
        <v>270</v>
      </c>
      <c r="BB113" s="8">
        <v>500</v>
      </c>
      <c r="BC113" s="8">
        <v>0</v>
      </c>
      <c r="BF113" s="8">
        <v>0</v>
      </c>
      <c r="BG113" s="8">
        <v>0</v>
      </c>
      <c r="BH113" s="8">
        <v>0</v>
      </c>
      <c r="BJ113" s="8" t="s">
        <v>270</v>
      </c>
      <c r="BS113" s="8" t="s">
        <v>270</v>
      </c>
      <c r="CF113" s="8" t="s">
        <v>271</v>
      </c>
      <c r="CJ113" s="8" t="s">
        <v>1</v>
      </c>
      <c r="CK113" s="144" t="s">
        <v>308</v>
      </c>
      <c r="CL113" s="144"/>
      <c r="CM113" s="10">
        <v>300</v>
      </c>
      <c r="CN113" s="8">
        <v>0</v>
      </c>
      <c r="CO113" s="8">
        <v>0</v>
      </c>
      <c r="CP113" s="8">
        <v>0</v>
      </c>
      <c r="CQ113" s="8">
        <v>0</v>
      </c>
      <c r="CS113" s="8">
        <v>5</v>
      </c>
      <c r="CT113" s="8">
        <v>2</v>
      </c>
      <c r="CU113" s="8">
        <v>20</v>
      </c>
      <c r="CW113" s="8" t="b">
        <v>1</v>
      </c>
      <c r="CX113" s="135" t="s">
        <v>273</v>
      </c>
      <c r="DB113" s="8">
        <v>170501</v>
      </c>
      <c r="DC113" s="8" t="b">
        <v>1</v>
      </c>
      <c r="DD113" s="8" t="s">
        <v>274</v>
      </c>
      <c r="DE113" s="8" t="s">
        <v>309</v>
      </c>
      <c r="DF113" s="8" t="s">
        <v>276</v>
      </c>
      <c r="DG113" s="8" t="s">
        <v>310</v>
      </c>
      <c r="DH113" s="8">
        <v>4</v>
      </c>
      <c r="DI113" s="8" t="b">
        <v>0</v>
      </c>
      <c r="DJ113" s="1" t="b">
        <v>1</v>
      </c>
      <c r="DK113" s="135"/>
      <c r="DL113" s="135"/>
      <c r="DM113" s="135"/>
      <c r="DN113" s="1"/>
      <c r="DO113" s="1"/>
      <c r="DP113" s="96" t="str">
        <f>"SkillDetail_"&amp;A113</f>
        <v>SkillDetail_170524</v>
      </c>
      <c r="DQ113" s="144" t="s">
        <v>489</v>
      </c>
      <c r="DR113" s="57" t="e">
        <f t="shared" si="2"/>
        <v>#VALUE!</v>
      </c>
      <c r="DS113" s="172" t="s">
        <v>441</v>
      </c>
      <c r="DT113" s="172"/>
      <c r="DU113" s="1" t="s">
        <v>280</v>
      </c>
      <c r="DV113" s="152"/>
      <c r="DY113" s="1"/>
      <c r="DZ113" s="145">
        <v>1</v>
      </c>
      <c r="EA113" s="153" t="s">
        <v>281</v>
      </c>
      <c r="EB113" s="153" t="s">
        <v>282</v>
      </c>
      <c r="EC113" s="153" t="s">
        <v>283</v>
      </c>
      <c r="ED113" s="153" t="s">
        <v>283</v>
      </c>
      <c r="EE113" s="8" t="s">
        <v>284</v>
      </c>
      <c r="EF113" s="8" t="s">
        <v>326</v>
      </c>
      <c r="EG113" s="8" t="e">
        <v>#VALUE!</v>
      </c>
      <c r="EH113" s="8" t="s">
        <v>285</v>
      </c>
      <c r="EI113" s="8" t="s">
        <v>327</v>
      </c>
      <c r="EJ113" s="8" t="e">
        <v>#VALUE!</v>
      </c>
      <c r="EK113" s="8" t="s">
        <v>286</v>
      </c>
      <c r="EL113" s="8" t="s">
        <v>328</v>
      </c>
      <c r="EM113" s="8" t="e">
        <v>#VALUE!</v>
      </c>
      <c r="EN113" s="8" t="s">
        <v>287</v>
      </c>
      <c r="EO113" s="8" t="s">
        <v>328</v>
      </c>
      <c r="EP113" s="8" t="e">
        <v>#VALUE!</v>
      </c>
    </row>
    <row r="114" spans="1:149" s="8" customFormat="1" ht="15" customHeight="1" x14ac:dyDescent="0.15">
      <c r="B114" s="129"/>
      <c r="C114" s="40"/>
      <c r="Q114" s="135"/>
      <c r="R114" s="135"/>
      <c r="S114" s="135"/>
      <c r="X114" s="135"/>
      <c r="Y114" s="135"/>
      <c r="Z114" s="135"/>
      <c r="AA114" s="135"/>
      <c r="AB114" s="145">
        <v>17050102</v>
      </c>
      <c r="AC114" s="145" t="s">
        <v>313</v>
      </c>
      <c r="AE114" s="8" t="s">
        <v>291</v>
      </c>
      <c r="AF114" s="8" t="s">
        <v>314</v>
      </c>
      <c r="AL114" s="152"/>
      <c r="AM114" s="153"/>
      <c r="AN114" s="153"/>
      <c r="AO114" s="153"/>
      <c r="AP114" s="153"/>
      <c r="AQ114" s="153"/>
      <c r="AR114" s="153"/>
      <c r="AS114" s="154"/>
      <c r="AT114" s="154"/>
      <c r="AU114" s="152"/>
      <c r="AV114" s="152"/>
      <c r="AW114" s="152"/>
      <c r="AX114" s="152"/>
      <c r="AY114" s="152"/>
      <c r="AZ114" s="152"/>
      <c r="BA114" s="152" t="s">
        <v>270</v>
      </c>
      <c r="BB114" s="8">
        <v>0</v>
      </c>
      <c r="CX114" s="135"/>
      <c r="DJ114" s="1" t="b">
        <v>1</v>
      </c>
      <c r="DK114" s="135"/>
      <c r="DL114" s="135"/>
      <c r="DM114" s="135"/>
      <c r="DN114" s="135"/>
      <c r="DO114" s="135"/>
      <c r="DP114" s="94"/>
      <c r="DQ114" s="144">
        <v>0</v>
      </c>
      <c r="DR114" s="57" t="str">
        <f t="shared" si="2"/>
        <v/>
      </c>
      <c r="DS114" s="172"/>
      <c r="DT114" s="172"/>
      <c r="DU114" s="1" t="s">
        <v>280</v>
      </c>
      <c r="DV114" s="152"/>
      <c r="DY114" s="152"/>
      <c r="DZ114" s="145"/>
      <c r="EA114" s="153"/>
      <c r="EB114" s="153"/>
      <c r="EC114" s="153"/>
      <c r="ED114" s="153"/>
    </row>
    <row r="115" spans="1:149" s="8" customFormat="1" ht="14.25" customHeight="1" x14ac:dyDescent="0.15">
      <c r="B115" s="129"/>
      <c r="C115" s="40"/>
      <c r="Q115" s="135"/>
      <c r="R115" s="135"/>
      <c r="S115" s="135"/>
      <c r="X115" s="135"/>
      <c r="Y115" s="135"/>
      <c r="Z115" s="135"/>
      <c r="AA115" s="135"/>
      <c r="AB115" s="145">
        <v>17050103</v>
      </c>
      <c r="AC115" s="145" t="s">
        <v>315</v>
      </c>
      <c r="AJ115" s="8">
        <v>3</v>
      </c>
      <c r="AL115" s="152"/>
      <c r="AM115" s="153"/>
      <c r="AN115" s="153"/>
      <c r="AO115" s="153"/>
      <c r="AP115" s="153"/>
      <c r="AQ115" s="153"/>
      <c r="AR115" s="153"/>
      <c r="AS115" s="154"/>
      <c r="AT115" s="154"/>
      <c r="AU115" s="152"/>
      <c r="AV115" s="152"/>
      <c r="AW115" s="152"/>
      <c r="AX115" s="152"/>
      <c r="AY115" s="152"/>
      <c r="AZ115" s="152"/>
      <c r="BA115" s="152"/>
      <c r="BB115" s="156"/>
      <c r="CX115" s="135"/>
      <c r="DJ115" s="1" t="b">
        <v>1</v>
      </c>
      <c r="DK115" s="135"/>
      <c r="DL115" s="135"/>
      <c r="DM115" s="135"/>
      <c r="DN115" s="135"/>
      <c r="DO115" s="135"/>
      <c r="DP115" s="94"/>
      <c r="DQ115" s="144"/>
      <c r="DR115" s="57" t="str">
        <f t="shared" si="2"/>
        <v/>
      </c>
      <c r="DS115" s="172"/>
      <c r="DT115" s="172"/>
      <c r="DU115" s="1" t="s">
        <v>280</v>
      </c>
      <c r="DV115" s="152"/>
      <c r="DY115" s="152"/>
      <c r="DZ115" s="145"/>
      <c r="EA115" s="153"/>
      <c r="EB115" s="153"/>
      <c r="EC115" s="153"/>
      <c r="ED115" s="153"/>
    </row>
    <row r="116" spans="1:149" s="8" customFormat="1" ht="14.25" customHeight="1" x14ac:dyDescent="0.15">
      <c r="B116" s="129"/>
      <c r="C116" s="40"/>
      <c r="Q116" s="135"/>
      <c r="R116" s="135"/>
      <c r="S116" s="135"/>
      <c r="X116" s="135"/>
      <c r="Y116" s="135"/>
      <c r="Z116" s="135"/>
      <c r="AA116" s="135"/>
      <c r="AB116" s="145">
        <v>17050301</v>
      </c>
      <c r="AC116" s="145" t="s">
        <v>329</v>
      </c>
      <c r="AD116" s="8" t="s">
        <v>330</v>
      </c>
      <c r="AE116" s="8" t="s">
        <v>291</v>
      </c>
      <c r="AF116" s="8" t="s">
        <v>314</v>
      </c>
      <c r="AL116" s="152"/>
      <c r="AM116" s="152"/>
      <c r="AN116" s="152"/>
      <c r="AO116" s="152"/>
      <c r="AP116" s="152"/>
      <c r="AQ116" s="152"/>
      <c r="AR116" s="152"/>
      <c r="AS116" s="154"/>
      <c r="AT116" s="154"/>
      <c r="AU116" s="152"/>
      <c r="AV116" s="152"/>
      <c r="AW116" s="152"/>
      <c r="AX116" s="152"/>
      <c r="AY116" s="152"/>
      <c r="AZ116" s="152"/>
      <c r="BA116" s="152" t="s">
        <v>331</v>
      </c>
      <c r="BB116" s="8">
        <v>0.03</v>
      </c>
      <c r="BC116" s="8">
        <v>0</v>
      </c>
      <c r="BD116" s="157"/>
      <c r="BE116" s="157"/>
      <c r="BF116" s="8">
        <v>0</v>
      </c>
      <c r="BG116" s="8">
        <v>0</v>
      </c>
      <c r="BH116" s="8">
        <v>0</v>
      </c>
      <c r="CX116" s="135"/>
      <c r="DJ116" s="1" t="b">
        <v>1</v>
      </c>
      <c r="DK116" s="135"/>
      <c r="DL116" s="135"/>
      <c r="DM116" s="135"/>
      <c r="DN116" s="135"/>
      <c r="DO116" s="135"/>
      <c r="DP116" s="94"/>
      <c r="DQ116" s="144"/>
      <c r="DR116" s="57" t="str">
        <f t="shared" si="2"/>
        <v/>
      </c>
      <c r="DS116" s="135"/>
      <c r="DT116" s="135"/>
      <c r="DU116" s="1" t="s">
        <v>280</v>
      </c>
      <c r="DV116" s="152"/>
      <c r="DY116" s="152"/>
      <c r="DZ116" s="145"/>
      <c r="EA116" s="153"/>
      <c r="EB116" s="153"/>
      <c r="EC116" s="153"/>
      <c r="ED116" s="153"/>
    </row>
    <row r="117" spans="1:149" s="8" customFormat="1" ht="14.25" customHeight="1" x14ac:dyDescent="0.15">
      <c r="B117" s="129"/>
      <c r="C117" s="40"/>
      <c r="Q117" s="135"/>
      <c r="R117" s="135"/>
      <c r="S117" s="135"/>
      <c r="X117" s="135"/>
      <c r="Y117" s="135"/>
      <c r="Z117" s="135"/>
      <c r="AA117" s="135"/>
      <c r="AB117" s="8">
        <v>17050302</v>
      </c>
      <c r="AC117" s="135" t="s">
        <v>332</v>
      </c>
      <c r="AD117" s="8" t="s">
        <v>333</v>
      </c>
      <c r="AE117" s="8" t="s">
        <v>291</v>
      </c>
      <c r="AF117" s="8" t="s">
        <v>314</v>
      </c>
      <c r="AJ117" s="8">
        <v>-1</v>
      </c>
      <c r="AL117" s="152"/>
      <c r="AM117" s="152"/>
      <c r="AN117" s="152"/>
      <c r="AO117" s="152"/>
      <c r="AP117" s="152"/>
      <c r="AQ117" s="152"/>
      <c r="AR117" s="152"/>
      <c r="AS117" s="154"/>
      <c r="AT117" s="154"/>
      <c r="AU117" s="152"/>
      <c r="AV117" s="152"/>
      <c r="AW117" s="152"/>
      <c r="AX117" s="152"/>
      <c r="AY117" s="152"/>
      <c r="AZ117" s="152"/>
      <c r="BA117" s="152"/>
      <c r="CX117" s="135"/>
      <c r="DJ117" s="1" t="b">
        <v>1</v>
      </c>
      <c r="DK117" s="135"/>
      <c r="DL117" s="135"/>
      <c r="DM117" s="135"/>
      <c r="DN117" s="135"/>
      <c r="DO117" s="135"/>
      <c r="DP117" s="94"/>
      <c r="DQ117" s="144"/>
      <c r="DR117" s="57" t="str">
        <f t="shared" si="2"/>
        <v/>
      </c>
      <c r="DS117" s="172"/>
      <c r="DT117" s="172"/>
      <c r="DU117" s="1" t="s">
        <v>280</v>
      </c>
      <c r="DV117" s="152"/>
      <c r="DY117" s="152"/>
      <c r="DZ117" s="145"/>
      <c r="EA117" s="153"/>
      <c r="EB117" s="153"/>
      <c r="EC117" s="153"/>
      <c r="ED117" s="153"/>
    </row>
    <row r="118" spans="1:149" s="8" customFormat="1" ht="14.25" customHeight="1" x14ac:dyDescent="0.15">
      <c r="A118" s="8">
        <v>170525</v>
      </c>
      <c r="B118" s="129" t="s">
        <v>476</v>
      </c>
      <c r="C118" s="40" t="s">
        <v>477</v>
      </c>
      <c r="D118" s="8" t="s">
        <v>485</v>
      </c>
      <c r="H118" s="8">
        <v>0</v>
      </c>
      <c r="L118" s="8">
        <v>0</v>
      </c>
      <c r="P118" s="8" t="s">
        <v>268</v>
      </c>
      <c r="Q118" s="135" t="s">
        <v>269</v>
      </c>
      <c r="R118" s="135"/>
      <c r="S118" s="135"/>
      <c r="X118" s="135">
        <v>1</v>
      </c>
      <c r="Y118" s="135">
        <v>0</v>
      </c>
      <c r="Z118" s="135">
        <v>0</v>
      </c>
      <c r="AA118" s="135"/>
      <c r="AB118" s="8">
        <v>3001</v>
      </c>
      <c r="AC118" s="145" t="s">
        <v>337</v>
      </c>
      <c r="AE118" s="8" t="s">
        <v>129</v>
      </c>
      <c r="AF118" s="8" t="s">
        <v>314</v>
      </c>
      <c r="AL118" s="152"/>
      <c r="AM118" s="152"/>
      <c r="AN118" s="152"/>
      <c r="AO118" s="152"/>
      <c r="AP118" s="152"/>
      <c r="AQ118" s="152"/>
      <c r="AR118" s="152"/>
      <c r="AS118" s="154"/>
      <c r="AT118" s="154"/>
      <c r="AU118" s="152"/>
      <c r="AV118" s="152"/>
      <c r="AW118" s="152"/>
      <c r="AX118" s="152"/>
      <c r="AY118" s="152"/>
      <c r="AZ118" s="152"/>
      <c r="BA118" s="152" t="s">
        <v>270</v>
      </c>
      <c r="BB118" s="157">
        <v>500</v>
      </c>
      <c r="BC118" s="157">
        <v>0</v>
      </c>
      <c r="BD118" s="157"/>
      <c r="BE118" s="157"/>
      <c r="BF118" s="8">
        <v>0</v>
      </c>
      <c r="BG118" s="8">
        <v>0</v>
      </c>
      <c r="BH118" s="8">
        <v>0</v>
      </c>
      <c r="BJ118" s="8" t="s">
        <v>270</v>
      </c>
      <c r="BS118" s="8" t="s">
        <v>270</v>
      </c>
      <c r="CF118" s="8" t="s">
        <v>271</v>
      </c>
      <c r="CJ118" s="8" t="s">
        <v>3</v>
      </c>
      <c r="CK118" s="144" t="s">
        <v>486</v>
      </c>
      <c r="CL118" s="144"/>
      <c r="CM118" s="8">
        <v>10</v>
      </c>
      <c r="CN118" s="8">
        <v>0</v>
      </c>
      <c r="CO118" s="8">
        <v>0</v>
      </c>
      <c r="CP118" s="8">
        <v>0</v>
      </c>
      <c r="CQ118" s="8">
        <v>0</v>
      </c>
      <c r="CS118" s="8">
        <v>5</v>
      </c>
      <c r="CU118" s="8">
        <v>10</v>
      </c>
      <c r="CW118" s="8" t="b">
        <v>0</v>
      </c>
      <c r="CX118" s="135" t="s">
        <v>273</v>
      </c>
      <c r="DB118" s="8">
        <v>100300</v>
      </c>
      <c r="DC118" s="8" t="b">
        <v>1</v>
      </c>
      <c r="DD118" s="8" t="s">
        <v>274</v>
      </c>
      <c r="DE118" s="8" t="s">
        <v>340</v>
      </c>
      <c r="DF118" s="8" t="s">
        <v>276</v>
      </c>
      <c r="DG118" s="8" t="s">
        <v>277</v>
      </c>
      <c r="DH118" s="8">
        <v>4</v>
      </c>
      <c r="DI118" s="8" t="b">
        <v>0</v>
      </c>
      <c r="DJ118" s="1" t="b">
        <v>1</v>
      </c>
      <c r="DK118" s="135"/>
      <c r="DL118" s="135"/>
      <c r="DM118" s="135"/>
      <c r="DN118" s="1"/>
      <c r="DO118" s="1"/>
      <c r="DP118" s="96" t="str">
        <f>"SkillDetail_"&amp;A118</f>
        <v>SkillDetail_170525</v>
      </c>
      <c r="DQ118" s="144" t="s">
        <v>487</v>
      </c>
      <c r="DR118" s="57" t="e">
        <f t="shared" si="2"/>
        <v>#VALUE!</v>
      </c>
      <c r="DS118" s="135" t="s">
        <v>488</v>
      </c>
      <c r="DT118" s="135"/>
      <c r="DU118" s="1" t="s">
        <v>280</v>
      </c>
      <c r="DV118" s="152"/>
      <c r="DY118" s="1"/>
      <c r="DZ118" s="8">
        <v>1</v>
      </c>
      <c r="EA118" s="152">
        <v>-1</v>
      </c>
      <c r="EB118" s="152">
        <v>4.1666666666666699E-2</v>
      </c>
      <c r="EC118" s="152">
        <v>8.3333333333333301E-2</v>
      </c>
      <c r="ED118" s="152">
        <v>8.3333333333333301E-2</v>
      </c>
      <c r="EE118" s="8" t="s">
        <v>284</v>
      </c>
      <c r="EF118" s="8" t="s">
        <v>326</v>
      </c>
      <c r="EG118" s="8" t="e">
        <v>#VALUE!</v>
      </c>
      <c r="EH118" s="8" t="s">
        <v>285</v>
      </c>
      <c r="EI118" s="8" t="s">
        <v>344</v>
      </c>
      <c r="EJ118" s="8" t="e">
        <v>#VALUE!</v>
      </c>
      <c r="EK118" s="8" t="s">
        <v>286</v>
      </c>
      <c r="EL118" s="8" t="s">
        <v>328</v>
      </c>
      <c r="EM118" s="8" t="e">
        <v>#VALUE!</v>
      </c>
      <c r="EN118" s="8" t="s">
        <v>287</v>
      </c>
      <c r="EO118" s="8" t="s">
        <v>328</v>
      </c>
      <c r="EP118" s="8" t="e">
        <v>#VALUE!</v>
      </c>
    </row>
    <row r="119" spans="1:149" s="8" customFormat="1" ht="14.25" customHeight="1" x14ac:dyDescent="0.15">
      <c r="B119" s="129"/>
      <c r="C119" s="40"/>
      <c r="Q119" s="135"/>
      <c r="R119" s="135"/>
      <c r="S119" s="135"/>
      <c r="X119" s="135"/>
      <c r="Y119" s="135"/>
      <c r="Z119" s="135"/>
      <c r="AA119" s="135"/>
      <c r="AB119" s="8">
        <v>10240102</v>
      </c>
      <c r="AC119" s="145" t="s">
        <v>346</v>
      </c>
      <c r="AE119" s="8" t="s">
        <v>129</v>
      </c>
      <c r="AF119" s="8" t="s">
        <v>314</v>
      </c>
      <c r="AJ119" s="8">
        <v>3</v>
      </c>
      <c r="AL119" s="152"/>
      <c r="AM119" s="152"/>
      <c r="AN119" s="152"/>
      <c r="AO119" s="152"/>
      <c r="AP119" s="152"/>
      <c r="AQ119" s="152"/>
      <c r="AR119" s="152"/>
      <c r="AS119" s="154"/>
      <c r="AT119" s="154"/>
      <c r="AU119" s="152"/>
      <c r="AV119" s="152"/>
      <c r="AW119" s="152"/>
      <c r="AX119" s="152"/>
      <c r="AY119" s="152"/>
      <c r="AZ119" s="152"/>
      <c r="BA119" s="152"/>
      <c r="BB119" s="157"/>
      <c r="BC119" s="157"/>
      <c r="BD119" s="157"/>
      <c r="BE119" s="157"/>
      <c r="CX119" s="135"/>
      <c r="DJ119" s="1" t="b">
        <v>1</v>
      </c>
      <c r="DK119" s="135"/>
      <c r="DL119" s="135"/>
      <c r="DM119" s="135"/>
      <c r="DN119" s="135"/>
      <c r="DO119" s="135"/>
      <c r="DP119" s="94"/>
      <c r="DQ119" s="144"/>
      <c r="DR119" s="57" t="str">
        <f t="shared" si="2"/>
        <v/>
      </c>
      <c r="DS119" s="135"/>
      <c r="DT119" s="135"/>
      <c r="DU119" s="1" t="s">
        <v>280</v>
      </c>
      <c r="DV119" s="152"/>
      <c r="DY119" s="152"/>
      <c r="EA119" s="152"/>
      <c r="EB119" s="152"/>
      <c r="EC119" s="152"/>
      <c r="ED119" s="152"/>
    </row>
    <row r="120" spans="1:149" s="1" customFormat="1" ht="14.25" customHeight="1" x14ac:dyDescent="0.15">
      <c r="A120" s="8">
        <v>170526</v>
      </c>
      <c r="B120" s="134" t="s">
        <v>476</v>
      </c>
      <c r="C120" s="40" t="s">
        <v>477</v>
      </c>
      <c r="D120" s="8" t="s">
        <v>485</v>
      </c>
      <c r="E120" s="8"/>
      <c r="F120" s="8"/>
      <c r="G120" s="8"/>
      <c r="H120" s="8">
        <v>0</v>
      </c>
      <c r="I120" s="8"/>
      <c r="J120" s="8"/>
      <c r="K120" s="8"/>
      <c r="L120" s="8">
        <v>0</v>
      </c>
      <c r="M120" s="8"/>
      <c r="N120" s="8"/>
      <c r="O120" s="8"/>
      <c r="P120" s="8" t="s">
        <v>268</v>
      </c>
      <c r="Q120" s="8" t="s">
        <v>269</v>
      </c>
      <c r="R120" s="8"/>
      <c r="S120" s="8"/>
      <c r="T120" s="8"/>
      <c r="U120" s="8"/>
      <c r="V120" s="8"/>
      <c r="W120" s="8"/>
      <c r="X120" s="8">
        <v>1</v>
      </c>
      <c r="Y120" s="8">
        <v>0</v>
      </c>
      <c r="Z120" s="8">
        <v>0</v>
      </c>
      <c r="AA120" s="8"/>
      <c r="AB120" s="144">
        <v>3001</v>
      </c>
      <c r="AC120" s="135" t="s">
        <v>337</v>
      </c>
      <c r="AD120" s="8"/>
      <c r="AE120" s="8" t="s">
        <v>129</v>
      </c>
      <c r="AF120" s="8" t="s">
        <v>314</v>
      </c>
      <c r="AG120" s="8"/>
      <c r="AH120" s="8"/>
      <c r="AI120" s="8"/>
      <c r="AJ120" s="135"/>
      <c r="AK120" s="135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135" t="s">
        <v>270</v>
      </c>
      <c r="BB120" s="135">
        <v>120</v>
      </c>
      <c r="BC120" s="8">
        <v>0</v>
      </c>
      <c r="BD120" s="8"/>
      <c r="BE120" s="8"/>
      <c r="BF120" s="8">
        <v>0</v>
      </c>
      <c r="BG120" s="8">
        <v>0</v>
      </c>
      <c r="BH120" s="8">
        <v>0</v>
      </c>
      <c r="BI120" s="8"/>
      <c r="BJ120" s="8" t="s">
        <v>270</v>
      </c>
      <c r="BK120" s="8"/>
      <c r="BL120" s="8"/>
      <c r="BM120" s="8"/>
      <c r="BN120" s="8"/>
      <c r="BO120" s="8"/>
      <c r="BP120" s="8"/>
      <c r="BQ120" s="8"/>
      <c r="BR120" s="8"/>
      <c r="BS120" s="8" t="s">
        <v>270</v>
      </c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 t="s">
        <v>271</v>
      </c>
      <c r="CG120" s="8"/>
      <c r="CH120" s="8"/>
      <c r="CI120" s="8"/>
      <c r="CJ120" s="8" t="s">
        <v>3</v>
      </c>
      <c r="CK120" s="144" t="s">
        <v>491</v>
      </c>
      <c r="CL120" s="144"/>
      <c r="CM120" s="10">
        <v>300</v>
      </c>
      <c r="CN120" s="8">
        <v>0</v>
      </c>
      <c r="CO120" s="8">
        <v>0</v>
      </c>
      <c r="CP120" s="8">
        <v>0</v>
      </c>
      <c r="CQ120" s="8">
        <v>0</v>
      </c>
      <c r="CR120" s="8"/>
      <c r="CS120" s="8">
        <v>10</v>
      </c>
      <c r="CT120" s="8"/>
      <c r="CU120" s="8">
        <v>10</v>
      </c>
      <c r="CV120" s="8"/>
      <c r="CW120" s="8" t="b">
        <v>0</v>
      </c>
      <c r="CX120" s="8" t="s">
        <v>273</v>
      </c>
      <c r="CY120" s="8"/>
      <c r="CZ120" s="8"/>
      <c r="DA120" s="8"/>
      <c r="DB120" s="8">
        <v>100300</v>
      </c>
      <c r="DC120" s="8" t="b">
        <v>1</v>
      </c>
      <c r="DD120" s="8" t="s">
        <v>274</v>
      </c>
      <c r="DE120" s="8" t="s">
        <v>340</v>
      </c>
      <c r="DF120" s="8" t="s">
        <v>276</v>
      </c>
      <c r="DG120" s="8" t="s">
        <v>277</v>
      </c>
      <c r="DH120" s="8">
        <v>4</v>
      </c>
      <c r="DI120" s="8" t="b">
        <v>0</v>
      </c>
      <c r="DJ120" s="1" t="b">
        <v>1</v>
      </c>
      <c r="DK120" s="8"/>
      <c r="DL120" s="8"/>
      <c r="DM120" s="8"/>
      <c r="DP120" s="96" t="str">
        <f>"SkillDetail_"&amp;A120</f>
        <v>SkillDetail_170526</v>
      </c>
      <c r="DQ120" s="8" t="s">
        <v>487</v>
      </c>
      <c r="DR120" s="57" t="e">
        <f t="shared" si="2"/>
        <v>#VALUE!</v>
      </c>
      <c r="DS120" s="8" t="s">
        <v>488</v>
      </c>
      <c r="DT120" s="8"/>
      <c r="DU120" s="1" t="s">
        <v>280</v>
      </c>
      <c r="DV120" s="152"/>
      <c r="DW120" s="8"/>
      <c r="DX120" s="8"/>
      <c r="DZ120" s="8">
        <v>1</v>
      </c>
      <c r="EA120" s="152">
        <v>-1</v>
      </c>
      <c r="EB120" s="152">
        <v>4.1666666666666699E-2</v>
      </c>
      <c r="EC120" s="152">
        <v>8.3333333333333301E-2</v>
      </c>
      <c r="ED120" s="152">
        <v>8.3333333333333301E-2</v>
      </c>
      <c r="EE120" s="8" t="s">
        <v>284</v>
      </c>
      <c r="EF120" s="8" t="s">
        <v>326</v>
      </c>
      <c r="EG120" s="8" t="e">
        <v>#VALUE!</v>
      </c>
      <c r="EH120" s="8" t="s">
        <v>285</v>
      </c>
      <c r="EI120" s="8" t="s">
        <v>344</v>
      </c>
      <c r="EJ120" s="8" t="e">
        <v>#VALUE!</v>
      </c>
      <c r="EK120" s="8" t="s">
        <v>286</v>
      </c>
      <c r="EL120" s="8" t="s">
        <v>328</v>
      </c>
      <c r="EM120" s="8" t="e">
        <v>#VALUE!</v>
      </c>
      <c r="EN120" s="8" t="s">
        <v>287</v>
      </c>
      <c r="EO120" s="8" t="s">
        <v>328</v>
      </c>
      <c r="EP120" s="8" t="e">
        <v>#VALUE!</v>
      </c>
      <c r="EQ120" s="8"/>
      <c r="ER120" s="8"/>
      <c r="ES120" s="8"/>
    </row>
    <row r="121" spans="1:149" s="1" customFormat="1" ht="27.75" customHeight="1" x14ac:dyDescent="0.15">
      <c r="A121" s="8"/>
      <c r="B121" s="134"/>
      <c r="C121" s="40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135">
        <v>10240102</v>
      </c>
      <c r="AC121" s="135" t="s">
        <v>346</v>
      </c>
      <c r="AD121" s="8"/>
      <c r="AE121" s="135" t="s">
        <v>129</v>
      </c>
      <c r="AF121" s="135" t="s">
        <v>314</v>
      </c>
      <c r="AG121" s="135"/>
      <c r="AH121" s="135"/>
      <c r="AI121" s="135"/>
      <c r="AJ121" s="135">
        <v>3</v>
      </c>
      <c r="AK121" s="135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135"/>
      <c r="BB121" s="135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1" t="b">
        <v>1</v>
      </c>
      <c r="DK121" s="8"/>
      <c r="DL121" s="8"/>
      <c r="DM121" s="8"/>
      <c r="DN121" s="8"/>
      <c r="DO121" s="8"/>
      <c r="DP121" s="96"/>
      <c r="DQ121" s="8"/>
      <c r="DR121" s="57" t="str">
        <f t="shared" si="2"/>
        <v/>
      </c>
      <c r="DS121" s="8"/>
      <c r="DT121" s="8"/>
      <c r="DU121" s="1" t="s">
        <v>280</v>
      </c>
      <c r="DV121" s="152"/>
      <c r="DW121" s="8"/>
      <c r="DX121" s="8"/>
      <c r="DY121" s="152"/>
      <c r="DZ121" s="8"/>
      <c r="EA121" s="152"/>
      <c r="EB121" s="152"/>
      <c r="EC121" s="152"/>
      <c r="ED121" s="152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</row>
    <row r="122" spans="1:149" s="1" customFormat="1" ht="27.75" customHeight="1" x14ac:dyDescent="0.15">
      <c r="A122" s="8">
        <v>170527</v>
      </c>
      <c r="B122" s="134" t="s">
        <v>456</v>
      </c>
      <c r="C122" s="40" t="s">
        <v>457</v>
      </c>
      <c r="D122" s="8" t="s">
        <v>485</v>
      </c>
      <c r="E122" s="8"/>
      <c r="F122" s="8"/>
      <c r="G122" s="8"/>
      <c r="H122" s="8">
        <v>0</v>
      </c>
      <c r="I122" s="8"/>
      <c r="J122" s="8"/>
      <c r="K122" s="8"/>
      <c r="L122" s="8">
        <v>0</v>
      </c>
      <c r="M122" s="8"/>
      <c r="N122" s="8"/>
      <c r="O122" s="8"/>
      <c r="P122" s="8" t="s">
        <v>268</v>
      </c>
      <c r="Q122" s="8" t="s">
        <v>269</v>
      </c>
      <c r="R122" s="8"/>
      <c r="S122" s="8"/>
      <c r="T122" s="8"/>
      <c r="U122" s="8"/>
      <c r="V122" s="8"/>
      <c r="W122" s="8"/>
      <c r="X122" s="8">
        <v>1</v>
      </c>
      <c r="Y122" s="8">
        <v>0</v>
      </c>
      <c r="Z122" s="8">
        <v>0</v>
      </c>
      <c r="AA122" s="8"/>
      <c r="AB122" s="8">
        <v>3001</v>
      </c>
      <c r="AC122" s="8" t="s">
        <v>337</v>
      </c>
      <c r="AD122" s="8"/>
      <c r="AE122" s="8"/>
      <c r="AF122" s="8"/>
      <c r="AG122" s="8"/>
      <c r="AH122" s="8"/>
      <c r="AI122" s="8"/>
      <c r="AJ122" s="8"/>
      <c r="AK122" s="8"/>
      <c r="AL122" s="152"/>
      <c r="AM122" s="152"/>
      <c r="AN122" s="152"/>
      <c r="AO122" s="152"/>
      <c r="AP122" s="152"/>
      <c r="AQ122" s="152"/>
      <c r="AR122" s="152"/>
      <c r="AS122" s="135"/>
      <c r="AT122" s="135"/>
      <c r="AU122" s="152"/>
      <c r="AV122" s="152"/>
      <c r="AW122" s="152"/>
      <c r="AX122" s="152"/>
      <c r="AY122" s="152"/>
      <c r="AZ122" s="152"/>
      <c r="BA122" s="152" t="s">
        <v>270</v>
      </c>
      <c r="BB122" s="8">
        <v>120</v>
      </c>
      <c r="BC122" s="8">
        <v>0</v>
      </c>
      <c r="BD122" s="8"/>
      <c r="BE122" s="8"/>
      <c r="BF122" s="8">
        <v>0</v>
      </c>
      <c r="BG122" s="8">
        <v>0</v>
      </c>
      <c r="BH122" s="8">
        <v>0</v>
      </c>
      <c r="BI122" s="8"/>
      <c r="BJ122" s="8" t="s">
        <v>270</v>
      </c>
      <c r="BK122" s="8"/>
      <c r="BL122" s="8"/>
      <c r="BM122" s="8"/>
      <c r="BN122" s="8"/>
      <c r="BO122" s="8"/>
      <c r="BP122" s="8"/>
      <c r="BQ122" s="8"/>
      <c r="BR122" s="8"/>
      <c r="BS122" s="8" t="s">
        <v>270</v>
      </c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 t="s">
        <v>378</v>
      </c>
      <c r="CG122" s="8"/>
      <c r="CH122" s="8"/>
      <c r="CI122" s="8"/>
      <c r="CJ122" s="8" t="s">
        <v>1</v>
      </c>
      <c r="CK122" s="144" t="s">
        <v>374</v>
      </c>
      <c r="CL122" s="144"/>
      <c r="CM122" s="10">
        <v>300</v>
      </c>
      <c r="CN122" s="8">
        <v>0</v>
      </c>
      <c r="CO122" s="8">
        <v>0</v>
      </c>
      <c r="CP122" s="8">
        <v>0</v>
      </c>
      <c r="CQ122" s="8">
        <v>0</v>
      </c>
      <c r="CR122" s="8"/>
      <c r="CS122" s="8">
        <v>1</v>
      </c>
      <c r="CT122" s="8"/>
      <c r="CU122" s="8">
        <v>20</v>
      </c>
      <c r="CV122" s="8"/>
      <c r="CW122" s="8" t="b">
        <v>0</v>
      </c>
      <c r="CX122" s="135" t="s">
        <v>273</v>
      </c>
      <c r="CY122" s="8"/>
      <c r="CZ122" s="8"/>
      <c r="DA122" s="8"/>
      <c r="DB122" s="8">
        <v>102401</v>
      </c>
      <c r="DC122" s="8" t="b">
        <v>1</v>
      </c>
      <c r="DD122" s="8" t="s">
        <v>274</v>
      </c>
      <c r="DE122" s="8" t="s">
        <v>380</v>
      </c>
      <c r="DF122" s="8" t="s">
        <v>276</v>
      </c>
      <c r="DG122" s="8" t="s">
        <v>293</v>
      </c>
      <c r="DH122" s="8">
        <v>4</v>
      </c>
      <c r="DI122" s="161" t="b">
        <v>0</v>
      </c>
      <c r="DJ122" s="1" t="b">
        <v>1</v>
      </c>
      <c r="DK122" s="8"/>
      <c r="DL122" s="8"/>
      <c r="DM122" s="8"/>
      <c r="DP122" s="96" t="str">
        <f>"SkillDetail_"&amp;A122</f>
        <v>SkillDetail_170527</v>
      </c>
      <c r="DQ122" s="144" t="s">
        <v>492</v>
      </c>
      <c r="DR122" s="57" t="e">
        <f t="shared" si="2"/>
        <v>#VALUE!</v>
      </c>
      <c r="DS122" s="8" t="s">
        <v>493</v>
      </c>
      <c r="DT122" s="8"/>
      <c r="DU122" s="1" t="s">
        <v>280</v>
      </c>
      <c r="DV122" s="152"/>
      <c r="DW122" s="8"/>
      <c r="DX122" s="8"/>
      <c r="DZ122" s="145">
        <v>1</v>
      </c>
      <c r="EA122" s="153" t="s">
        <v>281</v>
      </c>
      <c r="EB122" s="153" t="s">
        <v>282</v>
      </c>
      <c r="EC122" s="153" t="s">
        <v>283</v>
      </c>
      <c r="ED122" s="153" t="s">
        <v>283</v>
      </c>
      <c r="EE122" s="8" t="s">
        <v>284</v>
      </c>
      <c r="EF122" s="8" t="s">
        <v>326</v>
      </c>
      <c r="EG122" s="8" t="e">
        <v>#VALUE!</v>
      </c>
      <c r="EH122" s="8" t="s">
        <v>285</v>
      </c>
      <c r="EI122" s="8" t="s">
        <v>344</v>
      </c>
      <c r="EJ122" s="8" t="e">
        <v>#VALUE!</v>
      </c>
      <c r="EK122" s="8" t="s">
        <v>286</v>
      </c>
      <c r="EL122" s="8" t="s">
        <v>328</v>
      </c>
      <c r="EM122" s="8" t="e">
        <v>#VALUE!</v>
      </c>
      <c r="EN122" s="8" t="s">
        <v>287</v>
      </c>
      <c r="EO122" s="8" t="s">
        <v>328</v>
      </c>
      <c r="EP122" s="8" t="e">
        <v>#VALUE!</v>
      </c>
      <c r="EQ122" s="8"/>
      <c r="ER122" s="8"/>
      <c r="ES122" s="8"/>
    </row>
    <row r="123" spans="1:149" s="1" customFormat="1" ht="15" customHeight="1" x14ac:dyDescent="0.15">
      <c r="A123" s="8"/>
      <c r="B123" s="134"/>
      <c r="C123" s="40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>
        <v>17050501</v>
      </c>
      <c r="AC123" s="8" t="s">
        <v>384</v>
      </c>
      <c r="AD123" s="8" t="s">
        <v>330</v>
      </c>
      <c r="AE123" s="8" t="s">
        <v>291</v>
      </c>
      <c r="AF123" s="8" t="s">
        <v>314</v>
      </c>
      <c r="AG123" s="8"/>
      <c r="AH123" s="8"/>
      <c r="AI123" s="8"/>
      <c r="AJ123" s="8"/>
      <c r="AK123" s="8"/>
      <c r="AL123" s="152"/>
      <c r="AM123" s="152"/>
      <c r="AN123" s="152"/>
      <c r="AO123" s="152"/>
      <c r="AP123" s="152"/>
      <c r="AQ123" s="152"/>
      <c r="AR123" s="152"/>
      <c r="AS123" s="135"/>
      <c r="AT123" s="135"/>
      <c r="AU123" s="152"/>
      <c r="AV123" s="152"/>
      <c r="AW123" s="152"/>
      <c r="AX123" s="152"/>
      <c r="AY123" s="152"/>
      <c r="AZ123" s="152"/>
      <c r="BA123" s="152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161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161"/>
      <c r="DJ123" s="1" t="b">
        <v>1</v>
      </c>
      <c r="DK123" s="8"/>
      <c r="DL123" s="8"/>
      <c r="DM123" s="8"/>
      <c r="DN123" s="8"/>
      <c r="DO123" s="8"/>
      <c r="DP123" s="96"/>
      <c r="DQ123" s="144"/>
      <c r="DR123" s="57" t="str">
        <f t="shared" ref="DR123:DR186" si="3">IF(DZ123="","",IF(DZ123=1,EG123,IF(DZ123=2,EJ123,IF(DZ123=3,EM123,IF(DZ123=4,EP123,IF(DZ123=0,DS123,"【参数配置有误】"&amp;DS123))))))</f>
        <v/>
      </c>
      <c r="DS123" s="8"/>
      <c r="DT123" s="8"/>
      <c r="DU123" s="1" t="s">
        <v>280</v>
      </c>
      <c r="DV123" s="152"/>
      <c r="DW123" s="8"/>
      <c r="DX123" s="8"/>
      <c r="DY123" s="152"/>
      <c r="DZ123" s="145"/>
      <c r="EA123" s="153"/>
      <c r="EB123" s="153"/>
      <c r="EC123" s="153"/>
      <c r="ED123" s="153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</row>
    <row r="124" spans="1:149" s="1" customFormat="1" ht="15" customHeight="1" x14ac:dyDescent="0.15">
      <c r="A124" s="8"/>
      <c r="B124" s="130"/>
      <c r="C124" s="40"/>
      <c r="D124" s="131"/>
      <c r="E124" s="131"/>
      <c r="F124" s="131"/>
      <c r="G124" s="131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>
        <v>17050502</v>
      </c>
      <c r="AC124" s="8" t="s">
        <v>385</v>
      </c>
      <c r="AD124" s="8"/>
      <c r="AE124" s="8" t="s">
        <v>291</v>
      </c>
      <c r="AF124" s="8" t="s">
        <v>314</v>
      </c>
      <c r="AG124" s="8"/>
      <c r="AH124" s="8"/>
      <c r="AI124" s="8"/>
      <c r="AJ124" s="8">
        <v>5</v>
      </c>
      <c r="AK124" s="8"/>
      <c r="AL124" s="152"/>
      <c r="AM124" s="152"/>
      <c r="AN124" s="152"/>
      <c r="AO124" s="152"/>
      <c r="AP124" s="152"/>
      <c r="AQ124" s="152"/>
      <c r="AR124" s="152"/>
      <c r="AS124" s="135"/>
      <c r="AT124" s="135"/>
      <c r="AU124" s="152"/>
      <c r="AV124" s="152"/>
      <c r="AW124" s="152"/>
      <c r="AX124" s="152"/>
      <c r="AY124" s="152"/>
      <c r="AZ124" s="152"/>
      <c r="BA124" s="152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161"/>
      <c r="CY124" s="8"/>
      <c r="CZ124" s="8"/>
      <c r="DA124" s="8"/>
      <c r="DB124" s="8"/>
      <c r="DC124" s="8"/>
      <c r="DD124" s="8"/>
      <c r="DE124" s="135"/>
      <c r="DF124" s="8"/>
      <c r="DG124" s="8"/>
      <c r="DH124" s="8"/>
      <c r="DI124" s="8"/>
      <c r="DJ124" s="1" t="b">
        <v>1</v>
      </c>
      <c r="DK124" s="8"/>
      <c r="DL124" s="8"/>
      <c r="DM124" s="8"/>
      <c r="DN124" s="8"/>
      <c r="DO124" s="8"/>
      <c r="DP124" s="96"/>
      <c r="DQ124" s="144"/>
      <c r="DR124" s="57" t="str">
        <f t="shared" si="3"/>
        <v/>
      </c>
      <c r="DS124" s="172"/>
      <c r="DT124" s="172"/>
      <c r="DU124" s="1" t="s">
        <v>280</v>
      </c>
      <c r="DV124" s="152"/>
      <c r="DW124" s="8"/>
      <c r="DX124" s="8"/>
      <c r="DY124" s="152"/>
      <c r="DZ124" s="145"/>
      <c r="EA124" s="153"/>
      <c r="EB124" s="153"/>
      <c r="EC124" s="153"/>
      <c r="ED124" s="153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</row>
    <row r="125" spans="1:149" s="1" customFormat="1" ht="15" customHeight="1" x14ac:dyDescent="0.15">
      <c r="A125" s="8"/>
      <c r="B125" s="130"/>
      <c r="C125" s="40"/>
      <c r="D125" s="131"/>
      <c r="E125" s="131"/>
      <c r="F125" s="131"/>
      <c r="G125" s="131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>
        <v>17050503</v>
      </c>
      <c r="AC125" s="8" t="s">
        <v>386</v>
      </c>
      <c r="AD125" s="8" t="s">
        <v>330</v>
      </c>
      <c r="AE125" s="8" t="s">
        <v>291</v>
      </c>
      <c r="AF125" s="8" t="s">
        <v>314</v>
      </c>
      <c r="AG125" s="8"/>
      <c r="AH125" s="8"/>
      <c r="AI125" s="8"/>
      <c r="AJ125" s="8"/>
      <c r="AK125" s="8"/>
      <c r="AL125" s="152"/>
      <c r="AM125" s="152"/>
      <c r="AN125" s="152"/>
      <c r="AO125" s="152"/>
      <c r="AP125" s="152"/>
      <c r="AQ125" s="152"/>
      <c r="AR125" s="152"/>
      <c r="AS125" s="135"/>
      <c r="AT125" s="135"/>
      <c r="AU125" s="152"/>
      <c r="AV125" s="152"/>
      <c r="AW125" s="152"/>
      <c r="AX125" s="152"/>
      <c r="AY125" s="152"/>
      <c r="AZ125" s="152"/>
      <c r="BA125" s="152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161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1" t="b">
        <v>1</v>
      </c>
      <c r="DK125" s="8"/>
      <c r="DL125" s="8"/>
      <c r="DM125" s="8"/>
      <c r="DN125" s="8"/>
      <c r="DO125" s="8"/>
      <c r="DP125" s="96"/>
      <c r="DQ125" s="144"/>
      <c r="DR125" s="57" t="str">
        <f t="shared" si="3"/>
        <v/>
      </c>
      <c r="DS125" s="8"/>
      <c r="DT125" s="8"/>
      <c r="DU125" s="1" t="s">
        <v>280</v>
      </c>
      <c r="DV125" s="152"/>
      <c r="DW125" s="8"/>
      <c r="DX125" s="8"/>
      <c r="DY125" s="152"/>
      <c r="DZ125" s="8"/>
      <c r="EA125" s="152"/>
      <c r="EB125" s="152"/>
      <c r="EC125" s="152"/>
      <c r="ED125" s="152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</row>
    <row r="126" spans="1:149" s="1" customFormat="1" ht="15" customHeight="1" x14ac:dyDescent="0.15">
      <c r="A126" s="8">
        <v>170528</v>
      </c>
      <c r="B126" s="129" t="s">
        <v>462</v>
      </c>
      <c r="C126" s="40" t="s">
        <v>463</v>
      </c>
      <c r="D126" s="8" t="s">
        <v>485</v>
      </c>
      <c r="E126" s="8"/>
      <c r="F126" s="8"/>
      <c r="G126" s="8"/>
      <c r="H126" s="8">
        <v>0</v>
      </c>
      <c r="I126" s="8"/>
      <c r="J126" s="8"/>
      <c r="K126" s="8"/>
      <c r="L126" s="8">
        <v>0</v>
      </c>
      <c r="M126" s="8"/>
      <c r="N126" s="8"/>
      <c r="O126" s="8"/>
      <c r="P126" s="8" t="s">
        <v>268</v>
      </c>
      <c r="Q126" s="135" t="s">
        <v>269</v>
      </c>
      <c r="R126" s="135"/>
      <c r="S126" s="135"/>
      <c r="T126" s="8"/>
      <c r="U126" s="8"/>
      <c r="V126" s="8"/>
      <c r="W126" s="8"/>
      <c r="X126" s="135">
        <v>1</v>
      </c>
      <c r="Y126" s="135">
        <v>0</v>
      </c>
      <c r="Z126" s="135">
        <v>0</v>
      </c>
      <c r="AA126" s="135"/>
      <c r="AB126" s="8">
        <v>3001</v>
      </c>
      <c r="AC126" s="135"/>
      <c r="AD126" s="8"/>
      <c r="AE126" s="8"/>
      <c r="AF126" s="8"/>
      <c r="AG126" s="8"/>
      <c r="AH126" s="8"/>
      <c r="AI126" s="8"/>
      <c r="AJ126" s="8"/>
      <c r="AK126" s="8"/>
      <c r="AL126" s="152"/>
      <c r="AM126" s="152"/>
      <c r="AN126" s="152"/>
      <c r="AO126" s="152"/>
      <c r="AP126" s="152"/>
      <c r="AQ126" s="152"/>
      <c r="AR126" s="152"/>
      <c r="AS126" s="135"/>
      <c r="AT126" s="135"/>
      <c r="AU126" s="152"/>
      <c r="AV126" s="152"/>
      <c r="AW126" s="152"/>
      <c r="AX126" s="152"/>
      <c r="AY126" s="152"/>
      <c r="AZ126" s="152"/>
      <c r="BA126" s="152" t="s">
        <v>270</v>
      </c>
      <c r="BB126" s="8">
        <v>150</v>
      </c>
      <c r="BC126" s="8">
        <v>0</v>
      </c>
      <c r="BD126" s="8"/>
      <c r="BE126" s="8"/>
      <c r="BF126" s="8">
        <v>0</v>
      </c>
      <c r="BG126" s="8">
        <v>0</v>
      </c>
      <c r="BH126" s="8">
        <v>0</v>
      </c>
      <c r="BI126" s="8"/>
      <c r="BJ126" s="8" t="s">
        <v>270</v>
      </c>
      <c r="BK126" s="8"/>
      <c r="BL126" s="8"/>
      <c r="BM126" s="8"/>
      <c r="BN126" s="8"/>
      <c r="BO126" s="8"/>
      <c r="BP126" s="8"/>
      <c r="BQ126" s="8"/>
      <c r="BR126" s="8"/>
      <c r="BS126" s="8" t="s">
        <v>270</v>
      </c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 t="s">
        <v>271</v>
      </c>
      <c r="CG126" s="8"/>
      <c r="CH126" s="8"/>
      <c r="CI126" s="8"/>
      <c r="CJ126" s="8" t="s">
        <v>1</v>
      </c>
      <c r="CK126" s="144" t="s">
        <v>308</v>
      </c>
      <c r="CL126" s="144"/>
      <c r="CM126" s="10">
        <v>300</v>
      </c>
      <c r="CN126" s="8">
        <v>0</v>
      </c>
      <c r="CO126" s="8">
        <v>0</v>
      </c>
      <c r="CP126" s="8">
        <v>0</v>
      </c>
      <c r="CQ126" s="8">
        <v>0</v>
      </c>
      <c r="CR126" s="8"/>
      <c r="CS126" s="8">
        <v>10</v>
      </c>
      <c r="CT126" s="8">
        <v>4</v>
      </c>
      <c r="CU126" s="8">
        <v>22</v>
      </c>
      <c r="CV126" s="8"/>
      <c r="CW126" s="8" t="b">
        <v>1</v>
      </c>
      <c r="CX126" s="135" t="s">
        <v>273</v>
      </c>
      <c r="CY126" s="8"/>
      <c r="CZ126" s="8"/>
      <c r="DA126" s="8"/>
      <c r="DB126" s="8">
        <v>170501</v>
      </c>
      <c r="DC126" s="8" t="b">
        <v>1</v>
      </c>
      <c r="DD126" s="8" t="s">
        <v>274</v>
      </c>
      <c r="DE126" s="8" t="s">
        <v>309</v>
      </c>
      <c r="DF126" s="8" t="s">
        <v>276</v>
      </c>
      <c r="DG126" s="8" t="s">
        <v>310</v>
      </c>
      <c r="DH126" s="8">
        <v>4</v>
      </c>
      <c r="DI126" s="8" t="b">
        <v>0</v>
      </c>
      <c r="DJ126" s="1" t="b">
        <v>1</v>
      </c>
      <c r="DK126" s="135"/>
      <c r="DL126" s="135"/>
      <c r="DM126" s="135"/>
      <c r="DP126" s="96" t="str">
        <f>"SkillDetail_"&amp;A126</f>
        <v>SkillDetail_170528</v>
      </c>
      <c r="DQ126" s="144" t="s">
        <v>489</v>
      </c>
      <c r="DR126" s="57" t="e">
        <f t="shared" si="3"/>
        <v>#VALUE!</v>
      </c>
      <c r="DS126" s="172" t="s">
        <v>441</v>
      </c>
      <c r="DT126" s="172"/>
      <c r="DU126" s="1" t="s">
        <v>280</v>
      </c>
      <c r="DV126" s="152"/>
      <c r="DW126" s="8"/>
      <c r="DX126" s="8"/>
      <c r="DZ126" s="145">
        <v>1</v>
      </c>
      <c r="EA126" s="153" t="s">
        <v>281</v>
      </c>
      <c r="EB126" s="153" t="s">
        <v>282</v>
      </c>
      <c r="EC126" s="153" t="s">
        <v>283</v>
      </c>
      <c r="ED126" s="153" t="s">
        <v>283</v>
      </c>
      <c r="EE126" s="8" t="s">
        <v>284</v>
      </c>
      <c r="EF126" s="8" t="s">
        <v>326</v>
      </c>
      <c r="EG126" s="8" t="e">
        <v>#VALUE!</v>
      </c>
      <c r="EH126" s="8" t="s">
        <v>285</v>
      </c>
      <c r="EI126" s="8" t="s">
        <v>327</v>
      </c>
      <c r="EJ126" s="8" t="e">
        <v>#VALUE!</v>
      </c>
      <c r="EK126" s="8" t="s">
        <v>286</v>
      </c>
      <c r="EL126" s="8" t="s">
        <v>328</v>
      </c>
      <c r="EM126" s="8" t="e">
        <v>#VALUE!</v>
      </c>
      <c r="EN126" s="8" t="s">
        <v>287</v>
      </c>
      <c r="EO126" s="8" t="s">
        <v>328</v>
      </c>
      <c r="EP126" s="8" t="e">
        <v>#VALUE!</v>
      </c>
      <c r="EQ126" s="8"/>
      <c r="ER126" s="8"/>
      <c r="ES126" s="8"/>
    </row>
    <row r="127" spans="1:149" s="1" customFormat="1" ht="15" customHeight="1" x14ac:dyDescent="0.15">
      <c r="A127" s="8"/>
      <c r="B127" s="129"/>
      <c r="C127" s="40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135"/>
      <c r="R127" s="135"/>
      <c r="S127" s="135"/>
      <c r="T127" s="8"/>
      <c r="U127" s="8"/>
      <c r="V127" s="8"/>
      <c r="W127" s="8"/>
      <c r="X127" s="135"/>
      <c r="Y127" s="135"/>
      <c r="Z127" s="135"/>
      <c r="AA127" s="135"/>
      <c r="AB127" s="8">
        <v>17050102</v>
      </c>
      <c r="AC127" s="135" t="s">
        <v>313</v>
      </c>
      <c r="AD127" s="8"/>
      <c r="AE127" s="8" t="s">
        <v>291</v>
      </c>
      <c r="AF127" s="8" t="s">
        <v>314</v>
      </c>
      <c r="AG127" s="8"/>
      <c r="AH127" s="8"/>
      <c r="AI127" s="8"/>
      <c r="AJ127" s="8"/>
      <c r="AK127" s="8"/>
      <c r="AL127" s="152"/>
      <c r="AM127" s="152"/>
      <c r="AN127" s="152"/>
      <c r="AO127" s="152"/>
      <c r="AP127" s="152"/>
      <c r="AQ127" s="152"/>
      <c r="AR127" s="152"/>
      <c r="AS127" s="135"/>
      <c r="AT127" s="135"/>
      <c r="AU127" s="152"/>
      <c r="AV127" s="152"/>
      <c r="AW127" s="152"/>
      <c r="AX127" s="152"/>
      <c r="AY127" s="152"/>
      <c r="AZ127" s="152"/>
      <c r="BA127" s="152" t="s">
        <v>270</v>
      </c>
      <c r="BB127" s="8">
        <v>0</v>
      </c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135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1" t="b">
        <v>1</v>
      </c>
      <c r="DK127" s="135"/>
      <c r="DL127" s="135"/>
      <c r="DM127" s="135"/>
      <c r="DN127" s="135"/>
      <c r="DO127" s="135"/>
      <c r="DP127" s="94"/>
      <c r="DQ127" s="144">
        <v>0</v>
      </c>
      <c r="DR127" s="57" t="str">
        <f t="shared" si="3"/>
        <v/>
      </c>
      <c r="DS127" s="135"/>
      <c r="DT127" s="135"/>
      <c r="DU127" s="1" t="s">
        <v>280</v>
      </c>
      <c r="DV127" s="152"/>
      <c r="DW127" s="8"/>
      <c r="DX127" s="8"/>
      <c r="DY127" s="152"/>
      <c r="DZ127" s="8"/>
      <c r="EA127" s="152"/>
      <c r="EB127" s="152"/>
      <c r="EC127" s="152"/>
      <c r="ED127" s="152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</row>
    <row r="128" spans="1:149" s="1" customFormat="1" ht="15" customHeight="1" x14ac:dyDescent="0.15">
      <c r="A128" s="8"/>
      <c r="B128" s="129"/>
      <c r="C128" s="40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135"/>
      <c r="R128" s="135"/>
      <c r="S128" s="135"/>
      <c r="T128" s="8"/>
      <c r="U128" s="8"/>
      <c r="V128" s="8"/>
      <c r="W128" s="8"/>
      <c r="X128" s="135"/>
      <c r="Y128" s="135"/>
      <c r="Z128" s="135"/>
      <c r="AA128" s="135"/>
      <c r="AB128" s="8">
        <v>17050103</v>
      </c>
      <c r="AC128" s="135" t="s">
        <v>315</v>
      </c>
      <c r="AD128" s="8"/>
      <c r="AE128" s="8"/>
      <c r="AF128" s="8"/>
      <c r="AG128" s="8"/>
      <c r="AH128" s="8"/>
      <c r="AI128" s="8"/>
      <c r="AJ128" s="8">
        <v>3</v>
      </c>
      <c r="AK128" s="8"/>
      <c r="AL128" s="152"/>
      <c r="AM128" s="152"/>
      <c r="AN128" s="152"/>
      <c r="AO128" s="152"/>
      <c r="AP128" s="152"/>
      <c r="AQ128" s="152"/>
      <c r="AR128" s="152"/>
      <c r="AS128" s="135"/>
      <c r="AT128" s="135"/>
      <c r="AU128" s="152"/>
      <c r="AV128" s="152"/>
      <c r="AW128" s="152"/>
      <c r="AX128" s="152"/>
      <c r="AY128" s="152"/>
      <c r="AZ128" s="152"/>
      <c r="BA128" s="152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135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1" t="b">
        <v>1</v>
      </c>
      <c r="DK128" s="135"/>
      <c r="DL128" s="135"/>
      <c r="DM128" s="135"/>
      <c r="DN128" s="135"/>
      <c r="DO128" s="135"/>
      <c r="DP128" s="94"/>
      <c r="DQ128" s="144"/>
      <c r="DR128" s="57" t="str">
        <f t="shared" si="3"/>
        <v/>
      </c>
      <c r="DS128" s="135"/>
      <c r="DT128" s="135"/>
      <c r="DU128" s="1" t="s">
        <v>280</v>
      </c>
      <c r="DV128" s="152"/>
      <c r="DW128" s="8"/>
      <c r="DX128" s="8"/>
      <c r="DY128" s="152"/>
      <c r="DZ128" s="8"/>
      <c r="EA128" s="152"/>
      <c r="EB128" s="152"/>
      <c r="EC128" s="152"/>
      <c r="ED128" s="152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</row>
    <row r="129" spans="1:149" s="1" customFormat="1" ht="15" customHeight="1" x14ac:dyDescent="0.15">
      <c r="A129" s="8"/>
      <c r="B129" s="129"/>
      <c r="C129" s="40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135"/>
      <c r="R129" s="135"/>
      <c r="S129" s="135"/>
      <c r="T129" s="8"/>
      <c r="U129" s="8"/>
      <c r="V129" s="8"/>
      <c r="W129" s="8"/>
      <c r="X129" s="135"/>
      <c r="Y129" s="135"/>
      <c r="Z129" s="135"/>
      <c r="AA129" s="135"/>
      <c r="AB129" s="8">
        <v>17050301</v>
      </c>
      <c r="AC129" s="8" t="s">
        <v>329</v>
      </c>
      <c r="AD129" s="8" t="s">
        <v>330</v>
      </c>
      <c r="AE129" s="8" t="s">
        <v>291</v>
      </c>
      <c r="AF129" s="8" t="s">
        <v>314</v>
      </c>
      <c r="AG129" s="8"/>
      <c r="AH129" s="8"/>
      <c r="AI129" s="8"/>
      <c r="AJ129" s="8"/>
      <c r="AK129" s="8"/>
      <c r="AL129" s="152"/>
      <c r="AM129" s="152"/>
      <c r="AN129" s="152"/>
      <c r="AO129" s="152"/>
      <c r="AP129" s="152"/>
      <c r="AQ129" s="152"/>
      <c r="AR129" s="152"/>
      <c r="AS129" s="135"/>
      <c r="AT129" s="135"/>
      <c r="AU129" s="152"/>
      <c r="AV129" s="152"/>
      <c r="AW129" s="152"/>
      <c r="AX129" s="152"/>
      <c r="AY129" s="152"/>
      <c r="AZ129" s="152"/>
      <c r="BA129" s="152" t="s">
        <v>331</v>
      </c>
      <c r="BB129" s="8">
        <v>0.03</v>
      </c>
      <c r="BC129" s="8">
        <v>0</v>
      </c>
      <c r="BD129" s="8"/>
      <c r="BE129" s="8"/>
      <c r="BF129" s="8">
        <v>0</v>
      </c>
      <c r="BG129" s="8">
        <v>0</v>
      </c>
      <c r="BH129" s="8">
        <v>0</v>
      </c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135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1" t="b">
        <v>1</v>
      </c>
      <c r="DK129" s="135"/>
      <c r="DL129" s="135"/>
      <c r="DM129" s="135"/>
      <c r="DN129" s="135"/>
      <c r="DO129" s="135"/>
      <c r="DP129" s="94"/>
      <c r="DQ129" s="144"/>
      <c r="DR129" s="57" t="str">
        <f t="shared" si="3"/>
        <v/>
      </c>
      <c r="DS129" s="172"/>
      <c r="DT129" s="172"/>
      <c r="DU129" s="1" t="s">
        <v>280</v>
      </c>
      <c r="DV129" s="152"/>
      <c r="DW129" s="8"/>
      <c r="DX129" s="8"/>
      <c r="DY129" s="152"/>
      <c r="DZ129" s="145"/>
      <c r="EA129" s="153"/>
      <c r="EB129" s="153"/>
      <c r="EC129" s="153"/>
      <c r="ED129" s="153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</row>
    <row r="130" spans="1:149" s="1" customFormat="1" ht="15" customHeight="1" x14ac:dyDescent="0.15">
      <c r="A130" s="8"/>
      <c r="B130" s="129"/>
      <c r="C130" s="40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135"/>
      <c r="R130" s="135"/>
      <c r="S130" s="135"/>
      <c r="T130" s="8"/>
      <c r="U130" s="8"/>
      <c r="V130" s="8"/>
      <c r="W130" s="8"/>
      <c r="X130" s="135"/>
      <c r="Y130" s="135"/>
      <c r="Z130" s="135"/>
      <c r="AA130" s="135"/>
      <c r="AB130" s="8">
        <v>17050302</v>
      </c>
      <c r="AC130" s="135" t="s">
        <v>332</v>
      </c>
      <c r="AD130" s="8" t="s">
        <v>333</v>
      </c>
      <c r="AE130" s="8" t="s">
        <v>291</v>
      </c>
      <c r="AF130" s="8" t="s">
        <v>314</v>
      </c>
      <c r="AG130" s="8"/>
      <c r="AH130" s="8"/>
      <c r="AI130" s="8"/>
      <c r="AJ130" s="8">
        <v>-1</v>
      </c>
      <c r="AK130" s="8"/>
      <c r="AL130" s="152"/>
      <c r="AM130" s="152"/>
      <c r="AN130" s="152"/>
      <c r="AO130" s="152"/>
      <c r="AP130" s="152"/>
      <c r="AQ130" s="152"/>
      <c r="AR130" s="152"/>
      <c r="AS130" s="135"/>
      <c r="AT130" s="135"/>
      <c r="AU130" s="152"/>
      <c r="AV130" s="152"/>
      <c r="AW130" s="152"/>
      <c r="AX130" s="152"/>
      <c r="AY130" s="152"/>
      <c r="AZ130" s="152"/>
      <c r="BA130" s="152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135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1" t="b">
        <v>1</v>
      </c>
      <c r="DK130" s="135"/>
      <c r="DL130" s="135"/>
      <c r="DM130" s="135"/>
      <c r="DN130" s="135"/>
      <c r="DO130" s="135"/>
      <c r="DP130" s="94"/>
      <c r="DQ130" s="144"/>
      <c r="DR130" s="57" t="str">
        <f t="shared" si="3"/>
        <v/>
      </c>
      <c r="DS130" s="172"/>
      <c r="DT130" s="172"/>
      <c r="DU130" s="1" t="s">
        <v>280</v>
      </c>
      <c r="DV130" s="152"/>
      <c r="DW130" s="8"/>
      <c r="DX130" s="8"/>
      <c r="DY130" s="152"/>
      <c r="DZ130" s="145"/>
      <c r="EA130" s="153"/>
      <c r="EB130" s="153"/>
      <c r="EC130" s="153"/>
      <c r="ED130" s="153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</row>
    <row r="131" spans="1:149" s="8" customFormat="1" ht="14.25" customHeight="1" x14ac:dyDescent="0.15">
      <c r="A131" s="179">
        <v>170540</v>
      </c>
      <c r="B131" s="180" t="s">
        <v>476</v>
      </c>
      <c r="C131" s="40" t="s">
        <v>477</v>
      </c>
      <c r="D131" s="179" t="s">
        <v>494</v>
      </c>
      <c r="E131" s="179">
        <v>170518</v>
      </c>
      <c r="F131" s="179"/>
      <c r="G131" s="179"/>
      <c r="H131" s="179">
        <v>0</v>
      </c>
      <c r="I131" s="179"/>
      <c r="J131" s="179"/>
      <c r="K131" s="179"/>
      <c r="L131" s="179">
        <v>0</v>
      </c>
      <c r="M131" s="179"/>
      <c r="N131" s="179"/>
      <c r="O131" s="179"/>
      <c r="P131" s="179" t="s">
        <v>268</v>
      </c>
      <c r="Q131" s="179" t="s">
        <v>269</v>
      </c>
      <c r="R131" s="179"/>
      <c r="S131" s="179"/>
      <c r="T131" s="179"/>
      <c r="U131" s="179"/>
      <c r="V131" s="179"/>
      <c r="W131" s="179"/>
      <c r="X131" s="179">
        <v>1</v>
      </c>
      <c r="Y131" s="179">
        <v>0</v>
      </c>
      <c r="Z131" s="179">
        <v>0</v>
      </c>
      <c r="AA131" s="179"/>
      <c r="AB131" s="179">
        <v>3001</v>
      </c>
      <c r="AC131" s="191" t="s">
        <v>337</v>
      </c>
      <c r="AD131" s="16"/>
      <c r="AE131" s="16" t="s">
        <v>129</v>
      </c>
      <c r="AF131" s="16" t="s">
        <v>314</v>
      </c>
      <c r="AG131" s="16"/>
      <c r="AH131" s="16"/>
      <c r="AI131" s="16"/>
      <c r="AJ131" s="16"/>
      <c r="AK131" s="16"/>
      <c r="AL131" s="148"/>
      <c r="AM131" s="148"/>
      <c r="AN131" s="148"/>
      <c r="AO131" s="148"/>
      <c r="AP131" s="148"/>
      <c r="AQ131" s="148"/>
      <c r="AR131" s="148"/>
      <c r="AS131" s="16"/>
      <c r="AT131" s="16"/>
      <c r="AU131" s="148"/>
      <c r="AV131" s="148"/>
      <c r="AW131" s="148"/>
      <c r="AX131" s="148"/>
      <c r="AY131" s="148"/>
      <c r="AZ131" s="148"/>
      <c r="BA131" s="201" t="s">
        <v>270</v>
      </c>
      <c r="BB131" s="179">
        <v>100</v>
      </c>
      <c r="BC131" s="16">
        <v>0</v>
      </c>
      <c r="BD131" s="16"/>
      <c r="BE131" s="16"/>
      <c r="BF131" s="16">
        <v>0</v>
      </c>
      <c r="BG131" s="16">
        <v>0</v>
      </c>
      <c r="BH131" s="16">
        <v>0</v>
      </c>
      <c r="BI131" s="16"/>
      <c r="BJ131" s="16" t="s">
        <v>270</v>
      </c>
      <c r="BK131" s="16"/>
      <c r="BL131" s="16"/>
      <c r="BM131" s="16"/>
      <c r="BN131" s="16"/>
      <c r="BO131" s="16"/>
      <c r="BP131" s="16"/>
      <c r="BQ131" s="16"/>
      <c r="BR131" s="16"/>
      <c r="BS131" s="16" t="s">
        <v>270</v>
      </c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 t="s">
        <v>271</v>
      </c>
      <c r="CG131" s="16"/>
      <c r="CH131" s="16"/>
      <c r="CI131" s="16"/>
      <c r="CJ131" s="16" t="s">
        <v>3</v>
      </c>
      <c r="CK131" s="140" t="s">
        <v>443</v>
      </c>
      <c r="CL131" s="140"/>
      <c r="CM131" s="10">
        <v>999</v>
      </c>
      <c r="CN131" s="16">
        <v>0</v>
      </c>
      <c r="CO131" s="16">
        <v>0</v>
      </c>
      <c r="CP131" s="16">
        <v>0</v>
      </c>
      <c r="CQ131" s="16">
        <v>0</v>
      </c>
      <c r="CR131" s="16"/>
      <c r="CS131" s="16">
        <v>15</v>
      </c>
      <c r="CT131" s="16"/>
      <c r="CU131" s="179">
        <v>15</v>
      </c>
      <c r="CV131" s="23" t="s">
        <v>479</v>
      </c>
      <c r="CW131" s="16" t="b">
        <v>0</v>
      </c>
      <c r="CX131" s="16" t="s">
        <v>273</v>
      </c>
      <c r="CY131" s="16"/>
      <c r="CZ131" s="16"/>
      <c r="DA131" s="16"/>
      <c r="DB131" s="16">
        <v>100300</v>
      </c>
      <c r="DC131" s="16" t="b">
        <v>1</v>
      </c>
      <c r="DD131" s="179" t="s">
        <v>274</v>
      </c>
      <c r="DE131" s="179" t="s">
        <v>340</v>
      </c>
      <c r="DF131" s="179" t="s">
        <v>276</v>
      </c>
      <c r="DG131" s="179" t="s">
        <v>277</v>
      </c>
      <c r="DH131" s="16">
        <v>4</v>
      </c>
      <c r="DI131" s="16" t="b">
        <v>0</v>
      </c>
      <c r="DJ131" s="1" t="b">
        <v>1</v>
      </c>
      <c r="DK131" s="16"/>
      <c r="DL131" s="16"/>
      <c r="DM131" s="16"/>
      <c r="DN131" s="1"/>
      <c r="DO131" s="1"/>
      <c r="DP131" s="96" t="s">
        <v>471</v>
      </c>
      <c r="DQ131" s="140" t="s">
        <v>446</v>
      </c>
      <c r="DR131" s="57" t="e">
        <f t="shared" si="3"/>
        <v>#VALUE!</v>
      </c>
      <c r="DS131" s="16" t="s">
        <v>447</v>
      </c>
      <c r="DT131" s="16"/>
      <c r="DU131" s="1" t="s">
        <v>280</v>
      </c>
      <c r="DV131" s="148"/>
      <c r="DW131" s="16"/>
      <c r="DX131" s="16"/>
      <c r="DY131" s="1"/>
      <c r="DZ131" s="16">
        <v>1</v>
      </c>
      <c r="EA131" s="148">
        <v>-1</v>
      </c>
      <c r="EB131" s="148">
        <v>4.1666666666666699E-2</v>
      </c>
      <c r="EC131" s="148">
        <v>8.3333333333333301E-2</v>
      </c>
      <c r="ED131" s="148">
        <v>8.3333333333333301E-2</v>
      </c>
      <c r="EE131" s="16" t="s">
        <v>284</v>
      </c>
      <c r="EF131" s="16" t="s">
        <v>326</v>
      </c>
      <c r="EG131" s="16" t="e">
        <v>#VALUE!</v>
      </c>
      <c r="EH131" s="16" t="s">
        <v>285</v>
      </c>
      <c r="EI131" s="16" t="s">
        <v>344</v>
      </c>
      <c r="EJ131" s="16" t="e">
        <v>#VALUE!</v>
      </c>
      <c r="EK131" s="16" t="s">
        <v>286</v>
      </c>
      <c r="EL131" s="16" t="s">
        <v>345</v>
      </c>
      <c r="EM131" s="16" t="e">
        <v>#VALUE!</v>
      </c>
      <c r="EN131" s="16" t="s">
        <v>287</v>
      </c>
      <c r="EO131" s="16" t="s">
        <v>345</v>
      </c>
      <c r="EP131" s="16" t="e">
        <v>#VALUE!</v>
      </c>
      <c r="EQ131" s="16"/>
      <c r="ER131" s="16"/>
      <c r="ES131" s="16"/>
    </row>
    <row r="132" spans="1:149" s="8" customFormat="1" ht="14.25" customHeight="1" x14ac:dyDescent="0.15">
      <c r="A132" s="179"/>
      <c r="B132" s="181"/>
      <c r="C132" s="40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179"/>
      <c r="Q132" s="179"/>
      <c r="R132" s="179"/>
      <c r="S132" s="179"/>
      <c r="T132" s="179"/>
      <c r="U132" s="179"/>
      <c r="V132" s="179"/>
      <c r="W132" s="179"/>
      <c r="X132" s="179"/>
      <c r="Y132" s="179"/>
      <c r="Z132" s="179"/>
      <c r="AA132" s="179"/>
      <c r="AB132" s="179">
        <v>10240102</v>
      </c>
      <c r="AC132" s="179" t="s">
        <v>346</v>
      </c>
      <c r="AD132" s="16"/>
      <c r="AE132" s="16" t="s">
        <v>129</v>
      </c>
      <c r="AF132" s="16" t="s">
        <v>314</v>
      </c>
      <c r="AG132" s="16"/>
      <c r="AH132" s="16"/>
      <c r="AI132" s="16"/>
      <c r="AJ132" s="16">
        <v>3</v>
      </c>
      <c r="AK132" s="16"/>
      <c r="AL132" s="148"/>
      <c r="AM132" s="148"/>
      <c r="AN132" s="148"/>
      <c r="AO132" s="148"/>
      <c r="AP132" s="148"/>
      <c r="AQ132" s="148"/>
      <c r="AR132" s="148"/>
      <c r="AS132" s="16"/>
      <c r="AT132" s="16"/>
      <c r="AU132" s="148"/>
      <c r="AV132" s="148"/>
      <c r="AW132" s="148"/>
      <c r="AX132" s="148"/>
      <c r="AY132" s="148"/>
      <c r="AZ132" s="148"/>
      <c r="BA132" s="201"/>
      <c r="BB132" s="179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40"/>
      <c r="CL132" s="140"/>
      <c r="CM132" s="16"/>
      <c r="CN132" s="16"/>
      <c r="CO132" s="16"/>
      <c r="CP132" s="16"/>
      <c r="CQ132" s="16"/>
      <c r="CR132" s="16"/>
      <c r="CS132" s="16"/>
      <c r="CT132" s="16"/>
      <c r="CU132" s="179"/>
      <c r="CV132" s="179"/>
      <c r="CW132" s="16"/>
      <c r="CX132" s="159"/>
      <c r="CY132" s="16"/>
      <c r="CZ132" s="16"/>
      <c r="DA132" s="16"/>
      <c r="DB132" s="16"/>
      <c r="DC132" s="16"/>
      <c r="DD132" s="179"/>
      <c r="DE132" s="179"/>
      <c r="DF132" s="179"/>
      <c r="DG132" s="179"/>
      <c r="DH132" s="16"/>
      <c r="DI132" s="159"/>
      <c r="DJ132" s="1" t="b">
        <v>1</v>
      </c>
      <c r="DK132" s="16"/>
      <c r="DL132" s="16"/>
      <c r="DM132" s="141"/>
      <c r="DN132" s="141"/>
      <c r="DO132" s="141"/>
      <c r="DP132" s="94"/>
      <c r="DQ132" s="140"/>
      <c r="DR132" s="57" t="str">
        <f t="shared" si="3"/>
        <v/>
      </c>
      <c r="DS132" s="140"/>
      <c r="DT132" s="166"/>
      <c r="DU132" s="1" t="s">
        <v>280</v>
      </c>
      <c r="DV132" s="148"/>
      <c r="DW132" s="16"/>
      <c r="DX132" s="16"/>
      <c r="DY132" s="148"/>
      <c r="DZ132" s="175"/>
      <c r="EA132" s="176"/>
      <c r="EB132" s="176"/>
      <c r="EC132" s="176"/>
      <c r="ED132" s="176"/>
      <c r="EE132" s="16"/>
      <c r="EF132" s="16"/>
      <c r="EG132" s="16"/>
      <c r="EH132" s="16"/>
      <c r="EI132" s="16"/>
      <c r="EJ132" s="16"/>
      <c r="EK132" s="16"/>
      <c r="EL132" s="16"/>
      <c r="EM132" s="16"/>
      <c r="EN132" s="16"/>
      <c r="EO132" s="16"/>
      <c r="EP132" s="16"/>
      <c r="EQ132" s="16"/>
      <c r="ER132" s="16"/>
      <c r="ES132" s="16"/>
    </row>
    <row r="133" spans="1:149" s="8" customFormat="1" ht="14.25" customHeight="1" x14ac:dyDescent="0.15">
      <c r="A133" s="179">
        <v>170541</v>
      </c>
      <c r="B133" s="180" t="s">
        <v>456</v>
      </c>
      <c r="C133" s="40" t="s">
        <v>457</v>
      </c>
      <c r="D133" s="179" t="s">
        <v>494</v>
      </c>
      <c r="E133" s="179">
        <v>170519</v>
      </c>
      <c r="F133" s="179"/>
      <c r="G133" s="179"/>
      <c r="H133" s="179">
        <v>0</v>
      </c>
      <c r="I133" s="179"/>
      <c r="J133" s="179"/>
      <c r="K133" s="179"/>
      <c r="L133" s="179">
        <v>0</v>
      </c>
      <c r="M133" s="179"/>
      <c r="N133" s="179"/>
      <c r="O133" s="179"/>
      <c r="P133" s="179" t="s">
        <v>268</v>
      </c>
      <c r="Q133" s="179" t="s">
        <v>269</v>
      </c>
      <c r="R133" s="179"/>
      <c r="S133" s="179"/>
      <c r="T133" s="179"/>
      <c r="U133" s="179"/>
      <c r="V133" s="179"/>
      <c r="W133" s="179"/>
      <c r="X133" s="179">
        <v>1</v>
      </c>
      <c r="Y133" s="179">
        <v>0</v>
      </c>
      <c r="Z133" s="179">
        <v>0</v>
      </c>
      <c r="AA133" s="179"/>
      <c r="AB133" s="179">
        <v>3001</v>
      </c>
      <c r="AC133" s="179" t="s">
        <v>337</v>
      </c>
      <c r="AD133" s="16" t="s">
        <v>330</v>
      </c>
      <c r="AE133" s="141"/>
      <c r="AF133" s="141"/>
      <c r="AG133" s="141"/>
      <c r="AH133" s="141"/>
      <c r="AI133" s="141"/>
      <c r="AJ133" s="141"/>
      <c r="AK133" s="141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79" t="s">
        <v>270</v>
      </c>
      <c r="BB133" s="179">
        <v>75</v>
      </c>
      <c r="BC133" s="16">
        <v>0</v>
      </c>
      <c r="BD133" s="16"/>
      <c r="BE133" s="16"/>
      <c r="BF133" s="16">
        <v>0</v>
      </c>
      <c r="BG133" s="16">
        <v>0</v>
      </c>
      <c r="BH133" s="16">
        <v>0</v>
      </c>
      <c r="BI133" s="16"/>
      <c r="BJ133" s="16" t="s">
        <v>270</v>
      </c>
      <c r="BK133" s="16"/>
      <c r="BL133" s="16"/>
      <c r="BM133" s="16"/>
      <c r="BN133" s="16"/>
      <c r="BO133" s="16"/>
      <c r="BP133" s="16"/>
      <c r="BQ133" s="16"/>
      <c r="BR133" s="16"/>
      <c r="BS133" s="16" t="s">
        <v>270</v>
      </c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 t="s">
        <v>378</v>
      </c>
      <c r="CG133" s="16"/>
      <c r="CH133" s="16"/>
      <c r="CI133" s="16"/>
      <c r="CJ133" s="16" t="s">
        <v>1</v>
      </c>
      <c r="CK133" s="58" t="s">
        <v>379</v>
      </c>
      <c r="CL133" s="58"/>
      <c r="CM133" s="10">
        <v>999</v>
      </c>
      <c r="CN133" s="16">
        <v>0</v>
      </c>
      <c r="CO133" s="16">
        <v>0</v>
      </c>
      <c r="CP133" s="16">
        <v>0</v>
      </c>
      <c r="CQ133" s="16">
        <v>0</v>
      </c>
      <c r="CR133" s="16"/>
      <c r="CS133" s="16">
        <v>5</v>
      </c>
      <c r="CT133" s="16"/>
      <c r="CU133" s="179">
        <v>20</v>
      </c>
      <c r="CV133" s="23" t="s">
        <v>481</v>
      </c>
      <c r="CW133" s="16" t="b">
        <v>0</v>
      </c>
      <c r="CX133" s="16" t="s">
        <v>273</v>
      </c>
      <c r="CY133" s="16"/>
      <c r="CZ133" s="16"/>
      <c r="DA133" s="16"/>
      <c r="DB133" s="16">
        <v>102401</v>
      </c>
      <c r="DC133" s="16" t="b">
        <v>1</v>
      </c>
      <c r="DD133" s="179" t="s">
        <v>274</v>
      </c>
      <c r="DE133" s="179" t="s">
        <v>380</v>
      </c>
      <c r="DF133" s="179" t="s">
        <v>276</v>
      </c>
      <c r="DG133" s="179" t="s">
        <v>293</v>
      </c>
      <c r="DH133" s="16">
        <v>4</v>
      </c>
      <c r="DI133" s="16" t="b">
        <v>0</v>
      </c>
      <c r="DJ133" s="1" t="b">
        <v>1</v>
      </c>
      <c r="DK133" s="16"/>
      <c r="DL133" s="16"/>
      <c r="DM133" s="16"/>
      <c r="DN133" s="1"/>
      <c r="DO133" s="1"/>
      <c r="DP133" s="96" t="s">
        <v>473</v>
      </c>
      <c r="DQ133" s="16" t="s">
        <v>460</v>
      </c>
      <c r="DR133" s="57" t="e">
        <f t="shared" si="3"/>
        <v>#VALUE!</v>
      </c>
      <c r="DS133" s="16" t="s">
        <v>461</v>
      </c>
      <c r="DT133" s="16"/>
      <c r="DU133" s="1" t="s">
        <v>280</v>
      </c>
      <c r="DV133" s="148"/>
      <c r="DW133" s="16"/>
      <c r="DX133" s="16"/>
      <c r="DY133" s="1"/>
      <c r="DZ133" s="16">
        <v>1</v>
      </c>
      <c r="EA133" s="148">
        <v>-1</v>
      </c>
      <c r="EB133" s="148">
        <v>4.1666666666666699E-2</v>
      </c>
      <c r="EC133" s="148">
        <v>8.3333333333333301E-2</v>
      </c>
      <c r="ED133" s="148">
        <v>8.3333333333333301E-2</v>
      </c>
      <c r="EE133" s="16" t="s">
        <v>284</v>
      </c>
      <c r="EF133" s="16" t="s">
        <v>326</v>
      </c>
      <c r="EG133" s="16" t="e">
        <v>#VALUE!</v>
      </c>
      <c r="EH133" s="16" t="s">
        <v>285</v>
      </c>
      <c r="EI133" s="16" t="s">
        <v>344</v>
      </c>
      <c r="EJ133" s="16" t="e">
        <v>#VALUE!</v>
      </c>
      <c r="EK133" s="16" t="s">
        <v>286</v>
      </c>
      <c r="EL133" s="16" t="s">
        <v>328</v>
      </c>
      <c r="EM133" s="16" t="e">
        <v>#VALUE!</v>
      </c>
      <c r="EN133" s="16" t="s">
        <v>287</v>
      </c>
      <c r="EO133" s="16" t="s">
        <v>328</v>
      </c>
      <c r="EP133" s="16" t="e">
        <v>#VALUE!</v>
      </c>
      <c r="EQ133" s="16"/>
      <c r="ER133" s="16"/>
      <c r="ES133" s="16"/>
    </row>
    <row r="134" spans="1:149" s="8" customFormat="1" ht="14.25" customHeight="1" x14ac:dyDescent="0.15">
      <c r="A134" s="179"/>
      <c r="B134" s="180"/>
      <c r="C134" s="40"/>
      <c r="D134" s="179"/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79"/>
      <c r="P134" s="179"/>
      <c r="Q134" s="179"/>
      <c r="R134" s="179"/>
      <c r="S134" s="179"/>
      <c r="T134" s="179"/>
      <c r="U134" s="179"/>
      <c r="V134" s="179"/>
      <c r="W134" s="179"/>
      <c r="X134" s="179"/>
      <c r="Y134" s="179"/>
      <c r="Z134" s="179"/>
      <c r="AA134" s="179"/>
      <c r="AB134" s="179">
        <v>17050505</v>
      </c>
      <c r="AC134" s="179" t="s">
        <v>384</v>
      </c>
      <c r="AD134" s="16" t="s">
        <v>330</v>
      </c>
      <c r="AE134" s="141" t="s">
        <v>291</v>
      </c>
      <c r="AF134" s="141" t="s">
        <v>314</v>
      </c>
      <c r="AG134" s="141"/>
      <c r="AH134" s="141"/>
      <c r="AI134" s="141"/>
      <c r="AJ134" s="141"/>
      <c r="AK134" s="141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79"/>
      <c r="BB134" s="179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79"/>
      <c r="CV134" s="179"/>
      <c r="CW134" s="16"/>
      <c r="CX134" s="16"/>
      <c r="CY134" s="16"/>
      <c r="CZ134" s="16"/>
      <c r="DA134" s="16"/>
      <c r="DB134" s="16"/>
      <c r="DC134" s="16"/>
      <c r="DD134" s="179"/>
      <c r="DE134" s="179"/>
      <c r="DF134" s="179"/>
      <c r="DG134" s="179"/>
      <c r="DH134" s="16"/>
      <c r="DI134" s="16"/>
      <c r="DJ134" s="1" t="b">
        <v>1</v>
      </c>
      <c r="DK134" s="16"/>
      <c r="DL134" s="16"/>
      <c r="DM134" s="16"/>
      <c r="DN134" s="16"/>
      <c r="DO134" s="16"/>
      <c r="DP134" s="96"/>
      <c r="DQ134" s="16"/>
      <c r="DR134" s="57" t="str">
        <f t="shared" si="3"/>
        <v/>
      </c>
      <c r="DS134" s="16"/>
      <c r="DT134" s="16"/>
      <c r="DU134" s="1" t="s">
        <v>280</v>
      </c>
      <c r="DV134" s="148"/>
      <c r="DW134" s="16"/>
      <c r="DX134" s="16"/>
      <c r="DY134" s="148"/>
      <c r="DZ134" s="16"/>
      <c r="EA134" s="148"/>
      <c r="EB134" s="148"/>
      <c r="EC134" s="148"/>
      <c r="ED134" s="148"/>
      <c r="EE134" s="16"/>
      <c r="EF134" s="16"/>
      <c r="EG134" s="16"/>
      <c r="EH134" s="16"/>
      <c r="EI134" s="16"/>
      <c r="EJ134" s="16"/>
      <c r="EK134" s="16"/>
      <c r="EL134" s="16"/>
      <c r="EM134" s="16"/>
      <c r="EN134" s="16"/>
      <c r="EO134" s="16"/>
      <c r="EP134" s="16"/>
      <c r="EQ134" s="16"/>
      <c r="ER134" s="16"/>
      <c r="ES134" s="16"/>
    </row>
    <row r="135" spans="1:149" s="8" customFormat="1" ht="14.25" customHeight="1" x14ac:dyDescent="0.15">
      <c r="A135" s="179"/>
      <c r="B135" s="180"/>
      <c r="C135" s="40"/>
      <c r="D135" s="179"/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  <c r="R135" s="179"/>
      <c r="S135" s="179"/>
      <c r="T135" s="179"/>
      <c r="U135" s="179"/>
      <c r="V135" s="179"/>
      <c r="W135" s="179"/>
      <c r="X135" s="179"/>
      <c r="Y135" s="179"/>
      <c r="Z135" s="179"/>
      <c r="AA135" s="179"/>
      <c r="AB135" s="179">
        <v>17050506</v>
      </c>
      <c r="AC135" s="179" t="s">
        <v>385</v>
      </c>
      <c r="AD135" s="16"/>
      <c r="AE135" s="16" t="s">
        <v>291</v>
      </c>
      <c r="AF135" s="16" t="s">
        <v>314</v>
      </c>
      <c r="AG135" s="16"/>
      <c r="AH135" s="16"/>
      <c r="AI135" s="16"/>
      <c r="AJ135" s="16">
        <v>8</v>
      </c>
      <c r="AK135" s="16"/>
      <c r="AL135" s="148"/>
      <c r="AM135" s="148"/>
      <c r="AN135" s="148"/>
      <c r="AO135" s="148"/>
      <c r="AP135" s="148"/>
      <c r="AQ135" s="148"/>
      <c r="AR135" s="148"/>
      <c r="AS135" s="16"/>
      <c r="AT135" s="16"/>
      <c r="AU135" s="148"/>
      <c r="AV135" s="148"/>
      <c r="AW135" s="148"/>
      <c r="AX135" s="148"/>
      <c r="AY135" s="148"/>
      <c r="AZ135" s="148"/>
      <c r="BA135" s="201"/>
      <c r="BB135" s="179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40"/>
      <c r="CL135" s="140"/>
      <c r="CM135" s="16"/>
      <c r="CN135" s="16"/>
      <c r="CO135" s="16"/>
      <c r="CP135" s="16"/>
      <c r="CQ135" s="16"/>
      <c r="CR135" s="16"/>
      <c r="CS135" s="16"/>
      <c r="CT135" s="16"/>
      <c r="CU135" s="179"/>
      <c r="CV135" s="179"/>
      <c r="CW135" s="16"/>
      <c r="CX135" s="159"/>
      <c r="CY135" s="16"/>
      <c r="CZ135" s="16"/>
      <c r="DA135" s="16"/>
      <c r="DB135" s="16"/>
      <c r="DC135" s="16"/>
      <c r="DD135" s="208"/>
      <c r="DE135" s="179"/>
      <c r="DF135" s="208"/>
      <c r="DG135" s="208"/>
      <c r="DH135" s="163"/>
      <c r="DI135" s="163"/>
      <c r="DJ135" s="1" t="b">
        <v>1</v>
      </c>
      <c r="DK135" s="16"/>
      <c r="DL135" s="16"/>
      <c r="DM135" s="16"/>
      <c r="DN135" s="16"/>
      <c r="DO135" s="16"/>
      <c r="DP135" s="96"/>
      <c r="DQ135" s="167"/>
      <c r="DR135" s="57" t="str">
        <f t="shared" si="3"/>
        <v/>
      </c>
      <c r="DS135" s="167"/>
      <c r="DT135" s="168"/>
      <c r="DU135" s="1" t="s">
        <v>280</v>
      </c>
      <c r="DV135" s="148"/>
      <c r="DW135" s="16"/>
      <c r="DX135" s="16"/>
      <c r="DY135" s="148"/>
      <c r="DZ135" s="175"/>
      <c r="EA135" s="176"/>
      <c r="EB135" s="176"/>
      <c r="EC135" s="176"/>
      <c r="ED135" s="17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</row>
    <row r="136" spans="1:149" s="8" customFormat="1" ht="14.25" customHeight="1" x14ac:dyDescent="0.15">
      <c r="A136" s="179"/>
      <c r="B136" s="180"/>
      <c r="C136" s="40"/>
      <c r="D136" s="179"/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179"/>
      <c r="Q136" s="179"/>
      <c r="R136" s="179"/>
      <c r="S136" s="179"/>
      <c r="T136" s="179"/>
      <c r="U136" s="179"/>
      <c r="V136" s="179"/>
      <c r="W136" s="179"/>
      <c r="X136" s="179"/>
      <c r="Y136" s="179"/>
      <c r="Z136" s="179"/>
      <c r="AA136" s="179"/>
      <c r="AB136" s="191">
        <v>17050507</v>
      </c>
      <c r="AC136" s="179" t="s">
        <v>386</v>
      </c>
      <c r="AD136" s="16" t="s">
        <v>330</v>
      </c>
      <c r="AE136" s="16" t="s">
        <v>291</v>
      </c>
      <c r="AF136" s="16" t="s">
        <v>314</v>
      </c>
      <c r="AG136" s="16"/>
      <c r="AH136" s="16"/>
      <c r="AI136" s="16"/>
      <c r="AJ136" s="141"/>
      <c r="AK136" s="141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79"/>
      <c r="BB136" s="179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79"/>
      <c r="CV136" s="179"/>
      <c r="CW136" s="16"/>
      <c r="CX136" s="16"/>
      <c r="CY136" s="16"/>
      <c r="CZ136" s="16"/>
      <c r="DA136" s="16"/>
      <c r="DB136" s="16"/>
      <c r="DC136" s="16"/>
      <c r="DD136" s="179"/>
      <c r="DE136" s="179"/>
      <c r="DF136" s="179"/>
      <c r="DG136" s="179"/>
      <c r="DH136" s="16"/>
      <c r="DI136" s="16"/>
      <c r="DJ136" s="1" t="b">
        <v>1</v>
      </c>
      <c r="DK136" s="16"/>
      <c r="DL136" s="16"/>
      <c r="DM136" s="16"/>
      <c r="DN136" s="16"/>
      <c r="DO136" s="16"/>
      <c r="DP136" s="96"/>
      <c r="DQ136" s="16"/>
      <c r="DR136" s="57" t="str">
        <f t="shared" si="3"/>
        <v/>
      </c>
      <c r="DS136" s="16"/>
      <c r="DT136" s="16"/>
      <c r="DU136" s="1" t="s">
        <v>280</v>
      </c>
      <c r="DV136" s="148"/>
      <c r="DW136" s="16"/>
      <c r="DX136" s="16"/>
      <c r="DY136" s="148"/>
      <c r="DZ136" s="16"/>
      <c r="EA136" s="148"/>
      <c r="EB136" s="148"/>
      <c r="EC136" s="148"/>
      <c r="ED136" s="148"/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6"/>
      <c r="EQ136" s="16"/>
      <c r="ER136" s="16"/>
      <c r="ES136" s="16"/>
    </row>
    <row r="137" spans="1:149" s="8" customFormat="1" ht="14.25" customHeight="1" x14ac:dyDescent="0.15">
      <c r="A137" s="179">
        <v>170542</v>
      </c>
      <c r="B137" s="180" t="s">
        <v>462</v>
      </c>
      <c r="C137" s="40" t="s">
        <v>463</v>
      </c>
      <c r="D137" s="179" t="s">
        <v>494</v>
      </c>
      <c r="E137" s="179">
        <v>170520</v>
      </c>
      <c r="F137" s="179"/>
      <c r="G137" s="179"/>
      <c r="H137" s="179">
        <v>0</v>
      </c>
      <c r="I137" s="179"/>
      <c r="J137" s="179"/>
      <c r="K137" s="179"/>
      <c r="L137" s="179">
        <v>0</v>
      </c>
      <c r="M137" s="179"/>
      <c r="N137" s="179"/>
      <c r="O137" s="179"/>
      <c r="P137" s="179" t="s">
        <v>268</v>
      </c>
      <c r="Q137" s="179" t="s">
        <v>269</v>
      </c>
      <c r="R137" s="179"/>
      <c r="S137" s="179"/>
      <c r="T137" s="179"/>
      <c r="U137" s="179"/>
      <c r="V137" s="179"/>
      <c r="W137" s="179"/>
      <c r="X137" s="179">
        <v>1</v>
      </c>
      <c r="Y137" s="179">
        <v>0</v>
      </c>
      <c r="Z137" s="179">
        <v>0</v>
      </c>
      <c r="AA137" s="179"/>
      <c r="AB137" s="179">
        <v>3001</v>
      </c>
      <c r="AC137" s="191"/>
      <c r="AD137" s="16"/>
      <c r="AE137" s="16"/>
      <c r="AF137" s="16"/>
      <c r="AG137" s="16"/>
      <c r="AH137" s="16"/>
      <c r="AI137" s="16"/>
      <c r="AJ137" s="16"/>
      <c r="AK137" s="16"/>
      <c r="AL137" s="148"/>
      <c r="AM137" s="148"/>
      <c r="AN137" s="148"/>
      <c r="AO137" s="148"/>
      <c r="AP137" s="148"/>
      <c r="AQ137" s="148"/>
      <c r="AR137" s="148"/>
      <c r="AS137" s="16"/>
      <c r="AT137" s="16"/>
      <c r="AU137" s="148"/>
      <c r="AV137" s="148"/>
      <c r="AW137" s="148"/>
      <c r="AX137" s="148"/>
      <c r="AY137" s="148"/>
      <c r="AZ137" s="148"/>
      <c r="BA137" s="201" t="s">
        <v>270</v>
      </c>
      <c r="BB137" s="179">
        <v>150</v>
      </c>
      <c r="BC137" s="16">
        <v>0</v>
      </c>
      <c r="BD137" s="16"/>
      <c r="BE137" s="16"/>
      <c r="BF137" s="16">
        <v>0</v>
      </c>
      <c r="BG137" s="16">
        <v>0</v>
      </c>
      <c r="BH137" s="16">
        <v>0</v>
      </c>
      <c r="BI137" s="16"/>
      <c r="BJ137" s="16" t="s">
        <v>270</v>
      </c>
      <c r="BK137" s="16"/>
      <c r="BL137" s="16"/>
      <c r="BM137" s="16"/>
      <c r="BN137" s="16"/>
      <c r="BO137" s="16"/>
      <c r="BP137" s="16"/>
      <c r="BQ137" s="16"/>
      <c r="BR137" s="16"/>
      <c r="BS137" s="16" t="s">
        <v>270</v>
      </c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 t="s">
        <v>271</v>
      </c>
      <c r="CG137" s="16"/>
      <c r="CH137" s="16"/>
      <c r="CI137" s="16"/>
      <c r="CJ137" s="16" t="s">
        <v>1</v>
      </c>
      <c r="CK137" s="140" t="s">
        <v>464</v>
      </c>
      <c r="CL137" s="140"/>
      <c r="CM137" s="10">
        <v>999</v>
      </c>
      <c r="CN137" s="16">
        <v>0</v>
      </c>
      <c r="CO137" s="16">
        <v>0</v>
      </c>
      <c r="CP137" s="16">
        <v>0</v>
      </c>
      <c r="CQ137" s="16">
        <v>0</v>
      </c>
      <c r="CR137" s="16"/>
      <c r="CS137" s="16">
        <v>20</v>
      </c>
      <c r="CT137" s="16">
        <v>10</v>
      </c>
      <c r="CU137" s="179">
        <v>24</v>
      </c>
      <c r="CV137" s="23" t="s">
        <v>483</v>
      </c>
      <c r="CW137" s="16" t="b">
        <v>1</v>
      </c>
      <c r="CX137" s="16" t="s">
        <v>273</v>
      </c>
      <c r="CY137" s="16"/>
      <c r="CZ137" s="16"/>
      <c r="DA137" s="16"/>
      <c r="DB137" s="16">
        <v>170501</v>
      </c>
      <c r="DC137" s="16" t="b">
        <v>1</v>
      </c>
      <c r="DD137" s="22" t="s">
        <v>274</v>
      </c>
      <c r="DE137" s="22" t="s">
        <v>495</v>
      </c>
      <c r="DF137" s="22" t="s">
        <v>276</v>
      </c>
      <c r="DG137" s="22" t="s">
        <v>322</v>
      </c>
      <c r="DH137" s="16">
        <v>4</v>
      </c>
      <c r="DI137" s="16" t="b">
        <v>0</v>
      </c>
      <c r="DJ137" s="1" t="b">
        <v>1</v>
      </c>
      <c r="DK137" s="16"/>
      <c r="DL137" s="16"/>
      <c r="DM137" s="16"/>
      <c r="DN137" s="1"/>
      <c r="DO137" s="1"/>
      <c r="DP137" s="96" t="s">
        <v>475</v>
      </c>
      <c r="DQ137" s="140" t="s">
        <v>467</v>
      </c>
      <c r="DR137" s="57" t="e">
        <f t="shared" si="3"/>
        <v>#VALUE!</v>
      </c>
      <c r="DS137" s="16" t="s">
        <v>468</v>
      </c>
      <c r="DT137" s="16"/>
      <c r="DU137" s="1" t="s">
        <v>280</v>
      </c>
      <c r="DV137" s="148"/>
      <c r="DW137" s="16"/>
      <c r="DX137" s="16"/>
      <c r="DY137" s="1"/>
      <c r="DZ137" s="16">
        <v>1</v>
      </c>
      <c r="EA137" s="148">
        <v>-1</v>
      </c>
      <c r="EB137" s="148">
        <v>4.1666666666666699E-2</v>
      </c>
      <c r="EC137" s="148">
        <v>8.3333333333333301E-2</v>
      </c>
      <c r="ED137" s="148">
        <v>8.3333333333333301E-2</v>
      </c>
      <c r="EE137" s="16" t="s">
        <v>284</v>
      </c>
      <c r="EF137" s="16" t="s">
        <v>326</v>
      </c>
      <c r="EG137" s="16" t="e">
        <v>#VALUE!</v>
      </c>
      <c r="EH137" s="16" t="s">
        <v>285</v>
      </c>
      <c r="EI137" s="16" t="s">
        <v>327</v>
      </c>
      <c r="EJ137" s="16" t="e">
        <v>#VALUE!</v>
      </c>
      <c r="EK137" s="16" t="s">
        <v>286</v>
      </c>
      <c r="EL137" s="16" t="s">
        <v>328</v>
      </c>
      <c r="EM137" s="16" t="e">
        <v>#VALUE!</v>
      </c>
      <c r="EN137" s="16" t="s">
        <v>287</v>
      </c>
      <c r="EO137" s="16" t="s">
        <v>328</v>
      </c>
      <c r="EP137" s="16" t="e">
        <v>#VALUE!</v>
      </c>
      <c r="EQ137" s="16"/>
      <c r="ER137" s="16"/>
      <c r="ES137" s="16"/>
    </row>
    <row r="138" spans="1:149" s="8" customFormat="1" ht="14.25" customHeight="1" x14ac:dyDescent="0.15">
      <c r="A138" s="179"/>
      <c r="B138" s="180"/>
      <c r="C138" s="40"/>
      <c r="D138" s="179"/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179"/>
      <c r="Q138" s="179"/>
      <c r="R138" s="179"/>
      <c r="S138" s="179"/>
      <c r="T138" s="179"/>
      <c r="U138" s="179"/>
      <c r="V138" s="179"/>
      <c r="W138" s="179"/>
      <c r="X138" s="179"/>
      <c r="Y138" s="179"/>
      <c r="Z138" s="179"/>
      <c r="AA138" s="179"/>
      <c r="AB138" s="179">
        <v>17050301</v>
      </c>
      <c r="AC138" s="179" t="s">
        <v>329</v>
      </c>
      <c r="AD138" s="16" t="s">
        <v>330</v>
      </c>
      <c r="AE138" s="16" t="s">
        <v>291</v>
      </c>
      <c r="AF138" s="16" t="s">
        <v>314</v>
      </c>
      <c r="AG138" s="16"/>
      <c r="AH138" s="16"/>
      <c r="AI138" s="16"/>
      <c r="AJ138" s="16"/>
      <c r="AK138" s="16"/>
      <c r="AL138" s="148"/>
      <c r="AM138" s="148"/>
      <c r="AN138" s="148"/>
      <c r="AO138" s="148"/>
      <c r="AP138" s="148"/>
      <c r="AQ138" s="148"/>
      <c r="AR138" s="148"/>
      <c r="AS138" s="16"/>
      <c r="AT138" s="16"/>
      <c r="AU138" s="148"/>
      <c r="AV138" s="148"/>
      <c r="AW138" s="148"/>
      <c r="AX138" s="148"/>
      <c r="AY138" s="148"/>
      <c r="AZ138" s="148"/>
      <c r="BA138" s="201" t="s">
        <v>331</v>
      </c>
      <c r="BB138" s="179">
        <v>2.8000000000000001E-2</v>
      </c>
      <c r="BC138" s="16">
        <v>0</v>
      </c>
      <c r="BD138" s="16"/>
      <c r="BE138" s="16"/>
      <c r="BF138" s="16">
        <v>0</v>
      </c>
      <c r="BG138" s="16">
        <v>0</v>
      </c>
      <c r="BH138" s="16">
        <v>0</v>
      </c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79"/>
      <c r="CV138" s="179"/>
      <c r="CW138" s="16"/>
      <c r="CX138" s="159"/>
      <c r="CY138" s="16"/>
      <c r="CZ138" s="16"/>
      <c r="DA138" s="16"/>
      <c r="DB138" s="16"/>
      <c r="DC138" s="16"/>
      <c r="DD138" s="179"/>
      <c r="DE138" s="179"/>
      <c r="DF138" s="179"/>
      <c r="DG138" s="179"/>
      <c r="DH138" s="16"/>
      <c r="DI138" s="159"/>
      <c r="DJ138" s="1" t="b">
        <v>1</v>
      </c>
      <c r="DK138" s="16"/>
      <c r="DL138" s="16"/>
      <c r="DM138" s="16"/>
      <c r="DN138" s="16"/>
      <c r="DO138" s="16"/>
      <c r="DP138" s="96"/>
      <c r="DQ138" s="140"/>
      <c r="DR138" s="57" t="str">
        <f t="shared" si="3"/>
        <v/>
      </c>
      <c r="DS138" s="16"/>
      <c r="DT138" s="16"/>
      <c r="DU138" s="1" t="s">
        <v>280</v>
      </c>
      <c r="DV138" s="148"/>
      <c r="DW138" s="16"/>
      <c r="DX138" s="16"/>
      <c r="DY138" s="148"/>
      <c r="DZ138" s="175"/>
      <c r="EA138" s="176"/>
      <c r="EB138" s="176"/>
      <c r="EC138" s="176"/>
      <c r="ED138" s="176"/>
      <c r="EE138" s="16"/>
      <c r="EF138" s="16"/>
      <c r="EG138" s="16"/>
      <c r="EH138" s="16"/>
      <c r="EI138" s="16"/>
      <c r="EJ138" s="16"/>
      <c r="EK138" s="16"/>
      <c r="EL138" s="16"/>
      <c r="EM138" s="16"/>
      <c r="EN138" s="16"/>
      <c r="EO138" s="16"/>
      <c r="EP138" s="16"/>
      <c r="EQ138" s="16"/>
      <c r="ER138" s="16"/>
      <c r="ES138" s="16"/>
    </row>
    <row r="139" spans="1:149" s="8" customFormat="1" ht="14.25" customHeight="1" x14ac:dyDescent="0.15">
      <c r="A139" s="179"/>
      <c r="B139" s="180"/>
      <c r="C139" s="40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179"/>
      <c r="Q139" s="179"/>
      <c r="R139" s="179"/>
      <c r="S139" s="179"/>
      <c r="T139" s="179"/>
      <c r="U139" s="179"/>
      <c r="V139" s="179"/>
      <c r="W139" s="179"/>
      <c r="X139" s="179"/>
      <c r="Y139" s="179"/>
      <c r="Z139" s="179"/>
      <c r="AA139" s="179"/>
      <c r="AB139" s="179">
        <v>17050302</v>
      </c>
      <c r="AC139" s="179" t="s">
        <v>332</v>
      </c>
      <c r="AD139" s="16" t="s">
        <v>333</v>
      </c>
      <c r="AE139" s="16" t="s">
        <v>291</v>
      </c>
      <c r="AF139" s="16" t="s">
        <v>314</v>
      </c>
      <c r="AG139" s="16"/>
      <c r="AH139" s="16"/>
      <c r="AI139" s="16"/>
      <c r="AJ139" s="16">
        <v>-1</v>
      </c>
      <c r="AK139" s="16"/>
      <c r="AL139" s="148"/>
      <c r="AM139" s="149"/>
      <c r="AN139" s="149"/>
      <c r="AO139" s="149"/>
      <c r="AP139" s="149"/>
      <c r="AQ139" s="149"/>
      <c r="AR139" s="149"/>
      <c r="AS139" s="16"/>
      <c r="AT139" s="16"/>
      <c r="AU139" s="148"/>
      <c r="AV139" s="148"/>
      <c r="AW139" s="148"/>
      <c r="AX139" s="148"/>
      <c r="AY139" s="148"/>
      <c r="AZ139" s="148"/>
      <c r="BA139" s="201"/>
      <c r="BB139" s="179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79"/>
      <c r="CV139" s="179"/>
      <c r="CW139" s="16"/>
      <c r="CX139" s="16"/>
      <c r="CY139" s="16"/>
      <c r="CZ139" s="16"/>
      <c r="DA139" s="16"/>
      <c r="DB139" s="16"/>
      <c r="DC139" s="16"/>
      <c r="DD139" s="179"/>
      <c r="DE139" s="179"/>
      <c r="DF139" s="179"/>
      <c r="DG139" s="179"/>
      <c r="DH139" s="16"/>
      <c r="DI139" s="16"/>
      <c r="DJ139" s="1" t="b">
        <v>1</v>
      </c>
      <c r="DK139" s="16"/>
      <c r="DL139" s="16"/>
      <c r="DM139" s="16"/>
      <c r="DN139" s="16"/>
      <c r="DO139" s="16"/>
      <c r="DP139" s="96"/>
      <c r="DQ139" s="140"/>
      <c r="DR139" s="57" t="str">
        <f t="shared" si="3"/>
        <v/>
      </c>
      <c r="DS139" s="16"/>
      <c r="DT139" s="16"/>
      <c r="DU139" s="1" t="s">
        <v>280</v>
      </c>
      <c r="DV139" s="148"/>
      <c r="DW139" s="16"/>
      <c r="DX139" s="16"/>
      <c r="DY139" s="148"/>
      <c r="DZ139" s="16"/>
      <c r="EA139" s="148"/>
      <c r="EB139" s="148"/>
      <c r="EC139" s="148"/>
      <c r="ED139" s="148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</row>
    <row r="140" spans="1:149" s="10" customFormat="1" ht="14.25" customHeight="1" x14ac:dyDescent="0.15">
      <c r="A140" s="182">
        <v>170543</v>
      </c>
      <c r="B140" s="183" t="s">
        <v>476</v>
      </c>
      <c r="C140" s="40" t="s">
        <v>477</v>
      </c>
      <c r="D140" s="182" t="s">
        <v>496</v>
      </c>
      <c r="E140" s="182">
        <v>170518</v>
      </c>
      <c r="F140" s="182"/>
      <c r="G140" s="182"/>
      <c r="H140" s="182">
        <v>0</v>
      </c>
      <c r="I140" s="182"/>
      <c r="J140" s="182"/>
      <c r="K140" s="182"/>
      <c r="L140" s="182">
        <v>0</v>
      </c>
      <c r="M140" s="182"/>
      <c r="N140" s="182"/>
      <c r="O140" s="182"/>
      <c r="P140" s="182" t="s">
        <v>268</v>
      </c>
      <c r="Q140" s="182" t="s">
        <v>269</v>
      </c>
      <c r="R140" s="182"/>
      <c r="S140" s="182"/>
      <c r="T140" s="182"/>
      <c r="U140" s="182"/>
      <c r="V140" s="182"/>
      <c r="W140" s="182"/>
      <c r="X140" s="182">
        <v>1</v>
      </c>
      <c r="Y140" s="182">
        <v>0</v>
      </c>
      <c r="Z140" s="182">
        <v>0</v>
      </c>
      <c r="AA140" s="182"/>
      <c r="AB140" s="182">
        <v>3001</v>
      </c>
      <c r="AC140" s="192" t="s">
        <v>337</v>
      </c>
      <c r="AE140" s="10" t="s">
        <v>129</v>
      </c>
      <c r="AF140" s="10" t="s">
        <v>314</v>
      </c>
      <c r="AL140" s="68"/>
      <c r="AM140" s="68"/>
      <c r="AN140" s="68"/>
      <c r="AO140" s="68"/>
      <c r="AP140" s="68"/>
      <c r="AQ140" s="68"/>
      <c r="AR140" s="68"/>
      <c r="AU140" s="68"/>
      <c r="AV140" s="68"/>
      <c r="AW140" s="68"/>
      <c r="AX140" s="68"/>
      <c r="AY140" s="68"/>
      <c r="AZ140" s="68"/>
      <c r="BA140" s="202" t="s">
        <v>270</v>
      </c>
      <c r="BB140" s="182">
        <v>100</v>
      </c>
      <c r="BC140" s="10">
        <v>0</v>
      </c>
      <c r="BF140" s="10">
        <v>0</v>
      </c>
      <c r="BG140" s="10">
        <v>0</v>
      </c>
      <c r="BH140" s="10">
        <v>0</v>
      </c>
      <c r="BJ140" s="10" t="s">
        <v>270</v>
      </c>
      <c r="BS140" s="10" t="s">
        <v>270</v>
      </c>
      <c r="CF140" s="10" t="s">
        <v>271</v>
      </c>
      <c r="CJ140" s="10" t="s">
        <v>3</v>
      </c>
      <c r="CK140" s="58" t="s">
        <v>443</v>
      </c>
      <c r="CL140" s="58"/>
      <c r="CM140" s="10">
        <v>999</v>
      </c>
      <c r="CN140" s="10">
        <v>0</v>
      </c>
      <c r="CO140" s="10">
        <v>0</v>
      </c>
      <c r="CP140" s="10">
        <v>0</v>
      </c>
      <c r="CQ140" s="10">
        <v>0</v>
      </c>
      <c r="CS140" s="10">
        <v>15</v>
      </c>
      <c r="CU140" s="182">
        <v>15</v>
      </c>
      <c r="CV140" s="182" t="s">
        <v>479</v>
      </c>
      <c r="CW140" s="10" t="b">
        <v>0</v>
      </c>
      <c r="CX140" s="10" t="s">
        <v>273</v>
      </c>
      <c r="DB140" s="10">
        <v>100300</v>
      </c>
      <c r="DC140" s="10" t="b">
        <v>1</v>
      </c>
      <c r="DD140" s="182" t="s">
        <v>274</v>
      </c>
      <c r="DE140" s="182" t="s">
        <v>340</v>
      </c>
      <c r="DF140" s="182" t="s">
        <v>276</v>
      </c>
      <c r="DG140" s="182" t="s">
        <v>277</v>
      </c>
      <c r="DH140" s="10">
        <v>4</v>
      </c>
      <c r="DI140" s="10" t="b">
        <v>0</v>
      </c>
      <c r="DJ140" s="1" t="b">
        <v>1</v>
      </c>
      <c r="DP140" s="96" t="s">
        <v>471</v>
      </c>
      <c r="DQ140" s="58" t="s">
        <v>446</v>
      </c>
      <c r="DR140" s="57" t="e">
        <f t="shared" si="3"/>
        <v>#VALUE!</v>
      </c>
      <c r="DS140" s="10" t="s">
        <v>447</v>
      </c>
      <c r="DU140" s="1" t="s">
        <v>280</v>
      </c>
      <c r="DV140" s="68"/>
      <c r="DZ140" s="10">
        <v>1</v>
      </c>
      <c r="EA140" s="68">
        <v>-1</v>
      </c>
      <c r="EB140" s="68">
        <v>4.1666666666666699E-2</v>
      </c>
      <c r="EC140" s="68">
        <v>8.3333333333333301E-2</v>
      </c>
      <c r="ED140" s="68">
        <v>8.3333333333333301E-2</v>
      </c>
      <c r="EE140" s="10" t="s">
        <v>284</v>
      </c>
      <c r="EF140" s="10" t="s">
        <v>326</v>
      </c>
      <c r="EG140" s="10" t="e">
        <v>#VALUE!</v>
      </c>
      <c r="EH140" s="10" t="s">
        <v>285</v>
      </c>
      <c r="EI140" s="10" t="s">
        <v>344</v>
      </c>
      <c r="EJ140" s="10" t="e">
        <v>#VALUE!</v>
      </c>
      <c r="EK140" s="10" t="s">
        <v>286</v>
      </c>
      <c r="EL140" s="10" t="s">
        <v>345</v>
      </c>
      <c r="EM140" s="10" t="e">
        <v>#VALUE!</v>
      </c>
      <c r="EN140" s="10" t="s">
        <v>287</v>
      </c>
      <c r="EO140" s="10" t="s">
        <v>345</v>
      </c>
      <c r="EP140" s="10" t="e">
        <v>#VALUE!</v>
      </c>
    </row>
    <row r="141" spans="1:149" s="10" customFormat="1" ht="14.25" customHeight="1" x14ac:dyDescent="0.15">
      <c r="A141" s="182"/>
      <c r="B141" s="184"/>
      <c r="C141" s="40"/>
      <c r="D141" s="182"/>
      <c r="E141" s="182"/>
      <c r="F141" s="182"/>
      <c r="G141" s="182"/>
      <c r="H141" s="182"/>
      <c r="I141" s="182"/>
      <c r="J141" s="182"/>
      <c r="K141" s="182"/>
      <c r="L141" s="182"/>
      <c r="M141" s="182"/>
      <c r="N141" s="182"/>
      <c r="O141" s="182"/>
      <c r="P141" s="182"/>
      <c r="Q141" s="182"/>
      <c r="R141" s="182"/>
      <c r="S141" s="182"/>
      <c r="T141" s="182"/>
      <c r="U141" s="182"/>
      <c r="V141" s="182"/>
      <c r="W141" s="182"/>
      <c r="X141" s="182"/>
      <c r="Y141" s="182"/>
      <c r="Z141" s="182"/>
      <c r="AA141" s="182"/>
      <c r="AB141" s="182">
        <v>10240102</v>
      </c>
      <c r="AC141" s="182" t="s">
        <v>346</v>
      </c>
      <c r="AE141" s="10" t="s">
        <v>129</v>
      </c>
      <c r="AF141" s="10" t="s">
        <v>314</v>
      </c>
      <c r="AJ141" s="10">
        <v>3</v>
      </c>
      <c r="AL141" s="68"/>
      <c r="AM141" s="68"/>
      <c r="AN141" s="68"/>
      <c r="AO141" s="68"/>
      <c r="AP141" s="68"/>
      <c r="AQ141" s="68"/>
      <c r="AR141" s="68"/>
      <c r="AU141" s="68"/>
      <c r="AV141" s="68"/>
      <c r="AW141" s="68"/>
      <c r="AX141" s="68"/>
      <c r="AY141" s="68"/>
      <c r="AZ141" s="68"/>
      <c r="BA141" s="202"/>
      <c r="BB141" s="182"/>
      <c r="CK141" s="58"/>
      <c r="CL141" s="58"/>
      <c r="CU141" s="182"/>
      <c r="CV141" s="182"/>
      <c r="CX141" s="89"/>
      <c r="DD141" s="182"/>
      <c r="DE141" s="182"/>
      <c r="DF141" s="182"/>
      <c r="DG141" s="182"/>
      <c r="DI141" s="89"/>
      <c r="DJ141" s="1" t="b">
        <v>1</v>
      </c>
      <c r="DM141" s="59"/>
      <c r="DN141" s="59"/>
      <c r="DO141" s="59"/>
      <c r="DP141" s="94"/>
      <c r="DQ141" s="58"/>
      <c r="DR141" s="57" t="str">
        <f t="shared" si="3"/>
        <v/>
      </c>
      <c r="DS141" s="58"/>
      <c r="DT141" s="99"/>
      <c r="DU141" s="1" t="s">
        <v>280</v>
      </c>
      <c r="DV141" s="68"/>
      <c r="DY141" s="68"/>
      <c r="DZ141" s="113"/>
      <c r="EA141" s="114"/>
      <c r="EB141" s="114"/>
      <c r="EC141" s="114"/>
      <c r="ED141" s="114"/>
    </row>
    <row r="142" spans="1:149" s="10" customFormat="1" ht="14.25" customHeight="1" x14ac:dyDescent="0.15">
      <c r="A142" s="182">
        <v>170544</v>
      </c>
      <c r="B142" s="183" t="s">
        <v>456</v>
      </c>
      <c r="C142" s="40" t="s">
        <v>457</v>
      </c>
      <c r="D142" s="182" t="s">
        <v>496</v>
      </c>
      <c r="E142" s="182">
        <v>170519</v>
      </c>
      <c r="F142" s="182"/>
      <c r="G142" s="182"/>
      <c r="H142" s="182">
        <v>0</v>
      </c>
      <c r="I142" s="182"/>
      <c r="J142" s="182"/>
      <c r="K142" s="182"/>
      <c r="L142" s="182">
        <v>0</v>
      </c>
      <c r="M142" s="182"/>
      <c r="N142" s="182"/>
      <c r="O142" s="182"/>
      <c r="P142" s="182" t="s">
        <v>268</v>
      </c>
      <c r="Q142" s="182" t="s">
        <v>269</v>
      </c>
      <c r="R142" s="182"/>
      <c r="S142" s="182"/>
      <c r="T142" s="182"/>
      <c r="U142" s="182"/>
      <c r="V142" s="182"/>
      <c r="W142" s="182"/>
      <c r="X142" s="182">
        <v>1</v>
      </c>
      <c r="Y142" s="182">
        <v>0</v>
      </c>
      <c r="Z142" s="182">
        <v>0</v>
      </c>
      <c r="AA142" s="182"/>
      <c r="AB142" s="182">
        <v>3001</v>
      </c>
      <c r="AC142" s="182" t="s">
        <v>337</v>
      </c>
      <c r="AD142" s="10" t="s">
        <v>330</v>
      </c>
      <c r="AE142" s="59"/>
      <c r="AF142" s="59"/>
      <c r="AG142" s="59"/>
      <c r="AH142" s="59"/>
      <c r="AI142" s="59"/>
      <c r="AJ142" s="59"/>
      <c r="AK142" s="59"/>
      <c r="BA142" s="182" t="s">
        <v>270</v>
      </c>
      <c r="BB142" s="182">
        <v>75</v>
      </c>
      <c r="BC142" s="10">
        <v>0</v>
      </c>
      <c r="BF142" s="10">
        <v>0</v>
      </c>
      <c r="BG142" s="10">
        <v>0</v>
      </c>
      <c r="BH142" s="10">
        <v>0</v>
      </c>
      <c r="BJ142" s="10" t="s">
        <v>270</v>
      </c>
      <c r="BS142" s="10" t="s">
        <v>270</v>
      </c>
      <c r="CF142" s="10" t="s">
        <v>378</v>
      </c>
      <c r="CJ142" s="10" t="s">
        <v>1</v>
      </c>
      <c r="CK142" s="58" t="s">
        <v>379</v>
      </c>
      <c r="CL142" s="58"/>
      <c r="CM142" s="10">
        <v>999</v>
      </c>
      <c r="CN142" s="10">
        <v>0</v>
      </c>
      <c r="CO142" s="10">
        <v>0</v>
      </c>
      <c r="CP142" s="10">
        <v>0</v>
      </c>
      <c r="CQ142" s="10">
        <v>0</v>
      </c>
      <c r="CS142" s="10">
        <v>5</v>
      </c>
      <c r="CU142" s="182">
        <v>20</v>
      </c>
      <c r="CV142" s="182" t="s">
        <v>481</v>
      </c>
      <c r="CW142" s="10" t="b">
        <v>0</v>
      </c>
      <c r="CX142" s="10" t="s">
        <v>273</v>
      </c>
      <c r="DB142" s="10">
        <v>102401</v>
      </c>
      <c r="DC142" s="10" t="b">
        <v>1</v>
      </c>
      <c r="DD142" s="182" t="s">
        <v>274</v>
      </c>
      <c r="DE142" s="182" t="s">
        <v>380</v>
      </c>
      <c r="DF142" s="182" t="s">
        <v>276</v>
      </c>
      <c r="DG142" s="182" t="s">
        <v>293</v>
      </c>
      <c r="DH142" s="10">
        <v>4</v>
      </c>
      <c r="DI142" s="10" t="b">
        <v>0</v>
      </c>
      <c r="DJ142" s="1" t="b">
        <v>1</v>
      </c>
      <c r="DP142" s="96" t="s">
        <v>473</v>
      </c>
      <c r="DQ142" s="10" t="s">
        <v>460</v>
      </c>
      <c r="DR142" s="57" t="e">
        <f t="shared" si="3"/>
        <v>#VALUE!</v>
      </c>
      <c r="DS142" s="10" t="s">
        <v>461</v>
      </c>
      <c r="DU142" s="1" t="s">
        <v>280</v>
      </c>
      <c r="DV142" s="68"/>
      <c r="DZ142" s="10">
        <v>1</v>
      </c>
      <c r="EA142" s="68">
        <v>-1</v>
      </c>
      <c r="EB142" s="68">
        <v>4.1666666666666699E-2</v>
      </c>
      <c r="EC142" s="68">
        <v>8.3333333333333301E-2</v>
      </c>
      <c r="ED142" s="68">
        <v>8.3333333333333301E-2</v>
      </c>
      <c r="EE142" s="10" t="s">
        <v>284</v>
      </c>
      <c r="EF142" s="10" t="s">
        <v>326</v>
      </c>
      <c r="EG142" s="10" t="e">
        <v>#VALUE!</v>
      </c>
      <c r="EH142" s="10" t="s">
        <v>285</v>
      </c>
      <c r="EI142" s="10" t="s">
        <v>344</v>
      </c>
      <c r="EJ142" s="10" t="e">
        <v>#VALUE!</v>
      </c>
      <c r="EK142" s="10" t="s">
        <v>286</v>
      </c>
      <c r="EL142" s="10" t="s">
        <v>328</v>
      </c>
      <c r="EM142" s="10" t="e">
        <v>#VALUE!</v>
      </c>
      <c r="EN142" s="10" t="s">
        <v>287</v>
      </c>
      <c r="EO142" s="10" t="s">
        <v>328</v>
      </c>
      <c r="EP142" s="10" t="e">
        <v>#VALUE!</v>
      </c>
    </row>
    <row r="143" spans="1:149" s="10" customFormat="1" ht="14.25" customHeight="1" x14ac:dyDescent="0.15">
      <c r="A143" s="182"/>
      <c r="B143" s="183"/>
      <c r="C143" s="40"/>
      <c r="D143" s="182"/>
      <c r="E143" s="182"/>
      <c r="F143" s="182"/>
      <c r="G143" s="182"/>
      <c r="H143" s="182"/>
      <c r="I143" s="182"/>
      <c r="J143" s="182"/>
      <c r="K143" s="182"/>
      <c r="L143" s="182"/>
      <c r="M143" s="182"/>
      <c r="N143" s="182"/>
      <c r="O143" s="182"/>
      <c r="P143" s="182"/>
      <c r="Q143" s="182"/>
      <c r="R143" s="182"/>
      <c r="S143" s="182"/>
      <c r="T143" s="182"/>
      <c r="U143" s="182"/>
      <c r="V143" s="182"/>
      <c r="W143" s="182"/>
      <c r="X143" s="182"/>
      <c r="Y143" s="182"/>
      <c r="Z143" s="182"/>
      <c r="AA143" s="182"/>
      <c r="AB143" s="182">
        <v>17050505</v>
      </c>
      <c r="AC143" s="182" t="s">
        <v>384</v>
      </c>
      <c r="AD143" s="10" t="s">
        <v>330</v>
      </c>
      <c r="AE143" s="59" t="s">
        <v>291</v>
      </c>
      <c r="AF143" s="59" t="s">
        <v>314</v>
      </c>
      <c r="AG143" s="59"/>
      <c r="AH143" s="59"/>
      <c r="AI143" s="59"/>
      <c r="AJ143" s="59"/>
      <c r="AK143" s="59"/>
      <c r="BA143" s="182"/>
      <c r="BB143" s="182"/>
      <c r="CU143" s="182"/>
      <c r="CV143" s="182"/>
      <c r="DD143" s="182"/>
      <c r="DE143" s="182"/>
      <c r="DF143" s="182"/>
      <c r="DG143" s="182"/>
      <c r="DJ143" s="1" t="b">
        <v>1</v>
      </c>
      <c r="DP143" s="96"/>
      <c r="DR143" s="57" t="str">
        <f t="shared" si="3"/>
        <v/>
      </c>
      <c r="DU143" s="1" t="s">
        <v>280</v>
      </c>
      <c r="DV143" s="68"/>
      <c r="DY143" s="68"/>
      <c r="EA143" s="68"/>
      <c r="EB143" s="68"/>
      <c r="EC143" s="68"/>
      <c r="ED143" s="68"/>
    </row>
    <row r="144" spans="1:149" s="10" customFormat="1" ht="14.25" customHeight="1" x14ac:dyDescent="0.15">
      <c r="A144" s="182"/>
      <c r="B144" s="183"/>
      <c r="C144" s="40"/>
      <c r="D144" s="182"/>
      <c r="E144" s="182"/>
      <c r="F144" s="182"/>
      <c r="G144" s="182"/>
      <c r="H144" s="182"/>
      <c r="I144" s="182"/>
      <c r="J144" s="182"/>
      <c r="K144" s="182"/>
      <c r="L144" s="182"/>
      <c r="M144" s="182"/>
      <c r="N144" s="182"/>
      <c r="O144" s="182"/>
      <c r="P144" s="182"/>
      <c r="Q144" s="182"/>
      <c r="R144" s="182"/>
      <c r="S144" s="182"/>
      <c r="T144" s="182"/>
      <c r="U144" s="182"/>
      <c r="V144" s="182"/>
      <c r="W144" s="182"/>
      <c r="X144" s="182"/>
      <c r="Y144" s="182"/>
      <c r="Z144" s="182"/>
      <c r="AA144" s="182"/>
      <c r="AB144" s="182">
        <v>17050506</v>
      </c>
      <c r="AC144" s="182" t="s">
        <v>385</v>
      </c>
      <c r="AE144" s="10" t="s">
        <v>291</v>
      </c>
      <c r="AF144" s="10" t="s">
        <v>314</v>
      </c>
      <c r="AJ144" s="10">
        <v>8</v>
      </c>
      <c r="AL144" s="68"/>
      <c r="AM144" s="68"/>
      <c r="AN144" s="68"/>
      <c r="AO144" s="68"/>
      <c r="AP144" s="68"/>
      <c r="AQ144" s="68"/>
      <c r="AR144" s="68"/>
      <c r="AU144" s="68"/>
      <c r="AV144" s="68"/>
      <c r="AW144" s="68"/>
      <c r="AX144" s="68"/>
      <c r="AY144" s="68"/>
      <c r="AZ144" s="68"/>
      <c r="BA144" s="202"/>
      <c r="BB144" s="182"/>
      <c r="CK144" s="58"/>
      <c r="CL144" s="58"/>
      <c r="CU144" s="182"/>
      <c r="CV144" s="182"/>
      <c r="CX144" s="89"/>
      <c r="DD144" s="209"/>
      <c r="DE144" s="182"/>
      <c r="DF144" s="209"/>
      <c r="DG144" s="209"/>
      <c r="DH144" s="93"/>
      <c r="DI144" s="93"/>
      <c r="DJ144" s="1" t="b">
        <v>1</v>
      </c>
      <c r="DP144" s="96"/>
      <c r="DQ144" s="105"/>
      <c r="DR144" s="57" t="str">
        <f t="shared" si="3"/>
        <v/>
      </c>
      <c r="DS144" s="105"/>
      <c r="DT144" s="106"/>
      <c r="DU144" s="1" t="s">
        <v>280</v>
      </c>
      <c r="DV144" s="68"/>
      <c r="DY144" s="68"/>
      <c r="DZ144" s="113"/>
      <c r="EA144" s="114"/>
      <c r="EB144" s="114"/>
      <c r="EC144" s="114"/>
      <c r="ED144" s="114"/>
    </row>
    <row r="145" spans="1:149" s="10" customFormat="1" ht="14.25" customHeight="1" x14ac:dyDescent="0.15">
      <c r="A145" s="182"/>
      <c r="B145" s="183"/>
      <c r="C145" s="40"/>
      <c r="D145" s="182"/>
      <c r="E145" s="182"/>
      <c r="F145" s="182"/>
      <c r="G145" s="182"/>
      <c r="H145" s="182"/>
      <c r="I145" s="182"/>
      <c r="J145" s="182"/>
      <c r="K145" s="182"/>
      <c r="L145" s="182"/>
      <c r="M145" s="182"/>
      <c r="N145" s="182"/>
      <c r="O145" s="182"/>
      <c r="P145" s="182"/>
      <c r="Q145" s="182"/>
      <c r="R145" s="182"/>
      <c r="S145" s="182"/>
      <c r="T145" s="182"/>
      <c r="U145" s="182"/>
      <c r="V145" s="182"/>
      <c r="W145" s="182"/>
      <c r="X145" s="182"/>
      <c r="Y145" s="182"/>
      <c r="Z145" s="182"/>
      <c r="AA145" s="182"/>
      <c r="AB145" s="192">
        <v>17050507</v>
      </c>
      <c r="AC145" s="182" t="s">
        <v>386</v>
      </c>
      <c r="AD145" s="10" t="s">
        <v>330</v>
      </c>
      <c r="AE145" s="10" t="s">
        <v>291</v>
      </c>
      <c r="AF145" s="10" t="s">
        <v>314</v>
      </c>
      <c r="AJ145" s="59"/>
      <c r="AK145" s="59"/>
      <c r="BA145" s="182"/>
      <c r="BB145" s="182"/>
      <c r="CU145" s="182"/>
      <c r="CV145" s="182"/>
      <c r="DD145" s="182"/>
      <c r="DE145" s="182"/>
      <c r="DF145" s="182"/>
      <c r="DG145" s="182"/>
      <c r="DJ145" s="1" t="b">
        <v>1</v>
      </c>
      <c r="DP145" s="96"/>
      <c r="DR145" s="57" t="str">
        <f t="shared" si="3"/>
        <v/>
      </c>
      <c r="DU145" s="1" t="s">
        <v>280</v>
      </c>
      <c r="DV145" s="68"/>
      <c r="DY145" s="68"/>
      <c r="EA145" s="68"/>
      <c r="EB145" s="68"/>
      <c r="EC145" s="68"/>
      <c r="ED145" s="68"/>
    </row>
    <row r="146" spans="1:149" s="10" customFormat="1" ht="14.25" customHeight="1" x14ac:dyDescent="0.15">
      <c r="A146" s="182">
        <v>170545</v>
      </c>
      <c r="B146" s="183" t="s">
        <v>462</v>
      </c>
      <c r="C146" s="40" t="s">
        <v>463</v>
      </c>
      <c r="D146" s="182" t="s">
        <v>496</v>
      </c>
      <c r="E146" s="182">
        <v>170520</v>
      </c>
      <c r="F146" s="182"/>
      <c r="G146" s="182"/>
      <c r="H146" s="182">
        <v>0</v>
      </c>
      <c r="I146" s="182"/>
      <c r="J146" s="182"/>
      <c r="K146" s="182"/>
      <c r="L146" s="182">
        <v>0</v>
      </c>
      <c r="M146" s="182"/>
      <c r="N146" s="182"/>
      <c r="O146" s="182"/>
      <c r="P146" s="182" t="s">
        <v>268</v>
      </c>
      <c r="Q146" s="182" t="s">
        <v>269</v>
      </c>
      <c r="R146" s="182"/>
      <c r="S146" s="182"/>
      <c r="T146" s="182"/>
      <c r="U146" s="182"/>
      <c r="V146" s="182"/>
      <c r="W146" s="182"/>
      <c r="X146" s="182">
        <v>1</v>
      </c>
      <c r="Y146" s="182">
        <v>0</v>
      </c>
      <c r="Z146" s="182">
        <v>0</v>
      </c>
      <c r="AA146" s="182"/>
      <c r="AB146" s="182">
        <v>3001</v>
      </c>
      <c r="AC146" s="192"/>
      <c r="AL146" s="68"/>
      <c r="AM146" s="68"/>
      <c r="AN146" s="68"/>
      <c r="AO146" s="68"/>
      <c r="AP146" s="68"/>
      <c r="AQ146" s="68"/>
      <c r="AR146" s="68"/>
      <c r="AU146" s="68"/>
      <c r="AV146" s="68"/>
      <c r="AW146" s="68"/>
      <c r="AX146" s="68"/>
      <c r="AY146" s="68"/>
      <c r="AZ146" s="68"/>
      <c r="BA146" s="202" t="s">
        <v>270</v>
      </c>
      <c r="BB146" s="182">
        <v>150</v>
      </c>
      <c r="BC146" s="10">
        <v>0</v>
      </c>
      <c r="BF146" s="10">
        <v>0</v>
      </c>
      <c r="BG146" s="10">
        <v>0</v>
      </c>
      <c r="BH146" s="10">
        <v>0</v>
      </c>
      <c r="BJ146" s="10" t="s">
        <v>270</v>
      </c>
      <c r="BS146" s="10" t="s">
        <v>270</v>
      </c>
      <c r="CF146" s="10" t="s">
        <v>271</v>
      </c>
      <c r="CJ146" s="10" t="s">
        <v>1</v>
      </c>
      <c r="CK146" s="58" t="s">
        <v>464</v>
      </c>
      <c r="CL146" s="58"/>
      <c r="CM146" s="10">
        <v>999</v>
      </c>
      <c r="CN146" s="10">
        <v>0</v>
      </c>
      <c r="CO146" s="10">
        <v>0</v>
      </c>
      <c r="CP146" s="10">
        <v>0</v>
      </c>
      <c r="CQ146" s="10">
        <v>0</v>
      </c>
      <c r="CS146" s="10">
        <v>20</v>
      </c>
      <c r="CT146" s="10">
        <v>10</v>
      </c>
      <c r="CU146" s="182">
        <v>24</v>
      </c>
      <c r="CV146" s="182" t="s">
        <v>483</v>
      </c>
      <c r="CW146" s="10" t="b">
        <v>1</v>
      </c>
      <c r="CX146" s="10" t="s">
        <v>273</v>
      </c>
      <c r="DB146" s="10">
        <v>170501</v>
      </c>
      <c r="DC146" s="10" t="b">
        <v>1</v>
      </c>
      <c r="DD146" s="182" t="s">
        <v>274</v>
      </c>
      <c r="DE146" s="182" t="s">
        <v>495</v>
      </c>
      <c r="DF146" s="182" t="s">
        <v>276</v>
      </c>
      <c r="DG146" s="182" t="s">
        <v>322</v>
      </c>
      <c r="DH146" s="10">
        <v>4</v>
      </c>
      <c r="DI146" s="10" t="b">
        <v>0</v>
      </c>
      <c r="DJ146" s="1" t="b">
        <v>1</v>
      </c>
      <c r="DP146" s="96" t="s">
        <v>475</v>
      </c>
      <c r="DQ146" s="58" t="s">
        <v>467</v>
      </c>
      <c r="DR146" s="57" t="e">
        <f t="shared" si="3"/>
        <v>#VALUE!</v>
      </c>
      <c r="DS146" s="10" t="s">
        <v>468</v>
      </c>
      <c r="DU146" s="1" t="s">
        <v>280</v>
      </c>
      <c r="DV146" s="68"/>
      <c r="DZ146" s="10">
        <v>1</v>
      </c>
      <c r="EA146" s="68">
        <v>-1</v>
      </c>
      <c r="EB146" s="68">
        <v>4.1666666666666699E-2</v>
      </c>
      <c r="EC146" s="68">
        <v>8.3333333333333301E-2</v>
      </c>
      <c r="ED146" s="68">
        <v>8.3333333333333301E-2</v>
      </c>
      <c r="EE146" s="10" t="s">
        <v>284</v>
      </c>
      <c r="EF146" s="10" t="s">
        <v>326</v>
      </c>
      <c r="EG146" s="10" t="e">
        <v>#VALUE!</v>
      </c>
      <c r="EH146" s="10" t="s">
        <v>285</v>
      </c>
      <c r="EI146" s="10" t="s">
        <v>327</v>
      </c>
      <c r="EJ146" s="10" t="e">
        <v>#VALUE!</v>
      </c>
      <c r="EK146" s="10" t="s">
        <v>286</v>
      </c>
      <c r="EL146" s="10" t="s">
        <v>328</v>
      </c>
      <c r="EM146" s="10" t="e">
        <v>#VALUE!</v>
      </c>
      <c r="EN146" s="10" t="s">
        <v>287</v>
      </c>
      <c r="EO146" s="10" t="s">
        <v>328</v>
      </c>
      <c r="EP146" s="10" t="e">
        <v>#VALUE!</v>
      </c>
    </row>
    <row r="147" spans="1:149" s="10" customFormat="1" ht="14.25" customHeight="1" x14ac:dyDescent="0.15">
      <c r="A147" s="182"/>
      <c r="B147" s="183"/>
      <c r="C147" s="40"/>
      <c r="D147" s="182"/>
      <c r="E147" s="182"/>
      <c r="F147" s="182"/>
      <c r="G147" s="182"/>
      <c r="H147" s="182"/>
      <c r="I147" s="182"/>
      <c r="J147" s="182"/>
      <c r="K147" s="182"/>
      <c r="L147" s="182"/>
      <c r="M147" s="182"/>
      <c r="N147" s="182"/>
      <c r="O147" s="182"/>
      <c r="P147" s="182"/>
      <c r="Q147" s="182"/>
      <c r="R147" s="182"/>
      <c r="S147" s="182"/>
      <c r="T147" s="182"/>
      <c r="U147" s="182"/>
      <c r="V147" s="182"/>
      <c r="W147" s="182"/>
      <c r="X147" s="182"/>
      <c r="Y147" s="182"/>
      <c r="Z147" s="182"/>
      <c r="AA147" s="182"/>
      <c r="AB147" s="182">
        <v>17050301</v>
      </c>
      <c r="AC147" s="182" t="s">
        <v>329</v>
      </c>
      <c r="AD147" s="10" t="s">
        <v>330</v>
      </c>
      <c r="AE147" s="10" t="s">
        <v>291</v>
      </c>
      <c r="AF147" s="10" t="s">
        <v>314</v>
      </c>
      <c r="AL147" s="68"/>
      <c r="AM147" s="68"/>
      <c r="AN147" s="68"/>
      <c r="AO147" s="68"/>
      <c r="AP147" s="68"/>
      <c r="AQ147" s="68"/>
      <c r="AR147" s="68"/>
      <c r="AU147" s="68"/>
      <c r="AV147" s="68"/>
      <c r="AW147" s="68"/>
      <c r="AX147" s="68"/>
      <c r="AY147" s="68"/>
      <c r="AZ147" s="68"/>
      <c r="BA147" s="202" t="s">
        <v>331</v>
      </c>
      <c r="BB147" s="179">
        <v>2.8000000000000001E-2</v>
      </c>
      <c r="BC147" s="10">
        <v>0</v>
      </c>
      <c r="BF147" s="10">
        <v>0</v>
      </c>
      <c r="BG147" s="10">
        <v>0</v>
      </c>
      <c r="BH147" s="10">
        <v>0</v>
      </c>
      <c r="CU147" s="182"/>
      <c r="CV147" s="182"/>
      <c r="CX147" s="89"/>
      <c r="DD147" s="182"/>
      <c r="DE147" s="182"/>
      <c r="DF147" s="182"/>
      <c r="DG147" s="182"/>
      <c r="DI147" s="89"/>
      <c r="DJ147" s="1" t="b">
        <v>1</v>
      </c>
      <c r="DP147" s="96"/>
      <c r="DQ147" s="58"/>
      <c r="DR147" s="57" t="str">
        <f t="shared" si="3"/>
        <v/>
      </c>
      <c r="DU147" s="1" t="s">
        <v>280</v>
      </c>
      <c r="DV147" s="68"/>
      <c r="DY147" s="68"/>
      <c r="DZ147" s="113"/>
      <c r="EA147" s="114"/>
      <c r="EB147" s="114"/>
      <c r="EC147" s="114"/>
      <c r="ED147" s="114"/>
    </row>
    <row r="148" spans="1:149" s="10" customFormat="1" ht="14.25" customHeight="1" x14ac:dyDescent="0.15">
      <c r="A148" s="182"/>
      <c r="B148" s="183"/>
      <c r="C148" s="40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2"/>
      <c r="P148" s="182"/>
      <c r="Q148" s="182"/>
      <c r="R148" s="182"/>
      <c r="S148" s="182"/>
      <c r="T148" s="182"/>
      <c r="U148" s="182"/>
      <c r="V148" s="182"/>
      <c r="W148" s="182"/>
      <c r="X148" s="182"/>
      <c r="Y148" s="182"/>
      <c r="Z148" s="182"/>
      <c r="AA148" s="182"/>
      <c r="AB148" s="182">
        <v>17050302</v>
      </c>
      <c r="AC148" s="182" t="s">
        <v>332</v>
      </c>
      <c r="AD148" s="10" t="s">
        <v>333</v>
      </c>
      <c r="AE148" s="10" t="s">
        <v>291</v>
      </c>
      <c r="AF148" s="10" t="s">
        <v>314</v>
      </c>
      <c r="AJ148" s="10">
        <v>-1</v>
      </c>
      <c r="AL148" s="68"/>
      <c r="AM148" s="199"/>
      <c r="AN148" s="199"/>
      <c r="AO148" s="199"/>
      <c r="AP148" s="199"/>
      <c r="AQ148" s="199"/>
      <c r="AR148" s="199"/>
      <c r="AU148" s="68"/>
      <c r="AV148" s="68"/>
      <c r="AW148" s="68"/>
      <c r="AX148" s="68"/>
      <c r="AY148" s="68"/>
      <c r="AZ148" s="68"/>
      <c r="BA148" s="202"/>
      <c r="BB148" s="182"/>
      <c r="CU148" s="182"/>
      <c r="CV148" s="182"/>
      <c r="DD148" s="182"/>
      <c r="DE148" s="182"/>
      <c r="DF148" s="182"/>
      <c r="DG148" s="182"/>
      <c r="DJ148" s="1" t="b">
        <v>1</v>
      </c>
      <c r="DP148" s="96"/>
      <c r="DQ148" s="58"/>
      <c r="DR148" s="57" t="str">
        <f t="shared" si="3"/>
        <v/>
      </c>
      <c r="DU148" s="1" t="s">
        <v>280</v>
      </c>
      <c r="DV148" s="68"/>
      <c r="DY148" s="68"/>
      <c r="EA148" s="68"/>
      <c r="EB148" s="68"/>
      <c r="EC148" s="68"/>
      <c r="ED148" s="68"/>
    </row>
    <row r="149" spans="1:149" s="8" customFormat="1" ht="14.25" customHeight="1" x14ac:dyDescent="0.15">
      <c r="A149" s="179">
        <v>170546</v>
      </c>
      <c r="B149" s="180" t="s">
        <v>476</v>
      </c>
      <c r="C149" s="40" t="s">
        <v>477</v>
      </c>
      <c r="D149" s="179" t="s">
        <v>497</v>
      </c>
      <c r="E149" s="179">
        <v>170518</v>
      </c>
      <c r="F149" s="179"/>
      <c r="G149" s="179"/>
      <c r="H149" s="179">
        <v>0</v>
      </c>
      <c r="I149" s="179"/>
      <c r="J149" s="179"/>
      <c r="K149" s="179"/>
      <c r="L149" s="179">
        <v>0</v>
      </c>
      <c r="M149" s="179"/>
      <c r="N149" s="179"/>
      <c r="O149" s="179"/>
      <c r="P149" s="179" t="s">
        <v>268</v>
      </c>
      <c r="Q149" s="179" t="s">
        <v>269</v>
      </c>
      <c r="R149" s="179"/>
      <c r="S149" s="179"/>
      <c r="T149" s="179"/>
      <c r="U149" s="179"/>
      <c r="V149" s="179"/>
      <c r="W149" s="179"/>
      <c r="X149" s="179">
        <v>1</v>
      </c>
      <c r="Y149" s="179">
        <v>0</v>
      </c>
      <c r="Z149" s="179">
        <v>0</v>
      </c>
      <c r="AA149" s="179"/>
      <c r="AB149" s="179">
        <v>3001</v>
      </c>
      <c r="AC149" s="191" t="s">
        <v>337</v>
      </c>
      <c r="AD149" s="16"/>
      <c r="AE149" s="16" t="s">
        <v>129</v>
      </c>
      <c r="AF149" s="16" t="s">
        <v>314</v>
      </c>
      <c r="AG149" s="16"/>
      <c r="AH149" s="16"/>
      <c r="AI149" s="16"/>
      <c r="AJ149" s="16"/>
      <c r="AK149" s="16"/>
      <c r="AL149" s="148"/>
      <c r="AM149" s="148"/>
      <c r="AN149" s="148"/>
      <c r="AO149" s="148"/>
      <c r="AP149" s="148"/>
      <c r="AQ149" s="148"/>
      <c r="AR149" s="148"/>
      <c r="AS149" s="16"/>
      <c r="AT149" s="16"/>
      <c r="AU149" s="148"/>
      <c r="AV149" s="148"/>
      <c r="AW149" s="148"/>
      <c r="AX149" s="148"/>
      <c r="AY149" s="148"/>
      <c r="AZ149" s="148"/>
      <c r="BA149" s="201" t="s">
        <v>270</v>
      </c>
      <c r="BB149" s="179">
        <v>100</v>
      </c>
      <c r="BC149" s="16">
        <v>0</v>
      </c>
      <c r="BD149" s="16"/>
      <c r="BE149" s="16"/>
      <c r="BF149" s="16">
        <v>0</v>
      </c>
      <c r="BG149" s="16">
        <v>0</v>
      </c>
      <c r="BH149" s="16">
        <v>0</v>
      </c>
      <c r="BI149" s="16"/>
      <c r="BJ149" s="16" t="s">
        <v>270</v>
      </c>
      <c r="BK149" s="16"/>
      <c r="BL149" s="16"/>
      <c r="BM149" s="16"/>
      <c r="BN149" s="16"/>
      <c r="BO149" s="16"/>
      <c r="BP149" s="16"/>
      <c r="BQ149" s="16"/>
      <c r="BR149" s="16"/>
      <c r="BS149" s="16" t="s">
        <v>270</v>
      </c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 t="s">
        <v>271</v>
      </c>
      <c r="CG149" s="16"/>
      <c r="CH149" s="16"/>
      <c r="CI149" s="16"/>
      <c r="CJ149" s="16" t="s">
        <v>3</v>
      </c>
      <c r="CK149" s="140" t="s">
        <v>443</v>
      </c>
      <c r="CL149" s="140"/>
      <c r="CM149" s="10">
        <v>999</v>
      </c>
      <c r="CN149" s="16">
        <v>0</v>
      </c>
      <c r="CO149" s="16">
        <v>0</v>
      </c>
      <c r="CP149" s="16">
        <v>0</v>
      </c>
      <c r="CQ149" s="16">
        <v>0</v>
      </c>
      <c r="CR149" s="16"/>
      <c r="CS149" s="16">
        <v>15</v>
      </c>
      <c r="CT149" s="16"/>
      <c r="CU149" s="179">
        <v>15</v>
      </c>
      <c r="CV149" s="23" t="s">
        <v>479</v>
      </c>
      <c r="CW149" s="16" t="b">
        <v>0</v>
      </c>
      <c r="CX149" s="16" t="s">
        <v>273</v>
      </c>
      <c r="CY149" s="16"/>
      <c r="CZ149" s="16"/>
      <c r="DA149" s="16"/>
      <c r="DB149" s="16">
        <v>100300</v>
      </c>
      <c r="DC149" s="16" t="b">
        <v>1</v>
      </c>
      <c r="DD149" s="179" t="s">
        <v>274</v>
      </c>
      <c r="DE149" s="179" t="s">
        <v>340</v>
      </c>
      <c r="DF149" s="179" t="s">
        <v>276</v>
      </c>
      <c r="DG149" s="179" t="s">
        <v>277</v>
      </c>
      <c r="DH149" s="16">
        <v>4</v>
      </c>
      <c r="DI149" s="16" t="b">
        <v>0</v>
      </c>
      <c r="DJ149" s="1" t="b">
        <v>1</v>
      </c>
      <c r="DK149" s="16"/>
      <c r="DL149" s="16"/>
      <c r="DM149" s="16"/>
      <c r="DN149" s="1"/>
      <c r="DO149" s="1"/>
      <c r="DP149" s="96" t="s">
        <v>471</v>
      </c>
      <c r="DQ149" s="140" t="s">
        <v>446</v>
      </c>
      <c r="DR149" s="57" t="e">
        <f t="shared" si="3"/>
        <v>#VALUE!</v>
      </c>
      <c r="DS149" s="16" t="s">
        <v>447</v>
      </c>
      <c r="DT149" s="16"/>
      <c r="DU149" s="1" t="s">
        <v>280</v>
      </c>
      <c r="DV149" s="148"/>
      <c r="DW149" s="16"/>
      <c r="DX149" s="16"/>
      <c r="DY149" s="1"/>
      <c r="DZ149" s="16">
        <v>1</v>
      </c>
      <c r="EA149" s="148">
        <v>-1</v>
      </c>
      <c r="EB149" s="148">
        <v>4.1666666666666699E-2</v>
      </c>
      <c r="EC149" s="148">
        <v>8.3333333333333301E-2</v>
      </c>
      <c r="ED149" s="148">
        <v>8.3333333333333301E-2</v>
      </c>
      <c r="EE149" s="16" t="s">
        <v>284</v>
      </c>
      <c r="EF149" s="16" t="s">
        <v>326</v>
      </c>
      <c r="EG149" s="16" t="e">
        <v>#VALUE!</v>
      </c>
      <c r="EH149" s="16" t="s">
        <v>285</v>
      </c>
      <c r="EI149" s="16" t="s">
        <v>344</v>
      </c>
      <c r="EJ149" s="16" t="e">
        <v>#VALUE!</v>
      </c>
      <c r="EK149" s="16" t="s">
        <v>286</v>
      </c>
      <c r="EL149" s="16" t="s">
        <v>345</v>
      </c>
      <c r="EM149" s="16" t="e">
        <v>#VALUE!</v>
      </c>
      <c r="EN149" s="16" t="s">
        <v>287</v>
      </c>
      <c r="EO149" s="16" t="s">
        <v>345</v>
      </c>
      <c r="EP149" s="16" t="e">
        <v>#VALUE!</v>
      </c>
      <c r="EQ149" s="16"/>
      <c r="ER149" s="16"/>
      <c r="ES149" s="16"/>
    </row>
    <row r="150" spans="1:149" s="8" customFormat="1" ht="14.25" customHeight="1" x14ac:dyDescent="0.15">
      <c r="A150" s="179"/>
      <c r="B150" s="181"/>
      <c r="C150" s="40"/>
      <c r="D150" s="179"/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179"/>
      <c r="Q150" s="179"/>
      <c r="R150" s="179"/>
      <c r="S150" s="179"/>
      <c r="T150" s="179"/>
      <c r="U150" s="179"/>
      <c r="V150" s="179"/>
      <c r="W150" s="179"/>
      <c r="X150" s="179"/>
      <c r="Y150" s="179"/>
      <c r="Z150" s="179"/>
      <c r="AA150" s="179"/>
      <c r="AB150" s="179">
        <v>10240102</v>
      </c>
      <c r="AC150" s="179" t="s">
        <v>346</v>
      </c>
      <c r="AD150" s="16"/>
      <c r="AE150" s="16" t="s">
        <v>129</v>
      </c>
      <c r="AF150" s="16" t="s">
        <v>314</v>
      </c>
      <c r="AG150" s="16"/>
      <c r="AH150" s="16"/>
      <c r="AI150" s="16"/>
      <c r="AJ150" s="16">
        <v>3</v>
      </c>
      <c r="AK150" s="16"/>
      <c r="AL150" s="148"/>
      <c r="AM150" s="148"/>
      <c r="AN150" s="148"/>
      <c r="AO150" s="148"/>
      <c r="AP150" s="148"/>
      <c r="AQ150" s="148"/>
      <c r="AR150" s="148"/>
      <c r="AS150" s="16"/>
      <c r="AT150" s="16"/>
      <c r="AU150" s="148"/>
      <c r="AV150" s="148"/>
      <c r="AW150" s="148"/>
      <c r="AX150" s="148"/>
      <c r="AY150" s="148"/>
      <c r="AZ150" s="148"/>
      <c r="BA150" s="201"/>
      <c r="BB150" s="179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40"/>
      <c r="CL150" s="140"/>
      <c r="CM150" s="16"/>
      <c r="CN150" s="16"/>
      <c r="CO150" s="16"/>
      <c r="CP150" s="16"/>
      <c r="CQ150" s="16"/>
      <c r="CR150" s="16"/>
      <c r="CS150" s="16"/>
      <c r="CT150" s="16"/>
      <c r="CU150" s="179"/>
      <c r="CV150" s="179"/>
      <c r="CW150" s="16"/>
      <c r="CX150" s="159"/>
      <c r="CY150" s="16"/>
      <c r="CZ150" s="16"/>
      <c r="DA150" s="16"/>
      <c r="DB150" s="16"/>
      <c r="DC150" s="16"/>
      <c r="DD150" s="179"/>
      <c r="DE150" s="179"/>
      <c r="DF150" s="179"/>
      <c r="DG150" s="179"/>
      <c r="DH150" s="16"/>
      <c r="DI150" s="159"/>
      <c r="DJ150" s="1" t="b">
        <v>1</v>
      </c>
      <c r="DK150" s="16"/>
      <c r="DL150" s="16"/>
      <c r="DM150" s="141"/>
      <c r="DN150" s="141"/>
      <c r="DO150" s="141"/>
      <c r="DP150" s="94"/>
      <c r="DQ150" s="140"/>
      <c r="DR150" s="57" t="str">
        <f t="shared" si="3"/>
        <v/>
      </c>
      <c r="DS150" s="140"/>
      <c r="DT150" s="166"/>
      <c r="DU150" s="1" t="s">
        <v>280</v>
      </c>
      <c r="DV150" s="148"/>
      <c r="DW150" s="16"/>
      <c r="DX150" s="16"/>
      <c r="DY150" s="148"/>
      <c r="DZ150" s="175"/>
      <c r="EA150" s="176"/>
      <c r="EB150" s="176"/>
      <c r="EC150" s="176"/>
      <c r="ED150" s="176"/>
      <c r="EE150" s="16"/>
      <c r="EF150" s="16"/>
      <c r="EG150" s="16"/>
      <c r="EH150" s="16"/>
      <c r="EI150" s="16"/>
      <c r="EJ150" s="16"/>
      <c r="EK150" s="16"/>
      <c r="EL150" s="16"/>
      <c r="EM150" s="16"/>
      <c r="EN150" s="16"/>
      <c r="EO150" s="16"/>
      <c r="EP150" s="16"/>
      <c r="EQ150" s="16"/>
      <c r="ER150" s="16"/>
      <c r="ES150" s="16"/>
    </row>
    <row r="151" spans="1:149" s="8" customFormat="1" ht="14.25" customHeight="1" x14ac:dyDescent="0.15">
      <c r="A151" s="179">
        <v>170547</v>
      </c>
      <c r="B151" s="180" t="s">
        <v>456</v>
      </c>
      <c r="C151" s="40" t="s">
        <v>457</v>
      </c>
      <c r="D151" s="179" t="s">
        <v>497</v>
      </c>
      <c r="E151" s="179">
        <v>170519</v>
      </c>
      <c r="F151" s="179"/>
      <c r="G151" s="179"/>
      <c r="H151" s="179">
        <v>0</v>
      </c>
      <c r="I151" s="179"/>
      <c r="J151" s="179"/>
      <c r="K151" s="179"/>
      <c r="L151" s="179">
        <v>0</v>
      </c>
      <c r="M151" s="179"/>
      <c r="N151" s="179"/>
      <c r="O151" s="179"/>
      <c r="P151" s="179" t="s">
        <v>268</v>
      </c>
      <c r="Q151" s="179" t="s">
        <v>269</v>
      </c>
      <c r="R151" s="179"/>
      <c r="S151" s="179"/>
      <c r="T151" s="179"/>
      <c r="U151" s="179"/>
      <c r="V151" s="179"/>
      <c r="W151" s="179"/>
      <c r="X151" s="179">
        <v>1</v>
      </c>
      <c r="Y151" s="179">
        <v>0</v>
      </c>
      <c r="Z151" s="179">
        <v>0</v>
      </c>
      <c r="AA151" s="179"/>
      <c r="AB151" s="179">
        <v>3001</v>
      </c>
      <c r="AC151" s="179" t="s">
        <v>337</v>
      </c>
      <c r="AD151" s="16" t="s">
        <v>330</v>
      </c>
      <c r="AE151" s="141"/>
      <c r="AF151" s="141"/>
      <c r="AG151" s="141"/>
      <c r="AH151" s="141"/>
      <c r="AI151" s="141"/>
      <c r="AJ151" s="141"/>
      <c r="AK151" s="141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79" t="s">
        <v>270</v>
      </c>
      <c r="BB151" s="179">
        <v>75</v>
      </c>
      <c r="BC151" s="16">
        <v>0</v>
      </c>
      <c r="BD151" s="16"/>
      <c r="BE151" s="16"/>
      <c r="BF151" s="16">
        <v>0</v>
      </c>
      <c r="BG151" s="16">
        <v>0</v>
      </c>
      <c r="BH151" s="16">
        <v>0</v>
      </c>
      <c r="BI151" s="16"/>
      <c r="BJ151" s="16" t="s">
        <v>270</v>
      </c>
      <c r="BK151" s="16"/>
      <c r="BL151" s="16"/>
      <c r="BM151" s="16"/>
      <c r="BN151" s="16"/>
      <c r="BO151" s="16"/>
      <c r="BP151" s="16"/>
      <c r="BQ151" s="16"/>
      <c r="BR151" s="16"/>
      <c r="BS151" s="16" t="s">
        <v>270</v>
      </c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 t="s">
        <v>378</v>
      </c>
      <c r="CG151" s="16"/>
      <c r="CH151" s="16"/>
      <c r="CI151" s="16"/>
      <c r="CJ151" s="16" t="s">
        <v>1</v>
      </c>
      <c r="CK151" s="58" t="s">
        <v>379</v>
      </c>
      <c r="CL151" s="58"/>
      <c r="CM151" s="10">
        <v>999</v>
      </c>
      <c r="CN151" s="16">
        <v>0</v>
      </c>
      <c r="CO151" s="16">
        <v>0</v>
      </c>
      <c r="CP151" s="16">
        <v>0</v>
      </c>
      <c r="CQ151" s="16">
        <v>0</v>
      </c>
      <c r="CR151" s="16"/>
      <c r="CS151" s="16">
        <v>5</v>
      </c>
      <c r="CT151" s="16"/>
      <c r="CU151" s="179">
        <v>20</v>
      </c>
      <c r="CV151" s="23" t="s">
        <v>481</v>
      </c>
      <c r="CW151" s="16" t="b">
        <v>0</v>
      </c>
      <c r="CX151" s="16" t="s">
        <v>273</v>
      </c>
      <c r="CY151" s="16"/>
      <c r="CZ151" s="16"/>
      <c r="DA151" s="16"/>
      <c r="DB151" s="16">
        <v>102401</v>
      </c>
      <c r="DC151" s="16" t="b">
        <v>1</v>
      </c>
      <c r="DD151" s="179" t="s">
        <v>274</v>
      </c>
      <c r="DE151" s="179" t="s">
        <v>380</v>
      </c>
      <c r="DF151" s="179" t="s">
        <v>276</v>
      </c>
      <c r="DG151" s="179" t="s">
        <v>293</v>
      </c>
      <c r="DH151" s="16">
        <v>4</v>
      </c>
      <c r="DI151" s="16" t="b">
        <v>0</v>
      </c>
      <c r="DJ151" s="1" t="b">
        <v>1</v>
      </c>
      <c r="DK151" s="16"/>
      <c r="DL151" s="16"/>
      <c r="DM151" s="16"/>
      <c r="DN151" s="1"/>
      <c r="DO151" s="1"/>
      <c r="DP151" s="96" t="s">
        <v>473</v>
      </c>
      <c r="DQ151" s="16" t="s">
        <v>460</v>
      </c>
      <c r="DR151" s="57" t="e">
        <f t="shared" si="3"/>
        <v>#VALUE!</v>
      </c>
      <c r="DS151" s="16" t="s">
        <v>461</v>
      </c>
      <c r="DT151" s="16"/>
      <c r="DU151" s="1" t="s">
        <v>280</v>
      </c>
      <c r="DV151" s="148"/>
      <c r="DW151" s="16"/>
      <c r="DX151" s="16"/>
      <c r="DY151" s="1"/>
      <c r="DZ151" s="16">
        <v>1</v>
      </c>
      <c r="EA151" s="148">
        <v>-1</v>
      </c>
      <c r="EB151" s="148">
        <v>4.1666666666666699E-2</v>
      </c>
      <c r="EC151" s="148">
        <v>8.3333333333333301E-2</v>
      </c>
      <c r="ED151" s="148">
        <v>8.3333333333333301E-2</v>
      </c>
      <c r="EE151" s="16" t="s">
        <v>284</v>
      </c>
      <c r="EF151" s="16" t="s">
        <v>326</v>
      </c>
      <c r="EG151" s="16" t="e">
        <v>#VALUE!</v>
      </c>
      <c r="EH151" s="16" t="s">
        <v>285</v>
      </c>
      <c r="EI151" s="16" t="s">
        <v>344</v>
      </c>
      <c r="EJ151" s="16" t="e">
        <v>#VALUE!</v>
      </c>
      <c r="EK151" s="16" t="s">
        <v>286</v>
      </c>
      <c r="EL151" s="16" t="s">
        <v>328</v>
      </c>
      <c r="EM151" s="16" t="e">
        <v>#VALUE!</v>
      </c>
      <c r="EN151" s="16" t="s">
        <v>287</v>
      </c>
      <c r="EO151" s="16" t="s">
        <v>328</v>
      </c>
      <c r="EP151" s="16" t="e">
        <v>#VALUE!</v>
      </c>
      <c r="EQ151" s="16"/>
      <c r="ER151" s="16"/>
      <c r="ES151" s="16"/>
    </row>
    <row r="152" spans="1:149" s="8" customFormat="1" ht="14.25" customHeight="1" x14ac:dyDescent="0.15">
      <c r="A152" s="179"/>
      <c r="B152" s="180"/>
      <c r="C152" s="40"/>
      <c r="D152" s="179"/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  <c r="R152" s="179"/>
      <c r="S152" s="179"/>
      <c r="T152" s="179"/>
      <c r="U152" s="179"/>
      <c r="V152" s="179"/>
      <c r="W152" s="179"/>
      <c r="X152" s="179"/>
      <c r="Y152" s="179"/>
      <c r="Z152" s="179"/>
      <c r="AA152" s="179"/>
      <c r="AB152" s="179">
        <v>17050505</v>
      </c>
      <c r="AC152" s="179" t="s">
        <v>384</v>
      </c>
      <c r="AD152" s="16" t="s">
        <v>330</v>
      </c>
      <c r="AE152" s="141" t="s">
        <v>291</v>
      </c>
      <c r="AF152" s="141" t="s">
        <v>314</v>
      </c>
      <c r="AG152" s="141"/>
      <c r="AH152" s="141"/>
      <c r="AI152" s="141"/>
      <c r="AJ152" s="141"/>
      <c r="AK152" s="141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79"/>
      <c r="BB152" s="179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79"/>
      <c r="CV152" s="179"/>
      <c r="CW152" s="16"/>
      <c r="CX152" s="16"/>
      <c r="CY152" s="16"/>
      <c r="CZ152" s="16"/>
      <c r="DA152" s="16"/>
      <c r="DB152" s="16"/>
      <c r="DC152" s="16"/>
      <c r="DD152" s="179"/>
      <c r="DE152" s="179"/>
      <c r="DF152" s="179"/>
      <c r="DG152" s="179"/>
      <c r="DH152" s="16"/>
      <c r="DI152" s="16"/>
      <c r="DJ152" s="1" t="b">
        <v>1</v>
      </c>
      <c r="DK152" s="16"/>
      <c r="DL152" s="16"/>
      <c r="DM152" s="16"/>
      <c r="DN152" s="16"/>
      <c r="DO152" s="16"/>
      <c r="DP152" s="96"/>
      <c r="DQ152" s="16"/>
      <c r="DR152" s="57" t="str">
        <f t="shared" si="3"/>
        <v/>
      </c>
      <c r="DS152" s="16"/>
      <c r="DT152" s="16"/>
      <c r="DU152" s="1" t="s">
        <v>280</v>
      </c>
      <c r="DV152" s="148"/>
      <c r="DW152" s="16"/>
      <c r="DX152" s="16"/>
      <c r="DY152" s="148"/>
      <c r="DZ152" s="16"/>
      <c r="EA152" s="148"/>
      <c r="EB152" s="148"/>
      <c r="EC152" s="148"/>
      <c r="ED152" s="148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</row>
    <row r="153" spans="1:149" s="8" customFormat="1" ht="14.25" customHeight="1" x14ac:dyDescent="0.15">
      <c r="A153" s="179"/>
      <c r="B153" s="180"/>
      <c r="C153" s="40"/>
      <c r="D153" s="179"/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  <c r="R153" s="179"/>
      <c r="S153" s="179"/>
      <c r="T153" s="179"/>
      <c r="U153" s="179"/>
      <c r="V153" s="179"/>
      <c r="W153" s="179"/>
      <c r="X153" s="179"/>
      <c r="Y153" s="179"/>
      <c r="Z153" s="179"/>
      <c r="AA153" s="179"/>
      <c r="AB153" s="179">
        <v>17050506</v>
      </c>
      <c r="AC153" s="179" t="s">
        <v>385</v>
      </c>
      <c r="AD153" s="16"/>
      <c r="AE153" s="16" t="s">
        <v>291</v>
      </c>
      <c r="AF153" s="16" t="s">
        <v>314</v>
      </c>
      <c r="AG153" s="16"/>
      <c r="AH153" s="16"/>
      <c r="AI153" s="16"/>
      <c r="AJ153" s="16">
        <v>8</v>
      </c>
      <c r="AK153" s="16"/>
      <c r="AL153" s="148"/>
      <c r="AM153" s="148"/>
      <c r="AN153" s="148"/>
      <c r="AO153" s="148"/>
      <c r="AP153" s="148"/>
      <c r="AQ153" s="148"/>
      <c r="AR153" s="148"/>
      <c r="AS153" s="16"/>
      <c r="AT153" s="16"/>
      <c r="AU153" s="148"/>
      <c r="AV153" s="148"/>
      <c r="AW153" s="148"/>
      <c r="AX153" s="148"/>
      <c r="AY153" s="148"/>
      <c r="AZ153" s="148"/>
      <c r="BA153" s="201"/>
      <c r="BB153" s="179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40"/>
      <c r="CL153" s="140"/>
      <c r="CM153" s="16"/>
      <c r="CN153" s="16"/>
      <c r="CO153" s="16"/>
      <c r="CP153" s="16"/>
      <c r="CQ153" s="16"/>
      <c r="CR153" s="16"/>
      <c r="CS153" s="16"/>
      <c r="CT153" s="16"/>
      <c r="CU153" s="179"/>
      <c r="CV153" s="179"/>
      <c r="CW153" s="16"/>
      <c r="CX153" s="159"/>
      <c r="CY153" s="16"/>
      <c r="CZ153" s="16"/>
      <c r="DA153" s="16"/>
      <c r="DB153" s="16"/>
      <c r="DC153" s="16"/>
      <c r="DD153" s="208"/>
      <c r="DE153" s="179"/>
      <c r="DF153" s="208"/>
      <c r="DG153" s="208"/>
      <c r="DH153" s="163"/>
      <c r="DI153" s="163"/>
      <c r="DJ153" s="1" t="b">
        <v>1</v>
      </c>
      <c r="DK153" s="16"/>
      <c r="DL153" s="16"/>
      <c r="DM153" s="16"/>
      <c r="DN153" s="16"/>
      <c r="DO153" s="16"/>
      <c r="DP153" s="96"/>
      <c r="DQ153" s="167"/>
      <c r="DR153" s="57" t="str">
        <f t="shared" si="3"/>
        <v/>
      </c>
      <c r="DS153" s="167"/>
      <c r="DT153" s="168"/>
      <c r="DU153" s="1" t="s">
        <v>280</v>
      </c>
      <c r="DV153" s="148"/>
      <c r="DW153" s="16"/>
      <c r="DX153" s="16"/>
      <c r="DY153" s="148"/>
      <c r="DZ153" s="175"/>
      <c r="EA153" s="176"/>
      <c r="EB153" s="176"/>
      <c r="EC153" s="176"/>
      <c r="ED153" s="176"/>
      <c r="EE153" s="16"/>
      <c r="EF153" s="16"/>
      <c r="EG153" s="16"/>
      <c r="EH153" s="16"/>
      <c r="EI153" s="16"/>
      <c r="EJ153" s="16"/>
      <c r="EK153" s="16"/>
      <c r="EL153" s="16"/>
      <c r="EM153" s="16"/>
      <c r="EN153" s="16"/>
      <c r="EO153" s="16"/>
      <c r="EP153" s="16"/>
      <c r="EQ153" s="16"/>
      <c r="ER153" s="16"/>
      <c r="ES153" s="16"/>
    </row>
    <row r="154" spans="1:149" s="8" customFormat="1" ht="14.25" customHeight="1" x14ac:dyDescent="0.15">
      <c r="A154" s="179"/>
      <c r="B154" s="180"/>
      <c r="C154" s="40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9"/>
      <c r="W154" s="179"/>
      <c r="X154" s="179"/>
      <c r="Y154" s="179"/>
      <c r="Z154" s="179"/>
      <c r="AA154" s="179"/>
      <c r="AB154" s="191">
        <v>17050507</v>
      </c>
      <c r="AC154" s="179" t="s">
        <v>386</v>
      </c>
      <c r="AD154" s="16" t="s">
        <v>330</v>
      </c>
      <c r="AE154" s="16" t="s">
        <v>291</v>
      </c>
      <c r="AF154" s="16" t="s">
        <v>314</v>
      </c>
      <c r="AG154" s="16"/>
      <c r="AH154" s="16"/>
      <c r="AI154" s="16"/>
      <c r="AJ154" s="141"/>
      <c r="AK154" s="141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79"/>
      <c r="BB154" s="179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79"/>
      <c r="CV154" s="179"/>
      <c r="CW154" s="16"/>
      <c r="CX154" s="16"/>
      <c r="CY154" s="16"/>
      <c r="CZ154" s="16"/>
      <c r="DA154" s="16"/>
      <c r="DB154" s="16"/>
      <c r="DC154" s="16"/>
      <c r="DD154" s="179"/>
      <c r="DE154" s="179"/>
      <c r="DF154" s="179"/>
      <c r="DG154" s="179"/>
      <c r="DH154" s="16"/>
      <c r="DI154" s="16"/>
      <c r="DJ154" s="1" t="b">
        <v>1</v>
      </c>
      <c r="DK154" s="16"/>
      <c r="DL154" s="16"/>
      <c r="DM154" s="16"/>
      <c r="DN154" s="16"/>
      <c r="DO154" s="16"/>
      <c r="DP154" s="96"/>
      <c r="DQ154" s="16"/>
      <c r="DR154" s="57" t="str">
        <f t="shared" si="3"/>
        <v/>
      </c>
      <c r="DS154" s="16"/>
      <c r="DT154" s="16"/>
      <c r="DU154" s="1" t="s">
        <v>280</v>
      </c>
      <c r="DV154" s="148"/>
      <c r="DW154" s="16"/>
      <c r="DX154" s="16"/>
      <c r="DY154" s="148"/>
      <c r="DZ154" s="16"/>
      <c r="EA154" s="148"/>
      <c r="EB154" s="148"/>
      <c r="EC154" s="148"/>
      <c r="ED154" s="148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</row>
    <row r="155" spans="1:149" s="8" customFormat="1" ht="14.25" customHeight="1" x14ac:dyDescent="0.15">
      <c r="A155" s="179">
        <v>170548</v>
      </c>
      <c r="B155" s="180" t="s">
        <v>462</v>
      </c>
      <c r="C155" s="40" t="s">
        <v>463</v>
      </c>
      <c r="D155" s="179" t="s">
        <v>497</v>
      </c>
      <c r="E155" s="179">
        <v>170520</v>
      </c>
      <c r="F155" s="179"/>
      <c r="G155" s="179"/>
      <c r="H155" s="179">
        <v>0</v>
      </c>
      <c r="I155" s="179"/>
      <c r="J155" s="179"/>
      <c r="K155" s="179"/>
      <c r="L155" s="179">
        <v>0</v>
      </c>
      <c r="M155" s="179"/>
      <c r="N155" s="179"/>
      <c r="O155" s="179"/>
      <c r="P155" s="179" t="s">
        <v>268</v>
      </c>
      <c r="Q155" s="179" t="s">
        <v>269</v>
      </c>
      <c r="R155" s="179"/>
      <c r="S155" s="179"/>
      <c r="T155" s="179"/>
      <c r="U155" s="179"/>
      <c r="V155" s="179"/>
      <c r="W155" s="179"/>
      <c r="X155" s="179">
        <v>1</v>
      </c>
      <c r="Y155" s="179">
        <v>0</v>
      </c>
      <c r="Z155" s="179">
        <v>0</v>
      </c>
      <c r="AA155" s="179"/>
      <c r="AB155" s="179">
        <v>3001</v>
      </c>
      <c r="AC155" s="191"/>
      <c r="AD155" s="16"/>
      <c r="AE155" s="16"/>
      <c r="AF155" s="16"/>
      <c r="AG155" s="16"/>
      <c r="AH155" s="16"/>
      <c r="AI155" s="16"/>
      <c r="AJ155" s="16"/>
      <c r="AK155" s="16"/>
      <c r="AL155" s="148"/>
      <c r="AM155" s="148"/>
      <c r="AN155" s="148"/>
      <c r="AO155" s="148"/>
      <c r="AP155" s="148"/>
      <c r="AQ155" s="148"/>
      <c r="AR155" s="148"/>
      <c r="AS155" s="16"/>
      <c r="AT155" s="16"/>
      <c r="AU155" s="148"/>
      <c r="AV155" s="148"/>
      <c r="AW155" s="148"/>
      <c r="AX155" s="148"/>
      <c r="AY155" s="148"/>
      <c r="AZ155" s="148"/>
      <c r="BA155" s="201" t="s">
        <v>270</v>
      </c>
      <c r="BB155" s="179">
        <v>150</v>
      </c>
      <c r="BC155" s="16">
        <v>0</v>
      </c>
      <c r="BD155" s="16"/>
      <c r="BE155" s="16"/>
      <c r="BF155" s="16">
        <v>0</v>
      </c>
      <c r="BG155" s="16">
        <v>0</v>
      </c>
      <c r="BH155" s="16">
        <v>0</v>
      </c>
      <c r="BI155" s="16"/>
      <c r="BJ155" s="16" t="s">
        <v>270</v>
      </c>
      <c r="BK155" s="16"/>
      <c r="BL155" s="16"/>
      <c r="BM155" s="16"/>
      <c r="BN155" s="16"/>
      <c r="BO155" s="16"/>
      <c r="BP155" s="16"/>
      <c r="BQ155" s="16"/>
      <c r="BR155" s="16"/>
      <c r="BS155" s="16" t="s">
        <v>270</v>
      </c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 t="s">
        <v>271</v>
      </c>
      <c r="CG155" s="16"/>
      <c r="CH155" s="16"/>
      <c r="CI155" s="16"/>
      <c r="CJ155" s="16" t="s">
        <v>1</v>
      </c>
      <c r="CK155" s="140" t="s">
        <v>464</v>
      </c>
      <c r="CL155" s="140"/>
      <c r="CM155" s="10">
        <v>999</v>
      </c>
      <c r="CN155" s="16">
        <v>0</v>
      </c>
      <c r="CO155" s="16">
        <v>0</v>
      </c>
      <c r="CP155" s="16">
        <v>0</v>
      </c>
      <c r="CQ155" s="16">
        <v>0</v>
      </c>
      <c r="CR155" s="16"/>
      <c r="CS155" s="16">
        <v>20</v>
      </c>
      <c r="CT155" s="16">
        <v>10</v>
      </c>
      <c r="CU155" s="179">
        <v>24</v>
      </c>
      <c r="CV155" s="23" t="s">
        <v>483</v>
      </c>
      <c r="CW155" s="16" t="b">
        <v>1</v>
      </c>
      <c r="CX155" s="16" t="s">
        <v>273</v>
      </c>
      <c r="CY155" s="16"/>
      <c r="CZ155" s="16"/>
      <c r="DA155" s="16"/>
      <c r="DB155" s="16">
        <v>170501</v>
      </c>
      <c r="DC155" s="16" t="b">
        <v>1</v>
      </c>
      <c r="DD155" s="22" t="s">
        <v>274</v>
      </c>
      <c r="DE155" s="22" t="s">
        <v>495</v>
      </c>
      <c r="DF155" s="22" t="s">
        <v>276</v>
      </c>
      <c r="DG155" s="22" t="s">
        <v>322</v>
      </c>
      <c r="DH155" s="16">
        <v>4</v>
      </c>
      <c r="DI155" s="16" t="b">
        <v>0</v>
      </c>
      <c r="DJ155" s="1" t="b">
        <v>1</v>
      </c>
      <c r="DK155" s="16"/>
      <c r="DL155" s="16"/>
      <c r="DM155" s="16"/>
      <c r="DN155" s="1"/>
      <c r="DO155" s="1"/>
      <c r="DP155" s="96" t="s">
        <v>475</v>
      </c>
      <c r="DQ155" s="140" t="s">
        <v>467</v>
      </c>
      <c r="DR155" s="57" t="e">
        <f t="shared" si="3"/>
        <v>#VALUE!</v>
      </c>
      <c r="DS155" s="16" t="s">
        <v>468</v>
      </c>
      <c r="DT155" s="16"/>
      <c r="DU155" s="1" t="s">
        <v>280</v>
      </c>
      <c r="DV155" s="148"/>
      <c r="DW155" s="16"/>
      <c r="DX155" s="16"/>
      <c r="DY155" s="1"/>
      <c r="DZ155" s="16">
        <v>1</v>
      </c>
      <c r="EA155" s="148">
        <v>-1</v>
      </c>
      <c r="EB155" s="148">
        <v>4.1666666666666699E-2</v>
      </c>
      <c r="EC155" s="148">
        <v>8.3333333333333301E-2</v>
      </c>
      <c r="ED155" s="148">
        <v>8.3333333333333301E-2</v>
      </c>
      <c r="EE155" s="16" t="s">
        <v>284</v>
      </c>
      <c r="EF155" s="16" t="s">
        <v>326</v>
      </c>
      <c r="EG155" s="16" t="e">
        <v>#VALUE!</v>
      </c>
      <c r="EH155" s="16" t="s">
        <v>285</v>
      </c>
      <c r="EI155" s="16" t="s">
        <v>327</v>
      </c>
      <c r="EJ155" s="16" t="e">
        <v>#VALUE!</v>
      </c>
      <c r="EK155" s="16" t="s">
        <v>286</v>
      </c>
      <c r="EL155" s="16" t="s">
        <v>328</v>
      </c>
      <c r="EM155" s="16" t="e">
        <v>#VALUE!</v>
      </c>
      <c r="EN155" s="16" t="s">
        <v>287</v>
      </c>
      <c r="EO155" s="16" t="s">
        <v>328</v>
      </c>
      <c r="EP155" s="16" t="e">
        <v>#VALUE!</v>
      </c>
      <c r="EQ155" s="16"/>
      <c r="ER155" s="16"/>
      <c r="ES155" s="16"/>
    </row>
    <row r="156" spans="1:149" s="8" customFormat="1" ht="14.25" customHeight="1" x14ac:dyDescent="0.15">
      <c r="A156" s="179"/>
      <c r="B156" s="180"/>
      <c r="C156" s="40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>
        <v>17050301</v>
      </c>
      <c r="AC156" s="179" t="s">
        <v>329</v>
      </c>
      <c r="AD156" s="16" t="s">
        <v>330</v>
      </c>
      <c r="AE156" s="16" t="s">
        <v>291</v>
      </c>
      <c r="AF156" s="16" t="s">
        <v>314</v>
      </c>
      <c r="AG156" s="16"/>
      <c r="AH156" s="16"/>
      <c r="AI156" s="16"/>
      <c r="AJ156" s="16"/>
      <c r="AK156" s="16"/>
      <c r="AL156" s="148"/>
      <c r="AM156" s="148"/>
      <c r="AN156" s="148"/>
      <c r="AO156" s="148"/>
      <c r="AP156" s="148"/>
      <c r="AQ156" s="148"/>
      <c r="AR156" s="148"/>
      <c r="AS156" s="16"/>
      <c r="AT156" s="16"/>
      <c r="AU156" s="148"/>
      <c r="AV156" s="148"/>
      <c r="AW156" s="148"/>
      <c r="AX156" s="148"/>
      <c r="AY156" s="148"/>
      <c r="AZ156" s="148"/>
      <c r="BA156" s="201" t="s">
        <v>331</v>
      </c>
      <c r="BB156" s="179">
        <v>2.8000000000000001E-2</v>
      </c>
      <c r="BC156" s="16">
        <v>0</v>
      </c>
      <c r="BD156" s="16"/>
      <c r="BE156" s="16"/>
      <c r="BF156" s="16">
        <v>0</v>
      </c>
      <c r="BG156" s="16">
        <v>0</v>
      </c>
      <c r="BH156" s="16">
        <v>0</v>
      </c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79"/>
      <c r="CV156" s="179"/>
      <c r="CW156" s="16"/>
      <c r="CX156" s="159"/>
      <c r="CY156" s="16"/>
      <c r="CZ156" s="16"/>
      <c r="DA156" s="16"/>
      <c r="DB156" s="16"/>
      <c r="DC156" s="16"/>
      <c r="DD156" s="179"/>
      <c r="DE156" s="179"/>
      <c r="DF156" s="179"/>
      <c r="DG156" s="179"/>
      <c r="DH156" s="16"/>
      <c r="DI156" s="159"/>
      <c r="DJ156" s="1" t="b">
        <v>1</v>
      </c>
      <c r="DK156" s="16"/>
      <c r="DL156" s="16"/>
      <c r="DM156" s="16"/>
      <c r="DN156" s="16"/>
      <c r="DO156" s="16"/>
      <c r="DP156" s="96"/>
      <c r="DQ156" s="140"/>
      <c r="DR156" s="57" t="str">
        <f t="shared" si="3"/>
        <v/>
      </c>
      <c r="DS156" s="16"/>
      <c r="DT156" s="16"/>
      <c r="DU156" s="1" t="s">
        <v>280</v>
      </c>
      <c r="DV156" s="148"/>
      <c r="DW156" s="16"/>
      <c r="DX156" s="16"/>
      <c r="DY156" s="148"/>
      <c r="DZ156" s="175"/>
      <c r="EA156" s="176"/>
      <c r="EB156" s="176"/>
      <c r="EC156" s="176"/>
      <c r="ED156" s="17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</row>
    <row r="157" spans="1:149" s="8" customFormat="1" ht="14.25" customHeight="1" x14ac:dyDescent="0.15">
      <c r="A157" s="179"/>
      <c r="B157" s="180"/>
      <c r="C157" s="40"/>
      <c r="D157" s="179"/>
      <c r="E157" s="179"/>
      <c r="F157" s="179"/>
      <c r="G157" s="179"/>
      <c r="H157" s="179"/>
      <c r="I157" s="179"/>
      <c r="J157" s="179"/>
      <c r="K157" s="179"/>
      <c r="L157" s="179"/>
      <c r="M157" s="179"/>
      <c r="N157" s="179"/>
      <c r="O157" s="179"/>
      <c r="P157" s="179"/>
      <c r="Q157" s="179"/>
      <c r="R157" s="179"/>
      <c r="S157" s="179"/>
      <c r="T157" s="179"/>
      <c r="U157" s="179"/>
      <c r="V157" s="179"/>
      <c r="W157" s="179"/>
      <c r="X157" s="179"/>
      <c r="Y157" s="179"/>
      <c r="Z157" s="179"/>
      <c r="AA157" s="179"/>
      <c r="AB157" s="179">
        <v>17050302</v>
      </c>
      <c r="AC157" s="179" t="s">
        <v>332</v>
      </c>
      <c r="AD157" s="16" t="s">
        <v>333</v>
      </c>
      <c r="AE157" s="16" t="s">
        <v>291</v>
      </c>
      <c r="AF157" s="16" t="s">
        <v>314</v>
      </c>
      <c r="AG157" s="16"/>
      <c r="AH157" s="16"/>
      <c r="AI157" s="16"/>
      <c r="AJ157" s="16">
        <v>-1</v>
      </c>
      <c r="AK157" s="16"/>
      <c r="AL157" s="148"/>
      <c r="AM157" s="149"/>
      <c r="AN157" s="149"/>
      <c r="AO157" s="149"/>
      <c r="AP157" s="149"/>
      <c r="AQ157" s="149"/>
      <c r="AR157" s="149"/>
      <c r="AS157" s="16"/>
      <c r="AT157" s="16"/>
      <c r="AU157" s="148"/>
      <c r="AV157" s="148"/>
      <c r="AW157" s="148"/>
      <c r="AX157" s="148"/>
      <c r="AY157" s="148"/>
      <c r="AZ157" s="148"/>
      <c r="BA157" s="201"/>
      <c r="BB157" s="179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79"/>
      <c r="CV157" s="179"/>
      <c r="CW157" s="16"/>
      <c r="CX157" s="16"/>
      <c r="CY157" s="16"/>
      <c r="CZ157" s="16"/>
      <c r="DA157" s="16"/>
      <c r="DB157" s="16"/>
      <c r="DC157" s="16"/>
      <c r="DD157" s="179"/>
      <c r="DE157" s="179"/>
      <c r="DF157" s="179"/>
      <c r="DG157" s="179"/>
      <c r="DH157" s="16"/>
      <c r="DI157" s="16"/>
      <c r="DJ157" s="1" t="b">
        <v>1</v>
      </c>
      <c r="DK157" s="16"/>
      <c r="DL157" s="16"/>
      <c r="DM157" s="16"/>
      <c r="DN157" s="16"/>
      <c r="DO157" s="16"/>
      <c r="DP157" s="96"/>
      <c r="DQ157" s="140"/>
      <c r="DR157" s="57" t="str">
        <f t="shared" si="3"/>
        <v/>
      </c>
      <c r="DS157" s="16"/>
      <c r="DT157" s="16"/>
      <c r="DU157" s="1" t="s">
        <v>280</v>
      </c>
      <c r="DV157" s="148"/>
      <c r="DW157" s="16"/>
      <c r="DX157" s="16"/>
      <c r="DY157" s="148"/>
      <c r="DZ157" s="16"/>
      <c r="EA157" s="148"/>
      <c r="EB157" s="148"/>
      <c r="EC157" s="148"/>
      <c r="ED157" s="148"/>
      <c r="EE157" s="16"/>
      <c r="EF157" s="16"/>
      <c r="EG157" s="16"/>
      <c r="EH157" s="16"/>
      <c r="EI157" s="16"/>
      <c r="EJ157" s="16"/>
      <c r="EK157" s="16"/>
      <c r="EL157" s="16"/>
      <c r="EM157" s="16"/>
      <c r="EN157" s="16"/>
      <c r="EO157" s="16"/>
      <c r="EP157" s="16"/>
      <c r="EQ157" s="16"/>
      <c r="ER157" s="16"/>
      <c r="ES157" s="16"/>
    </row>
    <row r="158" spans="1:149" s="10" customFormat="1" ht="14.25" customHeight="1" x14ac:dyDescent="0.15">
      <c r="A158" s="182">
        <v>170549</v>
      </c>
      <c r="B158" s="183" t="s">
        <v>476</v>
      </c>
      <c r="C158" s="40" t="s">
        <v>477</v>
      </c>
      <c r="D158" s="182" t="s">
        <v>498</v>
      </c>
      <c r="E158" s="182">
        <v>170518</v>
      </c>
      <c r="F158" s="182"/>
      <c r="G158" s="182"/>
      <c r="H158" s="182">
        <v>0</v>
      </c>
      <c r="I158" s="182"/>
      <c r="J158" s="182"/>
      <c r="K158" s="182"/>
      <c r="L158" s="182">
        <v>0</v>
      </c>
      <c r="M158" s="182"/>
      <c r="N158" s="182"/>
      <c r="O158" s="182"/>
      <c r="P158" s="182" t="s">
        <v>268</v>
      </c>
      <c r="Q158" s="182" t="s">
        <v>269</v>
      </c>
      <c r="R158" s="182"/>
      <c r="S158" s="182"/>
      <c r="T158" s="182"/>
      <c r="U158" s="182"/>
      <c r="V158" s="182"/>
      <c r="W158" s="182"/>
      <c r="X158" s="182">
        <v>1</v>
      </c>
      <c r="Y158" s="182">
        <v>0</v>
      </c>
      <c r="Z158" s="182">
        <v>0</v>
      </c>
      <c r="AA158" s="182"/>
      <c r="AB158" s="182">
        <v>3001</v>
      </c>
      <c r="AC158" s="192" t="s">
        <v>337</v>
      </c>
      <c r="AE158" s="10" t="s">
        <v>129</v>
      </c>
      <c r="AF158" s="10" t="s">
        <v>314</v>
      </c>
      <c r="AL158" s="68"/>
      <c r="AM158" s="68"/>
      <c r="AN158" s="68"/>
      <c r="AO158" s="68"/>
      <c r="AP158" s="68"/>
      <c r="AQ158" s="68"/>
      <c r="AR158" s="68"/>
      <c r="AU158" s="68"/>
      <c r="AV158" s="68"/>
      <c r="AW158" s="68"/>
      <c r="AX158" s="68"/>
      <c r="AY158" s="68"/>
      <c r="AZ158" s="68"/>
      <c r="BA158" s="202" t="s">
        <v>270</v>
      </c>
      <c r="BB158" s="182">
        <v>100</v>
      </c>
      <c r="BC158" s="10">
        <v>0</v>
      </c>
      <c r="BF158" s="10">
        <v>0</v>
      </c>
      <c r="BG158" s="10">
        <v>0</v>
      </c>
      <c r="BH158" s="10">
        <v>0</v>
      </c>
      <c r="BJ158" s="10" t="s">
        <v>270</v>
      </c>
      <c r="BS158" s="10" t="s">
        <v>270</v>
      </c>
      <c r="CF158" s="10" t="s">
        <v>271</v>
      </c>
      <c r="CJ158" s="10" t="s">
        <v>3</v>
      </c>
      <c r="CK158" s="58" t="s">
        <v>443</v>
      </c>
      <c r="CL158" s="58"/>
      <c r="CM158" s="10">
        <v>999</v>
      </c>
      <c r="CN158" s="10">
        <v>0</v>
      </c>
      <c r="CO158" s="10">
        <v>0</v>
      </c>
      <c r="CP158" s="10">
        <v>0</v>
      </c>
      <c r="CQ158" s="10">
        <v>0</v>
      </c>
      <c r="CS158" s="10">
        <v>15</v>
      </c>
      <c r="CU158" s="182">
        <v>15</v>
      </c>
      <c r="CV158" s="182" t="s">
        <v>479</v>
      </c>
      <c r="CW158" s="10" t="b">
        <v>0</v>
      </c>
      <c r="CX158" s="10" t="s">
        <v>273</v>
      </c>
      <c r="DB158" s="10">
        <v>100300</v>
      </c>
      <c r="DC158" s="10" t="b">
        <v>1</v>
      </c>
      <c r="DD158" s="182" t="s">
        <v>274</v>
      </c>
      <c r="DE158" s="182" t="s">
        <v>340</v>
      </c>
      <c r="DF158" s="182" t="s">
        <v>276</v>
      </c>
      <c r="DG158" s="182" t="s">
        <v>277</v>
      </c>
      <c r="DH158" s="10">
        <v>4</v>
      </c>
      <c r="DI158" s="10" t="b">
        <v>0</v>
      </c>
      <c r="DJ158" s="1" t="b">
        <v>1</v>
      </c>
      <c r="DP158" s="96" t="s">
        <v>471</v>
      </c>
      <c r="DQ158" s="58" t="s">
        <v>446</v>
      </c>
      <c r="DR158" s="57" t="e">
        <f t="shared" si="3"/>
        <v>#VALUE!</v>
      </c>
      <c r="DS158" s="10" t="s">
        <v>447</v>
      </c>
      <c r="DU158" s="1" t="s">
        <v>280</v>
      </c>
      <c r="DV158" s="68"/>
      <c r="DZ158" s="10">
        <v>1</v>
      </c>
      <c r="EA158" s="68">
        <v>-1</v>
      </c>
      <c r="EB158" s="68">
        <v>4.1666666666666699E-2</v>
      </c>
      <c r="EC158" s="68">
        <v>8.3333333333333301E-2</v>
      </c>
      <c r="ED158" s="68">
        <v>8.3333333333333301E-2</v>
      </c>
      <c r="EE158" s="10" t="s">
        <v>284</v>
      </c>
      <c r="EF158" s="10" t="s">
        <v>326</v>
      </c>
      <c r="EG158" s="10" t="e">
        <v>#VALUE!</v>
      </c>
      <c r="EH158" s="10" t="s">
        <v>285</v>
      </c>
      <c r="EI158" s="10" t="s">
        <v>344</v>
      </c>
      <c r="EJ158" s="10" t="e">
        <v>#VALUE!</v>
      </c>
      <c r="EK158" s="10" t="s">
        <v>286</v>
      </c>
      <c r="EL158" s="10" t="s">
        <v>345</v>
      </c>
      <c r="EM158" s="10" t="e">
        <v>#VALUE!</v>
      </c>
      <c r="EN158" s="10" t="s">
        <v>287</v>
      </c>
      <c r="EO158" s="10" t="s">
        <v>345</v>
      </c>
      <c r="EP158" s="10" t="e">
        <v>#VALUE!</v>
      </c>
    </row>
    <row r="159" spans="1:149" s="10" customFormat="1" ht="14.25" customHeight="1" x14ac:dyDescent="0.15">
      <c r="A159" s="182"/>
      <c r="B159" s="184"/>
      <c r="C159" s="40"/>
      <c r="D159" s="182"/>
      <c r="E159" s="182"/>
      <c r="F159" s="182"/>
      <c r="G159" s="182"/>
      <c r="H159" s="182"/>
      <c r="I159" s="182"/>
      <c r="J159" s="182"/>
      <c r="K159" s="182"/>
      <c r="L159" s="182"/>
      <c r="M159" s="182"/>
      <c r="N159" s="182"/>
      <c r="O159" s="182"/>
      <c r="P159" s="182"/>
      <c r="Q159" s="182"/>
      <c r="R159" s="182"/>
      <c r="S159" s="182"/>
      <c r="T159" s="182"/>
      <c r="U159" s="182"/>
      <c r="V159" s="182"/>
      <c r="W159" s="182"/>
      <c r="X159" s="182"/>
      <c r="Y159" s="182"/>
      <c r="Z159" s="182"/>
      <c r="AA159" s="182"/>
      <c r="AB159" s="182">
        <v>10240102</v>
      </c>
      <c r="AC159" s="182" t="s">
        <v>346</v>
      </c>
      <c r="AE159" s="10" t="s">
        <v>129</v>
      </c>
      <c r="AF159" s="10" t="s">
        <v>314</v>
      </c>
      <c r="AJ159" s="10">
        <v>3</v>
      </c>
      <c r="AL159" s="68"/>
      <c r="AM159" s="68"/>
      <c r="AN159" s="68"/>
      <c r="AO159" s="68"/>
      <c r="AP159" s="68"/>
      <c r="AQ159" s="68"/>
      <c r="AR159" s="68"/>
      <c r="AU159" s="68"/>
      <c r="AV159" s="68"/>
      <c r="AW159" s="68"/>
      <c r="AX159" s="68"/>
      <c r="AY159" s="68"/>
      <c r="AZ159" s="68"/>
      <c r="BA159" s="202"/>
      <c r="BB159" s="182"/>
      <c r="CK159" s="58"/>
      <c r="CL159" s="58"/>
      <c r="CU159" s="182"/>
      <c r="CV159" s="182"/>
      <c r="CX159" s="89"/>
      <c r="DD159" s="182"/>
      <c r="DE159" s="182"/>
      <c r="DF159" s="182"/>
      <c r="DG159" s="182"/>
      <c r="DI159" s="89"/>
      <c r="DJ159" s="1" t="b">
        <v>1</v>
      </c>
      <c r="DM159" s="59"/>
      <c r="DN159" s="59"/>
      <c r="DO159" s="59"/>
      <c r="DP159" s="94"/>
      <c r="DQ159" s="58"/>
      <c r="DR159" s="57" t="str">
        <f t="shared" si="3"/>
        <v/>
      </c>
      <c r="DS159" s="58"/>
      <c r="DT159" s="99"/>
      <c r="DU159" s="1" t="s">
        <v>280</v>
      </c>
      <c r="DV159" s="68"/>
      <c r="DY159" s="68"/>
      <c r="DZ159" s="113"/>
      <c r="EA159" s="114"/>
      <c r="EB159" s="114"/>
      <c r="EC159" s="114"/>
      <c r="ED159" s="114"/>
    </row>
    <row r="160" spans="1:149" s="10" customFormat="1" ht="14.25" customHeight="1" x14ac:dyDescent="0.15">
      <c r="A160" s="182">
        <v>170550</v>
      </c>
      <c r="B160" s="183" t="s">
        <v>456</v>
      </c>
      <c r="C160" s="40" t="s">
        <v>457</v>
      </c>
      <c r="D160" s="182" t="s">
        <v>498</v>
      </c>
      <c r="E160" s="182">
        <v>170519</v>
      </c>
      <c r="F160" s="182"/>
      <c r="G160" s="182"/>
      <c r="H160" s="182">
        <v>0</v>
      </c>
      <c r="I160" s="182"/>
      <c r="J160" s="182"/>
      <c r="K160" s="182"/>
      <c r="L160" s="182">
        <v>0</v>
      </c>
      <c r="M160" s="182"/>
      <c r="N160" s="182"/>
      <c r="O160" s="182"/>
      <c r="P160" s="182" t="s">
        <v>268</v>
      </c>
      <c r="Q160" s="182" t="s">
        <v>269</v>
      </c>
      <c r="R160" s="182"/>
      <c r="S160" s="182"/>
      <c r="T160" s="182"/>
      <c r="U160" s="182"/>
      <c r="V160" s="182"/>
      <c r="W160" s="182"/>
      <c r="X160" s="182">
        <v>1</v>
      </c>
      <c r="Y160" s="182">
        <v>0</v>
      </c>
      <c r="Z160" s="182">
        <v>0</v>
      </c>
      <c r="AA160" s="182"/>
      <c r="AB160" s="182">
        <v>3001</v>
      </c>
      <c r="AC160" s="182" t="s">
        <v>337</v>
      </c>
      <c r="AD160" s="10" t="s">
        <v>330</v>
      </c>
      <c r="AE160" s="59"/>
      <c r="AF160" s="59"/>
      <c r="AG160" s="59"/>
      <c r="AH160" s="59"/>
      <c r="AI160" s="59"/>
      <c r="AJ160" s="59"/>
      <c r="AK160" s="59"/>
      <c r="BA160" s="182" t="s">
        <v>270</v>
      </c>
      <c r="BB160" s="182">
        <v>75</v>
      </c>
      <c r="BC160" s="10">
        <v>0</v>
      </c>
      <c r="BF160" s="10">
        <v>0</v>
      </c>
      <c r="BG160" s="10">
        <v>0</v>
      </c>
      <c r="BH160" s="10">
        <v>0</v>
      </c>
      <c r="BJ160" s="10" t="s">
        <v>270</v>
      </c>
      <c r="BS160" s="10" t="s">
        <v>270</v>
      </c>
      <c r="CF160" s="10" t="s">
        <v>378</v>
      </c>
      <c r="CJ160" s="10" t="s">
        <v>1</v>
      </c>
      <c r="CK160" s="58" t="s">
        <v>379</v>
      </c>
      <c r="CL160" s="58"/>
      <c r="CM160" s="10">
        <v>999</v>
      </c>
      <c r="CN160" s="10">
        <v>0</v>
      </c>
      <c r="CO160" s="10">
        <v>0</v>
      </c>
      <c r="CP160" s="10">
        <v>0</v>
      </c>
      <c r="CQ160" s="10">
        <v>0</v>
      </c>
      <c r="CS160" s="10">
        <v>5</v>
      </c>
      <c r="CU160" s="182">
        <v>20</v>
      </c>
      <c r="CV160" s="182" t="s">
        <v>481</v>
      </c>
      <c r="CW160" s="10" t="b">
        <v>0</v>
      </c>
      <c r="CX160" s="10" t="s">
        <v>273</v>
      </c>
      <c r="DB160" s="10">
        <v>102401</v>
      </c>
      <c r="DC160" s="10" t="b">
        <v>1</v>
      </c>
      <c r="DD160" s="182" t="s">
        <v>274</v>
      </c>
      <c r="DE160" s="182" t="s">
        <v>380</v>
      </c>
      <c r="DF160" s="182" t="s">
        <v>276</v>
      </c>
      <c r="DG160" s="182" t="s">
        <v>293</v>
      </c>
      <c r="DH160" s="10">
        <v>4</v>
      </c>
      <c r="DI160" s="10" t="b">
        <v>0</v>
      </c>
      <c r="DJ160" s="1" t="b">
        <v>1</v>
      </c>
      <c r="DP160" s="96" t="s">
        <v>473</v>
      </c>
      <c r="DQ160" s="10" t="s">
        <v>460</v>
      </c>
      <c r="DR160" s="57" t="e">
        <f t="shared" si="3"/>
        <v>#VALUE!</v>
      </c>
      <c r="DS160" s="10" t="s">
        <v>461</v>
      </c>
      <c r="DU160" s="1" t="s">
        <v>280</v>
      </c>
      <c r="DV160" s="68"/>
      <c r="DZ160" s="10">
        <v>1</v>
      </c>
      <c r="EA160" s="68">
        <v>-1</v>
      </c>
      <c r="EB160" s="68">
        <v>4.1666666666666699E-2</v>
      </c>
      <c r="EC160" s="68">
        <v>8.3333333333333301E-2</v>
      </c>
      <c r="ED160" s="68">
        <v>8.3333333333333301E-2</v>
      </c>
      <c r="EE160" s="10" t="s">
        <v>284</v>
      </c>
      <c r="EF160" s="10" t="s">
        <v>326</v>
      </c>
      <c r="EG160" s="10" t="e">
        <v>#VALUE!</v>
      </c>
      <c r="EH160" s="10" t="s">
        <v>285</v>
      </c>
      <c r="EI160" s="10" t="s">
        <v>344</v>
      </c>
      <c r="EJ160" s="10" t="e">
        <v>#VALUE!</v>
      </c>
      <c r="EK160" s="10" t="s">
        <v>286</v>
      </c>
      <c r="EL160" s="10" t="s">
        <v>328</v>
      </c>
      <c r="EM160" s="10" t="e">
        <v>#VALUE!</v>
      </c>
      <c r="EN160" s="10" t="s">
        <v>287</v>
      </c>
      <c r="EO160" s="10" t="s">
        <v>328</v>
      </c>
      <c r="EP160" s="10" t="e">
        <v>#VALUE!</v>
      </c>
    </row>
    <row r="161" spans="1:149" s="10" customFormat="1" ht="14.25" customHeight="1" x14ac:dyDescent="0.15">
      <c r="A161" s="182"/>
      <c r="B161" s="183"/>
      <c r="C161" s="40"/>
      <c r="D161" s="182"/>
      <c r="E161" s="182"/>
      <c r="F161" s="182"/>
      <c r="G161" s="182"/>
      <c r="H161" s="182"/>
      <c r="I161" s="182"/>
      <c r="J161" s="182"/>
      <c r="K161" s="182"/>
      <c r="L161" s="182"/>
      <c r="M161" s="182"/>
      <c r="N161" s="182"/>
      <c r="O161" s="182"/>
      <c r="P161" s="182"/>
      <c r="Q161" s="182"/>
      <c r="R161" s="182"/>
      <c r="S161" s="182"/>
      <c r="T161" s="182"/>
      <c r="U161" s="182"/>
      <c r="V161" s="182"/>
      <c r="W161" s="182"/>
      <c r="X161" s="182"/>
      <c r="Y161" s="182"/>
      <c r="Z161" s="182"/>
      <c r="AA161" s="182"/>
      <c r="AB161" s="182">
        <v>17050505</v>
      </c>
      <c r="AC161" s="182" t="s">
        <v>384</v>
      </c>
      <c r="AD161" s="10" t="s">
        <v>330</v>
      </c>
      <c r="AE161" s="59" t="s">
        <v>291</v>
      </c>
      <c r="AF161" s="59" t="s">
        <v>314</v>
      </c>
      <c r="AG161" s="59"/>
      <c r="AH161" s="59"/>
      <c r="AI161" s="59"/>
      <c r="AJ161" s="59"/>
      <c r="AK161" s="59"/>
      <c r="BA161" s="182"/>
      <c r="BB161" s="182"/>
      <c r="CU161" s="182"/>
      <c r="CV161" s="182"/>
      <c r="DD161" s="182"/>
      <c r="DE161" s="182"/>
      <c r="DF161" s="182"/>
      <c r="DG161" s="182"/>
      <c r="DJ161" s="1" t="b">
        <v>1</v>
      </c>
      <c r="DP161" s="96"/>
      <c r="DR161" s="57" t="str">
        <f t="shared" si="3"/>
        <v/>
      </c>
      <c r="DU161" s="1" t="s">
        <v>280</v>
      </c>
      <c r="DV161" s="68"/>
      <c r="DY161" s="68"/>
      <c r="EA161" s="68"/>
      <c r="EB161" s="68"/>
      <c r="EC161" s="68"/>
      <c r="ED161" s="68"/>
    </row>
    <row r="162" spans="1:149" s="10" customFormat="1" ht="14.25" customHeight="1" x14ac:dyDescent="0.15">
      <c r="A162" s="182"/>
      <c r="B162" s="183"/>
      <c r="C162" s="40"/>
      <c r="D162" s="182"/>
      <c r="E162" s="182"/>
      <c r="F162" s="182"/>
      <c r="G162" s="182"/>
      <c r="H162" s="182"/>
      <c r="I162" s="182"/>
      <c r="J162" s="182"/>
      <c r="K162" s="182"/>
      <c r="L162" s="182"/>
      <c r="M162" s="182"/>
      <c r="N162" s="182"/>
      <c r="O162" s="182"/>
      <c r="P162" s="182"/>
      <c r="Q162" s="182"/>
      <c r="R162" s="182"/>
      <c r="S162" s="182"/>
      <c r="T162" s="182"/>
      <c r="U162" s="182"/>
      <c r="V162" s="182"/>
      <c r="W162" s="182"/>
      <c r="X162" s="182"/>
      <c r="Y162" s="182"/>
      <c r="Z162" s="182"/>
      <c r="AA162" s="182"/>
      <c r="AB162" s="182">
        <v>17050506</v>
      </c>
      <c r="AC162" s="182" t="s">
        <v>385</v>
      </c>
      <c r="AE162" s="10" t="s">
        <v>291</v>
      </c>
      <c r="AF162" s="10" t="s">
        <v>314</v>
      </c>
      <c r="AJ162" s="10">
        <v>8</v>
      </c>
      <c r="AL162" s="68"/>
      <c r="AM162" s="68"/>
      <c r="AN162" s="68"/>
      <c r="AO162" s="68"/>
      <c r="AP162" s="68"/>
      <c r="AQ162" s="68"/>
      <c r="AR162" s="68"/>
      <c r="AU162" s="68"/>
      <c r="AV162" s="68"/>
      <c r="AW162" s="68"/>
      <c r="AX162" s="68"/>
      <c r="AY162" s="68"/>
      <c r="AZ162" s="68"/>
      <c r="BA162" s="202"/>
      <c r="BB162" s="182"/>
      <c r="CK162" s="58"/>
      <c r="CL162" s="58"/>
      <c r="CU162" s="182"/>
      <c r="CV162" s="182"/>
      <c r="CX162" s="89"/>
      <c r="DD162" s="209"/>
      <c r="DE162" s="182"/>
      <c r="DF162" s="209"/>
      <c r="DG162" s="209"/>
      <c r="DH162" s="93"/>
      <c r="DI162" s="93"/>
      <c r="DJ162" s="1" t="b">
        <v>1</v>
      </c>
      <c r="DP162" s="96"/>
      <c r="DQ162" s="105"/>
      <c r="DR162" s="57" t="str">
        <f t="shared" si="3"/>
        <v/>
      </c>
      <c r="DS162" s="105"/>
      <c r="DT162" s="106"/>
      <c r="DU162" s="1" t="s">
        <v>280</v>
      </c>
      <c r="DV162" s="68"/>
      <c r="DY162" s="68"/>
      <c r="DZ162" s="113"/>
      <c r="EA162" s="114"/>
      <c r="EB162" s="114"/>
      <c r="EC162" s="114"/>
      <c r="ED162" s="114"/>
    </row>
    <row r="163" spans="1:149" s="10" customFormat="1" ht="14.25" customHeight="1" x14ac:dyDescent="0.15">
      <c r="A163" s="182"/>
      <c r="B163" s="183"/>
      <c r="C163" s="40"/>
      <c r="D163" s="182"/>
      <c r="E163" s="182"/>
      <c r="F163" s="182"/>
      <c r="G163" s="182"/>
      <c r="H163" s="182"/>
      <c r="I163" s="182"/>
      <c r="J163" s="182"/>
      <c r="K163" s="182"/>
      <c r="L163" s="182"/>
      <c r="M163" s="182"/>
      <c r="N163" s="182"/>
      <c r="O163" s="182"/>
      <c r="P163" s="182"/>
      <c r="Q163" s="182"/>
      <c r="R163" s="182"/>
      <c r="S163" s="182"/>
      <c r="T163" s="182"/>
      <c r="U163" s="182"/>
      <c r="V163" s="182"/>
      <c r="W163" s="182"/>
      <c r="X163" s="182"/>
      <c r="Y163" s="182"/>
      <c r="Z163" s="182"/>
      <c r="AA163" s="182"/>
      <c r="AB163" s="192">
        <v>17050507</v>
      </c>
      <c r="AC163" s="182" t="s">
        <v>386</v>
      </c>
      <c r="AD163" s="10" t="s">
        <v>330</v>
      </c>
      <c r="AE163" s="10" t="s">
        <v>291</v>
      </c>
      <c r="AF163" s="10" t="s">
        <v>314</v>
      </c>
      <c r="AJ163" s="59"/>
      <c r="AK163" s="59"/>
      <c r="BA163" s="182"/>
      <c r="BB163" s="182"/>
      <c r="CU163" s="182"/>
      <c r="CV163" s="182"/>
      <c r="DD163" s="182"/>
      <c r="DE163" s="182"/>
      <c r="DF163" s="182"/>
      <c r="DG163" s="182"/>
      <c r="DJ163" s="1" t="b">
        <v>1</v>
      </c>
      <c r="DP163" s="96"/>
      <c r="DR163" s="57" t="str">
        <f t="shared" si="3"/>
        <v/>
      </c>
      <c r="DU163" s="1" t="s">
        <v>280</v>
      </c>
      <c r="DV163" s="68"/>
      <c r="DY163" s="68"/>
      <c r="EA163" s="68"/>
      <c r="EB163" s="68"/>
      <c r="EC163" s="68"/>
      <c r="ED163" s="68"/>
    </row>
    <row r="164" spans="1:149" s="10" customFormat="1" ht="14.25" customHeight="1" x14ac:dyDescent="0.15">
      <c r="A164" s="182">
        <v>170551</v>
      </c>
      <c r="B164" s="183" t="s">
        <v>462</v>
      </c>
      <c r="C164" s="40" t="s">
        <v>463</v>
      </c>
      <c r="D164" s="182" t="s">
        <v>498</v>
      </c>
      <c r="E164" s="182">
        <v>170520</v>
      </c>
      <c r="F164" s="182"/>
      <c r="G164" s="182"/>
      <c r="H164" s="182">
        <v>0</v>
      </c>
      <c r="I164" s="182"/>
      <c r="J164" s="182"/>
      <c r="K164" s="182"/>
      <c r="L164" s="182">
        <v>0</v>
      </c>
      <c r="M164" s="182"/>
      <c r="N164" s="182"/>
      <c r="O164" s="182"/>
      <c r="P164" s="182" t="s">
        <v>268</v>
      </c>
      <c r="Q164" s="182" t="s">
        <v>269</v>
      </c>
      <c r="R164" s="182"/>
      <c r="S164" s="182"/>
      <c r="T164" s="182"/>
      <c r="U164" s="182"/>
      <c r="V164" s="182"/>
      <c r="W164" s="182"/>
      <c r="X164" s="182">
        <v>1</v>
      </c>
      <c r="Y164" s="182">
        <v>0</v>
      </c>
      <c r="Z164" s="182">
        <v>0</v>
      </c>
      <c r="AA164" s="182"/>
      <c r="AB164" s="182">
        <v>3001</v>
      </c>
      <c r="AC164" s="192"/>
      <c r="AL164" s="68"/>
      <c r="AM164" s="68"/>
      <c r="AN164" s="68"/>
      <c r="AO164" s="68"/>
      <c r="AP164" s="68"/>
      <c r="AQ164" s="68"/>
      <c r="AR164" s="68"/>
      <c r="AU164" s="68"/>
      <c r="AV164" s="68"/>
      <c r="AW164" s="68"/>
      <c r="AX164" s="68"/>
      <c r="AY164" s="68"/>
      <c r="AZ164" s="68"/>
      <c r="BA164" s="202" t="s">
        <v>270</v>
      </c>
      <c r="BB164" s="182">
        <v>150</v>
      </c>
      <c r="BC164" s="10">
        <v>0</v>
      </c>
      <c r="BF164" s="10">
        <v>0</v>
      </c>
      <c r="BG164" s="10">
        <v>0</v>
      </c>
      <c r="BH164" s="10">
        <v>0</v>
      </c>
      <c r="BJ164" s="10" t="s">
        <v>270</v>
      </c>
      <c r="BS164" s="10" t="s">
        <v>270</v>
      </c>
      <c r="CF164" s="10" t="s">
        <v>271</v>
      </c>
      <c r="CJ164" s="10" t="s">
        <v>1</v>
      </c>
      <c r="CK164" s="58" t="s">
        <v>464</v>
      </c>
      <c r="CL164" s="58"/>
      <c r="CM164" s="10">
        <v>999</v>
      </c>
      <c r="CN164" s="10">
        <v>0</v>
      </c>
      <c r="CO164" s="10">
        <v>0</v>
      </c>
      <c r="CP164" s="10">
        <v>0</v>
      </c>
      <c r="CQ164" s="10">
        <v>0</v>
      </c>
      <c r="CS164" s="10">
        <v>20</v>
      </c>
      <c r="CT164" s="10">
        <v>10</v>
      </c>
      <c r="CU164" s="182">
        <v>24</v>
      </c>
      <c r="CV164" s="182" t="s">
        <v>483</v>
      </c>
      <c r="CW164" s="10" t="b">
        <v>1</v>
      </c>
      <c r="CX164" s="10" t="s">
        <v>273</v>
      </c>
      <c r="DB164" s="10">
        <v>170501</v>
      </c>
      <c r="DC164" s="10" t="b">
        <v>1</v>
      </c>
      <c r="DD164" s="182" t="s">
        <v>274</v>
      </c>
      <c r="DE164" s="182" t="s">
        <v>495</v>
      </c>
      <c r="DF164" s="182" t="s">
        <v>276</v>
      </c>
      <c r="DG164" s="182" t="s">
        <v>322</v>
      </c>
      <c r="DH164" s="10">
        <v>4</v>
      </c>
      <c r="DI164" s="10" t="b">
        <v>0</v>
      </c>
      <c r="DJ164" s="1" t="b">
        <v>1</v>
      </c>
      <c r="DP164" s="96" t="s">
        <v>475</v>
      </c>
      <c r="DQ164" s="58" t="s">
        <v>467</v>
      </c>
      <c r="DR164" s="57" t="e">
        <f t="shared" si="3"/>
        <v>#VALUE!</v>
      </c>
      <c r="DS164" s="10" t="s">
        <v>468</v>
      </c>
      <c r="DU164" s="1" t="s">
        <v>280</v>
      </c>
      <c r="DV164" s="68"/>
      <c r="DZ164" s="10">
        <v>1</v>
      </c>
      <c r="EA164" s="68">
        <v>-1</v>
      </c>
      <c r="EB164" s="68">
        <v>4.1666666666666699E-2</v>
      </c>
      <c r="EC164" s="68">
        <v>8.3333333333333301E-2</v>
      </c>
      <c r="ED164" s="68">
        <v>8.3333333333333301E-2</v>
      </c>
      <c r="EE164" s="10" t="s">
        <v>284</v>
      </c>
      <c r="EF164" s="10" t="s">
        <v>326</v>
      </c>
      <c r="EG164" s="10" t="e">
        <v>#VALUE!</v>
      </c>
      <c r="EH164" s="10" t="s">
        <v>285</v>
      </c>
      <c r="EI164" s="10" t="s">
        <v>327</v>
      </c>
      <c r="EJ164" s="10" t="e">
        <v>#VALUE!</v>
      </c>
      <c r="EK164" s="10" t="s">
        <v>286</v>
      </c>
      <c r="EL164" s="10" t="s">
        <v>328</v>
      </c>
      <c r="EM164" s="10" t="e">
        <v>#VALUE!</v>
      </c>
      <c r="EN164" s="10" t="s">
        <v>287</v>
      </c>
      <c r="EO164" s="10" t="s">
        <v>328</v>
      </c>
      <c r="EP164" s="10" t="e">
        <v>#VALUE!</v>
      </c>
    </row>
    <row r="165" spans="1:149" s="10" customFormat="1" ht="14.25" customHeight="1" x14ac:dyDescent="0.15">
      <c r="A165" s="182"/>
      <c r="B165" s="183"/>
      <c r="C165" s="40"/>
      <c r="D165" s="182"/>
      <c r="E165" s="182"/>
      <c r="F165" s="182"/>
      <c r="G165" s="182"/>
      <c r="H165" s="182"/>
      <c r="I165" s="182"/>
      <c r="J165" s="182"/>
      <c r="K165" s="182"/>
      <c r="L165" s="182"/>
      <c r="M165" s="182"/>
      <c r="N165" s="182"/>
      <c r="O165" s="182"/>
      <c r="P165" s="182"/>
      <c r="Q165" s="182"/>
      <c r="R165" s="182"/>
      <c r="S165" s="182"/>
      <c r="T165" s="182"/>
      <c r="U165" s="182"/>
      <c r="V165" s="182"/>
      <c r="W165" s="182"/>
      <c r="X165" s="182"/>
      <c r="Y165" s="182"/>
      <c r="Z165" s="182"/>
      <c r="AA165" s="182"/>
      <c r="AB165" s="182">
        <v>17050301</v>
      </c>
      <c r="AC165" s="182" t="s">
        <v>329</v>
      </c>
      <c r="AD165" s="10" t="s">
        <v>330</v>
      </c>
      <c r="AE165" s="10" t="s">
        <v>291</v>
      </c>
      <c r="AF165" s="10" t="s">
        <v>314</v>
      </c>
      <c r="AL165" s="68"/>
      <c r="AM165" s="68"/>
      <c r="AN165" s="68"/>
      <c r="AO165" s="68"/>
      <c r="AP165" s="68"/>
      <c r="AQ165" s="68"/>
      <c r="AR165" s="68"/>
      <c r="AU165" s="68"/>
      <c r="AV165" s="68"/>
      <c r="AW165" s="68"/>
      <c r="AX165" s="68"/>
      <c r="AY165" s="68"/>
      <c r="AZ165" s="68"/>
      <c r="BA165" s="202" t="s">
        <v>331</v>
      </c>
      <c r="BB165" s="182">
        <v>2.8000000000000001E-2</v>
      </c>
      <c r="BC165" s="10">
        <v>0</v>
      </c>
      <c r="BF165" s="10">
        <v>0</v>
      </c>
      <c r="BG165" s="10">
        <v>0</v>
      </c>
      <c r="BH165" s="10">
        <v>0</v>
      </c>
      <c r="CU165" s="182"/>
      <c r="CV165" s="182"/>
      <c r="CX165" s="89"/>
      <c r="DD165" s="182"/>
      <c r="DE165" s="182"/>
      <c r="DF165" s="182"/>
      <c r="DG165" s="182"/>
      <c r="DI165" s="89"/>
      <c r="DJ165" s="1" t="b">
        <v>1</v>
      </c>
      <c r="DP165" s="96"/>
      <c r="DQ165" s="58"/>
      <c r="DR165" s="57" t="str">
        <f t="shared" si="3"/>
        <v/>
      </c>
      <c r="DU165" s="1" t="s">
        <v>280</v>
      </c>
      <c r="DV165" s="68"/>
      <c r="DY165" s="68"/>
      <c r="DZ165" s="113"/>
      <c r="EA165" s="114"/>
      <c r="EB165" s="114"/>
      <c r="EC165" s="114"/>
      <c r="ED165" s="114"/>
    </row>
    <row r="166" spans="1:149" s="10" customFormat="1" ht="14.25" customHeight="1" x14ac:dyDescent="0.15">
      <c r="A166" s="182"/>
      <c r="B166" s="183"/>
      <c r="C166" s="40"/>
      <c r="D166" s="182"/>
      <c r="E166" s="182"/>
      <c r="F166" s="182"/>
      <c r="G166" s="182"/>
      <c r="H166" s="182"/>
      <c r="I166" s="182"/>
      <c r="J166" s="182"/>
      <c r="K166" s="182"/>
      <c r="L166" s="182"/>
      <c r="M166" s="182"/>
      <c r="N166" s="182"/>
      <c r="O166" s="182"/>
      <c r="P166" s="182"/>
      <c r="Q166" s="182"/>
      <c r="R166" s="182"/>
      <c r="S166" s="182"/>
      <c r="T166" s="182"/>
      <c r="U166" s="182"/>
      <c r="V166" s="182"/>
      <c r="W166" s="182"/>
      <c r="X166" s="182"/>
      <c r="Y166" s="182"/>
      <c r="Z166" s="182"/>
      <c r="AA166" s="182"/>
      <c r="AB166" s="182">
        <v>17050302</v>
      </c>
      <c r="AC166" s="182" t="s">
        <v>332</v>
      </c>
      <c r="AD166" s="10" t="s">
        <v>333</v>
      </c>
      <c r="AE166" s="10" t="s">
        <v>291</v>
      </c>
      <c r="AF166" s="10" t="s">
        <v>314</v>
      </c>
      <c r="AJ166" s="10">
        <v>-1</v>
      </c>
      <c r="AL166" s="68"/>
      <c r="AM166" s="199"/>
      <c r="AN166" s="199"/>
      <c r="AO166" s="199"/>
      <c r="AP166" s="199"/>
      <c r="AQ166" s="199"/>
      <c r="AR166" s="199"/>
      <c r="AU166" s="68"/>
      <c r="AV166" s="68"/>
      <c r="AW166" s="68"/>
      <c r="AX166" s="68"/>
      <c r="AY166" s="68"/>
      <c r="AZ166" s="68"/>
      <c r="BA166" s="202"/>
      <c r="BB166" s="182"/>
      <c r="CU166" s="182"/>
      <c r="CV166" s="182"/>
      <c r="DD166" s="182"/>
      <c r="DE166" s="182"/>
      <c r="DF166" s="182"/>
      <c r="DG166" s="182"/>
      <c r="DJ166" s="1" t="b">
        <v>1</v>
      </c>
      <c r="DP166" s="96"/>
      <c r="DQ166" s="58"/>
      <c r="DR166" s="57" t="str">
        <f t="shared" si="3"/>
        <v/>
      </c>
      <c r="DU166" s="1" t="s">
        <v>280</v>
      </c>
      <c r="DV166" s="68"/>
      <c r="DY166" s="68"/>
      <c r="EA166" s="68"/>
      <c r="EB166" s="68"/>
      <c r="EC166" s="68"/>
      <c r="ED166" s="68"/>
    </row>
    <row r="167" spans="1:149" s="8" customFormat="1" ht="14.25" customHeight="1" x14ac:dyDescent="0.15">
      <c r="A167" s="185">
        <v>170552</v>
      </c>
      <c r="B167" s="186" t="s">
        <v>476</v>
      </c>
      <c r="C167" s="40" t="s">
        <v>477</v>
      </c>
      <c r="D167" s="185" t="s">
        <v>499</v>
      </c>
      <c r="E167" s="185">
        <v>170518</v>
      </c>
      <c r="F167" s="185"/>
      <c r="G167" s="185"/>
      <c r="H167" s="185">
        <v>0</v>
      </c>
      <c r="I167" s="185"/>
      <c r="J167" s="185"/>
      <c r="K167" s="185"/>
      <c r="L167" s="185">
        <v>0</v>
      </c>
      <c r="M167" s="185"/>
      <c r="N167" s="185"/>
      <c r="O167" s="185"/>
      <c r="P167" s="185" t="s">
        <v>268</v>
      </c>
      <c r="Q167" s="185" t="s">
        <v>269</v>
      </c>
      <c r="R167" s="185"/>
      <c r="S167" s="185"/>
      <c r="T167" s="185"/>
      <c r="U167" s="185"/>
      <c r="V167" s="185"/>
      <c r="W167" s="185"/>
      <c r="X167" s="185">
        <v>1</v>
      </c>
      <c r="Y167" s="185">
        <v>0</v>
      </c>
      <c r="Z167" s="185">
        <v>0</v>
      </c>
      <c r="AA167" s="185"/>
      <c r="AB167" s="185">
        <v>3001</v>
      </c>
      <c r="AC167" s="193" t="s">
        <v>337</v>
      </c>
      <c r="AD167" s="16"/>
      <c r="AE167" s="16" t="s">
        <v>129</v>
      </c>
      <c r="AF167" s="16" t="s">
        <v>314</v>
      </c>
      <c r="AG167" s="16"/>
      <c r="AH167" s="16"/>
      <c r="AI167" s="16"/>
      <c r="AJ167" s="16"/>
      <c r="AK167" s="16"/>
      <c r="AL167" s="148"/>
      <c r="AM167" s="148"/>
      <c r="AN167" s="148"/>
      <c r="AO167" s="148"/>
      <c r="AP167" s="148"/>
      <c r="AQ167" s="148"/>
      <c r="AR167" s="148"/>
      <c r="AS167" s="16"/>
      <c r="AT167" s="16"/>
      <c r="AU167" s="148"/>
      <c r="AV167" s="148"/>
      <c r="AW167" s="148"/>
      <c r="AX167" s="148"/>
      <c r="AY167" s="148"/>
      <c r="AZ167" s="148"/>
      <c r="BA167" s="203" t="s">
        <v>270</v>
      </c>
      <c r="BB167" s="185">
        <v>100</v>
      </c>
      <c r="BC167" s="16">
        <v>0</v>
      </c>
      <c r="BD167" s="16"/>
      <c r="BE167" s="16"/>
      <c r="BF167" s="16">
        <v>0</v>
      </c>
      <c r="BG167" s="16">
        <v>0</v>
      </c>
      <c r="BH167" s="16">
        <v>0</v>
      </c>
      <c r="BI167" s="16"/>
      <c r="BJ167" s="16" t="s">
        <v>270</v>
      </c>
      <c r="BK167" s="16"/>
      <c r="BL167" s="16"/>
      <c r="BM167" s="16"/>
      <c r="BN167" s="16"/>
      <c r="BO167" s="16"/>
      <c r="BP167" s="16"/>
      <c r="BQ167" s="16"/>
      <c r="BR167" s="16"/>
      <c r="BS167" s="16" t="s">
        <v>270</v>
      </c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 t="s">
        <v>271</v>
      </c>
      <c r="CG167" s="16"/>
      <c r="CH167" s="16"/>
      <c r="CI167" s="16"/>
      <c r="CJ167" s="16" t="s">
        <v>3</v>
      </c>
      <c r="CK167" s="140" t="s">
        <v>443</v>
      </c>
      <c r="CL167" s="140"/>
      <c r="CM167" s="10">
        <v>999</v>
      </c>
      <c r="CN167" s="16">
        <v>0</v>
      </c>
      <c r="CO167" s="16">
        <v>0</v>
      </c>
      <c r="CP167" s="16">
        <v>0</v>
      </c>
      <c r="CQ167" s="16">
        <v>0</v>
      </c>
      <c r="CR167" s="16"/>
      <c r="CS167" s="16">
        <v>15</v>
      </c>
      <c r="CT167" s="16"/>
      <c r="CU167" s="185">
        <v>15</v>
      </c>
      <c r="CV167" s="185" t="s">
        <v>479</v>
      </c>
      <c r="CW167" s="16" t="b">
        <v>0</v>
      </c>
      <c r="CX167" s="16" t="s">
        <v>273</v>
      </c>
      <c r="CY167" s="16"/>
      <c r="CZ167" s="16"/>
      <c r="DA167" s="16"/>
      <c r="DB167" s="16">
        <v>100300</v>
      </c>
      <c r="DC167" s="16" t="b">
        <v>1</v>
      </c>
      <c r="DD167" s="185" t="s">
        <v>274</v>
      </c>
      <c r="DE167" s="185" t="s">
        <v>340</v>
      </c>
      <c r="DF167" s="185" t="s">
        <v>276</v>
      </c>
      <c r="DG167" s="185" t="s">
        <v>277</v>
      </c>
      <c r="DH167" s="16">
        <v>4</v>
      </c>
      <c r="DI167" s="16" t="b">
        <v>0</v>
      </c>
      <c r="DJ167" s="1" t="b">
        <v>1</v>
      </c>
      <c r="DK167" s="16"/>
      <c r="DL167" s="16"/>
      <c r="DM167" s="16"/>
      <c r="DN167" s="1"/>
      <c r="DO167" s="1"/>
      <c r="DP167" s="96" t="s">
        <v>471</v>
      </c>
      <c r="DQ167" s="140" t="s">
        <v>446</v>
      </c>
      <c r="DR167" s="57" t="e">
        <f t="shared" si="3"/>
        <v>#VALUE!</v>
      </c>
      <c r="DS167" s="16" t="s">
        <v>447</v>
      </c>
      <c r="DT167" s="16"/>
      <c r="DU167" s="1" t="s">
        <v>280</v>
      </c>
      <c r="DV167" s="148"/>
      <c r="DW167" s="16"/>
      <c r="DX167" s="16"/>
      <c r="DY167" s="1"/>
      <c r="DZ167" s="16">
        <v>1</v>
      </c>
      <c r="EA167" s="148">
        <v>-1</v>
      </c>
      <c r="EB167" s="148">
        <v>4.1666666666666699E-2</v>
      </c>
      <c r="EC167" s="148">
        <v>8.3333333333333301E-2</v>
      </c>
      <c r="ED167" s="148">
        <v>8.3333333333333301E-2</v>
      </c>
      <c r="EE167" s="16" t="s">
        <v>284</v>
      </c>
      <c r="EF167" s="16" t="s">
        <v>326</v>
      </c>
      <c r="EG167" s="16" t="e">
        <v>#VALUE!</v>
      </c>
      <c r="EH167" s="16" t="s">
        <v>285</v>
      </c>
      <c r="EI167" s="16" t="s">
        <v>344</v>
      </c>
      <c r="EJ167" s="16" t="e">
        <v>#VALUE!</v>
      </c>
      <c r="EK167" s="16" t="s">
        <v>286</v>
      </c>
      <c r="EL167" s="16" t="s">
        <v>345</v>
      </c>
      <c r="EM167" s="16" t="e">
        <v>#VALUE!</v>
      </c>
      <c r="EN167" s="16" t="s">
        <v>287</v>
      </c>
      <c r="EO167" s="16" t="s">
        <v>345</v>
      </c>
      <c r="EP167" s="16" t="e">
        <v>#VALUE!</v>
      </c>
      <c r="EQ167" s="16"/>
      <c r="ER167" s="16"/>
      <c r="ES167" s="16"/>
    </row>
    <row r="168" spans="1:149" s="8" customFormat="1" ht="14.25" customHeight="1" x14ac:dyDescent="0.15">
      <c r="A168" s="185"/>
      <c r="B168" s="187"/>
      <c r="C168" s="40"/>
      <c r="D168" s="185"/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185"/>
      <c r="Q168" s="185"/>
      <c r="R168" s="185"/>
      <c r="S168" s="185"/>
      <c r="T168" s="185"/>
      <c r="U168" s="185"/>
      <c r="V168" s="185"/>
      <c r="W168" s="185"/>
      <c r="X168" s="185"/>
      <c r="Y168" s="185"/>
      <c r="Z168" s="185"/>
      <c r="AA168" s="185"/>
      <c r="AB168" s="185">
        <v>10240102</v>
      </c>
      <c r="AC168" s="185" t="s">
        <v>346</v>
      </c>
      <c r="AD168" s="16"/>
      <c r="AE168" s="16" t="s">
        <v>129</v>
      </c>
      <c r="AF168" s="16" t="s">
        <v>314</v>
      </c>
      <c r="AG168" s="16"/>
      <c r="AH168" s="16"/>
      <c r="AI168" s="16"/>
      <c r="AJ168" s="16">
        <v>3</v>
      </c>
      <c r="AK168" s="16"/>
      <c r="AL168" s="148"/>
      <c r="AM168" s="148"/>
      <c r="AN168" s="148"/>
      <c r="AO168" s="148"/>
      <c r="AP168" s="148"/>
      <c r="AQ168" s="148"/>
      <c r="AR168" s="148"/>
      <c r="AS168" s="16"/>
      <c r="AT168" s="16"/>
      <c r="AU168" s="148"/>
      <c r="AV168" s="148"/>
      <c r="AW168" s="148"/>
      <c r="AX168" s="148"/>
      <c r="AY168" s="148"/>
      <c r="AZ168" s="148"/>
      <c r="BA168" s="203"/>
      <c r="BB168" s="185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40"/>
      <c r="CL168" s="140"/>
      <c r="CM168" s="16"/>
      <c r="CN168" s="16"/>
      <c r="CO168" s="16"/>
      <c r="CP168" s="16"/>
      <c r="CQ168" s="16"/>
      <c r="CR168" s="16"/>
      <c r="CS168" s="16"/>
      <c r="CT168" s="16"/>
      <c r="CU168" s="185"/>
      <c r="CV168" s="185"/>
      <c r="CW168" s="16"/>
      <c r="CX168" s="159"/>
      <c r="CY168" s="16"/>
      <c r="CZ168" s="16"/>
      <c r="DA168" s="16"/>
      <c r="DB168" s="16"/>
      <c r="DC168" s="16"/>
      <c r="DD168" s="185"/>
      <c r="DE168" s="185"/>
      <c r="DF168" s="185"/>
      <c r="DG168" s="185"/>
      <c r="DH168" s="16"/>
      <c r="DI168" s="159"/>
      <c r="DJ168" s="1" t="b">
        <v>1</v>
      </c>
      <c r="DK168" s="16"/>
      <c r="DL168" s="16"/>
      <c r="DM168" s="141"/>
      <c r="DN168" s="141"/>
      <c r="DO168" s="141"/>
      <c r="DP168" s="94"/>
      <c r="DQ168" s="140"/>
      <c r="DR168" s="57" t="str">
        <f t="shared" si="3"/>
        <v/>
      </c>
      <c r="DS168" s="140"/>
      <c r="DT168" s="166"/>
      <c r="DU168" s="1" t="s">
        <v>280</v>
      </c>
      <c r="DV168" s="148"/>
      <c r="DW168" s="16"/>
      <c r="DX168" s="16"/>
      <c r="DY168" s="148"/>
      <c r="DZ168" s="175"/>
      <c r="EA168" s="176"/>
      <c r="EB168" s="176"/>
      <c r="EC168" s="176"/>
      <c r="ED168" s="176"/>
      <c r="EE168" s="16"/>
      <c r="EF168" s="16"/>
      <c r="EG168" s="16"/>
      <c r="EH168" s="16"/>
      <c r="EI168" s="16"/>
      <c r="EJ168" s="16"/>
      <c r="EK168" s="16"/>
      <c r="EL168" s="16"/>
      <c r="EM168" s="16"/>
      <c r="EN168" s="16"/>
      <c r="EO168" s="16"/>
      <c r="EP168" s="16"/>
      <c r="EQ168" s="16"/>
      <c r="ER168" s="16"/>
      <c r="ES168" s="16"/>
    </row>
    <row r="169" spans="1:149" s="8" customFormat="1" ht="14.25" customHeight="1" x14ac:dyDescent="0.15">
      <c r="A169" s="185">
        <v>170553</v>
      </c>
      <c r="B169" s="186" t="s">
        <v>456</v>
      </c>
      <c r="C169" s="40" t="s">
        <v>457</v>
      </c>
      <c r="D169" s="185" t="s">
        <v>499</v>
      </c>
      <c r="E169" s="185">
        <v>170519</v>
      </c>
      <c r="F169" s="185"/>
      <c r="G169" s="185"/>
      <c r="H169" s="185">
        <v>0</v>
      </c>
      <c r="I169" s="185"/>
      <c r="J169" s="185"/>
      <c r="K169" s="185"/>
      <c r="L169" s="185">
        <v>0</v>
      </c>
      <c r="M169" s="185"/>
      <c r="N169" s="185"/>
      <c r="O169" s="185"/>
      <c r="P169" s="185" t="s">
        <v>268</v>
      </c>
      <c r="Q169" s="185" t="s">
        <v>269</v>
      </c>
      <c r="R169" s="185"/>
      <c r="S169" s="185"/>
      <c r="T169" s="185"/>
      <c r="U169" s="185"/>
      <c r="V169" s="185"/>
      <c r="W169" s="185"/>
      <c r="X169" s="185">
        <v>1</v>
      </c>
      <c r="Y169" s="185">
        <v>0</v>
      </c>
      <c r="Z169" s="185">
        <v>0</v>
      </c>
      <c r="AA169" s="185"/>
      <c r="AB169" s="185">
        <v>3001</v>
      </c>
      <c r="AC169" s="185" t="s">
        <v>337</v>
      </c>
      <c r="AD169" s="16" t="s">
        <v>330</v>
      </c>
      <c r="AE169" s="141"/>
      <c r="AF169" s="141"/>
      <c r="AG169" s="141"/>
      <c r="AH169" s="141"/>
      <c r="AI169" s="141"/>
      <c r="AJ169" s="141"/>
      <c r="AK169" s="141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85" t="s">
        <v>270</v>
      </c>
      <c r="BB169" s="185">
        <v>75</v>
      </c>
      <c r="BC169" s="16">
        <v>0</v>
      </c>
      <c r="BD169" s="16"/>
      <c r="BE169" s="16"/>
      <c r="BF169" s="16">
        <v>0</v>
      </c>
      <c r="BG169" s="16">
        <v>0</v>
      </c>
      <c r="BH169" s="16">
        <v>0</v>
      </c>
      <c r="BI169" s="16"/>
      <c r="BJ169" s="16" t="s">
        <v>270</v>
      </c>
      <c r="BK169" s="16"/>
      <c r="BL169" s="16"/>
      <c r="BM169" s="16"/>
      <c r="BN169" s="16"/>
      <c r="BO169" s="16"/>
      <c r="BP169" s="16"/>
      <c r="BQ169" s="16"/>
      <c r="BR169" s="16"/>
      <c r="BS169" s="16" t="s">
        <v>270</v>
      </c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 t="s">
        <v>378</v>
      </c>
      <c r="CG169" s="16"/>
      <c r="CH169" s="16"/>
      <c r="CI169" s="16"/>
      <c r="CJ169" s="16" t="s">
        <v>1</v>
      </c>
      <c r="CK169" s="58" t="s">
        <v>379</v>
      </c>
      <c r="CL169" s="58"/>
      <c r="CM169" s="10">
        <v>999</v>
      </c>
      <c r="CN169" s="16">
        <v>0</v>
      </c>
      <c r="CO169" s="16">
        <v>0</v>
      </c>
      <c r="CP169" s="16">
        <v>0</v>
      </c>
      <c r="CQ169" s="16">
        <v>0</v>
      </c>
      <c r="CR169" s="16"/>
      <c r="CS169" s="16">
        <v>5</v>
      </c>
      <c r="CT169" s="16"/>
      <c r="CU169" s="185">
        <v>20</v>
      </c>
      <c r="CV169" s="185" t="s">
        <v>481</v>
      </c>
      <c r="CW169" s="16" t="b">
        <v>0</v>
      </c>
      <c r="CX169" s="16" t="s">
        <v>273</v>
      </c>
      <c r="CY169" s="16"/>
      <c r="CZ169" s="16"/>
      <c r="DA169" s="16"/>
      <c r="DB169" s="16">
        <v>102401</v>
      </c>
      <c r="DC169" s="16" t="b">
        <v>1</v>
      </c>
      <c r="DD169" s="185" t="s">
        <v>274</v>
      </c>
      <c r="DE169" s="185" t="s">
        <v>380</v>
      </c>
      <c r="DF169" s="185" t="s">
        <v>276</v>
      </c>
      <c r="DG169" s="185" t="s">
        <v>293</v>
      </c>
      <c r="DH169" s="16">
        <v>4</v>
      </c>
      <c r="DI169" s="16" t="b">
        <v>0</v>
      </c>
      <c r="DJ169" s="1" t="b">
        <v>1</v>
      </c>
      <c r="DK169" s="16"/>
      <c r="DL169" s="16"/>
      <c r="DM169" s="16"/>
      <c r="DN169" s="1"/>
      <c r="DO169" s="1"/>
      <c r="DP169" s="96" t="s">
        <v>473</v>
      </c>
      <c r="DQ169" s="16" t="s">
        <v>460</v>
      </c>
      <c r="DR169" s="57" t="e">
        <f t="shared" si="3"/>
        <v>#VALUE!</v>
      </c>
      <c r="DS169" s="16" t="s">
        <v>461</v>
      </c>
      <c r="DT169" s="16"/>
      <c r="DU169" s="1" t="s">
        <v>280</v>
      </c>
      <c r="DV169" s="148"/>
      <c r="DW169" s="16"/>
      <c r="DX169" s="16"/>
      <c r="DY169" s="1"/>
      <c r="DZ169" s="16">
        <v>1</v>
      </c>
      <c r="EA169" s="148">
        <v>-1</v>
      </c>
      <c r="EB169" s="148">
        <v>4.1666666666666699E-2</v>
      </c>
      <c r="EC169" s="148">
        <v>8.3333333333333301E-2</v>
      </c>
      <c r="ED169" s="148">
        <v>8.3333333333333301E-2</v>
      </c>
      <c r="EE169" s="16" t="s">
        <v>284</v>
      </c>
      <c r="EF169" s="16" t="s">
        <v>326</v>
      </c>
      <c r="EG169" s="16" t="e">
        <v>#VALUE!</v>
      </c>
      <c r="EH169" s="16" t="s">
        <v>285</v>
      </c>
      <c r="EI169" s="16" t="s">
        <v>344</v>
      </c>
      <c r="EJ169" s="16" t="e">
        <v>#VALUE!</v>
      </c>
      <c r="EK169" s="16" t="s">
        <v>286</v>
      </c>
      <c r="EL169" s="16" t="s">
        <v>328</v>
      </c>
      <c r="EM169" s="16" t="e">
        <v>#VALUE!</v>
      </c>
      <c r="EN169" s="16" t="s">
        <v>287</v>
      </c>
      <c r="EO169" s="16" t="s">
        <v>328</v>
      </c>
      <c r="EP169" s="16" t="e">
        <v>#VALUE!</v>
      </c>
      <c r="EQ169" s="16"/>
      <c r="ER169" s="16"/>
      <c r="ES169" s="16"/>
    </row>
    <row r="170" spans="1:149" s="8" customFormat="1" ht="14.25" customHeight="1" x14ac:dyDescent="0.15">
      <c r="A170" s="185"/>
      <c r="B170" s="186"/>
      <c r="C170" s="40"/>
      <c r="D170" s="185"/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85"/>
      <c r="P170" s="185"/>
      <c r="Q170" s="185"/>
      <c r="R170" s="185"/>
      <c r="S170" s="185"/>
      <c r="T170" s="185"/>
      <c r="U170" s="185"/>
      <c r="V170" s="185"/>
      <c r="W170" s="185"/>
      <c r="X170" s="185"/>
      <c r="Y170" s="185"/>
      <c r="Z170" s="185"/>
      <c r="AA170" s="185"/>
      <c r="AB170" s="185">
        <v>17050505</v>
      </c>
      <c r="AC170" s="185" t="s">
        <v>384</v>
      </c>
      <c r="AD170" s="16" t="s">
        <v>330</v>
      </c>
      <c r="AE170" s="141" t="s">
        <v>291</v>
      </c>
      <c r="AF170" s="141" t="s">
        <v>314</v>
      </c>
      <c r="AG170" s="141"/>
      <c r="AH170" s="141"/>
      <c r="AI170" s="141"/>
      <c r="AJ170" s="141"/>
      <c r="AK170" s="141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85"/>
      <c r="BB170" s="185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85"/>
      <c r="CV170" s="185"/>
      <c r="CW170" s="16"/>
      <c r="CX170" s="16"/>
      <c r="CY170" s="16"/>
      <c r="CZ170" s="16"/>
      <c r="DA170" s="16"/>
      <c r="DB170" s="16"/>
      <c r="DC170" s="16"/>
      <c r="DD170" s="185"/>
      <c r="DE170" s="185"/>
      <c r="DF170" s="185"/>
      <c r="DG170" s="185"/>
      <c r="DH170" s="16"/>
      <c r="DI170" s="16"/>
      <c r="DJ170" s="1" t="b">
        <v>1</v>
      </c>
      <c r="DK170" s="16"/>
      <c r="DL170" s="16"/>
      <c r="DM170" s="16"/>
      <c r="DN170" s="16"/>
      <c r="DO170" s="16"/>
      <c r="DP170" s="96"/>
      <c r="DQ170" s="16"/>
      <c r="DR170" s="57" t="str">
        <f t="shared" si="3"/>
        <v/>
      </c>
      <c r="DS170" s="16"/>
      <c r="DT170" s="16"/>
      <c r="DU170" s="1" t="s">
        <v>280</v>
      </c>
      <c r="DV170" s="148"/>
      <c r="DW170" s="16"/>
      <c r="DX170" s="16"/>
      <c r="DY170" s="148"/>
      <c r="DZ170" s="16"/>
      <c r="EA170" s="148"/>
      <c r="EB170" s="148"/>
      <c r="EC170" s="148"/>
      <c r="ED170" s="148"/>
      <c r="EE170" s="16"/>
      <c r="EF170" s="16"/>
      <c r="EG170" s="16"/>
      <c r="EH170" s="16"/>
      <c r="EI170" s="16"/>
      <c r="EJ170" s="16"/>
      <c r="EK170" s="16"/>
      <c r="EL170" s="16"/>
      <c r="EM170" s="16"/>
      <c r="EN170" s="16"/>
      <c r="EO170" s="16"/>
      <c r="EP170" s="16"/>
      <c r="EQ170" s="16"/>
      <c r="ER170" s="16"/>
      <c r="ES170" s="16"/>
    </row>
    <row r="171" spans="1:149" s="8" customFormat="1" ht="14.25" customHeight="1" x14ac:dyDescent="0.15">
      <c r="A171" s="185"/>
      <c r="B171" s="186"/>
      <c r="C171" s="40"/>
      <c r="D171" s="185"/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5"/>
      <c r="P171" s="185"/>
      <c r="Q171" s="185"/>
      <c r="R171" s="185"/>
      <c r="S171" s="185"/>
      <c r="T171" s="185"/>
      <c r="U171" s="185"/>
      <c r="V171" s="185"/>
      <c r="W171" s="185"/>
      <c r="X171" s="185"/>
      <c r="Y171" s="185"/>
      <c r="Z171" s="185"/>
      <c r="AA171" s="185"/>
      <c r="AB171" s="185">
        <v>17050506</v>
      </c>
      <c r="AC171" s="185" t="s">
        <v>385</v>
      </c>
      <c r="AD171" s="16"/>
      <c r="AE171" s="16" t="s">
        <v>291</v>
      </c>
      <c r="AF171" s="16" t="s">
        <v>314</v>
      </c>
      <c r="AG171" s="16"/>
      <c r="AH171" s="16"/>
      <c r="AI171" s="16"/>
      <c r="AJ171" s="16">
        <v>8</v>
      </c>
      <c r="AK171" s="16"/>
      <c r="AL171" s="148"/>
      <c r="AM171" s="148"/>
      <c r="AN171" s="148"/>
      <c r="AO171" s="148"/>
      <c r="AP171" s="148"/>
      <c r="AQ171" s="148"/>
      <c r="AR171" s="148"/>
      <c r="AS171" s="16"/>
      <c r="AT171" s="16"/>
      <c r="AU171" s="148"/>
      <c r="AV171" s="148"/>
      <c r="AW171" s="148"/>
      <c r="AX171" s="148"/>
      <c r="AY171" s="148"/>
      <c r="AZ171" s="148"/>
      <c r="BA171" s="203"/>
      <c r="BB171" s="185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40"/>
      <c r="CL171" s="140"/>
      <c r="CM171" s="16"/>
      <c r="CN171" s="16"/>
      <c r="CO171" s="16"/>
      <c r="CP171" s="16"/>
      <c r="CQ171" s="16"/>
      <c r="CR171" s="16"/>
      <c r="CS171" s="16"/>
      <c r="CT171" s="16"/>
      <c r="CU171" s="185"/>
      <c r="CV171" s="185"/>
      <c r="CW171" s="16"/>
      <c r="CX171" s="159"/>
      <c r="CY171" s="16"/>
      <c r="CZ171" s="16"/>
      <c r="DA171" s="16"/>
      <c r="DB171" s="16"/>
      <c r="DC171" s="16"/>
      <c r="DD171" s="210"/>
      <c r="DE171" s="185"/>
      <c r="DF171" s="210"/>
      <c r="DG171" s="210"/>
      <c r="DH171" s="163"/>
      <c r="DI171" s="163"/>
      <c r="DJ171" s="1" t="b">
        <v>1</v>
      </c>
      <c r="DK171" s="16"/>
      <c r="DL171" s="16"/>
      <c r="DM171" s="16"/>
      <c r="DN171" s="16"/>
      <c r="DO171" s="16"/>
      <c r="DP171" s="96"/>
      <c r="DQ171" s="167"/>
      <c r="DR171" s="57" t="str">
        <f t="shared" si="3"/>
        <v/>
      </c>
      <c r="DS171" s="167"/>
      <c r="DT171" s="168"/>
      <c r="DU171" s="1" t="s">
        <v>280</v>
      </c>
      <c r="DV171" s="148"/>
      <c r="DW171" s="16"/>
      <c r="DX171" s="16"/>
      <c r="DY171" s="148"/>
      <c r="DZ171" s="175"/>
      <c r="EA171" s="176"/>
      <c r="EB171" s="176"/>
      <c r="EC171" s="176"/>
      <c r="ED171" s="17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</row>
    <row r="172" spans="1:149" s="8" customFormat="1" ht="14.25" customHeight="1" x14ac:dyDescent="0.15">
      <c r="A172" s="185"/>
      <c r="B172" s="186"/>
      <c r="C172" s="40"/>
      <c r="D172" s="185"/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85"/>
      <c r="P172" s="185"/>
      <c r="Q172" s="185"/>
      <c r="R172" s="185"/>
      <c r="S172" s="185"/>
      <c r="T172" s="185"/>
      <c r="U172" s="185"/>
      <c r="V172" s="185"/>
      <c r="W172" s="185"/>
      <c r="X172" s="185"/>
      <c r="Y172" s="185"/>
      <c r="Z172" s="185"/>
      <c r="AA172" s="185"/>
      <c r="AB172" s="193">
        <v>17050507</v>
      </c>
      <c r="AC172" s="185" t="s">
        <v>386</v>
      </c>
      <c r="AD172" s="16" t="s">
        <v>330</v>
      </c>
      <c r="AE172" s="16" t="s">
        <v>291</v>
      </c>
      <c r="AF172" s="16" t="s">
        <v>314</v>
      </c>
      <c r="AG172" s="16"/>
      <c r="AH172" s="16"/>
      <c r="AI172" s="16"/>
      <c r="AJ172" s="141"/>
      <c r="AK172" s="141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85"/>
      <c r="BB172" s="185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85"/>
      <c r="CV172" s="185"/>
      <c r="CW172" s="16"/>
      <c r="CX172" s="16"/>
      <c r="CY172" s="16"/>
      <c r="CZ172" s="16"/>
      <c r="DA172" s="16"/>
      <c r="DB172" s="16"/>
      <c r="DC172" s="16"/>
      <c r="DD172" s="185"/>
      <c r="DE172" s="185"/>
      <c r="DF172" s="185"/>
      <c r="DG172" s="185"/>
      <c r="DH172" s="16"/>
      <c r="DI172" s="16"/>
      <c r="DJ172" s="1" t="b">
        <v>1</v>
      </c>
      <c r="DK172" s="16"/>
      <c r="DL172" s="16"/>
      <c r="DM172" s="16"/>
      <c r="DN172" s="16"/>
      <c r="DO172" s="16"/>
      <c r="DP172" s="96"/>
      <c r="DQ172" s="16"/>
      <c r="DR172" s="57" t="str">
        <f t="shared" si="3"/>
        <v/>
      </c>
      <c r="DS172" s="16"/>
      <c r="DT172" s="16"/>
      <c r="DU172" s="1" t="s">
        <v>280</v>
      </c>
      <c r="DV172" s="148"/>
      <c r="DW172" s="16"/>
      <c r="DX172" s="16"/>
      <c r="DY172" s="148"/>
      <c r="DZ172" s="16"/>
      <c r="EA172" s="148"/>
      <c r="EB172" s="148"/>
      <c r="EC172" s="148"/>
      <c r="ED172" s="148"/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6"/>
      <c r="EQ172" s="16"/>
      <c r="ER172" s="16"/>
      <c r="ES172" s="16"/>
    </row>
    <row r="173" spans="1:149" s="8" customFormat="1" ht="14.25" customHeight="1" x14ac:dyDescent="0.15">
      <c r="A173" s="185">
        <v>170554</v>
      </c>
      <c r="B173" s="186" t="s">
        <v>462</v>
      </c>
      <c r="C173" s="40" t="s">
        <v>463</v>
      </c>
      <c r="D173" s="185" t="s">
        <v>499</v>
      </c>
      <c r="E173" s="185">
        <v>170520</v>
      </c>
      <c r="F173" s="185"/>
      <c r="G173" s="185"/>
      <c r="H173" s="185">
        <v>0</v>
      </c>
      <c r="I173" s="185"/>
      <c r="J173" s="185"/>
      <c r="K173" s="185"/>
      <c r="L173" s="185">
        <v>0</v>
      </c>
      <c r="M173" s="185"/>
      <c r="N173" s="185"/>
      <c r="O173" s="185"/>
      <c r="P173" s="185" t="s">
        <v>268</v>
      </c>
      <c r="Q173" s="185" t="s">
        <v>269</v>
      </c>
      <c r="R173" s="185"/>
      <c r="S173" s="185"/>
      <c r="T173" s="185"/>
      <c r="U173" s="185"/>
      <c r="V173" s="185"/>
      <c r="W173" s="185"/>
      <c r="X173" s="185">
        <v>1</v>
      </c>
      <c r="Y173" s="185">
        <v>0</v>
      </c>
      <c r="Z173" s="185">
        <v>0</v>
      </c>
      <c r="AA173" s="185"/>
      <c r="AB173" s="185">
        <v>3001</v>
      </c>
      <c r="AC173" s="193"/>
      <c r="AD173" s="16"/>
      <c r="AE173" s="16"/>
      <c r="AF173" s="16"/>
      <c r="AG173" s="16"/>
      <c r="AH173" s="16"/>
      <c r="AI173" s="16"/>
      <c r="AJ173" s="16"/>
      <c r="AK173" s="16"/>
      <c r="AL173" s="148"/>
      <c r="AM173" s="148"/>
      <c r="AN173" s="148"/>
      <c r="AO173" s="148"/>
      <c r="AP173" s="148"/>
      <c r="AQ173" s="148"/>
      <c r="AR173" s="148"/>
      <c r="AS173" s="16"/>
      <c r="AT173" s="16"/>
      <c r="AU173" s="148"/>
      <c r="AV173" s="148"/>
      <c r="AW173" s="148"/>
      <c r="AX173" s="148"/>
      <c r="AY173" s="148"/>
      <c r="AZ173" s="148"/>
      <c r="BA173" s="203" t="s">
        <v>270</v>
      </c>
      <c r="BB173" s="185">
        <v>150</v>
      </c>
      <c r="BC173" s="16">
        <v>0</v>
      </c>
      <c r="BD173" s="16"/>
      <c r="BE173" s="16"/>
      <c r="BF173" s="16">
        <v>0</v>
      </c>
      <c r="BG173" s="16">
        <v>0</v>
      </c>
      <c r="BH173" s="16">
        <v>0</v>
      </c>
      <c r="BI173" s="16"/>
      <c r="BJ173" s="16" t="s">
        <v>270</v>
      </c>
      <c r="BK173" s="16"/>
      <c r="BL173" s="16"/>
      <c r="BM173" s="16"/>
      <c r="BN173" s="16"/>
      <c r="BO173" s="16"/>
      <c r="BP173" s="16"/>
      <c r="BQ173" s="16"/>
      <c r="BR173" s="16"/>
      <c r="BS173" s="16" t="s">
        <v>270</v>
      </c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 t="s">
        <v>271</v>
      </c>
      <c r="CG173" s="16"/>
      <c r="CH173" s="16"/>
      <c r="CI173" s="16"/>
      <c r="CJ173" s="16" t="s">
        <v>1</v>
      </c>
      <c r="CK173" s="140" t="s">
        <v>464</v>
      </c>
      <c r="CL173" s="140"/>
      <c r="CM173" s="10">
        <v>999</v>
      </c>
      <c r="CN173" s="16">
        <v>0</v>
      </c>
      <c r="CO173" s="16">
        <v>0</v>
      </c>
      <c r="CP173" s="16">
        <v>0</v>
      </c>
      <c r="CQ173" s="16">
        <v>0</v>
      </c>
      <c r="CR173" s="16"/>
      <c r="CS173" s="16">
        <v>20</v>
      </c>
      <c r="CT173" s="16">
        <v>10</v>
      </c>
      <c r="CU173" s="185">
        <v>24</v>
      </c>
      <c r="CV173" s="185" t="s">
        <v>483</v>
      </c>
      <c r="CW173" s="16" t="b">
        <v>1</v>
      </c>
      <c r="CX173" s="16" t="s">
        <v>273</v>
      </c>
      <c r="CY173" s="16"/>
      <c r="CZ173" s="16"/>
      <c r="DA173" s="16"/>
      <c r="DB173" s="16">
        <v>170501</v>
      </c>
      <c r="DC173" s="16" t="b">
        <v>1</v>
      </c>
      <c r="DD173" s="185" t="s">
        <v>274</v>
      </c>
      <c r="DE173" s="185" t="s">
        <v>495</v>
      </c>
      <c r="DF173" s="185" t="s">
        <v>276</v>
      </c>
      <c r="DG173" s="185" t="s">
        <v>322</v>
      </c>
      <c r="DH173" s="16">
        <v>4</v>
      </c>
      <c r="DI173" s="16" t="b">
        <v>0</v>
      </c>
      <c r="DJ173" s="1" t="b">
        <v>1</v>
      </c>
      <c r="DK173" s="16"/>
      <c r="DL173" s="16"/>
      <c r="DM173" s="16"/>
      <c r="DN173" s="1"/>
      <c r="DO173" s="1"/>
      <c r="DP173" s="96" t="s">
        <v>475</v>
      </c>
      <c r="DQ173" s="140" t="s">
        <v>467</v>
      </c>
      <c r="DR173" s="57" t="e">
        <f t="shared" si="3"/>
        <v>#VALUE!</v>
      </c>
      <c r="DS173" s="16" t="s">
        <v>468</v>
      </c>
      <c r="DT173" s="16"/>
      <c r="DU173" s="1" t="s">
        <v>280</v>
      </c>
      <c r="DV173" s="148"/>
      <c r="DW173" s="16"/>
      <c r="DX173" s="16"/>
      <c r="DY173" s="1"/>
      <c r="DZ173" s="16">
        <v>1</v>
      </c>
      <c r="EA173" s="148">
        <v>-1</v>
      </c>
      <c r="EB173" s="148">
        <v>4.1666666666666699E-2</v>
      </c>
      <c r="EC173" s="148">
        <v>8.3333333333333301E-2</v>
      </c>
      <c r="ED173" s="148">
        <v>8.3333333333333301E-2</v>
      </c>
      <c r="EE173" s="16" t="s">
        <v>284</v>
      </c>
      <c r="EF173" s="16" t="s">
        <v>326</v>
      </c>
      <c r="EG173" s="16" t="e">
        <v>#VALUE!</v>
      </c>
      <c r="EH173" s="16" t="s">
        <v>285</v>
      </c>
      <c r="EI173" s="16" t="s">
        <v>327</v>
      </c>
      <c r="EJ173" s="16" t="e">
        <v>#VALUE!</v>
      </c>
      <c r="EK173" s="16" t="s">
        <v>286</v>
      </c>
      <c r="EL173" s="16" t="s">
        <v>328</v>
      </c>
      <c r="EM173" s="16" t="e">
        <v>#VALUE!</v>
      </c>
      <c r="EN173" s="16" t="s">
        <v>287</v>
      </c>
      <c r="EO173" s="16" t="s">
        <v>328</v>
      </c>
      <c r="EP173" s="16" t="e">
        <v>#VALUE!</v>
      </c>
      <c r="EQ173" s="16"/>
      <c r="ER173" s="16"/>
      <c r="ES173" s="16"/>
    </row>
    <row r="174" spans="1:149" s="8" customFormat="1" ht="14.25" customHeight="1" x14ac:dyDescent="0.15">
      <c r="A174" s="185"/>
      <c r="B174" s="186"/>
      <c r="C174" s="40"/>
      <c r="D174" s="185"/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85"/>
      <c r="P174" s="185"/>
      <c r="Q174" s="185"/>
      <c r="R174" s="185"/>
      <c r="S174" s="185"/>
      <c r="T174" s="185"/>
      <c r="U174" s="185"/>
      <c r="V174" s="185"/>
      <c r="W174" s="185"/>
      <c r="X174" s="185"/>
      <c r="Y174" s="185"/>
      <c r="Z174" s="185"/>
      <c r="AA174" s="185"/>
      <c r="AB174" s="185">
        <v>17050301</v>
      </c>
      <c r="AC174" s="185" t="s">
        <v>329</v>
      </c>
      <c r="AD174" s="16" t="s">
        <v>330</v>
      </c>
      <c r="AE174" s="16" t="s">
        <v>291</v>
      </c>
      <c r="AF174" s="16" t="s">
        <v>314</v>
      </c>
      <c r="AG174" s="16"/>
      <c r="AH174" s="16"/>
      <c r="AI174" s="16"/>
      <c r="AJ174" s="16"/>
      <c r="AK174" s="16"/>
      <c r="AL174" s="148"/>
      <c r="AM174" s="148"/>
      <c r="AN174" s="148"/>
      <c r="AO174" s="148"/>
      <c r="AP174" s="148"/>
      <c r="AQ174" s="148"/>
      <c r="AR174" s="148"/>
      <c r="AS174" s="16"/>
      <c r="AT174" s="16"/>
      <c r="AU174" s="148"/>
      <c r="AV174" s="148"/>
      <c r="AW174" s="148"/>
      <c r="AX174" s="148"/>
      <c r="AY174" s="148"/>
      <c r="AZ174" s="148"/>
      <c r="BA174" s="203" t="s">
        <v>331</v>
      </c>
      <c r="BB174" s="179">
        <v>2.8000000000000001E-2</v>
      </c>
      <c r="BC174" s="16">
        <v>0</v>
      </c>
      <c r="BD174" s="16"/>
      <c r="BE174" s="16"/>
      <c r="BF174" s="16">
        <v>0</v>
      </c>
      <c r="BG174" s="16">
        <v>0</v>
      </c>
      <c r="BH174" s="16">
        <v>0</v>
      </c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85"/>
      <c r="CV174" s="185"/>
      <c r="CW174" s="16"/>
      <c r="CX174" s="159"/>
      <c r="CY174" s="16"/>
      <c r="CZ174" s="16"/>
      <c r="DA174" s="16"/>
      <c r="DB174" s="16"/>
      <c r="DC174" s="16"/>
      <c r="DD174" s="185"/>
      <c r="DE174" s="185"/>
      <c r="DF174" s="185"/>
      <c r="DG174" s="185"/>
      <c r="DH174" s="16"/>
      <c r="DI174" s="159"/>
      <c r="DJ174" s="1" t="b">
        <v>1</v>
      </c>
      <c r="DK174" s="16"/>
      <c r="DL174" s="16"/>
      <c r="DM174" s="16"/>
      <c r="DN174" s="16"/>
      <c r="DO174" s="16"/>
      <c r="DP174" s="96"/>
      <c r="DQ174" s="140"/>
      <c r="DR174" s="57" t="str">
        <f t="shared" si="3"/>
        <v/>
      </c>
      <c r="DS174" s="16"/>
      <c r="DT174" s="16"/>
      <c r="DU174" s="1" t="s">
        <v>280</v>
      </c>
      <c r="DV174" s="148"/>
      <c r="DW174" s="16"/>
      <c r="DX174" s="16"/>
      <c r="DY174" s="148"/>
      <c r="DZ174" s="175"/>
      <c r="EA174" s="176"/>
      <c r="EB174" s="176"/>
      <c r="EC174" s="176"/>
      <c r="ED174" s="176"/>
      <c r="EE174" s="16"/>
      <c r="EF174" s="16"/>
      <c r="EG174" s="16"/>
      <c r="EH174" s="16"/>
      <c r="EI174" s="16"/>
      <c r="EJ174" s="16"/>
      <c r="EK174" s="16"/>
      <c r="EL174" s="16"/>
      <c r="EM174" s="16"/>
      <c r="EN174" s="16"/>
      <c r="EO174" s="16"/>
      <c r="EP174" s="16"/>
      <c r="EQ174" s="16"/>
      <c r="ER174" s="16"/>
      <c r="ES174" s="16"/>
    </row>
    <row r="175" spans="1:149" s="8" customFormat="1" ht="14.25" customHeight="1" x14ac:dyDescent="0.15">
      <c r="A175" s="185"/>
      <c r="B175" s="186"/>
      <c r="C175" s="40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5"/>
      <c r="P175" s="185"/>
      <c r="Q175" s="185"/>
      <c r="R175" s="185"/>
      <c r="S175" s="185"/>
      <c r="T175" s="185"/>
      <c r="U175" s="185"/>
      <c r="V175" s="185"/>
      <c r="W175" s="185"/>
      <c r="X175" s="185"/>
      <c r="Y175" s="185"/>
      <c r="Z175" s="185"/>
      <c r="AA175" s="185"/>
      <c r="AB175" s="185">
        <v>17050302</v>
      </c>
      <c r="AC175" s="185" t="s">
        <v>332</v>
      </c>
      <c r="AD175" s="16" t="s">
        <v>333</v>
      </c>
      <c r="AE175" s="16" t="s">
        <v>291</v>
      </c>
      <c r="AF175" s="16" t="s">
        <v>314</v>
      </c>
      <c r="AG175" s="16"/>
      <c r="AH175" s="16"/>
      <c r="AI175" s="16"/>
      <c r="AJ175" s="16">
        <v>-1</v>
      </c>
      <c r="AK175" s="16"/>
      <c r="AL175" s="148"/>
      <c r="AM175" s="149"/>
      <c r="AN175" s="149"/>
      <c r="AO175" s="149"/>
      <c r="AP175" s="149"/>
      <c r="AQ175" s="149"/>
      <c r="AR175" s="149"/>
      <c r="AS175" s="16"/>
      <c r="AT175" s="16"/>
      <c r="AU175" s="148"/>
      <c r="AV175" s="148"/>
      <c r="AW175" s="148"/>
      <c r="AX175" s="148"/>
      <c r="AY175" s="148"/>
      <c r="AZ175" s="148"/>
      <c r="BA175" s="203"/>
      <c r="BB175" s="185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85"/>
      <c r="CV175" s="185"/>
      <c r="CW175" s="16"/>
      <c r="CX175" s="16"/>
      <c r="CY175" s="16"/>
      <c r="CZ175" s="16"/>
      <c r="DA175" s="16"/>
      <c r="DB175" s="16"/>
      <c r="DC175" s="16"/>
      <c r="DD175" s="185"/>
      <c r="DE175" s="185"/>
      <c r="DF175" s="185"/>
      <c r="DG175" s="185"/>
      <c r="DH175" s="16"/>
      <c r="DI175" s="16"/>
      <c r="DJ175" s="1" t="b">
        <v>1</v>
      </c>
      <c r="DK175" s="16"/>
      <c r="DL175" s="16"/>
      <c r="DM175" s="16"/>
      <c r="DN175" s="16"/>
      <c r="DO175" s="16"/>
      <c r="DP175" s="96"/>
      <c r="DQ175" s="140"/>
      <c r="DR175" s="57" t="str">
        <f t="shared" si="3"/>
        <v/>
      </c>
      <c r="DS175" s="16"/>
      <c r="DT175" s="16"/>
      <c r="DU175" s="1" t="s">
        <v>280</v>
      </c>
      <c r="DV175" s="148"/>
      <c r="DW175" s="16"/>
      <c r="DX175" s="16"/>
      <c r="DY175" s="148"/>
      <c r="DZ175" s="16"/>
      <c r="EA175" s="148"/>
      <c r="EB175" s="148"/>
      <c r="EC175" s="148"/>
      <c r="ED175" s="148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</row>
    <row r="176" spans="1:149" s="10" customFormat="1" ht="14.25" customHeight="1" x14ac:dyDescent="0.15">
      <c r="A176" s="185">
        <v>170555</v>
      </c>
      <c r="B176" s="186" t="s">
        <v>476</v>
      </c>
      <c r="C176" s="40" t="s">
        <v>477</v>
      </c>
      <c r="D176" s="185" t="s">
        <v>500</v>
      </c>
      <c r="E176" s="185">
        <v>170518</v>
      </c>
      <c r="F176" s="185"/>
      <c r="G176" s="185"/>
      <c r="H176" s="185">
        <v>0</v>
      </c>
      <c r="I176" s="185"/>
      <c r="J176" s="185"/>
      <c r="K176" s="185"/>
      <c r="L176" s="185">
        <v>0</v>
      </c>
      <c r="M176" s="185"/>
      <c r="N176" s="185"/>
      <c r="O176" s="185"/>
      <c r="P176" s="185" t="s">
        <v>268</v>
      </c>
      <c r="Q176" s="185" t="s">
        <v>269</v>
      </c>
      <c r="R176" s="185"/>
      <c r="S176" s="185"/>
      <c r="T176" s="185"/>
      <c r="U176" s="185"/>
      <c r="V176" s="185"/>
      <c r="W176" s="185"/>
      <c r="X176" s="185">
        <v>1</v>
      </c>
      <c r="Y176" s="185">
        <v>0</v>
      </c>
      <c r="Z176" s="185">
        <v>0</v>
      </c>
      <c r="AA176" s="185"/>
      <c r="AB176" s="185">
        <v>3001</v>
      </c>
      <c r="AC176" s="193" t="s">
        <v>337</v>
      </c>
      <c r="AE176" s="10" t="s">
        <v>129</v>
      </c>
      <c r="AF176" s="10" t="s">
        <v>314</v>
      </c>
      <c r="AL176" s="68"/>
      <c r="AM176" s="68"/>
      <c r="AN176" s="68"/>
      <c r="AO176" s="68"/>
      <c r="AP176" s="68"/>
      <c r="AQ176" s="68"/>
      <c r="AR176" s="68"/>
      <c r="AU176" s="68"/>
      <c r="AV176" s="68"/>
      <c r="AW176" s="68"/>
      <c r="AX176" s="68"/>
      <c r="AY176" s="68"/>
      <c r="AZ176" s="68"/>
      <c r="BA176" s="203" t="s">
        <v>270</v>
      </c>
      <c r="BB176" s="185">
        <v>100</v>
      </c>
      <c r="BC176" s="10">
        <v>0</v>
      </c>
      <c r="BF176" s="10">
        <v>0</v>
      </c>
      <c r="BG176" s="10">
        <v>0</v>
      </c>
      <c r="BH176" s="10">
        <v>0</v>
      </c>
      <c r="BJ176" s="10" t="s">
        <v>270</v>
      </c>
      <c r="BS176" s="10" t="s">
        <v>270</v>
      </c>
      <c r="CF176" s="10" t="s">
        <v>271</v>
      </c>
      <c r="CJ176" s="10" t="s">
        <v>3</v>
      </c>
      <c r="CK176" s="58" t="s">
        <v>443</v>
      </c>
      <c r="CL176" s="58"/>
      <c r="CM176" s="10">
        <v>999</v>
      </c>
      <c r="CN176" s="10">
        <v>0</v>
      </c>
      <c r="CO176" s="10">
        <v>0</v>
      </c>
      <c r="CP176" s="10">
        <v>0</v>
      </c>
      <c r="CQ176" s="10">
        <v>0</v>
      </c>
      <c r="CS176" s="10">
        <v>15</v>
      </c>
      <c r="CU176" s="185">
        <v>15</v>
      </c>
      <c r="CV176" s="185" t="s">
        <v>479</v>
      </c>
      <c r="CW176" s="10" t="b">
        <v>0</v>
      </c>
      <c r="CX176" s="10" t="s">
        <v>273</v>
      </c>
      <c r="DB176" s="10">
        <v>100300</v>
      </c>
      <c r="DC176" s="10" t="b">
        <v>1</v>
      </c>
      <c r="DD176" s="185" t="s">
        <v>274</v>
      </c>
      <c r="DE176" s="185" t="s">
        <v>340</v>
      </c>
      <c r="DF176" s="185" t="s">
        <v>276</v>
      </c>
      <c r="DG176" s="185" t="s">
        <v>277</v>
      </c>
      <c r="DH176" s="10">
        <v>4</v>
      </c>
      <c r="DI176" s="10" t="b">
        <v>0</v>
      </c>
      <c r="DJ176" s="1" t="b">
        <v>1</v>
      </c>
      <c r="DP176" s="96" t="s">
        <v>471</v>
      </c>
      <c r="DQ176" s="58" t="s">
        <v>446</v>
      </c>
      <c r="DR176" s="57" t="e">
        <f t="shared" si="3"/>
        <v>#VALUE!</v>
      </c>
      <c r="DS176" s="10" t="s">
        <v>447</v>
      </c>
      <c r="DU176" s="1" t="s">
        <v>280</v>
      </c>
      <c r="DV176" s="68"/>
      <c r="DZ176" s="10">
        <v>1</v>
      </c>
      <c r="EA176" s="68">
        <v>-1</v>
      </c>
      <c r="EB176" s="68">
        <v>4.1666666666666699E-2</v>
      </c>
      <c r="EC176" s="68">
        <v>8.3333333333333301E-2</v>
      </c>
      <c r="ED176" s="68">
        <v>8.3333333333333301E-2</v>
      </c>
      <c r="EE176" s="10" t="s">
        <v>284</v>
      </c>
      <c r="EF176" s="10" t="s">
        <v>326</v>
      </c>
      <c r="EG176" s="10" t="e">
        <v>#VALUE!</v>
      </c>
      <c r="EH176" s="10" t="s">
        <v>285</v>
      </c>
      <c r="EI176" s="10" t="s">
        <v>344</v>
      </c>
      <c r="EJ176" s="10" t="e">
        <v>#VALUE!</v>
      </c>
      <c r="EK176" s="10" t="s">
        <v>286</v>
      </c>
      <c r="EL176" s="10" t="s">
        <v>345</v>
      </c>
      <c r="EM176" s="10" t="e">
        <v>#VALUE!</v>
      </c>
      <c r="EN176" s="10" t="s">
        <v>287</v>
      </c>
      <c r="EO176" s="10" t="s">
        <v>345</v>
      </c>
      <c r="EP176" s="10" t="e">
        <v>#VALUE!</v>
      </c>
    </row>
    <row r="177" spans="1:146" s="10" customFormat="1" ht="14.25" customHeight="1" x14ac:dyDescent="0.15">
      <c r="A177" s="185"/>
      <c r="B177" s="187"/>
      <c r="C177" s="40"/>
      <c r="D177" s="185"/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185"/>
      <c r="Q177" s="185"/>
      <c r="R177" s="185"/>
      <c r="S177" s="185"/>
      <c r="T177" s="185"/>
      <c r="U177" s="185"/>
      <c r="V177" s="185"/>
      <c r="W177" s="185"/>
      <c r="X177" s="185"/>
      <c r="Y177" s="185"/>
      <c r="Z177" s="185"/>
      <c r="AA177" s="185"/>
      <c r="AB177" s="185">
        <v>10240102</v>
      </c>
      <c r="AC177" s="185" t="s">
        <v>346</v>
      </c>
      <c r="AE177" s="10" t="s">
        <v>129</v>
      </c>
      <c r="AF177" s="10" t="s">
        <v>314</v>
      </c>
      <c r="AJ177" s="10">
        <v>3</v>
      </c>
      <c r="AL177" s="68"/>
      <c r="AM177" s="68"/>
      <c r="AN177" s="68"/>
      <c r="AO177" s="68"/>
      <c r="AP177" s="68"/>
      <c r="AQ177" s="68"/>
      <c r="AR177" s="68"/>
      <c r="AU177" s="68"/>
      <c r="AV177" s="68"/>
      <c r="AW177" s="68"/>
      <c r="AX177" s="68"/>
      <c r="AY177" s="68"/>
      <c r="AZ177" s="68"/>
      <c r="BA177" s="203"/>
      <c r="BB177" s="185"/>
      <c r="CK177" s="58"/>
      <c r="CL177" s="58"/>
      <c r="CU177" s="185"/>
      <c r="CV177" s="185"/>
      <c r="CX177" s="89"/>
      <c r="DD177" s="185"/>
      <c r="DE177" s="185"/>
      <c r="DF177" s="185"/>
      <c r="DG177" s="185"/>
      <c r="DI177" s="89"/>
      <c r="DJ177" s="1" t="b">
        <v>1</v>
      </c>
      <c r="DM177" s="59"/>
      <c r="DN177" s="59"/>
      <c r="DO177" s="59"/>
      <c r="DP177" s="94"/>
      <c r="DQ177" s="58"/>
      <c r="DR177" s="57" t="str">
        <f t="shared" si="3"/>
        <v/>
      </c>
      <c r="DS177" s="58"/>
      <c r="DT177" s="99"/>
      <c r="DU177" s="1" t="s">
        <v>280</v>
      </c>
      <c r="DV177" s="68"/>
      <c r="DY177" s="68"/>
      <c r="DZ177" s="113"/>
      <c r="EA177" s="114"/>
      <c r="EB177" s="114"/>
      <c r="EC177" s="114"/>
      <c r="ED177" s="114"/>
    </row>
    <row r="178" spans="1:146" s="10" customFormat="1" ht="14.25" customHeight="1" x14ac:dyDescent="0.15">
      <c r="A178" s="185">
        <v>170556</v>
      </c>
      <c r="B178" s="186" t="s">
        <v>456</v>
      </c>
      <c r="C178" s="40" t="s">
        <v>457</v>
      </c>
      <c r="D178" s="185" t="s">
        <v>500</v>
      </c>
      <c r="E178" s="185">
        <v>170519</v>
      </c>
      <c r="F178" s="185"/>
      <c r="G178" s="185"/>
      <c r="H178" s="185">
        <v>0</v>
      </c>
      <c r="I178" s="185"/>
      <c r="J178" s="185"/>
      <c r="K178" s="185"/>
      <c r="L178" s="185">
        <v>0</v>
      </c>
      <c r="M178" s="185"/>
      <c r="N178" s="185"/>
      <c r="O178" s="185"/>
      <c r="P178" s="185" t="s">
        <v>268</v>
      </c>
      <c r="Q178" s="185" t="s">
        <v>269</v>
      </c>
      <c r="R178" s="185"/>
      <c r="S178" s="185"/>
      <c r="T178" s="185"/>
      <c r="U178" s="185"/>
      <c r="V178" s="185"/>
      <c r="W178" s="185"/>
      <c r="X178" s="185">
        <v>1</v>
      </c>
      <c r="Y178" s="185">
        <v>0</v>
      </c>
      <c r="Z178" s="185">
        <v>0</v>
      </c>
      <c r="AA178" s="185"/>
      <c r="AB178" s="185">
        <v>3001</v>
      </c>
      <c r="AC178" s="185" t="s">
        <v>337</v>
      </c>
      <c r="AD178" s="10" t="s">
        <v>330</v>
      </c>
      <c r="AE178" s="59"/>
      <c r="AF178" s="59"/>
      <c r="AG178" s="59"/>
      <c r="AH178" s="59"/>
      <c r="AI178" s="59"/>
      <c r="AJ178" s="59"/>
      <c r="AK178" s="59"/>
      <c r="BA178" s="185" t="s">
        <v>270</v>
      </c>
      <c r="BB178" s="185">
        <v>75</v>
      </c>
      <c r="BC178" s="10">
        <v>0</v>
      </c>
      <c r="BF178" s="10">
        <v>0</v>
      </c>
      <c r="BG178" s="10">
        <v>0</v>
      </c>
      <c r="BH178" s="10">
        <v>0</v>
      </c>
      <c r="BJ178" s="10" t="s">
        <v>270</v>
      </c>
      <c r="BS178" s="10" t="s">
        <v>270</v>
      </c>
      <c r="CF178" s="10" t="s">
        <v>378</v>
      </c>
      <c r="CJ178" s="10" t="s">
        <v>1</v>
      </c>
      <c r="CK178" s="58" t="s">
        <v>379</v>
      </c>
      <c r="CL178" s="58"/>
      <c r="CM178" s="10">
        <v>999</v>
      </c>
      <c r="CN178" s="10">
        <v>0</v>
      </c>
      <c r="CO178" s="10">
        <v>0</v>
      </c>
      <c r="CP178" s="10">
        <v>0</v>
      </c>
      <c r="CQ178" s="10">
        <v>0</v>
      </c>
      <c r="CS178" s="10">
        <v>5</v>
      </c>
      <c r="CU178" s="185">
        <v>20</v>
      </c>
      <c r="CV178" s="185" t="s">
        <v>481</v>
      </c>
      <c r="CW178" s="10" t="b">
        <v>0</v>
      </c>
      <c r="CX178" s="10" t="s">
        <v>273</v>
      </c>
      <c r="DB178" s="10">
        <v>102401</v>
      </c>
      <c r="DC178" s="10" t="b">
        <v>1</v>
      </c>
      <c r="DD178" s="185" t="s">
        <v>274</v>
      </c>
      <c r="DE178" s="185" t="s">
        <v>380</v>
      </c>
      <c r="DF178" s="185" t="s">
        <v>276</v>
      </c>
      <c r="DG178" s="185" t="s">
        <v>293</v>
      </c>
      <c r="DH178" s="10">
        <v>4</v>
      </c>
      <c r="DI178" s="10" t="b">
        <v>0</v>
      </c>
      <c r="DJ178" s="1" t="b">
        <v>1</v>
      </c>
      <c r="DP178" s="96" t="s">
        <v>473</v>
      </c>
      <c r="DQ178" s="10" t="s">
        <v>460</v>
      </c>
      <c r="DR178" s="57" t="e">
        <f t="shared" si="3"/>
        <v>#VALUE!</v>
      </c>
      <c r="DS178" s="10" t="s">
        <v>461</v>
      </c>
      <c r="DU178" s="1" t="s">
        <v>280</v>
      </c>
      <c r="DV178" s="68"/>
      <c r="DZ178" s="10">
        <v>1</v>
      </c>
      <c r="EA178" s="68">
        <v>-1</v>
      </c>
      <c r="EB178" s="68">
        <v>4.1666666666666699E-2</v>
      </c>
      <c r="EC178" s="68">
        <v>8.3333333333333301E-2</v>
      </c>
      <c r="ED178" s="68">
        <v>8.3333333333333301E-2</v>
      </c>
      <c r="EE178" s="10" t="s">
        <v>284</v>
      </c>
      <c r="EF178" s="10" t="s">
        <v>326</v>
      </c>
      <c r="EG178" s="10" t="e">
        <v>#VALUE!</v>
      </c>
      <c r="EH178" s="10" t="s">
        <v>285</v>
      </c>
      <c r="EI178" s="10" t="s">
        <v>344</v>
      </c>
      <c r="EJ178" s="10" t="e">
        <v>#VALUE!</v>
      </c>
      <c r="EK178" s="10" t="s">
        <v>286</v>
      </c>
      <c r="EL178" s="10" t="s">
        <v>328</v>
      </c>
      <c r="EM178" s="10" t="e">
        <v>#VALUE!</v>
      </c>
      <c r="EN178" s="10" t="s">
        <v>287</v>
      </c>
      <c r="EO178" s="10" t="s">
        <v>328</v>
      </c>
      <c r="EP178" s="10" t="e">
        <v>#VALUE!</v>
      </c>
    </row>
    <row r="179" spans="1:146" s="10" customFormat="1" ht="14.25" customHeight="1" x14ac:dyDescent="0.15">
      <c r="A179" s="185"/>
      <c r="B179" s="186"/>
      <c r="C179" s="40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5"/>
      <c r="R179" s="185"/>
      <c r="S179" s="185"/>
      <c r="T179" s="185"/>
      <c r="U179" s="185"/>
      <c r="V179" s="185"/>
      <c r="W179" s="185"/>
      <c r="X179" s="185"/>
      <c r="Y179" s="185"/>
      <c r="Z179" s="185"/>
      <c r="AA179" s="185"/>
      <c r="AB179" s="185">
        <v>17050505</v>
      </c>
      <c r="AC179" s="185" t="s">
        <v>384</v>
      </c>
      <c r="AD179" s="10" t="s">
        <v>330</v>
      </c>
      <c r="AE179" s="59" t="s">
        <v>291</v>
      </c>
      <c r="AF179" s="59" t="s">
        <v>314</v>
      </c>
      <c r="AG179" s="59"/>
      <c r="AH179" s="59"/>
      <c r="AI179" s="59"/>
      <c r="AJ179" s="59"/>
      <c r="AK179" s="59"/>
      <c r="BA179" s="185"/>
      <c r="BB179" s="185"/>
      <c r="CU179" s="185"/>
      <c r="CV179" s="185"/>
      <c r="DD179" s="185"/>
      <c r="DE179" s="185"/>
      <c r="DF179" s="185"/>
      <c r="DG179" s="185"/>
      <c r="DJ179" s="1" t="b">
        <v>1</v>
      </c>
      <c r="DP179" s="96"/>
      <c r="DR179" s="57" t="str">
        <f t="shared" si="3"/>
        <v/>
      </c>
      <c r="DU179" s="1" t="s">
        <v>280</v>
      </c>
      <c r="DV179" s="68"/>
      <c r="DY179" s="68"/>
      <c r="EA179" s="68"/>
      <c r="EB179" s="68"/>
      <c r="EC179" s="68"/>
      <c r="ED179" s="68"/>
    </row>
    <row r="180" spans="1:146" s="10" customFormat="1" ht="14.25" customHeight="1" x14ac:dyDescent="0.15">
      <c r="A180" s="185"/>
      <c r="B180" s="186"/>
      <c r="C180" s="40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>
        <v>17050506</v>
      </c>
      <c r="AC180" s="185" t="s">
        <v>385</v>
      </c>
      <c r="AE180" s="10" t="s">
        <v>291</v>
      </c>
      <c r="AF180" s="10" t="s">
        <v>314</v>
      </c>
      <c r="AJ180" s="10">
        <v>8</v>
      </c>
      <c r="AL180" s="68"/>
      <c r="AM180" s="68"/>
      <c r="AN180" s="68"/>
      <c r="AO180" s="68"/>
      <c r="AP180" s="68"/>
      <c r="AQ180" s="68"/>
      <c r="AR180" s="68"/>
      <c r="AU180" s="68"/>
      <c r="AV180" s="68"/>
      <c r="AW180" s="68"/>
      <c r="AX180" s="68"/>
      <c r="AY180" s="68"/>
      <c r="AZ180" s="68"/>
      <c r="BA180" s="203"/>
      <c r="BB180" s="185"/>
      <c r="CK180" s="58"/>
      <c r="CL180" s="58"/>
      <c r="CU180" s="185"/>
      <c r="CV180" s="185"/>
      <c r="CX180" s="89"/>
      <c r="DD180" s="210"/>
      <c r="DE180" s="185"/>
      <c r="DF180" s="210"/>
      <c r="DG180" s="210"/>
      <c r="DH180" s="93"/>
      <c r="DI180" s="93"/>
      <c r="DJ180" s="1" t="b">
        <v>1</v>
      </c>
      <c r="DP180" s="96"/>
      <c r="DQ180" s="105"/>
      <c r="DR180" s="57" t="str">
        <f t="shared" si="3"/>
        <v/>
      </c>
      <c r="DS180" s="105"/>
      <c r="DT180" s="106"/>
      <c r="DU180" s="1" t="s">
        <v>280</v>
      </c>
      <c r="DV180" s="68"/>
      <c r="DY180" s="68"/>
      <c r="DZ180" s="113"/>
      <c r="EA180" s="114"/>
      <c r="EB180" s="114"/>
      <c r="EC180" s="114"/>
      <c r="ED180" s="114"/>
    </row>
    <row r="181" spans="1:146" s="10" customFormat="1" ht="14.25" customHeight="1" x14ac:dyDescent="0.15">
      <c r="A181" s="185"/>
      <c r="B181" s="186"/>
      <c r="C181" s="40"/>
      <c r="D181" s="185"/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185"/>
      <c r="Q181" s="185"/>
      <c r="R181" s="185"/>
      <c r="S181" s="185"/>
      <c r="T181" s="185"/>
      <c r="U181" s="185"/>
      <c r="V181" s="185"/>
      <c r="W181" s="185"/>
      <c r="X181" s="185"/>
      <c r="Y181" s="185"/>
      <c r="Z181" s="185"/>
      <c r="AA181" s="185"/>
      <c r="AB181" s="193">
        <v>17050507</v>
      </c>
      <c r="AC181" s="185" t="s">
        <v>386</v>
      </c>
      <c r="AD181" s="10" t="s">
        <v>330</v>
      </c>
      <c r="AE181" s="10" t="s">
        <v>291</v>
      </c>
      <c r="AF181" s="10" t="s">
        <v>314</v>
      </c>
      <c r="AJ181" s="59"/>
      <c r="AK181" s="59"/>
      <c r="BA181" s="185"/>
      <c r="BB181" s="185"/>
      <c r="CU181" s="185"/>
      <c r="CV181" s="185"/>
      <c r="DD181" s="185"/>
      <c r="DE181" s="185"/>
      <c r="DF181" s="185"/>
      <c r="DG181" s="185"/>
      <c r="DJ181" s="1" t="b">
        <v>1</v>
      </c>
      <c r="DP181" s="96"/>
      <c r="DR181" s="57" t="str">
        <f t="shared" si="3"/>
        <v/>
      </c>
      <c r="DU181" s="1" t="s">
        <v>280</v>
      </c>
      <c r="DV181" s="68"/>
      <c r="DY181" s="68"/>
      <c r="EA181" s="68"/>
      <c r="EB181" s="68"/>
      <c r="EC181" s="68"/>
      <c r="ED181" s="68"/>
    </row>
    <row r="182" spans="1:146" s="10" customFormat="1" ht="14.25" customHeight="1" x14ac:dyDescent="0.15">
      <c r="A182" s="185">
        <v>170557</v>
      </c>
      <c r="B182" s="186" t="s">
        <v>462</v>
      </c>
      <c r="C182" s="40" t="s">
        <v>463</v>
      </c>
      <c r="D182" s="185" t="s">
        <v>500</v>
      </c>
      <c r="E182" s="185">
        <v>170520</v>
      </c>
      <c r="F182" s="185"/>
      <c r="G182" s="185"/>
      <c r="H182" s="185">
        <v>0</v>
      </c>
      <c r="I182" s="185"/>
      <c r="J182" s="185"/>
      <c r="K182" s="185"/>
      <c r="L182" s="185">
        <v>0</v>
      </c>
      <c r="M182" s="185"/>
      <c r="N182" s="185"/>
      <c r="O182" s="185"/>
      <c r="P182" s="185" t="s">
        <v>268</v>
      </c>
      <c r="Q182" s="185" t="s">
        <v>269</v>
      </c>
      <c r="R182" s="185"/>
      <c r="S182" s="185"/>
      <c r="T182" s="185"/>
      <c r="U182" s="185"/>
      <c r="V182" s="185"/>
      <c r="W182" s="185"/>
      <c r="X182" s="185">
        <v>1</v>
      </c>
      <c r="Y182" s="185">
        <v>0</v>
      </c>
      <c r="Z182" s="185">
        <v>0</v>
      </c>
      <c r="AA182" s="185"/>
      <c r="AB182" s="185">
        <v>3001</v>
      </c>
      <c r="AC182" s="193"/>
      <c r="AL182" s="68"/>
      <c r="AM182" s="68"/>
      <c r="AN182" s="68"/>
      <c r="AO182" s="68"/>
      <c r="AP182" s="68"/>
      <c r="AQ182" s="68"/>
      <c r="AR182" s="68"/>
      <c r="AU182" s="68"/>
      <c r="AV182" s="68"/>
      <c r="AW182" s="68"/>
      <c r="AX182" s="68"/>
      <c r="AY182" s="68"/>
      <c r="AZ182" s="68"/>
      <c r="BA182" s="203" t="s">
        <v>270</v>
      </c>
      <c r="BB182" s="185">
        <v>150</v>
      </c>
      <c r="BC182" s="10">
        <v>0</v>
      </c>
      <c r="BF182" s="10">
        <v>0</v>
      </c>
      <c r="BG182" s="10">
        <v>0</v>
      </c>
      <c r="BH182" s="10">
        <v>0</v>
      </c>
      <c r="BJ182" s="10" t="s">
        <v>270</v>
      </c>
      <c r="BS182" s="10" t="s">
        <v>270</v>
      </c>
      <c r="CF182" s="10" t="s">
        <v>271</v>
      </c>
      <c r="CJ182" s="10" t="s">
        <v>1</v>
      </c>
      <c r="CK182" s="58" t="s">
        <v>464</v>
      </c>
      <c r="CL182" s="58"/>
      <c r="CM182" s="10">
        <v>999</v>
      </c>
      <c r="CN182" s="10">
        <v>0</v>
      </c>
      <c r="CO182" s="10">
        <v>0</v>
      </c>
      <c r="CP182" s="10">
        <v>0</v>
      </c>
      <c r="CQ182" s="10">
        <v>0</v>
      </c>
      <c r="CS182" s="10">
        <v>20</v>
      </c>
      <c r="CT182" s="10">
        <v>10</v>
      </c>
      <c r="CU182" s="185">
        <v>24</v>
      </c>
      <c r="CV182" s="185" t="s">
        <v>483</v>
      </c>
      <c r="CW182" s="10" t="b">
        <v>1</v>
      </c>
      <c r="CX182" s="10" t="s">
        <v>273</v>
      </c>
      <c r="DB182" s="10">
        <v>170501</v>
      </c>
      <c r="DC182" s="10" t="b">
        <v>1</v>
      </c>
      <c r="DD182" s="185" t="s">
        <v>274</v>
      </c>
      <c r="DE182" s="185" t="s">
        <v>495</v>
      </c>
      <c r="DF182" s="185" t="s">
        <v>276</v>
      </c>
      <c r="DG182" s="185" t="s">
        <v>322</v>
      </c>
      <c r="DH182" s="10">
        <v>4</v>
      </c>
      <c r="DI182" s="10" t="b">
        <v>0</v>
      </c>
      <c r="DJ182" s="1" t="b">
        <v>1</v>
      </c>
      <c r="DP182" s="96" t="s">
        <v>475</v>
      </c>
      <c r="DQ182" s="58" t="s">
        <v>467</v>
      </c>
      <c r="DR182" s="57" t="e">
        <f t="shared" si="3"/>
        <v>#VALUE!</v>
      </c>
      <c r="DS182" s="10" t="s">
        <v>468</v>
      </c>
      <c r="DU182" s="1" t="s">
        <v>280</v>
      </c>
      <c r="DV182" s="68"/>
      <c r="DZ182" s="10">
        <v>1</v>
      </c>
      <c r="EA182" s="68">
        <v>-1</v>
      </c>
      <c r="EB182" s="68">
        <v>4.1666666666666699E-2</v>
      </c>
      <c r="EC182" s="68">
        <v>8.3333333333333301E-2</v>
      </c>
      <c r="ED182" s="68">
        <v>8.3333333333333301E-2</v>
      </c>
      <c r="EE182" s="10" t="s">
        <v>284</v>
      </c>
      <c r="EF182" s="10" t="s">
        <v>326</v>
      </c>
      <c r="EG182" s="10" t="e">
        <v>#VALUE!</v>
      </c>
      <c r="EH182" s="10" t="s">
        <v>285</v>
      </c>
      <c r="EI182" s="10" t="s">
        <v>327</v>
      </c>
      <c r="EJ182" s="10" t="e">
        <v>#VALUE!</v>
      </c>
      <c r="EK182" s="10" t="s">
        <v>286</v>
      </c>
      <c r="EL182" s="10" t="s">
        <v>328</v>
      </c>
      <c r="EM182" s="10" t="e">
        <v>#VALUE!</v>
      </c>
      <c r="EN182" s="10" t="s">
        <v>287</v>
      </c>
      <c r="EO182" s="10" t="s">
        <v>328</v>
      </c>
      <c r="EP182" s="10" t="e">
        <v>#VALUE!</v>
      </c>
    </row>
    <row r="183" spans="1:146" s="10" customFormat="1" ht="14.25" customHeight="1" x14ac:dyDescent="0.15">
      <c r="A183" s="185"/>
      <c r="B183" s="186"/>
      <c r="C183" s="40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5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  <c r="AB183" s="185">
        <v>17050301</v>
      </c>
      <c r="AC183" s="185" t="s">
        <v>329</v>
      </c>
      <c r="AD183" s="10" t="s">
        <v>330</v>
      </c>
      <c r="AE183" s="10" t="s">
        <v>291</v>
      </c>
      <c r="AF183" s="10" t="s">
        <v>314</v>
      </c>
      <c r="AL183" s="68"/>
      <c r="AM183" s="68"/>
      <c r="AN183" s="68"/>
      <c r="AO183" s="68"/>
      <c r="AP183" s="68"/>
      <c r="AQ183" s="68"/>
      <c r="AR183" s="68"/>
      <c r="AU183" s="68"/>
      <c r="AV183" s="68"/>
      <c r="AW183" s="68"/>
      <c r="AX183" s="68"/>
      <c r="AY183" s="68"/>
      <c r="AZ183" s="68"/>
      <c r="BA183" s="203" t="s">
        <v>331</v>
      </c>
      <c r="BB183" s="179">
        <v>2.8000000000000001E-2</v>
      </c>
      <c r="BC183" s="10">
        <v>0</v>
      </c>
      <c r="BF183" s="10">
        <v>0</v>
      </c>
      <c r="BG183" s="10">
        <v>0</v>
      </c>
      <c r="BH183" s="10">
        <v>0</v>
      </c>
      <c r="CU183" s="185"/>
      <c r="CV183" s="185"/>
      <c r="CX183" s="89"/>
      <c r="DD183" s="185"/>
      <c r="DE183" s="185"/>
      <c r="DF183" s="185"/>
      <c r="DG183" s="185"/>
      <c r="DI183" s="89"/>
      <c r="DJ183" s="1" t="b">
        <v>1</v>
      </c>
      <c r="DP183" s="96"/>
      <c r="DQ183" s="58"/>
      <c r="DR183" s="57" t="str">
        <f t="shared" si="3"/>
        <v/>
      </c>
      <c r="DU183" s="1" t="s">
        <v>280</v>
      </c>
      <c r="DV183" s="68"/>
      <c r="DY183" s="68"/>
      <c r="DZ183" s="113"/>
      <c r="EA183" s="114"/>
      <c r="EB183" s="114"/>
      <c r="EC183" s="114"/>
      <c r="ED183" s="114"/>
    </row>
    <row r="184" spans="1:146" s="10" customFormat="1" ht="14.25" customHeight="1" x14ac:dyDescent="0.15">
      <c r="A184" s="185"/>
      <c r="B184" s="186"/>
      <c r="C184" s="40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  <c r="AB184" s="185">
        <v>17050302</v>
      </c>
      <c r="AC184" s="185" t="s">
        <v>332</v>
      </c>
      <c r="AD184" s="10" t="s">
        <v>333</v>
      </c>
      <c r="AE184" s="10" t="s">
        <v>291</v>
      </c>
      <c r="AF184" s="10" t="s">
        <v>314</v>
      </c>
      <c r="AJ184" s="10">
        <v>-1</v>
      </c>
      <c r="AL184" s="68"/>
      <c r="AM184" s="199"/>
      <c r="AN184" s="199"/>
      <c r="AO184" s="199"/>
      <c r="AP184" s="199"/>
      <c r="AQ184" s="199"/>
      <c r="AR184" s="199"/>
      <c r="AU184" s="68"/>
      <c r="AV184" s="68"/>
      <c r="AW184" s="68"/>
      <c r="AX184" s="68"/>
      <c r="AY184" s="68"/>
      <c r="AZ184" s="68"/>
      <c r="BA184" s="203"/>
      <c r="BB184" s="185"/>
      <c r="CU184" s="185"/>
      <c r="CV184" s="185"/>
      <c r="DD184" s="185"/>
      <c r="DE184" s="185"/>
      <c r="DF184" s="185"/>
      <c r="DG184" s="185"/>
      <c r="DJ184" s="1" t="b">
        <v>1</v>
      </c>
      <c r="DP184" s="96"/>
      <c r="DQ184" s="58"/>
      <c r="DR184" s="57" t="str">
        <f t="shared" si="3"/>
        <v/>
      </c>
      <c r="DU184" s="1" t="s">
        <v>280</v>
      </c>
      <c r="DV184" s="68"/>
      <c r="DY184" s="68"/>
      <c r="EA184" s="68"/>
      <c r="EB184" s="68"/>
      <c r="EC184" s="68"/>
      <c r="ED184" s="68"/>
    </row>
    <row r="185" spans="1:146" s="11" customFormat="1" ht="14.25" customHeight="1" x14ac:dyDescent="0.15">
      <c r="A185" s="11">
        <v>170558</v>
      </c>
      <c r="B185" s="188" t="s">
        <v>334</v>
      </c>
      <c r="C185" s="40" t="s">
        <v>335</v>
      </c>
      <c r="D185" s="11" t="s">
        <v>501</v>
      </c>
      <c r="E185" s="189">
        <v>170515</v>
      </c>
      <c r="F185" s="189"/>
      <c r="G185" s="189"/>
      <c r="H185" s="11">
        <v>0</v>
      </c>
      <c r="L185" s="11">
        <v>0</v>
      </c>
      <c r="P185" s="11" t="s">
        <v>268</v>
      </c>
      <c r="Q185" s="11" t="s">
        <v>269</v>
      </c>
      <c r="X185" s="11">
        <v>1</v>
      </c>
      <c r="Y185" s="11">
        <v>0</v>
      </c>
      <c r="Z185" s="11">
        <v>0</v>
      </c>
      <c r="AB185" s="194">
        <v>3001</v>
      </c>
      <c r="AC185" s="195" t="s">
        <v>337</v>
      </c>
      <c r="AE185" s="11" t="s">
        <v>129</v>
      </c>
      <c r="AF185" s="11" t="s">
        <v>314</v>
      </c>
      <c r="AL185" s="200"/>
      <c r="AM185" s="200"/>
      <c r="AN185" s="200"/>
      <c r="AO185" s="200"/>
      <c r="AP185" s="200"/>
      <c r="AQ185" s="200"/>
      <c r="AR185" s="200"/>
      <c r="AU185" s="200"/>
      <c r="AV185" s="200"/>
      <c r="AW185" s="200"/>
      <c r="AX185" s="200"/>
      <c r="AY185" s="200"/>
      <c r="AZ185" s="200"/>
      <c r="BA185" s="204" t="s">
        <v>270</v>
      </c>
      <c r="BB185" s="11">
        <v>175</v>
      </c>
      <c r="BC185" s="11">
        <v>0</v>
      </c>
      <c r="BF185" s="11">
        <v>0</v>
      </c>
      <c r="BG185" s="11">
        <v>0</v>
      </c>
      <c r="BH185" s="11">
        <v>0</v>
      </c>
      <c r="BJ185" s="11" t="s">
        <v>270</v>
      </c>
      <c r="BS185" s="11" t="s">
        <v>270</v>
      </c>
      <c r="CF185" s="11" t="s">
        <v>271</v>
      </c>
      <c r="CJ185" s="11" t="s">
        <v>3</v>
      </c>
      <c r="CK185" s="195" t="s">
        <v>443</v>
      </c>
      <c r="CL185" s="195"/>
      <c r="CM185" s="11">
        <v>999</v>
      </c>
      <c r="CN185" s="11">
        <v>0</v>
      </c>
      <c r="CO185" s="11">
        <v>0</v>
      </c>
      <c r="CP185" s="11">
        <v>0</v>
      </c>
      <c r="CQ185" s="11">
        <v>0</v>
      </c>
      <c r="CS185" s="11">
        <v>15</v>
      </c>
      <c r="CU185" s="11">
        <v>15</v>
      </c>
      <c r="CV185" s="11" t="s">
        <v>470</v>
      </c>
      <c r="CW185" s="11" t="b">
        <v>0</v>
      </c>
      <c r="CX185" s="11" t="s">
        <v>273</v>
      </c>
      <c r="DB185" s="11">
        <v>100300</v>
      </c>
      <c r="DC185" s="11" t="b">
        <v>1</v>
      </c>
      <c r="DD185" s="11" t="s">
        <v>274</v>
      </c>
      <c r="DE185" s="11" t="s">
        <v>340</v>
      </c>
      <c r="DF185" s="11" t="s">
        <v>276</v>
      </c>
      <c r="DG185" s="11" t="s">
        <v>277</v>
      </c>
      <c r="DH185" s="11">
        <v>4</v>
      </c>
      <c r="DI185" s="11" t="b">
        <v>0</v>
      </c>
      <c r="DP185" s="96" t="s">
        <v>471</v>
      </c>
      <c r="DQ185" s="195" t="s">
        <v>502</v>
      </c>
      <c r="DR185" s="57" t="e">
        <f t="shared" si="3"/>
        <v>#VALUE!</v>
      </c>
      <c r="DS185" s="195" t="s">
        <v>503</v>
      </c>
      <c r="DU185" s="1" t="s">
        <v>280</v>
      </c>
      <c r="DV185" s="200"/>
      <c r="DZ185" s="11">
        <v>1</v>
      </c>
      <c r="EA185" s="200">
        <v>-1</v>
      </c>
      <c r="EB185" s="200">
        <v>4.1666666666666699E-2</v>
      </c>
      <c r="EC185" s="200">
        <v>8.3333333333333301E-2</v>
      </c>
      <c r="ED185" s="200">
        <v>8.3333333333333301E-2</v>
      </c>
      <c r="EE185" s="11" t="s">
        <v>284</v>
      </c>
      <c r="EF185" s="11" t="s">
        <v>326</v>
      </c>
      <c r="EG185" s="11" t="e">
        <v>#VALUE!</v>
      </c>
      <c r="EH185" s="11" t="s">
        <v>285</v>
      </c>
      <c r="EI185" s="11" t="s">
        <v>344</v>
      </c>
      <c r="EJ185" s="11" t="e">
        <v>#VALUE!</v>
      </c>
      <c r="EK185" s="11" t="s">
        <v>286</v>
      </c>
      <c r="EL185" s="11" t="s">
        <v>345</v>
      </c>
      <c r="EM185" s="11" t="e">
        <v>#VALUE!</v>
      </c>
      <c r="EN185" s="11" t="s">
        <v>287</v>
      </c>
      <c r="EO185" s="11" t="s">
        <v>345</v>
      </c>
      <c r="EP185" s="11" t="e">
        <v>#VALUE!</v>
      </c>
    </row>
    <row r="186" spans="1:146" s="11" customFormat="1" ht="14.25" customHeight="1" x14ac:dyDescent="0.15">
      <c r="B186" s="190"/>
      <c r="C186" s="40"/>
      <c r="E186" s="189"/>
      <c r="F186" s="189"/>
      <c r="G186" s="189"/>
      <c r="AB186" s="194">
        <v>10240102</v>
      </c>
      <c r="AC186" s="11" t="s">
        <v>346</v>
      </c>
      <c r="AE186" s="11" t="s">
        <v>129</v>
      </c>
      <c r="AF186" s="11" t="s">
        <v>314</v>
      </c>
      <c r="AJ186" s="11">
        <v>3</v>
      </c>
      <c r="AL186" s="200"/>
      <c r="AM186" s="200"/>
      <c r="AN186" s="200"/>
      <c r="AO186" s="200"/>
      <c r="AP186" s="200"/>
      <c r="AQ186" s="200"/>
      <c r="AR186" s="200"/>
      <c r="AU186" s="200"/>
      <c r="AV186" s="200"/>
      <c r="AW186" s="200"/>
      <c r="AX186" s="200"/>
      <c r="AY186" s="200"/>
      <c r="AZ186" s="200"/>
      <c r="BA186" s="204"/>
      <c r="CK186" s="195"/>
      <c r="CL186" s="195"/>
      <c r="CX186" s="207"/>
      <c r="DI186" s="207"/>
      <c r="DJ186" s="207"/>
      <c r="DM186" s="197"/>
      <c r="DN186" s="197"/>
      <c r="DO186" s="197"/>
      <c r="DP186" s="94"/>
      <c r="DQ186" s="195"/>
      <c r="DR186" s="57" t="str">
        <f t="shared" si="3"/>
        <v/>
      </c>
      <c r="DS186" s="195"/>
      <c r="DT186" s="211"/>
      <c r="DU186" s="1" t="s">
        <v>280</v>
      </c>
      <c r="DV186" s="200"/>
      <c r="DY186" s="200"/>
      <c r="DZ186" s="213"/>
      <c r="EA186" s="214"/>
      <c r="EB186" s="214"/>
      <c r="EC186" s="214"/>
      <c r="ED186" s="214"/>
    </row>
    <row r="187" spans="1:146" s="11" customFormat="1" ht="14.25" customHeight="1" x14ac:dyDescent="0.15">
      <c r="A187" s="11">
        <v>170559</v>
      </c>
      <c r="B187" s="188" t="s">
        <v>456</v>
      </c>
      <c r="C187" s="40" t="s">
        <v>457</v>
      </c>
      <c r="D187" s="11" t="s">
        <v>501</v>
      </c>
      <c r="E187" s="189">
        <v>170516</v>
      </c>
      <c r="F187" s="189"/>
      <c r="G187" s="189"/>
      <c r="H187" s="11">
        <v>0</v>
      </c>
      <c r="L187" s="11">
        <v>0</v>
      </c>
      <c r="P187" s="11" t="s">
        <v>268</v>
      </c>
      <c r="Q187" s="11" t="s">
        <v>269</v>
      </c>
      <c r="X187" s="11">
        <v>1</v>
      </c>
      <c r="Y187" s="11">
        <v>0</v>
      </c>
      <c r="Z187" s="11">
        <v>0</v>
      </c>
      <c r="AB187" s="196">
        <v>3001</v>
      </c>
      <c r="AC187" s="197" t="s">
        <v>337</v>
      </c>
      <c r="AD187" s="11" t="s">
        <v>330</v>
      </c>
      <c r="AE187" s="197"/>
      <c r="AF187" s="197"/>
      <c r="AG187" s="197"/>
      <c r="AH187" s="197"/>
      <c r="AI187" s="197"/>
      <c r="AJ187" s="197"/>
      <c r="AK187" s="197"/>
      <c r="BA187" s="205" t="s">
        <v>270</v>
      </c>
      <c r="BB187" s="11">
        <v>175</v>
      </c>
      <c r="BC187" s="11">
        <v>0</v>
      </c>
      <c r="BF187" s="11">
        <v>0</v>
      </c>
      <c r="BG187" s="11">
        <v>0</v>
      </c>
      <c r="BH187" s="11">
        <v>0</v>
      </c>
      <c r="BJ187" s="11" t="s">
        <v>270</v>
      </c>
      <c r="BS187" s="11" t="s">
        <v>270</v>
      </c>
      <c r="CF187" s="11" t="s">
        <v>378</v>
      </c>
      <c r="CJ187" s="11" t="s">
        <v>1</v>
      </c>
      <c r="CK187" s="195" t="s">
        <v>379</v>
      </c>
      <c r="CL187" s="195"/>
      <c r="CM187" s="11">
        <v>999</v>
      </c>
      <c r="CN187" s="11">
        <v>0</v>
      </c>
      <c r="CO187" s="11">
        <v>0</v>
      </c>
      <c r="CP187" s="11">
        <v>0</v>
      </c>
      <c r="CQ187" s="11">
        <v>0</v>
      </c>
      <c r="CS187" s="11">
        <v>5</v>
      </c>
      <c r="CU187" s="11">
        <v>20</v>
      </c>
      <c r="CV187" s="11" t="s">
        <v>472</v>
      </c>
      <c r="CW187" s="11" t="b">
        <v>0</v>
      </c>
      <c r="CX187" s="11" t="s">
        <v>273</v>
      </c>
      <c r="DB187" s="11">
        <v>102401</v>
      </c>
      <c r="DC187" s="11" t="b">
        <v>1</v>
      </c>
      <c r="DD187" s="11" t="s">
        <v>274</v>
      </c>
      <c r="DE187" s="11" t="s">
        <v>380</v>
      </c>
      <c r="DF187" s="11" t="s">
        <v>276</v>
      </c>
      <c r="DG187" s="11" t="s">
        <v>293</v>
      </c>
      <c r="DH187" s="11">
        <v>4</v>
      </c>
      <c r="DI187" s="11" t="b">
        <v>0</v>
      </c>
      <c r="DP187" s="96" t="s">
        <v>473</v>
      </c>
      <c r="DQ187" s="11" t="s">
        <v>504</v>
      </c>
      <c r="DR187" s="57" t="e">
        <f t="shared" ref="DR187:DR250" si="4">IF(DZ187="","",IF(DZ187=1,EG187,IF(DZ187=2,EJ187,IF(DZ187=3,EM187,IF(DZ187=4,EP187,IF(DZ187=0,DS187,"【参数配置有误】"&amp;DS187))))))</f>
        <v>#VALUE!</v>
      </c>
      <c r="DS187" s="11" t="s">
        <v>505</v>
      </c>
      <c r="DU187" s="1" t="s">
        <v>280</v>
      </c>
      <c r="DV187" s="200"/>
      <c r="DZ187" s="11">
        <v>1</v>
      </c>
      <c r="EA187" s="200">
        <v>-1</v>
      </c>
      <c r="EB187" s="200">
        <v>4.1666666666666699E-2</v>
      </c>
      <c r="EC187" s="200">
        <v>8.3333333333333301E-2</v>
      </c>
      <c r="ED187" s="200">
        <v>8.3333333333333301E-2</v>
      </c>
      <c r="EE187" s="11" t="s">
        <v>284</v>
      </c>
      <c r="EF187" s="11" t="s">
        <v>326</v>
      </c>
      <c r="EG187" s="11" t="e">
        <v>#VALUE!</v>
      </c>
      <c r="EH187" s="11" t="s">
        <v>285</v>
      </c>
      <c r="EI187" s="11" t="s">
        <v>344</v>
      </c>
      <c r="EJ187" s="11" t="e">
        <v>#VALUE!</v>
      </c>
      <c r="EK187" s="11" t="s">
        <v>286</v>
      </c>
      <c r="EL187" s="11" t="s">
        <v>328</v>
      </c>
      <c r="EM187" s="11" t="e">
        <v>#VALUE!</v>
      </c>
      <c r="EN187" s="11" t="s">
        <v>287</v>
      </c>
      <c r="EO187" s="11" t="s">
        <v>328</v>
      </c>
      <c r="EP187" s="11" t="e">
        <v>#VALUE!</v>
      </c>
    </row>
    <row r="188" spans="1:146" s="11" customFormat="1" ht="14.25" customHeight="1" x14ac:dyDescent="0.15">
      <c r="B188" s="188"/>
      <c r="C188" s="40"/>
      <c r="E188" s="189"/>
      <c r="F188" s="189"/>
      <c r="G188" s="189"/>
      <c r="AB188" s="196">
        <v>17050505</v>
      </c>
      <c r="AC188" s="197" t="s">
        <v>384</v>
      </c>
      <c r="AD188" s="11" t="s">
        <v>330</v>
      </c>
      <c r="AE188" s="197" t="s">
        <v>291</v>
      </c>
      <c r="AF188" s="197" t="s">
        <v>314</v>
      </c>
      <c r="AG188" s="197"/>
      <c r="AH188" s="197"/>
      <c r="AI188" s="197"/>
      <c r="AJ188" s="197"/>
      <c r="AK188" s="197"/>
      <c r="BA188" s="205"/>
      <c r="DP188" s="96"/>
      <c r="DR188" s="57" t="str">
        <f t="shared" si="4"/>
        <v/>
      </c>
      <c r="DU188" s="1" t="s">
        <v>280</v>
      </c>
      <c r="DV188" s="200"/>
      <c r="DY188" s="200"/>
      <c r="EA188" s="200"/>
      <c r="EB188" s="200"/>
      <c r="EC188" s="200"/>
      <c r="ED188" s="200"/>
    </row>
    <row r="189" spans="1:146" s="11" customFormat="1" ht="14.25" customHeight="1" x14ac:dyDescent="0.15">
      <c r="B189" s="188"/>
      <c r="C189" s="40"/>
      <c r="E189" s="189"/>
      <c r="F189" s="189"/>
      <c r="G189" s="189"/>
      <c r="AB189" s="194">
        <v>17050506</v>
      </c>
      <c r="AC189" s="11" t="s">
        <v>385</v>
      </c>
      <c r="AE189" s="11" t="s">
        <v>291</v>
      </c>
      <c r="AF189" s="11" t="s">
        <v>314</v>
      </c>
      <c r="AJ189" s="11">
        <v>8</v>
      </c>
      <c r="AL189" s="200"/>
      <c r="AM189" s="200"/>
      <c r="AN189" s="200"/>
      <c r="AO189" s="200"/>
      <c r="AP189" s="200"/>
      <c r="AQ189" s="200"/>
      <c r="AR189" s="200"/>
      <c r="AU189" s="200"/>
      <c r="AV189" s="200"/>
      <c r="AW189" s="200"/>
      <c r="AX189" s="200"/>
      <c r="AY189" s="200"/>
      <c r="AZ189" s="200"/>
      <c r="BA189" s="204"/>
      <c r="CK189" s="195"/>
      <c r="CL189" s="195"/>
      <c r="CX189" s="207"/>
      <c r="DD189" s="194"/>
      <c r="DE189" s="197"/>
      <c r="DF189" s="194"/>
      <c r="DG189" s="194"/>
      <c r="DH189" s="194"/>
      <c r="DI189" s="194"/>
      <c r="DJ189" s="194"/>
      <c r="DP189" s="96"/>
      <c r="DQ189" s="198"/>
      <c r="DR189" s="57" t="str">
        <f t="shared" si="4"/>
        <v/>
      </c>
      <c r="DS189" s="198"/>
      <c r="DT189" s="212"/>
      <c r="DU189" s="1" t="s">
        <v>280</v>
      </c>
      <c r="DV189" s="200"/>
      <c r="DY189" s="200"/>
      <c r="DZ189" s="213"/>
      <c r="EA189" s="214"/>
      <c r="EB189" s="214"/>
      <c r="EC189" s="214"/>
      <c r="ED189" s="214"/>
    </row>
    <row r="190" spans="1:146" s="11" customFormat="1" ht="14.25" customHeight="1" x14ac:dyDescent="0.15">
      <c r="B190" s="188"/>
      <c r="C190" s="40"/>
      <c r="E190" s="189"/>
      <c r="F190" s="189"/>
      <c r="G190" s="189"/>
      <c r="AB190" s="198">
        <v>17050507</v>
      </c>
      <c r="AC190" s="197" t="s">
        <v>386</v>
      </c>
      <c r="AD190" s="11" t="s">
        <v>330</v>
      </c>
      <c r="AE190" s="11" t="s">
        <v>291</v>
      </c>
      <c r="AF190" s="11" t="s">
        <v>314</v>
      </c>
      <c r="AJ190" s="197"/>
      <c r="AK190" s="197"/>
      <c r="BA190" s="206"/>
      <c r="DP190" s="96"/>
      <c r="DR190" s="57" t="str">
        <f t="shared" si="4"/>
        <v/>
      </c>
      <c r="DU190" s="1" t="s">
        <v>280</v>
      </c>
      <c r="DV190" s="200"/>
      <c r="DY190" s="200"/>
      <c r="EA190" s="200"/>
      <c r="EB190" s="200"/>
      <c r="EC190" s="200"/>
      <c r="ED190" s="200"/>
    </row>
    <row r="191" spans="1:146" s="11" customFormat="1" ht="14.25" customHeight="1" x14ac:dyDescent="0.15">
      <c r="A191" s="11">
        <v>170560</v>
      </c>
      <c r="B191" s="188" t="s">
        <v>462</v>
      </c>
      <c r="C191" s="40" t="s">
        <v>463</v>
      </c>
      <c r="D191" s="11" t="s">
        <v>501</v>
      </c>
      <c r="E191" s="189">
        <v>170517</v>
      </c>
      <c r="F191" s="189"/>
      <c r="G191" s="189"/>
      <c r="H191" s="11">
        <v>0</v>
      </c>
      <c r="L191" s="11">
        <v>0</v>
      </c>
      <c r="P191" s="11" t="s">
        <v>268</v>
      </c>
      <c r="Q191" s="11" t="s">
        <v>269</v>
      </c>
      <c r="X191" s="11">
        <v>1</v>
      </c>
      <c r="Y191" s="11">
        <v>0</v>
      </c>
      <c r="Z191" s="11">
        <v>0</v>
      </c>
      <c r="AB191" s="194">
        <v>3001</v>
      </c>
      <c r="AC191" s="195"/>
      <c r="AL191" s="200"/>
      <c r="AM191" s="200"/>
      <c r="AN191" s="200"/>
      <c r="AO191" s="200"/>
      <c r="AP191" s="200"/>
      <c r="AQ191" s="200"/>
      <c r="AR191" s="200"/>
      <c r="AU191" s="200"/>
      <c r="AV191" s="200"/>
      <c r="AW191" s="200"/>
      <c r="AX191" s="200"/>
      <c r="AY191" s="200"/>
      <c r="AZ191" s="200"/>
      <c r="BA191" s="204" t="s">
        <v>270</v>
      </c>
      <c r="BB191" s="11">
        <v>350</v>
      </c>
      <c r="BC191" s="11">
        <v>0</v>
      </c>
      <c r="BF191" s="11">
        <v>0</v>
      </c>
      <c r="BG191" s="11">
        <v>0</v>
      </c>
      <c r="BH191" s="11">
        <v>0</v>
      </c>
      <c r="BJ191" s="11" t="s">
        <v>270</v>
      </c>
      <c r="BS191" s="11" t="s">
        <v>270</v>
      </c>
      <c r="CF191" s="11" t="s">
        <v>271</v>
      </c>
      <c r="CJ191" s="11" t="s">
        <v>1</v>
      </c>
      <c r="CK191" s="195" t="s">
        <v>464</v>
      </c>
      <c r="CL191" s="195"/>
      <c r="CM191" s="11">
        <v>999</v>
      </c>
      <c r="CN191" s="11">
        <v>0</v>
      </c>
      <c r="CO191" s="11">
        <v>0</v>
      </c>
      <c r="CP191" s="11">
        <v>0</v>
      </c>
      <c r="CQ191" s="11">
        <v>0</v>
      </c>
      <c r="CS191" s="11">
        <v>20</v>
      </c>
      <c r="CT191" s="11">
        <v>10</v>
      </c>
      <c r="CU191" s="11">
        <v>24</v>
      </c>
      <c r="CV191" s="11" t="s">
        <v>474</v>
      </c>
      <c r="CW191" s="11" t="b">
        <v>1</v>
      </c>
      <c r="CX191" s="11" t="s">
        <v>273</v>
      </c>
      <c r="DB191" s="11">
        <v>170501</v>
      </c>
      <c r="DC191" s="11" t="b">
        <v>1</v>
      </c>
      <c r="DD191" s="11" t="s">
        <v>274</v>
      </c>
      <c r="DE191" s="11" t="s">
        <v>495</v>
      </c>
      <c r="DF191" s="11" t="s">
        <v>276</v>
      </c>
      <c r="DG191" s="11" t="s">
        <v>322</v>
      </c>
      <c r="DH191" s="11">
        <v>4</v>
      </c>
      <c r="DI191" s="11" t="b">
        <v>0</v>
      </c>
      <c r="DP191" s="96" t="s">
        <v>475</v>
      </c>
      <c r="DQ191" s="195" t="s">
        <v>506</v>
      </c>
      <c r="DR191" s="57" t="e">
        <f t="shared" si="4"/>
        <v>#VALUE!</v>
      </c>
      <c r="DS191" s="195" t="s">
        <v>507</v>
      </c>
      <c r="DU191" s="1" t="s">
        <v>280</v>
      </c>
      <c r="DV191" s="200"/>
      <c r="DZ191" s="11">
        <v>1</v>
      </c>
      <c r="EA191" s="200">
        <v>-1</v>
      </c>
      <c r="EB191" s="200">
        <v>4.1666666666666699E-2</v>
      </c>
      <c r="EC191" s="200">
        <v>8.3333333333333301E-2</v>
      </c>
      <c r="ED191" s="200">
        <v>8.3333333333333301E-2</v>
      </c>
      <c r="EE191" s="11" t="s">
        <v>284</v>
      </c>
      <c r="EF191" s="11" t="s">
        <v>326</v>
      </c>
      <c r="EG191" s="11" t="e">
        <v>#VALUE!</v>
      </c>
      <c r="EH191" s="11" t="s">
        <v>285</v>
      </c>
      <c r="EI191" s="11" t="s">
        <v>327</v>
      </c>
      <c r="EJ191" s="11" t="e">
        <v>#VALUE!</v>
      </c>
      <c r="EK191" s="11" t="s">
        <v>286</v>
      </c>
      <c r="EL191" s="11" t="s">
        <v>328</v>
      </c>
      <c r="EM191" s="11" t="e">
        <v>#VALUE!</v>
      </c>
      <c r="EN191" s="11" t="s">
        <v>287</v>
      </c>
      <c r="EO191" s="11" t="s">
        <v>328</v>
      </c>
      <c r="EP191" s="11" t="e">
        <v>#VALUE!</v>
      </c>
    </row>
    <row r="192" spans="1:146" s="11" customFormat="1" ht="14.25" customHeight="1" x14ac:dyDescent="0.15">
      <c r="B192" s="188"/>
      <c r="C192" s="40"/>
      <c r="E192" s="189"/>
      <c r="F192" s="189"/>
      <c r="G192" s="189"/>
      <c r="AB192" s="194">
        <v>17050301</v>
      </c>
      <c r="AC192" s="11" t="s">
        <v>329</v>
      </c>
      <c r="AD192" s="11" t="s">
        <v>330</v>
      </c>
      <c r="AE192" s="11" t="s">
        <v>291</v>
      </c>
      <c r="AF192" s="11" t="s">
        <v>314</v>
      </c>
      <c r="AL192" s="200"/>
      <c r="AM192" s="200"/>
      <c r="AN192" s="200"/>
      <c r="AO192" s="200"/>
      <c r="AP192" s="200"/>
      <c r="AQ192" s="200"/>
      <c r="AR192" s="200"/>
      <c r="AU192" s="200"/>
      <c r="AV192" s="200"/>
      <c r="AW192" s="200"/>
      <c r="AX192" s="200"/>
      <c r="AY192" s="200"/>
      <c r="AZ192" s="200"/>
      <c r="BA192" s="204" t="s">
        <v>331</v>
      </c>
      <c r="BB192" s="11">
        <v>3.5799999999999998E-2</v>
      </c>
      <c r="BC192" s="11">
        <v>0</v>
      </c>
      <c r="BF192" s="11">
        <v>0</v>
      </c>
      <c r="BG192" s="11">
        <v>0</v>
      </c>
      <c r="BH192" s="11">
        <v>0</v>
      </c>
      <c r="CX192" s="207"/>
      <c r="DI192" s="207"/>
      <c r="DJ192" s="207"/>
      <c r="DP192" s="96"/>
      <c r="DQ192" s="195"/>
      <c r="DR192" s="57" t="str">
        <f t="shared" si="4"/>
        <v/>
      </c>
      <c r="DS192" s="195"/>
      <c r="DU192" s="1" t="s">
        <v>280</v>
      </c>
      <c r="DV192" s="200"/>
      <c r="DY192" s="200"/>
      <c r="DZ192" s="213"/>
      <c r="EA192" s="214"/>
      <c r="EB192" s="214"/>
      <c r="EC192" s="214"/>
      <c r="ED192" s="214"/>
    </row>
    <row r="193" spans="1:146" s="11" customFormat="1" ht="14.25" customHeight="1" x14ac:dyDescent="0.15">
      <c r="B193" s="188"/>
      <c r="C193" s="40"/>
      <c r="E193" s="189"/>
      <c r="F193" s="189"/>
      <c r="G193" s="189"/>
      <c r="AB193" s="194">
        <v>17050302</v>
      </c>
      <c r="AC193" s="11" t="s">
        <v>332</v>
      </c>
      <c r="AD193" s="11" t="s">
        <v>333</v>
      </c>
      <c r="AE193" s="11" t="s">
        <v>291</v>
      </c>
      <c r="AF193" s="11" t="s">
        <v>314</v>
      </c>
      <c r="AJ193" s="11">
        <v>-1</v>
      </c>
      <c r="AL193" s="200"/>
      <c r="AM193" s="215"/>
      <c r="AN193" s="215"/>
      <c r="AO193" s="215"/>
      <c r="AP193" s="215"/>
      <c r="AQ193" s="215"/>
      <c r="AR193" s="215"/>
      <c r="AU193" s="200"/>
      <c r="AV193" s="200"/>
      <c r="AW193" s="200"/>
      <c r="AX193" s="200"/>
      <c r="AY193" s="200"/>
      <c r="AZ193" s="200"/>
      <c r="BA193" s="204"/>
      <c r="DP193" s="96"/>
      <c r="DQ193" s="195"/>
      <c r="DR193" s="57" t="str">
        <f t="shared" si="4"/>
        <v/>
      </c>
      <c r="DS193" s="195"/>
      <c r="DU193" s="1" t="s">
        <v>280</v>
      </c>
      <c r="DV193" s="200"/>
      <c r="DY193" s="200"/>
      <c r="EA193" s="200"/>
      <c r="EB193" s="200"/>
      <c r="EC193" s="200"/>
      <c r="ED193" s="200"/>
    </row>
    <row r="194" spans="1:146" s="11" customFormat="1" ht="14.25" customHeight="1" x14ac:dyDescent="0.15">
      <c r="A194" s="11">
        <v>170561</v>
      </c>
      <c r="B194" s="188" t="s">
        <v>334</v>
      </c>
      <c r="C194" s="40" t="s">
        <v>335</v>
      </c>
      <c r="D194" s="11" t="s">
        <v>508</v>
      </c>
      <c r="E194" s="189">
        <v>170515</v>
      </c>
      <c r="F194" s="189"/>
      <c r="G194" s="189"/>
      <c r="H194" s="11">
        <v>0</v>
      </c>
      <c r="L194" s="11">
        <v>0</v>
      </c>
      <c r="P194" s="11" t="s">
        <v>268</v>
      </c>
      <c r="Q194" s="11" t="s">
        <v>269</v>
      </c>
      <c r="X194" s="11">
        <v>1</v>
      </c>
      <c r="Y194" s="11">
        <v>0</v>
      </c>
      <c r="Z194" s="11">
        <v>0</v>
      </c>
      <c r="AB194" s="194">
        <v>3001</v>
      </c>
      <c r="AC194" s="195" t="s">
        <v>337</v>
      </c>
      <c r="AE194" s="11" t="s">
        <v>129</v>
      </c>
      <c r="AF194" s="11" t="s">
        <v>314</v>
      </c>
      <c r="AL194" s="200"/>
      <c r="AM194" s="200"/>
      <c r="AN194" s="200"/>
      <c r="AO194" s="200"/>
      <c r="AP194" s="200"/>
      <c r="AQ194" s="200"/>
      <c r="AR194" s="200"/>
      <c r="AU194" s="200"/>
      <c r="AV194" s="200"/>
      <c r="AW194" s="200"/>
      <c r="AX194" s="200"/>
      <c r="AY194" s="200"/>
      <c r="AZ194" s="200"/>
      <c r="BA194" s="204" t="s">
        <v>270</v>
      </c>
      <c r="BB194" s="11">
        <v>225</v>
      </c>
      <c r="BC194" s="11">
        <v>0</v>
      </c>
      <c r="BF194" s="11">
        <v>0</v>
      </c>
      <c r="BG194" s="11">
        <v>0</v>
      </c>
      <c r="BH194" s="11">
        <v>0</v>
      </c>
      <c r="BJ194" s="11" t="s">
        <v>270</v>
      </c>
      <c r="BS194" s="11" t="s">
        <v>270</v>
      </c>
      <c r="CF194" s="11" t="s">
        <v>271</v>
      </c>
      <c r="CJ194" s="11" t="s">
        <v>3</v>
      </c>
      <c r="CK194" s="195" t="s">
        <v>443</v>
      </c>
      <c r="CL194" s="195"/>
      <c r="CM194" s="11">
        <v>999</v>
      </c>
      <c r="CN194" s="11">
        <v>0</v>
      </c>
      <c r="CO194" s="11">
        <v>0</v>
      </c>
      <c r="CP194" s="11">
        <v>0</v>
      </c>
      <c r="CQ194" s="11">
        <v>0</v>
      </c>
      <c r="CS194" s="11">
        <v>15</v>
      </c>
      <c r="CU194" s="11">
        <v>15</v>
      </c>
      <c r="CV194" s="11" t="s">
        <v>470</v>
      </c>
      <c r="CW194" s="11" t="b">
        <v>0</v>
      </c>
      <c r="CX194" s="11" t="s">
        <v>273</v>
      </c>
      <c r="DB194" s="11">
        <v>100300</v>
      </c>
      <c r="DC194" s="11" t="b">
        <v>1</v>
      </c>
      <c r="DD194" s="11" t="s">
        <v>274</v>
      </c>
      <c r="DE194" s="11" t="s">
        <v>340</v>
      </c>
      <c r="DF194" s="11" t="s">
        <v>276</v>
      </c>
      <c r="DG194" s="11" t="s">
        <v>277</v>
      </c>
      <c r="DH194" s="11">
        <v>4</v>
      </c>
      <c r="DI194" s="11" t="b">
        <v>0</v>
      </c>
      <c r="DP194" s="96" t="s">
        <v>471</v>
      </c>
      <c r="DQ194" s="195" t="s">
        <v>502</v>
      </c>
      <c r="DR194" s="57" t="e">
        <f t="shared" si="4"/>
        <v>#VALUE!</v>
      </c>
      <c r="DS194" s="195" t="s">
        <v>503</v>
      </c>
      <c r="DU194" s="1" t="s">
        <v>280</v>
      </c>
      <c r="DV194" s="200"/>
      <c r="DZ194" s="11">
        <v>1</v>
      </c>
      <c r="EA194" s="200">
        <v>-1</v>
      </c>
      <c r="EB194" s="200">
        <v>4.1666666666666699E-2</v>
      </c>
      <c r="EC194" s="200">
        <v>8.3333333333333301E-2</v>
      </c>
      <c r="ED194" s="200">
        <v>8.3333333333333301E-2</v>
      </c>
      <c r="EE194" s="11" t="s">
        <v>284</v>
      </c>
      <c r="EF194" s="11" t="s">
        <v>326</v>
      </c>
      <c r="EG194" s="11" t="e">
        <v>#VALUE!</v>
      </c>
      <c r="EH194" s="11" t="s">
        <v>285</v>
      </c>
      <c r="EI194" s="11" t="s">
        <v>344</v>
      </c>
      <c r="EJ194" s="11" t="e">
        <v>#VALUE!</v>
      </c>
      <c r="EK194" s="11" t="s">
        <v>286</v>
      </c>
      <c r="EL194" s="11" t="s">
        <v>345</v>
      </c>
      <c r="EM194" s="11" t="e">
        <v>#VALUE!</v>
      </c>
      <c r="EN194" s="11" t="s">
        <v>287</v>
      </c>
      <c r="EO194" s="11" t="s">
        <v>345</v>
      </c>
      <c r="EP194" s="11" t="e">
        <v>#VALUE!</v>
      </c>
    </row>
    <row r="195" spans="1:146" s="11" customFormat="1" ht="14.25" customHeight="1" x14ac:dyDescent="0.15">
      <c r="B195" s="190"/>
      <c r="C195" s="40"/>
      <c r="E195" s="189"/>
      <c r="F195" s="189"/>
      <c r="G195" s="189"/>
      <c r="AB195" s="194">
        <v>10240102</v>
      </c>
      <c r="AC195" s="11" t="s">
        <v>346</v>
      </c>
      <c r="AE195" s="11" t="s">
        <v>129</v>
      </c>
      <c r="AF195" s="11" t="s">
        <v>314</v>
      </c>
      <c r="AJ195" s="11">
        <v>3</v>
      </c>
      <c r="AL195" s="200"/>
      <c r="AM195" s="200"/>
      <c r="AN195" s="200"/>
      <c r="AO195" s="200"/>
      <c r="AP195" s="200"/>
      <c r="AQ195" s="200"/>
      <c r="AR195" s="200"/>
      <c r="AU195" s="200"/>
      <c r="AV195" s="200"/>
      <c r="AW195" s="200"/>
      <c r="AX195" s="200"/>
      <c r="AY195" s="200"/>
      <c r="AZ195" s="200"/>
      <c r="BA195" s="204"/>
      <c r="CK195" s="195"/>
      <c r="CL195" s="195"/>
      <c r="CX195" s="207"/>
      <c r="DI195" s="207"/>
      <c r="DJ195" s="207"/>
      <c r="DM195" s="197"/>
      <c r="DN195" s="197"/>
      <c r="DO195" s="197"/>
      <c r="DP195" s="94"/>
      <c r="DQ195" s="195"/>
      <c r="DR195" s="57" t="str">
        <f t="shared" si="4"/>
        <v/>
      </c>
      <c r="DS195" s="195"/>
      <c r="DT195" s="211"/>
      <c r="DU195" s="1" t="s">
        <v>280</v>
      </c>
      <c r="DV195" s="200"/>
      <c r="DY195" s="200"/>
      <c r="DZ195" s="213"/>
      <c r="EA195" s="214"/>
      <c r="EB195" s="214"/>
      <c r="EC195" s="214"/>
      <c r="ED195" s="214"/>
    </row>
    <row r="196" spans="1:146" s="11" customFormat="1" ht="14.25" customHeight="1" x14ac:dyDescent="0.15">
      <c r="A196" s="11">
        <v>170562</v>
      </c>
      <c r="B196" s="188" t="s">
        <v>456</v>
      </c>
      <c r="C196" s="40" t="s">
        <v>457</v>
      </c>
      <c r="D196" s="11" t="s">
        <v>508</v>
      </c>
      <c r="E196" s="189">
        <v>170516</v>
      </c>
      <c r="F196" s="189"/>
      <c r="G196" s="189"/>
      <c r="H196" s="11">
        <v>0</v>
      </c>
      <c r="L196" s="11">
        <v>0</v>
      </c>
      <c r="P196" s="11" t="s">
        <v>268</v>
      </c>
      <c r="Q196" s="11" t="s">
        <v>269</v>
      </c>
      <c r="X196" s="11">
        <v>1</v>
      </c>
      <c r="Y196" s="11">
        <v>0</v>
      </c>
      <c r="Z196" s="11">
        <v>0</v>
      </c>
      <c r="AB196" s="196">
        <v>3001</v>
      </c>
      <c r="AC196" s="197" t="s">
        <v>337</v>
      </c>
      <c r="AD196" s="11" t="s">
        <v>330</v>
      </c>
      <c r="AE196" s="197"/>
      <c r="AF196" s="197"/>
      <c r="AG196" s="197"/>
      <c r="AH196" s="197"/>
      <c r="AI196" s="197"/>
      <c r="AJ196" s="197"/>
      <c r="AK196" s="197"/>
      <c r="BA196" s="205" t="s">
        <v>270</v>
      </c>
      <c r="BB196" s="11">
        <v>225</v>
      </c>
      <c r="BC196" s="11">
        <v>0</v>
      </c>
      <c r="BF196" s="11">
        <v>0</v>
      </c>
      <c r="BG196" s="11">
        <v>0</v>
      </c>
      <c r="BH196" s="11">
        <v>0</v>
      </c>
      <c r="BJ196" s="11" t="s">
        <v>270</v>
      </c>
      <c r="BS196" s="11" t="s">
        <v>270</v>
      </c>
      <c r="CF196" s="11" t="s">
        <v>378</v>
      </c>
      <c r="CJ196" s="11" t="s">
        <v>1</v>
      </c>
      <c r="CK196" s="195" t="s">
        <v>379</v>
      </c>
      <c r="CL196" s="195"/>
      <c r="CM196" s="11">
        <v>999</v>
      </c>
      <c r="CN196" s="11">
        <v>0</v>
      </c>
      <c r="CO196" s="11">
        <v>0</v>
      </c>
      <c r="CP196" s="11">
        <v>0</v>
      </c>
      <c r="CQ196" s="11">
        <v>0</v>
      </c>
      <c r="CS196" s="11">
        <v>5</v>
      </c>
      <c r="CU196" s="11">
        <v>20</v>
      </c>
      <c r="CV196" s="11" t="s">
        <v>472</v>
      </c>
      <c r="CW196" s="11" t="b">
        <v>0</v>
      </c>
      <c r="CX196" s="11" t="s">
        <v>273</v>
      </c>
      <c r="DB196" s="11">
        <v>102401</v>
      </c>
      <c r="DC196" s="11" t="b">
        <v>1</v>
      </c>
      <c r="DD196" s="11" t="s">
        <v>274</v>
      </c>
      <c r="DE196" s="11" t="s">
        <v>380</v>
      </c>
      <c r="DF196" s="11" t="s">
        <v>276</v>
      </c>
      <c r="DG196" s="11" t="s">
        <v>293</v>
      </c>
      <c r="DH196" s="11">
        <v>4</v>
      </c>
      <c r="DI196" s="11" t="b">
        <v>0</v>
      </c>
      <c r="DP196" s="96" t="s">
        <v>473</v>
      </c>
      <c r="DQ196" s="11" t="s">
        <v>504</v>
      </c>
      <c r="DR196" s="57" t="e">
        <f t="shared" si="4"/>
        <v>#VALUE!</v>
      </c>
      <c r="DS196" s="11" t="s">
        <v>505</v>
      </c>
      <c r="DU196" s="1" t="s">
        <v>280</v>
      </c>
      <c r="DV196" s="200"/>
      <c r="DZ196" s="11">
        <v>1</v>
      </c>
      <c r="EA196" s="200">
        <v>-1</v>
      </c>
      <c r="EB196" s="200">
        <v>4.1666666666666699E-2</v>
      </c>
      <c r="EC196" s="200">
        <v>8.3333333333333301E-2</v>
      </c>
      <c r="ED196" s="200">
        <v>8.3333333333333301E-2</v>
      </c>
      <c r="EE196" s="11" t="s">
        <v>284</v>
      </c>
      <c r="EF196" s="11" t="s">
        <v>326</v>
      </c>
      <c r="EG196" s="11" t="e">
        <v>#VALUE!</v>
      </c>
      <c r="EH196" s="11" t="s">
        <v>285</v>
      </c>
      <c r="EI196" s="11" t="s">
        <v>344</v>
      </c>
      <c r="EJ196" s="11" t="e">
        <v>#VALUE!</v>
      </c>
      <c r="EK196" s="11" t="s">
        <v>286</v>
      </c>
      <c r="EL196" s="11" t="s">
        <v>328</v>
      </c>
      <c r="EM196" s="11" t="e">
        <v>#VALUE!</v>
      </c>
      <c r="EN196" s="11" t="s">
        <v>287</v>
      </c>
      <c r="EO196" s="11" t="s">
        <v>328</v>
      </c>
      <c r="EP196" s="11" t="e">
        <v>#VALUE!</v>
      </c>
    </row>
    <row r="197" spans="1:146" s="11" customFormat="1" ht="14.25" customHeight="1" x14ac:dyDescent="0.15">
      <c r="B197" s="188"/>
      <c r="C197" s="40"/>
      <c r="E197" s="189"/>
      <c r="F197" s="189"/>
      <c r="G197" s="189"/>
      <c r="AB197" s="196">
        <v>17050505</v>
      </c>
      <c r="AC197" s="197" t="s">
        <v>384</v>
      </c>
      <c r="AD197" s="11" t="s">
        <v>330</v>
      </c>
      <c r="AE197" s="197" t="s">
        <v>291</v>
      </c>
      <c r="AF197" s="197" t="s">
        <v>314</v>
      </c>
      <c r="AG197" s="197"/>
      <c r="AH197" s="197"/>
      <c r="AI197" s="197"/>
      <c r="AJ197" s="197"/>
      <c r="AK197" s="197"/>
      <c r="BA197" s="205"/>
      <c r="DP197" s="96"/>
      <c r="DR197" s="57" t="str">
        <f t="shared" si="4"/>
        <v/>
      </c>
      <c r="DU197" s="1" t="s">
        <v>280</v>
      </c>
      <c r="DV197" s="200"/>
      <c r="DY197" s="200"/>
      <c r="EA197" s="200"/>
      <c r="EB197" s="200"/>
      <c r="EC197" s="200"/>
      <c r="ED197" s="200"/>
    </row>
    <row r="198" spans="1:146" s="11" customFormat="1" ht="14.25" customHeight="1" x14ac:dyDescent="0.15">
      <c r="B198" s="188"/>
      <c r="C198" s="40"/>
      <c r="E198" s="189"/>
      <c r="F198" s="189"/>
      <c r="G198" s="189"/>
      <c r="AB198" s="194">
        <v>17050506</v>
      </c>
      <c r="AC198" s="11" t="s">
        <v>385</v>
      </c>
      <c r="AE198" s="11" t="s">
        <v>291</v>
      </c>
      <c r="AF198" s="11" t="s">
        <v>314</v>
      </c>
      <c r="AJ198" s="11">
        <v>8</v>
      </c>
      <c r="AL198" s="200"/>
      <c r="AM198" s="200"/>
      <c r="AN198" s="200"/>
      <c r="AO198" s="200"/>
      <c r="AP198" s="200"/>
      <c r="AQ198" s="200"/>
      <c r="AR198" s="200"/>
      <c r="AU198" s="200"/>
      <c r="AV198" s="200"/>
      <c r="AW198" s="200"/>
      <c r="AX198" s="200"/>
      <c r="AY198" s="200"/>
      <c r="AZ198" s="200"/>
      <c r="BA198" s="204"/>
      <c r="CK198" s="195"/>
      <c r="CL198" s="195"/>
      <c r="CX198" s="207"/>
      <c r="DD198" s="194"/>
      <c r="DE198" s="197"/>
      <c r="DF198" s="194"/>
      <c r="DG198" s="194"/>
      <c r="DH198" s="194"/>
      <c r="DI198" s="194"/>
      <c r="DJ198" s="194"/>
      <c r="DP198" s="96"/>
      <c r="DQ198" s="198"/>
      <c r="DR198" s="57" t="str">
        <f t="shared" si="4"/>
        <v/>
      </c>
      <c r="DS198" s="198"/>
      <c r="DT198" s="212"/>
      <c r="DU198" s="1" t="s">
        <v>280</v>
      </c>
      <c r="DV198" s="200"/>
      <c r="DY198" s="200"/>
      <c r="DZ198" s="213"/>
      <c r="EA198" s="214"/>
      <c r="EB198" s="214"/>
      <c r="EC198" s="214"/>
      <c r="ED198" s="214"/>
    </row>
    <row r="199" spans="1:146" s="11" customFormat="1" ht="14.25" customHeight="1" x14ac:dyDescent="0.15">
      <c r="B199" s="188"/>
      <c r="C199" s="40"/>
      <c r="E199" s="189"/>
      <c r="F199" s="189"/>
      <c r="G199" s="189"/>
      <c r="AB199" s="198">
        <v>17050507</v>
      </c>
      <c r="AC199" s="197" t="s">
        <v>386</v>
      </c>
      <c r="AD199" s="11" t="s">
        <v>330</v>
      </c>
      <c r="AE199" s="11" t="s">
        <v>291</v>
      </c>
      <c r="AF199" s="11" t="s">
        <v>314</v>
      </c>
      <c r="AJ199" s="197"/>
      <c r="AK199" s="197"/>
      <c r="BA199" s="206"/>
      <c r="DP199" s="96"/>
      <c r="DR199" s="57" t="str">
        <f t="shared" si="4"/>
        <v/>
      </c>
      <c r="DU199" s="1" t="s">
        <v>280</v>
      </c>
      <c r="DV199" s="200"/>
      <c r="DY199" s="200"/>
      <c r="EA199" s="200"/>
      <c r="EB199" s="200"/>
      <c r="EC199" s="200"/>
      <c r="ED199" s="200"/>
    </row>
    <row r="200" spans="1:146" s="11" customFormat="1" ht="14.25" customHeight="1" x14ac:dyDescent="0.15">
      <c r="A200" s="11">
        <v>170563</v>
      </c>
      <c r="B200" s="188" t="s">
        <v>462</v>
      </c>
      <c r="C200" s="40" t="s">
        <v>463</v>
      </c>
      <c r="D200" s="11" t="s">
        <v>508</v>
      </c>
      <c r="E200" s="189">
        <v>170517</v>
      </c>
      <c r="F200" s="189"/>
      <c r="G200" s="189"/>
      <c r="H200" s="11">
        <v>0</v>
      </c>
      <c r="L200" s="11">
        <v>0</v>
      </c>
      <c r="P200" s="11" t="s">
        <v>268</v>
      </c>
      <c r="Q200" s="11" t="s">
        <v>269</v>
      </c>
      <c r="X200" s="11">
        <v>1</v>
      </c>
      <c r="Y200" s="11">
        <v>0</v>
      </c>
      <c r="Z200" s="11">
        <v>0</v>
      </c>
      <c r="AB200" s="194">
        <v>3001</v>
      </c>
      <c r="AC200" s="195"/>
      <c r="AL200" s="200"/>
      <c r="AM200" s="200"/>
      <c r="AN200" s="200"/>
      <c r="AO200" s="200"/>
      <c r="AP200" s="200"/>
      <c r="AQ200" s="200"/>
      <c r="AR200" s="200"/>
      <c r="AU200" s="200"/>
      <c r="AV200" s="200"/>
      <c r="AW200" s="200"/>
      <c r="AX200" s="200"/>
      <c r="AY200" s="200"/>
      <c r="AZ200" s="200"/>
      <c r="BA200" s="204" t="s">
        <v>270</v>
      </c>
      <c r="BB200" s="11">
        <v>450</v>
      </c>
      <c r="BC200" s="11">
        <v>0</v>
      </c>
      <c r="BF200" s="11">
        <v>0</v>
      </c>
      <c r="BG200" s="11">
        <v>0</v>
      </c>
      <c r="BH200" s="11">
        <v>0</v>
      </c>
      <c r="BJ200" s="11" t="s">
        <v>270</v>
      </c>
      <c r="BS200" s="11" t="s">
        <v>270</v>
      </c>
      <c r="CF200" s="11" t="s">
        <v>271</v>
      </c>
      <c r="CJ200" s="11" t="s">
        <v>1</v>
      </c>
      <c r="CK200" s="195" t="s">
        <v>464</v>
      </c>
      <c r="CL200" s="195"/>
      <c r="CM200" s="11">
        <v>999</v>
      </c>
      <c r="CN200" s="11">
        <v>0</v>
      </c>
      <c r="CO200" s="11">
        <v>0</v>
      </c>
      <c r="CP200" s="11">
        <v>0</v>
      </c>
      <c r="CQ200" s="11">
        <v>0</v>
      </c>
      <c r="CS200" s="11">
        <v>20</v>
      </c>
      <c r="CT200" s="11">
        <v>10</v>
      </c>
      <c r="CU200" s="11">
        <v>24</v>
      </c>
      <c r="CV200" s="11" t="s">
        <v>474</v>
      </c>
      <c r="CW200" s="11" t="b">
        <v>1</v>
      </c>
      <c r="CX200" s="11" t="s">
        <v>273</v>
      </c>
      <c r="DB200" s="11">
        <v>170501</v>
      </c>
      <c r="DC200" s="11" t="b">
        <v>1</v>
      </c>
      <c r="DD200" s="11" t="s">
        <v>274</v>
      </c>
      <c r="DE200" s="11" t="s">
        <v>495</v>
      </c>
      <c r="DF200" s="11" t="s">
        <v>276</v>
      </c>
      <c r="DG200" s="11" t="s">
        <v>322</v>
      </c>
      <c r="DH200" s="11">
        <v>4</v>
      </c>
      <c r="DI200" s="11" t="b">
        <v>0</v>
      </c>
      <c r="DP200" s="96" t="s">
        <v>475</v>
      </c>
      <c r="DQ200" s="195" t="s">
        <v>506</v>
      </c>
      <c r="DR200" s="57" t="e">
        <f t="shared" si="4"/>
        <v>#VALUE!</v>
      </c>
      <c r="DS200" s="195" t="s">
        <v>507</v>
      </c>
      <c r="DU200" s="1" t="s">
        <v>280</v>
      </c>
      <c r="DV200" s="200"/>
      <c r="DZ200" s="11">
        <v>1</v>
      </c>
      <c r="EA200" s="200">
        <v>-1</v>
      </c>
      <c r="EB200" s="200">
        <v>4.1666666666666699E-2</v>
      </c>
      <c r="EC200" s="200">
        <v>8.3333333333333301E-2</v>
      </c>
      <c r="ED200" s="200">
        <v>8.3333333333333301E-2</v>
      </c>
      <c r="EE200" s="11" t="s">
        <v>284</v>
      </c>
      <c r="EF200" s="11" t="s">
        <v>326</v>
      </c>
      <c r="EG200" s="11" t="e">
        <v>#VALUE!</v>
      </c>
      <c r="EH200" s="11" t="s">
        <v>285</v>
      </c>
      <c r="EI200" s="11" t="s">
        <v>327</v>
      </c>
      <c r="EJ200" s="11" t="e">
        <v>#VALUE!</v>
      </c>
      <c r="EK200" s="11" t="s">
        <v>286</v>
      </c>
      <c r="EL200" s="11" t="s">
        <v>328</v>
      </c>
      <c r="EM200" s="11" t="e">
        <v>#VALUE!</v>
      </c>
      <c r="EN200" s="11" t="s">
        <v>287</v>
      </c>
      <c r="EO200" s="11" t="s">
        <v>328</v>
      </c>
      <c r="EP200" s="11" t="e">
        <v>#VALUE!</v>
      </c>
    </row>
    <row r="201" spans="1:146" s="11" customFormat="1" ht="14.25" customHeight="1" x14ac:dyDescent="0.15">
      <c r="B201" s="188"/>
      <c r="C201" s="40"/>
      <c r="E201" s="189"/>
      <c r="F201" s="189"/>
      <c r="G201" s="189"/>
      <c r="AB201" s="194">
        <v>17050301</v>
      </c>
      <c r="AC201" s="11" t="s">
        <v>329</v>
      </c>
      <c r="AD201" s="11" t="s">
        <v>330</v>
      </c>
      <c r="AE201" s="11" t="s">
        <v>291</v>
      </c>
      <c r="AF201" s="11" t="s">
        <v>314</v>
      </c>
      <c r="AL201" s="200"/>
      <c r="AM201" s="200"/>
      <c r="AN201" s="200"/>
      <c r="AO201" s="200"/>
      <c r="AP201" s="200"/>
      <c r="AQ201" s="200"/>
      <c r="AR201" s="200"/>
      <c r="AU201" s="200"/>
      <c r="AV201" s="200"/>
      <c r="AW201" s="200"/>
      <c r="AX201" s="200"/>
      <c r="AY201" s="200"/>
      <c r="AZ201" s="200"/>
      <c r="BA201" s="204" t="s">
        <v>331</v>
      </c>
      <c r="BB201" s="11">
        <v>3.5799999999999998E-2</v>
      </c>
      <c r="BC201" s="11">
        <v>0</v>
      </c>
      <c r="BF201" s="11">
        <v>0</v>
      </c>
      <c r="BG201" s="11">
        <v>0</v>
      </c>
      <c r="BH201" s="11">
        <v>0</v>
      </c>
      <c r="CX201" s="207"/>
      <c r="DI201" s="207"/>
      <c r="DJ201" s="207"/>
      <c r="DP201" s="96"/>
      <c r="DQ201" s="195"/>
      <c r="DR201" s="57" t="str">
        <f t="shared" si="4"/>
        <v/>
      </c>
      <c r="DS201" s="195"/>
      <c r="DU201" s="1" t="s">
        <v>280</v>
      </c>
      <c r="DV201" s="200"/>
      <c r="DY201" s="200"/>
      <c r="DZ201" s="213"/>
      <c r="EA201" s="214"/>
      <c r="EB201" s="214"/>
      <c r="EC201" s="214"/>
      <c r="ED201" s="214"/>
    </row>
    <row r="202" spans="1:146" s="11" customFormat="1" ht="14.25" customHeight="1" x14ac:dyDescent="0.15">
      <c r="B202" s="188"/>
      <c r="C202" s="40"/>
      <c r="E202" s="189"/>
      <c r="F202" s="189"/>
      <c r="G202" s="189"/>
      <c r="AB202" s="194">
        <v>17050302</v>
      </c>
      <c r="AC202" s="11" t="s">
        <v>332</v>
      </c>
      <c r="AD202" s="11" t="s">
        <v>333</v>
      </c>
      <c r="AE202" s="11" t="s">
        <v>291</v>
      </c>
      <c r="AF202" s="11" t="s">
        <v>314</v>
      </c>
      <c r="AJ202" s="11">
        <v>-1</v>
      </c>
      <c r="AL202" s="200"/>
      <c r="AM202" s="215"/>
      <c r="AN202" s="215"/>
      <c r="AO202" s="215"/>
      <c r="AP202" s="215"/>
      <c r="AQ202" s="215"/>
      <c r="AR202" s="215"/>
      <c r="AU202" s="200"/>
      <c r="AV202" s="200"/>
      <c r="AW202" s="200"/>
      <c r="AX202" s="200"/>
      <c r="AY202" s="200"/>
      <c r="AZ202" s="200"/>
      <c r="BA202" s="204"/>
      <c r="DP202" s="96"/>
      <c r="DQ202" s="195"/>
      <c r="DR202" s="57" t="str">
        <f t="shared" si="4"/>
        <v/>
      </c>
      <c r="DS202" s="195"/>
      <c r="DU202" s="1" t="s">
        <v>280</v>
      </c>
      <c r="DV202" s="200"/>
      <c r="DY202" s="200"/>
      <c r="EA202" s="200"/>
      <c r="EB202" s="200"/>
      <c r="EC202" s="200"/>
      <c r="ED202" s="200"/>
    </row>
    <row r="203" spans="1:146" s="11" customFormat="1" ht="14.25" customHeight="1" x14ac:dyDescent="0.15">
      <c r="A203" s="11">
        <v>170564</v>
      </c>
      <c r="B203" s="188" t="s">
        <v>334</v>
      </c>
      <c r="C203" s="40" t="s">
        <v>335</v>
      </c>
      <c r="D203" s="11" t="s">
        <v>509</v>
      </c>
      <c r="E203" s="189">
        <v>170515</v>
      </c>
      <c r="F203" s="189"/>
      <c r="G203" s="189"/>
      <c r="H203" s="11">
        <v>0</v>
      </c>
      <c r="L203" s="11">
        <v>0</v>
      </c>
      <c r="P203" s="11" t="s">
        <v>268</v>
      </c>
      <c r="Q203" s="11" t="s">
        <v>269</v>
      </c>
      <c r="X203" s="11">
        <v>1</v>
      </c>
      <c r="Y203" s="11">
        <v>0</v>
      </c>
      <c r="Z203" s="11">
        <v>0</v>
      </c>
      <c r="AB203" s="194">
        <v>3001</v>
      </c>
      <c r="AC203" s="195" t="s">
        <v>337</v>
      </c>
      <c r="AE203" s="11" t="s">
        <v>129</v>
      </c>
      <c r="AF203" s="11" t="s">
        <v>314</v>
      </c>
      <c r="AL203" s="200"/>
      <c r="AM203" s="200"/>
      <c r="AN203" s="200"/>
      <c r="AO203" s="200"/>
      <c r="AP203" s="200"/>
      <c r="AQ203" s="200"/>
      <c r="AR203" s="200"/>
      <c r="AU203" s="200"/>
      <c r="AV203" s="200"/>
      <c r="AW203" s="200"/>
      <c r="AX203" s="200"/>
      <c r="AY203" s="200"/>
      <c r="AZ203" s="200"/>
      <c r="BA203" s="204" t="s">
        <v>270</v>
      </c>
      <c r="BB203" s="11">
        <v>350</v>
      </c>
      <c r="BC203" s="11">
        <v>0</v>
      </c>
      <c r="BF203" s="11">
        <v>0</v>
      </c>
      <c r="BG203" s="11">
        <v>0</v>
      </c>
      <c r="BH203" s="11">
        <v>0</v>
      </c>
      <c r="BJ203" s="11" t="s">
        <v>270</v>
      </c>
      <c r="BS203" s="11" t="s">
        <v>270</v>
      </c>
      <c r="CF203" s="11" t="s">
        <v>271</v>
      </c>
      <c r="CJ203" s="11" t="s">
        <v>3</v>
      </c>
      <c r="CK203" s="195" t="s">
        <v>443</v>
      </c>
      <c r="CL203" s="195"/>
      <c r="CM203" s="11">
        <v>999</v>
      </c>
      <c r="CN203" s="11">
        <v>0</v>
      </c>
      <c r="CO203" s="11">
        <v>0</v>
      </c>
      <c r="CP203" s="11">
        <v>0</v>
      </c>
      <c r="CQ203" s="11">
        <v>0</v>
      </c>
      <c r="CS203" s="11">
        <v>15</v>
      </c>
      <c r="CU203" s="11">
        <v>15</v>
      </c>
      <c r="CV203" s="11" t="s">
        <v>470</v>
      </c>
      <c r="CW203" s="11" t="b">
        <v>0</v>
      </c>
      <c r="CX203" s="11" t="s">
        <v>273</v>
      </c>
      <c r="DB203" s="11">
        <v>100300</v>
      </c>
      <c r="DC203" s="11" t="b">
        <v>1</v>
      </c>
      <c r="DD203" s="11" t="s">
        <v>274</v>
      </c>
      <c r="DE203" s="11" t="s">
        <v>340</v>
      </c>
      <c r="DF203" s="11" t="s">
        <v>276</v>
      </c>
      <c r="DG203" s="11" t="s">
        <v>277</v>
      </c>
      <c r="DH203" s="11">
        <v>4</v>
      </c>
      <c r="DI203" s="11" t="b">
        <v>0</v>
      </c>
      <c r="DP203" s="96" t="s">
        <v>471</v>
      </c>
      <c r="DQ203" s="195" t="s">
        <v>502</v>
      </c>
      <c r="DR203" s="57" t="e">
        <f t="shared" si="4"/>
        <v>#VALUE!</v>
      </c>
      <c r="DS203" s="195" t="s">
        <v>503</v>
      </c>
      <c r="DU203" s="1" t="s">
        <v>280</v>
      </c>
      <c r="DV203" s="200"/>
      <c r="DZ203" s="11">
        <v>1</v>
      </c>
      <c r="EA203" s="200">
        <v>-1</v>
      </c>
      <c r="EB203" s="200">
        <v>4.1666666666666699E-2</v>
      </c>
      <c r="EC203" s="200">
        <v>8.3333333333333301E-2</v>
      </c>
      <c r="ED203" s="200">
        <v>8.3333333333333301E-2</v>
      </c>
      <c r="EE203" s="11" t="s">
        <v>284</v>
      </c>
      <c r="EF203" s="11" t="s">
        <v>326</v>
      </c>
      <c r="EG203" s="11" t="e">
        <v>#VALUE!</v>
      </c>
      <c r="EH203" s="11" t="s">
        <v>285</v>
      </c>
      <c r="EI203" s="11" t="s">
        <v>344</v>
      </c>
      <c r="EJ203" s="11" t="e">
        <v>#VALUE!</v>
      </c>
      <c r="EK203" s="11" t="s">
        <v>286</v>
      </c>
      <c r="EL203" s="11" t="s">
        <v>345</v>
      </c>
      <c r="EM203" s="11" t="e">
        <v>#VALUE!</v>
      </c>
      <c r="EN203" s="11" t="s">
        <v>287</v>
      </c>
      <c r="EO203" s="11" t="s">
        <v>345</v>
      </c>
      <c r="EP203" s="11" t="e">
        <v>#VALUE!</v>
      </c>
    </row>
    <row r="204" spans="1:146" s="11" customFormat="1" ht="14.25" customHeight="1" x14ac:dyDescent="0.15">
      <c r="B204" s="190"/>
      <c r="C204" s="40"/>
      <c r="E204" s="189"/>
      <c r="F204" s="189"/>
      <c r="G204" s="189"/>
      <c r="AB204" s="194">
        <v>10240102</v>
      </c>
      <c r="AC204" s="11" t="s">
        <v>346</v>
      </c>
      <c r="AE204" s="11" t="s">
        <v>129</v>
      </c>
      <c r="AF204" s="11" t="s">
        <v>314</v>
      </c>
      <c r="AJ204" s="11">
        <v>3</v>
      </c>
      <c r="AL204" s="200"/>
      <c r="AM204" s="200"/>
      <c r="AN204" s="200"/>
      <c r="AO204" s="200"/>
      <c r="AP204" s="200"/>
      <c r="AQ204" s="200"/>
      <c r="AR204" s="200"/>
      <c r="AU204" s="200"/>
      <c r="AV204" s="200"/>
      <c r="AW204" s="200"/>
      <c r="AX204" s="200"/>
      <c r="AY204" s="200"/>
      <c r="AZ204" s="200"/>
      <c r="BA204" s="204"/>
      <c r="CK204" s="195"/>
      <c r="CL204" s="195"/>
      <c r="CX204" s="207"/>
      <c r="DI204" s="207"/>
      <c r="DJ204" s="207"/>
      <c r="DM204" s="197"/>
      <c r="DN204" s="197"/>
      <c r="DO204" s="197"/>
      <c r="DP204" s="94"/>
      <c r="DQ204" s="195"/>
      <c r="DR204" s="57" t="str">
        <f t="shared" si="4"/>
        <v/>
      </c>
      <c r="DS204" s="195"/>
      <c r="DT204" s="211"/>
      <c r="DU204" s="1" t="s">
        <v>280</v>
      </c>
      <c r="DV204" s="200"/>
      <c r="DY204" s="200"/>
      <c r="DZ204" s="213"/>
      <c r="EA204" s="214"/>
      <c r="EB204" s="214"/>
      <c r="EC204" s="214"/>
      <c r="ED204" s="214"/>
    </row>
    <row r="205" spans="1:146" s="11" customFormat="1" ht="14.25" customHeight="1" x14ac:dyDescent="0.15">
      <c r="A205" s="11">
        <v>170565</v>
      </c>
      <c r="B205" s="188" t="s">
        <v>456</v>
      </c>
      <c r="C205" s="40" t="s">
        <v>457</v>
      </c>
      <c r="D205" s="11" t="s">
        <v>509</v>
      </c>
      <c r="E205" s="189">
        <v>170516</v>
      </c>
      <c r="F205" s="189"/>
      <c r="G205" s="189"/>
      <c r="H205" s="11">
        <v>0</v>
      </c>
      <c r="L205" s="11">
        <v>0</v>
      </c>
      <c r="P205" s="11" t="s">
        <v>268</v>
      </c>
      <c r="Q205" s="11" t="s">
        <v>269</v>
      </c>
      <c r="X205" s="11">
        <v>1</v>
      </c>
      <c r="Y205" s="11">
        <v>0</v>
      </c>
      <c r="Z205" s="11">
        <v>0</v>
      </c>
      <c r="AB205" s="196">
        <v>3001</v>
      </c>
      <c r="AC205" s="197" t="s">
        <v>337</v>
      </c>
      <c r="AD205" s="11" t="s">
        <v>330</v>
      </c>
      <c r="AE205" s="197"/>
      <c r="AF205" s="197"/>
      <c r="AG205" s="197"/>
      <c r="AH205" s="197"/>
      <c r="AI205" s="197"/>
      <c r="AJ205" s="197"/>
      <c r="AK205" s="197"/>
      <c r="BA205" s="205" t="s">
        <v>270</v>
      </c>
      <c r="BB205" s="11">
        <v>175</v>
      </c>
      <c r="BC205" s="11">
        <v>0</v>
      </c>
      <c r="BF205" s="11">
        <v>0</v>
      </c>
      <c r="BG205" s="11">
        <v>0</v>
      </c>
      <c r="BH205" s="11">
        <v>0</v>
      </c>
      <c r="BJ205" s="11" t="s">
        <v>270</v>
      </c>
      <c r="BS205" s="11" t="s">
        <v>270</v>
      </c>
      <c r="CF205" s="11" t="s">
        <v>378</v>
      </c>
      <c r="CJ205" s="11" t="s">
        <v>1</v>
      </c>
      <c r="CK205" s="195" t="s">
        <v>379</v>
      </c>
      <c r="CL205" s="195"/>
      <c r="CM205" s="11">
        <v>999</v>
      </c>
      <c r="CN205" s="11">
        <v>0</v>
      </c>
      <c r="CO205" s="11">
        <v>0</v>
      </c>
      <c r="CP205" s="11">
        <v>0</v>
      </c>
      <c r="CQ205" s="11">
        <v>0</v>
      </c>
      <c r="CS205" s="11">
        <v>5</v>
      </c>
      <c r="CU205" s="11">
        <v>20</v>
      </c>
      <c r="CV205" s="11" t="s">
        <v>472</v>
      </c>
      <c r="CW205" s="11" t="b">
        <v>0</v>
      </c>
      <c r="CX205" s="11" t="s">
        <v>273</v>
      </c>
      <c r="DB205" s="11">
        <v>102401</v>
      </c>
      <c r="DC205" s="11" t="b">
        <v>1</v>
      </c>
      <c r="DD205" s="11" t="s">
        <v>274</v>
      </c>
      <c r="DE205" s="11" t="s">
        <v>380</v>
      </c>
      <c r="DF205" s="11" t="s">
        <v>276</v>
      </c>
      <c r="DG205" s="11" t="s">
        <v>293</v>
      </c>
      <c r="DH205" s="11">
        <v>4</v>
      </c>
      <c r="DI205" s="11" t="b">
        <v>0</v>
      </c>
      <c r="DP205" s="96" t="s">
        <v>473</v>
      </c>
      <c r="DQ205" s="11" t="s">
        <v>504</v>
      </c>
      <c r="DR205" s="57" t="e">
        <f t="shared" si="4"/>
        <v>#VALUE!</v>
      </c>
      <c r="DS205" s="11" t="s">
        <v>505</v>
      </c>
      <c r="DU205" s="1" t="s">
        <v>280</v>
      </c>
      <c r="DV205" s="200"/>
      <c r="DZ205" s="11">
        <v>1</v>
      </c>
      <c r="EA205" s="200">
        <v>-1</v>
      </c>
      <c r="EB205" s="200">
        <v>4.1666666666666699E-2</v>
      </c>
      <c r="EC205" s="200">
        <v>8.3333333333333301E-2</v>
      </c>
      <c r="ED205" s="200">
        <v>8.3333333333333301E-2</v>
      </c>
      <c r="EE205" s="11" t="s">
        <v>284</v>
      </c>
      <c r="EF205" s="11" t="s">
        <v>326</v>
      </c>
      <c r="EG205" s="11" t="e">
        <v>#VALUE!</v>
      </c>
      <c r="EH205" s="11" t="s">
        <v>285</v>
      </c>
      <c r="EI205" s="11" t="s">
        <v>344</v>
      </c>
      <c r="EJ205" s="11" t="e">
        <v>#VALUE!</v>
      </c>
      <c r="EK205" s="11" t="s">
        <v>286</v>
      </c>
      <c r="EL205" s="11" t="s">
        <v>328</v>
      </c>
      <c r="EM205" s="11" t="e">
        <v>#VALUE!</v>
      </c>
      <c r="EN205" s="11" t="s">
        <v>287</v>
      </c>
      <c r="EO205" s="11" t="s">
        <v>328</v>
      </c>
      <c r="EP205" s="11" t="e">
        <v>#VALUE!</v>
      </c>
    </row>
    <row r="206" spans="1:146" s="11" customFormat="1" ht="14.25" customHeight="1" x14ac:dyDescent="0.15">
      <c r="B206" s="188"/>
      <c r="C206" s="40"/>
      <c r="E206" s="189"/>
      <c r="F206" s="189"/>
      <c r="G206" s="189"/>
      <c r="AB206" s="196">
        <v>17050505</v>
      </c>
      <c r="AC206" s="197" t="s">
        <v>384</v>
      </c>
      <c r="AD206" s="11" t="s">
        <v>330</v>
      </c>
      <c r="AE206" s="197" t="s">
        <v>291</v>
      </c>
      <c r="AF206" s="197" t="s">
        <v>314</v>
      </c>
      <c r="AG206" s="197"/>
      <c r="AH206" s="197"/>
      <c r="AI206" s="197"/>
      <c r="AJ206" s="197"/>
      <c r="AK206" s="197"/>
      <c r="BA206" s="205"/>
      <c r="DP206" s="96"/>
      <c r="DR206" s="57" t="str">
        <f t="shared" si="4"/>
        <v/>
      </c>
      <c r="DU206" s="1" t="s">
        <v>280</v>
      </c>
      <c r="DV206" s="200"/>
      <c r="DY206" s="200"/>
      <c r="EA206" s="200"/>
      <c r="EB206" s="200"/>
      <c r="EC206" s="200"/>
      <c r="ED206" s="200"/>
    </row>
    <row r="207" spans="1:146" s="11" customFormat="1" ht="14.25" customHeight="1" x14ac:dyDescent="0.15">
      <c r="B207" s="188"/>
      <c r="C207" s="40"/>
      <c r="E207" s="189"/>
      <c r="F207" s="189"/>
      <c r="G207" s="189"/>
      <c r="AB207" s="194">
        <v>17050506</v>
      </c>
      <c r="AC207" s="11" t="s">
        <v>385</v>
      </c>
      <c r="AE207" s="11" t="s">
        <v>291</v>
      </c>
      <c r="AF207" s="11" t="s">
        <v>314</v>
      </c>
      <c r="AJ207" s="11">
        <v>8</v>
      </c>
      <c r="AL207" s="200"/>
      <c r="AM207" s="200"/>
      <c r="AN207" s="200"/>
      <c r="AO207" s="200"/>
      <c r="AP207" s="200"/>
      <c r="AQ207" s="200"/>
      <c r="AR207" s="200"/>
      <c r="AU207" s="200"/>
      <c r="AV207" s="200"/>
      <c r="AW207" s="200"/>
      <c r="AX207" s="200"/>
      <c r="AY207" s="200"/>
      <c r="AZ207" s="200"/>
      <c r="BA207" s="204"/>
      <c r="CK207" s="195"/>
      <c r="CL207" s="195"/>
      <c r="CX207" s="207"/>
      <c r="DD207" s="194"/>
      <c r="DE207" s="197"/>
      <c r="DF207" s="194"/>
      <c r="DG207" s="194"/>
      <c r="DH207" s="194"/>
      <c r="DI207" s="194"/>
      <c r="DJ207" s="194"/>
      <c r="DP207" s="96"/>
      <c r="DQ207" s="198"/>
      <c r="DR207" s="57" t="str">
        <f t="shared" si="4"/>
        <v/>
      </c>
      <c r="DS207" s="198"/>
      <c r="DT207" s="212"/>
      <c r="DU207" s="1" t="s">
        <v>280</v>
      </c>
      <c r="DV207" s="200"/>
      <c r="DY207" s="200"/>
      <c r="DZ207" s="213"/>
      <c r="EA207" s="214"/>
      <c r="EB207" s="214"/>
      <c r="EC207" s="214"/>
      <c r="ED207" s="214"/>
    </row>
    <row r="208" spans="1:146" s="11" customFormat="1" ht="14.25" customHeight="1" x14ac:dyDescent="0.15">
      <c r="B208" s="188"/>
      <c r="C208" s="40"/>
      <c r="E208" s="189"/>
      <c r="F208" s="189"/>
      <c r="G208" s="189"/>
      <c r="AB208" s="198">
        <v>17050507</v>
      </c>
      <c r="AC208" s="197" t="s">
        <v>386</v>
      </c>
      <c r="AD208" s="11" t="s">
        <v>330</v>
      </c>
      <c r="AE208" s="11" t="s">
        <v>291</v>
      </c>
      <c r="AF208" s="11" t="s">
        <v>314</v>
      </c>
      <c r="AJ208" s="197"/>
      <c r="AK208" s="197"/>
      <c r="BA208" s="206"/>
      <c r="DP208" s="96"/>
      <c r="DR208" s="57" t="str">
        <f t="shared" si="4"/>
        <v/>
      </c>
      <c r="DU208" s="1" t="s">
        <v>280</v>
      </c>
      <c r="DV208" s="200"/>
      <c r="DY208" s="200"/>
      <c r="EA208" s="200"/>
      <c r="EB208" s="200"/>
      <c r="EC208" s="200"/>
      <c r="ED208" s="200"/>
    </row>
    <row r="209" spans="1:146" s="11" customFormat="1" ht="14.25" customHeight="1" x14ac:dyDescent="0.15">
      <c r="A209" s="11">
        <v>170566</v>
      </c>
      <c r="B209" s="188" t="s">
        <v>462</v>
      </c>
      <c r="C209" s="40" t="s">
        <v>463</v>
      </c>
      <c r="D209" s="11" t="s">
        <v>509</v>
      </c>
      <c r="E209" s="189">
        <v>170517</v>
      </c>
      <c r="F209" s="189"/>
      <c r="G209" s="189"/>
      <c r="H209" s="11">
        <v>0</v>
      </c>
      <c r="L209" s="11">
        <v>0</v>
      </c>
      <c r="P209" s="11" t="s">
        <v>268</v>
      </c>
      <c r="Q209" s="11" t="s">
        <v>269</v>
      </c>
      <c r="X209" s="11">
        <v>1</v>
      </c>
      <c r="Y209" s="11">
        <v>0</v>
      </c>
      <c r="Z209" s="11">
        <v>0</v>
      </c>
      <c r="AB209" s="194">
        <v>3001</v>
      </c>
      <c r="AC209" s="195"/>
      <c r="AL209" s="200"/>
      <c r="AM209" s="200"/>
      <c r="AN209" s="200"/>
      <c r="AO209" s="200"/>
      <c r="AP209" s="200"/>
      <c r="AQ209" s="200"/>
      <c r="AR209" s="200"/>
      <c r="AU209" s="200"/>
      <c r="AV209" s="200"/>
      <c r="AW209" s="200"/>
      <c r="AX209" s="200"/>
      <c r="AY209" s="200"/>
      <c r="AZ209" s="200"/>
      <c r="BA209" s="204" t="s">
        <v>270</v>
      </c>
      <c r="BB209" s="11">
        <v>175</v>
      </c>
      <c r="BC209" s="11">
        <v>0</v>
      </c>
      <c r="BF209" s="11">
        <v>0</v>
      </c>
      <c r="BG209" s="11">
        <v>0</v>
      </c>
      <c r="BH209" s="11">
        <v>0</v>
      </c>
      <c r="BJ209" s="11" t="s">
        <v>270</v>
      </c>
      <c r="BS209" s="11" t="s">
        <v>270</v>
      </c>
      <c r="CF209" s="11" t="s">
        <v>271</v>
      </c>
      <c r="CJ209" s="11" t="s">
        <v>1</v>
      </c>
      <c r="CK209" s="195" t="s">
        <v>464</v>
      </c>
      <c r="CL209" s="195"/>
      <c r="CM209" s="11">
        <v>999</v>
      </c>
      <c r="CN209" s="11">
        <v>0</v>
      </c>
      <c r="CO209" s="11">
        <v>0</v>
      </c>
      <c r="CP209" s="11">
        <v>0</v>
      </c>
      <c r="CQ209" s="11">
        <v>0</v>
      </c>
      <c r="CS209" s="11">
        <v>20</v>
      </c>
      <c r="CT209" s="11">
        <v>10</v>
      </c>
      <c r="CU209" s="11">
        <v>24</v>
      </c>
      <c r="CV209" s="11" t="s">
        <v>474</v>
      </c>
      <c r="CW209" s="11" t="b">
        <v>1</v>
      </c>
      <c r="CX209" s="11" t="s">
        <v>273</v>
      </c>
      <c r="DB209" s="11">
        <v>170501</v>
      </c>
      <c r="DC209" s="11" t="b">
        <v>1</v>
      </c>
      <c r="DD209" s="11" t="s">
        <v>274</v>
      </c>
      <c r="DE209" s="11" t="s">
        <v>495</v>
      </c>
      <c r="DF209" s="11" t="s">
        <v>276</v>
      </c>
      <c r="DG209" s="11" t="s">
        <v>322</v>
      </c>
      <c r="DH209" s="11">
        <v>4</v>
      </c>
      <c r="DI209" s="11" t="b">
        <v>0</v>
      </c>
      <c r="DP209" s="96" t="s">
        <v>475</v>
      </c>
      <c r="DQ209" s="195" t="s">
        <v>506</v>
      </c>
      <c r="DR209" s="57" t="e">
        <f t="shared" si="4"/>
        <v>#VALUE!</v>
      </c>
      <c r="DS209" s="195" t="s">
        <v>507</v>
      </c>
      <c r="DU209" s="1" t="s">
        <v>280</v>
      </c>
      <c r="DV209" s="200"/>
      <c r="DZ209" s="11">
        <v>1</v>
      </c>
      <c r="EA209" s="200">
        <v>-1</v>
      </c>
      <c r="EB209" s="200">
        <v>4.1666666666666699E-2</v>
      </c>
      <c r="EC209" s="200">
        <v>8.3333333333333301E-2</v>
      </c>
      <c r="ED209" s="200">
        <v>8.3333333333333301E-2</v>
      </c>
      <c r="EE209" s="11" t="s">
        <v>284</v>
      </c>
      <c r="EF209" s="11" t="s">
        <v>326</v>
      </c>
      <c r="EG209" s="11" t="e">
        <v>#VALUE!</v>
      </c>
      <c r="EH209" s="11" t="s">
        <v>285</v>
      </c>
      <c r="EI209" s="11" t="s">
        <v>327</v>
      </c>
      <c r="EJ209" s="11" t="e">
        <v>#VALUE!</v>
      </c>
      <c r="EK209" s="11" t="s">
        <v>286</v>
      </c>
      <c r="EL209" s="11" t="s">
        <v>328</v>
      </c>
      <c r="EM209" s="11" t="e">
        <v>#VALUE!</v>
      </c>
      <c r="EN209" s="11" t="s">
        <v>287</v>
      </c>
      <c r="EO209" s="11" t="s">
        <v>328</v>
      </c>
      <c r="EP209" s="11" t="e">
        <v>#VALUE!</v>
      </c>
    </row>
    <row r="210" spans="1:146" s="11" customFormat="1" ht="14.25" customHeight="1" x14ac:dyDescent="0.15">
      <c r="B210" s="188"/>
      <c r="C210" s="40"/>
      <c r="E210" s="189"/>
      <c r="F210" s="189"/>
      <c r="G210" s="189"/>
      <c r="AB210" s="194">
        <v>17050301</v>
      </c>
      <c r="AC210" s="11" t="s">
        <v>329</v>
      </c>
      <c r="AD210" s="11" t="s">
        <v>330</v>
      </c>
      <c r="AE210" s="11" t="s">
        <v>291</v>
      </c>
      <c r="AF210" s="11" t="s">
        <v>314</v>
      </c>
      <c r="AL210" s="200"/>
      <c r="AM210" s="200"/>
      <c r="AN210" s="200"/>
      <c r="AO210" s="200"/>
      <c r="AP210" s="200"/>
      <c r="AQ210" s="200"/>
      <c r="AR210" s="200"/>
      <c r="AU210" s="200"/>
      <c r="AV210" s="200"/>
      <c r="AW210" s="200"/>
      <c r="AX210" s="200"/>
      <c r="AY210" s="200"/>
      <c r="AZ210" s="200"/>
      <c r="BA210" s="204" t="s">
        <v>331</v>
      </c>
      <c r="BB210" s="11">
        <v>2.1499999999999998E-2</v>
      </c>
      <c r="BC210" s="11">
        <v>0</v>
      </c>
      <c r="BF210" s="11">
        <v>0</v>
      </c>
      <c r="BG210" s="11">
        <v>0</v>
      </c>
      <c r="BH210" s="11">
        <v>0</v>
      </c>
      <c r="CX210" s="207"/>
      <c r="DI210" s="207"/>
      <c r="DJ210" s="207"/>
      <c r="DP210" s="96"/>
      <c r="DQ210" s="195"/>
      <c r="DR210" s="57" t="str">
        <f t="shared" si="4"/>
        <v/>
      </c>
      <c r="DS210" s="195"/>
      <c r="DU210" s="1" t="s">
        <v>280</v>
      </c>
      <c r="DV210" s="200"/>
      <c r="DY210" s="200"/>
      <c r="DZ210" s="213"/>
      <c r="EA210" s="214"/>
      <c r="EB210" s="214"/>
      <c r="EC210" s="214"/>
      <c r="ED210" s="214"/>
    </row>
    <row r="211" spans="1:146" s="11" customFormat="1" ht="14.25" customHeight="1" x14ac:dyDescent="0.15">
      <c r="B211" s="188"/>
      <c r="C211" s="40"/>
      <c r="E211" s="189"/>
      <c r="F211" s="189"/>
      <c r="G211" s="189"/>
      <c r="AB211" s="194">
        <v>17050302</v>
      </c>
      <c r="AC211" s="11" t="s">
        <v>332</v>
      </c>
      <c r="AD211" s="11" t="s">
        <v>333</v>
      </c>
      <c r="AE211" s="11" t="s">
        <v>291</v>
      </c>
      <c r="AF211" s="11" t="s">
        <v>314</v>
      </c>
      <c r="AJ211" s="11">
        <v>-1</v>
      </c>
      <c r="AL211" s="200"/>
      <c r="AM211" s="215"/>
      <c r="AN211" s="215"/>
      <c r="AO211" s="215"/>
      <c r="AP211" s="215"/>
      <c r="AQ211" s="215"/>
      <c r="AR211" s="215"/>
      <c r="AU211" s="200"/>
      <c r="AV211" s="200"/>
      <c r="AW211" s="200"/>
      <c r="AX211" s="200"/>
      <c r="AY211" s="200"/>
      <c r="AZ211" s="200"/>
      <c r="BA211" s="204"/>
      <c r="DP211" s="96"/>
      <c r="DQ211" s="195"/>
      <c r="DR211" s="57" t="str">
        <f t="shared" si="4"/>
        <v/>
      </c>
      <c r="DS211" s="195"/>
      <c r="DU211" s="1" t="s">
        <v>280</v>
      </c>
      <c r="DV211" s="200"/>
      <c r="DY211" s="200"/>
      <c r="EA211" s="200"/>
      <c r="EB211" s="200"/>
      <c r="EC211" s="200"/>
      <c r="ED211" s="200"/>
    </row>
    <row r="212" spans="1:146" s="11" customFormat="1" ht="14.25" customHeight="1" x14ac:dyDescent="0.15">
      <c r="A212" s="11">
        <v>170567</v>
      </c>
      <c r="B212" s="188" t="s">
        <v>334</v>
      </c>
      <c r="C212" s="40" t="s">
        <v>335</v>
      </c>
      <c r="D212" s="11" t="s">
        <v>510</v>
      </c>
      <c r="E212" s="189">
        <v>170515</v>
      </c>
      <c r="F212" s="189"/>
      <c r="G212" s="189"/>
      <c r="H212" s="11">
        <v>0</v>
      </c>
      <c r="L212" s="11">
        <v>0</v>
      </c>
      <c r="P212" s="11" t="s">
        <v>268</v>
      </c>
      <c r="Q212" s="11" t="s">
        <v>269</v>
      </c>
      <c r="X212" s="11">
        <v>1</v>
      </c>
      <c r="Y212" s="11">
        <v>0</v>
      </c>
      <c r="Z212" s="11">
        <v>0</v>
      </c>
      <c r="AB212" s="194">
        <v>3001</v>
      </c>
      <c r="AC212" s="195" t="s">
        <v>337</v>
      </c>
      <c r="AE212" s="11" t="s">
        <v>129</v>
      </c>
      <c r="AF212" s="11" t="s">
        <v>314</v>
      </c>
      <c r="AL212" s="200"/>
      <c r="AM212" s="200"/>
      <c r="AN212" s="200"/>
      <c r="AO212" s="200"/>
      <c r="AP212" s="200"/>
      <c r="AQ212" s="200"/>
      <c r="AR212" s="200"/>
      <c r="AU212" s="200"/>
      <c r="AV212" s="200"/>
      <c r="AW212" s="200"/>
      <c r="AX212" s="200"/>
      <c r="AY212" s="200"/>
      <c r="AZ212" s="200"/>
      <c r="BA212" s="204" t="s">
        <v>270</v>
      </c>
      <c r="BB212" s="11">
        <v>350</v>
      </c>
      <c r="BC212" s="11">
        <v>0</v>
      </c>
      <c r="BF212" s="11">
        <v>0</v>
      </c>
      <c r="BG212" s="11">
        <v>0</v>
      </c>
      <c r="BH212" s="11">
        <v>0</v>
      </c>
      <c r="BJ212" s="11" t="s">
        <v>270</v>
      </c>
      <c r="BS212" s="11" t="s">
        <v>270</v>
      </c>
      <c r="CF212" s="11" t="s">
        <v>271</v>
      </c>
      <c r="CJ212" s="11" t="s">
        <v>3</v>
      </c>
      <c r="CK212" s="195" t="s">
        <v>443</v>
      </c>
      <c r="CL212" s="195"/>
      <c r="CM212" s="11">
        <v>999</v>
      </c>
      <c r="CN212" s="11">
        <v>0</v>
      </c>
      <c r="CO212" s="11">
        <v>0</v>
      </c>
      <c r="CP212" s="11">
        <v>0</v>
      </c>
      <c r="CQ212" s="11">
        <v>0</v>
      </c>
      <c r="CS212" s="11">
        <v>15</v>
      </c>
      <c r="CU212" s="11">
        <v>15</v>
      </c>
      <c r="CV212" s="11" t="s">
        <v>470</v>
      </c>
      <c r="CW212" s="11" t="b">
        <v>0</v>
      </c>
      <c r="CX212" s="11" t="s">
        <v>273</v>
      </c>
      <c r="DB212" s="11">
        <v>100300</v>
      </c>
      <c r="DC212" s="11" t="b">
        <v>1</v>
      </c>
      <c r="DD212" s="11" t="s">
        <v>274</v>
      </c>
      <c r="DE212" s="11" t="s">
        <v>340</v>
      </c>
      <c r="DF212" s="11" t="s">
        <v>276</v>
      </c>
      <c r="DG212" s="11" t="s">
        <v>277</v>
      </c>
      <c r="DH212" s="11">
        <v>4</v>
      </c>
      <c r="DI212" s="11" t="b">
        <v>0</v>
      </c>
      <c r="DP212" s="96" t="s">
        <v>471</v>
      </c>
      <c r="DQ212" s="195" t="s">
        <v>502</v>
      </c>
      <c r="DR212" s="57" t="e">
        <f t="shared" si="4"/>
        <v>#VALUE!</v>
      </c>
      <c r="DS212" s="195" t="s">
        <v>503</v>
      </c>
      <c r="DU212" s="1" t="s">
        <v>280</v>
      </c>
      <c r="DV212" s="200"/>
      <c r="DZ212" s="11">
        <v>1</v>
      </c>
      <c r="EA212" s="200">
        <v>-1</v>
      </c>
      <c r="EB212" s="200">
        <v>4.1666666666666699E-2</v>
      </c>
      <c r="EC212" s="200">
        <v>8.3333333333333301E-2</v>
      </c>
      <c r="ED212" s="200">
        <v>8.3333333333333301E-2</v>
      </c>
      <c r="EE212" s="11" t="s">
        <v>284</v>
      </c>
      <c r="EF212" s="11" t="s">
        <v>326</v>
      </c>
      <c r="EG212" s="11" t="e">
        <v>#VALUE!</v>
      </c>
      <c r="EH212" s="11" t="s">
        <v>285</v>
      </c>
      <c r="EI212" s="11" t="s">
        <v>344</v>
      </c>
      <c r="EJ212" s="11" t="e">
        <v>#VALUE!</v>
      </c>
      <c r="EK212" s="11" t="s">
        <v>286</v>
      </c>
      <c r="EL212" s="11" t="s">
        <v>345</v>
      </c>
      <c r="EM212" s="11" t="e">
        <v>#VALUE!</v>
      </c>
      <c r="EN212" s="11" t="s">
        <v>287</v>
      </c>
      <c r="EO212" s="11" t="s">
        <v>345</v>
      </c>
      <c r="EP212" s="11" t="e">
        <v>#VALUE!</v>
      </c>
    </row>
    <row r="213" spans="1:146" s="11" customFormat="1" ht="14.25" customHeight="1" x14ac:dyDescent="0.15">
      <c r="B213" s="190"/>
      <c r="C213" s="40"/>
      <c r="E213" s="189"/>
      <c r="F213" s="189"/>
      <c r="G213" s="189"/>
      <c r="AB213" s="194">
        <v>10240102</v>
      </c>
      <c r="AC213" s="11" t="s">
        <v>346</v>
      </c>
      <c r="AE213" s="11" t="s">
        <v>129</v>
      </c>
      <c r="AF213" s="11" t="s">
        <v>314</v>
      </c>
      <c r="AJ213" s="11">
        <v>3</v>
      </c>
      <c r="AL213" s="200"/>
      <c r="AM213" s="200"/>
      <c r="AN213" s="200"/>
      <c r="AO213" s="200"/>
      <c r="AP213" s="200"/>
      <c r="AQ213" s="200"/>
      <c r="AR213" s="200"/>
      <c r="AU213" s="200"/>
      <c r="AV213" s="200"/>
      <c r="AW213" s="200"/>
      <c r="AX213" s="200"/>
      <c r="AY213" s="200"/>
      <c r="AZ213" s="200"/>
      <c r="BA213" s="204"/>
      <c r="CK213" s="195"/>
      <c r="CL213" s="195"/>
      <c r="CX213" s="207"/>
      <c r="DI213" s="207"/>
      <c r="DJ213" s="207"/>
      <c r="DM213" s="197"/>
      <c r="DN213" s="197"/>
      <c r="DO213" s="197"/>
      <c r="DP213" s="94"/>
      <c r="DQ213" s="195"/>
      <c r="DR213" s="57" t="str">
        <f t="shared" si="4"/>
        <v/>
      </c>
      <c r="DS213" s="195"/>
      <c r="DT213" s="211"/>
      <c r="DU213" s="1" t="s">
        <v>280</v>
      </c>
      <c r="DV213" s="200"/>
      <c r="DY213" s="200"/>
      <c r="DZ213" s="213"/>
      <c r="EA213" s="214"/>
      <c r="EB213" s="214"/>
      <c r="EC213" s="214"/>
      <c r="ED213" s="214"/>
    </row>
    <row r="214" spans="1:146" s="11" customFormat="1" ht="14.25" customHeight="1" x14ac:dyDescent="0.15">
      <c r="A214" s="11">
        <v>170568</v>
      </c>
      <c r="B214" s="188" t="s">
        <v>456</v>
      </c>
      <c r="C214" s="40" t="s">
        <v>457</v>
      </c>
      <c r="D214" s="11" t="s">
        <v>510</v>
      </c>
      <c r="E214" s="189">
        <v>170516</v>
      </c>
      <c r="F214" s="189"/>
      <c r="G214" s="189"/>
      <c r="H214" s="11">
        <v>0</v>
      </c>
      <c r="L214" s="11">
        <v>0</v>
      </c>
      <c r="P214" s="11" t="s">
        <v>268</v>
      </c>
      <c r="Q214" s="11" t="s">
        <v>269</v>
      </c>
      <c r="X214" s="11">
        <v>1</v>
      </c>
      <c r="Y214" s="11">
        <v>0</v>
      </c>
      <c r="Z214" s="11">
        <v>0</v>
      </c>
      <c r="AB214" s="196">
        <v>3001</v>
      </c>
      <c r="AC214" s="197" t="s">
        <v>337</v>
      </c>
      <c r="AD214" s="11" t="s">
        <v>330</v>
      </c>
      <c r="AE214" s="197"/>
      <c r="AF214" s="197"/>
      <c r="AG214" s="197"/>
      <c r="AH214" s="197"/>
      <c r="AI214" s="197"/>
      <c r="AJ214" s="197"/>
      <c r="AK214" s="197"/>
      <c r="BA214" s="205" t="s">
        <v>270</v>
      </c>
      <c r="BB214" s="11">
        <v>175</v>
      </c>
      <c r="BC214" s="11">
        <v>0</v>
      </c>
      <c r="BF214" s="11">
        <v>0</v>
      </c>
      <c r="BG214" s="11">
        <v>0</v>
      </c>
      <c r="BH214" s="11">
        <v>0</v>
      </c>
      <c r="BJ214" s="11" t="s">
        <v>270</v>
      </c>
      <c r="BS214" s="11" t="s">
        <v>270</v>
      </c>
      <c r="CF214" s="11" t="s">
        <v>378</v>
      </c>
      <c r="CJ214" s="11" t="s">
        <v>1</v>
      </c>
      <c r="CK214" s="195" t="s">
        <v>379</v>
      </c>
      <c r="CL214" s="195"/>
      <c r="CM214" s="11">
        <v>999</v>
      </c>
      <c r="CN214" s="11">
        <v>0</v>
      </c>
      <c r="CO214" s="11">
        <v>0</v>
      </c>
      <c r="CP214" s="11">
        <v>0</v>
      </c>
      <c r="CQ214" s="11">
        <v>0</v>
      </c>
      <c r="CS214" s="11">
        <v>5</v>
      </c>
      <c r="CU214" s="11">
        <v>20</v>
      </c>
      <c r="CV214" s="11" t="s">
        <v>472</v>
      </c>
      <c r="CW214" s="11" t="b">
        <v>0</v>
      </c>
      <c r="CX214" s="11" t="s">
        <v>273</v>
      </c>
      <c r="DB214" s="11">
        <v>102401</v>
      </c>
      <c r="DC214" s="11" t="b">
        <v>1</v>
      </c>
      <c r="DD214" s="11" t="s">
        <v>274</v>
      </c>
      <c r="DE214" s="11" t="s">
        <v>380</v>
      </c>
      <c r="DF214" s="11" t="s">
        <v>276</v>
      </c>
      <c r="DG214" s="11" t="s">
        <v>293</v>
      </c>
      <c r="DH214" s="11">
        <v>4</v>
      </c>
      <c r="DI214" s="11" t="b">
        <v>0</v>
      </c>
      <c r="DP214" s="96" t="s">
        <v>473</v>
      </c>
      <c r="DQ214" s="11" t="s">
        <v>504</v>
      </c>
      <c r="DR214" s="57" t="e">
        <f t="shared" si="4"/>
        <v>#VALUE!</v>
      </c>
      <c r="DS214" s="11" t="s">
        <v>505</v>
      </c>
      <c r="DU214" s="1" t="s">
        <v>280</v>
      </c>
      <c r="DV214" s="200"/>
      <c r="DZ214" s="11">
        <v>1</v>
      </c>
      <c r="EA214" s="200">
        <v>-1</v>
      </c>
      <c r="EB214" s="200">
        <v>4.1666666666666699E-2</v>
      </c>
      <c r="EC214" s="200">
        <v>8.3333333333333301E-2</v>
      </c>
      <c r="ED214" s="200">
        <v>8.3333333333333301E-2</v>
      </c>
      <c r="EE214" s="11" t="s">
        <v>284</v>
      </c>
      <c r="EF214" s="11" t="s">
        <v>326</v>
      </c>
      <c r="EG214" s="11" t="e">
        <v>#VALUE!</v>
      </c>
      <c r="EH214" s="11" t="s">
        <v>285</v>
      </c>
      <c r="EI214" s="11" t="s">
        <v>344</v>
      </c>
      <c r="EJ214" s="11" t="e">
        <v>#VALUE!</v>
      </c>
      <c r="EK214" s="11" t="s">
        <v>286</v>
      </c>
      <c r="EL214" s="11" t="s">
        <v>328</v>
      </c>
      <c r="EM214" s="11" t="e">
        <v>#VALUE!</v>
      </c>
      <c r="EN214" s="11" t="s">
        <v>287</v>
      </c>
      <c r="EO214" s="11" t="s">
        <v>328</v>
      </c>
      <c r="EP214" s="11" t="e">
        <v>#VALUE!</v>
      </c>
    </row>
    <row r="215" spans="1:146" s="11" customFormat="1" ht="14.25" customHeight="1" x14ac:dyDescent="0.15">
      <c r="B215" s="188"/>
      <c r="C215" s="40"/>
      <c r="E215" s="189"/>
      <c r="F215" s="189"/>
      <c r="G215" s="189"/>
      <c r="AB215" s="196">
        <v>17050505</v>
      </c>
      <c r="AC215" s="197" t="s">
        <v>384</v>
      </c>
      <c r="AD215" s="11" t="s">
        <v>330</v>
      </c>
      <c r="AE215" s="197" t="s">
        <v>291</v>
      </c>
      <c r="AF215" s="197" t="s">
        <v>314</v>
      </c>
      <c r="AG215" s="197"/>
      <c r="AH215" s="197"/>
      <c r="AI215" s="197"/>
      <c r="AJ215" s="197"/>
      <c r="AK215" s="197"/>
      <c r="BA215" s="205"/>
      <c r="DP215" s="96"/>
      <c r="DR215" s="57" t="str">
        <f t="shared" si="4"/>
        <v/>
      </c>
      <c r="DU215" s="1" t="s">
        <v>280</v>
      </c>
      <c r="DV215" s="200"/>
      <c r="DY215" s="200"/>
      <c r="EA215" s="200"/>
      <c r="EB215" s="200"/>
      <c r="EC215" s="200"/>
      <c r="ED215" s="200"/>
    </row>
    <row r="216" spans="1:146" s="11" customFormat="1" ht="14.25" customHeight="1" x14ac:dyDescent="0.15">
      <c r="B216" s="188"/>
      <c r="C216" s="40"/>
      <c r="E216" s="189"/>
      <c r="F216" s="189"/>
      <c r="G216" s="189"/>
      <c r="AB216" s="194">
        <v>17050506</v>
      </c>
      <c r="AC216" s="11" t="s">
        <v>385</v>
      </c>
      <c r="AE216" s="11" t="s">
        <v>291</v>
      </c>
      <c r="AF216" s="11" t="s">
        <v>314</v>
      </c>
      <c r="AJ216" s="11">
        <v>8</v>
      </c>
      <c r="AL216" s="200"/>
      <c r="AM216" s="200"/>
      <c r="AN216" s="200"/>
      <c r="AO216" s="200"/>
      <c r="AP216" s="200"/>
      <c r="AQ216" s="200"/>
      <c r="AR216" s="200"/>
      <c r="AU216" s="200"/>
      <c r="AV216" s="200"/>
      <c r="AW216" s="200"/>
      <c r="AX216" s="200"/>
      <c r="AY216" s="200"/>
      <c r="AZ216" s="200"/>
      <c r="BA216" s="204"/>
      <c r="CK216" s="195"/>
      <c r="CL216" s="195"/>
      <c r="CX216" s="207"/>
      <c r="DD216" s="194"/>
      <c r="DE216" s="197"/>
      <c r="DF216" s="194"/>
      <c r="DG216" s="194"/>
      <c r="DH216" s="194"/>
      <c r="DI216" s="194"/>
      <c r="DJ216" s="194"/>
      <c r="DP216" s="96"/>
      <c r="DQ216" s="198"/>
      <c r="DR216" s="57" t="str">
        <f t="shared" si="4"/>
        <v/>
      </c>
      <c r="DS216" s="198"/>
      <c r="DT216" s="212"/>
      <c r="DU216" s="1" t="s">
        <v>280</v>
      </c>
      <c r="DV216" s="200"/>
      <c r="DY216" s="200"/>
      <c r="DZ216" s="213"/>
      <c r="EA216" s="214"/>
      <c r="EB216" s="214"/>
      <c r="EC216" s="214"/>
      <c r="ED216" s="214"/>
    </row>
    <row r="217" spans="1:146" s="11" customFormat="1" ht="14.25" customHeight="1" x14ac:dyDescent="0.15">
      <c r="B217" s="188"/>
      <c r="C217" s="40"/>
      <c r="E217" s="189"/>
      <c r="F217" s="189"/>
      <c r="G217" s="189"/>
      <c r="AB217" s="198">
        <v>17050507</v>
      </c>
      <c r="AC217" s="197" t="s">
        <v>386</v>
      </c>
      <c r="AD217" s="11" t="s">
        <v>330</v>
      </c>
      <c r="AE217" s="11" t="s">
        <v>291</v>
      </c>
      <c r="AF217" s="11" t="s">
        <v>314</v>
      </c>
      <c r="AJ217" s="197"/>
      <c r="AK217" s="197"/>
      <c r="BA217" s="206"/>
      <c r="DP217" s="96"/>
      <c r="DR217" s="57" t="str">
        <f t="shared" si="4"/>
        <v/>
      </c>
      <c r="DU217" s="1" t="s">
        <v>280</v>
      </c>
      <c r="DV217" s="200"/>
      <c r="DY217" s="200"/>
      <c r="EA217" s="200"/>
      <c r="EB217" s="200"/>
      <c r="EC217" s="200"/>
      <c r="ED217" s="200"/>
    </row>
    <row r="218" spans="1:146" s="11" customFormat="1" ht="14.25" customHeight="1" x14ac:dyDescent="0.15">
      <c r="A218" s="11">
        <v>170569</v>
      </c>
      <c r="B218" s="188" t="s">
        <v>462</v>
      </c>
      <c r="C218" s="40" t="s">
        <v>463</v>
      </c>
      <c r="D218" s="11" t="s">
        <v>510</v>
      </c>
      <c r="E218" s="189">
        <v>170517</v>
      </c>
      <c r="F218" s="189"/>
      <c r="G218" s="189"/>
      <c r="H218" s="11">
        <v>0</v>
      </c>
      <c r="L218" s="11">
        <v>0</v>
      </c>
      <c r="P218" s="11" t="s">
        <v>268</v>
      </c>
      <c r="Q218" s="11" t="s">
        <v>269</v>
      </c>
      <c r="X218" s="11">
        <v>1</v>
      </c>
      <c r="Y218" s="11">
        <v>0</v>
      </c>
      <c r="Z218" s="11">
        <v>0</v>
      </c>
      <c r="AB218" s="194">
        <v>3001</v>
      </c>
      <c r="AC218" s="195"/>
      <c r="AL218" s="200"/>
      <c r="AM218" s="200"/>
      <c r="AN218" s="200"/>
      <c r="AO218" s="200"/>
      <c r="AP218" s="200"/>
      <c r="AQ218" s="200"/>
      <c r="AR218" s="200"/>
      <c r="AU218" s="200"/>
      <c r="AV218" s="200"/>
      <c r="AW218" s="200"/>
      <c r="AX218" s="200"/>
      <c r="AY218" s="200"/>
      <c r="AZ218" s="200"/>
      <c r="BA218" s="204" t="s">
        <v>270</v>
      </c>
      <c r="BB218" s="11">
        <v>175</v>
      </c>
      <c r="BC218" s="11">
        <v>0</v>
      </c>
      <c r="BF218" s="11">
        <v>0</v>
      </c>
      <c r="BG218" s="11">
        <v>0</v>
      </c>
      <c r="BH218" s="11">
        <v>0</v>
      </c>
      <c r="BJ218" s="11" t="s">
        <v>270</v>
      </c>
      <c r="BS218" s="11" t="s">
        <v>270</v>
      </c>
      <c r="CF218" s="11" t="s">
        <v>271</v>
      </c>
      <c r="CJ218" s="11" t="s">
        <v>1</v>
      </c>
      <c r="CK218" s="195" t="s">
        <v>464</v>
      </c>
      <c r="CL218" s="195"/>
      <c r="CM218" s="11">
        <v>999</v>
      </c>
      <c r="CN218" s="11">
        <v>0</v>
      </c>
      <c r="CO218" s="11">
        <v>0</v>
      </c>
      <c r="CP218" s="11">
        <v>0</v>
      </c>
      <c r="CQ218" s="11">
        <v>0</v>
      </c>
      <c r="CS218" s="11">
        <v>20</v>
      </c>
      <c r="CT218" s="11">
        <v>10</v>
      </c>
      <c r="CU218" s="11">
        <v>24</v>
      </c>
      <c r="CV218" s="11" t="s">
        <v>474</v>
      </c>
      <c r="CW218" s="11" t="b">
        <v>1</v>
      </c>
      <c r="CX218" s="11" t="s">
        <v>273</v>
      </c>
      <c r="DB218" s="11">
        <v>170501</v>
      </c>
      <c r="DC218" s="11" t="b">
        <v>1</v>
      </c>
      <c r="DD218" s="11" t="s">
        <v>274</v>
      </c>
      <c r="DE218" s="11" t="s">
        <v>495</v>
      </c>
      <c r="DF218" s="11" t="s">
        <v>276</v>
      </c>
      <c r="DG218" s="11" t="s">
        <v>322</v>
      </c>
      <c r="DH218" s="11">
        <v>4</v>
      </c>
      <c r="DI218" s="11" t="b">
        <v>0</v>
      </c>
      <c r="DP218" s="96" t="s">
        <v>475</v>
      </c>
      <c r="DQ218" s="195" t="s">
        <v>506</v>
      </c>
      <c r="DR218" s="57" t="e">
        <f t="shared" si="4"/>
        <v>#VALUE!</v>
      </c>
      <c r="DS218" s="195" t="s">
        <v>507</v>
      </c>
      <c r="DU218" s="1" t="s">
        <v>280</v>
      </c>
      <c r="DV218" s="200"/>
      <c r="DZ218" s="11">
        <v>1</v>
      </c>
      <c r="EA218" s="200">
        <v>-1</v>
      </c>
      <c r="EB218" s="200">
        <v>4.1666666666666699E-2</v>
      </c>
      <c r="EC218" s="200">
        <v>8.3333333333333301E-2</v>
      </c>
      <c r="ED218" s="200">
        <v>8.3333333333333301E-2</v>
      </c>
      <c r="EE218" s="11" t="s">
        <v>284</v>
      </c>
      <c r="EF218" s="11" t="s">
        <v>326</v>
      </c>
      <c r="EG218" s="11" t="e">
        <v>#VALUE!</v>
      </c>
      <c r="EH218" s="11" t="s">
        <v>285</v>
      </c>
      <c r="EI218" s="11" t="s">
        <v>327</v>
      </c>
      <c r="EJ218" s="11" t="e">
        <v>#VALUE!</v>
      </c>
      <c r="EK218" s="11" t="s">
        <v>286</v>
      </c>
      <c r="EL218" s="11" t="s">
        <v>328</v>
      </c>
      <c r="EM218" s="11" t="e">
        <v>#VALUE!</v>
      </c>
      <c r="EN218" s="11" t="s">
        <v>287</v>
      </c>
      <c r="EO218" s="11" t="s">
        <v>328</v>
      </c>
      <c r="EP218" s="11" t="e">
        <v>#VALUE!</v>
      </c>
    </row>
    <row r="219" spans="1:146" s="11" customFormat="1" ht="14.25" customHeight="1" x14ac:dyDescent="0.15">
      <c r="B219" s="188"/>
      <c r="C219" s="40"/>
      <c r="E219" s="189"/>
      <c r="F219" s="189"/>
      <c r="G219" s="189"/>
      <c r="AB219" s="194">
        <v>17050301</v>
      </c>
      <c r="AC219" s="11" t="s">
        <v>329</v>
      </c>
      <c r="AD219" s="11" t="s">
        <v>330</v>
      </c>
      <c r="AE219" s="11" t="s">
        <v>291</v>
      </c>
      <c r="AF219" s="11" t="s">
        <v>314</v>
      </c>
      <c r="AL219" s="200"/>
      <c r="AM219" s="200"/>
      <c r="AN219" s="200"/>
      <c r="AO219" s="200"/>
      <c r="AP219" s="200"/>
      <c r="AQ219" s="200"/>
      <c r="AR219" s="200"/>
      <c r="AU219" s="200"/>
      <c r="AV219" s="200"/>
      <c r="AW219" s="200"/>
      <c r="AX219" s="200"/>
      <c r="AY219" s="200"/>
      <c r="AZ219" s="200"/>
      <c r="BA219" s="204" t="s">
        <v>331</v>
      </c>
      <c r="BB219" s="11">
        <v>1.34E-2</v>
      </c>
      <c r="BC219" s="11">
        <v>0</v>
      </c>
      <c r="BF219" s="11">
        <v>0</v>
      </c>
      <c r="BG219" s="11">
        <v>0</v>
      </c>
      <c r="BH219" s="11">
        <v>0</v>
      </c>
      <c r="CX219" s="207"/>
      <c r="DI219" s="207"/>
      <c r="DJ219" s="207"/>
      <c r="DP219" s="96"/>
      <c r="DQ219" s="195"/>
      <c r="DR219" s="57" t="str">
        <f t="shared" si="4"/>
        <v/>
      </c>
      <c r="DS219" s="195"/>
      <c r="DU219" s="1" t="s">
        <v>280</v>
      </c>
      <c r="DV219" s="200"/>
      <c r="DY219" s="200"/>
      <c r="DZ219" s="213"/>
      <c r="EA219" s="214"/>
      <c r="EB219" s="214"/>
      <c r="EC219" s="214"/>
      <c r="ED219" s="214"/>
    </row>
    <row r="220" spans="1:146" s="11" customFormat="1" ht="14.25" customHeight="1" x14ac:dyDescent="0.15">
      <c r="B220" s="188"/>
      <c r="C220" s="40"/>
      <c r="E220" s="189"/>
      <c r="F220" s="189"/>
      <c r="G220" s="189"/>
      <c r="AB220" s="194">
        <v>17050302</v>
      </c>
      <c r="AC220" s="11" t="s">
        <v>332</v>
      </c>
      <c r="AD220" s="11" t="s">
        <v>333</v>
      </c>
      <c r="AE220" s="11" t="s">
        <v>291</v>
      </c>
      <c r="AF220" s="11" t="s">
        <v>314</v>
      </c>
      <c r="AJ220" s="11">
        <v>-1</v>
      </c>
      <c r="AL220" s="200"/>
      <c r="AM220" s="215"/>
      <c r="AN220" s="215"/>
      <c r="AO220" s="215"/>
      <c r="AP220" s="215"/>
      <c r="AQ220" s="215"/>
      <c r="AR220" s="215"/>
      <c r="AU220" s="200"/>
      <c r="AV220" s="200"/>
      <c r="AW220" s="200"/>
      <c r="AX220" s="200"/>
      <c r="AY220" s="200"/>
      <c r="AZ220" s="200"/>
      <c r="BA220" s="204"/>
      <c r="DP220" s="96"/>
      <c r="DQ220" s="195"/>
      <c r="DR220" s="57" t="str">
        <f t="shared" si="4"/>
        <v/>
      </c>
      <c r="DS220" s="195"/>
      <c r="DU220" s="1" t="s">
        <v>280</v>
      </c>
      <c r="DV220" s="200"/>
      <c r="DY220" s="200"/>
      <c r="EA220" s="200"/>
      <c r="EB220" s="200"/>
      <c r="EC220" s="200"/>
      <c r="ED220" s="200"/>
    </row>
    <row r="221" spans="1:146" s="11" customFormat="1" ht="14.25" customHeight="1" x14ac:dyDescent="0.15">
      <c r="A221" s="11">
        <v>170570</v>
      </c>
      <c r="B221" s="188" t="s">
        <v>334</v>
      </c>
      <c r="C221" s="40" t="s">
        <v>335</v>
      </c>
      <c r="D221" s="11" t="s">
        <v>511</v>
      </c>
      <c r="E221" s="189">
        <v>170515</v>
      </c>
      <c r="F221" s="189"/>
      <c r="G221" s="189"/>
      <c r="H221" s="11">
        <v>0</v>
      </c>
      <c r="L221" s="11">
        <v>0</v>
      </c>
      <c r="P221" s="11" t="s">
        <v>268</v>
      </c>
      <c r="Q221" s="11" t="s">
        <v>269</v>
      </c>
      <c r="X221" s="11">
        <v>1</v>
      </c>
      <c r="Y221" s="11">
        <v>0</v>
      </c>
      <c r="Z221" s="11">
        <v>0</v>
      </c>
      <c r="AB221" s="194">
        <v>3001</v>
      </c>
      <c r="AC221" s="195" t="s">
        <v>337</v>
      </c>
      <c r="AE221" s="11" t="s">
        <v>129</v>
      </c>
      <c r="AF221" s="11" t="s">
        <v>314</v>
      </c>
      <c r="AL221" s="200"/>
      <c r="AM221" s="200"/>
      <c r="AN221" s="200"/>
      <c r="AO221" s="200"/>
      <c r="AP221" s="200"/>
      <c r="AQ221" s="200"/>
      <c r="AR221" s="200"/>
      <c r="AU221" s="200"/>
      <c r="AV221" s="200"/>
      <c r="AW221" s="200"/>
      <c r="AX221" s="200"/>
      <c r="AY221" s="200"/>
      <c r="AZ221" s="200"/>
      <c r="BA221" s="204" t="s">
        <v>270</v>
      </c>
      <c r="BB221" s="11">
        <v>200</v>
      </c>
      <c r="BC221" s="11">
        <v>0</v>
      </c>
      <c r="BF221" s="11">
        <v>0</v>
      </c>
      <c r="BG221" s="11">
        <v>0</v>
      </c>
      <c r="BH221" s="11">
        <v>0</v>
      </c>
      <c r="BJ221" s="11" t="s">
        <v>270</v>
      </c>
      <c r="BS221" s="11" t="s">
        <v>270</v>
      </c>
      <c r="CF221" s="11" t="s">
        <v>271</v>
      </c>
      <c r="CJ221" s="11" t="s">
        <v>3</v>
      </c>
      <c r="CK221" s="195" t="s">
        <v>443</v>
      </c>
      <c r="CL221" s="195"/>
      <c r="CM221" s="11">
        <v>999</v>
      </c>
      <c r="CN221" s="11">
        <v>0</v>
      </c>
      <c r="CO221" s="11">
        <v>0</v>
      </c>
      <c r="CP221" s="11">
        <v>0</v>
      </c>
      <c r="CQ221" s="11">
        <v>0</v>
      </c>
      <c r="CS221" s="11">
        <v>15</v>
      </c>
      <c r="CU221" s="11">
        <v>15</v>
      </c>
      <c r="CV221" s="11" t="s">
        <v>470</v>
      </c>
      <c r="CW221" s="11" t="b">
        <v>0</v>
      </c>
      <c r="CX221" s="11" t="s">
        <v>273</v>
      </c>
      <c r="DB221" s="11">
        <v>100300</v>
      </c>
      <c r="DC221" s="11" t="b">
        <v>1</v>
      </c>
      <c r="DD221" s="11" t="s">
        <v>274</v>
      </c>
      <c r="DE221" s="11" t="s">
        <v>340</v>
      </c>
      <c r="DF221" s="11" t="s">
        <v>276</v>
      </c>
      <c r="DG221" s="11" t="s">
        <v>277</v>
      </c>
      <c r="DH221" s="11">
        <v>4</v>
      </c>
      <c r="DI221" s="11" t="b">
        <v>0</v>
      </c>
      <c r="DP221" s="96" t="s">
        <v>471</v>
      </c>
      <c r="DQ221" s="195" t="s">
        <v>502</v>
      </c>
      <c r="DR221" s="57" t="e">
        <f t="shared" si="4"/>
        <v>#VALUE!</v>
      </c>
      <c r="DS221" s="195" t="s">
        <v>503</v>
      </c>
      <c r="DU221" s="1" t="s">
        <v>280</v>
      </c>
      <c r="DV221" s="200"/>
      <c r="DZ221" s="11">
        <v>1</v>
      </c>
      <c r="EA221" s="200">
        <v>-1</v>
      </c>
      <c r="EB221" s="200">
        <v>4.1666666666666699E-2</v>
      </c>
      <c r="EC221" s="200">
        <v>8.3333333333333301E-2</v>
      </c>
      <c r="ED221" s="200">
        <v>8.3333333333333301E-2</v>
      </c>
      <c r="EE221" s="11" t="s">
        <v>284</v>
      </c>
      <c r="EF221" s="11" t="s">
        <v>326</v>
      </c>
      <c r="EG221" s="11" t="e">
        <v>#VALUE!</v>
      </c>
      <c r="EH221" s="11" t="s">
        <v>285</v>
      </c>
      <c r="EI221" s="11" t="s">
        <v>344</v>
      </c>
      <c r="EJ221" s="11" t="e">
        <v>#VALUE!</v>
      </c>
      <c r="EK221" s="11" t="s">
        <v>286</v>
      </c>
      <c r="EL221" s="11" t="s">
        <v>345</v>
      </c>
      <c r="EM221" s="11" t="e">
        <v>#VALUE!</v>
      </c>
      <c r="EN221" s="11" t="s">
        <v>287</v>
      </c>
      <c r="EO221" s="11" t="s">
        <v>345</v>
      </c>
      <c r="EP221" s="11" t="e">
        <v>#VALUE!</v>
      </c>
    </row>
    <row r="222" spans="1:146" s="11" customFormat="1" ht="14.25" customHeight="1" x14ac:dyDescent="0.15">
      <c r="B222" s="190"/>
      <c r="C222" s="40"/>
      <c r="E222" s="189"/>
      <c r="F222" s="189"/>
      <c r="G222" s="189"/>
      <c r="AB222" s="194">
        <v>10240102</v>
      </c>
      <c r="AC222" s="11" t="s">
        <v>346</v>
      </c>
      <c r="AE222" s="11" t="s">
        <v>129</v>
      </c>
      <c r="AF222" s="11" t="s">
        <v>314</v>
      </c>
      <c r="AJ222" s="11">
        <v>3</v>
      </c>
      <c r="AL222" s="200"/>
      <c r="AM222" s="200"/>
      <c r="AN222" s="200"/>
      <c r="AO222" s="200"/>
      <c r="AP222" s="200"/>
      <c r="AQ222" s="200"/>
      <c r="AR222" s="200"/>
      <c r="AU222" s="200"/>
      <c r="AV222" s="200"/>
      <c r="AW222" s="200"/>
      <c r="AX222" s="200"/>
      <c r="AY222" s="200"/>
      <c r="AZ222" s="200"/>
      <c r="BA222" s="204"/>
      <c r="CK222" s="195"/>
      <c r="CL222" s="195"/>
      <c r="CX222" s="207"/>
      <c r="DI222" s="207"/>
      <c r="DJ222" s="207"/>
      <c r="DM222" s="197"/>
      <c r="DN222" s="197"/>
      <c r="DO222" s="197"/>
      <c r="DP222" s="94"/>
      <c r="DQ222" s="195"/>
      <c r="DR222" s="57" t="str">
        <f t="shared" si="4"/>
        <v/>
      </c>
      <c r="DS222" s="195"/>
      <c r="DT222" s="211"/>
      <c r="DU222" s="1" t="s">
        <v>280</v>
      </c>
      <c r="DV222" s="200"/>
      <c r="DY222" s="200"/>
      <c r="DZ222" s="213"/>
      <c r="EA222" s="214"/>
      <c r="EB222" s="214"/>
      <c r="EC222" s="214"/>
      <c r="ED222" s="214"/>
    </row>
    <row r="223" spans="1:146" s="11" customFormat="1" ht="14.25" customHeight="1" x14ac:dyDescent="0.15">
      <c r="A223" s="11">
        <v>170571</v>
      </c>
      <c r="B223" s="188" t="s">
        <v>456</v>
      </c>
      <c r="C223" s="40" t="s">
        <v>457</v>
      </c>
      <c r="D223" s="11" t="s">
        <v>511</v>
      </c>
      <c r="E223" s="189">
        <v>170516</v>
      </c>
      <c r="F223" s="189"/>
      <c r="G223" s="189"/>
      <c r="H223" s="11">
        <v>0</v>
      </c>
      <c r="L223" s="11">
        <v>0</v>
      </c>
      <c r="P223" s="11" t="s">
        <v>268</v>
      </c>
      <c r="Q223" s="11" t="s">
        <v>269</v>
      </c>
      <c r="X223" s="11">
        <v>1</v>
      </c>
      <c r="Y223" s="11">
        <v>0</v>
      </c>
      <c r="Z223" s="11">
        <v>0</v>
      </c>
      <c r="AB223" s="196">
        <v>3001</v>
      </c>
      <c r="AC223" s="197" t="s">
        <v>337</v>
      </c>
      <c r="AD223" s="11" t="s">
        <v>330</v>
      </c>
      <c r="AE223" s="197"/>
      <c r="AF223" s="197"/>
      <c r="AG223" s="197"/>
      <c r="AH223" s="197"/>
      <c r="AI223" s="197"/>
      <c r="AJ223" s="197"/>
      <c r="AK223" s="197"/>
      <c r="BA223" s="205" t="s">
        <v>270</v>
      </c>
      <c r="BB223" s="11">
        <v>400</v>
      </c>
      <c r="BC223" s="11">
        <v>0</v>
      </c>
      <c r="BF223" s="11">
        <v>0</v>
      </c>
      <c r="BG223" s="11">
        <v>0</v>
      </c>
      <c r="BH223" s="11">
        <v>0</v>
      </c>
      <c r="BJ223" s="11" t="s">
        <v>270</v>
      </c>
      <c r="BS223" s="11" t="s">
        <v>270</v>
      </c>
      <c r="CF223" s="11" t="s">
        <v>378</v>
      </c>
      <c r="CJ223" s="11" t="s">
        <v>1</v>
      </c>
      <c r="CK223" s="195" t="s">
        <v>379</v>
      </c>
      <c r="CL223" s="195"/>
      <c r="CM223" s="11">
        <v>999</v>
      </c>
      <c r="CN223" s="11">
        <v>0</v>
      </c>
      <c r="CO223" s="11">
        <v>0</v>
      </c>
      <c r="CP223" s="11">
        <v>0</v>
      </c>
      <c r="CQ223" s="11">
        <v>0</v>
      </c>
      <c r="CS223" s="11">
        <v>5</v>
      </c>
      <c r="CU223" s="11">
        <v>20</v>
      </c>
      <c r="CV223" s="11" t="s">
        <v>472</v>
      </c>
      <c r="CW223" s="11" t="b">
        <v>0</v>
      </c>
      <c r="CX223" s="11" t="s">
        <v>273</v>
      </c>
      <c r="DB223" s="11">
        <v>102401</v>
      </c>
      <c r="DC223" s="11" t="b">
        <v>1</v>
      </c>
      <c r="DD223" s="11" t="s">
        <v>274</v>
      </c>
      <c r="DE223" s="11" t="s">
        <v>380</v>
      </c>
      <c r="DF223" s="11" t="s">
        <v>276</v>
      </c>
      <c r="DG223" s="11" t="s">
        <v>293</v>
      </c>
      <c r="DH223" s="11">
        <v>4</v>
      </c>
      <c r="DI223" s="11" t="b">
        <v>0</v>
      </c>
      <c r="DP223" s="96" t="s">
        <v>473</v>
      </c>
      <c r="DQ223" s="11" t="s">
        <v>504</v>
      </c>
      <c r="DR223" s="57" t="e">
        <f t="shared" si="4"/>
        <v>#VALUE!</v>
      </c>
      <c r="DS223" s="11" t="s">
        <v>505</v>
      </c>
      <c r="DU223" s="1" t="s">
        <v>280</v>
      </c>
      <c r="DV223" s="200"/>
      <c r="DZ223" s="11">
        <v>1</v>
      </c>
      <c r="EA223" s="200">
        <v>-1</v>
      </c>
      <c r="EB223" s="200">
        <v>4.1666666666666699E-2</v>
      </c>
      <c r="EC223" s="200">
        <v>8.3333333333333301E-2</v>
      </c>
      <c r="ED223" s="200">
        <v>8.3333333333333301E-2</v>
      </c>
      <c r="EE223" s="11" t="s">
        <v>284</v>
      </c>
      <c r="EF223" s="11" t="s">
        <v>326</v>
      </c>
      <c r="EG223" s="11" t="e">
        <v>#VALUE!</v>
      </c>
      <c r="EH223" s="11" t="s">
        <v>285</v>
      </c>
      <c r="EI223" s="11" t="s">
        <v>344</v>
      </c>
      <c r="EJ223" s="11" t="e">
        <v>#VALUE!</v>
      </c>
      <c r="EK223" s="11" t="s">
        <v>286</v>
      </c>
      <c r="EL223" s="11" t="s">
        <v>328</v>
      </c>
      <c r="EM223" s="11" t="e">
        <v>#VALUE!</v>
      </c>
      <c r="EN223" s="11" t="s">
        <v>287</v>
      </c>
      <c r="EO223" s="11" t="s">
        <v>328</v>
      </c>
      <c r="EP223" s="11" t="e">
        <v>#VALUE!</v>
      </c>
    </row>
    <row r="224" spans="1:146" s="11" customFormat="1" ht="14.25" customHeight="1" x14ac:dyDescent="0.15">
      <c r="B224" s="188"/>
      <c r="C224" s="40"/>
      <c r="E224" s="189"/>
      <c r="F224" s="189"/>
      <c r="G224" s="189"/>
      <c r="AB224" s="196">
        <v>17050505</v>
      </c>
      <c r="AC224" s="197" t="s">
        <v>384</v>
      </c>
      <c r="AD224" s="11" t="s">
        <v>330</v>
      </c>
      <c r="AE224" s="197" t="s">
        <v>291</v>
      </c>
      <c r="AF224" s="197" t="s">
        <v>314</v>
      </c>
      <c r="AG224" s="197"/>
      <c r="AH224" s="197"/>
      <c r="AI224" s="197"/>
      <c r="AJ224" s="197"/>
      <c r="AK224" s="197"/>
      <c r="BA224" s="205"/>
      <c r="DP224" s="96"/>
      <c r="DR224" s="57" t="str">
        <f t="shared" si="4"/>
        <v/>
      </c>
      <c r="DU224" s="1" t="s">
        <v>280</v>
      </c>
      <c r="DV224" s="200"/>
      <c r="DY224" s="200"/>
      <c r="EA224" s="200"/>
      <c r="EB224" s="200"/>
      <c r="EC224" s="200"/>
      <c r="ED224" s="200"/>
    </row>
    <row r="225" spans="1:146" s="11" customFormat="1" ht="14.25" customHeight="1" x14ac:dyDescent="0.15">
      <c r="B225" s="188"/>
      <c r="C225" s="40"/>
      <c r="E225" s="189"/>
      <c r="F225" s="189"/>
      <c r="G225" s="189"/>
      <c r="AB225" s="194">
        <v>17050506</v>
      </c>
      <c r="AC225" s="11" t="s">
        <v>385</v>
      </c>
      <c r="AE225" s="11" t="s">
        <v>291</v>
      </c>
      <c r="AF225" s="11" t="s">
        <v>314</v>
      </c>
      <c r="AJ225" s="11">
        <v>8</v>
      </c>
      <c r="AL225" s="200"/>
      <c r="AM225" s="200"/>
      <c r="AN225" s="200"/>
      <c r="AO225" s="200"/>
      <c r="AP225" s="200"/>
      <c r="AQ225" s="200"/>
      <c r="AR225" s="200"/>
      <c r="AU225" s="200"/>
      <c r="AV225" s="200"/>
      <c r="AW225" s="200"/>
      <c r="AX225" s="200"/>
      <c r="AY225" s="200"/>
      <c r="AZ225" s="200"/>
      <c r="BA225" s="204"/>
      <c r="CK225" s="195"/>
      <c r="CL225" s="195"/>
      <c r="CX225" s="207"/>
      <c r="DD225" s="194"/>
      <c r="DE225" s="197"/>
      <c r="DF225" s="194"/>
      <c r="DG225" s="194"/>
      <c r="DH225" s="194"/>
      <c r="DI225" s="194"/>
      <c r="DJ225" s="194"/>
      <c r="DP225" s="96"/>
      <c r="DQ225" s="198"/>
      <c r="DR225" s="57" t="str">
        <f t="shared" si="4"/>
        <v/>
      </c>
      <c r="DS225" s="198"/>
      <c r="DT225" s="212"/>
      <c r="DU225" s="1" t="s">
        <v>280</v>
      </c>
      <c r="DV225" s="200"/>
      <c r="DY225" s="200"/>
      <c r="DZ225" s="213"/>
      <c r="EA225" s="214"/>
      <c r="EB225" s="214"/>
      <c r="EC225" s="214"/>
      <c r="ED225" s="214"/>
    </row>
    <row r="226" spans="1:146" s="11" customFormat="1" ht="14.25" customHeight="1" x14ac:dyDescent="0.15">
      <c r="B226" s="188"/>
      <c r="C226" s="40"/>
      <c r="E226" s="189"/>
      <c r="F226" s="189"/>
      <c r="G226" s="189"/>
      <c r="AB226" s="198">
        <v>17050507</v>
      </c>
      <c r="AC226" s="197" t="s">
        <v>386</v>
      </c>
      <c r="AD226" s="11" t="s">
        <v>330</v>
      </c>
      <c r="AE226" s="11" t="s">
        <v>291</v>
      </c>
      <c r="AF226" s="11" t="s">
        <v>314</v>
      </c>
      <c r="AJ226" s="197"/>
      <c r="AK226" s="197"/>
      <c r="BA226" s="206"/>
      <c r="DP226" s="96"/>
      <c r="DR226" s="57" t="str">
        <f t="shared" si="4"/>
        <v/>
      </c>
      <c r="DU226" s="1" t="s">
        <v>280</v>
      </c>
      <c r="DV226" s="200"/>
      <c r="DY226" s="200"/>
      <c r="EA226" s="200"/>
      <c r="EB226" s="200"/>
      <c r="EC226" s="200"/>
      <c r="ED226" s="200"/>
    </row>
    <row r="227" spans="1:146" s="11" customFormat="1" ht="14.25" customHeight="1" x14ac:dyDescent="0.15">
      <c r="A227" s="11">
        <v>170572</v>
      </c>
      <c r="B227" s="188" t="s">
        <v>462</v>
      </c>
      <c r="C227" s="40" t="s">
        <v>463</v>
      </c>
      <c r="D227" s="11" t="s">
        <v>511</v>
      </c>
      <c r="E227" s="189">
        <v>170517</v>
      </c>
      <c r="F227" s="189"/>
      <c r="G227" s="189"/>
      <c r="H227" s="11">
        <v>0</v>
      </c>
      <c r="L227" s="11">
        <v>0</v>
      </c>
      <c r="P227" s="11" t="s">
        <v>268</v>
      </c>
      <c r="Q227" s="11" t="s">
        <v>269</v>
      </c>
      <c r="X227" s="11">
        <v>1</v>
      </c>
      <c r="Y227" s="11">
        <v>0</v>
      </c>
      <c r="Z227" s="11">
        <v>0</v>
      </c>
      <c r="AB227" s="194">
        <v>3001</v>
      </c>
      <c r="AC227" s="195"/>
      <c r="AL227" s="200"/>
      <c r="AM227" s="200"/>
      <c r="AN227" s="200"/>
      <c r="AO227" s="200"/>
      <c r="AP227" s="200"/>
      <c r="AQ227" s="200"/>
      <c r="AR227" s="200"/>
      <c r="AU227" s="200"/>
      <c r="AV227" s="200"/>
      <c r="AW227" s="200"/>
      <c r="AX227" s="200"/>
      <c r="AY227" s="200"/>
      <c r="AZ227" s="200"/>
      <c r="BA227" s="204" t="s">
        <v>270</v>
      </c>
      <c r="BB227" s="11">
        <v>300</v>
      </c>
      <c r="BC227" s="11">
        <v>0</v>
      </c>
      <c r="BF227" s="11">
        <v>0</v>
      </c>
      <c r="BG227" s="11">
        <v>0</v>
      </c>
      <c r="BH227" s="11">
        <v>0</v>
      </c>
      <c r="BJ227" s="11" t="s">
        <v>270</v>
      </c>
      <c r="BS227" s="11" t="s">
        <v>270</v>
      </c>
      <c r="CF227" s="11" t="s">
        <v>271</v>
      </c>
      <c r="CJ227" s="11" t="s">
        <v>1</v>
      </c>
      <c r="CK227" s="195" t="s">
        <v>464</v>
      </c>
      <c r="CL227" s="195"/>
      <c r="CM227" s="11">
        <v>999</v>
      </c>
      <c r="CN227" s="11">
        <v>0</v>
      </c>
      <c r="CO227" s="11">
        <v>0</v>
      </c>
      <c r="CP227" s="11">
        <v>0</v>
      </c>
      <c r="CQ227" s="11">
        <v>0</v>
      </c>
      <c r="CS227" s="11">
        <v>20</v>
      </c>
      <c r="CT227" s="11">
        <v>10</v>
      </c>
      <c r="CU227" s="11">
        <v>24</v>
      </c>
      <c r="CV227" s="11" t="s">
        <v>474</v>
      </c>
      <c r="CW227" s="11" t="b">
        <v>1</v>
      </c>
      <c r="CX227" s="11" t="s">
        <v>273</v>
      </c>
      <c r="DB227" s="11">
        <v>170501</v>
      </c>
      <c r="DC227" s="11" t="b">
        <v>1</v>
      </c>
      <c r="DD227" s="11" t="s">
        <v>274</v>
      </c>
      <c r="DE227" s="11" t="s">
        <v>495</v>
      </c>
      <c r="DF227" s="11" t="s">
        <v>276</v>
      </c>
      <c r="DG227" s="11" t="s">
        <v>322</v>
      </c>
      <c r="DH227" s="11">
        <v>4</v>
      </c>
      <c r="DI227" s="11" t="b">
        <v>0</v>
      </c>
      <c r="DP227" s="96" t="s">
        <v>475</v>
      </c>
      <c r="DQ227" s="195" t="s">
        <v>506</v>
      </c>
      <c r="DR227" s="57" t="e">
        <f t="shared" si="4"/>
        <v>#VALUE!</v>
      </c>
      <c r="DS227" s="195" t="s">
        <v>507</v>
      </c>
      <c r="DU227" s="1" t="s">
        <v>280</v>
      </c>
      <c r="DV227" s="200"/>
      <c r="DZ227" s="11">
        <v>1</v>
      </c>
      <c r="EA227" s="200">
        <v>-1</v>
      </c>
      <c r="EB227" s="200">
        <v>4.1666666666666699E-2</v>
      </c>
      <c r="EC227" s="200">
        <v>8.3333333333333301E-2</v>
      </c>
      <c r="ED227" s="200">
        <v>8.3333333333333301E-2</v>
      </c>
      <c r="EE227" s="11" t="s">
        <v>284</v>
      </c>
      <c r="EF227" s="11" t="s">
        <v>326</v>
      </c>
      <c r="EG227" s="11" t="e">
        <v>#VALUE!</v>
      </c>
      <c r="EH227" s="11" t="s">
        <v>285</v>
      </c>
      <c r="EI227" s="11" t="s">
        <v>327</v>
      </c>
      <c r="EJ227" s="11" t="e">
        <v>#VALUE!</v>
      </c>
      <c r="EK227" s="11" t="s">
        <v>286</v>
      </c>
      <c r="EL227" s="11" t="s">
        <v>328</v>
      </c>
      <c r="EM227" s="11" t="e">
        <v>#VALUE!</v>
      </c>
      <c r="EN227" s="11" t="s">
        <v>287</v>
      </c>
      <c r="EO227" s="11" t="s">
        <v>328</v>
      </c>
      <c r="EP227" s="11" t="e">
        <v>#VALUE!</v>
      </c>
    </row>
    <row r="228" spans="1:146" s="11" customFormat="1" ht="14.25" customHeight="1" x14ac:dyDescent="0.15">
      <c r="B228" s="188"/>
      <c r="C228" s="40"/>
      <c r="E228" s="189"/>
      <c r="F228" s="189"/>
      <c r="G228" s="189"/>
      <c r="AB228" s="194">
        <v>17050301</v>
      </c>
      <c r="AC228" s="11" t="s">
        <v>329</v>
      </c>
      <c r="AD228" s="11" t="s">
        <v>330</v>
      </c>
      <c r="AE228" s="11" t="s">
        <v>291</v>
      </c>
      <c r="AF228" s="11" t="s">
        <v>314</v>
      </c>
      <c r="AL228" s="200"/>
      <c r="AM228" s="200"/>
      <c r="AN228" s="200"/>
      <c r="AO228" s="200"/>
      <c r="AP228" s="200"/>
      <c r="AQ228" s="200"/>
      <c r="AR228" s="200"/>
      <c r="AU228" s="200"/>
      <c r="AV228" s="200"/>
      <c r="AW228" s="200"/>
      <c r="AX228" s="200"/>
      <c r="AY228" s="200"/>
      <c r="AZ228" s="200"/>
      <c r="BA228" s="204" t="s">
        <v>331</v>
      </c>
      <c r="BB228" s="11">
        <v>1.34E-2</v>
      </c>
      <c r="BC228" s="11">
        <v>0</v>
      </c>
      <c r="BF228" s="11">
        <v>0</v>
      </c>
      <c r="BG228" s="11">
        <v>0</v>
      </c>
      <c r="BH228" s="11">
        <v>0</v>
      </c>
      <c r="CX228" s="207"/>
      <c r="DI228" s="207"/>
      <c r="DJ228" s="207"/>
      <c r="DP228" s="96"/>
      <c r="DQ228" s="195"/>
      <c r="DR228" s="57" t="str">
        <f t="shared" si="4"/>
        <v/>
      </c>
      <c r="DS228" s="195"/>
      <c r="DU228" s="1" t="s">
        <v>280</v>
      </c>
      <c r="DV228" s="200"/>
      <c r="DY228" s="200"/>
      <c r="DZ228" s="213"/>
      <c r="EA228" s="214"/>
      <c r="EB228" s="214"/>
      <c r="EC228" s="214"/>
      <c r="ED228" s="214"/>
    </row>
    <row r="229" spans="1:146" s="11" customFormat="1" ht="14.25" customHeight="1" x14ac:dyDescent="0.15">
      <c r="B229" s="188"/>
      <c r="C229" s="40"/>
      <c r="E229" s="189"/>
      <c r="F229" s="189"/>
      <c r="G229" s="189"/>
      <c r="AB229" s="194">
        <v>17050302</v>
      </c>
      <c r="AC229" s="11" t="s">
        <v>332</v>
      </c>
      <c r="AD229" s="11" t="s">
        <v>333</v>
      </c>
      <c r="AE229" s="11" t="s">
        <v>291</v>
      </c>
      <c r="AF229" s="11" t="s">
        <v>314</v>
      </c>
      <c r="AJ229" s="11">
        <v>-1</v>
      </c>
      <c r="AL229" s="200"/>
      <c r="AM229" s="215"/>
      <c r="AN229" s="215"/>
      <c r="AO229" s="215"/>
      <c r="AP229" s="215"/>
      <c r="AQ229" s="215"/>
      <c r="AR229" s="215"/>
      <c r="AU229" s="200"/>
      <c r="AV229" s="200"/>
      <c r="AW229" s="200"/>
      <c r="AX229" s="200"/>
      <c r="AY229" s="200"/>
      <c r="AZ229" s="200"/>
      <c r="BA229" s="204"/>
      <c r="DP229" s="96"/>
      <c r="DQ229" s="195"/>
      <c r="DR229" s="57" t="str">
        <f t="shared" si="4"/>
        <v/>
      </c>
      <c r="DS229" s="195"/>
      <c r="DU229" s="1" t="s">
        <v>280</v>
      </c>
      <c r="DV229" s="200"/>
      <c r="DY229" s="200"/>
      <c r="EA229" s="200"/>
      <c r="EB229" s="200"/>
      <c r="EC229" s="200"/>
      <c r="ED229" s="200"/>
    </row>
    <row r="230" spans="1:146" s="11" customFormat="1" ht="14.25" customHeight="1" x14ac:dyDescent="0.15">
      <c r="A230" s="11">
        <v>170573</v>
      </c>
      <c r="B230" s="188" t="s">
        <v>334</v>
      </c>
      <c r="C230" s="40" t="s">
        <v>335</v>
      </c>
      <c r="D230" s="11" t="s">
        <v>512</v>
      </c>
      <c r="E230" s="189">
        <v>170515</v>
      </c>
      <c r="F230" s="189"/>
      <c r="G230" s="189"/>
      <c r="H230" s="11">
        <v>0</v>
      </c>
      <c r="L230" s="11">
        <v>0</v>
      </c>
      <c r="P230" s="11" t="s">
        <v>268</v>
      </c>
      <c r="Q230" s="11" t="s">
        <v>269</v>
      </c>
      <c r="X230" s="11">
        <v>1</v>
      </c>
      <c r="Y230" s="11">
        <v>0</v>
      </c>
      <c r="Z230" s="11">
        <v>0</v>
      </c>
      <c r="AB230" s="194">
        <v>3001</v>
      </c>
      <c r="AC230" s="195" t="s">
        <v>337</v>
      </c>
      <c r="AE230" s="11" t="s">
        <v>129</v>
      </c>
      <c r="AF230" s="11" t="s">
        <v>314</v>
      </c>
      <c r="AL230" s="200"/>
      <c r="AM230" s="200"/>
      <c r="AN230" s="200"/>
      <c r="AO230" s="200"/>
      <c r="AP230" s="200"/>
      <c r="AQ230" s="200"/>
      <c r="AR230" s="200"/>
      <c r="AU230" s="200"/>
      <c r="AV230" s="200"/>
      <c r="AW230" s="200"/>
      <c r="AX230" s="200"/>
      <c r="AY230" s="200"/>
      <c r="AZ230" s="200"/>
      <c r="BA230" s="204" t="s">
        <v>270</v>
      </c>
      <c r="BB230" s="11">
        <v>200</v>
      </c>
      <c r="BC230" s="11">
        <v>0</v>
      </c>
      <c r="BF230" s="11">
        <v>0</v>
      </c>
      <c r="BG230" s="11">
        <v>0</v>
      </c>
      <c r="BH230" s="11">
        <v>0</v>
      </c>
      <c r="BJ230" s="11" t="s">
        <v>270</v>
      </c>
      <c r="BS230" s="11" t="s">
        <v>270</v>
      </c>
      <c r="CF230" s="11" t="s">
        <v>271</v>
      </c>
      <c r="CJ230" s="11" t="s">
        <v>3</v>
      </c>
      <c r="CK230" s="195" t="s">
        <v>443</v>
      </c>
      <c r="CL230" s="195"/>
      <c r="CM230" s="11">
        <v>999</v>
      </c>
      <c r="CN230" s="11">
        <v>0</v>
      </c>
      <c r="CO230" s="11">
        <v>0</v>
      </c>
      <c r="CP230" s="11">
        <v>0</v>
      </c>
      <c r="CQ230" s="11">
        <v>0</v>
      </c>
      <c r="CS230" s="11">
        <v>15</v>
      </c>
      <c r="CU230" s="11">
        <v>15</v>
      </c>
      <c r="CV230" s="11" t="s">
        <v>470</v>
      </c>
      <c r="CW230" s="11" t="b">
        <v>0</v>
      </c>
      <c r="CX230" s="11" t="s">
        <v>273</v>
      </c>
      <c r="DB230" s="11">
        <v>100300</v>
      </c>
      <c r="DC230" s="11" t="b">
        <v>1</v>
      </c>
      <c r="DD230" s="11" t="s">
        <v>274</v>
      </c>
      <c r="DE230" s="11" t="s">
        <v>340</v>
      </c>
      <c r="DF230" s="11" t="s">
        <v>276</v>
      </c>
      <c r="DG230" s="11" t="s">
        <v>277</v>
      </c>
      <c r="DH230" s="11">
        <v>4</v>
      </c>
      <c r="DI230" s="11" t="b">
        <v>0</v>
      </c>
      <c r="DP230" s="96" t="s">
        <v>471</v>
      </c>
      <c r="DQ230" s="195" t="s">
        <v>502</v>
      </c>
      <c r="DR230" s="57" t="e">
        <f t="shared" si="4"/>
        <v>#VALUE!</v>
      </c>
      <c r="DS230" s="195" t="s">
        <v>503</v>
      </c>
      <c r="DU230" s="1" t="s">
        <v>280</v>
      </c>
      <c r="DV230" s="200"/>
      <c r="DZ230" s="11">
        <v>1</v>
      </c>
      <c r="EA230" s="200">
        <v>-1</v>
      </c>
      <c r="EB230" s="200">
        <v>4.1666666666666699E-2</v>
      </c>
      <c r="EC230" s="200">
        <v>8.3333333333333301E-2</v>
      </c>
      <c r="ED230" s="200">
        <v>8.3333333333333301E-2</v>
      </c>
      <c r="EE230" s="11" t="s">
        <v>284</v>
      </c>
      <c r="EF230" s="11" t="s">
        <v>326</v>
      </c>
      <c r="EG230" s="11" t="e">
        <v>#VALUE!</v>
      </c>
      <c r="EH230" s="11" t="s">
        <v>285</v>
      </c>
      <c r="EI230" s="11" t="s">
        <v>344</v>
      </c>
      <c r="EJ230" s="11" t="e">
        <v>#VALUE!</v>
      </c>
      <c r="EK230" s="11" t="s">
        <v>286</v>
      </c>
      <c r="EL230" s="11" t="s">
        <v>345</v>
      </c>
      <c r="EM230" s="11" t="e">
        <v>#VALUE!</v>
      </c>
      <c r="EN230" s="11" t="s">
        <v>287</v>
      </c>
      <c r="EO230" s="11" t="s">
        <v>345</v>
      </c>
      <c r="EP230" s="11" t="e">
        <v>#VALUE!</v>
      </c>
    </row>
    <row r="231" spans="1:146" s="11" customFormat="1" ht="14.25" customHeight="1" x14ac:dyDescent="0.15">
      <c r="B231" s="190"/>
      <c r="C231" s="40"/>
      <c r="E231" s="189"/>
      <c r="F231" s="189"/>
      <c r="G231" s="189"/>
      <c r="AB231" s="194">
        <v>10240102</v>
      </c>
      <c r="AC231" s="11" t="s">
        <v>346</v>
      </c>
      <c r="AE231" s="11" t="s">
        <v>129</v>
      </c>
      <c r="AF231" s="11" t="s">
        <v>314</v>
      </c>
      <c r="AJ231" s="11">
        <v>3</v>
      </c>
      <c r="AL231" s="200"/>
      <c r="AM231" s="200"/>
      <c r="AN231" s="200"/>
      <c r="AO231" s="200"/>
      <c r="AP231" s="200"/>
      <c r="AQ231" s="200"/>
      <c r="AR231" s="200"/>
      <c r="AU231" s="200"/>
      <c r="AV231" s="200"/>
      <c r="AW231" s="200"/>
      <c r="AX231" s="200"/>
      <c r="AY231" s="200"/>
      <c r="AZ231" s="200"/>
      <c r="BA231" s="204"/>
      <c r="CK231" s="195"/>
      <c r="CL231" s="195"/>
      <c r="CX231" s="207"/>
      <c r="DI231" s="207"/>
      <c r="DJ231" s="207"/>
      <c r="DM231" s="197"/>
      <c r="DN231" s="197"/>
      <c r="DO231" s="197"/>
      <c r="DP231" s="94"/>
      <c r="DQ231" s="195"/>
      <c r="DR231" s="57" t="str">
        <f t="shared" si="4"/>
        <v/>
      </c>
      <c r="DS231" s="195"/>
      <c r="DT231" s="211"/>
      <c r="DU231" s="1" t="s">
        <v>280</v>
      </c>
      <c r="DV231" s="200"/>
      <c r="DY231" s="200"/>
      <c r="DZ231" s="213"/>
      <c r="EA231" s="214"/>
      <c r="EB231" s="214"/>
      <c r="EC231" s="214"/>
      <c r="ED231" s="214"/>
    </row>
    <row r="232" spans="1:146" s="11" customFormat="1" ht="14.25" customHeight="1" x14ac:dyDescent="0.15">
      <c r="A232" s="11">
        <v>170574</v>
      </c>
      <c r="B232" s="188" t="s">
        <v>456</v>
      </c>
      <c r="C232" s="40" t="s">
        <v>457</v>
      </c>
      <c r="D232" s="11" t="s">
        <v>512</v>
      </c>
      <c r="E232" s="189">
        <v>170516</v>
      </c>
      <c r="F232" s="189"/>
      <c r="G232" s="189"/>
      <c r="H232" s="11">
        <v>0</v>
      </c>
      <c r="L232" s="11">
        <v>0</v>
      </c>
      <c r="P232" s="11" t="s">
        <v>268</v>
      </c>
      <c r="Q232" s="11" t="s">
        <v>269</v>
      </c>
      <c r="X232" s="11">
        <v>1</v>
      </c>
      <c r="Y232" s="11">
        <v>0</v>
      </c>
      <c r="Z232" s="11">
        <v>0</v>
      </c>
      <c r="AB232" s="196">
        <v>3001</v>
      </c>
      <c r="AC232" s="197" t="s">
        <v>337</v>
      </c>
      <c r="AD232" s="11" t="s">
        <v>330</v>
      </c>
      <c r="AE232" s="197"/>
      <c r="AF232" s="197"/>
      <c r="AG232" s="197"/>
      <c r="AH232" s="197"/>
      <c r="AI232" s="197"/>
      <c r="AJ232" s="197"/>
      <c r="AK232" s="197"/>
      <c r="BA232" s="205" t="s">
        <v>270</v>
      </c>
      <c r="BB232" s="11">
        <v>550</v>
      </c>
      <c r="BC232" s="11">
        <v>0</v>
      </c>
      <c r="BF232" s="11">
        <v>0</v>
      </c>
      <c r="BG232" s="11">
        <v>0</v>
      </c>
      <c r="BH232" s="11">
        <v>0</v>
      </c>
      <c r="BJ232" s="11" t="s">
        <v>270</v>
      </c>
      <c r="BS232" s="11" t="s">
        <v>270</v>
      </c>
      <c r="CF232" s="11" t="s">
        <v>378</v>
      </c>
      <c r="CJ232" s="11" t="s">
        <v>1</v>
      </c>
      <c r="CK232" s="195" t="s">
        <v>379</v>
      </c>
      <c r="CL232" s="195"/>
      <c r="CM232" s="11">
        <v>999</v>
      </c>
      <c r="CN232" s="11">
        <v>0</v>
      </c>
      <c r="CO232" s="11">
        <v>0</v>
      </c>
      <c r="CP232" s="11">
        <v>0</v>
      </c>
      <c r="CQ232" s="11">
        <v>0</v>
      </c>
      <c r="CS232" s="11">
        <v>5</v>
      </c>
      <c r="CU232" s="11">
        <v>20</v>
      </c>
      <c r="CV232" s="11" t="s">
        <v>472</v>
      </c>
      <c r="CW232" s="11" t="b">
        <v>0</v>
      </c>
      <c r="CX232" s="11" t="s">
        <v>273</v>
      </c>
      <c r="DB232" s="11">
        <v>102401</v>
      </c>
      <c r="DC232" s="11" t="b">
        <v>1</v>
      </c>
      <c r="DD232" s="11" t="s">
        <v>274</v>
      </c>
      <c r="DE232" s="11" t="s">
        <v>380</v>
      </c>
      <c r="DF232" s="11" t="s">
        <v>276</v>
      </c>
      <c r="DG232" s="11" t="s">
        <v>293</v>
      </c>
      <c r="DH232" s="11">
        <v>4</v>
      </c>
      <c r="DI232" s="11" t="b">
        <v>0</v>
      </c>
      <c r="DP232" s="96" t="s">
        <v>473</v>
      </c>
      <c r="DQ232" s="11" t="s">
        <v>504</v>
      </c>
      <c r="DR232" s="57" t="e">
        <f t="shared" si="4"/>
        <v>#VALUE!</v>
      </c>
      <c r="DS232" s="11" t="s">
        <v>505</v>
      </c>
      <c r="DU232" s="1" t="s">
        <v>280</v>
      </c>
      <c r="DV232" s="200"/>
      <c r="DZ232" s="11">
        <v>1</v>
      </c>
      <c r="EA232" s="200">
        <v>-1</v>
      </c>
      <c r="EB232" s="200">
        <v>4.1666666666666699E-2</v>
      </c>
      <c r="EC232" s="200">
        <v>8.3333333333333301E-2</v>
      </c>
      <c r="ED232" s="200">
        <v>8.3333333333333301E-2</v>
      </c>
      <c r="EE232" s="11" t="s">
        <v>284</v>
      </c>
      <c r="EF232" s="11" t="s">
        <v>326</v>
      </c>
      <c r="EG232" s="11" t="e">
        <v>#VALUE!</v>
      </c>
      <c r="EH232" s="11" t="s">
        <v>285</v>
      </c>
      <c r="EI232" s="11" t="s">
        <v>344</v>
      </c>
      <c r="EJ232" s="11" t="e">
        <v>#VALUE!</v>
      </c>
      <c r="EK232" s="11" t="s">
        <v>286</v>
      </c>
      <c r="EL232" s="11" t="s">
        <v>328</v>
      </c>
      <c r="EM232" s="11" t="e">
        <v>#VALUE!</v>
      </c>
      <c r="EN232" s="11" t="s">
        <v>287</v>
      </c>
      <c r="EO232" s="11" t="s">
        <v>328</v>
      </c>
      <c r="EP232" s="11" t="e">
        <v>#VALUE!</v>
      </c>
    </row>
    <row r="233" spans="1:146" s="11" customFormat="1" ht="14.25" customHeight="1" x14ac:dyDescent="0.15">
      <c r="B233" s="188"/>
      <c r="C233" s="40"/>
      <c r="E233" s="189"/>
      <c r="F233" s="189"/>
      <c r="G233" s="189"/>
      <c r="AB233" s="196">
        <v>17050505</v>
      </c>
      <c r="AC233" s="197" t="s">
        <v>384</v>
      </c>
      <c r="AD233" s="11" t="s">
        <v>330</v>
      </c>
      <c r="AE233" s="197" t="s">
        <v>291</v>
      </c>
      <c r="AF233" s="197" t="s">
        <v>314</v>
      </c>
      <c r="AG233" s="197"/>
      <c r="AH233" s="197"/>
      <c r="AI233" s="197"/>
      <c r="AJ233" s="197"/>
      <c r="AK233" s="197"/>
      <c r="BA233" s="205"/>
      <c r="DP233" s="96"/>
      <c r="DR233" s="57" t="str">
        <f t="shared" si="4"/>
        <v/>
      </c>
      <c r="DU233" s="1" t="s">
        <v>280</v>
      </c>
      <c r="DV233" s="200"/>
      <c r="DY233" s="200"/>
      <c r="EA233" s="200"/>
      <c r="EB233" s="200"/>
      <c r="EC233" s="200"/>
      <c r="ED233" s="200"/>
    </row>
    <row r="234" spans="1:146" s="11" customFormat="1" ht="14.25" customHeight="1" x14ac:dyDescent="0.15">
      <c r="B234" s="188"/>
      <c r="C234" s="40"/>
      <c r="E234" s="189"/>
      <c r="F234" s="189"/>
      <c r="G234" s="189"/>
      <c r="AB234" s="194">
        <v>17050506</v>
      </c>
      <c r="AC234" s="11" t="s">
        <v>385</v>
      </c>
      <c r="AE234" s="11" t="s">
        <v>291</v>
      </c>
      <c r="AF234" s="11" t="s">
        <v>314</v>
      </c>
      <c r="AJ234" s="11">
        <v>8</v>
      </c>
      <c r="AL234" s="200"/>
      <c r="AM234" s="200"/>
      <c r="AN234" s="200"/>
      <c r="AO234" s="200"/>
      <c r="AP234" s="200"/>
      <c r="AQ234" s="200"/>
      <c r="AR234" s="200"/>
      <c r="AU234" s="200"/>
      <c r="AV234" s="200"/>
      <c r="AW234" s="200"/>
      <c r="AX234" s="200"/>
      <c r="AY234" s="200"/>
      <c r="AZ234" s="200"/>
      <c r="BA234" s="204"/>
      <c r="CK234" s="195"/>
      <c r="CL234" s="195"/>
      <c r="CX234" s="207"/>
      <c r="DD234" s="194"/>
      <c r="DE234" s="197"/>
      <c r="DF234" s="194"/>
      <c r="DG234" s="194"/>
      <c r="DH234" s="194"/>
      <c r="DI234" s="194"/>
      <c r="DJ234" s="194"/>
      <c r="DP234" s="96"/>
      <c r="DQ234" s="198"/>
      <c r="DR234" s="57" t="str">
        <f t="shared" si="4"/>
        <v/>
      </c>
      <c r="DS234" s="198"/>
      <c r="DT234" s="212"/>
      <c r="DU234" s="1" t="s">
        <v>280</v>
      </c>
      <c r="DV234" s="200"/>
      <c r="DY234" s="200"/>
      <c r="DZ234" s="213"/>
      <c r="EA234" s="214"/>
      <c r="EB234" s="214"/>
      <c r="EC234" s="214"/>
      <c r="ED234" s="214"/>
    </row>
    <row r="235" spans="1:146" s="11" customFormat="1" ht="14.25" customHeight="1" x14ac:dyDescent="0.15">
      <c r="B235" s="188"/>
      <c r="C235" s="40"/>
      <c r="E235" s="189"/>
      <c r="F235" s="189"/>
      <c r="G235" s="189"/>
      <c r="AB235" s="198">
        <v>17050507</v>
      </c>
      <c r="AC235" s="197" t="s">
        <v>386</v>
      </c>
      <c r="AD235" s="11" t="s">
        <v>330</v>
      </c>
      <c r="AE235" s="11" t="s">
        <v>291</v>
      </c>
      <c r="AF235" s="11" t="s">
        <v>314</v>
      </c>
      <c r="AJ235" s="197"/>
      <c r="AK235" s="197"/>
      <c r="BA235" s="206"/>
      <c r="DP235" s="96"/>
      <c r="DR235" s="57" t="str">
        <f t="shared" si="4"/>
        <v/>
      </c>
      <c r="DU235" s="1" t="s">
        <v>280</v>
      </c>
      <c r="DV235" s="200"/>
      <c r="DY235" s="200"/>
      <c r="EA235" s="200"/>
      <c r="EB235" s="200"/>
      <c r="EC235" s="200"/>
      <c r="ED235" s="200"/>
    </row>
    <row r="236" spans="1:146" s="11" customFormat="1" ht="14.25" customHeight="1" x14ac:dyDescent="0.15">
      <c r="A236" s="11">
        <v>170575</v>
      </c>
      <c r="B236" s="188" t="s">
        <v>462</v>
      </c>
      <c r="C236" s="40" t="s">
        <v>463</v>
      </c>
      <c r="D236" s="11" t="s">
        <v>512</v>
      </c>
      <c r="E236" s="189">
        <v>170517</v>
      </c>
      <c r="F236" s="189"/>
      <c r="G236" s="189"/>
      <c r="H236" s="11">
        <v>0</v>
      </c>
      <c r="L236" s="11">
        <v>0</v>
      </c>
      <c r="P236" s="11" t="s">
        <v>268</v>
      </c>
      <c r="Q236" s="11" t="s">
        <v>269</v>
      </c>
      <c r="X236" s="11">
        <v>1</v>
      </c>
      <c r="Y236" s="11">
        <v>0</v>
      </c>
      <c r="Z236" s="11">
        <v>0</v>
      </c>
      <c r="AB236" s="194">
        <v>3001</v>
      </c>
      <c r="AC236" s="195"/>
      <c r="AL236" s="200"/>
      <c r="AM236" s="200"/>
      <c r="AN236" s="200"/>
      <c r="AO236" s="200"/>
      <c r="AP236" s="200"/>
      <c r="AQ236" s="200"/>
      <c r="AR236" s="200"/>
      <c r="AU236" s="200"/>
      <c r="AV236" s="200"/>
      <c r="AW236" s="200"/>
      <c r="AX236" s="200"/>
      <c r="AY236" s="200"/>
      <c r="AZ236" s="200"/>
      <c r="BA236" s="204" t="s">
        <v>270</v>
      </c>
      <c r="BB236" s="11">
        <v>350</v>
      </c>
      <c r="BC236" s="11">
        <v>0</v>
      </c>
      <c r="BF236" s="11">
        <v>0</v>
      </c>
      <c r="BG236" s="11">
        <v>0</v>
      </c>
      <c r="BH236" s="11">
        <v>0</v>
      </c>
      <c r="BJ236" s="11" t="s">
        <v>270</v>
      </c>
      <c r="BS236" s="11" t="s">
        <v>270</v>
      </c>
      <c r="CF236" s="11" t="s">
        <v>271</v>
      </c>
      <c r="CJ236" s="11" t="s">
        <v>1</v>
      </c>
      <c r="CK236" s="195" t="s">
        <v>464</v>
      </c>
      <c r="CL236" s="195"/>
      <c r="CM236" s="11">
        <v>999</v>
      </c>
      <c r="CN236" s="11">
        <v>0</v>
      </c>
      <c r="CO236" s="11">
        <v>0</v>
      </c>
      <c r="CP236" s="11">
        <v>0</v>
      </c>
      <c r="CQ236" s="11">
        <v>0</v>
      </c>
      <c r="CS236" s="11">
        <v>20</v>
      </c>
      <c r="CT236" s="11">
        <v>10</v>
      </c>
      <c r="CU236" s="11">
        <v>24</v>
      </c>
      <c r="CV236" s="11" t="s">
        <v>474</v>
      </c>
      <c r="CW236" s="11" t="b">
        <v>1</v>
      </c>
      <c r="CX236" s="11" t="s">
        <v>273</v>
      </c>
      <c r="DB236" s="11">
        <v>170501</v>
      </c>
      <c r="DC236" s="11" t="b">
        <v>1</v>
      </c>
      <c r="DD236" s="11" t="s">
        <v>274</v>
      </c>
      <c r="DE236" s="11" t="s">
        <v>495</v>
      </c>
      <c r="DF236" s="11" t="s">
        <v>276</v>
      </c>
      <c r="DG236" s="11" t="s">
        <v>322</v>
      </c>
      <c r="DH236" s="11">
        <v>4</v>
      </c>
      <c r="DI236" s="11" t="b">
        <v>0</v>
      </c>
      <c r="DP236" s="96" t="s">
        <v>475</v>
      </c>
      <c r="DQ236" s="195" t="s">
        <v>506</v>
      </c>
      <c r="DR236" s="57" t="e">
        <f t="shared" si="4"/>
        <v>#VALUE!</v>
      </c>
      <c r="DS236" s="195" t="s">
        <v>507</v>
      </c>
      <c r="DU236" s="1" t="s">
        <v>280</v>
      </c>
      <c r="DV236" s="200"/>
      <c r="DZ236" s="11">
        <v>1</v>
      </c>
      <c r="EA236" s="200">
        <v>-1</v>
      </c>
      <c r="EB236" s="200">
        <v>4.1666666666666699E-2</v>
      </c>
      <c r="EC236" s="200">
        <v>8.3333333333333301E-2</v>
      </c>
      <c r="ED236" s="200">
        <v>8.3333333333333301E-2</v>
      </c>
      <c r="EE236" s="11" t="s">
        <v>284</v>
      </c>
      <c r="EF236" s="11" t="s">
        <v>326</v>
      </c>
      <c r="EG236" s="11" t="e">
        <v>#VALUE!</v>
      </c>
      <c r="EH236" s="11" t="s">
        <v>285</v>
      </c>
      <c r="EI236" s="11" t="s">
        <v>327</v>
      </c>
      <c r="EJ236" s="11" t="e">
        <v>#VALUE!</v>
      </c>
      <c r="EK236" s="11" t="s">
        <v>286</v>
      </c>
      <c r="EL236" s="11" t="s">
        <v>328</v>
      </c>
      <c r="EM236" s="11" t="e">
        <v>#VALUE!</v>
      </c>
      <c r="EN236" s="11" t="s">
        <v>287</v>
      </c>
      <c r="EO236" s="11" t="s">
        <v>328</v>
      </c>
      <c r="EP236" s="11" t="e">
        <v>#VALUE!</v>
      </c>
    </row>
    <row r="237" spans="1:146" s="11" customFormat="1" ht="14.25" customHeight="1" x14ac:dyDescent="0.15">
      <c r="B237" s="188"/>
      <c r="C237" s="40"/>
      <c r="E237" s="189"/>
      <c r="F237" s="189"/>
      <c r="G237" s="189"/>
      <c r="AB237" s="194">
        <v>17050301</v>
      </c>
      <c r="AC237" s="11" t="s">
        <v>329</v>
      </c>
      <c r="AD237" s="11" t="s">
        <v>330</v>
      </c>
      <c r="AE237" s="11" t="s">
        <v>291</v>
      </c>
      <c r="AF237" s="11" t="s">
        <v>314</v>
      </c>
      <c r="AL237" s="200"/>
      <c r="AM237" s="200"/>
      <c r="AN237" s="200"/>
      <c r="AO237" s="200"/>
      <c r="AP237" s="200"/>
      <c r="AQ237" s="200"/>
      <c r="AR237" s="200"/>
      <c r="AU237" s="200"/>
      <c r="AV237" s="200"/>
      <c r="AW237" s="200"/>
      <c r="AX237" s="200"/>
      <c r="AY237" s="200"/>
      <c r="AZ237" s="200"/>
      <c r="BA237" s="204" t="s">
        <v>331</v>
      </c>
      <c r="BB237" s="11">
        <v>1.0800000000000001E-2</v>
      </c>
      <c r="BC237" s="11">
        <v>0</v>
      </c>
      <c r="BF237" s="11">
        <v>0</v>
      </c>
      <c r="BG237" s="11">
        <v>0</v>
      </c>
      <c r="BH237" s="11">
        <v>0</v>
      </c>
      <c r="CX237" s="207"/>
      <c r="DI237" s="207"/>
      <c r="DJ237" s="207"/>
      <c r="DP237" s="96"/>
      <c r="DQ237" s="195"/>
      <c r="DR237" s="57" t="str">
        <f t="shared" si="4"/>
        <v/>
      </c>
      <c r="DS237" s="195"/>
      <c r="DU237" s="1" t="s">
        <v>280</v>
      </c>
      <c r="DV237" s="200"/>
      <c r="DY237" s="200"/>
      <c r="DZ237" s="213"/>
      <c r="EA237" s="214"/>
      <c r="EB237" s="214"/>
      <c r="EC237" s="214"/>
      <c r="ED237" s="214"/>
    </row>
    <row r="238" spans="1:146" s="11" customFormat="1" ht="14.25" customHeight="1" x14ac:dyDescent="0.15">
      <c r="B238" s="188"/>
      <c r="C238" s="40"/>
      <c r="E238" s="189"/>
      <c r="F238" s="189"/>
      <c r="G238" s="189"/>
      <c r="AB238" s="194">
        <v>17050302</v>
      </c>
      <c r="AC238" s="11" t="s">
        <v>332</v>
      </c>
      <c r="AD238" s="11" t="s">
        <v>333</v>
      </c>
      <c r="AE238" s="11" t="s">
        <v>291</v>
      </c>
      <c r="AF238" s="11" t="s">
        <v>314</v>
      </c>
      <c r="AJ238" s="11">
        <v>-1</v>
      </c>
      <c r="AL238" s="200"/>
      <c r="AM238" s="215"/>
      <c r="AN238" s="215"/>
      <c r="AO238" s="215"/>
      <c r="AP238" s="215"/>
      <c r="AQ238" s="215"/>
      <c r="AR238" s="215"/>
      <c r="AU238" s="200"/>
      <c r="AV238" s="200"/>
      <c r="AW238" s="200"/>
      <c r="AX238" s="200"/>
      <c r="AY238" s="200"/>
      <c r="AZ238" s="200"/>
      <c r="BA238" s="204"/>
      <c r="DP238" s="96"/>
      <c r="DQ238" s="195"/>
      <c r="DR238" s="57" t="str">
        <f t="shared" si="4"/>
        <v/>
      </c>
      <c r="DS238" s="195"/>
      <c r="DU238" s="1" t="s">
        <v>280</v>
      </c>
      <c r="DV238" s="200"/>
      <c r="DY238" s="200"/>
      <c r="EA238" s="200"/>
      <c r="EB238" s="200"/>
      <c r="EC238" s="200"/>
      <c r="ED238" s="200"/>
    </row>
    <row r="239" spans="1:146" s="11" customFormat="1" ht="14.25" customHeight="1" x14ac:dyDescent="0.15">
      <c r="A239" s="11">
        <v>170576</v>
      </c>
      <c r="B239" s="188" t="s">
        <v>334</v>
      </c>
      <c r="C239" s="40" t="s">
        <v>335</v>
      </c>
      <c r="D239" s="11" t="s">
        <v>513</v>
      </c>
      <c r="E239" s="189">
        <v>170515</v>
      </c>
      <c r="F239" s="189"/>
      <c r="G239" s="189"/>
      <c r="H239" s="11">
        <v>0</v>
      </c>
      <c r="L239" s="11">
        <v>0</v>
      </c>
      <c r="P239" s="11" t="s">
        <v>268</v>
      </c>
      <c r="Q239" s="11" t="s">
        <v>269</v>
      </c>
      <c r="X239" s="11">
        <v>1</v>
      </c>
      <c r="Y239" s="11">
        <v>0</v>
      </c>
      <c r="Z239" s="11">
        <v>0</v>
      </c>
      <c r="AB239" s="194">
        <v>3001</v>
      </c>
      <c r="AC239" s="195" t="s">
        <v>337</v>
      </c>
      <c r="AE239" s="11" t="s">
        <v>129</v>
      </c>
      <c r="AF239" s="11" t="s">
        <v>314</v>
      </c>
      <c r="AL239" s="200"/>
      <c r="AM239" s="200"/>
      <c r="AN239" s="200"/>
      <c r="AO239" s="200"/>
      <c r="AP239" s="200"/>
      <c r="AQ239" s="200"/>
      <c r="AR239" s="200"/>
      <c r="AU239" s="200"/>
      <c r="AV239" s="200"/>
      <c r="AW239" s="200"/>
      <c r="AX239" s="200"/>
      <c r="AY239" s="200"/>
      <c r="AZ239" s="200"/>
      <c r="BA239" s="204" t="s">
        <v>270</v>
      </c>
      <c r="BB239" s="11">
        <v>400</v>
      </c>
      <c r="BC239" s="11">
        <v>0</v>
      </c>
      <c r="BF239" s="11">
        <v>0</v>
      </c>
      <c r="BG239" s="11">
        <v>0</v>
      </c>
      <c r="BH239" s="11">
        <v>0</v>
      </c>
      <c r="BJ239" s="11" t="s">
        <v>270</v>
      </c>
      <c r="BS239" s="11" t="s">
        <v>270</v>
      </c>
      <c r="CF239" s="11" t="s">
        <v>271</v>
      </c>
      <c r="CJ239" s="11" t="s">
        <v>3</v>
      </c>
      <c r="CK239" s="195" t="s">
        <v>443</v>
      </c>
      <c r="CL239" s="195"/>
      <c r="CM239" s="11">
        <v>999</v>
      </c>
      <c r="CN239" s="11">
        <v>0</v>
      </c>
      <c r="CO239" s="11">
        <v>0</v>
      </c>
      <c r="CP239" s="11">
        <v>0</v>
      </c>
      <c r="CQ239" s="11">
        <v>0</v>
      </c>
      <c r="CS239" s="11">
        <v>15</v>
      </c>
      <c r="CU239" s="11">
        <v>15</v>
      </c>
      <c r="CV239" s="11" t="s">
        <v>470</v>
      </c>
      <c r="CW239" s="11" t="b">
        <v>0</v>
      </c>
      <c r="CX239" s="11" t="s">
        <v>273</v>
      </c>
      <c r="DB239" s="11">
        <v>100300</v>
      </c>
      <c r="DC239" s="11" t="b">
        <v>1</v>
      </c>
      <c r="DD239" s="11" t="s">
        <v>274</v>
      </c>
      <c r="DE239" s="11" t="s">
        <v>340</v>
      </c>
      <c r="DF239" s="11" t="s">
        <v>276</v>
      </c>
      <c r="DG239" s="11" t="s">
        <v>277</v>
      </c>
      <c r="DH239" s="11">
        <v>4</v>
      </c>
      <c r="DI239" s="11" t="b">
        <v>0</v>
      </c>
      <c r="DP239" s="96" t="s">
        <v>471</v>
      </c>
      <c r="DQ239" s="195" t="s">
        <v>502</v>
      </c>
      <c r="DR239" s="57" t="e">
        <f t="shared" si="4"/>
        <v>#VALUE!</v>
      </c>
      <c r="DS239" s="195" t="s">
        <v>503</v>
      </c>
      <c r="DU239" s="1" t="s">
        <v>280</v>
      </c>
      <c r="DV239" s="200"/>
      <c r="DZ239" s="11">
        <v>1</v>
      </c>
      <c r="EA239" s="200">
        <v>-1</v>
      </c>
      <c r="EB239" s="200">
        <v>4.1666666666666699E-2</v>
      </c>
      <c r="EC239" s="200">
        <v>8.3333333333333301E-2</v>
      </c>
      <c r="ED239" s="200">
        <v>8.3333333333333301E-2</v>
      </c>
      <c r="EE239" s="11" t="s">
        <v>284</v>
      </c>
      <c r="EF239" s="11" t="s">
        <v>326</v>
      </c>
      <c r="EG239" s="11" t="e">
        <v>#VALUE!</v>
      </c>
      <c r="EH239" s="11" t="s">
        <v>285</v>
      </c>
      <c r="EI239" s="11" t="s">
        <v>344</v>
      </c>
      <c r="EJ239" s="11" t="e">
        <v>#VALUE!</v>
      </c>
      <c r="EK239" s="11" t="s">
        <v>286</v>
      </c>
      <c r="EL239" s="11" t="s">
        <v>345</v>
      </c>
      <c r="EM239" s="11" t="e">
        <v>#VALUE!</v>
      </c>
      <c r="EN239" s="11" t="s">
        <v>287</v>
      </c>
      <c r="EO239" s="11" t="s">
        <v>345</v>
      </c>
      <c r="EP239" s="11" t="e">
        <v>#VALUE!</v>
      </c>
    </row>
    <row r="240" spans="1:146" s="11" customFormat="1" ht="14.25" customHeight="1" x14ac:dyDescent="0.15">
      <c r="B240" s="190"/>
      <c r="C240" s="40"/>
      <c r="E240" s="189"/>
      <c r="F240" s="189"/>
      <c r="G240" s="189"/>
      <c r="AB240" s="194">
        <v>10240102</v>
      </c>
      <c r="AC240" s="11" t="s">
        <v>346</v>
      </c>
      <c r="AE240" s="11" t="s">
        <v>129</v>
      </c>
      <c r="AF240" s="11" t="s">
        <v>314</v>
      </c>
      <c r="AJ240" s="11">
        <v>3</v>
      </c>
      <c r="AL240" s="200"/>
      <c r="AM240" s="200"/>
      <c r="AN240" s="200"/>
      <c r="AO240" s="200"/>
      <c r="AP240" s="200"/>
      <c r="AQ240" s="200"/>
      <c r="AR240" s="200"/>
      <c r="AU240" s="200"/>
      <c r="AV240" s="200"/>
      <c r="AW240" s="200"/>
      <c r="AX240" s="200"/>
      <c r="AY240" s="200"/>
      <c r="AZ240" s="200"/>
      <c r="BA240" s="204"/>
      <c r="CK240" s="195"/>
      <c r="CL240" s="195"/>
      <c r="CX240" s="207"/>
      <c r="DI240" s="207"/>
      <c r="DJ240" s="207"/>
      <c r="DM240" s="197"/>
      <c r="DN240" s="197"/>
      <c r="DO240" s="197"/>
      <c r="DP240" s="94"/>
      <c r="DQ240" s="195"/>
      <c r="DR240" s="57" t="str">
        <f t="shared" si="4"/>
        <v/>
      </c>
      <c r="DS240" s="195"/>
      <c r="DT240" s="211"/>
      <c r="DU240" s="1" t="s">
        <v>280</v>
      </c>
      <c r="DV240" s="200"/>
      <c r="DY240" s="200"/>
      <c r="DZ240" s="213"/>
      <c r="EA240" s="214"/>
      <c r="EB240" s="214"/>
      <c r="EC240" s="214"/>
      <c r="ED240" s="214"/>
    </row>
    <row r="241" spans="1:146" s="11" customFormat="1" ht="14.25" customHeight="1" x14ac:dyDescent="0.15">
      <c r="A241" s="11">
        <v>170577</v>
      </c>
      <c r="B241" s="188" t="s">
        <v>456</v>
      </c>
      <c r="C241" s="40" t="s">
        <v>457</v>
      </c>
      <c r="D241" s="11" t="s">
        <v>513</v>
      </c>
      <c r="E241" s="189">
        <v>170516</v>
      </c>
      <c r="F241" s="189"/>
      <c r="G241" s="189"/>
      <c r="H241" s="11">
        <v>0</v>
      </c>
      <c r="L241" s="11">
        <v>0</v>
      </c>
      <c r="P241" s="11" t="s">
        <v>268</v>
      </c>
      <c r="Q241" s="11" t="s">
        <v>269</v>
      </c>
      <c r="X241" s="11">
        <v>1</v>
      </c>
      <c r="Y241" s="11">
        <v>0</v>
      </c>
      <c r="Z241" s="11">
        <v>0</v>
      </c>
      <c r="AB241" s="196">
        <v>3001</v>
      </c>
      <c r="AC241" s="197" t="s">
        <v>337</v>
      </c>
      <c r="AD241" s="11" t="s">
        <v>330</v>
      </c>
      <c r="AE241" s="197"/>
      <c r="AF241" s="197"/>
      <c r="AG241" s="197"/>
      <c r="AH241" s="197"/>
      <c r="AI241" s="197"/>
      <c r="AJ241" s="197"/>
      <c r="AK241" s="197"/>
      <c r="BA241" s="205" t="s">
        <v>270</v>
      </c>
      <c r="BB241" s="11">
        <v>400</v>
      </c>
      <c r="BC241" s="11">
        <v>0</v>
      </c>
      <c r="BF241" s="11">
        <v>0</v>
      </c>
      <c r="BG241" s="11">
        <v>0</v>
      </c>
      <c r="BH241" s="11">
        <v>0</v>
      </c>
      <c r="BJ241" s="11" t="s">
        <v>270</v>
      </c>
      <c r="BS241" s="11" t="s">
        <v>270</v>
      </c>
      <c r="CF241" s="11" t="s">
        <v>378</v>
      </c>
      <c r="CJ241" s="11" t="s">
        <v>1</v>
      </c>
      <c r="CK241" s="195" t="s">
        <v>379</v>
      </c>
      <c r="CL241" s="195"/>
      <c r="CM241" s="11">
        <v>999</v>
      </c>
      <c r="CN241" s="11">
        <v>0</v>
      </c>
      <c r="CO241" s="11">
        <v>0</v>
      </c>
      <c r="CP241" s="11">
        <v>0</v>
      </c>
      <c r="CQ241" s="11">
        <v>0</v>
      </c>
      <c r="CS241" s="11">
        <v>5</v>
      </c>
      <c r="CU241" s="11">
        <v>20</v>
      </c>
      <c r="CV241" s="11" t="s">
        <v>472</v>
      </c>
      <c r="CW241" s="11" t="b">
        <v>0</v>
      </c>
      <c r="CX241" s="11" t="s">
        <v>273</v>
      </c>
      <c r="DB241" s="11">
        <v>102401</v>
      </c>
      <c r="DC241" s="11" t="b">
        <v>1</v>
      </c>
      <c r="DD241" s="11" t="s">
        <v>274</v>
      </c>
      <c r="DE241" s="11" t="s">
        <v>380</v>
      </c>
      <c r="DF241" s="11" t="s">
        <v>276</v>
      </c>
      <c r="DG241" s="11" t="s">
        <v>293</v>
      </c>
      <c r="DH241" s="11">
        <v>4</v>
      </c>
      <c r="DI241" s="11" t="b">
        <v>0</v>
      </c>
      <c r="DP241" s="96" t="s">
        <v>473</v>
      </c>
      <c r="DQ241" s="11" t="s">
        <v>504</v>
      </c>
      <c r="DR241" s="57" t="e">
        <f t="shared" si="4"/>
        <v>#VALUE!</v>
      </c>
      <c r="DS241" s="11" t="s">
        <v>505</v>
      </c>
      <c r="DU241" s="1" t="s">
        <v>280</v>
      </c>
      <c r="DV241" s="200"/>
      <c r="DZ241" s="11">
        <v>1</v>
      </c>
      <c r="EA241" s="200">
        <v>-1</v>
      </c>
      <c r="EB241" s="200">
        <v>4.1666666666666699E-2</v>
      </c>
      <c r="EC241" s="200">
        <v>8.3333333333333301E-2</v>
      </c>
      <c r="ED241" s="200">
        <v>8.3333333333333301E-2</v>
      </c>
      <c r="EE241" s="11" t="s">
        <v>284</v>
      </c>
      <c r="EF241" s="11" t="s">
        <v>326</v>
      </c>
      <c r="EG241" s="11" t="e">
        <v>#VALUE!</v>
      </c>
      <c r="EH241" s="11" t="s">
        <v>285</v>
      </c>
      <c r="EI241" s="11" t="s">
        <v>344</v>
      </c>
      <c r="EJ241" s="11" t="e">
        <v>#VALUE!</v>
      </c>
      <c r="EK241" s="11" t="s">
        <v>286</v>
      </c>
      <c r="EL241" s="11" t="s">
        <v>328</v>
      </c>
      <c r="EM241" s="11" t="e">
        <v>#VALUE!</v>
      </c>
      <c r="EN241" s="11" t="s">
        <v>287</v>
      </c>
      <c r="EO241" s="11" t="s">
        <v>328</v>
      </c>
      <c r="EP241" s="11" t="e">
        <v>#VALUE!</v>
      </c>
    </row>
    <row r="242" spans="1:146" s="11" customFormat="1" ht="14.25" customHeight="1" x14ac:dyDescent="0.15">
      <c r="B242" s="188"/>
      <c r="C242" s="40"/>
      <c r="E242" s="189"/>
      <c r="F242" s="189"/>
      <c r="G242" s="189"/>
      <c r="AB242" s="196">
        <v>17050505</v>
      </c>
      <c r="AC242" s="197" t="s">
        <v>384</v>
      </c>
      <c r="AD242" s="11" t="s">
        <v>330</v>
      </c>
      <c r="AE242" s="197" t="s">
        <v>291</v>
      </c>
      <c r="AF242" s="197" t="s">
        <v>314</v>
      </c>
      <c r="AG242" s="197"/>
      <c r="AH242" s="197"/>
      <c r="AI242" s="197"/>
      <c r="AJ242" s="197"/>
      <c r="AK242" s="197"/>
      <c r="BA242" s="205"/>
      <c r="DP242" s="96"/>
      <c r="DR242" s="57" t="str">
        <f t="shared" si="4"/>
        <v/>
      </c>
      <c r="DU242" s="1" t="s">
        <v>280</v>
      </c>
      <c r="DV242" s="200"/>
      <c r="DY242" s="200"/>
      <c r="EA242" s="200"/>
      <c r="EB242" s="200"/>
      <c r="EC242" s="200"/>
      <c r="ED242" s="200"/>
    </row>
    <row r="243" spans="1:146" s="11" customFormat="1" ht="14.25" customHeight="1" x14ac:dyDescent="0.15">
      <c r="B243" s="188"/>
      <c r="C243" s="40"/>
      <c r="E243" s="189"/>
      <c r="F243" s="189"/>
      <c r="G243" s="189"/>
      <c r="AB243" s="194">
        <v>17050506</v>
      </c>
      <c r="AC243" s="11" t="s">
        <v>385</v>
      </c>
      <c r="AE243" s="11" t="s">
        <v>291</v>
      </c>
      <c r="AF243" s="11" t="s">
        <v>314</v>
      </c>
      <c r="AJ243" s="11">
        <v>8</v>
      </c>
      <c r="AL243" s="200"/>
      <c r="AM243" s="200"/>
      <c r="AN243" s="200"/>
      <c r="AO243" s="200"/>
      <c r="AP243" s="200"/>
      <c r="AQ243" s="200"/>
      <c r="AR243" s="200"/>
      <c r="AU243" s="200"/>
      <c r="AV243" s="200"/>
      <c r="AW243" s="200"/>
      <c r="AX243" s="200"/>
      <c r="AY243" s="200"/>
      <c r="AZ243" s="200"/>
      <c r="BA243" s="204"/>
      <c r="CK243" s="195"/>
      <c r="CL243" s="195"/>
      <c r="CX243" s="207"/>
      <c r="DD243" s="194"/>
      <c r="DE243" s="197"/>
      <c r="DF243" s="194"/>
      <c r="DG243" s="194"/>
      <c r="DH243" s="194"/>
      <c r="DI243" s="194"/>
      <c r="DJ243" s="194"/>
      <c r="DP243" s="96"/>
      <c r="DQ243" s="198"/>
      <c r="DR243" s="57" t="str">
        <f t="shared" si="4"/>
        <v/>
      </c>
      <c r="DS243" s="198"/>
      <c r="DT243" s="212"/>
      <c r="DU243" s="1" t="s">
        <v>280</v>
      </c>
      <c r="DV243" s="200"/>
      <c r="DY243" s="200"/>
      <c r="DZ243" s="213"/>
      <c r="EA243" s="214"/>
      <c r="EB243" s="214"/>
      <c r="EC243" s="214"/>
      <c r="ED243" s="214"/>
    </row>
    <row r="244" spans="1:146" s="11" customFormat="1" ht="14.25" customHeight="1" x14ac:dyDescent="0.15">
      <c r="B244" s="188"/>
      <c r="C244" s="40"/>
      <c r="E244" s="189"/>
      <c r="F244" s="189"/>
      <c r="G244" s="189"/>
      <c r="AB244" s="198">
        <v>17050507</v>
      </c>
      <c r="AC244" s="197" t="s">
        <v>386</v>
      </c>
      <c r="AD244" s="11" t="s">
        <v>330</v>
      </c>
      <c r="AE244" s="11" t="s">
        <v>291</v>
      </c>
      <c r="AF244" s="11" t="s">
        <v>314</v>
      </c>
      <c r="AJ244" s="197"/>
      <c r="AK244" s="197"/>
      <c r="BA244" s="206"/>
      <c r="DP244" s="96"/>
      <c r="DR244" s="57" t="str">
        <f t="shared" si="4"/>
        <v/>
      </c>
      <c r="DU244" s="1" t="s">
        <v>280</v>
      </c>
      <c r="DV244" s="200"/>
      <c r="DY244" s="200"/>
      <c r="EA244" s="200"/>
      <c r="EB244" s="200"/>
      <c r="EC244" s="200"/>
      <c r="ED244" s="200"/>
    </row>
    <row r="245" spans="1:146" s="11" customFormat="1" ht="14.25" customHeight="1" x14ac:dyDescent="0.15">
      <c r="A245" s="11">
        <v>170578</v>
      </c>
      <c r="B245" s="188" t="s">
        <v>462</v>
      </c>
      <c r="C245" s="40" t="s">
        <v>463</v>
      </c>
      <c r="D245" s="11" t="s">
        <v>513</v>
      </c>
      <c r="E245" s="189">
        <v>170517</v>
      </c>
      <c r="F245" s="189"/>
      <c r="G245" s="189"/>
      <c r="H245" s="11">
        <v>0</v>
      </c>
      <c r="L245" s="11">
        <v>0</v>
      </c>
      <c r="P245" s="11" t="s">
        <v>268</v>
      </c>
      <c r="Q245" s="11" t="s">
        <v>269</v>
      </c>
      <c r="X245" s="11">
        <v>1</v>
      </c>
      <c r="Y245" s="11">
        <v>0</v>
      </c>
      <c r="Z245" s="11">
        <v>0</v>
      </c>
      <c r="AB245" s="194">
        <v>3001</v>
      </c>
      <c r="AC245" s="195"/>
      <c r="AL245" s="200"/>
      <c r="AM245" s="200"/>
      <c r="AN245" s="200"/>
      <c r="AO245" s="200"/>
      <c r="AP245" s="200"/>
      <c r="AQ245" s="200"/>
      <c r="AR245" s="200"/>
      <c r="AU245" s="200"/>
      <c r="AV245" s="200"/>
      <c r="AW245" s="200"/>
      <c r="AX245" s="200"/>
      <c r="AY245" s="200"/>
      <c r="AZ245" s="200"/>
      <c r="BA245" s="204" t="s">
        <v>270</v>
      </c>
      <c r="BB245" s="11">
        <v>300</v>
      </c>
      <c r="BC245" s="11">
        <v>0</v>
      </c>
      <c r="BF245" s="11">
        <v>0</v>
      </c>
      <c r="BG245" s="11">
        <v>0</v>
      </c>
      <c r="BH245" s="11">
        <v>0</v>
      </c>
      <c r="BJ245" s="11" t="s">
        <v>270</v>
      </c>
      <c r="BS245" s="11" t="s">
        <v>270</v>
      </c>
      <c r="CF245" s="11" t="s">
        <v>271</v>
      </c>
      <c r="CJ245" s="11" t="s">
        <v>1</v>
      </c>
      <c r="CK245" s="195" t="s">
        <v>464</v>
      </c>
      <c r="CL245" s="195"/>
      <c r="CM245" s="11">
        <v>999</v>
      </c>
      <c r="CN245" s="11">
        <v>0</v>
      </c>
      <c r="CO245" s="11">
        <v>0</v>
      </c>
      <c r="CP245" s="11">
        <v>0</v>
      </c>
      <c r="CQ245" s="11">
        <v>0</v>
      </c>
      <c r="CS245" s="11">
        <v>20</v>
      </c>
      <c r="CT245" s="11">
        <v>10</v>
      </c>
      <c r="CU245" s="11">
        <v>24</v>
      </c>
      <c r="CV245" s="11" t="s">
        <v>474</v>
      </c>
      <c r="CW245" s="11" t="b">
        <v>1</v>
      </c>
      <c r="CX245" s="11" t="s">
        <v>273</v>
      </c>
      <c r="DB245" s="11">
        <v>170501</v>
      </c>
      <c r="DC245" s="11" t="b">
        <v>1</v>
      </c>
      <c r="DD245" s="11" t="s">
        <v>274</v>
      </c>
      <c r="DE245" s="11" t="s">
        <v>495</v>
      </c>
      <c r="DF245" s="11" t="s">
        <v>276</v>
      </c>
      <c r="DG245" s="11" t="s">
        <v>322</v>
      </c>
      <c r="DH245" s="11">
        <v>4</v>
      </c>
      <c r="DI245" s="11" t="b">
        <v>0</v>
      </c>
      <c r="DP245" s="96" t="s">
        <v>475</v>
      </c>
      <c r="DQ245" s="195" t="s">
        <v>506</v>
      </c>
      <c r="DR245" s="57" t="e">
        <f t="shared" si="4"/>
        <v>#VALUE!</v>
      </c>
      <c r="DS245" s="195" t="s">
        <v>507</v>
      </c>
      <c r="DU245" s="1" t="s">
        <v>280</v>
      </c>
      <c r="DV245" s="200"/>
      <c r="DZ245" s="11">
        <v>1</v>
      </c>
      <c r="EA245" s="200">
        <v>-1</v>
      </c>
      <c r="EB245" s="200">
        <v>4.1666666666666699E-2</v>
      </c>
      <c r="EC245" s="200">
        <v>8.3333333333333301E-2</v>
      </c>
      <c r="ED245" s="200">
        <v>8.3333333333333301E-2</v>
      </c>
      <c r="EE245" s="11" t="s">
        <v>284</v>
      </c>
      <c r="EF245" s="11" t="s">
        <v>326</v>
      </c>
      <c r="EG245" s="11" t="e">
        <v>#VALUE!</v>
      </c>
      <c r="EH245" s="11" t="s">
        <v>285</v>
      </c>
      <c r="EI245" s="11" t="s">
        <v>327</v>
      </c>
      <c r="EJ245" s="11" t="e">
        <v>#VALUE!</v>
      </c>
      <c r="EK245" s="11" t="s">
        <v>286</v>
      </c>
      <c r="EL245" s="11" t="s">
        <v>328</v>
      </c>
      <c r="EM245" s="11" t="e">
        <v>#VALUE!</v>
      </c>
      <c r="EN245" s="11" t="s">
        <v>287</v>
      </c>
      <c r="EO245" s="11" t="s">
        <v>328</v>
      </c>
      <c r="EP245" s="11" t="e">
        <v>#VALUE!</v>
      </c>
    </row>
    <row r="246" spans="1:146" s="11" customFormat="1" ht="14.25" customHeight="1" x14ac:dyDescent="0.15">
      <c r="B246" s="188"/>
      <c r="C246" s="40"/>
      <c r="E246" s="189"/>
      <c r="F246" s="189"/>
      <c r="G246" s="189"/>
      <c r="AB246" s="194">
        <v>17050301</v>
      </c>
      <c r="AC246" s="11" t="s">
        <v>329</v>
      </c>
      <c r="AD246" s="11" t="s">
        <v>330</v>
      </c>
      <c r="AE246" s="11" t="s">
        <v>291</v>
      </c>
      <c r="AF246" s="11" t="s">
        <v>314</v>
      </c>
      <c r="AL246" s="200"/>
      <c r="AM246" s="200"/>
      <c r="AN246" s="200"/>
      <c r="AO246" s="200"/>
      <c r="AP246" s="200"/>
      <c r="AQ246" s="200"/>
      <c r="AR246" s="200"/>
      <c r="AU246" s="200"/>
      <c r="AV246" s="200"/>
      <c r="AW246" s="200"/>
      <c r="AX246" s="200"/>
      <c r="AY246" s="200"/>
      <c r="AZ246" s="200"/>
      <c r="BA246" s="204" t="s">
        <v>331</v>
      </c>
      <c r="BB246" s="11">
        <v>8.9999999999999993E-3</v>
      </c>
      <c r="BC246" s="11">
        <v>0</v>
      </c>
      <c r="BF246" s="11">
        <v>0</v>
      </c>
      <c r="BG246" s="11">
        <v>0</v>
      </c>
      <c r="BH246" s="11">
        <v>0</v>
      </c>
      <c r="CX246" s="207"/>
      <c r="DI246" s="207"/>
      <c r="DJ246" s="207"/>
      <c r="DP246" s="96"/>
      <c r="DQ246" s="195"/>
      <c r="DR246" s="57" t="str">
        <f t="shared" si="4"/>
        <v/>
      </c>
      <c r="DS246" s="195"/>
      <c r="DU246" s="1" t="s">
        <v>280</v>
      </c>
      <c r="DV246" s="200"/>
      <c r="DY246" s="200"/>
      <c r="DZ246" s="213"/>
      <c r="EA246" s="214"/>
      <c r="EB246" s="214"/>
      <c r="EC246" s="214"/>
      <c r="ED246" s="214"/>
    </row>
    <row r="247" spans="1:146" s="11" customFormat="1" ht="14.25" customHeight="1" x14ac:dyDescent="0.15">
      <c r="B247" s="188"/>
      <c r="C247" s="40"/>
      <c r="E247" s="189"/>
      <c r="F247" s="189"/>
      <c r="G247" s="189"/>
      <c r="AB247" s="194">
        <v>17050302</v>
      </c>
      <c r="AC247" s="11" t="s">
        <v>332</v>
      </c>
      <c r="AD247" s="11" t="s">
        <v>333</v>
      </c>
      <c r="AE247" s="11" t="s">
        <v>291</v>
      </c>
      <c r="AF247" s="11" t="s">
        <v>314</v>
      </c>
      <c r="AJ247" s="11">
        <v>-1</v>
      </c>
      <c r="AL247" s="200"/>
      <c r="AM247" s="215"/>
      <c r="AN247" s="215"/>
      <c r="AO247" s="215"/>
      <c r="AP247" s="215"/>
      <c r="AQ247" s="215"/>
      <c r="AR247" s="215"/>
      <c r="AU247" s="200"/>
      <c r="AV247" s="200"/>
      <c r="AW247" s="200"/>
      <c r="AX247" s="200"/>
      <c r="AY247" s="200"/>
      <c r="AZ247" s="200"/>
      <c r="BA247" s="204"/>
      <c r="DP247" s="96"/>
      <c r="DQ247" s="195"/>
      <c r="DR247" s="57" t="str">
        <f t="shared" si="4"/>
        <v/>
      </c>
      <c r="DS247" s="195"/>
      <c r="DU247" s="1" t="s">
        <v>280</v>
      </c>
      <c r="DV247" s="200"/>
      <c r="DY247" s="200"/>
      <c r="EA247" s="200"/>
      <c r="EB247" s="200"/>
      <c r="EC247" s="200"/>
      <c r="ED247" s="200"/>
    </row>
    <row r="248" spans="1:146" s="11" customFormat="1" ht="14.25" customHeight="1" x14ac:dyDescent="0.15">
      <c r="A248" s="11">
        <v>170579</v>
      </c>
      <c r="B248" s="188" t="s">
        <v>334</v>
      </c>
      <c r="C248" s="40" t="s">
        <v>335</v>
      </c>
      <c r="D248" s="11" t="s">
        <v>514</v>
      </c>
      <c r="E248" s="189">
        <v>170515</v>
      </c>
      <c r="F248" s="189"/>
      <c r="G248" s="189"/>
      <c r="H248" s="11">
        <v>0</v>
      </c>
      <c r="L248" s="11">
        <v>0</v>
      </c>
      <c r="P248" s="11" t="s">
        <v>268</v>
      </c>
      <c r="Q248" s="11" t="s">
        <v>269</v>
      </c>
      <c r="X248" s="11">
        <v>1</v>
      </c>
      <c r="Y248" s="11">
        <v>0</v>
      </c>
      <c r="Z248" s="11">
        <v>0</v>
      </c>
      <c r="AB248" s="194">
        <v>3001</v>
      </c>
      <c r="AC248" s="195" t="s">
        <v>337</v>
      </c>
      <c r="AE248" s="11" t="s">
        <v>129</v>
      </c>
      <c r="AF248" s="11" t="s">
        <v>314</v>
      </c>
      <c r="AL248" s="200"/>
      <c r="AM248" s="200"/>
      <c r="AN248" s="200"/>
      <c r="AO248" s="200"/>
      <c r="AP248" s="200"/>
      <c r="AQ248" s="200"/>
      <c r="AR248" s="200"/>
      <c r="AU248" s="200"/>
      <c r="AV248" s="200"/>
      <c r="AW248" s="200"/>
      <c r="AX248" s="200"/>
      <c r="AY248" s="200"/>
      <c r="AZ248" s="200"/>
      <c r="BA248" s="204" t="s">
        <v>270</v>
      </c>
      <c r="BB248" s="11">
        <v>400</v>
      </c>
      <c r="BC248" s="11">
        <v>0</v>
      </c>
      <c r="BF248" s="11">
        <v>0</v>
      </c>
      <c r="BG248" s="11">
        <v>0</v>
      </c>
      <c r="BH248" s="11">
        <v>0</v>
      </c>
      <c r="BJ248" s="11" t="s">
        <v>270</v>
      </c>
      <c r="BS248" s="11" t="s">
        <v>270</v>
      </c>
      <c r="CF248" s="11" t="s">
        <v>271</v>
      </c>
      <c r="CJ248" s="11" t="s">
        <v>3</v>
      </c>
      <c r="CK248" s="195" t="s">
        <v>443</v>
      </c>
      <c r="CL248" s="195"/>
      <c r="CM248" s="11">
        <v>999</v>
      </c>
      <c r="CN248" s="11">
        <v>0</v>
      </c>
      <c r="CO248" s="11">
        <v>0</v>
      </c>
      <c r="CP248" s="11">
        <v>0</v>
      </c>
      <c r="CQ248" s="11">
        <v>0</v>
      </c>
      <c r="CS248" s="11">
        <v>15</v>
      </c>
      <c r="CU248" s="11">
        <v>15</v>
      </c>
      <c r="CV248" s="11" t="s">
        <v>470</v>
      </c>
      <c r="CW248" s="11" t="b">
        <v>0</v>
      </c>
      <c r="CX248" s="11" t="s">
        <v>273</v>
      </c>
      <c r="DB248" s="11">
        <v>100300</v>
      </c>
      <c r="DC248" s="11" t="b">
        <v>1</v>
      </c>
      <c r="DD248" s="11" t="s">
        <v>274</v>
      </c>
      <c r="DE248" s="11" t="s">
        <v>340</v>
      </c>
      <c r="DF248" s="11" t="s">
        <v>276</v>
      </c>
      <c r="DG248" s="11" t="s">
        <v>277</v>
      </c>
      <c r="DH248" s="11">
        <v>4</v>
      </c>
      <c r="DI248" s="11" t="b">
        <v>0</v>
      </c>
      <c r="DP248" s="96" t="s">
        <v>471</v>
      </c>
      <c r="DQ248" s="195" t="s">
        <v>502</v>
      </c>
      <c r="DR248" s="57" t="e">
        <f t="shared" si="4"/>
        <v>#VALUE!</v>
      </c>
      <c r="DS248" s="195" t="s">
        <v>503</v>
      </c>
      <c r="DU248" s="1" t="s">
        <v>280</v>
      </c>
      <c r="DV248" s="200"/>
      <c r="DZ248" s="11">
        <v>1</v>
      </c>
      <c r="EA248" s="200">
        <v>-1</v>
      </c>
      <c r="EB248" s="200">
        <v>4.1666666666666699E-2</v>
      </c>
      <c r="EC248" s="200">
        <v>8.3333333333333301E-2</v>
      </c>
      <c r="ED248" s="200">
        <v>8.3333333333333301E-2</v>
      </c>
      <c r="EE248" s="11" t="s">
        <v>284</v>
      </c>
      <c r="EF248" s="11" t="s">
        <v>326</v>
      </c>
      <c r="EG248" s="11" t="e">
        <v>#VALUE!</v>
      </c>
      <c r="EH248" s="11" t="s">
        <v>285</v>
      </c>
      <c r="EI248" s="11" t="s">
        <v>344</v>
      </c>
      <c r="EJ248" s="11" t="e">
        <v>#VALUE!</v>
      </c>
      <c r="EK248" s="11" t="s">
        <v>286</v>
      </c>
      <c r="EL248" s="11" t="s">
        <v>345</v>
      </c>
      <c r="EM248" s="11" t="e">
        <v>#VALUE!</v>
      </c>
      <c r="EN248" s="11" t="s">
        <v>287</v>
      </c>
      <c r="EO248" s="11" t="s">
        <v>345</v>
      </c>
      <c r="EP248" s="11" t="e">
        <v>#VALUE!</v>
      </c>
    </row>
    <row r="249" spans="1:146" s="11" customFormat="1" ht="14.25" customHeight="1" x14ac:dyDescent="0.15">
      <c r="B249" s="190"/>
      <c r="C249" s="40"/>
      <c r="E249" s="189"/>
      <c r="F249" s="189"/>
      <c r="G249" s="189"/>
      <c r="AB249" s="194">
        <v>10240102</v>
      </c>
      <c r="AC249" s="11" t="s">
        <v>346</v>
      </c>
      <c r="AE249" s="11" t="s">
        <v>129</v>
      </c>
      <c r="AF249" s="11" t="s">
        <v>314</v>
      </c>
      <c r="AJ249" s="11">
        <v>3</v>
      </c>
      <c r="AL249" s="200"/>
      <c r="AM249" s="200"/>
      <c r="AN249" s="200"/>
      <c r="AO249" s="200"/>
      <c r="AP249" s="200"/>
      <c r="AQ249" s="200"/>
      <c r="AR249" s="200"/>
      <c r="AU249" s="200"/>
      <c r="AV249" s="200"/>
      <c r="AW249" s="200"/>
      <c r="AX249" s="200"/>
      <c r="AY249" s="200"/>
      <c r="AZ249" s="200"/>
      <c r="BA249" s="204"/>
      <c r="CK249" s="195"/>
      <c r="CL249" s="195"/>
      <c r="CX249" s="207"/>
      <c r="DI249" s="207"/>
      <c r="DJ249" s="207"/>
      <c r="DM249" s="197"/>
      <c r="DN249" s="197"/>
      <c r="DO249" s="197"/>
      <c r="DP249" s="94"/>
      <c r="DQ249" s="195"/>
      <c r="DR249" s="57" t="str">
        <f t="shared" si="4"/>
        <v/>
      </c>
      <c r="DS249" s="195"/>
      <c r="DT249" s="211"/>
      <c r="DU249" s="1" t="s">
        <v>280</v>
      </c>
      <c r="DV249" s="200"/>
      <c r="DY249" s="200"/>
      <c r="DZ249" s="213"/>
      <c r="EA249" s="214"/>
      <c r="EB249" s="214"/>
      <c r="EC249" s="214"/>
      <c r="ED249" s="214"/>
    </row>
    <row r="250" spans="1:146" s="11" customFormat="1" ht="14.25" customHeight="1" x14ac:dyDescent="0.15">
      <c r="A250" s="11">
        <v>170580</v>
      </c>
      <c r="B250" s="188" t="s">
        <v>456</v>
      </c>
      <c r="C250" s="40" t="s">
        <v>457</v>
      </c>
      <c r="D250" s="11" t="s">
        <v>514</v>
      </c>
      <c r="E250" s="189">
        <v>170516</v>
      </c>
      <c r="F250" s="189"/>
      <c r="G250" s="189"/>
      <c r="H250" s="11">
        <v>0</v>
      </c>
      <c r="L250" s="11">
        <v>0</v>
      </c>
      <c r="P250" s="11" t="s">
        <v>268</v>
      </c>
      <c r="Q250" s="11" t="s">
        <v>269</v>
      </c>
      <c r="X250" s="11">
        <v>1</v>
      </c>
      <c r="Y250" s="11">
        <v>0</v>
      </c>
      <c r="Z250" s="11">
        <v>0</v>
      </c>
      <c r="AB250" s="196">
        <v>3001</v>
      </c>
      <c r="AC250" s="197" t="s">
        <v>337</v>
      </c>
      <c r="AD250" s="11" t="s">
        <v>330</v>
      </c>
      <c r="AE250" s="197"/>
      <c r="AF250" s="197"/>
      <c r="AG250" s="197"/>
      <c r="AH250" s="197"/>
      <c r="AI250" s="197"/>
      <c r="AJ250" s="197"/>
      <c r="AK250" s="197"/>
      <c r="BA250" s="205" t="s">
        <v>270</v>
      </c>
      <c r="BB250" s="11">
        <v>400</v>
      </c>
      <c r="BC250" s="11">
        <v>0</v>
      </c>
      <c r="BF250" s="11">
        <v>0</v>
      </c>
      <c r="BG250" s="11">
        <v>0</v>
      </c>
      <c r="BH250" s="11">
        <v>0</v>
      </c>
      <c r="BJ250" s="11" t="s">
        <v>270</v>
      </c>
      <c r="BS250" s="11" t="s">
        <v>270</v>
      </c>
      <c r="CF250" s="11" t="s">
        <v>378</v>
      </c>
      <c r="CJ250" s="11" t="s">
        <v>1</v>
      </c>
      <c r="CK250" s="195" t="s">
        <v>379</v>
      </c>
      <c r="CL250" s="195"/>
      <c r="CM250" s="11">
        <v>999</v>
      </c>
      <c r="CN250" s="11">
        <v>0</v>
      </c>
      <c r="CO250" s="11">
        <v>0</v>
      </c>
      <c r="CP250" s="11">
        <v>0</v>
      </c>
      <c r="CQ250" s="11">
        <v>0</v>
      </c>
      <c r="CS250" s="11">
        <v>5</v>
      </c>
      <c r="CU250" s="11">
        <v>20</v>
      </c>
      <c r="CV250" s="11" t="s">
        <v>472</v>
      </c>
      <c r="CW250" s="11" t="b">
        <v>0</v>
      </c>
      <c r="CX250" s="11" t="s">
        <v>273</v>
      </c>
      <c r="DB250" s="11">
        <v>102401</v>
      </c>
      <c r="DC250" s="11" t="b">
        <v>1</v>
      </c>
      <c r="DD250" s="11" t="s">
        <v>274</v>
      </c>
      <c r="DE250" s="11" t="s">
        <v>380</v>
      </c>
      <c r="DF250" s="11" t="s">
        <v>276</v>
      </c>
      <c r="DG250" s="11" t="s">
        <v>293</v>
      </c>
      <c r="DH250" s="11">
        <v>4</v>
      </c>
      <c r="DI250" s="11" t="b">
        <v>0</v>
      </c>
      <c r="DP250" s="96" t="s">
        <v>473</v>
      </c>
      <c r="DQ250" s="11" t="s">
        <v>504</v>
      </c>
      <c r="DR250" s="57" t="e">
        <f t="shared" si="4"/>
        <v>#VALUE!</v>
      </c>
      <c r="DS250" s="11" t="s">
        <v>505</v>
      </c>
      <c r="DU250" s="1" t="s">
        <v>280</v>
      </c>
      <c r="DV250" s="200"/>
      <c r="DZ250" s="11">
        <v>1</v>
      </c>
      <c r="EA250" s="200">
        <v>-1</v>
      </c>
      <c r="EB250" s="200">
        <v>4.1666666666666699E-2</v>
      </c>
      <c r="EC250" s="200">
        <v>8.3333333333333301E-2</v>
      </c>
      <c r="ED250" s="200">
        <v>8.3333333333333301E-2</v>
      </c>
      <c r="EE250" s="11" t="s">
        <v>284</v>
      </c>
      <c r="EF250" s="11" t="s">
        <v>326</v>
      </c>
      <c r="EG250" s="11" t="e">
        <v>#VALUE!</v>
      </c>
      <c r="EH250" s="11" t="s">
        <v>285</v>
      </c>
      <c r="EI250" s="11" t="s">
        <v>344</v>
      </c>
      <c r="EJ250" s="11" t="e">
        <v>#VALUE!</v>
      </c>
      <c r="EK250" s="11" t="s">
        <v>286</v>
      </c>
      <c r="EL250" s="11" t="s">
        <v>328</v>
      </c>
      <c r="EM250" s="11" t="e">
        <v>#VALUE!</v>
      </c>
      <c r="EN250" s="11" t="s">
        <v>287</v>
      </c>
      <c r="EO250" s="11" t="s">
        <v>328</v>
      </c>
      <c r="EP250" s="11" t="e">
        <v>#VALUE!</v>
      </c>
    </row>
    <row r="251" spans="1:146" s="11" customFormat="1" ht="14.25" customHeight="1" x14ac:dyDescent="0.15">
      <c r="B251" s="188"/>
      <c r="C251" s="40"/>
      <c r="E251" s="189"/>
      <c r="F251" s="189"/>
      <c r="G251" s="189"/>
      <c r="AB251" s="196">
        <v>17050505</v>
      </c>
      <c r="AC251" s="197" t="s">
        <v>384</v>
      </c>
      <c r="AD251" s="11" t="s">
        <v>330</v>
      </c>
      <c r="AE251" s="197" t="s">
        <v>291</v>
      </c>
      <c r="AF251" s="197" t="s">
        <v>314</v>
      </c>
      <c r="AG251" s="197"/>
      <c r="AH251" s="197"/>
      <c r="AI251" s="197"/>
      <c r="AJ251" s="197"/>
      <c r="AK251" s="197"/>
      <c r="BA251" s="205"/>
      <c r="DP251" s="96"/>
      <c r="DR251" s="57" t="str">
        <f t="shared" ref="DR251:DR314" si="5">IF(DZ251="","",IF(DZ251=1,EG251,IF(DZ251=2,EJ251,IF(DZ251=3,EM251,IF(DZ251=4,EP251,IF(DZ251=0,DS251,"【参数配置有误】"&amp;DS251))))))</f>
        <v/>
      </c>
      <c r="DU251" s="1" t="s">
        <v>280</v>
      </c>
      <c r="DV251" s="200"/>
      <c r="DY251" s="200"/>
      <c r="EA251" s="200"/>
      <c r="EB251" s="200"/>
      <c r="EC251" s="200"/>
      <c r="ED251" s="200"/>
    </row>
    <row r="252" spans="1:146" s="11" customFormat="1" ht="14.25" customHeight="1" x14ac:dyDescent="0.15">
      <c r="B252" s="188"/>
      <c r="C252" s="40"/>
      <c r="E252" s="189"/>
      <c r="F252" s="189"/>
      <c r="G252" s="189"/>
      <c r="AB252" s="194">
        <v>17050506</v>
      </c>
      <c r="AC252" s="11" t="s">
        <v>385</v>
      </c>
      <c r="AE252" s="11" t="s">
        <v>291</v>
      </c>
      <c r="AF252" s="11" t="s">
        <v>314</v>
      </c>
      <c r="AJ252" s="11">
        <v>8</v>
      </c>
      <c r="AL252" s="200"/>
      <c r="AM252" s="200"/>
      <c r="AN252" s="200"/>
      <c r="AO252" s="200"/>
      <c r="AP252" s="200"/>
      <c r="AQ252" s="200"/>
      <c r="AR252" s="200"/>
      <c r="AU252" s="200"/>
      <c r="AV252" s="200"/>
      <c r="AW252" s="200"/>
      <c r="AX252" s="200"/>
      <c r="AY252" s="200"/>
      <c r="AZ252" s="200"/>
      <c r="BA252" s="204"/>
      <c r="CK252" s="195"/>
      <c r="CL252" s="195"/>
      <c r="CX252" s="207"/>
      <c r="DD252" s="194"/>
      <c r="DE252" s="197"/>
      <c r="DF252" s="194"/>
      <c r="DG252" s="194"/>
      <c r="DH252" s="194"/>
      <c r="DI252" s="194"/>
      <c r="DJ252" s="194"/>
      <c r="DP252" s="96"/>
      <c r="DQ252" s="198"/>
      <c r="DR252" s="57" t="str">
        <f t="shared" si="5"/>
        <v/>
      </c>
      <c r="DS252" s="198"/>
      <c r="DT252" s="212"/>
      <c r="DU252" s="1" t="s">
        <v>280</v>
      </c>
      <c r="DV252" s="200"/>
      <c r="DY252" s="200"/>
      <c r="DZ252" s="213"/>
      <c r="EA252" s="214"/>
      <c r="EB252" s="214"/>
      <c r="EC252" s="214"/>
      <c r="ED252" s="214"/>
    </row>
    <row r="253" spans="1:146" s="11" customFormat="1" ht="14.25" customHeight="1" x14ac:dyDescent="0.15">
      <c r="B253" s="188"/>
      <c r="C253" s="40"/>
      <c r="E253" s="189"/>
      <c r="F253" s="189"/>
      <c r="G253" s="189"/>
      <c r="AB253" s="198">
        <v>17050507</v>
      </c>
      <c r="AC253" s="197" t="s">
        <v>386</v>
      </c>
      <c r="AD253" s="11" t="s">
        <v>330</v>
      </c>
      <c r="AE253" s="11" t="s">
        <v>291</v>
      </c>
      <c r="AF253" s="11" t="s">
        <v>314</v>
      </c>
      <c r="AJ253" s="197"/>
      <c r="AK253" s="197"/>
      <c r="BA253" s="206"/>
      <c r="DP253" s="96"/>
      <c r="DR253" s="57" t="str">
        <f t="shared" si="5"/>
        <v/>
      </c>
      <c r="DU253" s="1" t="s">
        <v>280</v>
      </c>
      <c r="DV253" s="200"/>
      <c r="DY253" s="200"/>
      <c r="EA253" s="200"/>
      <c r="EB253" s="200"/>
      <c r="EC253" s="200"/>
      <c r="ED253" s="200"/>
    </row>
    <row r="254" spans="1:146" s="11" customFormat="1" ht="14.25" customHeight="1" x14ac:dyDescent="0.15">
      <c r="A254" s="11">
        <v>170581</v>
      </c>
      <c r="B254" s="188" t="s">
        <v>462</v>
      </c>
      <c r="C254" s="40" t="s">
        <v>463</v>
      </c>
      <c r="D254" s="11" t="s">
        <v>514</v>
      </c>
      <c r="E254" s="189">
        <v>170517</v>
      </c>
      <c r="F254" s="189"/>
      <c r="G254" s="189"/>
      <c r="H254" s="11">
        <v>0</v>
      </c>
      <c r="L254" s="11">
        <v>0</v>
      </c>
      <c r="P254" s="11" t="s">
        <v>268</v>
      </c>
      <c r="Q254" s="11" t="s">
        <v>269</v>
      </c>
      <c r="X254" s="11">
        <v>1</v>
      </c>
      <c r="Y254" s="11">
        <v>0</v>
      </c>
      <c r="Z254" s="11">
        <v>0</v>
      </c>
      <c r="AB254" s="194">
        <v>3001</v>
      </c>
      <c r="AC254" s="195"/>
      <c r="AL254" s="200"/>
      <c r="AM254" s="200"/>
      <c r="AN254" s="200"/>
      <c r="AO254" s="200"/>
      <c r="AP254" s="200"/>
      <c r="AQ254" s="200"/>
      <c r="AR254" s="200"/>
      <c r="AU254" s="200"/>
      <c r="AV254" s="200"/>
      <c r="AW254" s="200"/>
      <c r="AX254" s="200"/>
      <c r="AY254" s="200"/>
      <c r="AZ254" s="200"/>
      <c r="BA254" s="204" t="s">
        <v>270</v>
      </c>
      <c r="BB254" s="11">
        <v>300</v>
      </c>
      <c r="BC254" s="11">
        <v>0</v>
      </c>
      <c r="BF254" s="11">
        <v>0</v>
      </c>
      <c r="BG254" s="11">
        <v>0</v>
      </c>
      <c r="BH254" s="11">
        <v>0</v>
      </c>
      <c r="BJ254" s="11" t="s">
        <v>270</v>
      </c>
      <c r="BS254" s="11" t="s">
        <v>270</v>
      </c>
      <c r="CF254" s="11" t="s">
        <v>271</v>
      </c>
      <c r="CJ254" s="11" t="s">
        <v>1</v>
      </c>
      <c r="CK254" s="195" t="s">
        <v>464</v>
      </c>
      <c r="CL254" s="195"/>
      <c r="CM254" s="11">
        <v>999</v>
      </c>
      <c r="CN254" s="11">
        <v>0</v>
      </c>
      <c r="CO254" s="11">
        <v>0</v>
      </c>
      <c r="CP254" s="11">
        <v>0</v>
      </c>
      <c r="CQ254" s="11">
        <v>0</v>
      </c>
      <c r="CS254" s="11">
        <v>20</v>
      </c>
      <c r="CT254" s="11">
        <v>10</v>
      </c>
      <c r="CU254" s="11">
        <v>24</v>
      </c>
      <c r="CV254" s="11" t="s">
        <v>474</v>
      </c>
      <c r="CW254" s="11" t="b">
        <v>1</v>
      </c>
      <c r="CX254" s="11" t="s">
        <v>273</v>
      </c>
      <c r="DB254" s="11">
        <v>170501</v>
      </c>
      <c r="DC254" s="11" t="b">
        <v>1</v>
      </c>
      <c r="DD254" s="11" t="s">
        <v>274</v>
      </c>
      <c r="DE254" s="11" t="s">
        <v>495</v>
      </c>
      <c r="DF254" s="11" t="s">
        <v>276</v>
      </c>
      <c r="DG254" s="11" t="s">
        <v>322</v>
      </c>
      <c r="DH254" s="11">
        <v>4</v>
      </c>
      <c r="DI254" s="11" t="b">
        <v>0</v>
      </c>
      <c r="DP254" s="96" t="s">
        <v>475</v>
      </c>
      <c r="DQ254" s="195" t="s">
        <v>506</v>
      </c>
      <c r="DR254" s="57" t="e">
        <f t="shared" si="5"/>
        <v>#VALUE!</v>
      </c>
      <c r="DS254" s="195" t="s">
        <v>507</v>
      </c>
      <c r="DU254" s="1" t="s">
        <v>280</v>
      </c>
      <c r="DV254" s="200"/>
      <c r="DZ254" s="11">
        <v>1</v>
      </c>
      <c r="EA254" s="200">
        <v>-1</v>
      </c>
      <c r="EB254" s="200">
        <v>4.1666666666666699E-2</v>
      </c>
      <c r="EC254" s="200">
        <v>8.3333333333333301E-2</v>
      </c>
      <c r="ED254" s="200">
        <v>8.3333333333333301E-2</v>
      </c>
      <c r="EE254" s="11" t="s">
        <v>284</v>
      </c>
      <c r="EF254" s="11" t="s">
        <v>326</v>
      </c>
      <c r="EG254" s="11" t="e">
        <v>#VALUE!</v>
      </c>
      <c r="EH254" s="11" t="s">
        <v>285</v>
      </c>
      <c r="EI254" s="11" t="s">
        <v>327</v>
      </c>
      <c r="EJ254" s="11" t="e">
        <v>#VALUE!</v>
      </c>
      <c r="EK254" s="11" t="s">
        <v>286</v>
      </c>
      <c r="EL254" s="11" t="s">
        <v>328</v>
      </c>
      <c r="EM254" s="11" t="e">
        <v>#VALUE!</v>
      </c>
      <c r="EN254" s="11" t="s">
        <v>287</v>
      </c>
      <c r="EO254" s="11" t="s">
        <v>328</v>
      </c>
      <c r="EP254" s="11" t="e">
        <v>#VALUE!</v>
      </c>
    </row>
    <row r="255" spans="1:146" s="11" customFormat="1" ht="14.25" customHeight="1" x14ac:dyDescent="0.15">
      <c r="B255" s="188"/>
      <c r="C255" s="40"/>
      <c r="E255" s="189"/>
      <c r="F255" s="189"/>
      <c r="G255" s="189"/>
      <c r="AB255" s="194">
        <v>17050301</v>
      </c>
      <c r="AC255" s="11" t="s">
        <v>329</v>
      </c>
      <c r="AD255" s="11" t="s">
        <v>330</v>
      </c>
      <c r="AE255" s="11" t="s">
        <v>291</v>
      </c>
      <c r="AF255" s="11" t="s">
        <v>314</v>
      </c>
      <c r="AL255" s="200"/>
      <c r="AM255" s="200"/>
      <c r="AN255" s="200"/>
      <c r="AO255" s="200"/>
      <c r="AP255" s="200"/>
      <c r="AQ255" s="200"/>
      <c r="AR255" s="200"/>
      <c r="AU255" s="200"/>
      <c r="AV255" s="200"/>
      <c r="AW255" s="200"/>
      <c r="AX255" s="200"/>
      <c r="AY255" s="200"/>
      <c r="AZ255" s="200"/>
      <c r="BA255" s="204" t="s">
        <v>331</v>
      </c>
      <c r="BB255" s="11">
        <v>7.7000000000000002E-3</v>
      </c>
      <c r="BC255" s="11">
        <v>0</v>
      </c>
      <c r="BF255" s="11">
        <v>0</v>
      </c>
      <c r="BG255" s="11">
        <v>0</v>
      </c>
      <c r="BH255" s="11">
        <v>0</v>
      </c>
      <c r="CX255" s="207"/>
      <c r="DI255" s="207"/>
      <c r="DJ255" s="207"/>
      <c r="DP255" s="96"/>
      <c r="DQ255" s="195"/>
      <c r="DR255" s="57" t="str">
        <f t="shared" si="5"/>
        <v/>
      </c>
      <c r="DS255" s="195"/>
      <c r="DU255" s="1" t="s">
        <v>280</v>
      </c>
      <c r="DV255" s="200"/>
      <c r="DY255" s="200"/>
      <c r="DZ255" s="213"/>
      <c r="EA255" s="214"/>
      <c r="EB255" s="214"/>
      <c r="EC255" s="214"/>
      <c r="ED255" s="214"/>
    </row>
    <row r="256" spans="1:146" s="11" customFormat="1" ht="14.25" customHeight="1" x14ac:dyDescent="0.15">
      <c r="B256" s="188"/>
      <c r="C256" s="40"/>
      <c r="E256" s="189"/>
      <c r="F256" s="189"/>
      <c r="G256" s="189"/>
      <c r="AB256" s="194">
        <v>17050302</v>
      </c>
      <c r="AC256" s="11" t="s">
        <v>332</v>
      </c>
      <c r="AD256" s="11" t="s">
        <v>333</v>
      </c>
      <c r="AE256" s="11" t="s">
        <v>291</v>
      </c>
      <c r="AF256" s="11" t="s">
        <v>314</v>
      </c>
      <c r="AJ256" s="11">
        <v>-1</v>
      </c>
      <c r="AL256" s="200"/>
      <c r="AM256" s="215"/>
      <c r="AN256" s="215"/>
      <c r="AO256" s="215"/>
      <c r="AP256" s="215"/>
      <c r="AQ256" s="215"/>
      <c r="AR256" s="215"/>
      <c r="AU256" s="200"/>
      <c r="AV256" s="200"/>
      <c r="AW256" s="200"/>
      <c r="AX256" s="200"/>
      <c r="AY256" s="200"/>
      <c r="AZ256" s="200"/>
      <c r="BA256" s="204"/>
      <c r="DP256" s="96"/>
      <c r="DQ256" s="195"/>
      <c r="DR256" s="57" t="str">
        <f t="shared" si="5"/>
        <v/>
      </c>
      <c r="DS256" s="195"/>
      <c r="DU256" s="1" t="s">
        <v>280</v>
      </c>
      <c r="DV256" s="200"/>
      <c r="DY256" s="200"/>
      <c r="EA256" s="200"/>
      <c r="EB256" s="200"/>
      <c r="EC256" s="200"/>
      <c r="ED256" s="200"/>
    </row>
    <row r="257" spans="1:146" s="11" customFormat="1" ht="14.25" customHeight="1" x14ac:dyDescent="0.15">
      <c r="A257" s="11">
        <v>170582</v>
      </c>
      <c r="B257" s="188" t="s">
        <v>334</v>
      </c>
      <c r="C257" s="40" t="s">
        <v>335</v>
      </c>
      <c r="D257" s="11" t="s">
        <v>515</v>
      </c>
      <c r="E257" s="189">
        <v>170515</v>
      </c>
      <c r="F257" s="189"/>
      <c r="G257" s="189"/>
      <c r="H257" s="11">
        <v>0</v>
      </c>
      <c r="L257" s="11">
        <v>0</v>
      </c>
      <c r="P257" s="11" t="s">
        <v>268</v>
      </c>
      <c r="Q257" s="11" t="s">
        <v>269</v>
      </c>
      <c r="X257" s="11">
        <v>1</v>
      </c>
      <c r="Y257" s="11">
        <v>0</v>
      </c>
      <c r="Z257" s="11">
        <v>0</v>
      </c>
      <c r="AB257" s="194">
        <v>3001</v>
      </c>
      <c r="AC257" s="195" t="s">
        <v>337</v>
      </c>
      <c r="AE257" s="11" t="s">
        <v>129</v>
      </c>
      <c r="AF257" s="11" t="s">
        <v>314</v>
      </c>
      <c r="AL257" s="200"/>
      <c r="AM257" s="200"/>
      <c r="AN257" s="200"/>
      <c r="AO257" s="200"/>
      <c r="AP257" s="200"/>
      <c r="AQ257" s="200"/>
      <c r="AR257" s="200"/>
      <c r="AU257" s="200"/>
      <c r="AV257" s="200"/>
      <c r="AW257" s="200"/>
      <c r="AX257" s="200"/>
      <c r="AY257" s="200"/>
      <c r="AZ257" s="200"/>
      <c r="BA257" s="204" t="s">
        <v>270</v>
      </c>
      <c r="BB257" s="11">
        <v>500</v>
      </c>
      <c r="BC257" s="11">
        <v>0</v>
      </c>
      <c r="BF257" s="11">
        <v>0</v>
      </c>
      <c r="BG257" s="11">
        <v>0</v>
      </c>
      <c r="BH257" s="11">
        <v>0</v>
      </c>
      <c r="BJ257" s="11" t="s">
        <v>270</v>
      </c>
      <c r="BS257" s="11" t="s">
        <v>270</v>
      </c>
      <c r="CF257" s="11" t="s">
        <v>271</v>
      </c>
      <c r="CJ257" s="11" t="s">
        <v>3</v>
      </c>
      <c r="CK257" s="195" t="s">
        <v>443</v>
      </c>
      <c r="CL257" s="195"/>
      <c r="CM257" s="11">
        <v>999</v>
      </c>
      <c r="CN257" s="11">
        <v>0</v>
      </c>
      <c r="CO257" s="11">
        <v>0</v>
      </c>
      <c r="CP257" s="11">
        <v>0</v>
      </c>
      <c r="CQ257" s="11">
        <v>0</v>
      </c>
      <c r="CS257" s="11">
        <v>15</v>
      </c>
      <c r="CU257" s="11">
        <v>15</v>
      </c>
      <c r="CV257" s="11" t="s">
        <v>470</v>
      </c>
      <c r="CW257" s="11" t="b">
        <v>0</v>
      </c>
      <c r="CX257" s="11" t="s">
        <v>273</v>
      </c>
      <c r="DB257" s="11">
        <v>100300</v>
      </c>
      <c r="DC257" s="11" t="b">
        <v>1</v>
      </c>
      <c r="DD257" s="11" t="s">
        <v>274</v>
      </c>
      <c r="DE257" s="11" t="s">
        <v>340</v>
      </c>
      <c r="DF257" s="11" t="s">
        <v>276</v>
      </c>
      <c r="DG257" s="11" t="s">
        <v>277</v>
      </c>
      <c r="DH257" s="11">
        <v>4</v>
      </c>
      <c r="DI257" s="11" t="b">
        <v>0</v>
      </c>
      <c r="DP257" s="96" t="s">
        <v>471</v>
      </c>
      <c r="DQ257" s="195" t="s">
        <v>502</v>
      </c>
      <c r="DR257" s="57" t="e">
        <f t="shared" si="5"/>
        <v>#VALUE!</v>
      </c>
      <c r="DS257" s="195" t="s">
        <v>503</v>
      </c>
      <c r="DU257" s="1" t="s">
        <v>280</v>
      </c>
      <c r="DV257" s="200"/>
      <c r="DZ257" s="11">
        <v>1</v>
      </c>
      <c r="EA257" s="200">
        <v>-1</v>
      </c>
      <c r="EB257" s="200">
        <v>4.1666666666666699E-2</v>
      </c>
      <c r="EC257" s="200">
        <v>8.3333333333333301E-2</v>
      </c>
      <c r="ED257" s="200">
        <v>8.3333333333333301E-2</v>
      </c>
      <c r="EE257" s="11" t="s">
        <v>284</v>
      </c>
      <c r="EF257" s="11" t="s">
        <v>326</v>
      </c>
      <c r="EG257" s="11" t="e">
        <v>#VALUE!</v>
      </c>
      <c r="EH257" s="11" t="s">
        <v>285</v>
      </c>
      <c r="EI257" s="11" t="s">
        <v>344</v>
      </c>
      <c r="EJ257" s="11" t="e">
        <v>#VALUE!</v>
      </c>
      <c r="EK257" s="11" t="s">
        <v>286</v>
      </c>
      <c r="EL257" s="11" t="s">
        <v>345</v>
      </c>
      <c r="EM257" s="11" t="e">
        <v>#VALUE!</v>
      </c>
      <c r="EN257" s="11" t="s">
        <v>287</v>
      </c>
      <c r="EO257" s="11" t="s">
        <v>345</v>
      </c>
      <c r="EP257" s="11" t="e">
        <v>#VALUE!</v>
      </c>
    </row>
    <row r="258" spans="1:146" s="11" customFormat="1" ht="14.25" customHeight="1" x14ac:dyDescent="0.15">
      <c r="B258" s="190"/>
      <c r="C258" s="40"/>
      <c r="E258" s="189"/>
      <c r="F258" s="189"/>
      <c r="G258" s="189"/>
      <c r="AB258" s="194">
        <v>10240102</v>
      </c>
      <c r="AC258" s="11" t="s">
        <v>346</v>
      </c>
      <c r="AE258" s="11" t="s">
        <v>129</v>
      </c>
      <c r="AF258" s="11" t="s">
        <v>314</v>
      </c>
      <c r="AJ258" s="11">
        <v>3</v>
      </c>
      <c r="AL258" s="200"/>
      <c r="AM258" s="200"/>
      <c r="AN258" s="200"/>
      <c r="AO258" s="200"/>
      <c r="AP258" s="200"/>
      <c r="AQ258" s="200"/>
      <c r="AR258" s="200"/>
      <c r="AU258" s="200"/>
      <c r="AV258" s="200"/>
      <c r="AW258" s="200"/>
      <c r="AX258" s="200"/>
      <c r="AY258" s="200"/>
      <c r="AZ258" s="200"/>
      <c r="BA258" s="204"/>
      <c r="CK258" s="195"/>
      <c r="CL258" s="195"/>
      <c r="CX258" s="207"/>
      <c r="DI258" s="207"/>
      <c r="DJ258" s="207"/>
      <c r="DM258" s="197"/>
      <c r="DN258" s="197"/>
      <c r="DO258" s="197"/>
      <c r="DP258" s="94"/>
      <c r="DQ258" s="195"/>
      <c r="DR258" s="57" t="str">
        <f t="shared" si="5"/>
        <v/>
      </c>
      <c r="DS258" s="195"/>
      <c r="DT258" s="211"/>
      <c r="DU258" s="1" t="s">
        <v>280</v>
      </c>
      <c r="DV258" s="200"/>
      <c r="DY258" s="200"/>
      <c r="DZ258" s="213"/>
      <c r="EA258" s="214"/>
      <c r="EB258" s="214"/>
      <c r="EC258" s="214"/>
      <c r="ED258" s="214"/>
    </row>
    <row r="259" spans="1:146" s="11" customFormat="1" ht="14.25" customHeight="1" x14ac:dyDescent="0.15">
      <c r="A259" s="11">
        <v>170583</v>
      </c>
      <c r="B259" s="188" t="s">
        <v>456</v>
      </c>
      <c r="C259" s="40" t="s">
        <v>457</v>
      </c>
      <c r="D259" s="11" t="s">
        <v>515</v>
      </c>
      <c r="E259" s="189">
        <v>170516</v>
      </c>
      <c r="F259" s="189"/>
      <c r="G259" s="189"/>
      <c r="H259" s="11">
        <v>0</v>
      </c>
      <c r="L259" s="11">
        <v>0</v>
      </c>
      <c r="P259" s="11" t="s">
        <v>268</v>
      </c>
      <c r="Q259" s="11" t="s">
        <v>269</v>
      </c>
      <c r="X259" s="11">
        <v>1</v>
      </c>
      <c r="Y259" s="11">
        <v>0</v>
      </c>
      <c r="Z259" s="11">
        <v>0</v>
      </c>
      <c r="AB259" s="196">
        <v>3001</v>
      </c>
      <c r="AC259" s="197" t="s">
        <v>337</v>
      </c>
      <c r="AD259" s="11" t="s">
        <v>330</v>
      </c>
      <c r="AE259" s="197"/>
      <c r="AF259" s="197"/>
      <c r="AG259" s="197"/>
      <c r="AH259" s="197"/>
      <c r="AI259" s="197"/>
      <c r="AJ259" s="197"/>
      <c r="AK259" s="197"/>
      <c r="BA259" s="205" t="s">
        <v>270</v>
      </c>
      <c r="BB259" s="11">
        <v>500</v>
      </c>
      <c r="BC259" s="11">
        <v>0</v>
      </c>
      <c r="BF259" s="11">
        <v>0</v>
      </c>
      <c r="BG259" s="11">
        <v>0</v>
      </c>
      <c r="BH259" s="11">
        <v>0</v>
      </c>
      <c r="BJ259" s="11" t="s">
        <v>270</v>
      </c>
      <c r="BS259" s="11" t="s">
        <v>270</v>
      </c>
      <c r="CF259" s="11" t="s">
        <v>378</v>
      </c>
      <c r="CJ259" s="11" t="s">
        <v>1</v>
      </c>
      <c r="CK259" s="195" t="s">
        <v>379</v>
      </c>
      <c r="CL259" s="195"/>
      <c r="CM259" s="11">
        <v>999</v>
      </c>
      <c r="CN259" s="11">
        <v>0</v>
      </c>
      <c r="CO259" s="11">
        <v>0</v>
      </c>
      <c r="CP259" s="11">
        <v>0</v>
      </c>
      <c r="CQ259" s="11">
        <v>0</v>
      </c>
      <c r="CS259" s="11">
        <v>5</v>
      </c>
      <c r="CU259" s="11">
        <v>20</v>
      </c>
      <c r="CV259" s="11" t="s">
        <v>472</v>
      </c>
      <c r="CW259" s="11" t="b">
        <v>0</v>
      </c>
      <c r="CX259" s="11" t="s">
        <v>273</v>
      </c>
      <c r="DB259" s="11">
        <v>102401</v>
      </c>
      <c r="DC259" s="11" t="b">
        <v>1</v>
      </c>
      <c r="DD259" s="11" t="s">
        <v>274</v>
      </c>
      <c r="DE259" s="11" t="s">
        <v>380</v>
      </c>
      <c r="DF259" s="11" t="s">
        <v>276</v>
      </c>
      <c r="DG259" s="11" t="s">
        <v>293</v>
      </c>
      <c r="DH259" s="11">
        <v>4</v>
      </c>
      <c r="DI259" s="11" t="b">
        <v>0</v>
      </c>
      <c r="DP259" s="96" t="s">
        <v>473</v>
      </c>
      <c r="DQ259" s="11" t="s">
        <v>504</v>
      </c>
      <c r="DR259" s="57" t="e">
        <f t="shared" si="5"/>
        <v>#VALUE!</v>
      </c>
      <c r="DS259" s="11" t="s">
        <v>505</v>
      </c>
      <c r="DU259" s="1" t="s">
        <v>280</v>
      </c>
      <c r="DV259" s="200"/>
      <c r="DZ259" s="11">
        <v>1</v>
      </c>
      <c r="EA259" s="200">
        <v>-1</v>
      </c>
      <c r="EB259" s="200">
        <v>4.1666666666666699E-2</v>
      </c>
      <c r="EC259" s="200">
        <v>8.3333333333333301E-2</v>
      </c>
      <c r="ED259" s="200">
        <v>8.3333333333333301E-2</v>
      </c>
      <c r="EE259" s="11" t="s">
        <v>284</v>
      </c>
      <c r="EF259" s="11" t="s">
        <v>326</v>
      </c>
      <c r="EG259" s="11" t="e">
        <v>#VALUE!</v>
      </c>
      <c r="EH259" s="11" t="s">
        <v>285</v>
      </c>
      <c r="EI259" s="11" t="s">
        <v>344</v>
      </c>
      <c r="EJ259" s="11" t="e">
        <v>#VALUE!</v>
      </c>
      <c r="EK259" s="11" t="s">
        <v>286</v>
      </c>
      <c r="EL259" s="11" t="s">
        <v>328</v>
      </c>
      <c r="EM259" s="11" t="e">
        <v>#VALUE!</v>
      </c>
      <c r="EN259" s="11" t="s">
        <v>287</v>
      </c>
      <c r="EO259" s="11" t="s">
        <v>328</v>
      </c>
      <c r="EP259" s="11" t="e">
        <v>#VALUE!</v>
      </c>
    </row>
    <row r="260" spans="1:146" s="11" customFormat="1" ht="14.25" customHeight="1" x14ac:dyDescent="0.15">
      <c r="B260" s="188"/>
      <c r="C260" s="40"/>
      <c r="E260" s="189"/>
      <c r="F260" s="189"/>
      <c r="G260" s="189"/>
      <c r="AB260" s="196">
        <v>17050505</v>
      </c>
      <c r="AC260" s="197" t="s">
        <v>384</v>
      </c>
      <c r="AD260" s="11" t="s">
        <v>330</v>
      </c>
      <c r="AE260" s="197" t="s">
        <v>291</v>
      </c>
      <c r="AF260" s="197" t="s">
        <v>314</v>
      </c>
      <c r="AG260" s="197"/>
      <c r="AH260" s="197"/>
      <c r="AI260" s="197"/>
      <c r="AJ260" s="197"/>
      <c r="AK260" s="197"/>
      <c r="BA260" s="205"/>
      <c r="DP260" s="96"/>
      <c r="DR260" s="57" t="str">
        <f t="shared" si="5"/>
        <v/>
      </c>
      <c r="DU260" s="1" t="s">
        <v>280</v>
      </c>
      <c r="DV260" s="200"/>
      <c r="DY260" s="200"/>
      <c r="EA260" s="200"/>
      <c r="EB260" s="200"/>
      <c r="EC260" s="200"/>
      <c r="ED260" s="200"/>
    </row>
    <row r="261" spans="1:146" s="11" customFormat="1" ht="14.25" customHeight="1" x14ac:dyDescent="0.15">
      <c r="B261" s="188"/>
      <c r="C261" s="40"/>
      <c r="E261" s="189"/>
      <c r="F261" s="189"/>
      <c r="G261" s="189"/>
      <c r="AB261" s="194">
        <v>17050506</v>
      </c>
      <c r="AC261" s="11" t="s">
        <v>385</v>
      </c>
      <c r="AE261" s="11" t="s">
        <v>291</v>
      </c>
      <c r="AF261" s="11" t="s">
        <v>314</v>
      </c>
      <c r="AJ261" s="11">
        <v>8</v>
      </c>
      <c r="AL261" s="200"/>
      <c r="AM261" s="200"/>
      <c r="AN261" s="200"/>
      <c r="AO261" s="200"/>
      <c r="AP261" s="200"/>
      <c r="AQ261" s="200"/>
      <c r="AR261" s="200"/>
      <c r="AU261" s="200"/>
      <c r="AV261" s="200"/>
      <c r="AW261" s="200"/>
      <c r="AX261" s="200"/>
      <c r="AY261" s="200"/>
      <c r="AZ261" s="200"/>
      <c r="BA261" s="204"/>
      <c r="CK261" s="195"/>
      <c r="CL261" s="195"/>
      <c r="CX261" s="207"/>
      <c r="DD261" s="194"/>
      <c r="DE261" s="197"/>
      <c r="DF261" s="194"/>
      <c r="DG261" s="194"/>
      <c r="DH261" s="194"/>
      <c r="DI261" s="194"/>
      <c r="DJ261" s="194"/>
      <c r="DP261" s="96"/>
      <c r="DQ261" s="198"/>
      <c r="DR261" s="57" t="str">
        <f t="shared" si="5"/>
        <v/>
      </c>
      <c r="DS261" s="198"/>
      <c r="DT261" s="212"/>
      <c r="DU261" s="1" t="s">
        <v>280</v>
      </c>
      <c r="DV261" s="200"/>
      <c r="DY261" s="200"/>
      <c r="DZ261" s="213"/>
      <c r="EA261" s="214"/>
      <c r="EB261" s="214"/>
      <c r="EC261" s="214"/>
      <c r="ED261" s="214"/>
    </row>
    <row r="262" spans="1:146" s="11" customFormat="1" ht="14.25" customHeight="1" x14ac:dyDescent="0.15">
      <c r="B262" s="188"/>
      <c r="C262" s="40"/>
      <c r="E262" s="189"/>
      <c r="F262" s="189"/>
      <c r="G262" s="189"/>
      <c r="AB262" s="198">
        <v>17050507</v>
      </c>
      <c r="AC262" s="197" t="s">
        <v>386</v>
      </c>
      <c r="AD262" s="11" t="s">
        <v>330</v>
      </c>
      <c r="AE262" s="11" t="s">
        <v>291</v>
      </c>
      <c r="AF262" s="11" t="s">
        <v>314</v>
      </c>
      <c r="AJ262" s="197"/>
      <c r="AK262" s="197"/>
      <c r="BA262" s="206"/>
      <c r="DP262" s="96"/>
      <c r="DR262" s="57" t="str">
        <f t="shared" si="5"/>
        <v/>
      </c>
      <c r="DU262" s="1" t="s">
        <v>280</v>
      </c>
      <c r="DV262" s="200"/>
      <c r="DY262" s="200"/>
      <c r="EA262" s="200"/>
      <c r="EB262" s="200"/>
      <c r="EC262" s="200"/>
      <c r="ED262" s="200"/>
    </row>
    <row r="263" spans="1:146" s="11" customFormat="1" ht="14.25" customHeight="1" x14ac:dyDescent="0.15">
      <c r="A263" s="11">
        <v>170584</v>
      </c>
      <c r="B263" s="188" t="s">
        <v>462</v>
      </c>
      <c r="C263" s="40" t="s">
        <v>463</v>
      </c>
      <c r="D263" s="11" t="s">
        <v>515</v>
      </c>
      <c r="E263" s="189">
        <v>170517</v>
      </c>
      <c r="F263" s="189"/>
      <c r="G263" s="189"/>
      <c r="H263" s="11">
        <v>0</v>
      </c>
      <c r="L263" s="11">
        <v>0</v>
      </c>
      <c r="P263" s="11" t="s">
        <v>268</v>
      </c>
      <c r="Q263" s="11" t="s">
        <v>269</v>
      </c>
      <c r="X263" s="11">
        <v>1</v>
      </c>
      <c r="Y263" s="11">
        <v>0</v>
      </c>
      <c r="Z263" s="11">
        <v>0</v>
      </c>
      <c r="AB263" s="194">
        <v>3001</v>
      </c>
      <c r="AC263" s="195"/>
      <c r="AL263" s="200"/>
      <c r="AM263" s="200"/>
      <c r="AN263" s="200"/>
      <c r="AO263" s="200"/>
      <c r="AP263" s="200"/>
      <c r="AQ263" s="200"/>
      <c r="AR263" s="200"/>
      <c r="AU263" s="200"/>
      <c r="AV263" s="200"/>
      <c r="AW263" s="200"/>
      <c r="AX263" s="200"/>
      <c r="AY263" s="200"/>
      <c r="AZ263" s="200"/>
      <c r="BA263" s="204" t="s">
        <v>270</v>
      </c>
      <c r="BB263" s="11">
        <v>500</v>
      </c>
      <c r="BC263" s="11">
        <v>0</v>
      </c>
      <c r="BF263" s="11">
        <v>0</v>
      </c>
      <c r="BG263" s="11">
        <v>0</v>
      </c>
      <c r="BH263" s="11">
        <v>0</v>
      </c>
      <c r="BJ263" s="11" t="s">
        <v>270</v>
      </c>
      <c r="BS263" s="11" t="s">
        <v>270</v>
      </c>
      <c r="CF263" s="11" t="s">
        <v>271</v>
      </c>
      <c r="CJ263" s="11" t="s">
        <v>1</v>
      </c>
      <c r="CK263" s="195" t="s">
        <v>464</v>
      </c>
      <c r="CL263" s="195"/>
      <c r="CM263" s="11">
        <v>999</v>
      </c>
      <c r="CN263" s="11">
        <v>0</v>
      </c>
      <c r="CO263" s="11">
        <v>0</v>
      </c>
      <c r="CP263" s="11">
        <v>0</v>
      </c>
      <c r="CQ263" s="11">
        <v>0</v>
      </c>
      <c r="CS263" s="11">
        <v>20</v>
      </c>
      <c r="CT263" s="11">
        <v>10</v>
      </c>
      <c r="CU263" s="11">
        <v>24</v>
      </c>
      <c r="CV263" s="11" t="s">
        <v>474</v>
      </c>
      <c r="CW263" s="11" t="b">
        <v>1</v>
      </c>
      <c r="CX263" s="11" t="s">
        <v>273</v>
      </c>
      <c r="DB263" s="11">
        <v>170501</v>
      </c>
      <c r="DC263" s="11" t="b">
        <v>1</v>
      </c>
      <c r="DD263" s="11" t="s">
        <v>274</v>
      </c>
      <c r="DE263" s="11" t="s">
        <v>495</v>
      </c>
      <c r="DF263" s="11" t="s">
        <v>276</v>
      </c>
      <c r="DG263" s="11" t="s">
        <v>322</v>
      </c>
      <c r="DH263" s="11">
        <v>4</v>
      </c>
      <c r="DI263" s="11" t="b">
        <v>0</v>
      </c>
      <c r="DP263" s="96" t="s">
        <v>475</v>
      </c>
      <c r="DQ263" s="195" t="s">
        <v>506</v>
      </c>
      <c r="DR263" s="57" t="e">
        <f t="shared" si="5"/>
        <v>#VALUE!</v>
      </c>
      <c r="DS263" s="195" t="s">
        <v>507</v>
      </c>
      <c r="DU263" s="1" t="s">
        <v>280</v>
      </c>
      <c r="DV263" s="200"/>
      <c r="DZ263" s="11">
        <v>1</v>
      </c>
      <c r="EA263" s="200">
        <v>-1</v>
      </c>
      <c r="EB263" s="200">
        <v>4.1666666666666699E-2</v>
      </c>
      <c r="EC263" s="200">
        <v>8.3333333333333301E-2</v>
      </c>
      <c r="ED263" s="200">
        <v>8.3333333333333301E-2</v>
      </c>
      <c r="EE263" s="11" t="s">
        <v>284</v>
      </c>
      <c r="EF263" s="11" t="s">
        <v>326</v>
      </c>
      <c r="EG263" s="11" t="e">
        <v>#VALUE!</v>
      </c>
      <c r="EH263" s="11" t="s">
        <v>285</v>
      </c>
      <c r="EI263" s="11" t="s">
        <v>327</v>
      </c>
      <c r="EJ263" s="11" t="e">
        <v>#VALUE!</v>
      </c>
      <c r="EK263" s="11" t="s">
        <v>286</v>
      </c>
      <c r="EL263" s="11" t="s">
        <v>328</v>
      </c>
      <c r="EM263" s="11" t="e">
        <v>#VALUE!</v>
      </c>
      <c r="EN263" s="11" t="s">
        <v>287</v>
      </c>
      <c r="EO263" s="11" t="s">
        <v>328</v>
      </c>
      <c r="EP263" s="11" t="e">
        <v>#VALUE!</v>
      </c>
    </row>
    <row r="264" spans="1:146" s="11" customFormat="1" ht="14.25" customHeight="1" x14ac:dyDescent="0.15">
      <c r="B264" s="188"/>
      <c r="C264" s="40"/>
      <c r="E264" s="189"/>
      <c r="F264" s="189"/>
      <c r="G264" s="189"/>
      <c r="AB264" s="194">
        <v>17050301</v>
      </c>
      <c r="AC264" s="11" t="s">
        <v>329</v>
      </c>
      <c r="AD264" s="11" t="s">
        <v>330</v>
      </c>
      <c r="AE264" s="11" t="s">
        <v>291</v>
      </c>
      <c r="AF264" s="11" t="s">
        <v>314</v>
      </c>
      <c r="AL264" s="200"/>
      <c r="AM264" s="200"/>
      <c r="AN264" s="200"/>
      <c r="AO264" s="200"/>
      <c r="AP264" s="200"/>
      <c r="AQ264" s="200"/>
      <c r="AR264" s="200"/>
      <c r="AU264" s="200"/>
      <c r="AV264" s="200"/>
      <c r="AW264" s="200"/>
      <c r="AX264" s="200"/>
      <c r="AY264" s="200"/>
      <c r="AZ264" s="200"/>
      <c r="BA264" s="204" t="s">
        <v>331</v>
      </c>
      <c r="BB264" s="11">
        <v>7.7000000000000002E-3</v>
      </c>
      <c r="BC264" s="11">
        <v>0</v>
      </c>
      <c r="BF264" s="11">
        <v>0</v>
      </c>
      <c r="BG264" s="11">
        <v>0</v>
      </c>
      <c r="BH264" s="11">
        <v>0</v>
      </c>
      <c r="CX264" s="207"/>
      <c r="DI264" s="207"/>
      <c r="DJ264" s="207"/>
      <c r="DP264" s="96"/>
      <c r="DQ264" s="195"/>
      <c r="DR264" s="57" t="str">
        <f t="shared" si="5"/>
        <v/>
      </c>
      <c r="DS264" s="195"/>
      <c r="DU264" s="1" t="s">
        <v>280</v>
      </c>
      <c r="DV264" s="200"/>
      <c r="DY264" s="200"/>
      <c r="DZ264" s="213"/>
      <c r="EA264" s="214"/>
      <c r="EB264" s="214"/>
      <c r="EC264" s="214"/>
      <c r="ED264" s="214"/>
    </row>
    <row r="265" spans="1:146" s="11" customFormat="1" ht="14.25" customHeight="1" x14ac:dyDescent="0.15">
      <c r="B265" s="188"/>
      <c r="C265" s="40"/>
      <c r="E265" s="189"/>
      <c r="F265" s="189"/>
      <c r="G265" s="189"/>
      <c r="AB265" s="194">
        <v>17050302</v>
      </c>
      <c r="AC265" s="11" t="s">
        <v>332</v>
      </c>
      <c r="AD265" s="11" t="s">
        <v>333</v>
      </c>
      <c r="AE265" s="11" t="s">
        <v>291</v>
      </c>
      <c r="AF265" s="11" t="s">
        <v>314</v>
      </c>
      <c r="AJ265" s="11">
        <v>-1</v>
      </c>
      <c r="AL265" s="200"/>
      <c r="AM265" s="215"/>
      <c r="AN265" s="215"/>
      <c r="AO265" s="215"/>
      <c r="AP265" s="215"/>
      <c r="AQ265" s="215"/>
      <c r="AR265" s="215"/>
      <c r="AU265" s="200"/>
      <c r="AV265" s="200"/>
      <c r="AW265" s="200"/>
      <c r="AX265" s="200"/>
      <c r="AY265" s="200"/>
      <c r="AZ265" s="200"/>
      <c r="BA265" s="204"/>
      <c r="DP265" s="96"/>
      <c r="DQ265" s="195"/>
      <c r="DR265" s="57" t="str">
        <f t="shared" si="5"/>
        <v/>
      </c>
      <c r="DS265" s="195"/>
      <c r="DU265" s="1" t="s">
        <v>280</v>
      </c>
      <c r="DV265" s="200"/>
      <c r="DY265" s="200"/>
      <c r="EA265" s="200"/>
      <c r="EB265" s="200"/>
      <c r="EC265" s="200"/>
      <c r="ED265" s="200"/>
    </row>
    <row r="266" spans="1:146" s="11" customFormat="1" ht="14.25" customHeight="1" x14ac:dyDescent="0.15">
      <c r="A266" s="11">
        <v>170585</v>
      </c>
      <c r="B266" s="188" t="s">
        <v>334</v>
      </c>
      <c r="C266" s="40" t="s">
        <v>335</v>
      </c>
      <c r="D266" s="11" t="s">
        <v>516</v>
      </c>
      <c r="E266" s="189">
        <v>170515</v>
      </c>
      <c r="F266" s="189"/>
      <c r="G266" s="189"/>
      <c r="H266" s="11">
        <v>0</v>
      </c>
      <c r="L266" s="11">
        <v>0</v>
      </c>
      <c r="P266" s="11" t="s">
        <v>268</v>
      </c>
      <c r="Q266" s="11" t="s">
        <v>269</v>
      </c>
      <c r="X266" s="11">
        <v>1</v>
      </c>
      <c r="Y266" s="11">
        <v>0</v>
      </c>
      <c r="Z266" s="11">
        <v>0</v>
      </c>
      <c r="AB266" s="194">
        <v>3001</v>
      </c>
      <c r="AC266" s="195" t="s">
        <v>337</v>
      </c>
      <c r="AE266" s="11" t="s">
        <v>129</v>
      </c>
      <c r="AF266" s="11" t="s">
        <v>314</v>
      </c>
      <c r="AL266" s="200"/>
      <c r="AM266" s="200"/>
      <c r="AN266" s="200"/>
      <c r="AO266" s="200"/>
      <c r="AP266" s="200"/>
      <c r="AQ266" s="200"/>
      <c r="AR266" s="200"/>
      <c r="AU266" s="200"/>
      <c r="AV266" s="200"/>
      <c r="AW266" s="200"/>
      <c r="AX266" s="200"/>
      <c r="AY266" s="200"/>
      <c r="AZ266" s="200"/>
      <c r="BA266" s="204" t="s">
        <v>270</v>
      </c>
      <c r="BB266" s="11">
        <v>500</v>
      </c>
      <c r="BC266" s="11">
        <v>0</v>
      </c>
      <c r="BF266" s="11">
        <v>0</v>
      </c>
      <c r="BG266" s="11">
        <v>0</v>
      </c>
      <c r="BH266" s="11">
        <v>0</v>
      </c>
      <c r="BJ266" s="11" t="s">
        <v>270</v>
      </c>
      <c r="BS266" s="11" t="s">
        <v>270</v>
      </c>
      <c r="CF266" s="11" t="s">
        <v>271</v>
      </c>
      <c r="CJ266" s="11" t="s">
        <v>3</v>
      </c>
      <c r="CK266" s="195" t="s">
        <v>443</v>
      </c>
      <c r="CL266" s="195"/>
      <c r="CM266" s="11">
        <v>999</v>
      </c>
      <c r="CN266" s="11">
        <v>0</v>
      </c>
      <c r="CO266" s="11">
        <v>0</v>
      </c>
      <c r="CP266" s="11">
        <v>0</v>
      </c>
      <c r="CQ266" s="11">
        <v>0</v>
      </c>
      <c r="CS266" s="11">
        <v>15</v>
      </c>
      <c r="CU266" s="11">
        <v>15</v>
      </c>
      <c r="CV266" s="11" t="s">
        <v>470</v>
      </c>
      <c r="CW266" s="11" t="b">
        <v>0</v>
      </c>
      <c r="CX266" s="11" t="s">
        <v>273</v>
      </c>
      <c r="DB266" s="11">
        <v>100300</v>
      </c>
      <c r="DC266" s="11" t="b">
        <v>1</v>
      </c>
      <c r="DD266" s="11" t="s">
        <v>274</v>
      </c>
      <c r="DE266" s="11" t="s">
        <v>340</v>
      </c>
      <c r="DF266" s="11" t="s">
        <v>276</v>
      </c>
      <c r="DG266" s="11" t="s">
        <v>277</v>
      </c>
      <c r="DH266" s="11">
        <v>4</v>
      </c>
      <c r="DI266" s="11" t="b">
        <v>0</v>
      </c>
      <c r="DP266" s="96" t="s">
        <v>471</v>
      </c>
      <c r="DQ266" s="195" t="s">
        <v>502</v>
      </c>
      <c r="DR266" s="57" t="e">
        <f t="shared" si="5"/>
        <v>#VALUE!</v>
      </c>
      <c r="DS266" s="195" t="s">
        <v>503</v>
      </c>
      <c r="DU266" s="1" t="s">
        <v>280</v>
      </c>
      <c r="DV266" s="200"/>
      <c r="DZ266" s="11">
        <v>1</v>
      </c>
      <c r="EA266" s="200">
        <v>-1</v>
      </c>
      <c r="EB266" s="200">
        <v>4.1666666666666699E-2</v>
      </c>
      <c r="EC266" s="200">
        <v>8.3333333333333301E-2</v>
      </c>
      <c r="ED266" s="200">
        <v>8.3333333333333301E-2</v>
      </c>
      <c r="EE266" s="11" t="s">
        <v>284</v>
      </c>
      <c r="EF266" s="11" t="s">
        <v>326</v>
      </c>
      <c r="EG266" s="11" t="e">
        <v>#VALUE!</v>
      </c>
      <c r="EH266" s="11" t="s">
        <v>285</v>
      </c>
      <c r="EI266" s="11" t="s">
        <v>344</v>
      </c>
      <c r="EJ266" s="11" t="e">
        <v>#VALUE!</v>
      </c>
      <c r="EK266" s="11" t="s">
        <v>286</v>
      </c>
      <c r="EL266" s="11" t="s">
        <v>345</v>
      </c>
      <c r="EM266" s="11" t="e">
        <v>#VALUE!</v>
      </c>
      <c r="EN266" s="11" t="s">
        <v>287</v>
      </c>
      <c r="EO266" s="11" t="s">
        <v>345</v>
      </c>
      <c r="EP266" s="11" t="e">
        <v>#VALUE!</v>
      </c>
    </row>
    <row r="267" spans="1:146" s="11" customFormat="1" ht="14.25" customHeight="1" x14ac:dyDescent="0.15">
      <c r="B267" s="190"/>
      <c r="C267" s="40"/>
      <c r="E267" s="189"/>
      <c r="F267" s="189"/>
      <c r="G267" s="189"/>
      <c r="AB267" s="194">
        <v>10240102</v>
      </c>
      <c r="AC267" s="11" t="s">
        <v>346</v>
      </c>
      <c r="AE267" s="11" t="s">
        <v>129</v>
      </c>
      <c r="AF267" s="11" t="s">
        <v>314</v>
      </c>
      <c r="AJ267" s="11">
        <v>3</v>
      </c>
      <c r="AL267" s="200"/>
      <c r="AM267" s="200"/>
      <c r="AN267" s="200"/>
      <c r="AO267" s="200"/>
      <c r="AP267" s="200"/>
      <c r="AQ267" s="200"/>
      <c r="AR267" s="200"/>
      <c r="AU267" s="200"/>
      <c r="AV267" s="200"/>
      <c r="AW267" s="200"/>
      <c r="AX267" s="200"/>
      <c r="AY267" s="200"/>
      <c r="AZ267" s="200"/>
      <c r="BA267" s="204"/>
      <c r="CK267" s="195"/>
      <c r="CL267" s="195"/>
      <c r="CX267" s="207"/>
      <c r="DI267" s="207"/>
      <c r="DJ267" s="207"/>
      <c r="DM267" s="197"/>
      <c r="DN267" s="197"/>
      <c r="DO267" s="197"/>
      <c r="DP267" s="94"/>
      <c r="DQ267" s="195"/>
      <c r="DR267" s="57" t="str">
        <f t="shared" si="5"/>
        <v/>
      </c>
      <c r="DS267" s="195"/>
      <c r="DT267" s="211"/>
      <c r="DU267" s="1" t="s">
        <v>280</v>
      </c>
      <c r="DV267" s="200"/>
      <c r="DY267" s="200"/>
      <c r="DZ267" s="213"/>
      <c r="EA267" s="214"/>
      <c r="EB267" s="214"/>
      <c r="EC267" s="214"/>
      <c r="ED267" s="214"/>
    </row>
    <row r="268" spans="1:146" s="11" customFormat="1" ht="14.25" customHeight="1" x14ac:dyDescent="0.15">
      <c r="A268" s="11">
        <v>170586</v>
      </c>
      <c r="B268" s="188" t="s">
        <v>456</v>
      </c>
      <c r="C268" s="40" t="s">
        <v>457</v>
      </c>
      <c r="D268" s="11" t="s">
        <v>516</v>
      </c>
      <c r="E268" s="189">
        <v>170516</v>
      </c>
      <c r="F268" s="189"/>
      <c r="G268" s="189"/>
      <c r="H268" s="11">
        <v>0</v>
      </c>
      <c r="L268" s="11">
        <v>0</v>
      </c>
      <c r="P268" s="11" t="s">
        <v>268</v>
      </c>
      <c r="Q268" s="11" t="s">
        <v>269</v>
      </c>
      <c r="X268" s="11">
        <v>1</v>
      </c>
      <c r="Y268" s="11">
        <v>0</v>
      </c>
      <c r="Z268" s="11">
        <v>0</v>
      </c>
      <c r="AB268" s="196">
        <v>3001</v>
      </c>
      <c r="AC268" s="197" t="s">
        <v>337</v>
      </c>
      <c r="AD268" s="11" t="s">
        <v>330</v>
      </c>
      <c r="AE268" s="197"/>
      <c r="AF268" s="197"/>
      <c r="AG268" s="197"/>
      <c r="AH268" s="197"/>
      <c r="AI268" s="197"/>
      <c r="AJ268" s="197"/>
      <c r="AK268" s="197"/>
      <c r="BA268" s="205" t="s">
        <v>270</v>
      </c>
      <c r="BB268" s="11">
        <v>500</v>
      </c>
      <c r="BC268" s="11">
        <v>0</v>
      </c>
      <c r="BF268" s="11">
        <v>0</v>
      </c>
      <c r="BG268" s="11">
        <v>0</v>
      </c>
      <c r="BH268" s="11">
        <v>0</v>
      </c>
      <c r="BJ268" s="11" t="s">
        <v>270</v>
      </c>
      <c r="BS268" s="11" t="s">
        <v>270</v>
      </c>
      <c r="CF268" s="11" t="s">
        <v>378</v>
      </c>
      <c r="CJ268" s="11" t="s">
        <v>1</v>
      </c>
      <c r="CK268" s="195" t="s">
        <v>379</v>
      </c>
      <c r="CL268" s="195"/>
      <c r="CM268" s="11">
        <v>999</v>
      </c>
      <c r="CN268" s="11">
        <v>0</v>
      </c>
      <c r="CO268" s="11">
        <v>0</v>
      </c>
      <c r="CP268" s="11">
        <v>0</v>
      </c>
      <c r="CQ268" s="11">
        <v>0</v>
      </c>
      <c r="CS268" s="11">
        <v>5</v>
      </c>
      <c r="CU268" s="11">
        <v>20</v>
      </c>
      <c r="CV268" s="11" t="s">
        <v>472</v>
      </c>
      <c r="CW268" s="11" t="b">
        <v>0</v>
      </c>
      <c r="CX268" s="11" t="s">
        <v>273</v>
      </c>
      <c r="DB268" s="11">
        <v>102401</v>
      </c>
      <c r="DC268" s="11" t="b">
        <v>1</v>
      </c>
      <c r="DD268" s="11" t="s">
        <v>274</v>
      </c>
      <c r="DE268" s="11" t="s">
        <v>380</v>
      </c>
      <c r="DF268" s="11" t="s">
        <v>276</v>
      </c>
      <c r="DG268" s="11" t="s">
        <v>293</v>
      </c>
      <c r="DH268" s="11">
        <v>4</v>
      </c>
      <c r="DI268" s="11" t="b">
        <v>0</v>
      </c>
      <c r="DP268" s="96" t="s">
        <v>473</v>
      </c>
      <c r="DQ268" s="11" t="s">
        <v>504</v>
      </c>
      <c r="DR268" s="57" t="e">
        <f t="shared" si="5"/>
        <v>#VALUE!</v>
      </c>
      <c r="DS268" s="11" t="s">
        <v>505</v>
      </c>
      <c r="DU268" s="1" t="s">
        <v>280</v>
      </c>
      <c r="DV268" s="200"/>
      <c r="DZ268" s="11">
        <v>1</v>
      </c>
      <c r="EA268" s="200">
        <v>-1</v>
      </c>
      <c r="EB268" s="200">
        <v>4.1666666666666699E-2</v>
      </c>
      <c r="EC268" s="200">
        <v>8.3333333333333301E-2</v>
      </c>
      <c r="ED268" s="200">
        <v>8.3333333333333301E-2</v>
      </c>
      <c r="EE268" s="11" t="s">
        <v>284</v>
      </c>
      <c r="EF268" s="11" t="s">
        <v>326</v>
      </c>
      <c r="EG268" s="11" t="e">
        <v>#VALUE!</v>
      </c>
      <c r="EH268" s="11" t="s">
        <v>285</v>
      </c>
      <c r="EI268" s="11" t="s">
        <v>344</v>
      </c>
      <c r="EJ268" s="11" t="e">
        <v>#VALUE!</v>
      </c>
      <c r="EK268" s="11" t="s">
        <v>286</v>
      </c>
      <c r="EL268" s="11" t="s">
        <v>328</v>
      </c>
      <c r="EM268" s="11" t="e">
        <v>#VALUE!</v>
      </c>
      <c r="EN268" s="11" t="s">
        <v>287</v>
      </c>
      <c r="EO268" s="11" t="s">
        <v>328</v>
      </c>
      <c r="EP268" s="11" t="e">
        <v>#VALUE!</v>
      </c>
    </row>
    <row r="269" spans="1:146" s="11" customFormat="1" ht="14.25" customHeight="1" x14ac:dyDescent="0.15">
      <c r="B269" s="188"/>
      <c r="C269" s="40"/>
      <c r="E269" s="189"/>
      <c r="F269" s="189"/>
      <c r="G269" s="189"/>
      <c r="AB269" s="196">
        <v>17050505</v>
      </c>
      <c r="AC269" s="197" t="s">
        <v>384</v>
      </c>
      <c r="AD269" s="11" t="s">
        <v>330</v>
      </c>
      <c r="AE269" s="197" t="s">
        <v>291</v>
      </c>
      <c r="AF269" s="197" t="s">
        <v>314</v>
      </c>
      <c r="AG269" s="197"/>
      <c r="AH269" s="197"/>
      <c r="AI269" s="197"/>
      <c r="AJ269" s="197"/>
      <c r="AK269" s="197"/>
      <c r="BA269" s="205"/>
      <c r="DP269" s="96"/>
      <c r="DR269" s="57" t="str">
        <f t="shared" si="5"/>
        <v/>
      </c>
      <c r="DU269" s="1" t="s">
        <v>280</v>
      </c>
      <c r="DV269" s="200"/>
      <c r="DY269" s="200"/>
      <c r="EA269" s="200"/>
      <c r="EB269" s="200"/>
      <c r="EC269" s="200"/>
      <c r="ED269" s="200"/>
    </row>
    <row r="270" spans="1:146" s="11" customFormat="1" ht="14.25" customHeight="1" x14ac:dyDescent="0.15">
      <c r="B270" s="188"/>
      <c r="C270" s="40"/>
      <c r="E270" s="189"/>
      <c r="F270" s="189"/>
      <c r="G270" s="189"/>
      <c r="AB270" s="194">
        <v>17050506</v>
      </c>
      <c r="AC270" s="11" t="s">
        <v>385</v>
      </c>
      <c r="AE270" s="11" t="s">
        <v>291</v>
      </c>
      <c r="AF270" s="11" t="s">
        <v>314</v>
      </c>
      <c r="AJ270" s="11">
        <v>8</v>
      </c>
      <c r="AL270" s="200"/>
      <c r="AM270" s="200"/>
      <c r="AN270" s="200"/>
      <c r="AO270" s="200"/>
      <c r="AP270" s="200"/>
      <c r="AQ270" s="200"/>
      <c r="AR270" s="200"/>
      <c r="AU270" s="200"/>
      <c r="AV270" s="200"/>
      <c r="AW270" s="200"/>
      <c r="AX270" s="200"/>
      <c r="AY270" s="200"/>
      <c r="AZ270" s="200"/>
      <c r="BA270" s="204"/>
      <c r="CK270" s="195"/>
      <c r="CL270" s="195"/>
      <c r="CX270" s="207"/>
      <c r="DD270" s="194"/>
      <c r="DE270" s="197"/>
      <c r="DF270" s="194"/>
      <c r="DG270" s="194"/>
      <c r="DH270" s="194"/>
      <c r="DI270" s="194"/>
      <c r="DJ270" s="194"/>
      <c r="DP270" s="96"/>
      <c r="DQ270" s="198"/>
      <c r="DR270" s="57" t="str">
        <f t="shared" si="5"/>
        <v/>
      </c>
      <c r="DS270" s="198"/>
      <c r="DT270" s="212"/>
      <c r="DU270" s="1" t="s">
        <v>280</v>
      </c>
      <c r="DV270" s="200"/>
      <c r="DY270" s="200"/>
      <c r="DZ270" s="213"/>
      <c r="EA270" s="214"/>
      <c r="EB270" s="214"/>
      <c r="EC270" s="214"/>
      <c r="ED270" s="214"/>
    </row>
    <row r="271" spans="1:146" s="11" customFormat="1" ht="14.25" customHeight="1" x14ac:dyDescent="0.15">
      <c r="B271" s="188"/>
      <c r="C271" s="40"/>
      <c r="E271" s="189"/>
      <c r="F271" s="189"/>
      <c r="G271" s="189"/>
      <c r="AB271" s="198">
        <v>17050507</v>
      </c>
      <c r="AC271" s="197" t="s">
        <v>386</v>
      </c>
      <c r="AD271" s="11" t="s">
        <v>330</v>
      </c>
      <c r="AE271" s="11" t="s">
        <v>291</v>
      </c>
      <c r="AF271" s="11" t="s">
        <v>314</v>
      </c>
      <c r="AJ271" s="197"/>
      <c r="AK271" s="197"/>
      <c r="BA271" s="206"/>
      <c r="DP271" s="96"/>
      <c r="DR271" s="57" t="str">
        <f t="shared" si="5"/>
        <v/>
      </c>
      <c r="DU271" s="1" t="s">
        <v>280</v>
      </c>
      <c r="DV271" s="200"/>
      <c r="DY271" s="200"/>
      <c r="EA271" s="200"/>
      <c r="EB271" s="200"/>
      <c r="EC271" s="200"/>
      <c r="ED271" s="200"/>
    </row>
    <row r="272" spans="1:146" s="11" customFormat="1" ht="14.25" customHeight="1" x14ac:dyDescent="0.15">
      <c r="A272" s="11">
        <v>170587</v>
      </c>
      <c r="B272" s="188" t="s">
        <v>462</v>
      </c>
      <c r="C272" s="40" t="s">
        <v>463</v>
      </c>
      <c r="D272" s="11" t="s">
        <v>516</v>
      </c>
      <c r="E272" s="189">
        <v>170517</v>
      </c>
      <c r="F272" s="189"/>
      <c r="G272" s="189"/>
      <c r="H272" s="11">
        <v>0</v>
      </c>
      <c r="L272" s="11">
        <v>0</v>
      </c>
      <c r="P272" s="11" t="s">
        <v>268</v>
      </c>
      <c r="Q272" s="11" t="s">
        <v>269</v>
      </c>
      <c r="X272" s="11">
        <v>1</v>
      </c>
      <c r="Y272" s="11">
        <v>0</v>
      </c>
      <c r="Z272" s="11">
        <v>0</v>
      </c>
      <c r="AB272" s="194">
        <v>3001</v>
      </c>
      <c r="AC272" s="195"/>
      <c r="AL272" s="200"/>
      <c r="AM272" s="200"/>
      <c r="AN272" s="200"/>
      <c r="AO272" s="200"/>
      <c r="AP272" s="200"/>
      <c r="AQ272" s="200"/>
      <c r="AR272" s="200"/>
      <c r="AU272" s="200"/>
      <c r="AV272" s="200"/>
      <c r="AW272" s="200"/>
      <c r="AX272" s="200"/>
      <c r="AY272" s="200"/>
      <c r="AZ272" s="200"/>
      <c r="BA272" s="204" t="s">
        <v>270</v>
      </c>
      <c r="BB272" s="11">
        <v>500</v>
      </c>
      <c r="BC272" s="11">
        <v>0</v>
      </c>
      <c r="BF272" s="11">
        <v>0</v>
      </c>
      <c r="BG272" s="11">
        <v>0</v>
      </c>
      <c r="BH272" s="11">
        <v>0</v>
      </c>
      <c r="BJ272" s="11" t="s">
        <v>270</v>
      </c>
      <c r="BS272" s="11" t="s">
        <v>270</v>
      </c>
      <c r="CF272" s="11" t="s">
        <v>271</v>
      </c>
      <c r="CJ272" s="11" t="s">
        <v>1</v>
      </c>
      <c r="CK272" s="195" t="s">
        <v>464</v>
      </c>
      <c r="CL272" s="195"/>
      <c r="CM272" s="11">
        <v>999</v>
      </c>
      <c r="CN272" s="11">
        <v>0</v>
      </c>
      <c r="CO272" s="11">
        <v>0</v>
      </c>
      <c r="CP272" s="11">
        <v>0</v>
      </c>
      <c r="CQ272" s="11">
        <v>0</v>
      </c>
      <c r="CS272" s="11">
        <v>20</v>
      </c>
      <c r="CT272" s="11">
        <v>10</v>
      </c>
      <c r="CU272" s="11">
        <v>24</v>
      </c>
      <c r="CV272" s="11" t="s">
        <v>474</v>
      </c>
      <c r="CW272" s="11" t="b">
        <v>1</v>
      </c>
      <c r="CX272" s="11" t="s">
        <v>273</v>
      </c>
      <c r="DB272" s="11">
        <v>170501</v>
      </c>
      <c r="DC272" s="11" t="b">
        <v>1</v>
      </c>
      <c r="DD272" s="11" t="s">
        <v>274</v>
      </c>
      <c r="DE272" s="11" t="s">
        <v>495</v>
      </c>
      <c r="DF272" s="11" t="s">
        <v>276</v>
      </c>
      <c r="DG272" s="11" t="s">
        <v>322</v>
      </c>
      <c r="DH272" s="11">
        <v>4</v>
      </c>
      <c r="DI272" s="11" t="b">
        <v>0</v>
      </c>
      <c r="DP272" s="96" t="s">
        <v>475</v>
      </c>
      <c r="DQ272" s="195" t="s">
        <v>506</v>
      </c>
      <c r="DR272" s="57" t="e">
        <f t="shared" si="5"/>
        <v>#VALUE!</v>
      </c>
      <c r="DS272" s="195" t="s">
        <v>507</v>
      </c>
      <c r="DU272" s="1" t="s">
        <v>280</v>
      </c>
      <c r="DV272" s="200"/>
      <c r="DZ272" s="11">
        <v>1</v>
      </c>
      <c r="EA272" s="200">
        <v>-1</v>
      </c>
      <c r="EB272" s="200">
        <v>4.1666666666666699E-2</v>
      </c>
      <c r="EC272" s="200">
        <v>8.3333333333333301E-2</v>
      </c>
      <c r="ED272" s="200">
        <v>8.3333333333333301E-2</v>
      </c>
      <c r="EE272" s="11" t="s">
        <v>284</v>
      </c>
      <c r="EF272" s="11" t="s">
        <v>326</v>
      </c>
      <c r="EG272" s="11" t="e">
        <v>#VALUE!</v>
      </c>
      <c r="EH272" s="11" t="s">
        <v>285</v>
      </c>
      <c r="EI272" s="11" t="s">
        <v>327</v>
      </c>
      <c r="EJ272" s="11" t="e">
        <v>#VALUE!</v>
      </c>
      <c r="EK272" s="11" t="s">
        <v>286</v>
      </c>
      <c r="EL272" s="11" t="s">
        <v>328</v>
      </c>
      <c r="EM272" s="11" t="e">
        <v>#VALUE!</v>
      </c>
      <c r="EN272" s="11" t="s">
        <v>287</v>
      </c>
      <c r="EO272" s="11" t="s">
        <v>328</v>
      </c>
      <c r="EP272" s="11" t="e">
        <v>#VALUE!</v>
      </c>
    </row>
    <row r="273" spans="1:149" s="11" customFormat="1" ht="14.25" customHeight="1" x14ac:dyDescent="0.15">
      <c r="B273" s="188"/>
      <c r="C273" s="40"/>
      <c r="E273" s="189"/>
      <c r="F273" s="189"/>
      <c r="G273" s="189"/>
      <c r="AB273" s="194">
        <v>17050301</v>
      </c>
      <c r="AC273" s="11" t="s">
        <v>329</v>
      </c>
      <c r="AD273" s="11" t="s">
        <v>330</v>
      </c>
      <c r="AE273" s="11" t="s">
        <v>291</v>
      </c>
      <c r="AF273" s="11" t="s">
        <v>314</v>
      </c>
      <c r="AL273" s="200"/>
      <c r="AM273" s="200"/>
      <c r="AN273" s="200"/>
      <c r="AO273" s="200"/>
      <c r="AP273" s="200"/>
      <c r="AQ273" s="200"/>
      <c r="AR273" s="200"/>
      <c r="AU273" s="200"/>
      <c r="AV273" s="200"/>
      <c r="AW273" s="200"/>
      <c r="AX273" s="200"/>
      <c r="AY273" s="200"/>
      <c r="AZ273" s="200"/>
      <c r="BA273" s="204" t="s">
        <v>331</v>
      </c>
      <c r="BB273" s="11">
        <v>7.7000000000000002E-3</v>
      </c>
      <c r="BC273" s="11">
        <v>0</v>
      </c>
      <c r="BF273" s="11">
        <v>0</v>
      </c>
      <c r="BG273" s="11">
        <v>0</v>
      </c>
      <c r="BH273" s="11">
        <v>0</v>
      </c>
      <c r="CX273" s="207"/>
      <c r="DI273" s="207"/>
      <c r="DJ273" s="207"/>
      <c r="DP273" s="96"/>
      <c r="DQ273" s="195"/>
      <c r="DR273" s="57" t="str">
        <f t="shared" si="5"/>
        <v/>
      </c>
      <c r="DS273" s="195"/>
      <c r="DU273" s="1" t="s">
        <v>280</v>
      </c>
      <c r="DV273" s="200"/>
      <c r="DY273" s="200"/>
      <c r="DZ273" s="213"/>
      <c r="EA273" s="214"/>
      <c r="EB273" s="214"/>
      <c r="EC273" s="214"/>
      <c r="ED273" s="214"/>
    </row>
    <row r="274" spans="1:149" s="11" customFormat="1" ht="14.25" customHeight="1" x14ac:dyDescent="0.15">
      <c r="B274" s="188"/>
      <c r="C274" s="40"/>
      <c r="E274" s="189"/>
      <c r="F274" s="189"/>
      <c r="G274" s="189"/>
      <c r="AB274" s="194">
        <v>17050302</v>
      </c>
      <c r="AC274" s="11" t="s">
        <v>332</v>
      </c>
      <c r="AD274" s="11" t="s">
        <v>333</v>
      </c>
      <c r="AE274" s="11" t="s">
        <v>291</v>
      </c>
      <c r="AF274" s="11" t="s">
        <v>314</v>
      </c>
      <c r="AJ274" s="11">
        <v>-1</v>
      </c>
      <c r="AL274" s="200"/>
      <c r="AM274" s="215"/>
      <c r="AN274" s="215"/>
      <c r="AO274" s="215"/>
      <c r="AP274" s="215"/>
      <c r="AQ274" s="215"/>
      <c r="AR274" s="215"/>
      <c r="AU274" s="200"/>
      <c r="AV274" s="200"/>
      <c r="AW274" s="200"/>
      <c r="AX274" s="200"/>
      <c r="AY274" s="200"/>
      <c r="AZ274" s="200"/>
      <c r="BA274" s="204"/>
      <c r="BB274" s="205"/>
      <c r="DP274" s="96"/>
      <c r="DQ274" s="195"/>
      <c r="DR274" s="57" t="str">
        <f t="shared" si="5"/>
        <v/>
      </c>
      <c r="DS274" s="195"/>
      <c r="DU274" s="1" t="s">
        <v>280</v>
      </c>
      <c r="DV274" s="200"/>
      <c r="DY274" s="200"/>
      <c r="EA274" s="200"/>
      <c r="EB274" s="200"/>
      <c r="EC274" s="200"/>
      <c r="ED274" s="200"/>
    </row>
    <row r="275" spans="1:149" s="11" customFormat="1" ht="14.25" customHeight="1" x14ac:dyDescent="0.15">
      <c r="A275" s="11">
        <v>170588</v>
      </c>
      <c r="B275" s="188" t="s">
        <v>428</v>
      </c>
      <c r="C275" s="40" t="s">
        <v>429</v>
      </c>
      <c r="D275" s="11" t="s">
        <v>517</v>
      </c>
      <c r="E275" s="189">
        <v>170507</v>
      </c>
      <c r="F275" s="189"/>
      <c r="G275" s="189"/>
      <c r="H275" s="11">
        <v>0</v>
      </c>
      <c r="L275" s="11">
        <v>0</v>
      </c>
      <c r="P275" s="11" t="s">
        <v>430</v>
      </c>
      <c r="Q275" s="11" t="s">
        <v>431</v>
      </c>
      <c r="X275" s="11">
        <v>1</v>
      </c>
      <c r="Y275" s="11">
        <v>0</v>
      </c>
      <c r="Z275" s="11">
        <v>0</v>
      </c>
      <c r="AB275" s="194">
        <v>10350104</v>
      </c>
      <c r="AC275" s="11" t="s">
        <v>432</v>
      </c>
      <c r="AE275" s="11" t="s">
        <v>291</v>
      </c>
      <c r="AF275" s="11" t="s">
        <v>394</v>
      </c>
      <c r="AJ275" s="11">
        <v>-1</v>
      </c>
      <c r="AL275" s="200"/>
      <c r="AM275" s="215"/>
      <c r="AN275" s="215"/>
      <c r="AO275" s="215"/>
      <c r="AP275" s="215"/>
      <c r="AQ275" s="215"/>
      <c r="AR275" s="215"/>
      <c r="AU275" s="200"/>
      <c r="AV275" s="200"/>
      <c r="AW275" s="200"/>
      <c r="AX275" s="200"/>
      <c r="AY275" s="200"/>
      <c r="AZ275" s="200"/>
      <c r="BA275" s="204"/>
      <c r="BB275" s="205"/>
      <c r="CX275" s="11" t="s">
        <v>273</v>
      </c>
      <c r="CY275" s="11">
        <v>1</v>
      </c>
      <c r="CZ275" s="11">
        <v>1000</v>
      </c>
      <c r="DA275" s="11">
        <v>100</v>
      </c>
      <c r="DB275" s="11">
        <v>22018</v>
      </c>
      <c r="DC275" s="11" t="b">
        <v>1</v>
      </c>
      <c r="DD275" s="11" t="s">
        <v>274</v>
      </c>
      <c r="DE275" s="11" t="s">
        <v>433</v>
      </c>
      <c r="DF275" s="11" t="s">
        <v>276</v>
      </c>
      <c r="DG275" s="11" t="s">
        <v>418</v>
      </c>
      <c r="DH275" s="11">
        <v>1</v>
      </c>
      <c r="DI275" s="11" t="b">
        <v>0</v>
      </c>
      <c r="DP275" s="96" t="s">
        <v>434</v>
      </c>
      <c r="DQ275" s="195" t="s">
        <v>518</v>
      </c>
      <c r="DR275" s="57" t="str">
        <f t="shared" si="5"/>
        <v/>
      </c>
      <c r="DS275" s="195" t="s">
        <v>519</v>
      </c>
      <c r="DU275" s="1" t="s">
        <v>280</v>
      </c>
      <c r="DV275" s="200"/>
      <c r="DY275" s="200"/>
      <c r="EA275" s="200"/>
      <c r="EB275" s="200"/>
      <c r="EC275" s="200"/>
      <c r="ED275" s="200"/>
    </row>
    <row r="276" spans="1:149" s="11" customFormat="1" ht="14.25" customHeight="1" x14ac:dyDescent="0.15">
      <c r="B276" s="188"/>
      <c r="C276" s="40"/>
      <c r="E276" s="189"/>
      <c r="F276" s="189"/>
      <c r="G276" s="189"/>
      <c r="AB276" s="194">
        <v>10350104</v>
      </c>
      <c r="AC276" s="11" t="s">
        <v>432</v>
      </c>
      <c r="AE276" s="11" t="s">
        <v>291</v>
      </c>
      <c r="AF276" s="11" t="s">
        <v>314</v>
      </c>
      <c r="AJ276" s="11">
        <v>-1</v>
      </c>
      <c r="AL276" s="200"/>
      <c r="AM276" s="215"/>
      <c r="AN276" s="215"/>
      <c r="AO276" s="215"/>
      <c r="AP276" s="215"/>
      <c r="AQ276" s="215"/>
      <c r="AR276" s="215"/>
      <c r="AU276" s="200"/>
      <c r="AV276" s="200"/>
      <c r="AW276" s="200"/>
      <c r="AX276" s="200"/>
      <c r="AY276" s="200"/>
      <c r="AZ276" s="200"/>
      <c r="BA276" s="204"/>
      <c r="BB276" s="205"/>
      <c r="DP276" s="96"/>
      <c r="DQ276" s="195"/>
      <c r="DR276" s="57" t="str">
        <f t="shared" si="5"/>
        <v/>
      </c>
      <c r="DS276" s="195"/>
      <c r="DU276" s="1" t="s">
        <v>280</v>
      </c>
      <c r="DV276" s="200"/>
      <c r="DY276" s="200"/>
      <c r="EA276" s="200"/>
      <c r="EB276" s="200"/>
      <c r="EC276" s="200"/>
      <c r="ED276" s="200"/>
    </row>
    <row r="277" spans="1:149" s="11" customFormat="1" ht="14.25" customHeight="1" x14ac:dyDescent="0.15">
      <c r="B277" s="188"/>
      <c r="C277" s="40"/>
      <c r="E277" s="189"/>
      <c r="F277" s="189"/>
      <c r="G277" s="189"/>
      <c r="AB277" s="194">
        <v>10350104</v>
      </c>
      <c r="AC277" s="11" t="s">
        <v>432</v>
      </c>
      <c r="AE277" s="11" t="s">
        <v>291</v>
      </c>
      <c r="AF277" s="11" t="s">
        <v>437</v>
      </c>
      <c r="AJ277" s="11">
        <v>-1</v>
      </c>
      <c r="AL277" s="200"/>
      <c r="AM277" s="215"/>
      <c r="AN277" s="215"/>
      <c r="AO277" s="215"/>
      <c r="AP277" s="215"/>
      <c r="AQ277" s="215"/>
      <c r="AR277" s="215"/>
      <c r="AU277" s="200"/>
      <c r="AV277" s="200"/>
      <c r="AW277" s="200"/>
      <c r="AX277" s="200"/>
      <c r="AY277" s="200"/>
      <c r="AZ277" s="200"/>
      <c r="BA277" s="204"/>
      <c r="BB277" s="205"/>
      <c r="DP277" s="96"/>
      <c r="DQ277" s="195"/>
      <c r="DR277" s="57" t="str">
        <f t="shared" si="5"/>
        <v/>
      </c>
      <c r="DS277" s="195"/>
      <c r="DU277" s="1" t="s">
        <v>280</v>
      </c>
      <c r="DV277" s="200"/>
      <c r="DY277" s="200"/>
      <c r="EA277" s="200"/>
      <c r="EB277" s="200"/>
      <c r="EC277" s="200"/>
      <c r="ED277" s="200"/>
    </row>
    <row r="278" spans="1:149" s="3" customFormat="1" ht="43.5" customHeight="1" x14ac:dyDescent="0.15">
      <c r="A278" s="12">
        <v>172004</v>
      </c>
      <c r="B278" s="216" t="s">
        <v>520</v>
      </c>
      <c r="C278" s="40" t="s">
        <v>521</v>
      </c>
      <c r="D278" s="12" t="s">
        <v>522</v>
      </c>
      <c r="E278" s="10"/>
      <c r="F278" s="10"/>
      <c r="G278" s="10"/>
      <c r="H278" s="217">
        <v>0</v>
      </c>
      <c r="I278" s="217"/>
      <c r="J278" s="217"/>
      <c r="K278" s="217"/>
      <c r="L278" s="217">
        <v>0</v>
      </c>
      <c r="M278" s="217"/>
      <c r="N278" s="217"/>
      <c r="O278" s="217"/>
      <c r="P278" s="217" t="s">
        <v>268</v>
      </c>
      <c r="Q278" s="217" t="s">
        <v>269</v>
      </c>
      <c r="R278" s="10"/>
      <c r="S278" s="10"/>
      <c r="T278" s="10"/>
      <c r="U278" s="10"/>
      <c r="V278" s="10"/>
      <c r="W278" s="10"/>
      <c r="X278" s="217">
        <v>1</v>
      </c>
      <c r="Y278" s="217">
        <v>0</v>
      </c>
      <c r="Z278" s="217">
        <v>0</v>
      </c>
      <c r="AA278" s="217"/>
      <c r="AB278" s="217">
        <v>3001</v>
      </c>
      <c r="AC278" s="217"/>
      <c r="AD278" s="217"/>
      <c r="AE278" s="217"/>
      <c r="AF278" s="217"/>
      <c r="AG278" s="10"/>
      <c r="AH278" s="10"/>
      <c r="AI278" s="10"/>
      <c r="AJ278" s="217"/>
      <c r="AK278" s="217"/>
      <c r="AL278" s="68"/>
      <c r="AM278" s="68"/>
      <c r="AN278" s="68"/>
      <c r="AO278" s="68"/>
      <c r="AP278" s="68"/>
      <c r="AQ278" s="68"/>
      <c r="AR278" s="68"/>
      <c r="AS278" s="10"/>
      <c r="AT278" s="10"/>
      <c r="AU278" s="68"/>
      <c r="AV278" s="68"/>
      <c r="AW278" s="68"/>
      <c r="AX278" s="68"/>
      <c r="AY278" s="68"/>
      <c r="AZ278" s="68"/>
      <c r="BA278" s="241" t="s">
        <v>270</v>
      </c>
      <c r="BB278" s="217">
        <v>300</v>
      </c>
      <c r="BC278" s="217">
        <v>0</v>
      </c>
      <c r="BD278" s="10"/>
      <c r="BE278" s="10"/>
      <c r="BF278" s="10">
        <v>0</v>
      </c>
      <c r="BG278" s="10">
        <v>0</v>
      </c>
      <c r="BH278" s="10">
        <v>0</v>
      </c>
      <c r="BI278" s="10"/>
      <c r="BJ278" s="10" t="s">
        <v>270</v>
      </c>
      <c r="BK278" s="10"/>
      <c r="BL278" s="10"/>
      <c r="BM278" s="10"/>
      <c r="BN278" s="10"/>
      <c r="BO278" s="10"/>
      <c r="BP278" s="10"/>
      <c r="BQ278" s="10"/>
      <c r="BR278" s="10"/>
      <c r="BS278" s="10" t="s">
        <v>270</v>
      </c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217" t="s">
        <v>271</v>
      </c>
      <c r="CG278" s="217"/>
      <c r="CH278" s="217"/>
      <c r="CI278" s="217"/>
      <c r="CJ278" s="217" t="s">
        <v>1</v>
      </c>
      <c r="CK278" s="230" t="s">
        <v>308</v>
      </c>
      <c r="CL278" s="230"/>
      <c r="CM278" s="217">
        <v>999</v>
      </c>
      <c r="CN278" s="217">
        <v>0</v>
      </c>
      <c r="CO278" s="217">
        <v>0</v>
      </c>
      <c r="CP278" s="217">
        <v>0</v>
      </c>
      <c r="CQ278" s="217">
        <v>0</v>
      </c>
      <c r="CR278" s="217"/>
      <c r="CS278" s="217">
        <v>5</v>
      </c>
      <c r="CT278" s="217">
        <v>2</v>
      </c>
      <c r="CU278" s="217">
        <v>8</v>
      </c>
      <c r="CV278" s="246" t="s">
        <v>523</v>
      </c>
      <c r="CW278" s="217" t="b">
        <v>1</v>
      </c>
      <c r="CX278" s="247" t="s">
        <v>273</v>
      </c>
      <c r="CY278" s="10"/>
      <c r="CZ278" s="10"/>
      <c r="DA278" s="10"/>
      <c r="DB278" s="10">
        <v>170501</v>
      </c>
      <c r="DC278" s="10" t="b">
        <v>1</v>
      </c>
      <c r="DD278" s="10" t="s">
        <v>274</v>
      </c>
      <c r="DE278" s="185" t="s">
        <v>524</v>
      </c>
      <c r="DF278" s="10" t="s">
        <v>276</v>
      </c>
      <c r="DG278" s="10" t="s">
        <v>322</v>
      </c>
      <c r="DH278" s="252">
        <v>4</v>
      </c>
      <c r="DI278" s="261" t="b">
        <v>0</v>
      </c>
      <c r="DJ278" s="89"/>
      <c r="DK278" s="10"/>
      <c r="DL278" s="10"/>
      <c r="DM278" s="10"/>
      <c r="DN278" s="1"/>
      <c r="DO278" s="1"/>
      <c r="DP278" s="96" t="s">
        <v>323</v>
      </c>
      <c r="DQ278" s="230" t="s">
        <v>525</v>
      </c>
      <c r="DR278" s="57" t="e">
        <f t="shared" si="5"/>
        <v>#VALUE!</v>
      </c>
      <c r="DS278" s="230" t="s">
        <v>526</v>
      </c>
      <c r="DT278" s="10"/>
      <c r="DU278" s="1" t="s">
        <v>280</v>
      </c>
      <c r="DV278" s="68"/>
      <c r="DW278" s="10"/>
      <c r="DX278" s="10"/>
      <c r="DY278" s="1"/>
      <c r="DZ278" s="113">
        <v>1</v>
      </c>
      <c r="EA278" s="114" t="s">
        <v>281</v>
      </c>
      <c r="EB278" s="114" t="s">
        <v>282</v>
      </c>
      <c r="EC278" s="114" t="s">
        <v>283</v>
      </c>
      <c r="ED278" s="114" t="s">
        <v>283</v>
      </c>
      <c r="EE278" s="10" t="s">
        <v>284</v>
      </c>
      <c r="EF278" s="10" t="s">
        <v>326</v>
      </c>
      <c r="EG278" s="10" t="e">
        <v>#VALUE!</v>
      </c>
      <c r="EH278" s="10" t="s">
        <v>285</v>
      </c>
      <c r="EI278" s="10" t="s">
        <v>327</v>
      </c>
      <c r="EJ278" s="10" t="e">
        <v>#VALUE!</v>
      </c>
      <c r="EK278" s="10" t="s">
        <v>286</v>
      </c>
      <c r="EL278" s="10" t="s">
        <v>328</v>
      </c>
      <c r="EM278" s="10" t="e">
        <v>#VALUE!</v>
      </c>
      <c r="EN278" s="10" t="s">
        <v>287</v>
      </c>
      <c r="EO278" s="10" t="s">
        <v>328</v>
      </c>
      <c r="EP278" s="10" t="e">
        <v>#VALUE!</v>
      </c>
      <c r="EQ278" s="10"/>
      <c r="ER278" s="10"/>
      <c r="ES278" s="10"/>
    </row>
    <row r="279" spans="1:149" s="3" customFormat="1" ht="57" customHeight="1" x14ac:dyDescent="0.15">
      <c r="A279" s="12"/>
      <c r="B279" s="216"/>
      <c r="C279" s="40"/>
      <c r="D279" s="12"/>
      <c r="E279" s="10"/>
      <c r="F279" s="10"/>
      <c r="G279" s="10"/>
      <c r="H279" s="217"/>
      <c r="I279" s="217"/>
      <c r="J279" s="217"/>
      <c r="K279" s="217"/>
      <c r="L279" s="217"/>
      <c r="M279" s="217"/>
      <c r="N279" s="217"/>
      <c r="O279" s="217"/>
      <c r="P279" s="217"/>
      <c r="Q279" s="217"/>
      <c r="R279" s="10"/>
      <c r="S279" s="10"/>
      <c r="T279" s="10"/>
      <c r="U279" s="10"/>
      <c r="V279" s="10"/>
      <c r="W279" s="10"/>
      <c r="X279" s="217"/>
      <c r="Y279" s="217"/>
      <c r="Z279" s="217"/>
      <c r="AA279" s="217"/>
      <c r="AB279" s="217">
        <v>17050301</v>
      </c>
      <c r="AC279" s="230" t="s">
        <v>329</v>
      </c>
      <c r="AD279" s="217" t="s">
        <v>330</v>
      </c>
      <c r="AE279" s="217" t="s">
        <v>291</v>
      </c>
      <c r="AF279" s="217" t="s">
        <v>314</v>
      </c>
      <c r="AG279" s="10"/>
      <c r="AH279" s="10"/>
      <c r="AI279" s="10"/>
      <c r="AJ279" s="217"/>
      <c r="AK279" s="217"/>
      <c r="AL279" s="68"/>
      <c r="AM279" s="68"/>
      <c r="AN279" s="68"/>
      <c r="AO279" s="68"/>
      <c r="AP279" s="68"/>
      <c r="AQ279" s="68"/>
      <c r="AR279" s="68"/>
      <c r="AS279" s="10"/>
      <c r="AT279" s="10"/>
      <c r="AU279" s="68"/>
      <c r="AV279" s="68"/>
      <c r="AW279" s="68"/>
      <c r="AX279" s="68"/>
      <c r="AY279" s="68"/>
      <c r="AZ279" s="68"/>
      <c r="BA279" s="241" t="s">
        <v>331</v>
      </c>
      <c r="BB279" s="220">
        <v>0.15</v>
      </c>
      <c r="BC279" s="217">
        <v>0</v>
      </c>
      <c r="BD279" s="10"/>
      <c r="BE279" s="10"/>
      <c r="BF279" s="10">
        <v>0</v>
      </c>
      <c r="BG279" s="10">
        <v>0</v>
      </c>
      <c r="BH279" s="10">
        <v>0</v>
      </c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217"/>
      <c r="CG279" s="217"/>
      <c r="CH279" s="217"/>
      <c r="CI279" s="217"/>
      <c r="CJ279" s="217"/>
      <c r="CK279" s="217"/>
      <c r="CL279" s="217"/>
      <c r="CM279" s="217"/>
      <c r="CN279" s="217"/>
      <c r="CO279" s="217"/>
      <c r="CP279" s="217"/>
      <c r="CQ279" s="217"/>
      <c r="CR279" s="217"/>
      <c r="CS279" s="217"/>
      <c r="CT279" s="217"/>
      <c r="CU279" s="217"/>
      <c r="CV279" s="217"/>
      <c r="CW279" s="217"/>
      <c r="CX279" s="217"/>
      <c r="CY279" s="10"/>
      <c r="CZ279" s="10"/>
      <c r="DA279" s="10"/>
      <c r="DB279" s="10"/>
      <c r="DC279" s="10"/>
      <c r="DD279" s="10"/>
      <c r="DE279" s="10"/>
      <c r="DF279" s="10"/>
      <c r="DG279" s="10"/>
      <c r="DH279" s="252"/>
      <c r="DI279" s="252"/>
      <c r="DJ279" s="10"/>
      <c r="DK279" s="10"/>
      <c r="DL279" s="10"/>
      <c r="DM279" s="10"/>
      <c r="DN279" s="10"/>
      <c r="DO279" s="10"/>
      <c r="DP279" s="96"/>
      <c r="DQ279" s="230"/>
      <c r="DR279" s="57" t="str">
        <f t="shared" si="5"/>
        <v/>
      </c>
      <c r="DS279" s="230"/>
      <c r="DT279" s="10"/>
      <c r="DU279" s="1" t="s">
        <v>280</v>
      </c>
      <c r="DV279" s="68"/>
      <c r="DW279" s="10"/>
      <c r="DX279" s="10"/>
      <c r="DY279" s="68"/>
      <c r="DZ279" s="10"/>
      <c r="EA279" s="68"/>
      <c r="EB279" s="68"/>
      <c r="EC279" s="68"/>
      <c r="ED279" s="68"/>
      <c r="EE279" s="10"/>
      <c r="EF279" s="10"/>
      <c r="EG279" s="10"/>
      <c r="EH279" s="10"/>
      <c r="EI279" s="10"/>
      <c r="EJ279" s="10"/>
      <c r="EK279" s="10"/>
      <c r="EL279" s="10"/>
      <c r="EM279" s="10"/>
      <c r="EN279" s="10"/>
      <c r="EO279" s="10"/>
      <c r="EP279" s="10"/>
      <c r="EQ279" s="10"/>
      <c r="ER279" s="10"/>
      <c r="ES279" s="10"/>
    </row>
    <row r="280" spans="1:149" s="3" customFormat="1" ht="15" customHeight="1" x14ac:dyDescent="0.15">
      <c r="A280" s="12"/>
      <c r="B280" s="216"/>
      <c r="C280" s="40"/>
      <c r="D280" s="12"/>
      <c r="E280" s="10"/>
      <c r="F280" s="10"/>
      <c r="G280" s="10"/>
      <c r="H280" s="217"/>
      <c r="I280" s="217"/>
      <c r="J280" s="217"/>
      <c r="K280" s="217"/>
      <c r="L280" s="217"/>
      <c r="M280" s="217"/>
      <c r="N280" s="217"/>
      <c r="O280" s="217"/>
      <c r="P280" s="217"/>
      <c r="Q280" s="217"/>
      <c r="R280" s="10"/>
      <c r="S280" s="10"/>
      <c r="T280" s="10"/>
      <c r="U280" s="10"/>
      <c r="V280" s="10"/>
      <c r="W280" s="10"/>
      <c r="X280" s="217"/>
      <c r="Y280" s="217"/>
      <c r="Z280" s="217"/>
      <c r="AA280" s="217"/>
      <c r="AB280" s="217">
        <v>17050302</v>
      </c>
      <c r="AC280" s="230" t="s">
        <v>332</v>
      </c>
      <c r="AD280" s="217" t="s">
        <v>333</v>
      </c>
      <c r="AE280" s="217" t="s">
        <v>291</v>
      </c>
      <c r="AF280" s="217" t="s">
        <v>314</v>
      </c>
      <c r="AG280" s="10"/>
      <c r="AH280" s="10"/>
      <c r="AI280" s="10"/>
      <c r="AJ280" s="217">
        <v>-1</v>
      </c>
      <c r="AK280" s="217"/>
      <c r="AL280" s="68"/>
      <c r="AM280" s="68"/>
      <c r="AN280" s="68"/>
      <c r="AO280" s="68"/>
      <c r="AP280" s="68"/>
      <c r="AQ280" s="68"/>
      <c r="AR280" s="68"/>
      <c r="AS280" s="10"/>
      <c r="AT280" s="10"/>
      <c r="AU280" s="68"/>
      <c r="AV280" s="68"/>
      <c r="AW280" s="68"/>
      <c r="AX280" s="68"/>
      <c r="AY280" s="68"/>
      <c r="AZ280" s="68"/>
      <c r="BA280" s="241"/>
      <c r="BB280" s="217">
        <v>1</v>
      </c>
      <c r="BC280" s="217"/>
      <c r="BD280" s="10"/>
      <c r="BE280" s="10"/>
      <c r="BF280" s="10"/>
      <c r="BG280" s="10"/>
      <c r="BH280" s="10"/>
      <c r="BI280" s="10"/>
      <c r="BJ280" s="10"/>
      <c r="BK280" s="10"/>
      <c r="BL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217"/>
      <c r="CG280" s="217"/>
      <c r="CH280" s="217"/>
      <c r="CI280" s="217"/>
      <c r="CJ280" s="217"/>
      <c r="CK280" s="217"/>
      <c r="CL280" s="217"/>
      <c r="CM280" s="217"/>
      <c r="CN280" s="217"/>
      <c r="CO280" s="217"/>
      <c r="CP280" s="217"/>
      <c r="CQ280" s="217"/>
      <c r="CR280" s="217"/>
      <c r="CS280" s="217"/>
      <c r="CT280" s="217"/>
      <c r="CU280" s="217"/>
      <c r="CV280" s="217"/>
      <c r="CW280" s="217"/>
      <c r="CX280" s="217"/>
      <c r="CY280" s="10"/>
      <c r="CZ280" s="10"/>
      <c r="DA280" s="10"/>
      <c r="DB280" s="10"/>
      <c r="DC280" s="10"/>
      <c r="DD280" s="10"/>
      <c r="DE280" s="10"/>
      <c r="DF280" s="10"/>
      <c r="DG280" s="10"/>
      <c r="DH280" s="252"/>
      <c r="DI280" s="252"/>
      <c r="DJ280" s="10"/>
      <c r="DK280" s="10"/>
      <c r="DL280" s="10"/>
      <c r="DM280" s="10"/>
      <c r="DN280" s="10"/>
      <c r="DO280" s="10"/>
      <c r="DP280" s="96"/>
      <c r="DQ280" s="230"/>
      <c r="DR280" s="57" t="str">
        <f t="shared" si="5"/>
        <v/>
      </c>
      <c r="DS280" s="230"/>
      <c r="DT280" s="10"/>
      <c r="DU280" s="1" t="s">
        <v>280</v>
      </c>
      <c r="DV280" s="68"/>
      <c r="DW280" s="10"/>
      <c r="DX280" s="10"/>
      <c r="DY280" s="68"/>
      <c r="DZ280" s="10"/>
      <c r="EA280" s="68"/>
      <c r="EB280" s="68"/>
      <c r="EC280" s="68"/>
      <c r="ED280" s="68"/>
      <c r="EE280" s="10"/>
      <c r="EF280" s="10"/>
      <c r="EG280" s="10"/>
      <c r="EH280" s="10"/>
      <c r="EI280" s="10"/>
      <c r="EJ280" s="10"/>
      <c r="EK280" s="10"/>
      <c r="EL280" s="10"/>
      <c r="EM280" s="10"/>
      <c r="EN280" s="10"/>
      <c r="EO280" s="10"/>
      <c r="EP280" s="10"/>
      <c r="EQ280" s="10"/>
      <c r="ER280" s="10"/>
      <c r="ES280" s="10"/>
    </row>
    <row r="281" spans="1:149" s="2" customFormat="1" ht="55.5" customHeight="1" x14ac:dyDescent="0.15">
      <c r="A281" s="12">
        <v>172005</v>
      </c>
      <c r="B281" s="218" t="s">
        <v>527</v>
      </c>
      <c r="C281" s="40" t="s">
        <v>528</v>
      </c>
      <c r="D281" s="12" t="s">
        <v>529</v>
      </c>
      <c r="E281" s="10"/>
      <c r="F281" s="10"/>
      <c r="G281" s="10"/>
      <c r="H281" s="217">
        <v>0</v>
      </c>
      <c r="I281" s="217"/>
      <c r="J281" s="217"/>
      <c r="K281" s="217"/>
      <c r="L281" s="217">
        <v>0</v>
      </c>
      <c r="M281" s="217"/>
      <c r="N281" s="217"/>
      <c r="O281" s="217"/>
      <c r="P281" s="217" t="s">
        <v>268</v>
      </c>
      <c r="Q281" s="217" t="s">
        <v>269</v>
      </c>
      <c r="R281" s="10"/>
      <c r="S281" s="10"/>
      <c r="T281" s="10"/>
      <c r="U281" s="10"/>
      <c r="V281" s="10"/>
      <c r="W281" s="10"/>
      <c r="X281" s="217">
        <v>1</v>
      </c>
      <c r="Y281" s="217">
        <v>0</v>
      </c>
      <c r="Z281" s="217">
        <v>0</v>
      </c>
      <c r="AA281" s="217"/>
      <c r="AB281" s="217">
        <v>3001</v>
      </c>
      <c r="AC281" s="217" t="s">
        <v>337</v>
      </c>
      <c r="AD281" s="217"/>
      <c r="AE281" s="217" t="s">
        <v>129</v>
      </c>
      <c r="AF281" s="217" t="s">
        <v>314</v>
      </c>
      <c r="AG281" s="10"/>
      <c r="AH281" s="10"/>
      <c r="AI281" s="10"/>
      <c r="AJ281" s="217"/>
      <c r="AK281" s="217"/>
      <c r="AL281" s="68"/>
      <c r="AM281" s="68"/>
      <c r="AN281" s="68"/>
      <c r="AO281" s="68"/>
      <c r="AP281" s="68"/>
      <c r="AQ281" s="68"/>
      <c r="AR281" s="68"/>
      <c r="AS281" s="10"/>
      <c r="AT281" s="10"/>
      <c r="AU281" s="68"/>
      <c r="AV281" s="68"/>
      <c r="AW281" s="68"/>
      <c r="AX281" s="68"/>
      <c r="AY281" s="68"/>
      <c r="AZ281" s="68"/>
      <c r="BA281" s="241" t="s">
        <v>270</v>
      </c>
      <c r="BB281" s="217">
        <v>200</v>
      </c>
      <c r="BC281" s="217">
        <v>0</v>
      </c>
      <c r="BD281" s="10"/>
      <c r="BE281" s="10"/>
      <c r="BF281" s="10">
        <v>0</v>
      </c>
      <c r="BG281" s="10">
        <v>0</v>
      </c>
      <c r="BH281" s="10">
        <v>0</v>
      </c>
      <c r="BI281" s="10"/>
      <c r="BJ281" s="10" t="s">
        <v>270</v>
      </c>
      <c r="BK281" s="10"/>
      <c r="BL281" s="10"/>
      <c r="BM281" s="10"/>
      <c r="BN281" s="10"/>
      <c r="BO281" s="10"/>
      <c r="BP281" s="10"/>
      <c r="BQ281" s="10"/>
      <c r="BR281" s="10"/>
      <c r="BS281" s="10" t="s">
        <v>270</v>
      </c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217" t="s">
        <v>271</v>
      </c>
      <c r="CG281" s="217"/>
      <c r="CH281" s="217"/>
      <c r="CI281" s="217"/>
      <c r="CJ281" s="217" t="s">
        <v>3</v>
      </c>
      <c r="CK281" s="230" t="s">
        <v>486</v>
      </c>
      <c r="CL281" s="230"/>
      <c r="CM281" s="217">
        <v>999</v>
      </c>
      <c r="CN281" s="217">
        <v>0</v>
      </c>
      <c r="CO281" s="217">
        <v>0</v>
      </c>
      <c r="CP281" s="217">
        <v>0</v>
      </c>
      <c r="CQ281" s="217">
        <v>0</v>
      </c>
      <c r="CR281" s="217"/>
      <c r="CS281" s="217">
        <v>4</v>
      </c>
      <c r="CT281" s="217"/>
      <c r="CU281" s="217">
        <v>5</v>
      </c>
      <c r="CV281" s="217" t="s">
        <v>530</v>
      </c>
      <c r="CW281" s="217" t="b">
        <v>0</v>
      </c>
      <c r="CX281" s="247" t="s">
        <v>273</v>
      </c>
      <c r="CY281" s="10"/>
      <c r="CZ281" s="10"/>
      <c r="DA281" s="10"/>
      <c r="DB281" s="10">
        <v>100300</v>
      </c>
      <c r="DC281" s="10" t="b">
        <v>1</v>
      </c>
      <c r="DD281" s="10" t="s">
        <v>274</v>
      </c>
      <c r="DE281" s="10" t="s">
        <v>321</v>
      </c>
      <c r="DF281" s="10" t="s">
        <v>276</v>
      </c>
      <c r="DG281" s="10" t="s">
        <v>277</v>
      </c>
      <c r="DH281" s="252">
        <v>4</v>
      </c>
      <c r="DI281" s="261" t="b">
        <v>0</v>
      </c>
      <c r="DJ281" s="89"/>
      <c r="DK281" s="10"/>
      <c r="DL281" s="10"/>
      <c r="DM281" s="59"/>
      <c r="DN281" s="1"/>
      <c r="DO281" s="1"/>
      <c r="DP281" s="96" t="s">
        <v>341</v>
      </c>
      <c r="DQ281" s="230" t="s">
        <v>531</v>
      </c>
      <c r="DR281" s="57" t="e">
        <f t="shared" si="5"/>
        <v>#VALUE!</v>
      </c>
      <c r="DS281" s="230" t="s">
        <v>532</v>
      </c>
      <c r="DT281" s="99"/>
      <c r="DU281" s="1" t="s">
        <v>280</v>
      </c>
      <c r="DV281" s="68"/>
      <c r="DW281" s="10"/>
      <c r="DX281" s="10"/>
      <c r="DY281" s="1"/>
      <c r="DZ281" s="113">
        <v>1</v>
      </c>
      <c r="EA281" s="114" t="s">
        <v>281</v>
      </c>
      <c r="EB281" s="114" t="s">
        <v>282</v>
      </c>
      <c r="EC281" s="114" t="s">
        <v>283</v>
      </c>
      <c r="ED281" s="114" t="s">
        <v>283</v>
      </c>
      <c r="EE281" s="10" t="s">
        <v>284</v>
      </c>
      <c r="EF281" s="10" t="s">
        <v>326</v>
      </c>
      <c r="EG281" s="10" t="e">
        <v>#VALUE!</v>
      </c>
      <c r="EH281" s="10" t="s">
        <v>285</v>
      </c>
      <c r="EI281" s="10" t="s">
        <v>344</v>
      </c>
      <c r="EJ281" s="10" t="e">
        <v>#VALUE!</v>
      </c>
      <c r="EK281" s="10" t="s">
        <v>286</v>
      </c>
      <c r="EL281" s="10" t="s">
        <v>345</v>
      </c>
      <c r="EM281" s="10" t="e">
        <v>#VALUE!</v>
      </c>
      <c r="EN281" s="10" t="s">
        <v>287</v>
      </c>
      <c r="EO281" s="10" t="s">
        <v>345</v>
      </c>
      <c r="EP281" s="10" t="e">
        <v>#VALUE!</v>
      </c>
      <c r="EQ281" s="10"/>
      <c r="ER281" s="10"/>
      <c r="ES281" s="10"/>
    </row>
    <row r="282" spans="1:149" s="2" customFormat="1" ht="57" customHeight="1" x14ac:dyDescent="0.15">
      <c r="A282" s="12"/>
      <c r="B282" s="216"/>
      <c r="C282" s="40"/>
      <c r="D282" s="12"/>
      <c r="E282" s="10"/>
      <c r="F282" s="10"/>
      <c r="G282" s="10"/>
      <c r="H282" s="217"/>
      <c r="I282" s="217"/>
      <c r="J282" s="217"/>
      <c r="K282" s="217"/>
      <c r="L282" s="217"/>
      <c r="M282" s="217"/>
      <c r="N282" s="217"/>
      <c r="O282" s="217"/>
      <c r="P282" s="217"/>
      <c r="Q282" s="217"/>
      <c r="R282" s="10"/>
      <c r="S282" s="10"/>
      <c r="T282" s="10"/>
      <c r="U282" s="10"/>
      <c r="V282" s="10"/>
      <c r="W282" s="10"/>
      <c r="X282" s="217"/>
      <c r="Y282" s="217"/>
      <c r="Z282" s="217"/>
      <c r="AA282" s="217"/>
      <c r="AB282" s="217">
        <v>10240102</v>
      </c>
      <c r="AC282" s="217" t="s">
        <v>346</v>
      </c>
      <c r="AD282" s="217"/>
      <c r="AE282" s="217" t="s">
        <v>129</v>
      </c>
      <c r="AF282" s="217" t="s">
        <v>314</v>
      </c>
      <c r="AG282" s="59"/>
      <c r="AH282" s="59"/>
      <c r="AI282" s="59"/>
      <c r="AJ282" s="217">
        <v>3</v>
      </c>
      <c r="AK282" s="217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217"/>
      <c r="BB282" s="217">
        <v>1</v>
      </c>
      <c r="BC282" s="217"/>
      <c r="BD282" s="10"/>
      <c r="BE282" s="10"/>
      <c r="BF282" s="10"/>
      <c r="BG282" s="10"/>
      <c r="BH282" s="10"/>
      <c r="BI282" s="10"/>
      <c r="BJ282" s="10"/>
      <c r="BK282" s="10"/>
      <c r="BL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217"/>
      <c r="CG282" s="217"/>
      <c r="CH282" s="217"/>
      <c r="CI282" s="217"/>
      <c r="CJ282" s="217"/>
      <c r="CK282" s="217"/>
      <c r="CL282" s="217"/>
      <c r="CM282" s="217"/>
      <c r="CN282" s="217"/>
      <c r="CO282" s="217"/>
      <c r="CP282" s="217"/>
      <c r="CQ282" s="217"/>
      <c r="CR282" s="217"/>
      <c r="CS282" s="217"/>
      <c r="CT282" s="217"/>
      <c r="CU282" s="217"/>
      <c r="CV282" s="217"/>
      <c r="CW282" s="217"/>
      <c r="CX282" s="217"/>
      <c r="CY282" s="10"/>
      <c r="CZ282" s="10"/>
      <c r="DA282" s="10"/>
      <c r="DB282" s="10"/>
      <c r="DC282" s="10"/>
      <c r="DD282" s="10"/>
      <c r="DE282" s="10"/>
      <c r="DF282" s="10"/>
      <c r="DG282" s="10"/>
      <c r="DH282" s="252"/>
      <c r="DI282" s="252"/>
      <c r="DJ282" s="10"/>
      <c r="DK282" s="10"/>
      <c r="DL282" s="10"/>
      <c r="DM282" s="10"/>
      <c r="DN282" s="10"/>
      <c r="DO282" s="10"/>
      <c r="DP282" s="96"/>
      <c r="DQ282" s="217"/>
      <c r="DR282" s="57" t="str">
        <f t="shared" si="5"/>
        <v/>
      </c>
      <c r="DS282" s="217"/>
      <c r="DT282" s="10"/>
      <c r="DU282" s="1" t="s">
        <v>280</v>
      </c>
      <c r="DV282" s="68"/>
      <c r="DW282" s="10"/>
      <c r="DX282" s="10"/>
      <c r="DY282" s="68"/>
      <c r="DZ282" s="10"/>
      <c r="EA282" s="68"/>
      <c r="EB282" s="68"/>
      <c r="EC282" s="68"/>
      <c r="ED282" s="68"/>
      <c r="EE282" s="10"/>
      <c r="EF282" s="10"/>
      <c r="EG282" s="10"/>
      <c r="EH282" s="10"/>
      <c r="EI282" s="10"/>
      <c r="EJ282" s="10"/>
      <c r="EK282" s="10"/>
      <c r="EL282" s="10"/>
      <c r="EM282" s="10"/>
      <c r="EN282" s="10"/>
      <c r="EO282" s="10"/>
      <c r="EP282" s="10"/>
      <c r="EQ282" s="10"/>
      <c r="ER282" s="10"/>
      <c r="ES282" s="10"/>
    </row>
    <row r="283" spans="1:149" s="2" customFormat="1" ht="39" customHeight="1" x14ac:dyDescent="0.15">
      <c r="A283" s="12">
        <v>172006</v>
      </c>
      <c r="B283" s="216" t="s">
        <v>533</v>
      </c>
      <c r="C283" s="40" t="s">
        <v>534</v>
      </c>
      <c r="D283" s="12" t="s">
        <v>535</v>
      </c>
      <c r="E283" s="10"/>
      <c r="F283" s="10"/>
      <c r="G283" s="10"/>
      <c r="H283" s="217">
        <v>0</v>
      </c>
      <c r="I283" s="217"/>
      <c r="J283" s="217"/>
      <c r="K283" s="217"/>
      <c r="L283" s="217">
        <v>0</v>
      </c>
      <c r="M283" s="217"/>
      <c r="N283" s="217"/>
      <c r="O283" s="217"/>
      <c r="P283" s="217" t="s">
        <v>268</v>
      </c>
      <c r="Q283" s="217" t="s">
        <v>269</v>
      </c>
      <c r="R283" s="10"/>
      <c r="S283" s="10"/>
      <c r="T283" s="10"/>
      <c r="U283" s="10"/>
      <c r="V283" s="10"/>
      <c r="W283" s="10"/>
      <c r="X283" s="217">
        <v>1</v>
      </c>
      <c r="Y283" s="217">
        <v>0</v>
      </c>
      <c r="Z283" s="217">
        <v>0</v>
      </c>
      <c r="AA283" s="217"/>
      <c r="AB283" s="217">
        <v>3001</v>
      </c>
      <c r="AC283" s="217" t="s">
        <v>337</v>
      </c>
      <c r="AD283" s="217" t="s">
        <v>330</v>
      </c>
      <c r="AE283" s="217"/>
      <c r="AF283" s="217"/>
      <c r="AG283" s="10"/>
      <c r="AH283" s="10"/>
      <c r="AI283" s="10"/>
      <c r="AJ283" s="217"/>
      <c r="AK283" s="217"/>
      <c r="AL283" s="68"/>
      <c r="AM283" s="68"/>
      <c r="AN283" s="68"/>
      <c r="AO283" s="68"/>
      <c r="AP283" s="68"/>
      <c r="AQ283" s="68"/>
      <c r="AR283" s="68"/>
      <c r="AS283" s="10"/>
      <c r="AT283" s="10"/>
      <c r="AU283" s="68"/>
      <c r="AV283" s="68"/>
      <c r="AW283" s="68"/>
      <c r="AX283" s="68"/>
      <c r="AY283" s="68"/>
      <c r="AZ283" s="68"/>
      <c r="BA283" s="241" t="s">
        <v>270</v>
      </c>
      <c r="BB283" s="217">
        <v>150</v>
      </c>
      <c r="BC283" s="217">
        <v>0</v>
      </c>
      <c r="BD283" s="10"/>
      <c r="BE283" s="10"/>
      <c r="BF283" s="10">
        <v>0</v>
      </c>
      <c r="BG283" s="10">
        <v>0</v>
      </c>
      <c r="BH283" s="10">
        <v>0</v>
      </c>
      <c r="BI283" s="10"/>
      <c r="BJ283" s="10" t="s">
        <v>270</v>
      </c>
      <c r="BK283" s="10"/>
      <c r="BL283" s="10"/>
      <c r="BM283" s="10"/>
      <c r="BN283" s="10"/>
      <c r="BO283" s="10"/>
      <c r="BP283" s="10"/>
      <c r="BQ283" s="10"/>
      <c r="BR283" s="10"/>
      <c r="BS283" s="10" t="s">
        <v>270</v>
      </c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217" t="s">
        <v>378</v>
      </c>
      <c r="CG283" s="217"/>
      <c r="CH283" s="217"/>
      <c r="CI283" s="217"/>
      <c r="CJ283" s="217" t="s">
        <v>1</v>
      </c>
      <c r="CK283" s="230" t="s">
        <v>379</v>
      </c>
      <c r="CL283" s="230"/>
      <c r="CM283" s="217">
        <v>999</v>
      </c>
      <c r="CN283" s="217">
        <v>0</v>
      </c>
      <c r="CO283" s="217">
        <v>0</v>
      </c>
      <c r="CP283" s="217">
        <v>0</v>
      </c>
      <c r="CQ283" s="217">
        <v>0</v>
      </c>
      <c r="CR283" s="217"/>
      <c r="CS283" s="217">
        <v>5</v>
      </c>
      <c r="CT283" s="217"/>
      <c r="CU283" s="217">
        <v>10</v>
      </c>
      <c r="CV283" s="217" t="s">
        <v>536</v>
      </c>
      <c r="CW283" s="217" t="b">
        <v>0</v>
      </c>
      <c r="CX283" s="247" t="s">
        <v>273</v>
      </c>
      <c r="CY283" s="10"/>
      <c r="CZ283" s="10"/>
      <c r="DA283" s="10"/>
      <c r="DB283" s="10">
        <v>102401</v>
      </c>
      <c r="DC283" s="10" t="b">
        <v>1</v>
      </c>
      <c r="DD283" s="93" t="s">
        <v>274</v>
      </c>
      <c r="DE283" s="59" t="s">
        <v>537</v>
      </c>
      <c r="DF283" s="93" t="s">
        <v>276</v>
      </c>
      <c r="DG283" s="93" t="s">
        <v>293</v>
      </c>
      <c r="DH283" s="253">
        <v>4</v>
      </c>
      <c r="DI283" s="253" t="b">
        <v>0</v>
      </c>
      <c r="DJ283" s="93"/>
      <c r="DK283" s="10"/>
      <c r="DL283" s="10"/>
      <c r="DM283" s="10"/>
      <c r="DN283" s="1"/>
      <c r="DO283" s="1"/>
      <c r="DP283" s="96" t="s">
        <v>381</v>
      </c>
      <c r="DQ283" s="230" t="s">
        <v>538</v>
      </c>
      <c r="DR283" s="57" t="e">
        <f t="shared" si="5"/>
        <v>#VALUE!</v>
      </c>
      <c r="DS283" s="230" t="s">
        <v>539</v>
      </c>
      <c r="DT283" s="106"/>
      <c r="DU283" s="1" t="s">
        <v>280</v>
      </c>
      <c r="DV283" s="68"/>
      <c r="DW283" s="10"/>
      <c r="DX283" s="10"/>
      <c r="DY283" s="1"/>
      <c r="DZ283" s="113">
        <v>1</v>
      </c>
      <c r="EA283" s="114" t="s">
        <v>281</v>
      </c>
      <c r="EB283" s="114" t="s">
        <v>282</v>
      </c>
      <c r="EC283" s="114" t="s">
        <v>283</v>
      </c>
      <c r="ED283" s="114" t="s">
        <v>283</v>
      </c>
      <c r="EE283" s="10" t="s">
        <v>284</v>
      </c>
      <c r="EF283" s="10" t="s">
        <v>326</v>
      </c>
      <c r="EG283" s="10" t="e">
        <v>#VALUE!</v>
      </c>
      <c r="EH283" s="10" t="s">
        <v>285</v>
      </c>
      <c r="EI283" s="10" t="s">
        <v>344</v>
      </c>
      <c r="EJ283" s="10" t="e">
        <v>#VALUE!</v>
      </c>
      <c r="EK283" s="10" t="s">
        <v>286</v>
      </c>
      <c r="EL283" s="10" t="s">
        <v>328</v>
      </c>
      <c r="EM283" s="10" t="e">
        <v>#VALUE!</v>
      </c>
      <c r="EN283" s="10" t="s">
        <v>287</v>
      </c>
      <c r="EO283" s="10" t="s">
        <v>328</v>
      </c>
      <c r="EP283" s="10" t="e">
        <v>#VALUE!</v>
      </c>
      <c r="EQ283" s="10"/>
      <c r="ER283" s="10"/>
      <c r="ES283" s="10"/>
    </row>
    <row r="284" spans="1:149" s="2" customFormat="1" ht="15" customHeight="1" x14ac:dyDescent="0.15">
      <c r="A284" s="12"/>
      <c r="B284" s="216"/>
      <c r="C284" s="40"/>
      <c r="D284" s="12"/>
      <c r="E284" s="10"/>
      <c r="F284" s="10"/>
      <c r="G284" s="10"/>
      <c r="H284" s="217"/>
      <c r="I284" s="217"/>
      <c r="J284" s="217"/>
      <c r="K284" s="217"/>
      <c r="L284" s="217"/>
      <c r="M284" s="217"/>
      <c r="N284" s="217"/>
      <c r="O284" s="217"/>
      <c r="P284" s="217"/>
      <c r="Q284" s="217"/>
      <c r="R284" s="10"/>
      <c r="S284" s="10"/>
      <c r="T284" s="10"/>
      <c r="U284" s="10"/>
      <c r="V284" s="10"/>
      <c r="W284" s="10"/>
      <c r="X284" s="217"/>
      <c r="Y284" s="217"/>
      <c r="Z284" s="217"/>
      <c r="AA284" s="217"/>
      <c r="AB284" s="230">
        <v>17050501</v>
      </c>
      <c r="AC284" s="217" t="s">
        <v>384</v>
      </c>
      <c r="AD284" s="217" t="s">
        <v>330</v>
      </c>
      <c r="AE284" s="217" t="s">
        <v>291</v>
      </c>
      <c r="AF284" s="217" t="s">
        <v>314</v>
      </c>
      <c r="AG284" s="10"/>
      <c r="AH284" s="10"/>
      <c r="AI284" s="10"/>
      <c r="AJ284" s="217"/>
      <c r="AK284" s="217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217"/>
      <c r="BB284" s="217">
        <v>1</v>
      </c>
      <c r="BC284" s="217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217"/>
      <c r="CG284" s="217"/>
      <c r="CH284" s="217"/>
      <c r="CI284" s="217"/>
      <c r="CJ284" s="217"/>
      <c r="CK284" s="217"/>
      <c r="CL284" s="217"/>
      <c r="CM284" s="217"/>
      <c r="CN284" s="217"/>
      <c r="CO284" s="217"/>
      <c r="CP284" s="217"/>
      <c r="CQ284" s="217"/>
      <c r="CR284" s="217"/>
      <c r="CS284" s="217"/>
      <c r="CT284" s="217"/>
      <c r="CU284" s="217"/>
      <c r="CV284" s="217"/>
      <c r="CW284" s="217"/>
      <c r="CX284" s="217"/>
      <c r="CY284" s="10"/>
      <c r="CZ284" s="10"/>
      <c r="DA284" s="10"/>
      <c r="DB284" s="10"/>
      <c r="DC284" s="10"/>
      <c r="DD284" s="10"/>
      <c r="DE284" s="10"/>
      <c r="DF284" s="10"/>
      <c r="DG284" s="10"/>
      <c r="DH284" s="252"/>
      <c r="DI284" s="252"/>
      <c r="DJ284" s="10"/>
      <c r="DK284" s="10"/>
      <c r="DL284" s="10"/>
      <c r="DM284" s="10"/>
      <c r="DN284" s="10"/>
      <c r="DO284" s="10"/>
      <c r="DP284" s="96"/>
      <c r="DQ284" s="217"/>
      <c r="DR284" s="57" t="str">
        <f t="shared" si="5"/>
        <v/>
      </c>
      <c r="DS284" s="217"/>
      <c r="DT284" s="10"/>
      <c r="DU284" s="1" t="s">
        <v>280</v>
      </c>
      <c r="DV284" s="68"/>
      <c r="DW284" s="10"/>
      <c r="DX284" s="10"/>
      <c r="DY284" s="68"/>
      <c r="DZ284" s="10"/>
      <c r="EA284" s="68"/>
      <c r="EB284" s="68"/>
      <c r="EC284" s="68"/>
      <c r="ED284" s="68"/>
      <c r="EE284" s="10"/>
      <c r="EF284" s="10"/>
      <c r="EG284" s="10"/>
      <c r="EH284" s="10"/>
      <c r="EI284" s="10"/>
      <c r="EJ284" s="10"/>
      <c r="EK284" s="10"/>
      <c r="EL284" s="10"/>
      <c r="EM284" s="10"/>
      <c r="EN284" s="10"/>
      <c r="EO284" s="10"/>
      <c r="EP284" s="10"/>
      <c r="EQ284" s="10"/>
      <c r="ER284" s="10"/>
      <c r="ES284" s="10"/>
    </row>
    <row r="285" spans="1:149" s="2" customFormat="1" ht="14.25" customHeight="1" x14ac:dyDescent="0.15">
      <c r="A285" s="12"/>
      <c r="B285" s="216"/>
      <c r="C285" s="40"/>
      <c r="D285" s="12"/>
      <c r="E285" s="10"/>
      <c r="F285" s="10"/>
      <c r="G285" s="10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10"/>
      <c r="S285" s="10"/>
      <c r="T285" s="10"/>
      <c r="U285" s="10"/>
      <c r="V285" s="10"/>
      <c r="W285" s="10"/>
      <c r="X285" s="217"/>
      <c r="Y285" s="217"/>
      <c r="Z285" s="217"/>
      <c r="AA285" s="217"/>
      <c r="AB285" s="230">
        <v>17050502</v>
      </c>
      <c r="AC285" s="217" t="s">
        <v>385</v>
      </c>
      <c r="AD285" s="217"/>
      <c r="AE285" s="217" t="s">
        <v>291</v>
      </c>
      <c r="AF285" s="217" t="s">
        <v>314</v>
      </c>
      <c r="AG285" s="10"/>
      <c r="AH285" s="10"/>
      <c r="AI285" s="10"/>
      <c r="AJ285" s="217">
        <v>8</v>
      </c>
      <c r="AK285" s="217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217"/>
      <c r="BB285" s="217">
        <v>1</v>
      </c>
      <c r="BC285" s="217"/>
      <c r="BD285" s="10"/>
      <c r="BE285" s="10"/>
      <c r="BF285" s="10"/>
      <c r="BG285" s="10"/>
      <c r="BH285" s="10"/>
      <c r="BI285" s="10"/>
      <c r="BJ285" s="10"/>
      <c r="BK285" s="10"/>
      <c r="BL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217"/>
      <c r="CG285" s="217"/>
      <c r="CH285" s="217"/>
      <c r="CI285" s="217"/>
      <c r="CJ285" s="217"/>
      <c r="CK285" s="217"/>
      <c r="CL285" s="217"/>
      <c r="CM285" s="217"/>
      <c r="CN285" s="217"/>
      <c r="CO285" s="217"/>
      <c r="CP285" s="217"/>
      <c r="CQ285" s="217"/>
      <c r="CR285" s="217"/>
      <c r="CS285" s="217"/>
      <c r="CT285" s="217"/>
      <c r="CU285" s="217"/>
      <c r="CV285" s="217"/>
      <c r="CW285" s="217"/>
      <c r="CX285" s="217"/>
      <c r="CY285" s="10"/>
      <c r="CZ285" s="10"/>
      <c r="DA285" s="10"/>
      <c r="DB285" s="10"/>
      <c r="DC285" s="10"/>
      <c r="DD285" s="10"/>
      <c r="DE285" s="10"/>
      <c r="DF285" s="10"/>
      <c r="DG285" s="10"/>
      <c r="DH285" s="252"/>
      <c r="DI285" s="252"/>
      <c r="DJ285" s="10"/>
      <c r="DK285" s="10"/>
      <c r="DL285" s="10"/>
      <c r="DM285" s="10"/>
      <c r="DN285" s="10"/>
      <c r="DO285" s="10"/>
      <c r="DP285" s="96"/>
      <c r="DQ285" s="217"/>
      <c r="DR285" s="57" t="str">
        <f t="shared" si="5"/>
        <v/>
      </c>
      <c r="DS285" s="217"/>
      <c r="DT285" s="10"/>
      <c r="DU285" s="1" t="s">
        <v>280</v>
      </c>
      <c r="DV285" s="68"/>
      <c r="DW285" s="10"/>
      <c r="DX285" s="10"/>
      <c r="DY285" s="68"/>
      <c r="DZ285" s="10"/>
      <c r="EA285" s="68"/>
      <c r="EB285" s="68"/>
      <c r="EC285" s="68"/>
      <c r="ED285" s="68"/>
      <c r="EE285" s="10"/>
      <c r="EF285" s="10"/>
      <c r="EG285" s="10"/>
      <c r="EH285" s="10"/>
      <c r="EI285" s="10"/>
      <c r="EJ285" s="10"/>
      <c r="EK285" s="10"/>
      <c r="EL285" s="10"/>
      <c r="EM285" s="10"/>
      <c r="EN285" s="10"/>
      <c r="EO285" s="10"/>
      <c r="EP285" s="10"/>
      <c r="EQ285" s="10"/>
      <c r="ER285" s="10"/>
      <c r="ES285" s="10"/>
    </row>
    <row r="286" spans="1:149" s="2" customFormat="1" x14ac:dyDescent="0.15">
      <c r="A286" s="12"/>
      <c r="B286" s="216"/>
      <c r="C286" s="40"/>
      <c r="D286" s="12"/>
      <c r="E286" s="10"/>
      <c r="F286" s="10"/>
      <c r="G286" s="10"/>
      <c r="H286" s="217"/>
      <c r="I286" s="217"/>
      <c r="J286" s="217"/>
      <c r="K286" s="217"/>
      <c r="L286" s="217"/>
      <c r="M286" s="217"/>
      <c r="N286" s="217"/>
      <c r="O286" s="217"/>
      <c r="P286" s="217"/>
      <c r="Q286" s="217"/>
      <c r="R286" s="10"/>
      <c r="S286" s="10"/>
      <c r="T286" s="10"/>
      <c r="U286" s="10"/>
      <c r="V286" s="10"/>
      <c r="W286" s="10"/>
      <c r="X286" s="217"/>
      <c r="Y286" s="217"/>
      <c r="Z286" s="217"/>
      <c r="AA286" s="217"/>
      <c r="AB286" s="217">
        <v>17050503</v>
      </c>
      <c r="AC286" s="230" t="s">
        <v>386</v>
      </c>
      <c r="AD286" s="217" t="s">
        <v>330</v>
      </c>
      <c r="AE286" s="217" t="s">
        <v>291</v>
      </c>
      <c r="AF286" s="217" t="s">
        <v>314</v>
      </c>
      <c r="AG286" s="10"/>
      <c r="AH286" s="10"/>
      <c r="AI286" s="10"/>
      <c r="AJ286" s="217"/>
      <c r="AK286" s="217"/>
      <c r="AL286" s="68"/>
      <c r="AM286" s="68"/>
      <c r="AN286" s="68"/>
      <c r="AO286" s="68"/>
      <c r="AP286" s="68"/>
      <c r="AQ286" s="68"/>
      <c r="AR286" s="68"/>
      <c r="AS286" s="10"/>
      <c r="AT286" s="10"/>
      <c r="AU286" s="68"/>
      <c r="AV286" s="68"/>
      <c r="AW286" s="68"/>
      <c r="AX286" s="68"/>
      <c r="AY286" s="68"/>
      <c r="AZ286" s="68"/>
      <c r="BA286" s="241"/>
      <c r="BB286" s="217">
        <v>1</v>
      </c>
      <c r="BC286" s="217"/>
      <c r="BD286" s="10"/>
      <c r="BE286" s="10"/>
      <c r="BF286" s="10"/>
      <c r="BG286" s="10"/>
      <c r="BH286" s="10"/>
      <c r="BI286" s="10"/>
      <c r="BJ286" s="10"/>
      <c r="BK286" s="10"/>
      <c r="BL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217"/>
      <c r="CG286" s="217"/>
      <c r="CH286" s="217"/>
      <c r="CI286" s="217"/>
      <c r="CJ286" s="217"/>
      <c r="CK286" s="217"/>
      <c r="CL286" s="217"/>
      <c r="CM286" s="217"/>
      <c r="CN286" s="217"/>
      <c r="CO286" s="217"/>
      <c r="CP286" s="217"/>
      <c r="CQ286" s="217"/>
      <c r="CR286" s="217"/>
      <c r="CS286" s="217"/>
      <c r="CT286" s="217"/>
      <c r="CU286" s="217"/>
      <c r="CV286" s="217"/>
      <c r="CW286" s="217"/>
      <c r="CX286" s="217"/>
      <c r="CY286" s="10"/>
      <c r="CZ286" s="10"/>
      <c r="DA286" s="10"/>
      <c r="DB286" s="10"/>
      <c r="DC286" s="10"/>
      <c r="DD286" s="10"/>
      <c r="DE286" s="10"/>
      <c r="DF286" s="10"/>
      <c r="DG286" s="10"/>
      <c r="DH286" s="252"/>
      <c r="DI286" s="252"/>
      <c r="DJ286" s="10"/>
      <c r="DK286" s="10"/>
      <c r="DL286" s="10"/>
      <c r="DM286" s="10"/>
      <c r="DN286" s="10"/>
      <c r="DO286" s="10"/>
      <c r="DP286" s="96"/>
      <c r="DQ286" s="230"/>
      <c r="DR286" s="57" t="str">
        <f t="shared" si="5"/>
        <v/>
      </c>
      <c r="DS286" s="230"/>
      <c r="DT286" s="10"/>
      <c r="DU286" s="1" t="s">
        <v>280</v>
      </c>
      <c r="DV286" s="68"/>
      <c r="DW286" s="10"/>
      <c r="DX286" s="10"/>
      <c r="DY286" s="68"/>
      <c r="DZ286" s="10"/>
      <c r="EA286" s="68"/>
      <c r="EB286" s="68"/>
      <c r="EC286" s="68"/>
      <c r="ED286" s="68"/>
      <c r="EE286" s="10"/>
      <c r="EF286" s="10"/>
      <c r="EG286" s="10"/>
      <c r="EH286" s="10"/>
      <c r="EI286" s="10"/>
      <c r="EJ286" s="10"/>
      <c r="EK286" s="10"/>
      <c r="EL286" s="10"/>
      <c r="EM286" s="10"/>
      <c r="EN286" s="10"/>
      <c r="EO286" s="10"/>
      <c r="EP286" s="10"/>
      <c r="EQ286" s="10"/>
      <c r="ER286" s="10"/>
      <c r="ES286" s="10"/>
    </row>
    <row r="287" spans="1:149" s="12" customFormat="1" ht="43.5" customHeight="1" x14ac:dyDescent="0.15">
      <c r="A287" s="13">
        <v>172007</v>
      </c>
      <c r="B287" s="219" t="s">
        <v>540</v>
      </c>
      <c r="C287" s="40" t="s">
        <v>541</v>
      </c>
      <c r="D287" s="109" t="s">
        <v>542</v>
      </c>
      <c r="H287" s="220">
        <v>0</v>
      </c>
      <c r="I287" s="220"/>
      <c r="J287" s="220"/>
      <c r="K287" s="220"/>
      <c r="L287" s="220">
        <v>0</v>
      </c>
      <c r="M287" s="220"/>
      <c r="N287" s="220"/>
      <c r="O287" s="220"/>
      <c r="P287" s="220" t="s">
        <v>268</v>
      </c>
      <c r="Q287" s="220" t="s">
        <v>269</v>
      </c>
      <c r="X287" s="220">
        <v>1</v>
      </c>
      <c r="Y287" s="220">
        <v>0</v>
      </c>
      <c r="Z287" s="220">
        <v>0</v>
      </c>
      <c r="AA287" s="220"/>
      <c r="AB287" s="220">
        <v>3001</v>
      </c>
      <c r="AC287" s="220"/>
      <c r="AD287" s="220"/>
      <c r="AE287" s="220"/>
      <c r="AF287" s="220"/>
      <c r="AJ287" s="220"/>
      <c r="AK287" s="220"/>
      <c r="AL287" s="235"/>
      <c r="AM287" s="235"/>
      <c r="AN287" s="235"/>
      <c r="AO287" s="235"/>
      <c r="AP287" s="235"/>
      <c r="AQ287" s="235"/>
      <c r="AR287" s="235"/>
      <c r="AU287" s="235"/>
      <c r="AV287" s="235"/>
      <c r="AW287" s="235"/>
      <c r="AX287" s="235"/>
      <c r="AY287" s="235"/>
      <c r="AZ287" s="235"/>
      <c r="BA287" s="242" t="s">
        <v>270</v>
      </c>
      <c r="BB287" s="220">
        <v>300</v>
      </c>
      <c r="BC287" s="220">
        <v>0</v>
      </c>
      <c r="BF287" s="12">
        <v>0</v>
      </c>
      <c r="BG287" s="12">
        <v>0</v>
      </c>
      <c r="BH287" s="12">
        <v>0</v>
      </c>
      <c r="BJ287" s="12" t="s">
        <v>270</v>
      </c>
      <c r="BS287" s="12" t="s">
        <v>270</v>
      </c>
      <c r="CF287" s="220" t="s">
        <v>271</v>
      </c>
      <c r="CG287" s="220"/>
      <c r="CH287" s="220"/>
      <c r="CI287" s="220"/>
      <c r="CJ287" s="220" t="s">
        <v>1</v>
      </c>
      <c r="CK287" s="231" t="s">
        <v>308</v>
      </c>
      <c r="CL287" s="231"/>
      <c r="CM287" s="220">
        <v>999</v>
      </c>
      <c r="CN287" s="220">
        <v>0</v>
      </c>
      <c r="CO287" s="220">
        <v>0</v>
      </c>
      <c r="CP287" s="220">
        <v>0</v>
      </c>
      <c r="CQ287" s="220">
        <v>0</v>
      </c>
      <c r="CR287" s="220"/>
      <c r="CS287" s="217">
        <v>5</v>
      </c>
      <c r="CT287" s="217">
        <v>2</v>
      </c>
      <c r="CU287" s="217">
        <v>8</v>
      </c>
      <c r="CV287" s="220" t="s">
        <v>543</v>
      </c>
      <c r="CW287" s="220" t="b">
        <v>1</v>
      </c>
      <c r="CX287" s="248" t="s">
        <v>273</v>
      </c>
      <c r="DB287" s="12">
        <v>170501</v>
      </c>
      <c r="DC287" s="12" t="b">
        <v>1</v>
      </c>
      <c r="DD287" s="12" t="s">
        <v>274</v>
      </c>
      <c r="DE287" s="12" t="s">
        <v>524</v>
      </c>
      <c r="DF287" s="12" t="s">
        <v>276</v>
      </c>
      <c r="DG287" s="12" t="s">
        <v>322</v>
      </c>
      <c r="DH287" s="217">
        <v>4</v>
      </c>
      <c r="DI287" s="247" t="b">
        <v>0</v>
      </c>
      <c r="DJ287" s="262"/>
      <c r="DP287" s="96" t="s">
        <v>323</v>
      </c>
      <c r="DQ287" s="231" t="s">
        <v>544</v>
      </c>
      <c r="DR287" s="57" t="e">
        <f t="shared" si="5"/>
        <v>#VALUE!</v>
      </c>
      <c r="DS287" s="231" t="s">
        <v>545</v>
      </c>
      <c r="DU287" s="1" t="s">
        <v>280</v>
      </c>
      <c r="DV287" s="235"/>
      <c r="DZ287" s="275">
        <v>1</v>
      </c>
      <c r="EA287" s="276" t="s">
        <v>281</v>
      </c>
      <c r="EB287" s="276" t="s">
        <v>282</v>
      </c>
      <c r="EC287" s="276" t="s">
        <v>283</v>
      </c>
      <c r="ED287" s="276" t="s">
        <v>283</v>
      </c>
      <c r="EE287" s="12" t="s">
        <v>284</v>
      </c>
      <c r="EF287" s="12" t="s">
        <v>326</v>
      </c>
      <c r="EG287" s="12" t="e">
        <v>#VALUE!</v>
      </c>
      <c r="EH287" s="12" t="s">
        <v>285</v>
      </c>
      <c r="EI287" s="12" t="s">
        <v>327</v>
      </c>
      <c r="EJ287" s="12" t="e">
        <v>#VALUE!</v>
      </c>
      <c r="EK287" s="12" t="s">
        <v>286</v>
      </c>
      <c r="EL287" s="12" t="s">
        <v>328</v>
      </c>
      <c r="EM287" s="12" t="e">
        <v>#VALUE!</v>
      </c>
      <c r="EN287" s="12" t="s">
        <v>287</v>
      </c>
      <c r="EO287" s="12" t="s">
        <v>328</v>
      </c>
      <c r="EP287" s="12" t="e">
        <v>#VALUE!</v>
      </c>
    </row>
    <row r="288" spans="1:149" s="12" customFormat="1" ht="57" customHeight="1" x14ac:dyDescent="0.15">
      <c r="A288" s="13"/>
      <c r="B288" s="219"/>
      <c r="C288" s="40"/>
      <c r="D288" s="13"/>
      <c r="H288" s="220"/>
      <c r="I288" s="220"/>
      <c r="J288" s="220"/>
      <c r="K288" s="220"/>
      <c r="L288" s="220"/>
      <c r="M288" s="220"/>
      <c r="N288" s="220"/>
      <c r="O288" s="220"/>
      <c r="P288" s="220"/>
      <c r="Q288" s="220"/>
      <c r="X288" s="220"/>
      <c r="Y288" s="220"/>
      <c r="Z288" s="220"/>
      <c r="AA288" s="220"/>
      <c r="AB288" s="220">
        <v>17050301</v>
      </c>
      <c r="AC288" s="231" t="s">
        <v>329</v>
      </c>
      <c r="AD288" s="220" t="s">
        <v>330</v>
      </c>
      <c r="AE288" s="220" t="s">
        <v>291</v>
      </c>
      <c r="AF288" s="220" t="s">
        <v>314</v>
      </c>
      <c r="AJ288" s="220"/>
      <c r="AK288" s="220"/>
      <c r="AL288" s="235"/>
      <c r="AM288" s="235"/>
      <c r="AN288" s="235"/>
      <c r="AO288" s="235"/>
      <c r="AP288" s="235"/>
      <c r="AQ288" s="235"/>
      <c r="AR288" s="235"/>
      <c r="AU288" s="235"/>
      <c r="AV288" s="235"/>
      <c r="AW288" s="235"/>
      <c r="AX288" s="235"/>
      <c r="AY288" s="235"/>
      <c r="AZ288" s="235"/>
      <c r="BA288" s="242" t="s">
        <v>331</v>
      </c>
      <c r="BB288" s="220">
        <v>0.15</v>
      </c>
      <c r="BC288" s="220">
        <v>0</v>
      </c>
      <c r="BF288" s="12">
        <v>0</v>
      </c>
      <c r="BG288" s="12">
        <v>0</v>
      </c>
      <c r="BH288" s="12">
        <v>0</v>
      </c>
      <c r="CF288" s="220"/>
      <c r="CG288" s="220"/>
      <c r="CH288" s="220"/>
      <c r="CI288" s="220"/>
      <c r="CJ288" s="220"/>
      <c r="CK288" s="220"/>
      <c r="CL288" s="220"/>
      <c r="CM288" s="220"/>
      <c r="CN288" s="220"/>
      <c r="CO288" s="220"/>
      <c r="CP288" s="220"/>
      <c r="CQ288" s="220"/>
      <c r="CR288" s="220"/>
      <c r="CS288" s="217"/>
      <c r="CT288" s="217"/>
      <c r="CU288" s="217"/>
      <c r="CV288" s="220"/>
      <c r="CW288" s="220"/>
      <c r="CX288" s="220"/>
      <c r="DH288" s="217"/>
      <c r="DI288" s="217"/>
      <c r="DP288" s="96"/>
      <c r="DQ288" s="231"/>
      <c r="DR288" s="57" t="str">
        <f t="shared" si="5"/>
        <v/>
      </c>
      <c r="DS288" s="231"/>
      <c r="DU288" s="1" t="s">
        <v>280</v>
      </c>
      <c r="DV288" s="235"/>
      <c r="DY288" s="235"/>
      <c r="EA288" s="235"/>
      <c r="EB288" s="235"/>
      <c r="EC288" s="235"/>
      <c r="ED288" s="235"/>
    </row>
    <row r="289" spans="1:146" s="12" customFormat="1" ht="15" customHeight="1" x14ac:dyDescent="0.15">
      <c r="A289" s="13"/>
      <c r="B289" s="219"/>
      <c r="C289" s="40"/>
      <c r="D289" s="13"/>
      <c r="H289" s="220"/>
      <c r="I289" s="220"/>
      <c r="J289" s="220"/>
      <c r="K289" s="220"/>
      <c r="L289" s="220"/>
      <c r="M289" s="220"/>
      <c r="N289" s="220"/>
      <c r="O289" s="220"/>
      <c r="P289" s="220"/>
      <c r="Q289" s="220"/>
      <c r="X289" s="220"/>
      <c r="Y289" s="220"/>
      <c r="Z289" s="220"/>
      <c r="AA289" s="220"/>
      <c r="AB289" s="220">
        <v>17050302</v>
      </c>
      <c r="AC289" s="231" t="s">
        <v>332</v>
      </c>
      <c r="AD289" s="220" t="s">
        <v>333</v>
      </c>
      <c r="AE289" s="220" t="s">
        <v>291</v>
      </c>
      <c r="AF289" s="220" t="s">
        <v>314</v>
      </c>
      <c r="AJ289" s="220">
        <v>-1</v>
      </c>
      <c r="AK289" s="220"/>
      <c r="AL289" s="235"/>
      <c r="AM289" s="235"/>
      <c r="AN289" s="235"/>
      <c r="AO289" s="235"/>
      <c r="AP289" s="235"/>
      <c r="AQ289" s="235"/>
      <c r="AR289" s="235"/>
      <c r="AU289" s="235"/>
      <c r="AV289" s="235"/>
      <c r="AW289" s="235"/>
      <c r="AX289" s="235"/>
      <c r="AY289" s="235"/>
      <c r="AZ289" s="235"/>
      <c r="BA289" s="242"/>
      <c r="BB289" s="220">
        <v>1</v>
      </c>
      <c r="BC289" s="220"/>
      <c r="CF289" s="220"/>
      <c r="CG289" s="220"/>
      <c r="CH289" s="220"/>
      <c r="CI289" s="220"/>
      <c r="CJ289" s="220"/>
      <c r="CK289" s="220"/>
      <c r="CL289" s="220"/>
      <c r="CM289" s="220"/>
      <c r="CN289" s="220"/>
      <c r="CO289" s="220"/>
      <c r="CP289" s="220"/>
      <c r="CQ289" s="220"/>
      <c r="CR289" s="220"/>
      <c r="CS289" s="217"/>
      <c r="CT289" s="217"/>
      <c r="CU289" s="217"/>
      <c r="CV289" s="220"/>
      <c r="CW289" s="220"/>
      <c r="CX289" s="220"/>
      <c r="DH289" s="217"/>
      <c r="DI289" s="217"/>
      <c r="DP289" s="96"/>
      <c r="DQ289" s="231"/>
      <c r="DR289" s="57" t="str">
        <f t="shared" si="5"/>
        <v/>
      </c>
      <c r="DS289" s="231"/>
      <c r="DU289" s="1" t="s">
        <v>280</v>
      </c>
      <c r="DV289" s="235"/>
      <c r="DY289" s="235"/>
      <c r="EA289" s="235"/>
      <c r="EB289" s="235"/>
      <c r="EC289" s="235"/>
      <c r="ED289" s="235"/>
    </row>
    <row r="290" spans="1:146" s="12" customFormat="1" ht="55.5" customHeight="1" x14ac:dyDescent="0.15">
      <c r="A290" s="13">
        <v>172008</v>
      </c>
      <c r="B290" s="221" t="s">
        <v>546</v>
      </c>
      <c r="C290" s="40" t="s">
        <v>547</v>
      </c>
      <c r="D290" s="13" t="s">
        <v>548</v>
      </c>
      <c r="H290" s="220">
        <v>0</v>
      </c>
      <c r="I290" s="220"/>
      <c r="J290" s="220"/>
      <c r="K290" s="220"/>
      <c r="L290" s="220">
        <v>0</v>
      </c>
      <c r="M290" s="220"/>
      <c r="N290" s="220"/>
      <c r="O290" s="220"/>
      <c r="P290" s="220" t="s">
        <v>268</v>
      </c>
      <c r="Q290" s="220" t="s">
        <v>269</v>
      </c>
      <c r="X290" s="220">
        <v>1</v>
      </c>
      <c r="Y290" s="220">
        <v>0</v>
      </c>
      <c r="Z290" s="220">
        <v>0</v>
      </c>
      <c r="AA290" s="220"/>
      <c r="AB290" s="220">
        <v>3001</v>
      </c>
      <c r="AC290" s="220" t="s">
        <v>337</v>
      </c>
      <c r="AD290" s="220"/>
      <c r="AE290" s="220" t="s">
        <v>129</v>
      </c>
      <c r="AF290" s="220" t="s">
        <v>314</v>
      </c>
      <c r="AJ290" s="220"/>
      <c r="AK290" s="220"/>
      <c r="AL290" s="235"/>
      <c r="AM290" s="235"/>
      <c r="AN290" s="235"/>
      <c r="AO290" s="235"/>
      <c r="AP290" s="235"/>
      <c r="AQ290" s="235"/>
      <c r="AR290" s="235"/>
      <c r="AU290" s="235"/>
      <c r="AV290" s="235"/>
      <c r="AW290" s="235"/>
      <c r="AX290" s="235"/>
      <c r="AY290" s="235"/>
      <c r="AZ290" s="235"/>
      <c r="BA290" s="242" t="s">
        <v>270</v>
      </c>
      <c r="BB290" s="220">
        <v>200</v>
      </c>
      <c r="BC290" s="220">
        <v>0</v>
      </c>
      <c r="BF290" s="12">
        <v>0</v>
      </c>
      <c r="BG290" s="12">
        <v>0</v>
      </c>
      <c r="BH290" s="12">
        <v>0</v>
      </c>
      <c r="BJ290" s="12" t="s">
        <v>270</v>
      </c>
      <c r="BS290" s="12" t="s">
        <v>270</v>
      </c>
      <c r="CF290" s="220" t="s">
        <v>271</v>
      </c>
      <c r="CG290" s="220"/>
      <c r="CH290" s="220"/>
      <c r="CI290" s="220"/>
      <c r="CJ290" s="220" t="s">
        <v>3</v>
      </c>
      <c r="CK290" s="231" t="s">
        <v>486</v>
      </c>
      <c r="CL290" s="231"/>
      <c r="CM290" s="220">
        <v>999</v>
      </c>
      <c r="CN290" s="220">
        <v>0</v>
      </c>
      <c r="CO290" s="220">
        <v>0</v>
      </c>
      <c r="CP290" s="220">
        <v>0</v>
      </c>
      <c r="CQ290" s="220">
        <v>0</v>
      </c>
      <c r="CR290" s="220"/>
      <c r="CS290" s="217">
        <v>4</v>
      </c>
      <c r="CT290" s="217"/>
      <c r="CU290" s="217">
        <v>5</v>
      </c>
      <c r="CV290" s="220" t="s">
        <v>549</v>
      </c>
      <c r="CW290" s="220" t="b">
        <v>0</v>
      </c>
      <c r="CX290" s="248" t="s">
        <v>273</v>
      </c>
      <c r="DB290" s="12">
        <v>100300</v>
      </c>
      <c r="DC290" s="12" t="b">
        <v>1</v>
      </c>
      <c r="DD290" s="12" t="s">
        <v>274</v>
      </c>
      <c r="DE290" s="12" t="s">
        <v>321</v>
      </c>
      <c r="DF290" s="12" t="s">
        <v>276</v>
      </c>
      <c r="DG290" s="12" t="s">
        <v>277</v>
      </c>
      <c r="DH290" s="217">
        <v>4</v>
      </c>
      <c r="DI290" s="247" t="b">
        <v>0</v>
      </c>
      <c r="DJ290" s="262"/>
      <c r="DM290" s="236"/>
      <c r="DP290" s="96" t="s">
        <v>341</v>
      </c>
      <c r="DQ290" s="231" t="s">
        <v>550</v>
      </c>
      <c r="DR290" s="57" t="e">
        <f t="shared" si="5"/>
        <v>#VALUE!</v>
      </c>
      <c r="DS290" s="231" t="s">
        <v>551</v>
      </c>
      <c r="DT290" s="265"/>
      <c r="DU290" s="1" t="s">
        <v>280</v>
      </c>
      <c r="DV290" s="235"/>
      <c r="DZ290" s="275">
        <v>1</v>
      </c>
      <c r="EA290" s="276" t="s">
        <v>281</v>
      </c>
      <c r="EB290" s="276" t="s">
        <v>282</v>
      </c>
      <c r="EC290" s="276" t="s">
        <v>283</v>
      </c>
      <c r="ED290" s="276" t="s">
        <v>283</v>
      </c>
      <c r="EE290" s="12" t="s">
        <v>284</v>
      </c>
      <c r="EF290" s="12" t="s">
        <v>326</v>
      </c>
      <c r="EG290" s="12" t="e">
        <v>#VALUE!</v>
      </c>
      <c r="EH290" s="12" t="s">
        <v>285</v>
      </c>
      <c r="EI290" s="12" t="s">
        <v>344</v>
      </c>
      <c r="EJ290" s="12" t="e">
        <v>#VALUE!</v>
      </c>
      <c r="EK290" s="12" t="s">
        <v>286</v>
      </c>
      <c r="EL290" s="12" t="s">
        <v>345</v>
      </c>
      <c r="EM290" s="12" t="e">
        <v>#VALUE!</v>
      </c>
      <c r="EN290" s="12" t="s">
        <v>287</v>
      </c>
      <c r="EO290" s="12" t="s">
        <v>345</v>
      </c>
      <c r="EP290" s="12" t="e">
        <v>#VALUE!</v>
      </c>
    </row>
    <row r="291" spans="1:146" s="12" customFormat="1" ht="57" customHeight="1" x14ac:dyDescent="0.15">
      <c r="A291" s="13"/>
      <c r="B291" s="219"/>
      <c r="C291" s="40"/>
      <c r="D291" s="13"/>
      <c r="H291" s="220"/>
      <c r="I291" s="220"/>
      <c r="J291" s="220"/>
      <c r="K291" s="220"/>
      <c r="L291" s="220"/>
      <c r="M291" s="220"/>
      <c r="N291" s="220"/>
      <c r="O291" s="220"/>
      <c r="P291" s="220"/>
      <c r="Q291" s="220"/>
      <c r="X291" s="220"/>
      <c r="Y291" s="220"/>
      <c r="Z291" s="220"/>
      <c r="AA291" s="220"/>
      <c r="AB291" s="220">
        <v>10240102</v>
      </c>
      <c r="AC291" s="220" t="s">
        <v>346</v>
      </c>
      <c r="AD291" s="220"/>
      <c r="AE291" s="220" t="s">
        <v>129</v>
      </c>
      <c r="AF291" s="220" t="s">
        <v>314</v>
      </c>
      <c r="AG291" s="236"/>
      <c r="AH291" s="236"/>
      <c r="AI291" s="236"/>
      <c r="AJ291" s="220">
        <v>3</v>
      </c>
      <c r="AK291" s="220"/>
      <c r="BA291" s="220"/>
      <c r="BB291" s="220">
        <v>1</v>
      </c>
      <c r="BC291" s="220"/>
      <c r="CF291" s="220"/>
      <c r="CG291" s="220"/>
      <c r="CH291" s="220"/>
      <c r="CI291" s="220"/>
      <c r="CJ291" s="220"/>
      <c r="CK291" s="220"/>
      <c r="CL291" s="220"/>
      <c r="CM291" s="220"/>
      <c r="CN291" s="220"/>
      <c r="CO291" s="220"/>
      <c r="CP291" s="220"/>
      <c r="CQ291" s="220"/>
      <c r="CR291" s="220"/>
      <c r="CS291" s="217"/>
      <c r="CT291" s="217"/>
      <c r="CU291" s="217"/>
      <c r="CV291" s="220"/>
      <c r="CW291" s="220"/>
      <c r="CX291" s="220"/>
      <c r="DH291" s="217"/>
      <c r="DI291" s="217"/>
      <c r="DP291" s="96"/>
      <c r="DQ291" s="220"/>
      <c r="DR291" s="57" t="str">
        <f t="shared" si="5"/>
        <v/>
      </c>
      <c r="DS291" s="220"/>
      <c r="DU291" s="1" t="s">
        <v>280</v>
      </c>
      <c r="DV291" s="235"/>
      <c r="DY291" s="235"/>
      <c r="EA291" s="235"/>
      <c r="EB291" s="235"/>
      <c r="EC291" s="235"/>
      <c r="ED291" s="235"/>
    </row>
    <row r="292" spans="1:146" s="12" customFormat="1" ht="39" customHeight="1" x14ac:dyDescent="0.15">
      <c r="A292" s="13">
        <v>172009</v>
      </c>
      <c r="B292" s="219" t="s">
        <v>552</v>
      </c>
      <c r="C292" s="40" t="s">
        <v>553</v>
      </c>
      <c r="D292" s="13" t="s">
        <v>554</v>
      </c>
      <c r="H292" s="220">
        <v>0</v>
      </c>
      <c r="I292" s="220"/>
      <c r="J292" s="220"/>
      <c r="K292" s="220"/>
      <c r="L292" s="220">
        <v>0</v>
      </c>
      <c r="M292" s="220"/>
      <c r="N292" s="220"/>
      <c r="O292" s="220"/>
      <c r="P292" s="220" t="s">
        <v>268</v>
      </c>
      <c r="Q292" s="220" t="s">
        <v>269</v>
      </c>
      <c r="X292" s="220">
        <v>1</v>
      </c>
      <c r="Y292" s="220">
        <v>0</v>
      </c>
      <c r="Z292" s="220">
        <v>0</v>
      </c>
      <c r="AA292" s="220"/>
      <c r="AB292" s="220">
        <v>3001</v>
      </c>
      <c r="AC292" s="220" t="s">
        <v>337</v>
      </c>
      <c r="AD292" s="220" t="s">
        <v>330</v>
      </c>
      <c r="AE292" s="220"/>
      <c r="AF292" s="220"/>
      <c r="AJ292" s="220"/>
      <c r="AK292" s="220"/>
      <c r="AL292" s="235"/>
      <c r="AM292" s="235"/>
      <c r="AN292" s="235"/>
      <c r="AO292" s="235"/>
      <c r="AP292" s="235"/>
      <c r="AQ292" s="235"/>
      <c r="AR292" s="235"/>
      <c r="AU292" s="235"/>
      <c r="AV292" s="235"/>
      <c r="AW292" s="235"/>
      <c r="AX292" s="235"/>
      <c r="AY292" s="235"/>
      <c r="AZ292" s="235"/>
      <c r="BA292" s="242" t="s">
        <v>270</v>
      </c>
      <c r="BB292" s="220">
        <v>150</v>
      </c>
      <c r="BC292" s="220">
        <v>0</v>
      </c>
      <c r="BF292" s="12">
        <v>0</v>
      </c>
      <c r="BG292" s="12">
        <v>0</v>
      </c>
      <c r="BH292" s="12">
        <v>0</v>
      </c>
      <c r="BJ292" s="12" t="s">
        <v>270</v>
      </c>
      <c r="BS292" s="12" t="s">
        <v>270</v>
      </c>
      <c r="CF292" s="220" t="s">
        <v>378</v>
      </c>
      <c r="CG292" s="220"/>
      <c r="CH292" s="220"/>
      <c r="CI292" s="220"/>
      <c r="CJ292" s="220" t="s">
        <v>1</v>
      </c>
      <c r="CK292" s="231" t="s">
        <v>379</v>
      </c>
      <c r="CL292" s="231"/>
      <c r="CM292" s="220">
        <v>999</v>
      </c>
      <c r="CN292" s="220">
        <v>0</v>
      </c>
      <c r="CO292" s="220">
        <v>0</v>
      </c>
      <c r="CP292" s="220">
        <v>0</v>
      </c>
      <c r="CQ292" s="220">
        <v>0</v>
      </c>
      <c r="CR292" s="220"/>
      <c r="CS292" s="217">
        <v>5</v>
      </c>
      <c r="CT292" s="217"/>
      <c r="CU292" s="217">
        <v>10</v>
      </c>
      <c r="CV292" s="220" t="s">
        <v>555</v>
      </c>
      <c r="CW292" s="220" t="b">
        <v>0</v>
      </c>
      <c r="CX292" s="248" t="s">
        <v>273</v>
      </c>
      <c r="DB292" s="12">
        <v>102401</v>
      </c>
      <c r="DC292" s="12" t="b">
        <v>1</v>
      </c>
      <c r="DD292" s="254" t="s">
        <v>274</v>
      </c>
      <c r="DE292" s="236" t="s">
        <v>537</v>
      </c>
      <c r="DF292" s="254" t="s">
        <v>276</v>
      </c>
      <c r="DG292" s="254" t="s">
        <v>293</v>
      </c>
      <c r="DH292" s="255">
        <v>4</v>
      </c>
      <c r="DI292" s="255" t="b">
        <v>0</v>
      </c>
      <c r="DJ292" s="254"/>
      <c r="DP292" s="96" t="s">
        <v>381</v>
      </c>
      <c r="DQ292" s="266" t="s">
        <v>556</v>
      </c>
      <c r="DR292" s="57" t="e">
        <f t="shared" si="5"/>
        <v>#VALUE!</v>
      </c>
      <c r="DS292" s="266" t="s">
        <v>557</v>
      </c>
      <c r="DT292" s="267"/>
      <c r="DU292" s="1" t="s">
        <v>280</v>
      </c>
      <c r="DV292" s="235"/>
      <c r="DZ292" s="275">
        <v>1</v>
      </c>
      <c r="EA292" s="276" t="s">
        <v>281</v>
      </c>
      <c r="EB292" s="276" t="s">
        <v>282</v>
      </c>
      <c r="EC292" s="276" t="s">
        <v>283</v>
      </c>
      <c r="ED292" s="276" t="s">
        <v>283</v>
      </c>
      <c r="EE292" s="12" t="s">
        <v>284</v>
      </c>
      <c r="EF292" s="12" t="s">
        <v>326</v>
      </c>
      <c r="EG292" s="12" t="e">
        <v>#VALUE!</v>
      </c>
      <c r="EH292" s="12" t="s">
        <v>285</v>
      </c>
      <c r="EI292" s="12" t="s">
        <v>344</v>
      </c>
      <c r="EJ292" s="12" t="e">
        <v>#VALUE!</v>
      </c>
      <c r="EK292" s="12" t="s">
        <v>286</v>
      </c>
      <c r="EL292" s="12" t="s">
        <v>328</v>
      </c>
      <c r="EM292" s="12" t="e">
        <v>#VALUE!</v>
      </c>
      <c r="EN292" s="12" t="s">
        <v>287</v>
      </c>
      <c r="EO292" s="12" t="s">
        <v>328</v>
      </c>
      <c r="EP292" s="12" t="e">
        <v>#VALUE!</v>
      </c>
    </row>
    <row r="293" spans="1:146" s="12" customFormat="1" ht="15" customHeight="1" x14ac:dyDescent="0.15">
      <c r="A293" s="13"/>
      <c r="B293" s="219"/>
      <c r="C293" s="40"/>
      <c r="D293" s="13"/>
      <c r="H293" s="220"/>
      <c r="I293" s="220"/>
      <c r="J293" s="220"/>
      <c r="K293" s="220"/>
      <c r="L293" s="220"/>
      <c r="M293" s="220"/>
      <c r="N293" s="220"/>
      <c r="O293" s="220"/>
      <c r="P293" s="220"/>
      <c r="Q293" s="220"/>
      <c r="X293" s="220"/>
      <c r="Y293" s="220"/>
      <c r="Z293" s="220"/>
      <c r="AA293" s="220"/>
      <c r="AB293" s="231">
        <v>17050501</v>
      </c>
      <c r="AC293" s="220" t="s">
        <v>384</v>
      </c>
      <c r="AD293" s="220" t="s">
        <v>330</v>
      </c>
      <c r="AE293" s="220" t="s">
        <v>291</v>
      </c>
      <c r="AF293" s="220" t="s">
        <v>314</v>
      </c>
      <c r="AJ293" s="220"/>
      <c r="AK293" s="220"/>
      <c r="BA293" s="220"/>
      <c r="BB293" s="220">
        <v>1</v>
      </c>
      <c r="BC293" s="220"/>
      <c r="CF293" s="220"/>
      <c r="CG293" s="220"/>
      <c r="CH293" s="220"/>
      <c r="CI293" s="220"/>
      <c r="CJ293" s="220"/>
      <c r="CK293" s="220"/>
      <c r="CL293" s="220"/>
      <c r="CM293" s="220"/>
      <c r="CN293" s="220"/>
      <c r="CO293" s="220"/>
      <c r="CP293" s="220"/>
      <c r="CQ293" s="220"/>
      <c r="CR293" s="220"/>
      <c r="CS293" s="220"/>
      <c r="CT293" s="220"/>
      <c r="CU293" s="220"/>
      <c r="CV293" s="220"/>
      <c r="CW293" s="220"/>
      <c r="CX293" s="220"/>
      <c r="DH293" s="217"/>
      <c r="DI293" s="217"/>
      <c r="DP293" s="96"/>
      <c r="DQ293" s="220"/>
      <c r="DR293" s="57" t="str">
        <f t="shared" si="5"/>
        <v/>
      </c>
      <c r="DS293" s="220"/>
      <c r="DU293" s="1" t="s">
        <v>280</v>
      </c>
      <c r="DV293" s="235"/>
      <c r="DY293" s="235"/>
      <c r="EA293" s="235"/>
      <c r="EB293" s="235"/>
      <c r="EC293" s="235"/>
      <c r="ED293" s="235"/>
    </row>
    <row r="294" spans="1:146" s="12" customFormat="1" ht="14.25" customHeight="1" x14ac:dyDescent="0.15">
      <c r="A294" s="13"/>
      <c r="B294" s="219"/>
      <c r="C294" s="40"/>
      <c r="D294" s="13"/>
      <c r="H294" s="220"/>
      <c r="I294" s="220"/>
      <c r="J294" s="220"/>
      <c r="K294" s="220"/>
      <c r="L294" s="220"/>
      <c r="M294" s="220"/>
      <c r="N294" s="220"/>
      <c r="O294" s="220"/>
      <c r="P294" s="220"/>
      <c r="Q294" s="220"/>
      <c r="X294" s="220"/>
      <c r="Y294" s="220"/>
      <c r="Z294" s="220"/>
      <c r="AA294" s="220"/>
      <c r="AB294" s="231">
        <v>17050502</v>
      </c>
      <c r="AC294" s="220" t="s">
        <v>385</v>
      </c>
      <c r="AD294" s="220"/>
      <c r="AE294" s="220" t="s">
        <v>291</v>
      </c>
      <c r="AF294" s="220" t="s">
        <v>314</v>
      </c>
      <c r="AJ294" s="220">
        <v>8</v>
      </c>
      <c r="AK294" s="220"/>
      <c r="BA294" s="220"/>
      <c r="BB294" s="220">
        <v>1</v>
      </c>
      <c r="BC294" s="220"/>
      <c r="CF294" s="220"/>
      <c r="CG294" s="220"/>
      <c r="CH294" s="220"/>
      <c r="CI294" s="220"/>
      <c r="CJ294" s="220"/>
      <c r="CK294" s="220"/>
      <c r="CL294" s="220"/>
      <c r="CM294" s="220"/>
      <c r="CN294" s="220"/>
      <c r="CO294" s="220"/>
      <c r="CP294" s="220"/>
      <c r="CQ294" s="220"/>
      <c r="CR294" s="220"/>
      <c r="CS294" s="220"/>
      <c r="CT294" s="220"/>
      <c r="CU294" s="220"/>
      <c r="CV294" s="220"/>
      <c r="CW294" s="220"/>
      <c r="CX294" s="220"/>
      <c r="DH294" s="217"/>
      <c r="DI294" s="217"/>
      <c r="DP294" s="96"/>
      <c r="DQ294" s="220"/>
      <c r="DR294" s="57" t="str">
        <f t="shared" si="5"/>
        <v/>
      </c>
      <c r="DS294" s="220"/>
      <c r="DU294" s="1" t="s">
        <v>280</v>
      </c>
      <c r="DV294" s="235"/>
      <c r="DY294" s="235"/>
      <c r="EA294" s="235"/>
      <c r="EB294" s="235"/>
      <c r="EC294" s="235"/>
      <c r="ED294" s="235"/>
    </row>
    <row r="295" spans="1:146" s="12" customFormat="1" x14ac:dyDescent="0.15">
      <c r="A295" s="13"/>
      <c r="B295" s="219"/>
      <c r="C295" s="40"/>
      <c r="D295" s="13"/>
      <c r="H295" s="220"/>
      <c r="I295" s="220"/>
      <c r="J295" s="220"/>
      <c r="K295" s="220"/>
      <c r="L295" s="220"/>
      <c r="M295" s="220"/>
      <c r="N295" s="220"/>
      <c r="O295" s="220"/>
      <c r="P295" s="220"/>
      <c r="Q295" s="220"/>
      <c r="X295" s="220"/>
      <c r="Y295" s="220"/>
      <c r="Z295" s="220"/>
      <c r="AA295" s="220"/>
      <c r="AB295" s="220">
        <v>17050503</v>
      </c>
      <c r="AC295" s="231" t="s">
        <v>386</v>
      </c>
      <c r="AD295" s="220" t="s">
        <v>330</v>
      </c>
      <c r="AE295" s="220" t="s">
        <v>291</v>
      </c>
      <c r="AF295" s="220" t="s">
        <v>314</v>
      </c>
      <c r="AJ295" s="220"/>
      <c r="AK295" s="220"/>
      <c r="AL295" s="235"/>
      <c r="AM295" s="235"/>
      <c r="AN295" s="235"/>
      <c r="AO295" s="235"/>
      <c r="AP295" s="235"/>
      <c r="AQ295" s="235"/>
      <c r="AR295" s="235"/>
      <c r="AU295" s="235"/>
      <c r="AV295" s="235"/>
      <c r="AW295" s="235"/>
      <c r="AX295" s="235"/>
      <c r="AY295" s="235"/>
      <c r="AZ295" s="235"/>
      <c r="BA295" s="242"/>
      <c r="BB295" s="220">
        <v>1</v>
      </c>
      <c r="BC295" s="220"/>
      <c r="CF295" s="220"/>
      <c r="CG295" s="220"/>
      <c r="CH295" s="220"/>
      <c r="CI295" s="220"/>
      <c r="CJ295" s="220"/>
      <c r="CK295" s="220"/>
      <c r="CL295" s="220"/>
      <c r="CM295" s="220"/>
      <c r="CN295" s="220"/>
      <c r="CO295" s="220"/>
      <c r="CP295" s="220"/>
      <c r="CQ295" s="220"/>
      <c r="CR295" s="220"/>
      <c r="CS295" s="220"/>
      <c r="CT295" s="220"/>
      <c r="CU295" s="220"/>
      <c r="CV295" s="220"/>
      <c r="CW295" s="220"/>
      <c r="CX295" s="220"/>
      <c r="DH295" s="217"/>
      <c r="DI295" s="217"/>
      <c r="DP295" s="96"/>
      <c r="DQ295" s="231"/>
      <c r="DR295" s="57" t="str">
        <f t="shared" si="5"/>
        <v/>
      </c>
      <c r="DS295" s="231"/>
      <c r="DU295" s="1" t="s">
        <v>280</v>
      </c>
      <c r="DV295" s="235"/>
      <c r="DY295" s="235"/>
      <c r="EA295" s="235"/>
      <c r="EB295" s="235"/>
      <c r="EC295" s="235"/>
      <c r="ED295" s="235"/>
    </row>
    <row r="296" spans="1:146" s="13" customFormat="1" ht="43.5" customHeight="1" x14ac:dyDescent="0.15">
      <c r="A296" s="2">
        <v>172010</v>
      </c>
      <c r="B296" s="121" t="s">
        <v>558</v>
      </c>
      <c r="C296" s="40" t="s">
        <v>559</v>
      </c>
      <c r="D296" s="2" t="s">
        <v>560</v>
      </c>
      <c r="H296" s="222">
        <v>0</v>
      </c>
      <c r="I296" s="222"/>
      <c r="J296" s="222"/>
      <c r="K296" s="222"/>
      <c r="L296" s="222">
        <v>0</v>
      </c>
      <c r="M296" s="222"/>
      <c r="N296" s="222"/>
      <c r="O296" s="222"/>
      <c r="P296" s="222" t="s">
        <v>268</v>
      </c>
      <c r="Q296" s="222" t="s">
        <v>269</v>
      </c>
      <c r="X296" s="222">
        <v>1</v>
      </c>
      <c r="Y296" s="222">
        <v>0</v>
      </c>
      <c r="Z296" s="222">
        <v>0</v>
      </c>
      <c r="AA296" s="222"/>
      <c r="AB296" s="222">
        <v>3001</v>
      </c>
      <c r="AC296" s="222"/>
      <c r="AD296" s="222"/>
      <c r="AE296" s="222"/>
      <c r="AF296" s="222"/>
      <c r="AJ296" s="222"/>
      <c r="AK296" s="222"/>
      <c r="AL296" s="237"/>
      <c r="AM296" s="237"/>
      <c r="AN296" s="237"/>
      <c r="AO296" s="237"/>
      <c r="AP296" s="237"/>
      <c r="AQ296" s="237"/>
      <c r="AR296" s="237"/>
      <c r="AU296" s="237"/>
      <c r="AV296" s="237"/>
      <c r="AW296" s="237"/>
      <c r="AX296" s="237"/>
      <c r="AY296" s="237"/>
      <c r="AZ296" s="237"/>
      <c r="BA296" s="243" t="s">
        <v>270</v>
      </c>
      <c r="BB296" s="222">
        <v>300</v>
      </c>
      <c r="BC296" s="222">
        <v>0</v>
      </c>
      <c r="BF296" s="13">
        <v>0</v>
      </c>
      <c r="BG296" s="13">
        <v>0</v>
      </c>
      <c r="BH296" s="13">
        <v>0</v>
      </c>
      <c r="BJ296" s="13" t="s">
        <v>270</v>
      </c>
      <c r="BS296" s="13" t="s">
        <v>270</v>
      </c>
      <c r="CF296" s="222" t="s">
        <v>271</v>
      </c>
      <c r="CG296" s="222"/>
      <c r="CH296" s="222"/>
      <c r="CI296" s="222"/>
      <c r="CJ296" s="222" t="s">
        <v>1</v>
      </c>
      <c r="CK296" s="232" t="s">
        <v>308</v>
      </c>
      <c r="CL296" s="232"/>
      <c r="CM296" s="222">
        <v>999</v>
      </c>
      <c r="CN296" s="222">
        <v>0</v>
      </c>
      <c r="CO296" s="222">
        <v>0</v>
      </c>
      <c r="CP296" s="222">
        <v>0</v>
      </c>
      <c r="CQ296" s="222">
        <v>0</v>
      </c>
      <c r="CR296" s="222"/>
      <c r="CS296" s="217">
        <v>5</v>
      </c>
      <c r="CT296" s="217">
        <v>2</v>
      </c>
      <c r="CU296" s="217">
        <v>8</v>
      </c>
      <c r="CV296" s="222" t="s">
        <v>561</v>
      </c>
      <c r="CW296" s="222" t="b">
        <v>1</v>
      </c>
      <c r="CX296" s="249" t="s">
        <v>273</v>
      </c>
      <c r="DB296" s="13">
        <v>170501</v>
      </c>
      <c r="DC296" s="13" t="b">
        <v>1</v>
      </c>
      <c r="DD296" s="13" t="s">
        <v>274</v>
      </c>
      <c r="DE296" s="13" t="s">
        <v>524</v>
      </c>
      <c r="DF296" s="13" t="s">
        <v>276</v>
      </c>
      <c r="DG296" s="13" t="s">
        <v>322</v>
      </c>
      <c r="DH296" s="220">
        <v>4</v>
      </c>
      <c r="DI296" s="248" t="b">
        <v>0</v>
      </c>
      <c r="DJ296" s="263"/>
      <c r="DP296" s="96" t="s">
        <v>323</v>
      </c>
      <c r="DQ296" s="231" t="s">
        <v>562</v>
      </c>
      <c r="DR296" s="57" t="e">
        <f t="shared" si="5"/>
        <v>#VALUE!</v>
      </c>
      <c r="DS296" s="231" t="s">
        <v>563</v>
      </c>
      <c r="DU296" s="1" t="s">
        <v>280</v>
      </c>
      <c r="DV296" s="237"/>
      <c r="DZ296" s="277">
        <v>1</v>
      </c>
      <c r="EA296" s="278" t="s">
        <v>281</v>
      </c>
      <c r="EB296" s="278" t="s">
        <v>282</v>
      </c>
      <c r="EC296" s="278" t="s">
        <v>283</v>
      </c>
      <c r="ED296" s="278" t="s">
        <v>283</v>
      </c>
      <c r="EE296" s="13" t="s">
        <v>284</v>
      </c>
      <c r="EF296" s="13" t="s">
        <v>326</v>
      </c>
      <c r="EG296" s="13" t="e">
        <v>#VALUE!</v>
      </c>
      <c r="EH296" s="13" t="s">
        <v>285</v>
      </c>
      <c r="EI296" s="13" t="s">
        <v>327</v>
      </c>
      <c r="EJ296" s="13" t="e">
        <v>#VALUE!</v>
      </c>
      <c r="EK296" s="13" t="s">
        <v>286</v>
      </c>
      <c r="EL296" s="13" t="s">
        <v>328</v>
      </c>
      <c r="EM296" s="13" t="e">
        <v>#VALUE!</v>
      </c>
      <c r="EN296" s="13" t="s">
        <v>287</v>
      </c>
      <c r="EO296" s="13" t="s">
        <v>328</v>
      </c>
      <c r="EP296" s="13" t="e">
        <v>#VALUE!</v>
      </c>
    </row>
    <row r="297" spans="1:146" s="13" customFormat="1" ht="57" customHeight="1" x14ac:dyDescent="0.15">
      <c r="A297" s="2"/>
      <c r="B297" s="121"/>
      <c r="C297" s="40"/>
      <c r="D297" s="2"/>
      <c r="H297" s="222"/>
      <c r="I297" s="222"/>
      <c r="J297" s="222"/>
      <c r="K297" s="222"/>
      <c r="L297" s="222"/>
      <c r="M297" s="222"/>
      <c r="N297" s="222"/>
      <c r="O297" s="222"/>
      <c r="P297" s="222"/>
      <c r="Q297" s="222"/>
      <c r="X297" s="222"/>
      <c r="Y297" s="222"/>
      <c r="Z297" s="222"/>
      <c r="AA297" s="222"/>
      <c r="AB297" s="222">
        <v>17050301</v>
      </c>
      <c r="AC297" s="232" t="s">
        <v>329</v>
      </c>
      <c r="AD297" s="222" t="s">
        <v>330</v>
      </c>
      <c r="AE297" s="222" t="s">
        <v>291</v>
      </c>
      <c r="AF297" s="222" t="s">
        <v>314</v>
      </c>
      <c r="AJ297" s="222"/>
      <c r="AK297" s="222"/>
      <c r="AL297" s="237"/>
      <c r="AM297" s="237"/>
      <c r="AN297" s="237"/>
      <c r="AO297" s="237"/>
      <c r="AP297" s="237"/>
      <c r="AQ297" s="237"/>
      <c r="AR297" s="237"/>
      <c r="AU297" s="237"/>
      <c r="AV297" s="237"/>
      <c r="AW297" s="237"/>
      <c r="AX297" s="237"/>
      <c r="AY297" s="237"/>
      <c r="AZ297" s="237"/>
      <c r="BA297" s="243" t="s">
        <v>331</v>
      </c>
      <c r="BB297" s="220">
        <v>0.15</v>
      </c>
      <c r="BC297" s="222">
        <v>0</v>
      </c>
      <c r="BF297" s="13">
        <v>0</v>
      </c>
      <c r="BG297" s="13">
        <v>0</v>
      </c>
      <c r="BH297" s="13">
        <v>0</v>
      </c>
      <c r="CF297" s="222"/>
      <c r="CG297" s="222"/>
      <c r="CH297" s="222"/>
      <c r="CI297" s="222"/>
      <c r="CJ297" s="222"/>
      <c r="CK297" s="222"/>
      <c r="CL297" s="222"/>
      <c r="CM297" s="222"/>
      <c r="CN297" s="222"/>
      <c r="CO297" s="222"/>
      <c r="CP297" s="222"/>
      <c r="CQ297" s="222"/>
      <c r="CR297" s="222"/>
      <c r="CS297" s="217"/>
      <c r="CT297" s="217"/>
      <c r="CU297" s="217"/>
      <c r="CV297" s="222"/>
      <c r="CW297" s="222"/>
      <c r="CX297" s="222"/>
      <c r="DH297" s="220"/>
      <c r="DI297" s="220"/>
      <c r="DP297" s="96"/>
      <c r="DQ297" s="232"/>
      <c r="DR297" s="57" t="str">
        <f t="shared" si="5"/>
        <v/>
      </c>
      <c r="DS297" s="232"/>
      <c r="DU297" s="1" t="s">
        <v>280</v>
      </c>
      <c r="DV297" s="237"/>
      <c r="DY297" s="237"/>
      <c r="EA297" s="237"/>
      <c r="EB297" s="237"/>
      <c r="EC297" s="237"/>
      <c r="ED297" s="237"/>
    </row>
    <row r="298" spans="1:146" s="13" customFormat="1" ht="15" customHeight="1" x14ac:dyDescent="0.15">
      <c r="A298" s="2"/>
      <c r="B298" s="121"/>
      <c r="C298" s="40"/>
      <c r="D298" s="2"/>
      <c r="H298" s="222"/>
      <c r="I298" s="222"/>
      <c r="J298" s="222"/>
      <c r="K298" s="222"/>
      <c r="L298" s="222"/>
      <c r="M298" s="222"/>
      <c r="N298" s="222"/>
      <c r="O298" s="222"/>
      <c r="P298" s="222"/>
      <c r="Q298" s="222"/>
      <c r="X298" s="222"/>
      <c r="Y298" s="222"/>
      <c r="Z298" s="222"/>
      <c r="AA298" s="222"/>
      <c r="AB298" s="222">
        <v>17050302</v>
      </c>
      <c r="AC298" s="232" t="s">
        <v>332</v>
      </c>
      <c r="AD298" s="222" t="s">
        <v>333</v>
      </c>
      <c r="AE298" s="222" t="s">
        <v>291</v>
      </c>
      <c r="AF298" s="222" t="s">
        <v>314</v>
      </c>
      <c r="AJ298" s="222">
        <v>-1</v>
      </c>
      <c r="AK298" s="222"/>
      <c r="AL298" s="237"/>
      <c r="AM298" s="237"/>
      <c r="AN298" s="237"/>
      <c r="AO298" s="237"/>
      <c r="AP298" s="237"/>
      <c r="AQ298" s="237"/>
      <c r="AR298" s="237"/>
      <c r="AU298" s="237"/>
      <c r="AV298" s="237"/>
      <c r="AW298" s="237"/>
      <c r="AX298" s="237"/>
      <c r="AY298" s="237"/>
      <c r="AZ298" s="237"/>
      <c r="BA298" s="243"/>
      <c r="BB298" s="222">
        <v>1</v>
      </c>
      <c r="BC298" s="222"/>
      <c r="CF298" s="222"/>
      <c r="CG298" s="222"/>
      <c r="CH298" s="222"/>
      <c r="CI298" s="222"/>
      <c r="CJ298" s="222"/>
      <c r="CK298" s="222"/>
      <c r="CL298" s="222"/>
      <c r="CM298" s="222"/>
      <c r="CN298" s="222"/>
      <c r="CO298" s="222"/>
      <c r="CP298" s="222"/>
      <c r="CQ298" s="222"/>
      <c r="CR298" s="222"/>
      <c r="CS298" s="217"/>
      <c r="CT298" s="217"/>
      <c r="CU298" s="217"/>
      <c r="CV298" s="222"/>
      <c r="CW298" s="222"/>
      <c r="CX298" s="222"/>
      <c r="DH298" s="220"/>
      <c r="DI298" s="220"/>
      <c r="DP298" s="96"/>
      <c r="DQ298" s="232"/>
      <c r="DR298" s="57" t="str">
        <f t="shared" si="5"/>
        <v/>
      </c>
      <c r="DS298" s="232"/>
      <c r="DU298" s="1" t="s">
        <v>280</v>
      </c>
      <c r="DV298" s="237"/>
      <c r="DY298" s="237"/>
      <c r="EA298" s="237"/>
      <c r="EB298" s="237"/>
      <c r="EC298" s="237"/>
      <c r="ED298" s="237"/>
    </row>
    <row r="299" spans="1:146" s="13" customFormat="1" ht="55.5" customHeight="1" x14ac:dyDescent="0.15">
      <c r="A299" s="2">
        <v>172011</v>
      </c>
      <c r="B299" s="223" t="s">
        <v>564</v>
      </c>
      <c r="C299" s="40" t="s">
        <v>565</v>
      </c>
      <c r="D299" s="2" t="s">
        <v>566</v>
      </c>
      <c r="H299" s="222">
        <v>0</v>
      </c>
      <c r="I299" s="222"/>
      <c r="J299" s="222"/>
      <c r="K299" s="222"/>
      <c r="L299" s="222">
        <v>0</v>
      </c>
      <c r="M299" s="222"/>
      <c r="N299" s="222"/>
      <c r="O299" s="222"/>
      <c r="P299" s="222" t="s">
        <v>268</v>
      </c>
      <c r="Q299" s="222" t="s">
        <v>269</v>
      </c>
      <c r="X299" s="222">
        <v>1</v>
      </c>
      <c r="Y299" s="222">
        <v>0</v>
      </c>
      <c r="Z299" s="222">
        <v>0</v>
      </c>
      <c r="AA299" s="222"/>
      <c r="AB299" s="222">
        <v>3001</v>
      </c>
      <c r="AC299" s="222" t="s">
        <v>337</v>
      </c>
      <c r="AD299" s="222"/>
      <c r="AE299" s="222" t="s">
        <v>129</v>
      </c>
      <c r="AF299" s="222" t="s">
        <v>314</v>
      </c>
      <c r="AJ299" s="222"/>
      <c r="AK299" s="222"/>
      <c r="AL299" s="237"/>
      <c r="AM299" s="237"/>
      <c r="AN299" s="237"/>
      <c r="AO299" s="237"/>
      <c r="AP299" s="237"/>
      <c r="AQ299" s="237"/>
      <c r="AR299" s="237"/>
      <c r="AU299" s="237"/>
      <c r="AV299" s="237"/>
      <c r="AW299" s="237"/>
      <c r="AX299" s="237"/>
      <c r="AY299" s="237"/>
      <c r="AZ299" s="237"/>
      <c r="BA299" s="243" t="s">
        <v>270</v>
      </c>
      <c r="BB299" s="222">
        <v>200</v>
      </c>
      <c r="BC299" s="222">
        <v>0</v>
      </c>
      <c r="BF299" s="13">
        <v>0</v>
      </c>
      <c r="BG299" s="13">
        <v>0</v>
      </c>
      <c r="BH299" s="13">
        <v>0</v>
      </c>
      <c r="BJ299" s="13" t="s">
        <v>270</v>
      </c>
      <c r="BS299" s="13" t="s">
        <v>270</v>
      </c>
      <c r="CF299" s="222" t="s">
        <v>271</v>
      </c>
      <c r="CG299" s="222"/>
      <c r="CH299" s="222"/>
      <c r="CI299" s="222"/>
      <c r="CJ299" s="222" t="s">
        <v>3</v>
      </c>
      <c r="CK299" s="232" t="s">
        <v>486</v>
      </c>
      <c r="CL299" s="232"/>
      <c r="CM299" s="222">
        <v>999</v>
      </c>
      <c r="CN299" s="222">
        <v>0</v>
      </c>
      <c r="CO299" s="222">
        <v>0</v>
      </c>
      <c r="CP299" s="222">
        <v>0</v>
      </c>
      <c r="CQ299" s="222">
        <v>0</v>
      </c>
      <c r="CR299" s="222"/>
      <c r="CS299" s="217">
        <v>4</v>
      </c>
      <c r="CT299" s="217"/>
      <c r="CU299" s="217">
        <v>5</v>
      </c>
      <c r="CV299" s="222" t="s">
        <v>567</v>
      </c>
      <c r="CW299" s="222" t="b">
        <v>0</v>
      </c>
      <c r="CX299" s="249" t="s">
        <v>273</v>
      </c>
      <c r="DB299" s="13">
        <v>100300</v>
      </c>
      <c r="DC299" s="13" t="b">
        <v>1</v>
      </c>
      <c r="DD299" s="13" t="s">
        <v>274</v>
      </c>
      <c r="DE299" s="13" t="s">
        <v>321</v>
      </c>
      <c r="DF299" s="13" t="s">
        <v>276</v>
      </c>
      <c r="DG299" s="13" t="s">
        <v>277</v>
      </c>
      <c r="DH299" s="220">
        <v>4</v>
      </c>
      <c r="DI299" s="248" t="b">
        <v>0</v>
      </c>
      <c r="DJ299" s="263"/>
      <c r="DM299" s="238"/>
      <c r="DP299" s="96" t="s">
        <v>341</v>
      </c>
      <c r="DQ299" s="231" t="s">
        <v>568</v>
      </c>
      <c r="DR299" s="57" t="e">
        <f t="shared" si="5"/>
        <v>#VALUE!</v>
      </c>
      <c r="DS299" s="231" t="s">
        <v>569</v>
      </c>
      <c r="DT299" s="268"/>
      <c r="DU299" s="1" t="s">
        <v>280</v>
      </c>
      <c r="DV299" s="237"/>
      <c r="DZ299" s="277">
        <v>1</v>
      </c>
      <c r="EA299" s="278" t="s">
        <v>281</v>
      </c>
      <c r="EB299" s="278" t="s">
        <v>282</v>
      </c>
      <c r="EC299" s="278" t="s">
        <v>283</v>
      </c>
      <c r="ED299" s="278" t="s">
        <v>283</v>
      </c>
      <c r="EE299" s="13" t="s">
        <v>284</v>
      </c>
      <c r="EF299" s="13" t="s">
        <v>326</v>
      </c>
      <c r="EG299" s="13" t="e">
        <v>#VALUE!</v>
      </c>
      <c r="EH299" s="13" t="s">
        <v>285</v>
      </c>
      <c r="EI299" s="13" t="s">
        <v>344</v>
      </c>
      <c r="EJ299" s="13" t="e">
        <v>#VALUE!</v>
      </c>
      <c r="EK299" s="13" t="s">
        <v>286</v>
      </c>
      <c r="EL299" s="13" t="s">
        <v>345</v>
      </c>
      <c r="EM299" s="13" t="e">
        <v>#VALUE!</v>
      </c>
      <c r="EN299" s="13" t="s">
        <v>287</v>
      </c>
      <c r="EO299" s="13" t="s">
        <v>345</v>
      </c>
      <c r="EP299" s="13" t="e">
        <v>#VALUE!</v>
      </c>
    </row>
    <row r="300" spans="1:146" s="13" customFormat="1" ht="57" customHeight="1" x14ac:dyDescent="0.15">
      <c r="A300" s="2"/>
      <c r="B300" s="121"/>
      <c r="C300" s="40"/>
      <c r="D300" s="2"/>
      <c r="H300" s="222"/>
      <c r="I300" s="222"/>
      <c r="J300" s="222"/>
      <c r="K300" s="222"/>
      <c r="L300" s="222"/>
      <c r="M300" s="222"/>
      <c r="N300" s="222"/>
      <c r="O300" s="222"/>
      <c r="P300" s="222"/>
      <c r="Q300" s="222"/>
      <c r="X300" s="222"/>
      <c r="Y300" s="222"/>
      <c r="Z300" s="222"/>
      <c r="AA300" s="222"/>
      <c r="AB300" s="222">
        <v>10240102</v>
      </c>
      <c r="AC300" s="222" t="s">
        <v>346</v>
      </c>
      <c r="AD300" s="222"/>
      <c r="AE300" s="222" t="s">
        <v>129</v>
      </c>
      <c r="AF300" s="222" t="s">
        <v>314</v>
      </c>
      <c r="AG300" s="238"/>
      <c r="AH300" s="238"/>
      <c r="AI300" s="238"/>
      <c r="AJ300" s="222">
        <v>3</v>
      </c>
      <c r="AK300" s="222"/>
      <c r="BA300" s="222"/>
      <c r="BB300" s="222">
        <v>1</v>
      </c>
      <c r="BC300" s="222"/>
      <c r="CF300" s="222"/>
      <c r="CG300" s="222"/>
      <c r="CH300" s="222"/>
      <c r="CI300" s="222"/>
      <c r="CJ300" s="222"/>
      <c r="CK300" s="222"/>
      <c r="CL300" s="222"/>
      <c r="CM300" s="222"/>
      <c r="CN300" s="222"/>
      <c r="CO300" s="222"/>
      <c r="CP300" s="222"/>
      <c r="CQ300" s="222"/>
      <c r="CR300" s="222"/>
      <c r="CS300" s="217"/>
      <c r="CT300" s="217"/>
      <c r="CU300" s="217"/>
      <c r="CV300" s="222"/>
      <c r="CW300" s="222"/>
      <c r="CX300" s="222"/>
      <c r="DH300" s="220"/>
      <c r="DI300" s="220"/>
      <c r="DP300" s="96"/>
      <c r="DQ300" s="222"/>
      <c r="DR300" s="57" t="str">
        <f t="shared" si="5"/>
        <v/>
      </c>
      <c r="DS300" s="222"/>
      <c r="DU300" s="1" t="s">
        <v>280</v>
      </c>
      <c r="DV300" s="237"/>
      <c r="DY300" s="237"/>
      <c r="EA300" s="237"/>
      <c r="EB300" s="237"/>
      <c r="EC300" s="237"/>
      <c r="ED300" s="237"/>
    </row>
    <row r="301" spans="1:146" s="13" customFormat="1" ht="39" customHeight="1" x14ac:dyDescent="0.15">
      <c r="A301" s="2">
        <v>172012</v>
      </c>
      <c r="B301" s="121" t="s">
        <v>570</v>
      </c>
      <c r="C301" s="40" t="s">
        <v>571</v>
      </c>
      <c r="D301" s="2" t="s">
        <v>572</v>
      </c>
      <c r="H301" s="222">
        <v>0</v>
      </c>
      <c r="I301" s="222"/>
      <c r="J301" s="222"/>
      <c r="K301" s="222"/>
      <c r="L301" s="222">
        <v>0</v>
      </c>
      <c r="M301" s="222"/>
      <c r="N301" s="222"/>
      <c r="O301" s="222"/>
      <c r="P301" s="222" t="s">
        <v>268</v>
      </c>
      <c r="Q301" s="222" t="s">
        <v>269</v>
      </c>
      <c r="X301" s="222">
        <v>1</v>
      </c>
      <c r="Y301" s="222">
        <v>0</v>
      </c>
      <c r="Z301" s="222">
        <v>0</v>
      </c>
      <c r="AA301" s="222"/>
      <c r="AB301" s="222">
        <v>3001</v>
      </c>
      <c r="AC301" s="222" t="s">
        <v>337</v>
      </c>
      <c r="AD301" s="222" t="s">
        <v>330</v>
      </c>
      <c r="AE301" s="222"/>
      <c r="AF301" s="222"/>
      <c r="AJ301" s="222"/>
      <c r="AK301" s="222"/>
      <c r="AL301" s="237"/>
      <c r="AM301" s="237"/>
      <c r="AN301" s="237"/>
      <c r="AO301" s="237"/>
      <c r="AP301" s="237"/>
      <c r="AQ301" s="237"/>
      <c r="AR301" s="237"/>
      <c r="AU301" s="237"/>
      <c r="AV301" s="237"/>
      <c r="AW301" s="237"/>
      <c r="AX301" s="237"/>
      <c r="AY301" s="237"/>
      <c r="AZ301" s="237"/>
      <c r="BA301" s="243" t="s">
        <v>270</v>
      </c>
      <c r="BB301" s="222">
        <v>150</v>
      </c>
      <c r="BC301" s="222">
        <v>0</v>
      </c>
      <c r="BF301" s="13">
        <v>0</v>
      </c>
      <c r="BG301" s="13">
        <v>0</v>
      </c>
      <c r="BH301" s="13">
        <v>0</v>
      </c>
      <c r="BJ301" s="13" t="s">
        <v>270</v>
      </c>
      <c r="BS301" s="13" t="s">
        <v>270</v>
      </c>
      <c r="CF301" s="222" t="s">
        <v>378</v>
      </c>
      <c r="CG301" s="222"/>
      <c r="CH301" s="222"/>
      <c r="CI301" s="222"/>
      <c r="CJ301" s="222" t="s">
        <v>1</v>
      </c>
      <c r="CK301" s="232" t="s">
        <v>379</v>
      </c>
      <c r="CL301" s="232"/>
      <c r="CM301" s="222">
        <v>999</v>
      </c>
      <c r="CN301" s="222">
        <v>0</v>
      </c>
      <c r="CO301" s="222">
        <v>0</v>
      </c>
      <c r="CP301" s="222">
        <v>0</v>
      </c>
      <c r="CQ301" s="222">
        <v>0</v>
      </c>
      <c r="CR301" s="222"/>
      <c r="CS301" s="217">
        <v>5</v>
      </c>
      <c r="CT301" s="217"/>
      <c r="CU301" s="217">
        <v>10</v>
      </c>
      <c r="CV301" s="222" t="s">
        <v>573</v>
      </c>
      <c r="CW301" s="222" t="b">
        <v>0</v>
      </c>
      <c r="CX301" s="249" t="s">
        <v>273</v>
      </c>
      <c r="DB301" s="13">
        <v>102401</v>
      </c>
      <c r="DC301" s="13" t="b">
        <v>1</v>
      </c>
      <c r="DD301" s="256" t="s">
        <v>274</v>
      </c>
      <c r="DE301" s="238" t="s">
        <v>537</v>
      </c>
      <c r="DF301" s="256" t="s">
        <v>276</v>
      </c>
      <c r="DG301" s="256" t="s">
        <v>293</v>
      </c>
      <c r="DH301" s="257">
        <v>4</v>
      </c>
      <c r="DI301" s="257" t="b">
        <v>0</v>
      </c>
      <c r="DJ301" s="256"/>
      <c r="DP301" s="96" t="s">
        <v>381</v>
      </c>
      <c r="DQ301" s="266" t="s">
        <v>574</v>
      </c>
      <c r="DR301" s="57" t="e">
        <f t="shared" si="5"/>
        <v>#VALUE!</v>
      </c>
      <c r="DS301" s="266" t="s">
        <v>575</v>
      </c>
      <c r="DT301" s="269"/>
      <c r="DU301" s="1" t="s">
        <v>280</v>
      </c>
      <c r="DV301" s="237"/>
      <c r="DZ301" s="277">
        <v>1</v>
      </c>
      <c r="EA301" s="278" t="s">
        <v>281</v>
      </c>
      <c r="EB301" s="278" t="s">
        <v>282</v>
      </c>
      <c r="EC301" s="278" t="s">
        <v>283</v>
      </c>
      <c r="ED301" s="278" t="s">
        <v>283</v>
      </c>
      <c r="EE301" s="13" t="s">
        <v>284</v>
      </c>
      <c r="EF301" s="13" t="s">
        <v>326</v>
      </c>
      <c r="EG301" s="13" t="e">
        <v>#VALUE!</v>
      </c>
      <c r="EH301" s="13" t="s">
        <v>285</v>
      </c>
      <c r="EI301" s="13" t="s">
        <v>344</v>
      </c>
      <c r="EJ301" s="13" t="e">
        <v>#VALUE!</v>
      </c>
      <c r="EK301" s="13" t="s">
        <v>286</v>
      </c>
      <c r="EL301" s="13" t="s">
        <v>328</v>
      </c>
      <c r="EM301" s="13" t="e">
        <v>#VALUE!</v>
      </c>
      <c r="EN301" s="13" t="s">
        <v>287</v>
      </c>
      <c r="EO301" s="13" t="s">
        <v>328</v>
      </c>
      <c r="EP301" s="13" t="e">
        <v>#VALUE!</v>
      </c>
    </row>
    <row r="302" spans="1:146" s="13" customFormat="1" ht="15" customHeight="1" x14ac:dyDescent="0.15">
      <c r="A302" s="2"/>
      <c r="B302" s="121"/>
      <c r="C302" s="40"/>
      <c r="D302" s="2"/>
      <c r="H302" s="222"/>
      <c r="I302" s="222"/>
      <c r="J302" s="222"/>
      <c r="K302" s="222"/>
      <c r="L302" s="222"/>
      <c r="M302" s="222"/>
      <c r="N302" s="222"/>
      <c r="O302" s="222"/>
      <c r="P302" s="222"/>
      <c r="Q302" s="222"/>
      <c r="X302" s="222"/>
      <c r="Y302" s="222"/>
      <c r="Z302" s="222"/>
      <c r="AA302" s="222"/>
      <c r="AB302" s="232">
        <v>17050501</v>
      </c>
      <c r="AC302" s="222" t="s">
        <v>384</v>
      </c>
      <c r="AD302" s="222" t="s">
        <v>330</v>
      </c>
      <c r="AE302" s="222" t="s">
        <v>291</v>
      </c>
      <c r="AF302" s="222" t="s">
        <v>314</v>
      </c>
      <c r="AJ302" s="222"/>
      <c r="AK302" s="222"/>
      <c r="BA302" s="222"/>
      <c r="BB302" s="222">
        <v>1</v>
      </c>
      <c r="BC302" s="222"/>
      <c r="CF302" s="222"/>
      <c r="CG302" s="222"/>
      <c r="CH302" s="222"/>
      <c r="CI302" s="222"/>
      <c r="CJ302" s="222"/>
      <c r="CK302" s="222"/>
      <c r="CL302" s="222"/>
      <c r="CM302" s="222"/>
      <c r="CN302" s="222"/>
      <c r="CO302" s="222"/>
      <c r="CP302" s="222"/>
      <c r="CQ302" s="222"/>
      <c r="CR302" s="222"/>
      <c r="CS302" s="222"/>
      <c r="CT302" s="222"/>
      <c r="CU302" s="222"/>
      <c r="CV302" s="222"/>
      <c r="CW302" s="222"/>
      <c r="CX302" s="222"/>
      <c r="DH302" s="220"/>
      <c r="DI302" s="220"/>
      <c r="DP302" s="96"/>
      <c r="DQ302" s="222"/>
      <c r="DR302" s="57" t="str">
        <f t="shared" si="5"/>
        <v/>
      </c>
      <c r="DS302" s="222"/>
      <c r="DU302" s="1" t="s">
        <v>280</v>
      </c>
      <c r="DV302" s="237"/>
      <c r="DY302" s="237"/>
      <c r="EA302" s="237"/>
      <c r="EB302" s="237"/>
      <c r="EC302" s="237"/>
      <c r="ED302" s="237"/>
    </row>
    <row r="303" spans="1:146" s="13" customFormat="1" ht="14.25" customHeight="1" x14ac:dyDescent="0.15">
      <c r="A303" s="2"/>
      <c r="B303" s="121"/>
      <c r="C303" s="40"/>
      <c r="D303" s="2"/>
      <c r="H303" s="222"/>
      <c r="I303" s="222"/>
      <c r="J303" s="222"/>
      <c r="K303" s="222"/>
      <c r="L303" s="222"/>
      <c r="M303" s="222"/>
      <c r="N303" s="222"/>
      <c r="O303" s="222"/>
      <c r="P303" s="222"/>
      <c r="Q303" s="222"/>
      <c r="X303" s="222"/>
      <c r="Y303" s="222"/>
      <c r="Z303" s="222"/>
      <c r="AA303" s="222"/>
      <c r="AB303" s="232">
        <v>17050502</v>
      </c>
      <c r="AC303" s="222" t="s">
        <v>385</v>
      </c>
      <c r="AD303" s="222"/>
      <c r="AE303" s="222" t="s">
        <v>291</v>
      </c>
      <c r="AF303" s="222" t="s">
        <v>314</v>
      </c>
      <c r="AJ303" s="222">
        <v>8</v>
      </c>
      <c r="AK303" s="222"/>
      <c r="BA303" s="222"/>
      <c r="BB303" s="222">
        <v>1</v>
      </c>
      <c r="BC303" s="222"/>
      <c r="CF303" s="222"/>
      <c r="CG303" s="222"/>
      <c r="CH303" s="222"/>
      <c r="CI303" s="222"/>
      <c r="CJ303" s="222"/>
      <c r="CK303" s="222"/>
      <c r="CL303" s="222"/>
      <c r="CM303" s="222"/>
      <c r="CN303" s="222"/>
      <c r="CO303" s="222"/>
      <c r="CP303" s="222"/>
      <c r="CQ303" s="222"/>
      <c r="CR303" s="222"/>
      <c r="CS303" s="222"/>
      <c r="CT303" s="222"/>
      <c r="CU303" s="222"/>
      <c r="CV303" s="222"/>
      <c r="CW303" s="222"/>
      <c r="CX303" s="222"/>
      <c r="DH303" s="220"/>
      <c r="DI303" s="220"/>
      <c r="DP303" s="96"/>
      <c r="DQ303" s="222"/>
      <c r="DR303" s="57" t="str">
        <f t="shared" si="5"/>
        <v/>
      </c>
      <c r="DS303" s="222"/>
      <c r="DU303" s="1" t="s">
        <v>280</v>
      </c>
      <c r="DV303" s="237"/>
      <c r="DY303" s="237"/>
      <c r="EA303" s="237"/>
      <c r="EB303" s="237"/>
      <c r="EC303" s="237"/>
      <c r="ED303" s="237"/>
    </row>
    <row r="304" spans="1:146" s="13" customFormat="1" x14ac:dyDescent="0.15">
      <c r="A304" s="2"/>
      <c r="B304" s="121"/>
      <c r="C304" s="40"/>
      <c r="D304" s="2"/>
      <c r="H304" s="222"/>
      <c r="I304" s="222"/>
      <c r="J304" s="222"/>
      <c r="K304" s="222"/>
      <c r="L304" s="222"/>
      <c r="M304" s="222"/>
      <c r="N304" s="222"/>
      <c r="O304" s="222"/>
      <c r="P304" s="222"/>
      <c r="Q304" s="222"/>
      <c r="X304" s="222"/>
      <c r="Y304" s="222"/>
      <c r="Z304" s="222"/>
      <c r="AA304" s="222"/>
      <c r="AB304" s="222">
        <v>17050503</v>
      </c>
      <c r="AC304" s="232" t="s">
        <v>386</v>
      </c>
      <c r="AD304" s="222" t="s">
        <v>330</v>
      </c>
      <c r="AE304" s="222" t="s">
        <v>291</v>
      </c>
      <c r="AF304" s="222" t="s">
        <v>314</v>
      </c>
      <c r="AJ304" s="222"/>
      <c r="AK304" s="222"/>
      <c r="AL304" s="237"/>
      <c r="AM304" s="237"/>
      <c r="AN304" s="237"/>
      <c r="AO304" s="237"/>
      <c r="AP304" s="237"/>
      <c r="AQ304" s="237"/>
      <c r="AR304" s="237"/>
      <c r="AU304" s="237"/>
      <c r="AV304" s="237"/>
      <c r="AW304" s="237"/>
      <c r="AX304" s="237"/>
      <c r="AY304" s="237"/>
      <c r="AZ304" s="237"/>
      <c r="BA304" s="243"/>
      <c r="BB304" s="222">
        <v>1</v>
      </c>
      <c r="BC304" s="222"/>
      <c r="CF304" s="222"/>
      <c r="CG304" s="222"/>
      <c r="CH304" s="222"/>
      <c r="CI304" s="222"/>
      <c r="CJ304" s="222"/>
      <c r="CK304" s="222"/>
      <c r="CL304" s="222"/>
      <c r="CM304" s="222"/>
      <c r="CN304" s="222"/>
      <c r="CO304" s="222"/>
      <c r="CP304" s="222"/>
      <c r="CQ304" s="222"/>
      <c r="CR304" s="222"/>
      <c r="CS304" s="222"/>
      <c r="CT304" s="222"/>
      <c r="CU304" s="222"/>
      <c r="CV304" s="222"/>
      <c r="CW304" s="222"/>
      <c r="CX304" s="222"/>
      <c r="DH304" s="220"/>
      <c r="DI304" s="220"/>
      <c r="DP304" s="96"/>
      <c r="DQ304" s="232"/>
      <c r="DR304" s="57" t="str">
        <f t="shared" si="5"/>
        <v/>
      </c>
      <c r="DS304" s="232"/>
      <c r="DU304" s="1" t="s">
        <v>280</v>
      </c>
      <c r="DV304" s="237"/>
      <c r="DY304" s="237"/>
      <c r="EA304" s="237"/>
      <c r="EB304" s="237"/>
      <c r="EC304" s="237"/>
      <c r="ED304" s="237"/>
    </row>
    <row r="305" spans="1:146" s="2" customFormat="1" ht="43.5" customHeight="1" x14ac:dyDescent="0.15">
      <c r="A305" s="14">
        <v>172013</v>
      </c>
      <c r="B305" s="224" t="s">
        <v>576</v>
      </c>
      <c r="C305" s="40" t="s">
        <v>577</v>
      </c>
      <c r="D305" s="14" t="s">
        <v>578</v>
      </c>
      <c r="H305" s="225">
        <v>0</v>
      </c>
      <c r="I305" s="225"/>
      <c r="J305" s="225"/>
      <c r="K305" s="225"/>
      <c r="L305" s="225">
        <v>0</v>
      </c>
      <c r="M305" s="225"/>
      <c r="N305" s="225"/>
      <c r="O305" s="225"/>
      <c r="P305" s="225" t="s">
        <v>268</v>
      </c>
      <c r="Q305" s="225" t="s">
        <v>269</v>
      </c>
      <c r="X305" s="225">
        <v>1</v>
      </c>
      <c r="Y305" s="225">
        <v>0</v>
      </c>
      <c r="Z305" s="225">
        <v>0</v>
      </c>
      <c r="AA305" s="225"/>
      <c r="AB305" s="225">
        <v>3001</v>
      </c>
      <c r="AC305" s="225"/>
      <c r="AD305" s="225"/>
      <c r="AE305" s="225"/>
      <c r="AF305" s="225"/>
      <c r="AJ305" s="225"/>
      <c r="AK305" s="225"/>
      <c r="AL305" s="71"/>
      <c r="AM305" s="71"/>
      <c r="AN305" s="71"/>
      <c r="AO305" s="71"/>
      <c r="AP305" s="71"/>
      <c r="AQ305" s="71"/>
      <c r="AR305" s="71"/>
      <c r="AU305" s="71"/>
      <c r="AV305" s="71"/>
      <c r="AW305" s="71"/>
      <c r="AX305" s="71"/>
      <c r="AY305" s="71"/>
      <c r="AZ305" s="71"/>
      <c r="BA305" s="244" t="s">
        <v>270</v>
      </c>
      <c r="BB305" s="225">
        <v>300</v>
      </c>
      <c r="BC305" s="225">
        <v>0</v>
      </c>
      <c r="BF305" s="2">
        <v>0</v>
      </c>
      <c r="BG305" s="2">
        <v>0</v>
      </c>
      <c r="BH305" s="2">
        <v>0</v>
      </c>
      <c r="BJ305" s="2" t="s">
        <v>270</v>
      </c>
      <c r="BS305" s="2" t="s">
        <v>270</v>
      </c>
      <c r="CF305" s="225" t="s">
        <v>271</v>
      </c>
      <c r="CG305" s="225"/>
      <c r="CH305" s="225"/>
      <c r="CI305" s="225"/>
      <c r="CJ305" s="225" t="s">
        <v>1</v>
      </c>
      <c r="CK305" s="233" t="s">
        <v>308</v>
      </c>
      <c r="CL305" s="233"/>
      <c r="CM305" s="225">
        <v>999</v>
      </c>
      <c r="CN305" s="225">
        <v>0</v>
      </c>
      <c r="CO305" s="225">
        <v>0</v>
      </c>
      <c r="CP305" s="225">
        <v>0</v>
      </c>
      <c r="CQ305" s="225">
        <v>0</v>
      </c>
      <c r="CR305" s="225"/>
      <c r="CS305" s="217">
        <v>5</v>
      </c>
      <c r="CT305" s="217">
        <v>2</v>
      </c>
      <c r="CU305" s="217">
        <v>8</v>
      </c>
      <c r="CV305" s="225" t="s">
        <v>579</v>
      </c>
      <c r="CW305" s="225" t="b">
        <v>1</v>
      </c>
      <c r="CX305" s="250" t="s">
        <v>273</v>
      </c>
      <c r="DB305" s="2">
        <v>170501</v>
      </c>
      <c r="DC305" s="2" t="b">
        <v>1</v>
      </c>
      <c r="DD305" s="2" t="s">
        <v>274</v>
      </c>
      <c r="DE305" s="2" t="s">
        <v>524</v>
      </c>
      <c r="DF305" s="2" t="s">
        <v>276</v>
      </c>
      <c r="DG305" s="2" t="s">
        <v>322</v>
      </c>
      <c r="DH305" s="222">
        <v>4</v>
      </c>
      <c r="DI305" s="249" t="b">
        <v>0</v>
      </c>
      <c r="DJ305" s="158"/>
      <c r="DP305" s="96" t="s">
        <v>323</v>
      </c>
      <c r="DQ305" s="233" t="s">
        <v>324</v>
      </c>
      <c r="DR305" s="57" t="e">
        <f t="shared" si="5"/>
        <v>#VALUE!</v>
      </c>
      <c r="DS305" s="233" t="s">
        <v>325</v>
      </c>
      <c r="DU305" s="1" t="s">
        <v>280</v>
      </c>
      <c r="DV305" s="71"/>
      <c r="DZ305" s="119">
        <v>1</v>
      </c>
      <c r="EA305" s="120" t="s">
        <v>281</v>
      </c>
      <c r="EB305" s="120" t="s">
        <v>282</v>
      </c>
      <c r="EC305" s="120" t="s">
        <v>283</v>
      </c>
      <c r="ED305" s="120" t="s">
        <v>283</v>
      </c>
      <c r="EE305" s="2" t="s">
        <v>284</v>
      </c>
      <c r="EF305" s="2" t="s">
        <v>326</v>
      </c>
      <c r="EG305" s="2" t="e">
        <v>#VALUE!</v>
      </c>
      <c r="EH305" s="2" t="s">
        <v>285</v>
      </c>
      <c r="EI305" s="2" t="s">
        <v>327</v>
      </c>
      <c r="EJ305" s="2" t="e">
        <v>#VALUE!</v>
      </c>
      <c r="EK305" s="2" t="s">
        <v>286</v>
      </c>
      <c r="EL305" s="2" t="s">
        <v>328</v>
      </c>
      <c r="EM305" s="2" t="e">
        <v>#VALUE!</v>
      </c>
      <c r="EN305" s="2" t="s">
        <v>287</v>
      </c>
      <c r="EO305" s="2" t="s">
        <v>328</v>
      </c>
      <c r="EP305" s="2" t="e">
        <v>#VALUE!</v>
      </c>
    </row>
    <row r="306" spans="1:146" s="2" customFormat="1" ht="57" customHeight="1" x14ac:dyDescent="0.15">
      <c r="A306" s="14"/>
      <c r="B306" s="224"/>
      <c r="C306" s="40"/>
      <c r="D306" s="14"/>
      <c r="H306" s="225"/>
      <c r="I306" s="225"/>
      <c r="J306" s="225"/>
      <c r="K306" s="225"/>
      <c r="L306" s="225"/>
      <c r="M306" s="225"/>
      <c r="N306" s="225"/>
      <c r="O306" s="225"/>
      <c r="P306" s="225"/>
      <c r="Q306" s="225"/>
      <c r="X306" s="225"/>
      <c r="Y306" s="225"/>
      <c r="Z306" s="225"/>
      <c r="AA306" s="225"/>
      <c r="AB306" s="225">
        <v>17050301</v>
      </c>
      <c r="AC306" s="233" t="s">
        <v>329</v>
      </c>
      <c r="AD306" s="225" t="s">
        <v>330</v>
      </c>
      <c r="AE306" s="225" t="s">
        <v>291</v>
      </c>
      <c r="AF306" s="225" t="s">
        <v>314</v>
      </c>
      <c r="AJ306" s="225"/>
      <c r="AK306" s="225"/>
      <c r="AL306" s="71"/>
      <c r="AM306" s="71"/>
      <c r="AN306" s="71"/>
      <c r="AO306" s="71"/>
      <c r="AP306" s="71"/>
      <c r="AQ306" s="71"/>
      <c r="AR306" s="71"/>
      <c r="AU306" s="71"/>
      <c r="AV306" s="71"/>
      <c r="AW306" s="71"/>
      <c r="AX306" s="71"/>
      <c r="AY306" s="71"/>
      <c r="AZ306" s="71"/>
      <c r="BA306" s="244" t="s">
        <v>331</v>
      </c>
      <c r="BB306" s="220">
        <v>0.15</v>
      </c>
      <c r="BC306" s="225">
        <v>0</v>
      </c>
      <c r="BF306" s="2">
        <v>0</v>
      </c>
      <c r="BG306" s="2">
        <v>0</v>
      </c>
      <c r="BH306" s="2">
        <v>0</v>
      </c>
      <c r="CF306" s="225"/>
      <c r="CG306" s="225"/>
      <c r="CH306" s="225"/>
      <c r="CI306" s="225"/>
      <c r="CJ306" s="225"/>
      <c r="CK306" s="225"/>
      <c r="CL306" s="225"/>
      <c r="CM306" s="225"/>
      <c r="CN306" s="225"/>
      <c r="CO306" s="225"/>
      <c r="CP306" s="225"/>
      <c r="CQ306" s="225"/>
      <c r="CR306" s="225"/>
      <c r="CS306" s="217"/>
      <c r="CT306" s="217"/>
      <c r="CU306" s="217"/>
      <c r="CV306" s="225"/>
      <c r="CW306" s="225"/>
      <c r="CX306" s="225"/>
      <c r="DH306" s="222"/>
      <c r="DI306" s="222"/>
      <c r="DP306" s="96"/>
      <c r="DQ306" s="233"/>
      <c r="DR306" s="57" t="str">
        <f t="shared" si="5"/>
        <v/>
      </c>
      <c r="DS306" s="233"/>
      <c r="DU306" s="1" t="s">
        <v>280</v>
      </c>
      <c r="DV306" s="71"/>
      <c r="DY306" s="71"/>
      <c r="EA306" s="71"/>
      <c r="EB306" s="71"/>
      <c r="EC306" s="71"/>
      <c r="ED306" s="71"/>
    </row>
    <row r="307" spans="1:146" s="2" customFormat="1" ht="15" customHeight="1" x14ac:dyDescent="0.15">
      <c r="A307" s="14"/>
      <c r="B307" s="224"/>
      <c r="C307" s="40"/>
      <c r="D307" s="14"/>
      <c r="H307" s="225"/>
      <c r="I307" s="225"/>
      <c r="J307" s="225"/>
      <c r="K307" s="225"/>
      <c r="L307" s="225"/>
      <c r="M307" s="225"/>
      <c r="N307" s="225"/>
      <c r="O307" s="225"/>
      <c r="P307" s="225"/>
      <c r="Q307" s="225"/>
      <c r="X307" s="225"/>
      <c r="Y307" s="225"/>
      <c r="Z307" s="225"/>
      <c r="AA307" s="225"/>
      <c r="AB307" s="225">
        <v>17050302</v>
      </c>
      <c r="AC307" s="233" t="s">
        <v>332</v>
      </c>
      <c r="AD307" s="225" t="s">
        <v>333</v>
      </c>
      <c r="AE307" s="225" t="s">
        <v>291</v>
      </c>
      <c r="AF307" s="225" t="s">
        <v>314</v>
      </c>
      <c r="AJ307" s="225">
        <v>-1</v>
      </c>
      <c r="AK307" s="225"/>
      <c r="AL307" s="71"/>
      <c r="AM307" s="71"/>
      <c r="AN307" s="71"/>
      <c r="AO307" s="71"/>
      <c r="AP307" s="71"/>
      <c r="AQ307" s="71"/>
      <c r="AR307" s="71"/>
      <c r="AU307" s="71"/>
      <c r="AV307" s="71"/>
      <c r="AW307" s="71"/>
      <c r="AX307" s="71"/>
      <c r="AY307" s="71"/>
      <c r="AZ307" s="71"/>
      <c r="BA307" s="244"/>
      <c r="BB307" s="225">
        <v>1</v>
      </c>
      <c r="BC307" s="225"/>
      <c r="CF307" s="225"/>
      <c r="CG307" s="225"/>
      <c r="CH307" s="225"/>
      <c r="CI307" s="225"/>
      <c r="CJ307" s="225"/>
      <c r="CK307" s="225"/>
      <c r="CL307" s="225"/>
      <c r="CM307" s="225"/>
      <c r="CN307" s="225"/>
      <c r="CO307" s="225"/>
      <c r="CP307" s="225"/>
      <c r="CQ307" s="225"/>
      <c r="CR307" s="225"/>
      <c r="CS307" s="217"/>
      <c r="CT307" s="217"/>
      <c r="CU307" s="217"/>
      <c r="CV307" s="225"/>
      <c r="CW307" s="225"/>
      <c r="CX307" s="225"/>
      <c r="DH307" s="222"/>
      <c r="DI307" s="222"/>
      <c r="DP307" s="96"/>
      <c r="DQ307" s="233"/>
      <c r="DR307" s="57" t="str">
        <f t="shared" si="5"/>
        <v/>
      </c>
      <c r="DS307" s="233"/>
      <c r="DU307" s="1" t="s">
        <v>280</v>
      </c>
      <c r="DV307" s="71"/>
      <c r="DY307" s="71"/>
      <c r="EA307" s="71"/>
      <c r="EB307" s="71"/>
      <c r="EC307" s="71"/>
      <c r="ED307" s="71"/>
    </row>
    <row r="308" spans="1:146" s="2" customFormat="1" ht="55.5" customHeight="1" x14ac:dyDescent="0.15">
      <c r="A308" s="14">
        <v>172014</v>
      </c>
      <c r="B308" s="226" t="s">
        <v>580</v>
      </c>
      <c r="C308" s="40" t="s">
        <v>581</v>
      </c>
      <c r="D308" s="14" t="s">
        <v>582</v>
      </c>
      <c r="H308" s="225">
        <v>0</v>
      </c>
      <c r="I308" s="225"/>
      <c r="J308" s="225"/>
      <c r="K308" s="225"/>
      <c r="L308" s="225">
        <v>0</v>
      </c>
      <c r="M308" s="225"/>
      <c r="N308" s="225"/>
      <c r="O308" s="225"/>
      <c r="P308" s="225" t="s">
        <v>268</v>
      </c>
      <c r="Q308" s="225" t="s">
        <v>269</v>
      </c>
      <c r="X308" s="225">
        <v>1</v>
      </c>
      <c r="Y308" s="225">
        <v>0</v>
      </c>
      <c r="Z308" s="225">
        <v>0</v>
      </c>
      <c r="AA308" s="225"/>
      <c r="AB308" s="225">
        <v>3001</v>
      </c>
      <c r="AC308" s="225" t="s">
        <v>337</v>
      </c>
      <c r="AD308" s="225"/>
      <c r="AE308" s="225" t="s">
        <v>129</v>
      </c>
      <c r="AF308" s="225" t="s">
        <v>314</v>
      </c>
      <c r="AJ308" s="225"/>
      <c r="AK308" s="225"/>
      <c r="AL308" s="71"/>
      <c r="AM308" s="71"/>
      <c r="AN308" s="71"/>
      <c r="AO308" s="71"/>
      <c r="AP308" s="71"/>
      <c r="AQ308" s="71"/>
      <c r="AR308" s="71"/>
      <c r="AU308" s="71"/>
      <c r="AV308" s="71"/>
      <c r="AW308" s="71"/>
      <c r="AX308" s="71"/>
      <c r="AY308" s="71"/>
      <c r="AZ308" s="71"/>
      <c r="BA308" s="244" t="s">
        <v>270</v>
      </c>
      <c r="BB308" s="225">
        <v>200</v>
      </c>
      <c r="BC308" s="225">
        <v>0</v>
      </c>
      <c r="BF308" s="2">
        <v>0</v>
      </c>
      <c r="BG308" s="2">
        <v>0</v>
      </c>
      <c r="BH308" s="2">
        <v>0</v>
      </c>
      <c r="BJ308" s="2" t="s">
        <v>270</v>
      </c>
      <c r="BS308" s="2" t="s">
        <v>270</v>
      </c>
      <c r="CF308" s="225" t="s">
        <v>271</v>
      </c>
      <c r="CG308" s="225"/>
      <c r="CH308" s="225"/>
      <c r="CI308" s="225"/>
      <c r="CJ308" s="225" t="s">
        <v>3</v>
      </c>
      <c r="CK308" s="233" t="s">
        <v>486</v>
      </c>
      <c r="CL308" s="233"/>
      <c r="CM308" s="225">
        <v>999</v>
      </c>
      <c r="CN308" s="225">
        <v>0</v>
      </c>
      <c r="CO308" s="225">
        <v>0</v>
      </c>
      <c r="CP308" s="225">
        <v>0</v>
      </c>
      <c r="CQ308" s="225">
        <v>0</v>
      </c>
      <c r="CR308" s="225"/>
      <c r="CS308" s="217">
        <v>4</v>
      </c>
      <c r="CT308" s="217"/>
      <c r="CU308" s="217">
        <v>5</v>
      </c>
      <c r="CV308" s="225" t="s">
        <v>583</v>
      </c>
      <c r="CW308" s="225" t="b">
        <v>0</v>
      </c>
      <c r="CX308" s="250" t="s">
        <v>273</v>
      </c>
      <c r="DB308" s="2">
        <v>100300</v>
      </c>
      <c r="DC308" s="2" t="b">
        <v>1</v>
      </c>
      <c r="DD308" s="2" t="s">
        <v>274</v>
      </c>
      <c r="DE308" s="2" t="s">
        <v>321</v>
      </c>
      <c r="DF308" s="2" t="s">
        <v>276</v>
      </c>
      <c r="DG308" s="2" t="s">
        <v>277</v>
      </c>
      <c r="DH308" s="222">
        <v>4</v>
      </c>
      <c r="DI308" s="249" t="b">
        <v>0</v>
      </c>
      <c r="DJ308" s="158"/>
      <c r="DM308" s="55"/>
      <c r="DP308" s="96" t="s">
        <v>341</v>
      </c>
      <c r="DQ308" s="233" t="s">
        <v>342</v>
      </c>
      <c r="DR308" s="57" t="e">
        <f t="shared" si="5"/>
        <v>#VALUE!</v>
      </c>
      <c r="DS308" s="233" t="s">
        <v>343</v>
      </c>
      <c r="DT308" s="79"/>
      <c r="DU308" s="1" t="s">
        <v>280</v>
      </c>
      <c r="DV308" s="71"/>
      <c r="DZ308" s="119">
        <v>1</v>
      </c>
      <c r="EA308" s="120" t="s">
        <v>281</v>
      </c>
      <c r="EB308" s="120" t="s">
        <v>282</v>
      </c>
      <c r="EC308" s="120" t="s">
        <v>283</v>
      </c>
      <c r="ED308" s="120" t="s">
        <v>283</v>
      </c>
      <c r="EE308" s="2" t="s">
        <v>284</v>
      </c>
      <c r="EF308" s="2" t="s">
        <v>326</v>
      </c>
      <c r="EG308" s="2" t="e">
        <v>#VALUE!</v>
      </c>
      <c r="EH308" s="2" t="s">
        <v>285</v>
      </c>
      <c r="EI308" s="2" t="s">
        <v>344</v>
      </c>
      <c r="EJ308" s="2" t="e">
        <v>#VALUE!</v>
      </c>
      <c r="EK308" s="2" t="s">
        <v>286</v>
      </c>
      <c r="EL308" s="2" t="s">
        <v>345</v>
      </c>
      <c r="EM308" s="2" t="e">
        <v>#VALUE!</v>
      </c>
      <c r="EN308" s="2" t="s">
        <v>287</v>
      </c>
      <c r="EO308" s="2" t="s">
        <v>345</v>
      </c>
      <c r="EP308" s="2" t="e">
        <v>#VALUE!</v>
      </c>
    </row>
    <row r="309" spans="1:146" s="2" customFormat="1" ht="57" customHeight="1" x14ac:dyDescent="0.15">
      <c r="A309" s="14"/>
      <c r="B309" s="224"/>
      <c r="C309" s="40"/>
      <c r="D309" s="14"/>
      <c r="H309" s="225"/>
      <c r="I309" s="225"/>
      <c r="J309" s="225"/>
      <c r="K309" s="225"/>
      <c r="L309" s="225"/>
      <c r="M309" s="225"/>
      <c r="N309" s="225"/>
      <c r="O309" s="225"/>
      <c r="P309" s="225"/>
      <c r="Q309" s="225"/>
      <c r="X309" s="225"/>
      <c r="Y309" s="225"/>
      <c r="Z309" s="225"/>
      <c r="AA309" s="225"/>
      <c r="AB309" s="225">
        <v>10240102</v>
      </c>
      <c r="AC309" s="225" t="s">
        <v>346</v>
      </c>
      <c r="AD309" s="225"/>
      <c r="AE309" s="225" t="s">
        <v>129</v>
      </c>
      <c r="AF309" s="225" t="s">
        <v>314</v>
      </c>
      <c r="AG309" s="55"/>
      <c r="AH309" s="55"/>
      <c r="AI309" s="55"/>
      <c r="AJ309" s="225">
        <v>3</v>
      </c>
      <c r="AK309" s="225"/>
      <c r="BA309" s="225"/>
      <c r="BB309" s="225">
        <v>1</v>
      </c>
      <c r="BC309" s="225"/>
      <c r="CF309" s="225"/>
      <c r="CG309" s="225"/>
      <c r="CH309" s="225"/>
      <c r="CI309" s="225"/>
      <c r="CJ309" s="225"/>
      <c r="CK309" s="225"/>
      <c r="CL309" s="225"/>
      <c r="CM309" s="225"/>
      <c r="CN309" s="225"/>
      <c r="CO309" s="225"/>
      <c r="CP309" s="225"/>
      <c r="CQ309" s="225"/>
      <c r="CR309" s="225"/>
      <c r="CS309" s="217"/>
      <c r="CT309" s="217"/>
      <c r="CU309" s="217"/>
      <c r="CV309" s="225"/>
      <c r="CW309" s="225"/>
      <c r="CX309" s="225"/>
      <c r="DH309" s="222"/>
      <c r="DI309" s="222"/>
      <c r="DP309" s="96"/>
      <c r="DQ309" s="225"/>
      <c r="DR309" s="57" t="str">
        <f t="shared" si="5"/>
        <v/>
      </c>
      <c r="DS309" s="225"/>
      <c r="DU309" s="1" t="s">
        <v>280</v>
      </c>
      <c r="DV309" s="71"/>
      <c r="DY309" s="71"/>
      <c r="EA309" s="71"/>
      <c r="EB309" s="71"/>
      <c r="EC309" s="71"/>
      <c r="ED309" s="71"/>
    </row>
    <row r="310" spans="1:146" s="2" customFormat="1" ht="39" customHeight="1" x14ac:dyDescent="0.15">
      <c r="A310" s="14">
        <v>172015</v>
      </c>
      <c r="B310" s="224" t="s">
        <v>584</v>
      </c>
      <c r="C310" s="40" t="s">
        <v>585</v>
      </c>
      <c r="D310" s="14" t="s">
        <v>586</v>
      </c>
      <c r="H310" s="225">
        <v>0</v>
      </c>
      <c r="I310" s="225"/>
      <c r="J310" s="225"/>
      <c r="K310" s="225"/>
      <c r="L310" s="225">
        <v>0</v>
      </c>
      <c r="M310" s="225"/>
      <c r="N310" s="225"/>
      <c r="O310" s="225"/>
      <c r="P310" s="225" t="s">
        <v>268</v>
      </c>
      <c r="Q310" s="225" t="s">
        <v>269</v>
      </c>
      <c r="X310" s="225">
        <v>1</v>
      </c>
      <c r="Y310" s="225">
        <v>0</v>
      </c>
      <c r="Z310" s="225">
        <v>0</v>
      </c>
      <c r="AA310" s="225"/>
      <c r="AB310" s="225">
        <v>3001</v>
      </c>
      <c r="AC310" s="225" t="s">
        <v>337</v>
      </c>
      <c r="AD310" s="225" t="s">
        <v>330</v>
      </c>
      <c r="AE310" s="225"/>
      <c r="AF310" s="225"/>
      <c r="AJ310" s="225"/>
      <c r="AK310" s="225"/>
      <c r="AL310" s="71"/>
      <c r="AM310" s="71"/>
      <c r="AN310" s="71"/>
      <c r="AO310" s="71"/>
      <c r="AP310" s="71"/>
      <c r="AQ310" s="71"/>
      <c r="AR310" s="71"/>
      <c r="AU310" s="71"/>
      <c r="AV310" s="71"/>
      <c r="AW310" s="71"/>
      <c r="AX310" s="71"/>
      <c r="AY310" s="71"/>
      <c r="AZ310" s="71"/>
      <c r="BA310" s="244" t="s">
        <v>270</v>
      </c>
      <c r="BB310" s="225">
        <v>150</v>
      </c>
      <c r="BC310" s="225">
        <v>0</v>
      </c>
      <c r="BF310" s="2">
        <v>0</v>
      </c>
      <c r="BG310" s="2">
        <v>0</v>
      </c>
      <c r="BH310" s="2">
        <v>0</v>
      </c>
      <c r="BJ310" s="2" t="s">
        <v>270</v>
      </c>
      <c r="BS310" s="2" t="s">
        <v>270</v>
      </c>
      <c r="CF310" s="225" t="s">
        <v>378</v>
      </c>
      <c r="CG310" s="225"/>
      <c r="CH310" s="225"/>
      <c r="CI310" s="225"/>
      <c r="CJ310" s="225" t="s">
        <v>1</v>
      </c>
      <c r="CK310" s="233" t="s">
        <v>379</v>
      </c>
      <c r="CL310" s="233"/>
      <c r="CM310" s="225">
        <v>999</v>
      </c>
      <c r="CN310" s="225">
        <v>0</v>
      </c>
      <c r="CO310" s="225">
        <v>0</v>
      </c>
      <c r="CP310" s="225">
        <v>0</v>
      </c>
      <c r="CQ310" s="225">
        <v>0</v>
      </c>
      <c r="CR310" s="225"/>
      <c r="CS310" s="217">
        <v>5</v>
      </c>
      <c r="CT310" s="217"/>
      <c r="CU310" s="217">
        <v>10</v>
      </c>
      <c r="CV310" s="225" t="s">
        <v>587</v>
      </c>
      <c r="CW310" s="225" t="b">
        <v>0</v>
      </c>
      <c r="CX310" s="250" t="s">
        <v>273</v>
      </c>
      <c r="DB310" s="2">
        <v>102401</v>
      </c>
      <c r="DC310" s="2" t="b">
        <v>1</v>
      </c>
      <c r="DD310" s="162" t="s">
        <v>274</v>
      </c>
      <c r="DE310" s="55" t="s">
        <v>537</v>
      </c>
      <c r="DF310" s="162" t="s">
        <v>276</v>
      </c>
      <c r="DG310" s="162" t="s">
        <v>293</v>
      </c>
      <c r="DH310" s="258">
        <v>4</v>
      </c>
      <c r="DI310" s="258" t="b">
        <v>0</v>
      </c>
      <c r="DJ310" s="162"/>
      <c r="DP310" s="96" t="s">
        <v>381</v>
      </c>
      <c r="DQ310" s="270" t="s">
        <v>382</v>
      </c>
      <c r="DR310" s="57" t="e">
        <f t="shared" si="5"/>
        <v>#VALUE!</v>
      </c>
      <c r="DS310" s="270" t="s">
        <v>383</v>
      </c>
      <c r="DT310" s="271"/>
      <c r="DU310" s="1" t="s">
        <v>280</v>
      </c>
      <c r="DV310" s="71"/>
      <c r="DZ310" s="119">
        <v>1</v>
      </c>
      <c r="EA310" s="120" t="s">
        <v>281</v>
      </c>
      <c r="EB310" s="120" t="s">
        <v>282</v>
      </c>
      <c r="EC310" s="120" t="s">
        <v>283</v>
      </c>
      <c r="ED310" s="120" t="s">
        <v>283</v>
      </c>
      <c r="EE310" s="2" t="s">
        <v>284</v>
      </c>
      <c r="EF310" s="2" t="s">
        <v>326</v>
      </c>
      <c r="EG310" s="2" t="e">
        <v>#VALUE!</v>
      </c>
      <c r="EH310" s="2" t="s">
        <v>285</v>
      </c>
      <c r="EI310" s="2" t="s">
        <v>344</v>
      </c>
      <c r="EJ310" s="2" t="e">
        <v>#VALUE!</v>
      </c>
      <c r="EK310" s="2" t="s">
        <v>286</v>
      </c>
      <c r="EL310" s="2" t="s">
        <v>328</v>
      </c>
      <c r="EM310" s="2" t="e">
        <v>#VALUE!</v>
      </c>
      <c r="EN310" s="2" t="s">
        <v>287</v>
      </c>
      <c r="EO310" s="2" t="s">
        <v>328</v>
      </c>
      <c r="EP310" s="2" t="e">
        <v>#VALUE!</v>
      </c>
    </row>
    <row r="311" spans="1:146" s="2" customFormat="1" ht="15" customHeight="1" x14ac:dyDescent="0.15">
      <c r="A311" s="14"/>
      <c r="B311" s="224"/>
      <c r="C311" s="40"/>
      <c r="D311" s="14"/>
      <c r="H311" s="225"/>
      <c r="I311" s="225"/>
      <c r="J311" s="225"/>
      <c r="K311" s="225"/>
      <c r="L311" s="225"/>
      <c r="M311" s="225"/>
      <c r="N311" s="225"/>
      <c r="O311" s="225"/>
      <c r="P311" s="225"/>
      <c r="Q311" s="225"/>
      <c r="X311" s="225"/>
      <c r="Y311" s="225"/>
      <c r="Z311" s="225"/>
      <c r="AA311" s="225"/>
      <c r="AB311" s="233">
        <v>17050501</v>
      </c>
      <c r="AC311" s="225" t="s">
        <v>384</v>
      </c>
      <c r="AD311" s="225" t="s">
        <v>330</v>
      </c>
      <c r="AE311" s="225" t="s">
        <v>291</v>
      </c>
      <c r="AF311" s="225" t="s">
        <v>314</v>
      </c>
      <c r="AJ311" s="225"/>
      <c r="AK311" s="225"/>
      <c r="BA311" s="225"/>
      <c r="BB311" s="225">
        <v>1</v>
      </c>
      <c r="BC311" s="225"/>
      <c r="CF311" s="225"/>
      <c r="CG311" s="225"/>
      <c r="CH311" s="225"/>
      <c r="CI311" s="225"/>
      <c r="CJ311" s="225"/>
      <c r="CK311" s="225"/>
      <c r="CL311" s="225"/>
      <c r="CM311" s="225"/>
      <c r="CN311" s="225"/>
      <c r="CO311" s="225"/>
      <c r="CP311" s="225"/>
      <c r="CQ311" s="225"/>
      <c r="CR311" s="225"/>
      <c r="CS311" s="225"/>
      <c r="CT311" s="225"/>
      <c r="CU311" s="225"/>
      <c r="CV311" s="225"/>
      <c r="CW311" s="225"/>
      <c r="CX311" s="225"/>
      <c r="DH311" s="222"/>
      <c r="DI311" s="222"/>
      <c r="DP311" s="96"/>
      <c r="DQ311" s="225"/>
      <c r="DR311" s="57" t="str">
        <f t="shared" si="5"/>
        <v/>
      </c>
      <c r="DS311" s="225"/>
      <c r="DU311" s="1" t="s">
        <v>280</v>
      </c>
      <c r="DV311" s="71"/>
      <c r="DY311" s="71"/>
      <c r="EA311" s="71"/>
      <c r="EB311" s="71"/>
      <c r="EC311" s="71"/>
      <c r="ED311" s="71"/>
    </row>
    <row r="312" spans="1:146" s="2" customFormat="1" ht="14.25" customHeight="1" x14ac:dyDescent="0.15">
      <c r="A312" s="14"/>
      <c r="B312" s="224"/>
      <c r="C312" s="40"/>
      <c r="D312" s="14"/>
      <c r="H312" s="225"/>
      <c r="I312" s="225"/>
      <c r="J312" s="225"/>
      <c r="K312" s="225"/>
      <c r="L312" s="225"/>
      <c r="M312" s="225"/>
      <c r="N312" s="225"/>
      <c r="O312" s="225"/>
      <c r="P312" s="225"/>
      <c r="Q312" s="225"/>
      <c r="X312" s="225"/>
      <c r="Y312" s="225"/>
      <c r="Z312" s="225"/>
      <c r="AA312" s="225"/>
      <c r="AB312" s="233">
        <v>17050502</v>
      </c>
      <c r="AC312" s="225" t="s">
        <v>385</v>
      </c>
      <c r="AD312" s="225"/>
      <c r="AE312" s="225" t="s">
        <v>291</v>
      </c>
      <c r="AF312" s="225" t="s">
        <v>314</v>
      </c>
      <c r="AJ312" s="225">
        <v>8</v>
      </c>
      <c r="AK312" s="225"/>
      <c r="BA312" s="225"/>
      <c r="BB312" s="225">
        <v>1</v>
      </c>
      <c r="BC312" s="225"/>
      <c r="CF312" s="225"/>
      <c r="CG312" s="225"/>
      <c r="CH312" s="225"/>
      <c r="CI312" s="225"/>
      <c r="CJ312" s="225"/>
      <c r="CK312" s="225"/>
      <c r="CL312" s="225"/>
      <c r="CM312" s="225"/>
      <c r="CN312" s="225"/>
      <c r="CO312" s="225"/>
      <c r="CP312" s="225"/>
      <c r="CQ312" s="225"/>
      <c r="CR312" s="225"/>
      <c r="CS312" s="225"/>
      <c r="CT312" s="225"/>
      <c r="CU312" s="225"/>
      <c r="CV312" s="225"/>
      <c r="CW312" s="225"/>
      <c r="CX312" s="225"/>
      <c r="DH312" s="222"/>
      <c r="DI312" s="222"/>
      <c r="DP312" s="96"/>
      <c r="DQ312" s="225"/>
      <c r="DR312" s="57" t="str">
        <f t="shared" si="5"/>
        <v/>
      </c>
      <c r="DS312" s="225"/>
      <c r="DU312" s="1" t="s">
        <v>280</v>
      </c>
      <c r="DV312" s="71"/>
      <c r="DY312" s="71"/>
      <c r="EA312" s="71"/>
      <c r="EB312" s="71"/>
      <c r="EC312" s="71"/>
      <c r="ED312" s="71"/>
    </row>
    <row r="313" spans="1:146" s="2" customFormat="1" x14ac:dyDescent="0.15">
      <c r="A313" s="14"/>
      <c r="B313" s="224"/>
      <c r="C313" s="40"/>
      <c r="D313" s="14"/>
      <c r="H313" s="225"/>
      <c r="I313" s="225"/>
      <c r="J313" s="225"/>
      <c r="K313" s="225"/>
      <c r="L313" s="225"/>
      <c r="M313" s="225"/>
      <c r="N313" s="225"/>
      <c r="O313" s="225"/>
      <c r="P313" s="225"/>
      <c r="Q313" s="225"/>
      <c r="X313" s="225"/>
      <c r="Y313" s="225"/>
      <c r="Z313" s="225"/>
      <c r="AA313" s="225"/>
      <c r="AB313" s="225">
        <v>17050503</v>
      </c>
      <c r="AC313" s="233" t="s">
        <v>386</v>
      </c>
      <c r="AD313" s="225" t="s">
        <v>330</v>
      </c>
      <c r="AE313" s="225" t="s">
        <v>291</v>
      </c>
      <c r="AF313" s="225" t="s">
        <v>314</v>
      </c>
      <c r="AJ313" s="225"/>
      <c r="AK313" s="225"/>
      <c r="AL313" s="71"/>
      <c r="AM313" s="71"/>
      <c r="AN313" s="71"/>
      <c r="AO313" s="71"/>
      <c r="AP313" s="71"/>
      <c r="AQ313" s="71"/>
      <c r="AR313" s="71"/>
      <c r="AU313" s="71"/>
      <c r="AV313" s="71"/>
      <c r="AW313" s="71"/>
      <c r="AX313" s="71"/>
      <c r="AY313" s="71"/>
      <c r="AZ313" s="71"/>
      <c r="BA313" s="244"/>
      <c r="BB313" s="225">
        <v>1</v>
      </c>
      <c r="BC313" s="225"/>
      <c r="CF313" s="225"/>
      <c r="CG313" s="225"/>
      <c r="CH313" s="225"/>
      <c r="CI313" s="225"/>
      <c r="CJ313" s="225"/>
      <c r="CK313" s="225"/>
      <c r="CL313" s="225"/>
      <c r="CM313" s="225"/>
      <c r="CN313" s="225"/>
      <c r="CO313" s="225"/>
      <c r="CP313" s="225"/>
      <c r="CQ313" s="225"/>
      <c r="CR313" s="225"/>
      <c r="CS313" s="225"/>
      <c r="CT313" s="225"/>
      <c r="CU313" s="225"/>
      <c r="CV313" s="225"/>
      <c r="CW313" s="225"/>
      <c r="CX313" s="225"/>
      <c r="DH313" s="222"/>
      <c r="DI313" s="222"/>
      <c r="DP313" s="96"/>
      <c r="DQ313" s="233"/>
      <c r="DR313" s="57" t="str">
        <f t="shared" si="5"/>
        <v/>
      </c>
      <c r="DS313" s="233"/>
      <c r="DU313" s="1" t="s">
        <v>280</v>
      </c>
      <c r="DV313" s="71"/>
      <c r="DY313" s="71"/>
      <c r="EA313" s="71"/>
      <c r="EB313" s="71"/>
      <c r="EC313" s="71"/>
      <c r="ED313" s="71"/>
    </row>
    <row r="314" spans="1:146" s="14" customFormat="1" ht="43.5" customHeight="1" x14ac:dyDescent="0.15">
      <c r="A314" s="15">
        <v>172016</v>
      </c>
      <c r="B314" s="227" t="s">
        <v>588</v>
      </c>
      <c r="C314" s="40" t="s">
        <v>589</v>
      </c>
      <c r="D314" s="15" t="s">
        <v>590</v>
      </c>
      <c r="H314" s="228">
        <v>0</v>
      </c>
      <c r="I314" s="228"/>
      <c r="J314" s="228"/>
      <c r="K314" s="228"/>
      <c r="L314" s="228">
        <v>0</v>
      </c>
      <c r="M314" s="228"/>
      <c r="N314" s="228"/>
      <c r="O314" s="228"/>
      <c r="P314" s="228" t="s">
        <v>268</v>
      </c>
      <c r="Q314" s="228" t="s">
        <v>269</v>
      </c>
      <c r="X314" s="228">
        <v>1</v>
      </c>
      <c r="Y314" s="228">
        <v>0</v>
      </c>
      <c r="Z314" s="228">
        <v>0</v>
      </c>
      <c r="AA314" s="228"/>
      <c r="AB314" s="228">
        <v>3001</v>
      </c>
      <c r="AC314" s="228"/>
      <c r="AD314" s="228"/>
      <c r="AE314" s="228"/>
      <c r="AF314" s="228"/>
      <c r="AJ314" s="228"/>
      <c r="AK314" s="228"/>
      <c r="AL314" s="239"/>
      <c r="AM314" s="239"/>
      <c r="AN314" s="239"/>
      <c r="AO314" s="239"/>
      <c r="AP314" s="239"/>
      <c r="AQ314" s="239"/>
      <c r="AR314" s="239"/>
      <c r="AU314" s="239"/>
      <c r="AV314" s="239"/>
      <c r="AW314" s="239"/>
      <c r="AX314" s="239"/>
      <c r="AY314" s="239"/>
      <c r="AZ314" s="239"/>
      <c r="BA314" s="245" t="s">
        <v>270</v>
      </c>
      <c r="BB314" s="228">
        <v>300</v>
      </c>
      <c r="BC314" s="228">
        <v>0</v>
      </c>
      <c r="BF314" s="14">
        <v>0</v>
      </c>
      <c r="BG314" s="14">
        <v>0</v>
      </c>
      <c r="BH314" s="14">
        <v>0</v>
      </c>
      <c r="BJ314" s="14" t="s">
        <v>270</v>
      </c>
      <c r="BS314" s="14" t="s">
        <v>270</v>
      </c>
      <c r="CF314" s="228" t="s">
        <v>271</v>
      </c>
      <c r="CG314" s="228"/>
      <c r="CH314" s="228"/>
      <c r="CI314" s="228"/>
      <c r="CJ314" s="228" t="s">
        <v>1</v>
      </c>
      <c r="CK314" s="234" t="s">
        <v>308</v>
      </c>
      <c r="CL314" s="234"/>
      <c r="CM314" s="228">
        <v>999</v>
      </c>
      <c r="CN314" s="228">
        <v>0</v>
      </c>
      <c r="CO314" s="228">
        <v>0</v>
      </c>
      <c r="CP314" s="228">
        <v>0</v>
      </c>
      <c r="CQ314" s="228">
        <v>0</v>
      </c>
      <c r="CR314" s="228"/>
      <c r="CS314" s="217">
        <v>5</v>
      </c>
      <c r="CT314" s="217">
        <v>2</v>
      </c>
      <c r="CU314" s="217">
        <v>8</v>
      </c>
      <c r="CV314" s="228" t="s">
        <v>591</v>
      </c>
      <c r="CW314" s="228" t="b">
        <v>1</v>
      </c>
      <c r="CX314" s="251" t="s">
        <v>273</v>
      </c>
      <c r="DB314" s="14">
        <v>170501</v>
      </c>
      <c r="DC314" s="14" t="b">
        <v>1</v>
      </c>
      <c r="DD314" s="14" t="s">
        <v>274</v>
      </c>
      <c r="DE314" s="14" t="s">
        <v>524</v>
      </c>
      <c r="DF314" s="14" t="s">
        <v>276</v>
      </c>
      <c r="DG314" s="14" t="s">
        <v>322</v>
      </c>
      <c r="DH314" s="225">
        <v>4</v>
      </c>
      <c r="DI314" s="250" t="b">
        <v>0</v>
      </c>
      <c r="DJ314" s="264"/>
      <c r="DP314" s="96" t="s">
        <v>323</v>
      </c>
      <c r="DQ314" s="234" t="s">
        <v>592</v>
      </c>
      <c r="DR314" s="57" t="e">
        <f t="shared" si="5"/>
        <v>#VALUE!</v>
      </c>
      <c r="DS314" s="234" t="s">
        <v>593</v>
      </c>
      <c r="DU314" s="1" t="s">
        <v>280</v>
      </c>
      <c r="DV314" s="239"/>
      <c r="DZ314" s="279">
        <v>1</v>
      </c>
      <c r="EA314" s="280" t="s">
        <v>281</v>
      </c>
      <c r="EB314" s="280" t="s">
        <v>282</v>
      </c>
      <c r="EC314" s="280" t="s">
        <v>283</v>
      </c>
      <c r="ED314" s="280" t="s">
        <v>283</v>
      </c>
      <c r="EE314" s="14" t="s">
        <v>284</v>
      </c>
      <c r="EF314" s="14" t="s">
        <v>326</v>
      </c>
      <c r="EG314" s="14" t="e">
        <v>#VALUE!</v>
      </c>
      <c r="EH314" s="14" t="s">
        <v>285</v>
      </c>
      <c r="EI314" s="14" t="s">
        <v>327</v>
      </c>
      <c r="EJ314" s="14" t="e">
        <v>#VALUE!</v>
      </c>
      <c r="EK314" s="14" t="s">
        <v>286</v>
      </c>
      <c r="EL314" s="14" t="s">
        <v>328</v>
      </c>
      <c r="EM314" s="14" t="e">
        <v>#VALUE!</v>
      </c>
      <c r="EN314" s="14" t="s">
        <v>287</v>
      </c>
      <c r="EO314" s="14" t="s">
        <v>328</v>
      </c>
      <c r="EP314" s="14" t="e">
        <v>#VALUE!</v>
      </c>
    </row>
    <row r="315" spans="1:146" s="14" customFormat="1" ht="57" customHeight="1" x14ac:dyDescent="0.15">
      <c r="A315" s="15"/>
      <c r="B315" s="227"/>
      <c r="C315" s="40"/>
      <c r="D315" s="15"/>
      <c r="H315" s="228"/>
      <c r="I315" s="228"/>
      <c r="J315" s="228"/>
      <c r="K315" s="228"/>
      <c r="L315" s="228"/>
      <c r="M315" s="228"/>
      <c r="N315" s="228"/>
      <c r="O315" s="228"/>
      <c r="P315" s="228"/>
      <c r="Q315" s="228"/>
      <c r="X315" s="228"/>
      <c r="Y315" s="228"/>
      <c r="Z315" s="228"/>
      <c r="AA315" s="228"/>
      <c r="AB315" s="228">
        <v>17050301</v>
      </c>
      <c r="AC315" s="234" t="s">
        <v>329</v>
      </c>
      <c r="AD315" s="228" t="s">
        <v>330</v>
      </c>
      <c r="AE315" s="228" t="s">
        <v>291</v>
      </c>
      <c r="AF315" s="228" t="s">
        <v>314</v>
      </c>
      <c r="AJ315" s="228"/>
      <c r="AK315" s="228"/>
      <c r="AL315" s="239"/>
      <c r="AM315" s="239"/>
      <c r="AN315" s="239"/>
      <c r="AO315" s="239"/>
      <c r="AP315" s="239"/>
      <c r="AQ315" s="239"/>
      <c r="AR315" s="239"/>
      <c r="AU315" s="239"/>
      <c r="AV315" s="239"/>
      <c r="AW315" s="239"/>
      <c r="AX315" s="239"/>
      <c r="AY315" s="239"/>
      <c r="AZ315" s="239"/>
      <c r="BA315" s="245" t="s">
        <v>331</v>
      </c>
      <c r="BB315" s="220">
        <v>0.15</v>
      </c>
      <c r="BC315" s="228">
        <v>0</v>
      </c>
      <c r="BF315" s="14">
        <v>0</v>
      </c>
      <c r="BG315" s="14">
        <v>0</v>
      </c>
      <c r="BH315" s="14">
        <v>0</v>
      </c>
      <c r="CF315" s="228"/>
      <c r="CG315" s="228"/>
      <c r="CH315" s="228"/>
      <c r="CI315" s="228"/>
      <c r="CJ315" s="228"/>
      <c r="CK315" s="228"/>
      <c r="CL315" s="228"/>
      <c r="CM315" s="228"/>
      <c r="CN315" s="228"/>
      <c r="CO315" s="228"/>
      <c r="CP315" s="228"/>
      <c r="CQ315" s="228"/>
      <c r="CR315" s="228"/>
      <c r="CS315" s="217"/>
      <c r="CT315" s="217"/>
      <c r="CU315" s="217"/>
      <c r="CV315" s="228"/>
      <c r="CW315" s="228"/>
      <c r="CX315" s="228"/>
      <c r="DH315" s="225"/>
      <c r="DI315" s="225"/>
      <c r="DP315" s="96"/>
      <c r="DQ315" s="234"/>
      <c r="DR315" s="57" t="str">
        <f t="shared" ref="DR315:DR378" si="6">IF(DZ315="","",IF(DZ315=1,EG315,IF(DZ315=2,EJ315,IF(DZ315=3,EM315,IF(DZ315=4,EP315,IF(DZ315=0,DS315,"【参数配置有误】"&amp;DS315))))))</f>
        <v/>
      </c>
      <c r="DS315" s="234"/>
      <c r="DU315" s="1" t="s">
        <v>280</v>
      </c>
      <c r="DV315" s="239"/>
      <c r="DY315" s="239"/>
      <c r="EA315" s="239"/>
      <c r="EB315" s="239"/>
      <c r="EC315" s="239"/>
      <c r="ED315" s="239"/>
    </row>
    <row r="316" spans="1:146" s="14" customFormat="1" ht="15" customHeight="1" x14ac:dyDescent="0.15">
      <c r="A316" s="15"/>
      <c r="B316" s="227"/>
      <c r="C316" s="40"/>
      <c r="D316" s="15"/>
      <c r="H316" s="228"/>
      <c r="I316" s="228"/>
      <c r="J316" s="228"/>
      <c r="K316" s="228"/>
      <c r="L316" s="228"/>
      <c r="M316" s="228"/>
      <c r="N316" s="228"/>
      <c r="O316" s="228"/>
      <c r="P316" s="228"/>
      <c r="Q316" s="228"/>
      <c r="X316" s="228"/>
      <c r="Y316" s="228"/>
      <c r="Z316" s="228"/>
      <c r="AA316" s="228"/>
      <c r="AB316" s="228">
        <v>17050302</v>
      </c>
      <c r="AC316" s="234" t="s">
        <v>332</v>
      </c>
      <c r="AD316" s="228" t="s">
        <v>333</v>
      </c>
      <c r="AE316" s="228" t="s">
        <v>291</v>
      </c>
      <c r="AF316" s="228" t="s">
        <v>314</v>
      </c>
      <c r="AJ316" s="228">
        <v>-1</v>
      </c>
      <c r="AK316" s="228"/>
      <c r="AL316" s="239"/>
      <c r="AM316" s="239"/>
      <c r="AN316" s="239"/>
      <c r="AO316" s="239"/>
      <c r="AP316" s="239"/>
      <c r="AQ316" s="239"/>
      <c r="AR316" s="239"/>
      <c r="AU316" s="239"/>
      <c r="AV316" s="239"/>
      <c r="AW316" s="239"/>
      <c r="AX316" s="239"/>
      <c r="AY316" s="239"/>
      <c r="AZ316" s="239"/>
      <c r="BA316" s="245"/>
      <c r="BB316" s="228">
        <v>1</v>
      </c>
      <c r="BC316" s="228"/>
      <c r="CF316" s="228"/>
      <c r="CG316" s="228"/>
      <c r="CH316" s="228"/>
      <c r="CI316" s="228"/>
      <c r="CJ316" s="228"/>
      <c r="CK316" s="228"/>
      <c r="CL316" s="228"/>
      <c r="CM316" s="228"/>
      <c r="CN316" s="228"/>
      <c r="CO316" s="228"/>
      <c r="CP316" s="228"/>
      <c r="CQ316" s="228"/>
      <c r="CR316" s="228"/>
      <c r="CS316" s="217"/>
      <c r="CT316" s="217"/>
      <c r="CU316" s="217"/>
      <c r="CV316" s="228"/>
      <c r="CW316" s="228"/>
      <c r="CX316" s="228"/>
      <c r="DH316" s="225"/>
      <c r="DI316" s="225"/>
      <c r="DP316" s="96"/>
      <c r="DQ316" s="234"/>
      <c r="DR316" s="57" t="str">
        <f t="shared" si="6"/>
        <v/>
      </c>
      <c r="DS316" s="234"/>
      <c r="DU316" s="1" t="s">
        <v>280</v>
      </c>
      <c r="DV316" s="239"/>
      <c r="DY316" s="239"/>
      <c r="EA316" s="239"/>
      <c r="EB316" s="239"/>
      <c r="EC316" s="239"/>
      <c r="ED316" s="239"/>
    </row>
    <row r="317" spans="1:146" s="14" customFormat="1" ht="55.5" customHeight="1" x14ac:dyDescent="0.15">
      <c r="A317" s="15">
        <v>172017</v>
      </c>
      <c r="B317" s="229" t="s">
        <v>594</v>
      </c>
      <c r="C317" s="40" t="s">
        <v>595</v>
      </c>
      <c r="D317" s="15" t="s">
        <v>596</v>
      </c>
      <c r="H317" s="228">
        <v>0</v>
      </c>
      <c r="I317" s="228"/>
      <c r="J317" s="228"/>
      <c r="K317" s="228"/>
      <c r="L317" s="228">
        <v>0</v>
      </c>
      <c r="M317" s="228"/>
      <c r="N317" s="228"/>
      <c r="O317" s="228"/>
      <c r="P317" s="228" t="s">
        <v>268</v>
      </c>
      <c r="Q317" s="228" t="s">
        <v>269</v>
      </c>
      <c r="X317" s="228">
        <v>1</v>
      </c>
      <c r="Y317" s="228">
        <v>0</v>
      </c>
      <c r="Z317" s="228">
        <v>0</v>
      </c>
      <c r="AA317" s="228"/>
      <c r="AB317" s="228">
        <v>3001</v>
      </c>
      <c r="AC317" s="228" t="s">
        <v>337</v>
      </c>
      <c r="AD317" s="228"/>
      <c r="AE317" s="228" t="s">
        <v>129</v>
      </c>
      <c r="AF317" s="228" t="s">
        <v>314</v>
      </c>
      <c r="AJ317" s="228"/>
      <c r="AK317" s="228"/>
      <c r="AL317" s="239"/>
      <c r="AM317" s="239"/>
      <c r="AN317" s="239"/>
      <c r="AO317" s="239"/>
      <c r="AP317" s="239"/>
      <c r="AQ317" s="239"/>
      <c r="AR317" s="239"/>
      <c r="AU317" s="239"/>
      <c r="AV317" s="239"/>
      <c r="AW317" s="239"/>
      <c r="AX317" s="239"/>
      <c r="AY317" s="239"/>
      <c r="AZ317" s="239"/>
      <c r="BA317" s="245" t="s">
        <v>270</v>
      </c>
      <c r="BB317" s="228">
        <v>200</v>
      </c>
      <c r="BC317" s="228">
        <v>0</v>
      </c>
      <c r="BF317" s="14">
        <v>0</v>
      </c>
      <c r="BG317" s="14">
        <v>0</v>
      </c>
      <c r="BH317" s="14">
        <v>0</v>
      </c>
      <c r="BJ317" s="14" t="s">
        <v>270</v>
      </c>
      <c r="BS317" s="14" t="s">
        <v>270</v>
      </c>
      <c r="CF317" s="228" t="s">
        <v>271</v>
      </c>
      <c r="CG317" s="228"/>
      <c r="CH317" s="228"/>
      <c r="CI317" s="228"/>
      <c r="CJ317" s="228" t="s">
        <v>3</v>
      </c>
      <c r="CK317" s="234" t="s">
        <v>486</v>
      </c>
      <c r="CL317" s="234"/>
      <c r="CM317" s="228">
        <v>999</v>
      </c>
      <c r="CN317" s="228">
        <v>0</v>
      </c>
      <c r="CO317" s="228">
        <v>0</v>
      </c>
      <c r="CP317" s="228">
        <v>0</v>
      </c>
      <c r="CQ317" s="228">
        <v>0</v>
      </c>
      <c r="CR317" s="228"/>
      <c r="CS317" s="217">
        <v>4</v>
      </c>
      <c r="CT317" s="217"/>
      <c r="CU317" s="217">
        <v>5</v>
      </c>
      <c r="CV317" s="228" t="s">
        <v>597</v>
      </c>
      <c r="CW317" s="228" t="b">
        <v>0</v>
      </c>
      <c r="CX317" s="251" t="s">
        <v>273</v>
      </c>
      <c r="DB317" s="14">
        <v>100300</v>
      </c>
      <c r="DC317" s="14" t="b">
        <v>1</v>
      </c>
      <c r="DD317" s="14" t="s">
        <v>274</v>
      </c>
      <c r="DE317" s="14" t="s">
        <v>321</v>
      </c>
      <c r="DF317" s="14" t="s">
        <v>276</v>
      </c>
      <c r="DG317" s="14" t="s">
        <v>277</v>
      </c>
      <c r="DH317" s="225">
        <v>4</v>
      </c>
      <c r="DI317" s="250" t="b">
        <v>0</v>
      </c>
      <c r="DJ317" s="264"/>
      <c r="DM317" s="240"/>
      <c r="DP317" s="96" t="s">
        <v>341</v>
      </c>
      <c r="DQ317" s="234" t="s">
        <v>598</v>
      </c>
      <c r="DR317" s="57" t="e">
        <f t="shared" si="6"/>
        <v>#VALUE!</v>
      </c>
      <c r="DS317" s="234" t="s">
        <v>599</v>
      </c>
      <c r="DT317" s="272"/>
      <c r="DU317" s="1" t="s">
        <v>280</v>
      </c>
      <c r="DV317" s="239"/>
      <c r="DZ317" s="279">
        <v>1</v>
      </c>
      <c r="EA317" s="280" t="s">
        <v>281</v>
      </c>
      <c r="EB317" s="280" t="s">
        <v>282</v>
      </c>
      <c r="EC317" s="280" t="s">
        <v>283</v>
      </c>
      <c r="ED317" s="280" t="s">
        <v>283</v>
      </c>
      <c r="EE317" s="14" t="s">
        <v>284</v>
      </c>
      <c r="EF317" s="14" t="s">
        <v>326</v>
      </c>
      <c r="EG317" s="14" t="e">
        <v>#VALUE!</v>
      </c>
      <c r="EH317" s="14" t="s">
        <v>285</v>
      </c>
      <c r="EI317" s="14" t="s">
        <v>344</v>
      </c>
      <c r="EJ317" s="14" t="e">
        <v>#VALUE!</v>
      </c>
      <c r="EK317" s="14" t="s">
        <v>286</v>
      </c>
      <c r="EL317" s="14" t="s">
        <v>345</v>
      </c>
      <c r="EM317" s="14" t="e">
        <v>#VALUE!</v>
      </c>
      <c r="EN317" s="14" t="s">
        <v>287</v>
      </c>
      <c r="EO317" s="14" t="s">
        <v>345</v>
      </c>
      <c r="EP317" s="14" t="e">
        <v>#VALUE!</v>
      </c>
    </row>
    <row r="318" spans="1:146" s="14" customFormat="1" ht="57" customHeight="1" x14ac:dyDescent="0.15">
      <c r="A318" s="15"/>
      <c r="B318" s="227"/>
      <c r="C318" s="40"/>
      <c r="D318" s="15"/>
      <c r="H318" s="228"/>
      <c r="I318" s="228"/>
      <c r="J318" s="228"/>
      <c r="K318" s="228"/>
      <c r="L318" s="228"/>
      <c r="M318" s="228"/>
      <c r="N318" s="228"/>
      <c r="O318" s="228"/>
      <c r="P318" s="228"/>
      <c r="Q318" s="228"/>
      <c r="X318" s="228"/>
      <c r="Y318" s="228"/>
      <c r="Z318" s="228"/>
      <c r="AA318" s="228"/>
      <c r="AB318" s="228">
        <v>10240102</v>
      </c>
      <c r="AC318" s="228" t="s">
        <v>346</v>
      </c>
      <c r="AD318" s="228"/>
      <c r="AE318" s="228" t="s">
        <v>129</v>
      </c>
      <c r="AF318" s="228" t="s">
        <v>314</v>
      </c>
      <c r="AG318" s="240"/>
      <c r="AH318" s="240"/>
      <c r="AI318" s="240"/>
      <c r="AJ318" s="228">
        <v>3</v>
      </c>
      <c r="AK318" s="228"/>
      <c r="BA318" s="228"/>
      <c r="BB318" s="228">
        <v>1</v>
      </c>
      <c r="BC318" s="228"/>
      <c r="CF318" s="228"/>
      <c r="CG318" s="228"/>
      <c r="CH318" s="228"/>
      <c r="CI318" s="228"/>
      <c r="CJ318" s="228"/>
      <c r="CK318" s="228"/>
      <c r="CL318" s="228"/>
      <c r="CM318" s="228"/>
      <c r="CN318" s="228"/>
      <c r="CO318" s="228"/>
      <c r="CP318" s="228"/>
      <c r="CQ318" s="228"/>
      <c r="CR318" s="228"/>
      <c r="CS318" s="217"/>
      <c r="CT318" s="217"/>
      <c r="CU318" s="217"/>
      <c r="CV318" s="228"/>
      <c r="CW318" s="228"/>
      <c r="CX318" s="228"/>
      <c r="DH318" s="225"/>
      <c r="DI318" s="225"/>
      <c r="DP318" s="96"/>
      <c r="DQ318" s="228"/>
      <c r="DR318" s="57" t="str">
        <f t="shared" si="6"/>
        <v/>
      </c>
      <c r="DS318" s="228"/>
      <c r="DU318" s="1" t="s">
        <v>280</v>
      </c>
      <c r="DV318" s="239"/>
      <c r="DY318" s="239"/>
      <c r="EA318" s="239"/>
      <c r="EB318" s="239"/>
      <c r="EC318" s="239"/>
      <c r="ED318" s="239"/>
    </row>
    <row r="319" spans="1:146" s="14" customFormat="1" ht="39" customHeight="1" x14ac:dyDescent="0.15">
      <c r="A319" s="15">
        <v>172018</v>
      </c>
      <c r="B319" s="125" t="s">
        <v>600</v>
      </c>
      <c r="C319" s="40" t="s">
        <v>601</v>
      </c>
      <c r="D319" s="15" t="s">
        <v>602</v>
      </c>
      <c r="E319" s="16">
        <v>172026</v>
      </c>
      <c r="H319" s="228">
        <v>0</v>
      </c>
      <c r="I319" s="228"/>
      <c r="J319" s="228"/>
      <c r="K319" s="228"/>
      <c r="L319" s="228">
        <v>0</v>
      </c>
      <c r="M319" s="228"/>
      <c r="N319" s="228"/>
      <c r="O319" s="228"/>
      <c r="P319" s="228" t="s">
        <v>268</v>
      </c>
      <c r="Q319" s="228" t="s">
        <v>269</v>
      </c>
      <c r="X319" s="228">
        <v>1</v>
      </c>
      <c r="Y319" s="228">
        <v>0</v>
      </c>
      <c r="Z319" s="228">
        <v>0</v>
      </c>
      <c r="AA319" s="228"/>
      <c r="AB319" s="228">
        <v>3001</v>
      </c>
      <c r="AC319" s="228" t="s">
        <v>337</v>
      </c>
      <c r="AD319" s="228" t="s">
        <v>330</v>
      </c>
      <c r="AE319" s="228"/>
      <c r="AF319" s="228"/>
      <c r="AJ319" s="228"/>
      <c r="AK319" s="228"/>
      <c r="AL319" s="239"/>
      <c r="AM319" s="239"/>
      <c r="AN319" s="239"/>
      <c r="AO319" s="239"/>
      <c r="AP319" s="239"/>
      <c r="AQ319" s="239"/>
      <c r="AR319" s="239"/>
      <c r="AU319" s="239"/>
      <c r="AV319" s="239"/>
      <c r="AW319" s="239"/>
      <c r="AX319" s="239"/>
      <c r="AY319" s="239"/>
      <c r="AZ319" s="239"/>
      <c r="BA319" s="245" t="s">
        <v>270</v>
      </c>
      <c r="BB319" s="228">
        <v>150</v>
      </c>
      <c r="BC319" s="228">
        <v>0</v>
      </c>
      <c r="BF319" s="14">
        <v>0</v>
      </c>
      <c r="BG319" s="14">
        <v>0</v>
      </c>
      <c r="BH319" s="14">
        <v>0</v>
      </c>
      <c r="BJ319" s="14" t="s">
        <v>270</v>
      </c>
      <c r="BS319" s="14" t="s">
        <v>270</v>
      </c>
      <c r="CF319" s="228" t="s">
        <v>378</v>
      </c>
      <c r="CG319" s="228"/>
      <c r="CH319" s="228"/>
      <c r="CI319" s="228"/>
      <c r="CJ319" s="228" t="s">
        <v>1</v>
      </c>
      <c r="CK319" s="234" t="s">
        <v>379</v>
      </c>
      <c r="CL319" s="234"/>
      <c r="CM319" s="228">
        <v>999</v>
      </c>
      <c r="CN319" s="228">
        <v>0</v>
      </c>
      <c r="CO319" s="228">
        <v>0</v>
      </c>
      <c r="CP319" s="228">
        <v>0</v>
      </c>
      <c r="CQ319" s="228">
        <v>0</v>
      </c>
      <c r="CR319" s="228"/>
      <c r="CS319" s="217">
        <v>5</v>
      </c>
      <c r="CT319" s="217"/>
      <c r="CU319" s="217">
        <v>10</v>
      </c>
      <c r="CV319" s="228" t="s">
        <v>603</v>
      </c>
      <c r="CW319" s="228" t="b">
        <v>0</v>
      </c>
      <c r="CX319" s="251" t="s">
        <v>273</v>
      </c>
      <c r="DB319" s="14">
        <v>102401</v>
      </c>
      <c r="DC319" s="14" t="b">
        <v>1</v>
      </c>
      <c r="DD319" s="259" t="s">
        <v>274</v>
      </c>
      <c r="DE319" s="240" t="s">
        <v>537</v>
      </c>
      <c r="DF319" s="259" t="s">
        <v>276</v>
      </c>
      <c r="DG319" s="259" t="s">
        <v>293</v>
      </c>
      <c r="DH319" s="260">
        <v>4</v>
      </c>
      <c r="DI319" s="260" t="b">
        <v>0</v>
      </c>
      <c r="DJ319" s="259"/>
      <c r="DP319" s="96" t="s">
        <v>381</v>
      </c>
      <c r="DQ319" s="273" t="s">
        <v>604</v>
      </c>
      <c r="DR319" s="57" t="e">
        <f t="shared" si="6"/>
        <v>#VALUE!</v>
      </c>
      <c r="DS319" s="273" t="s">
        <v>605</v>
      </c>
      <c r="DT319" s="274"/>
      <c r="DU319" s="1" t="s">
        <v>280</v>
      </c>
      <c r="DV319" s="239"/>
      <c r="DZ319" s="279">
        <v>1</v>
      </c>
      <c r="EA319" s="280" t="s">
        <v>281</v>
      </c>
      <c r="EB319" s="280" t="s">
        <v>282</v>
      </c>
      <c r="EC319" s="280" t="s">
        <v>283</v>
      </c>
      <c r="ED319" s="280" t="s">
        <v>283</v>
      </c>
      <c r="EE319" s="14" t="s">
        <v>284</v>
      </c>
      <c r="EF319" s="14" t="s">
        <v>326</v>
      </c>
      <c r="EG319" s="14" t="e">
        <v>#VALUE!</v>
      </c>
      <c r="EH319" s="14" t="s">
        <v>285</v>
      </c>
      <c r="EI319" s="14" t="s">
        <v>344</v>
      </c>
      <c r="EJ319" s="14" t="e">
        <v>#VALUE!</v>
      </c>
      <c r="EK319" s="14" t="s">
        <v>286</v>
      </c>
      <c r="EL319" s="14" t="s">
        <v>328</v>
      </c>
      <c r="EM319" s="14" t="e">
        <v>#VALUE!</v>
      </c>
      <c r="EN319" s="14" t="s">
        <v>287</v>
      </c>
      <c r="EO319" s="14" t="s">
        <v>328</v>
      </c>
      <c r="EP319" s="14" t="e">
        <v>#VALUE!</v>
      </c>
    </row>
    <row r="320" spans="1:146" s="14" customFormat="1" ht="15" customHeight="1" x14ac:dyDescent="0.15">
      <c r="A320" s="15"/>
      <c r="B320" s="227"/>
      <c r="C320" s="40"/>
      <c r="D320" s="15"/>
      <c r="H320" s="228"/>
      <c r="I320" s="228"/>
      <c r="J320" s="228"/>
      <c r="K320" s="228"/>
      <c r="L320" s="228"/>
      <c r="M320" s="228"/>
      <c r="N320" s="228"/>
      <c r="O320" s="228"/>
      <c r="P320" s="228"/>
      <c r="Q320" s="228"/>
      <c r="X320" s="228"/>
      <c r="Y320" s="228"/>
      <c r="Z320" s="228"/>
      <c r="AA320" s="228"/>
      <c r="AB320" s="234">
        <v>17050501</v>
      </c>
      <c r="AC320" s="228" t="s">
        <v>384</v>
      </c>
      <c r="AD320" s="228" t="s">
        <v>330</v>
      </c>
      <c r="AE320" s="228" t="s">
        <v>291</v>
      </c>
      <c r="AF320" s="228" t="s">
        <v>314</v>
      </c>
      <c r="AJ320" s="228"/>
      <c r="AK320" s="228"/>
      <c r="BA320" s="228"/>
      <c r="BB320" s="228">
        <v>1</v>
      </c>
      <c r="BC320" s="228"/>
      <c r="CF320" s="228"/>
      <c r="CG320" s="228"/>
      <c r="CH320" s="228"/>
      <c r="CI320" s="228"/>
      <c r="CJ320" s="228"/>
      <c r="CK320" s="228"/>
      <c r="CL320" s="228"/>
      <c r="CM320" s="228"/>
      <c r="CN320" s="228"/>
      <c r="CO320" s="228"/>
      <c r="CP320" s="228"/>
      <c r="CQ320" s="228"/>
      <c r="CR320" s="228"/>
      <c r="CS320" s="228"/>
      <c r="CT320" s="228"/>
      <c r="CU320" s="228"/>
      <c r="CV320" s="228"/>
      <c r="CW320" s="228"/>
      <c r="CX320" s="228"/>
      <c r="DH320" s="225"/>
      <c r="DI320" s="225"/>
      <c r="DP320" s="96"/>
      <c r="DQ320" s="228"/>
      <c r="DR320" s="57" t="str">
        <f t="shared" si="6"/>
        <v/>
      </c>
      <c r="DS320" s="228"/>
      <c r="DU320" s="1" t="s">
        <v>280</v>
      </c>
      <c r="DV320" s="239"/>
      <c r="DY320" s="239"/>
      <c r="EA320" s="239"/>
      <c r="EB320" s="239"/>
      <c r="EC320" s="239"/>
      <c r="ED320" s="239"/>
    </row>
    <row r="321" spans="1:146" s="14" customFormat="1" ht="14.25" customHeight="1" x14ac:dyDescent="0.15">
      <c r="A321" s="15"/>
      <c r="B321" s="227"/>
      <c r="C321" s="40"/>
      <c r="D321" s="15"/>
      <c r="H321" s="228"/>
      <c r="I321" s="228"/>
      <c r="J321" s="228"/>
      <c r="K321" s="228"/>
      <c r="L321" s="228"/>
      <c r="M321" s="228"/>
      <c r="N321" s="228"/>
      <c r="O321" s="228"/>
      <c r="P321" s="228"/>
      <c r="Q321" s="228"/>
      <c r="X321" s="228"/>
      <c r="Y321" s="228"/>
      <c r="Z321" s="228"/>
      <c r="AA321" s="228"/>
      <c r="AB321" s="234">
        <v>17050502</v>
      </c>
      <c r="AC321" s="228" t="s">
        <v>385</v>
      </c>
      <c r="AD321" s="228"/>
      <c r="AE321" s="228" t="s">
        <v>291</v>
      </c>
      <c r="AF321" s="228" t="s">
        <v>314</v>
      </c>
      <c r="AJ321" s="228">
        <v>8</v>
      </c>
      <c r="AK321" s="228"/>
      <c r="BA321" s="228"/>
      <c r="BB321" s="228">
        <v>1</v>
      </c>
      <c r="BC321" s="228"/>
      <c r="CF321" s="228"/>
      <c r="CG321" s="228"/>
      <c r="CH321" s="228"/>
      <c r="CI321" s="228"/>
      <c r="CJ321" s="228"/>
      <c r="CK321" s="228"/>
      <c r="CL321" s="228"/>
      <c r="CM321" s="228"/>
      <c r="CN321" s="228"/>
      <c r="CO321" s="228"/>
      <c r="CP321" s="228"/>
      <c r="CQ321" s="228"/>
      <c r="CR321" s="228"/>
      <c r="CS321" s="228"/>
      <c r="CT321" s="228"/>
      <c r="CU321" s="228"/>
      <c r="CV321" s="228"/>
      <c r="CW321" s="228"/>
      <c r="CX321" s="228"/>
      <c r="DH321" s="225"/>
      <c r="DI321" s="225"/>
      <c r="DP321" s="96"/>
      <c r="DQ321" s="228"/>
      <c r="DR321" s="57" t="str">
        <f t="shared" si="6"/>
        <v/>
      </c>
      <c r="DS321" s="228"/>
      <c r="DU321" s="1" t="s">
        <v>280</v>
      </c>
      <c r="DV321" s="239"/>
      <c r="DY321" s="239"/>
      <c r="EA321" s="239"/>
      <c r="EB321" s="239"/>
      <c r="EC321" s="239"/>
      <c r="ED321" s="239"/>
    </row>
    <row r="322" spans="1:146" s="14" customFormat="1" ht="15" customHeight="1" x14ac:dyDescent="0.15">
      <c r="A322" s="15"/>
      <c r="B322" s="227"/>
      <c r="C322" s="40"/>
      <c r="D322" s="15"/>
      <c r="H322" s="228"/>
      <c r="I322" s="228"/>
      <c r="J322" s="228"/>
      <c r="K322" s="228"/>
      <c r="L322" s="228"/>
      <c r="M322" s="228"/>
      <c r="N322" s="228"/>
      <c r="O322" s="228"/>
      <c r="P322" s="228"/>
      <c r="Q322" s="228"/>
      <c r="X322" s="228"/>
      <c r="Y322" s="228"/>
      <c r="Z322" s="228"/>
      <c r="AA322" s="228"/>
      <c r="AB322" s="228">
        <v>17050503</v>
      </c>
      <c r="AC322" s="234" t="s">
        <v>386</v>
      </c>
      <c r="AD322" s="228" t="s">
        <v>330</v>
      </c>
      <c r="AE322" s="228" t="s">
        <v>291</v>
      </c>
      <c r="AF322" s="228" t="s">
        <v>314</v>
      </c>
      <c r="AJ322" s="228"/>
      <c r="AK322" s="228"/>
      <c r="AL322" s="239"/>
      <c r="AM322" s="239"/>
      <c r="AN322" s="239"/>
      <c r="AO322" s="239"/>
      <c r="AP322" s="239"/>
      <c r="AQ322" s="239"/>
      <c r="AR322" s="239"/>
      <c r="AU322" s="239"/>
      <c r="AV322" s="239"/>
      <c r="AW322" s="239"/>
      <c r="AX322" s="239"/>
      <c r="AY322" s="239"/>
      <c r="AZ322" s="239"/>
      <c r="BA322" s="245"/>
      <c r="BB322" s="228">
        <v>1</v>
      </c>
      <c r="BC322" s="228"/>
      <c r="CF322" s="228"/>
      <c r="CG322" s="228"/>
      <c r="CH322" s="228"/>
      <c r="CI322" s="228"/>
      <c r="CJ322" s="228"/>
      <c r="CK322" s="228"/>
      <c r="CL322" s="228"/>
      <c r="CM322" s="228"/>
      <c r="CN322" s="228"/>
      <c r="CO322" s="228"/>
      <c r="CP322" s="228"/>
      <c r="CQ322" s="228"/>
      <c r="CR322" s="228"/>
      <c r="CS322" s="228"/>
      <c r="CT322" s="228"/>
      <c r="CU322" s="228"/>
      <c r="CV322" s="228"/>
      <c r="CW322" s="228"/>
      <c r="CX322" s="228"/>
      <c r="DH322" s="225"/>
      <c r="DI322" s="225"/>
      <c r="DP322" s="96"/>
      <c r="DQ322" s="234"/>
      <c r="DR322" s="57" t="str">
        <f t="shared" si="6"/>
        <v/>
      </c>
      <c r="DS322" s="234"/>
      <c r="DU322" s="1" t="s">
        <v>280</v>
      </c>
      <c r="DV322" s="239"/>
      <c r="DY322" s="239"/>
      <c r="EA322" s="239"/>
      <c r="EB322" s="239"/>
      <c r="EC322" s="239"/>
      <c r="ED322" s="239"/>
    </row>
    <row r="323" spans="1:146" s="15" customFormat="1" ht="43.5" customHeight="1" x14ac:dyDescent="0.15">
      <c r="A323" s="16">
        <v>172019</v>
      </c>
      <c r="B323" s="125" t="s">
        <v>606</v>
      </c>
      <c r="C323" s="40" t="s">
        <v>607</v>
      </c>
      <c r="D323" s="16" t="s">
        <v>608</v>
      </c>
      <c r="H323" s="281">
        <v>0</v>
      </c>
      <c r="I323" s="281"/>
      <c r="J323" s="281"/>
      <c r="K323" s="281"/>
      <c r="L323" s="281">
        <v>0</v>
      </c>
      <c r="M323" s="281"/>
      <c r="N323" s="281"/>
      <c r="O323" s="281"/>
      <c r="P323" s="281" t="s">
        <v>268</v>
      </c>
      <c r="Q323" s="281" t="s">
        <v>269</v>
      </c>
      <c r="X323" s="281">
        <v>1</v>
      </c>
      <c r="Y323" s="281">
        <v>0</v>
      </c>
      <c r="Z323" s="281">
        <v>0</v>
      </c>
      <c r="AA323" s="281"/>
      <c r="AB323" s="281">
        <v>3001</v>
      </c>
      <c r="AC323" s="281"/>
      <c r="AD323" s="281"/>
      <c r="AE323" s="281"/>
      <c r="AF323" s="281"/>
      <c r="AJ323" s="281"/>
      <c r="AK323" s="281"/>
      <c r="AL323" s="303"/>
      <c r="AM323" s="303"/>
      <c r="AN323" s="303"/>
      <c r="AO323" s="303"/>
      <c r="AP323" s="303"/>
      <c r="AQ323" s="303"/>
      <c r="AR323" s="303"/>
      <c r="AU323" s="303"/>
      <c r="AV323" s="303"/>
      <c r="AW323" s="303"/>
      <c r="AX323" s="303"/>
      <c r="AY323" s="303"/>
      <c r="AZ323" s="303"/>
      <c r="BA323" s="310" t="s">
        <v>270</v>
      </c>
      <c r="BB323" s="281">
        <v>300</v>
      </c>
      <c r="BC323" s="281">
        <v>0</v>
      </c>
      <c r="BF323" s="15">
        <v>0</v>
      </c>
      <c r="BG323" s="15">
        <v>0</v>
      </c>
      <c r="BH323" s="15">
        <v>0</v>
      </c>
      <c r="BJ323" s="15" t="s">
        <v>270</v>
      </c>
      <c r="BS323" s="15" t="s">
        <v>270</v>
      </c>
      <c r="CF323" s="281" t="s">
        <v>271</v>
      </c>
      <c r="CG323" s="281"/>
      <c r="CH323" s="281"/>
      <c r="CI323" s="281"/>
      <c r="CJ323" s="281" t="s">
        <v>1</v>
      </c>
      <c r="CK323" s="298" t="s">
        <v>308</v>
      </c>
      <c r="CL323" s="298"/>
      <c r="CM323" s="281">
        <v>999</v>
      </c>
      <c r="CN323" s="281">
        <v>0</v>
      </c>
      <c r="CO323" s="281">
        <v>0</v>
      </c>
      <c r="CP323" s="281">
        <v>0</v>
      </c>
      <c r="CQ323" s="281">
        <v>0</v>
      </c>
      <c r="CR323" s="281"/>
      <c r="CS323" s="217">
        <v>5</v>
      </c>
      <c r="CT323" s="217">
        <v>2</v>
      </c>
      <c r="CU323" s="217">
        <v>8</v>
      </c>
      <c r="CV323" s="281" t="s">
        <v>609</v>
      </c>
      <c r="CW323" s="281" t="b">
        <v>1</v>
      </c>
      <c r="CX323" s="314" t="s">
        <v>273</v>
      </c>
      <c r="DB323" s="15">
        <v>170501</v>
      </c>
      <c r="DC323" s="15" t="b">
        <v>1</v>
      </c>
      <c r="DD323" s="15" t="s">
        <v>274</v>
      </c>
      <c r="DE323" s="15" t="s">
        <v>524</v>
      </c>
      <c r="DF323" s="15" t="s">
        <v>276</v>
      </c>
      <c r="DG323" s="15" t="s">
        <v>322</v>
      </c>
      <c r="DH323" s="228">
        <v>4</v>
      </c>
      <c r="DI323" s="251" t="b">
        <v>0</v>
      </c>
      <c r="DJ323" s="329"/>
      <c r="DP323" s="96" t="s">
        <v>323</v>
      </c>
      <c r="DQ323" s="298" t="s">
        <v>610</v>
      </c>
      <c r="DR323" s="57" t="e">
        <f t="shared" si="6"/>
        <v>#VALUE!</v>
      </c>
      <c r="DS323" s="298" t="s">
        <v>611</v>
      </c>
      <c r="DU323" s="1" t="s">
        <v>280</v>
      </c>
      <c r="DV323" s="303"/>
      <c r="DZ323" s="343">
        <v>1</v>
      </c>
      <c r="EA323" s="344" t="s">
        <v>281</v>
      </c>
      <c r="EB323" s="344" t="s">
        <v>282</v>
      </c>
      <c r="EC323" s="344" t="s">
        <v>283</v>
      </c>
      <c r="ED323" s="344" t="s">
        <v>283</v>
      </c>
      <c r="EE323" s="15" t="s">
        <v>284</v>
      </c>
      <c r="EF323" s="15" t="s">
        <v>326</v>
      </c>
      <c r="EG323" s="15" t="e">
        <v>#VALUE!</v>
      </c>
      <c r="EH323" s="15" t="s">
        <v>285</v>
      </c>
      <c r="EI323" s="15" t="s">
        <v>327</v>
      </c>
      <c r="EJ323" s="15" t="e">
        <v>#VALUE!</v>
      </c>
      <c r="EK323" s="15" t="s">
        <v>286</v>
      </c>
      <c r="EL323" s="15" t="s">
        <v>328</v>
      </c>
      <c r="EM323" s="15" t="e">
        <v>#VALUE!</v>
      </c>
      <c r="EN323" s="15" t="s">
        <v>287</v>
      </c>
      <c r="EO323" s="15" t="s">
        <v>328</v>
      </c>
      <c r="EP323" s="15" t="e">
        <v>#VALUE!</v>
      </c>
    </row>
    <row r="324" spans="1:146" s="15" customFormat="1" ht="57" customHeight="1" x14ac:dyDescent="0.15">
      <c r="A324" s="16"/>
      <c r="B324" s="125"/>
      <c r="C324" s="40"/>
      <c r="D324" s="16"/>
      <c r="H324" s="281"/>
      <c r="I324" s="281"/>
      <c r="J324" s="281"/>
      <c r="K324" s="281"/>
      <c r="L324" s="281"/>
      <c r="M324" s="281"/>
      <c r="N324" s="281"/>
      <c r="O324" s="281"/>
      <c r="P324" s="281"/>
      <c r="Q324" s="281"/>
      <c r="X324" s="281"/>
      <c r="Y324" s="281"/>
      <c r="Z324" s="281"/>
      <c r="AA324" s="281"/>
      <c r="AB324" s="281">
        <v>17050301</v>
      </c>
      <c r="AC324" s="298" t="s">
        <v>329</v>
      </c>
      <c r="AD324" s="281" t="s">
        <v>330</v>
      </c>
      <c r="AE324" s="281" t="s">
        <v>291</v>
      </c>
      <c r="AF324" s="281" t="s">
        <v>314</v>
      </c>
      <c r="AJ324" s="281"/>
      <c r="AK324" s="281"/>
      <c r="AL324" s="303"/>
      <c r="AM324" s="303"/>
      <c r="AN324" s="303"/>
      <c r="AO324" s="303"/>
      <c r="AP324" s="303"/>
      <c r="AQ324" s="303"/>
      <c r="AR324" s="303"/>
      <c r="AU324" s="303"/>
      <c r="AV324" s="303"/>
      <c r="AW324" s="303"/>
      <c r="AX324" s="303"/>
      <c r="AY324" s="303"/>
      <c r="AZ324" s="303"/>
      <c r="BA324" s="310" t="s">
        <v>331</v>
      </c>
      <c r="BB324" s="220">
        <v>0.15</v>
      </c>
      <c r="BC324" s="281">
        <v>0</v>
      </c>
      <c r="BF324" s="15">
        <v>0</v>
      </c>
      <c r="BG324" s="15">
        <v>0</v>
      </c>
      <c r="BH324" s="15">
        <v>0</v>
      </c>
      <c r="CF324" s="281"/>
      <c r="CG324" s="281"/>
      <c r="CH324" s="281"/>
      <c r="CI324" s="281"/>
      <c r="CJ324" s="281"/>
      <c r="CK324" s="281"/>
      <c r="CL324" s="281"/>
      <c r="CM324" s="281"/>
      <c r="CN324" s="281"/>
      <c r="CO324" s="281"/>
      <c r="CP324" s="281"/>
      <c r="CQ324" s="281"/>
      <c r="CR324" s="281"/>
      <c r="CS324" s="217"/>
      <c r="CT324" s="217"/>
      <c r="CU324" s="217"/>
      <c r="CV324" s="281"/>
      <c r="CW324" s="281"/>
      <c r="CX324" s="281"/>
      <c r="DH324" s="228"/>
      <c r="DI324" s="228"/>
      <c r="DP324" s="96"/>
      <c r="DQ324" s="298"/>
      <c r="DR324" s="57" t="str">
        <f t="shared" si="6"/>
        <v/>
      </c>
      <c r="DS324" s="298"/>
      <c r="DU324" s="1" t="s">
        <v>280</v>
      </c>
      <c r="DV324" s="303"/>
      <c r="DY324" s="303"/>
      <c r="EA324" s="303"/>
      <c r="EB324" s="303"/>
      <c r="EC324" s="303"/>
      <c r="ED324" s="303"/>
    </row>
    <row r="325" spans="1:146" s="15" customFormat="1" ht="15" customHeight="1" x14ac:dyDescent="0.15">
      <c r="A325" s="16"/>
      <c r="B325" s="125"/>
      <c r="C325" s="40"/>
      <c r="D325" s="16"/>
      <c r="H325" s="281"/>
      <c r="I325" s="281"/>
      <c r="J325" s="281"/>
      <c r="K325" s="281"/>
      <c r="L325" s="281"/>
      <c r="M325" s="281"/>
      <c r="N325" s="281"/>
      <c r="O325" s="281"/>
      <c r="P325" s="281"/>
      <c r="Q325" s="281"/>
      <c r="X325" s="281"/>
      <c r="Y325" s="281"/>
      <c r="Z325" s="281"/>
      <c r="AA325" s="281"/>
      <c r="AB325" s="281">
        <v>17050302</v>
      </c>
      <c r="AC325" s="298" t="s">
        <v>332</v>
      </c>
      <c r="AD325" s="281" t="s">
        <v>333</v>
      </c>
      <c r="AE325" s="281" t="s">
        <v>291</v>
      </c>
      <c r="AF325" s="281" t="s">
        <v>314</v>
      </c>
      <c r="AJ325" s="281">
        <v>-1</v>
      </c>
      <c r="AK325" s="281"/>
      <c r="AL325" s="303"/>
      <c r="AM325" s="303"/>
      <c r="AN325" s="303"/>
      <c r="AO325" s="303"/>
      <c r="AP325" s="303"/>
      <c r="AQ325" s="303"/>
      <c r="AR325" s="303"/>
      <c r="AU325" s="303"/>
      <c r="AV325" s="303"/>
      <c r="AW325" s="303"/>
      <c r="AX325" s="303"/>
      <c r="AY325" s="303"/>
      <c r="AZ325" s="303"/>
      <c r="BA325" s="310"/>
      <c r="BB325" s="281">
        <v>1</v>
      </c>
      <c r="BC325" s="281"/>
      <c r="CF325" s="281"/>
      <c r="CG325" s="281"/>
      <c r="CH325" s="281"/>
      <c r="CI325" s="281"/>
      <c r="CJ325" s="281"/>
      <c r="CK325" s="281"/>
      <c r="CL325" s="281"/>
      <c r="CM325" s="281"/>
      <c r="CN325" s="281"/>
      <c r="CO325" s="281"/>
      <c r="CP325" s="281"/>
      <c r="CQ325" s="281"/>
      <c r="CR325" s="281"/>
      <c r="CS325" s="217"/>
      <c r="CT325" s="217"/>
      <c r="CU325" s="217"/>
      <c r="CV325" s="281"/>
      <c r="CW325" s="281"/>
      <c r="CX325" s="281"/>
      <c r="DH325" s="228"/>
      <c r="DI325" s="228"/>
      <c r="DP325" s="96"/>
      <c r="DQ325" s="298"/>
      <c r="DR325" s="57" t="str">
        <f t="shared" si="6"/>
        <v/>
      </c>
      <c r="DS325" s="298"/>
      <c r="DU325" s="1" t="s">
        <v>280</v>
      </c>
      <c r="DV325" s="303"/>
      <c r="DY325" s="303"/>
      <c r="EA325" s="303"/>
      <c r="EB325" s="303"/>
      <c r="EC325" s="303"/>
      <c r="ED325" s="303"/>
    </row>
    <row r="326" spans="1:146" s="15" customFormat="1" ht="55.5" customHeight="1" x14ac:dyDescent="0.15">
      <c r="A326" s="16">
        <v>172020</v>
      </c>
      <c r="B326" s="126" t="s">
        <v>612</v>
      </c>
      <c r="C326" s="40" t="s">
        <v>613</v>
      </c>
      <c r="D326" s="16" t="s">
        <v>614</v>
      </c>
      <c r="H326" s="281">
        <v>0</v>
      </c>
      <c r="I326" s="281"/>
      <c r="J326" s="281"/>
      <c r="K326" s="281"/>
      <c r="L326" s="281">
        <v>0</v>
      </c>
      <c r="M326" s="281"/>
      <c r="N326" s="281"/>
      <c r="O326" s="281"/>
      <c r="P326" s="281" t="s">
        <v>268</v>
      </c>
      <c r="Q326" s="281" t="s">
        <v>269</v>
      </c>
      <c r="X326" s="281">
        <v>1</v>
      </c>
      <c r="Y326" s="281">
        <v>0</v>
      </c>
      <c r="Z326" s="281">
        <v>0</v>
      </c>
      <c r="AA326" s="281"/>
      <c r="AB326" s="281">
        <v>3001</v>
      </c>
      <c r="AC326" s="281" t="s">
        <v>337</v>
      </c>
      <c r="AD326" s="281"/>
      <c r="AE326" s="281" t="s">
        <v>129</v>
      </c>
      <c r="AF326" s="281" t="s">
        <v>314</v>
      </c>
      <c r="AJ326" s="281"/>
      <c r="AK326" s="281"/>
      <c r="AL326" s="303"/>
      <c r="AM326" s="303"/>
      <c r="AN326" s="303"/>
      <c r="AO326" s="303"/>
      <c r="AP326" s="303"/>
      <c r="AQ326" s="303"/>
      <c r="AR326" s="303"/>
      <c r="AU326" s="303"/>
      <c r="AV326" s="303"/>
      <c r="AW326" s="303"/>
      <c r="AX326" s="303"/>
      <c r="AY326" s="303"/>
      <c r="AZ326" s="303"/>
      <c r="BA326" s="310" t="s">
        <v>270</v>
      </c>
      <c r="BB326" s="281">
        <v>200</v>
      </c>
      <c r="BC326" s="281">
        <v>0</v>
      </c>
      <c r="BF326" s="15">
        <v>0</v>
      </c>
      <c r="BG326" s="15">
        <v>0</v>
      </c>
      <c r="BH326" s="15">
        <v>0</v>
      </c>
      <c r="BJ326" s="15" t="s">
        <v>270</v>
      </c>
      <c r="BS326" s="15" t="s">
        <v>270</v>
      </c>
      <c r="CF326" s="281" t="s">
        <v>271</v>
      </c>
      <c r="CG326" s="281"/>
      <c r="CH326" s="281"/>
      <c r="CI326" s="281"/>
      <c r="CJ326" s="281" t="s">
        <v>3</v>
      </c>
      <c r="CK326" s="298" t="s">
        <v>486</v>
      </c>
      <c r="CL326" s="298"/>
      <c r="CM326" s="281">
        <v>999</v>
      </c>
      <c r="CN326" s="281">
        <v>0</v>
      </c>
      <c r="CO326" s="281">
        <v>0</v>
      </c>
      <c r="CP326" s="281">
        <v>0</v>
      </c>
      <c r="CQ326" s="281">
        <v>0</v>
      </c>
      <c r="CR326" s="281"/>
      <c r="CS326" s="217">
        <v>4</v>
      </c>
      <c r="CT326" s="217"/>
      <c r="CU326" s="217">
        <v>5</v>
      </c>
      <c r="CV326" s="281" t="s">
        <v>615</v>
      </c>
      <c r="CW326" s="281" t="b">
        <v>0</v>
      </c>
      <c r="CX326" s="314" t="s">
        <v>273</v>
      </c>
      <c r="DB326" s="15">
        <v>100300</v>
      </c>
      <c r="DC326" s="15" t="b">
        <v>1</v>
      </c>
      <c r="DD326" s="15" t="s">
        <v>274</v>
      </c>
      <c r="DE326" s="15" t="s">
        <v>321</v>
      </c>
      <c r="DF326" s="15" t="s">
        <v>276</v>
      </c>
      <c r="DG326" s="15" t="s">
        <v>277</v>
      </c>
      <c r="DH326" s="228">
        <v>4</v>
      </c>
      <c r="DI326" s="251" t="b">
        <v>0</v>
      </c>
      <c r="DJ326" s="329"/>
      <c r="DM326" s="304"/>
      <c r="DP326" s="96" t="s">
        <v>341</v>
      </c>
      <c r="DQ326" s="298" t="s">
        <v>616</v>
      </c>
      <c r="DR326" s="57" t="e">
        <f t="shared" si="6"/>
        <v>#VALUE!</v>
      </c>
      <c r="DS326" s="298" t="s">
        <v>617</v>
      </c>
      <c r="DT326" s="334"/>
      <c r="DU326" s="1" t="s">
        <v>280</v>
      </c>
      <c r="DV326" s="303"/>
      <c r="DZ326" s="343">
        <v>1</v>
      </c>
      <c r="EA326" s="344" t="s">
        <v>281</v>
      </c>
      <c r="EB326" s="344" t="s">
        <v>282</v>
      </c>
      <c r="EC326" s="344" t="s">
        <v>283</v>
      </c>
      <c r="ED326" s="344" t="s">
        <v>283</v>
      </c>
      <c r="EE326" s="15" t="s">
        <v>284</v>
      </c>
      <c r="EF326" s="15" t="s">
        <v>326</v>
      </c>
      <c r="EG326" s="15" t="e">
        <v>#VALUE!</v>
      </c>
      <c r="EH326" s="15" t="s">
        <v>285</v>
      </c>
      <c r="EI326" s="15" t="s">
        <v>344</v>
      </c>
      <c r="EJ326" s="15" t="e">
        <v>#VALUE!</v>
      </c>
      <c r="EK326" s="15" t="s">
        <v>286</v>
      </c>
      <c r="EL326" s="15" t="s">
        <v>345</v>
      </c>
      <c r="EM326" s="15" t="e">
        <v>#VALUE!</v>
      </c>
      <c r="EN326" s="15" t="s">
        <v>287</v>
      </c>
      <c r="EO326" s="15" t="s">
        <v>345</v>
      </c>
      <c r="EP326" s="15" t="e">
        <v>#VALUE!</v>
      </c>
    </row>
    <row r="327" spans="1:146" s="15" customFormat="1" ht="57" customHeight="1" x14ac:dyDescent="0.15">
      <c r="A327" s="16"/>
      <c r="B327" s="125"/>
      <c r="C327" s="40"/>
      <c r="D327" s="16"/>
      <c r="H327" s="281"/>
      <c r="I327" s="281"/>
      <c r="J327" s="281"/>
      <c r="K327" s="281"/>
      <c r="L327" s="281"/>
      <c r="M327" s="281"/>
      <c r="N327" s="281"/>
      <c r="O327" s="281"/>
      <c r="P327" s="281"/>
      <c r="Q327" s="281"/>
      <c r="X327" s="281"/>
      <c r="Y327" s="281"/>
      <c r="Z327" s="281"/>
      <c r="AA327" s="281"/>
      <c r="AB327" s="281">
        <v>10240102</v>
      </c>
      <c r="AC327" s="281" t="s">
        <v>346</v>
      </c>
      <c r="AD327" s="281"/>
      <c r="AE327" s="281" t="s">
        <v>129</v>
      </c>
      <c r="AF327" s="281" t="s">
        <v>314</v>
      </c>
      <c r="AG327" s="304"/>
      <c r="AH327" s="304"/>
      <c r="AI327" s="304"/>
      <c r="AJ327" s="281">
        <v>3</v>
      </c>
      <c r="AK327" s="281"/>
      <c r="BA327" s="281"/>
      <c r="BB327" s="281">
        <v>1</v>
      </c>
      <c r="BC327" s="281"/>
      <c r="CF327" s="281"/>
      <c r="CG327" s="281"/>
      <c r="CH327" s="281"/>
      <c r="CI327" s="281"/>
      <c r="CJ327" s="281"/>
      <c r="CK327" s="281"/>
      <c r="CL327" s="281"/>
      <c r="CM327" s="281"/>
      <c r="CN327" s="281"/>
      <c r="CO327" s="281"/>
      <c r="CP327" s="281"/>
      <c r="CQ327" s="281"/>
      <c r="CR327" s="281"/>
      <c r="CS327" s="217"/>
      <c r="CT327" s="217"/>
      <c r="CU327" s="217"/>
      <c r="CV327" s="281"/>
      <c r="CW327" s="281"/>
      <c r="CX327" s="281"/>
      <c r="DH327" s="228"/>
      <c r="DI327" s="228"/>
      <c r="DP327" s="96"/>
      <c r="DQ327" s="281"/>
      <c r="DR327" s="57" t="str">
        <f t="shared" si="6"/>
        <v/>
      </c>
      <c r="DS327" s="281"/>
      <c r="DU327" s="1" t="s">
        <v>280</v>
      </c>
      <c r="DV327" s="303"/>
      <c r="DY327" s="303"/>
      <c r="EA327" s="303"/>
      <c r="EB327" s="303"/>
      <c r="EC327" s="303"/>
      <c r="ED327" s="303"/>
    </row>
    <row r="328" spans="1:146" s="15" customFormat="1" ht="39" customHeight="1" x14ac:dyDescent="0.15">
      <c r="A328" s="16">
        <v>172021</v>
      </c>
      <c r="B328" s="125" t="s">
        <v>618</v>
      </c>
      <c r="C328" s="40" t="s">
        <v>619</v>
      </c>
      <c r="D328" s="16" t="s">
        <v>620</v>
      </c>
      <c r="E328" s="16">
        <v>172025</v>
      </c>
      <c r="H328" s="281">
        <v>0</v>
      </c>
      <c r="I328" s="281"/>
      <c r="J328" s="281"/>
      <c r="K328" s="281"/>
      <c r="L328" s="281">
        <v>0</v>
      </c>
      <c r="M328" s="281"/>
      <c r="N328" s="281"/>
      <c r="O328" s="281"/>
      <c r="P328" s="281" t="s">
        <v>268</v>
      </c>
      <c r="Q328" s="281" t="s">
        <v>269</v>
      </c>
      <c r="X328" s="281">
        <v>1</v>
      </c>
      <c r="Y328" s="281">
        <v>0</v>
      </c>
      <c r="Z328" s="281">
        <v>0</v>
      </c>
      <c r="AA328" s="281"/>
      <c r="AB328" s="281">
        <v>3001</v>
      </c>
      <c r="AC328" s="281" t="s">
        <v>337</v>
      </c>
      <c r="AD328" s="281" t="s">
        <v>330</v>
      </c>
      <c r="AE328" s="281"/>
      <c r="AF328" s="281"/>
      <c r="AJ328" s="281"/>
      <c r="AK328" s="281"/>
      <c r="AL328" s="303"/>
      <c r="AM328" s="303"/>
      <c r="AN328" s="303"/>
      <c r="AO328" s="303"/>
      <c r="AP328" s="303"/>
      <c r="AQ328" s="303"/>
      <c r="AR328" s="303"/>
      <c r="AU328" s="303"/>
      <c r="AV328" s="303"/>
      <c r="AW328" s="303"/>
      <c r="AX328" s="303"/>
      <c r="AY328" s="303"/>
      <c r="AZ328" s="303"/>
      <c r="BA328" s="310" t="s">
        <v>270</v>
      </c>
      <c r="BB328" s="281">
        <v>150</v>
      </c>
      <c r="BC328" s="281">
        <v>0</v>
      </c>
      <c r="BF328" s="15">
        <v>0</v>
      </c>
      <c r="BG328" s="15">
        <v>0</v>
      </c>
      <c r="BH328" s="15">
        <v>0</v>
      </c>
      <c r="BJ328" s="15" t="s">
        <v>270</v>
      </c>
      <c r="BS328" s="15" t="s">
        <v>270</v>
      </c>
      <c r="CF328" s="281" t="s">
        <v>378</v>
      </c>
      <c r="CG328" s="281"/>
      <c r="CH328" s="281"/>
      <c r="CI328" s="281"/>
      <c r="CJ328" s="281" t="s">
        <v>1</v>
      </c>
      <c r="CK328" s="298" t="s">
        <v>379</v>
      </c>
      <c r="CL328" s="298"/>
      <c r="CM328" s="281">
        <v>999</v>
      </c>
      <c r="CN328" s="281">
        <v>0</v>
      </c>
      <c r="CO328" s="281">
        <v>0</v>
      </c>
      <c r="CP328" s="281">
        <v>0</v>
      </c>
      <c r="CQ328" s="281">
        <v>0</v>
      </c>
      <c r="CR328" s="281"/>
      <c r="CS328" s="217">
        <v>5</v>
      </c>
      <c r="CT328" s="217"/>
      <c r="CU328" s="217">
        <v>10</v>
      </c>
      <c r="CV328" s="281" t="s">
        <v>621</v>
      </c>
      <c r="CW328" s="281" t="b">
        <v>0</v>
      </c>
      <c r="CX328" s="314" t="s">
        <v>273</v>
      </c>
      <c r="DB328" s="15">
        <v>102401</v>
      </c>
      <c r="DC328" s="15" t="b">
        <v>1</v>
      </c>
      <c r="DD328" s="319" t="s">
        <v>274</v>
      </c>
      <c r="DE328" s="304" t="s">
        <v>537</v>
      </c>
      <c r="DF328" s="319" t="s">
        <v>276</v>
      </c>
      <c r="DG328" s="319" t="s">
        <v>293</v>
      </c>
      <c r="DH328" s="320">
        <v>4</v>
      </c>
      <c r="DI328" s="320" t="b">
        <v>0</v>
      </c>
      <c r="DJ328" s="319"/>
      <c r="DP328" s="96" t="s">
        <v>381</v>
      </c>
      <c r="DQ328" s="335" t="s">
        <v>622</v>
      </c>
      <c r="DR328" s="57" t="e">
        <f t="shared" si="6"/>
        <v>#VALUE!</v>
      </c>
      <c r="DS328" s="335" t="s">
        <v>623</v>
      </c>
      <c r="DT328" s="336"/>
      <c r="DU328" s="1" t="s">
        <v>280</v>
      </c>
      <c r="DV328" s="303"/>
      <c r="DZ328" s="343">
        <v>1</v>
      </c>
      <c r="EA328" s="344" t="s">
        <v>281</v>
      </c>
      <c r="EB328" s="344" t="s">
        <v>282</v>
      </c>
      <c r="EC328" s="344" t="s">
        <v>283</v>
      </c>
      <c r="ED328" s="344" t="s">
        <v>283</v>
      </c>
      <c r="EE328" s="15" t="s">
        <v>284</v>
      </c>
      <c r="EF328" s="15" t="s">
        <v>326</v>
      </c>
      <c r="EG328" s="15" t="e">
        <v>#VALUE!</v>
      </c>
      <c r="EH328" s="15" t="s">
        <v>285</v>
      </c>
      <c r="EI328" s="15" t="s">
        <v>344</v>
      </c>
      <c r="EJ328" s="15" t="e">
        <v>#VALUE!</v>
      </c>
      <c r="EK328" s="15" t="s">
        <v>286</v>
      </c>
      <c r="EL328" s="15" t="s">
        <v>328</v>
      </c>
      <c r="EM328" s="15" t="e">
        <v>#VALUE!</v>
      </c>
      <c r="EN328" s="15" t="s">
        <v>287</v>
      </c>
      <c r="EO328" s="15" t="s">
        <v>328</v>
      </c>
      <c r="EP328" s="15" t="e">
        <v>#VALUE!</v>
      </c>
    </row>
    <row r="329" spans="1:146" s="15" customFormat="1" ht="15" customHeight="1" x14ac:dyDescent="0.15">
      <c r="A329" s="16"/>
      <c r="B329" s="125"/>
      <c r="C329" s="40"/>
      <c r="D329" s="16"/>
      <c r="H329" s="281"/>
      <c r="I329" s="281"/>
      <c r="J329" s="281"/>
      <c r="K329" s="281"/>
      <c r="L329" s="281"/>
      <c r="M329" s="281"/>
      <c r="N329" s="281"/>
      <c r="O329" s="281"/>
      <c r="P329" s="281"/>
      <c r="Q329" s="281"/>
      <c r="X329" s="281"/>
      <c r="Y329" s="281"/>
      <c r="Z329" s="281"/>
      <c r="AA329" s="281"/>
      <c r="AB329" s="298">
        <v>17050501</v>
      </c>
      <c r="AC329" s="281" t="s">
        <v>384</v>
      </c>
      <c r="AD329" s="281" t="s">
        <v>330</v>
      </c>
      <c r="AE329" s="281" t="s">
        <v>291</v>
      </c>
      <c r="AF329" s="281" t="s">
        <v>314</v>
      </c>
      <c r="AJ329" s="281"/>
      <c r="AK329" s="281"/>
      <c r="BA329" s="281"/>
      <c r="BB329" s="281">
        <v>1</v>
      </c>
      <c r="BC329" s="281"/>
      <c r="CF329" s="281"/>
      <c r="CG329" s="281"/>
      <c r="CH329" s="281"/>
      <c r="CI329" s="281"/>
      <c r="CJ329" s="281"/>
      <c r="CK329" s="281"/>
      <c r="CL329" s="281"/>
      <c r="CM329" s="281"/>
      <c r="CN329" s="281"/>
      <c r="CO329" s="281"/>
      <c r="CP329" s="281"/>
      <c r="CQ329" s="281"/>
      <c r="CR329" s="281"/>
      <c r="CS329" s="281"/>
      <c r="CT329" s="281"/>
      <c r="CU329" s="281"/>
      <c r="CV329" s="281"/>
      <c r="CW329" s="281"/>
      <c r="CX329" s="281"/>
      <c r="DH329" s="228"/>
      <c r="DI329" s="228"/>
      <c r="DP329" s="96"/>
      <c r="DQ329" s="281"/>
      <c r="DR329" s="57" t="str">
        <f t="shared" si="6"/>
        <v/>
      </c>
      <c r="DS329" s="281"/>
      <c r="DU329" s="1" t="s">
        <v>280</v>
      </c>
      <c r="DV329" s="303"/>
      <c r="DY329" s="303"/>
      <c r="EA329" s="303"/>
      <c r="EB329" s="303"/>
      <c r="EC329" s="303"/>
      <c r="ED329" s="303"/>
    </row>
    <row r="330" spans="1:146" s="15" customFormat="1" ht="14.25" customHeight="1" x14ac:dyDescent="0.15">
      <c r="A330" s="16"/>
      <c r="B330" s="125"/>
      <c r="C330" s="40"/>
      <c r="D330" s="16"/>
      <c r="H330" s="281"/>
      <c r="I330" s="281"/>
      <c r="J330" s="281"/>
      <c r="K330" s="281"/>
      <c r="L330" s="281"/>
      <c r="M330" s="281"/>
      <c r="N330" s="281"/>
      <c r="O330" s="281"/>
      <c r="P330" s="281"/>
      <c r="Q330" s="281"/>
      <c r="X330" s="281"/>
      <c r="Y330" s="281"/>
      <c r="Z330" s="281"/>
      <c r="AA330" s="281"/>
      <c r="AB330" s="298">
        <v>17050502</v>
      </c>
      <c r="AC330" s="281" t="s">
        <v>385</v>
      </c>
      <c r="AD330" s="281"/>
      <c r="AE330" s="281" t="s">
        <v>291</v>
      </c>
      <c r="AF330" s="281" t="s">
        <v>314</v>
      </c>
      <c r="AJ330" s="281">
        <v>8</v>
      </c>
      <c r="AK330" s="281"/>
      <c r="BA330" s="281"/>
      <c r="BB330" s="281">
        <v>1</v>
      </c>
      <c r="BC330" s="281"/>
      <c r="CF330" s="281"/>
      <c r="CG330" s="281"/>
      <c r="CH330" s="281"/>
      <c r="CI330" s="281"/>
      <c r="CJ330" s="281"/>
      <c r="CK330" s="281"/>
      <c r="CL330" s="281"/>
      <c r="CM330" s="281"/>
      <c r="CN330" s="281"/>
      <c r="CO330" s="281"/>
      <c r="CP330" s="281"/>
      <c r="CQ330" s="281"/>
      <c r="CR330" s="281"/>
      <c r="CS330" s="281"/>
      <c r="CT330" s="281"/>
      <c r="CU330" s="281"/>
      <c r="CV330" s="281"/>
      <c r="CW330" s="281"/>
      <c r="CX330" s="281"/>
      <c r="DH330" s="228"/>
      <c r="DI330" s="228"/>
      <c r="DP330" s="96"/>
      <c r="DQ330" s="281"/>
      <c r="DR330" s="57" t="str">
        <f t="shared" si="6"/>
        <v/>
      </c>
      <c r="DS330" s="281"/>
      <c r="DU330" s="1" t="s">
        <v>280</v>
      </c>
      <c r="DV330" s="303"/>
      <c r="DY330" s="303"/>
      <c r="EA330" s="303"/>
      <c r="EB330" s="303"/>
      <c r="EC330" s="303"/>
      <c r="ED330" s="303"/>
    </row>
    <row r="331" spans="1:146" s="15" customFormat="1" x14ac:dyDescent="0.15">
      <c r="A331" s="16"/>
      <c r="B331" s="125"/>
      <c r="C331" s="40"/>
      <c r="D331" s="16"/>
      <c r="H331" s="281"/>
      <c r="I331" s="281"/>
      <c r="J331" s="281"/>
      <c r="K331" s="281"/>
      <c r="L331" s="281"/>
      <c r="M331" s="281"/>
      <c r="N331" s="281"/>
      <c r="O331" s="281"/>
      <c r="P331" s="281"/>
      <c r="Q331" s="281"/>
      <c r="X331" s="281"/>
      <c r="Y331" s="281"/>
      <c r="Z331" s="281"/>
      <c r="AA331" s="281"/>
      <c r="AB331" s="281">
        <v>17050503</v>
      </c>
      <c r="AC331" s="298" t="s">
        <v>386</v>
      </c>
      <c r="AD331" s="281" t="s">
        <v>330</v>
      </c>
      <c r="AE331" s="281" t="s">
        <v>291</v>
      </c>
      <c r="AF331" s="281" t="s">
        <v>314</v>
      </c>
      <c r="AJ331" s="281"/>
      <c r="AK331" s="281"/>
      <c r="AL331" s="303"/>
      <c r="AM331" s="303"/>
      <c r="AN331" s="303"/>
      <c r="AO331" s="303"/>
      <c r="AP331" s="303"/>
      <c r="AQ331" s="303"/>
      <c r="AR331" s="303"/>
      <c r="AU331" s="303"/>
      <c r="AV331" s="303"/>
      <c r="AW331" s="303"/>
      <c r="AX331" s="303"/>
      <c r="AY331" s="303"/>
      <c r="AZ331" s="303"/>
      <c r="BA331" s="310"/>
      <c r="BB331" s="281">
        <v>1</v>
      </c>
      <c r="BC331" s="281"/>
      <c r="CF331" s="281"/>
      <c r="CG331" s="281"/>
      <c r="CH331" s="281"/>
      <c r="CI331" s="281"/>
      <c r="CJ331" s="281"/>
      <c r="CK331" s="281"/>
      <c r="CL331" s="281"/>
      <c r="CM331" s="281"/>
      <c r="CN331" s="281"/>
      <c r="CO331" s="281"/>
      <c r="CP331" s="281"/>
      <c r="CQ331" s="281"/>
      <c r="CR331" s="281"/>
      <c r="CS331" s="281"/>
      <c r="CT331" s="281"/>
      <c r="CU331" s="281"/>
      <c r="CV331" s="281"/>
      <c r="CW331" s="281"/>
      <c r="CX331" s="281"/>
      <c r="DH331" s="228"/>
      <c r="DI331" s="228"/>
      <c r="DP331" s="96"/>
      <c r="DQ331" s="298"/>
      <c r="DR331" s="57" t="str">
        <f t="shared" si="6"/>
        <v/>
      </c>
      <c r="DS331" s="298"/>
      <c r="DU331" s="1" t="s">
        <v>280</v>
      </c>
      <c r="DV331" s="303"/>
      <c r="DY331" s="303"/>
      <c r="EA331" s="303"/>
      <c r="EB331" s="303"/>
      <c r="EC331" s="303"/>
      <c r="ED331" s="303"/>
    </row>
    <row r="332" spans="1:146" s="16" customFormat="1" ht="43.5" customHeight="1" x14ac:dyDescent="0.15">
      <c r="A332" s="16">
        <v>172022</v>
      </c>
      <c r="B332" s="125" t="s">
        <v>624</v>
      </c>
      <c r="C332" s="40" t="s">
        <v>625</v>
      </c>
      <c r="D332" s="16" t="s">
        <v>626</v>
      </c>
      <c r="H332" s="281">
        <v>0</v>
      </c>
      <c r="I332" s="281"/>
      <c r="J332" s="281"/>
      <c r="K332" s="281"/>
      <c r="L332" s="281">
        <v>0</v>
      </c>
      <c r="M332" s="281"/>
      <c r="N332" s="281"/>
      <c r="O332" s="281"/>
      <c r="P332" s="281" t="s">
        <v>268</v>
      </c>
      <c r="Q332" s="281" t="s">
        <v>269</v>
      </c>
      <c r="X332" s="281">
        <v>1</v>
      </c>
      <c r="Y332" s="281">
        <v>0</v>
      </c>
      <c r="Z332" s="281">
        <v>0</v>
      </c>
      <c r="AA332" s="281"/>
      <c r="AB332" s="281">
        <v>3001</v>
      </c>
      <c r="AC332" s="281"/>
      <c r="AD332" s="281"/>
      <c r="AE332" s="281"/>
      <c r="AF332" s="281"/>
      <c r="AJ332" s="281"/>
      <c r="AK332" s="281"/>
      <c r="AL332" s="148"/>
      <c r="AM332" s="148"/>
      <c r="AN332" s="148"/>
      <c r="AO332" s="148"/>
      <c r="AP332" s="148"/>
      <c r="AQ332" s="148"/>
      <c r="AR332" s="148"/>
      <c r="AU332" s="148"/>
      <c r="AV332" s="148"/>
      <c r="AW332" s="148"/>
      <c r="AX332" s="148"/>
      <c r="AY332" s="148"/>
      <c r="AZ332" s="148"/>
      <c r="BA332" s="310" t="s">
        <v>270</v>
      </c>
      <c r="BB332" s="281">
        <v>300</v>
      </c>
      <c r="BC332" s="281">
        <v>0</v>
      </c>
      <c r="BF332" s="16">
        <v>0</v>
      </c>
      <c r="BG332" s="16">
        <v>0</v>
      </c>
      <c r="BH332" s="16">
        <v>0</v>
      </c>
      <c r="BJ332" s="16" t="s">
        <v>270</v>
      </c>
      <c r="BS332" s="16" t="s">
        <v>270</v>
      </c>
      <c r="CF332" s="281" t="s">
        <v>271</v>
      </c>
      <c r="CG332" s="281"/>
      <c r="CH332" s="281"/>
      <c r="CI332" s="281"/>
      <c r="CJ332" s="281" t="s">
        <v>1</v>
      </c>
      <c r="CK332" s="298" t="s">
        <v>308</v>
      </c>
      <c r="CL332" s="298"/>
      <c r="CM332" s="281">
        <v>999</v>
      </c>
      <c r="CN332" s="281">
        <v>0</v>
      </c>
      <c r="CO332" s="281">
        <v>0</v>
      </c>
      <c r="CP332" s="281">
        <v>0</v>
      </c>
      <c r="CQ332" s="281">
        <v>0</v>
      </c>
      <c r="CR332" s="281"/>
      <c r="CS332" s="217">
        <v>5</v>
      </c>
      <c r="CT332" s="217">
        <v>2</v>
      </c>
      <c r="CU332" s="217">
        <v>8</v>
      </c>
      <c r="CV332" s="281" t="s">
        <v>627</v>
      </c>
      <c r="CW332" s="281" t="b">
        <v>1</v>
      </c>
      <c r="CX332" s="314" t="s">
        <v>273</v>
      </c>
      <c r="DB332" s="16">
        <v>170501</v>
      </c>
      <c r="DC332" s="16" t="b">
        <v>1</v>
      </c>
      <c r="DD332" s="16" t="s">
        <v>274</v>
      </c>
      <c r="DE332" s="16" t="s">
        <v>524</v>
      </c>
      <c r="DF332" s="16" t="s">
        <v>276</v>
      </c>
      <c r="DG332" s="16" t="s">
        <v>322</v>
      </c>
      <c r="DH332" s="281">
        <v>4</v>
      </c>
      <c r="DI332" s="314" t="b">
        <v>0</v>
      </c>
      <c r="DJ332" s="159"/>
      <c r="DP332" s="96" t="s">
        <v>323</v>
      </c>
      <c r="DQ332" s="298" t="s">
        <v>628</v>
      </c>
      <c r="DR332" s="57" t="e">
        <f t="shared" si="6"/>
        <v>#VALUE!</v>
      </c>
      <c r="DS332" s="298" t="s">
        <v>629</v>
      </c>
      <c r="DU332" s="1" t="s">
        <v>280</v>
      </c>
      <c r="DV332" s="148"/>
      <c r="DZ332" s="175">
        <v>1</v>
      </c>
      <c r="EA332" s="176" t="s">
        <v>281</v>
      </c>
      <c r="EB332" s="176" t="s">
        <v>282</v>
      </c>
      <c r="EC332" s="176" t="s">
        <v>283</v>
      </c>
      <c r="ED332" s="176" t="s">
        <v>283</v>
      </c>
      <c r="EE332" s="16" t="s">
        <v>284</v>
      </c>
      <c r="EF332" s="16" t="s">
        <v>326</v>
      </c>
      <c r="EG332" s="16" t="e">
        <v>#VALUE!</v>
      </c>
      <c r="EH332" s="16" t="s">
        <v>285</v>
      </c>
      <c r="EI332" s="16" t="s">
        <v>327</v>
      </c>
      <c r="EJ332" s="16" t="e">
        <v>#VALUE!</v>
      </c>
      <c r="EK332" s="16" t="s">
        <v>286</v>
      </c>
      <c r="EL332" s="16" t="s">
        <v>328</v>
      </c>
      <c r="EM332" s="16" t="e">
        <v>#VALUE!</v>
      </c>
      <c r="EN332" s="16" t="s">
        <v>287</v>
      </c>
      <c r="EO332" s="16" t="s">
        <v>328</v>
      </c>
      <c r="EP332" s="16" t="e">
        <v>#VALUE!</v>
      </c>
    </row>
    <row r="333" spans="1:146" s="16" customFormat="1" ht="57" customHeight="1" x14ac:dyDescent="0.15">
      <c r="B333" s="125"/>
      <c r="C333" s="40"/>
      <c r="H333" s="281"/>
      <c r="I333" s="281"/>
      <c r="J333" s="281"/>
      <c r="K333" s="281"/>
      <c r="L333" s="281"/>
      <c r="M333" s="281"/>
      <c r="N333" s="281"/>
      <c r="O333" s="281"/>
      <c r="P333" s="281"/>
      <c r="Q333" s="281"/>
      <c r="X333" s="281"/>
      <c r="Y333" s="281"/>
      <c r="Z333" s="281"/>
      <c r="AA333" s="281"/>
      <c r="AB333" s="281">
        <v>17050301</v>
      </c>
      <c r="AC333" s="298" t="s">
        <v>329</v>
      </c>
      <c r="AD333" s="281" t="s">
        <v>330</v>
      </c>
      <c r="AE333" s="281" t="s">
        <v>291</v>
      </c>
      <c r="AF333" s="281" t="s">
        <v>314</v>
      </c>
      <c r="AJ333" s="281"/>
      <c r="AK333" s="281"/>
      <c r="AL333" s="148"/>
      <c r="AM333" s="148"/>
      <c r="AN333" s="148"/>
      <c r="AO333" s="148"/>
      <c r="AP333" s="148"/>
      <c r="AQ333" s="148"/>
      <c r="AR333" s="148"/>
      <c r="AU333" s="148"/>
      <c r="AV333" s="148"/>
      <c r="AW333" s="148"/>
      <c r="AX333" s="148"/>
      <c r="AY333" s="148"/>
      <c r="AZ333" s="148"/>
      <c r="BA333" s="310" t="s">
        <v>331</v>
      </c>
      <c r="BB333" s="220">
        <v>0.15</v>
      </c>
      <c r="BC333" s="281">
        <v>0</v>
      </c>
      <c r="BF333" s="16">
        <v>0</v>
      </c>
      <c r="BG333" s="16">
        <v>0</v>
      </c>
      <c r="BH333" s="16">
        <v>0</v>
      </c>
      <c r="CF333" s="281"/>
      <c r="CG333" s="281"/>
      <c r="CH333" s="281"/>
      <c r="CI333" s="281"/>
      <c r="CJ333" s="281"/>
      <c r="CK333" s="281"/>
      <c r="CL333" s="281"/>
      <c r="CM333" s="281"/>
      <c r="CN333" s="281"/>
      <c r="CO333" s="281"/>
      <c r="CP333" s="281"/>
      <c r="CQ333" s="281"/>
      <c r="CR333" s="281"/>
      <c r="CS333" s="217"/>
      <c r="CT333" s="217"/>
      <c r="CU333" s="217"/>
      <c r="CV333" s="281"/>
      <c r="CW333" s="281"/>
      <c r="CX333" s="281"/>
      <c r="DH333" s="281"/>
      <c r="DI333" s="281"/>
      <c r="DP333" s="96"/>
      <c r="DQ333" s="298"/>
      <c r="DR333" s="57" t="str">
        <f t="shared" si="6"/>
        <v/>
      </c>
      <c r="DS333" s="298"/>
      <c r="DU333" s="1" t="s">
        <v>280</v>
      </c>
      <c r="DV333" s="148"/>
      <c r="DY333" s="148"/>
      <c r="EA333" s="148"/>
      <c r="EB333" s="148"/>
      <c r="EC333" s="148"/>
      <c r="ED333" s="148"/>
    </row>
    <row r="334" spans="1:146" s="16" customFormat="1" ht="15" customHeight="1" x14ac:dyDescent="0.15">
      <c r="B334" s="125"/>
      <c r="C334" s="40"/>
      <c r="H334" s="281"/>
      <c r="I334" s="281"/>
      <c r="J334" s="281"/>
      <c r="K334" s="281"/>
      <c r="L334" s="281"/>
      <c r="M334" s="281"/>
      <c r="N334" s="281"/>
      <c r="O334" s="281"/>
      <c r="P334" s="281"/>
      <c r="Q334" s="281"/>
      <c r="X334" s="281"/>
      <c r="Y334" s="281"/>
      <c r="Z334" s="281"/>
      <c r="AA334" s="281"/>
      <c r="AB334" s="281">
        <v>17050302</v>
      </c>
      <c r="AC334" s="298" t="s">
        <v>332</v>
      </c>
      <c r="AD334" s="281" t="s">
        <v>333</v>
      </c>
      <c r="AE334" s="281" t="s">
        <v>291</v>
      </c>
      <c r="AF334" s="281" t="s">
        <v>314</v>
      </c>
      <c r="AJ334" s="281">
        <v>-1</v>
      </c>
      <c r="AK334" s="281"/>
      <c r="AL334" s="148"/>
      <c r="AM334" s="148"/>
      <c r="AN334" s="148"/>
      <c r="AO334" s="148"/>
      <c r="AP334" s="148"/>
      <c r="AQ334" s="148"/>
      <c r="AR334" s="148"/>
      <c r="AU334" s="148"/>
      <c r="AV334" s="148"/>
      <c r="AW334" s="148"/>
      <c r="AX334" s="148"/>
      <c r="AY334" s="148"/>
      <c r="AZ334" s="148"/>
      <c r="BA334" s="310"/>
      <c r="BB334" s="281">
        <v>1</v>
      </c>
      <c r="BC334" s="281"/>
      <c r="CF334" s="281"/>
      <c r="CG334" s="281"/>
      <c r="CH334" s="281"/>
      <c r="CI334" s="281"/>
      <c r="CJ334" s="281"/>
      <c r="CK334" s="281"/>
      <c r="CL334" s="281"/>
      <c r="CM334" s="281"/>
      <c r="CN334" s="281"/>
      <c r="CO334" s="281"/>
      <c r="CP334" s="281"/>
      <c r="CQ334" s="281"/>
      <c r="CR334" s="281"/>
      <c r="CS334" s="217"/>
      <c r="CT334" s="217"/>
      <c r="CU334" s="217"/>
      <c r="CV334" s="281"/>
      <c r="CW334" s="281"/>
      <c r="CX334" s="281"/>
      <c r="DH334" s="281"/>
      <c r="DI334" s="281"/>
      <c r="DP334" s="96"/>
      <c r="DQ334" s="298"/>
      <c r="DR334" s="57" t="str">
        <f t="shared" si="6"/>
        <v/>
      </c>
      <c r="DS334" s="298"/>
      <c r="DU334" s="1" t="s">
        <v>280</v>
      </c>
      <c r="DV334" s="148"/>
      <c r="DY334" s="148"/>
      <c r="EA334" s="148"/>
      <c r="EB334" s="148"/>
      <c r="EC334" s="148"/>
      <c r="ED334" s="148"/>
    </row>
    <row r="335" spans="1:146" s="16" customFormat="1" ht="55.5" customHeight="1" x14ac:dyDescent="0.15">
      <c r="A335" s="16">
        <v>172023</v>
      </c>
      <c r="B335" s="126" t="s">
        <v>630</v>
      </c>
      <c r="C335" s="40" t="s">
        <v>631</v>
      </c>
      <c r="D335" s="16" t="s">
        <v>632</v>
      </c>
      <c r="H335" s="281">
        <v>0</v>
      </c>
      <c r="I335" s="281"/>
      <c r="J335" s="281"/>
      <c r="K335" s="281"/>
      <c r="L335" s="281">
        <v>0</v>
      </c>
      <c r="M335" s="281"/>
      <c r="N335" s="281"/>
      <c r="O335" s="281"/>
      <c r="P335" s="281" t="s">
        <v>268</v>
      </c>
      <c r="Q335" s="281" t="s">
        <v>269</v>
      </c>
      <c r="X335" s="281">
        <v>1</v>
      </c>
      <c r="Y335" s="281">
        <v>0</v>
      </c>
      <c r="Z335" s="281">
        <v>0</v>
      </c>
      <c r="AA335" s="281"/>
      <c r="AB335" s="281">
        <v>3001</v>
      </c>
      <c r="AC335" s="281" t="s">
        <v>337</v>
      </c>
      <c r="AD335" s="281"/>
      <c r="AE335" s="281" t="s">
        <v>129</v>
      </c>
      <c r="AF335" s="281" t="s">
        <v>314</v>
      </c>
      <c r="AJ335" s="281"/>
      <c r="AK335" s="281"/>
      <c r="AL335" s="148"/>
      <c r="AM335" s="148"/>
      <c r="AN335" s="148"/>
      <c r="AO335" s="148"/>
      <c r="AP335" s="148"/>
      <c r="AQ335" s="148"/>
      <c r="AR335" s="148"/>
      <c r="AU335" s="148"/>
      <c r="AV335" s="148"/>
      <c r="AW335" s="148"/>
      <c r="AX335" s="148"/>
      <c r="AY335" s="148"/>
      <c r="AZ335" s="148"/>
      <c r="BA335" s="310" t="s">
        <v>270</v>
      </c>
      <c r="BB335" s="281">
        <v>200</v>
      </c>
      <c r="BC335" s="281">
        <v>0</v>
      </c>
      <c r="BF335" s="16">
        <v>0</v>
      </c>
      <c r="BG335" s="16">
        <v>0</v>
      </c>
      <c r="BH335" s="16">
        <v>0</v>
      </c>
      <c r="BJ335" s="16" t="s">
        <v>270</v>
      </c>
      <c r="BS335" s="16" t="s">
        <v>270</v>
      </c>
      <c r="CF335" s="281" t="s">
        <v>271</v>
      </c>
      <c r="CG335" s="281"/>
      <c r="CH335" s="281"/>
      <c r="CI335" s="281"/>
      <c r="CJ335" s="281" t="s">
        <v>3</v>
      </c>
      <c r="CK335" s="298" t="s">
        <v>486</v>
      </c>
      <c r="CL335" s="298"/>
      <c r="CM335" s="281">
        <v>999</v>
      </c>
      <c r="CN335" s="281">
        <v>0</v>
      </c>
      <c r="CO335" s="281">
        <v>0</v>
      </c>
      <c r="CP335" s="281">
        <v>0</v>
      </c>
      <c r="CQ335" s="281">
        <v>0</v>
      </c>
      <c r="CR335" s="281"/>
      <c r="CS335" s="217">
        <v>4</v>
      </c>
      <c r="CT335" s="217"/>
      <c r="CU335" s="217">
        <v>5</v>
      </c>
      <c r="CV335" s="281" t="s">
        <v>633</v>
      </c>
      <c r="CW335" s="281" t="b">
        <v>0</v>
      </c>
      <c r="CX335" s="314" t="s">
        <v>273</v>
      </c>
      <c r="DB335" s="16">
        <v>100300</v>
      </c>
      <c r="DC335" s="16" t="b">
        <v>1</v>
      </c>
      <c r="DD335" s="16" t="s">
        <v>274</v>
      </c>
      <c r="DE335" s="16" t="s">
        <v>321</v>
      </c>
      <c r="DF335" s="16" t="s">
        <v>276</v>
      </c>
      <c r="DG335" s="16" t="s">
        <v>277</v>
      </c>
      <c r="DH335" s="281">
        <v>4</v>
      </c>
      <c r="DI335" s="314" t="b">
        <v>0</v>
      </c>
      <c r="DJ335" s="159"/>
      <c r="DM335" s="141"/>
      <c r="DP335" s="96" t="s">
        <v>341</v>
      </c>
      <c r="DQ335" s="298" t="s">
        <v>634</v>
      </c>
      <c r="DR335" s="57" t="e">
        <f t="shared" si="6"/>
        <v>#VALUE!</v>
      </c>
      <c r="DS335" s="298" t="s">
        <v>635</v>
      </c>
      <c r="DT335" s="166"/>
      <c r="DU335" s="1" t="s">
        <v>280</v>
      </c>
      <c r="DV335" s="148"/>
      <c r="DZ335" s="175">
        <v>1</v>
      </c>
      <c r="EA335" s="176" t="s">
        <v>281</v>
      </c>
      <c r="EB335" s="176" t="s">
        <v>282</v>
      </c>
      <c r="EC335" s="176" t="s">
        <v>283</v>
      </c>
      <c r="ED335" s="176" t="s">
        <v>283</v>
      </c>
      <c r="EE335" s="16" t="s">
        <v>284</v>
      </c>
      <c r="EF335" s="16" t="s">
        <v>326</v>
      </c>
      <c r="EG335" s="16" t="e">
        <v>#VALUE!</v>
      </c>
      <c r="EH335" s="16" t="s">
        <v>285</v>
      </c>
      <c r="EI335" s="16" t="s">
        <v>344</v>
      </c>
      <c r="EJ335" s="16" t="e">
        <v>#VALUE!</v>
      </c>
      <c r="EK335" s="16" t="s">
        <v>286</v>
      </c>
      <c r="EL335" s="16" t="s">
        <v>345</v>
      </c>
      <c r="EM335" s="16" t="e">
        <v>#VALUE!</v>
      </c>
      <c r="EN335" s="16" t="s">
        <v>287</v>
      </c>
      <c r="EO335" s="16" t="s">
        <v>345</v>
      </c>
      <c r="EP335" s="16" t="e">
        <v>#VALUE!</v>
      </c>
    </row>
    <row r="336" spans="1:146" s="16" customFormat="1" ht="57" customHeight="1" x14ac:dyDescent="0.15">
      <c r="B336" s="125"/>
      <c r="C336" s="40"/>
      <c r="H336" s="281"/>
      <c r="I336" s="281"/>
      <c r="J336" s="281"/>
      <c r="K336" s="281"/>
      <c r="L336" s="281"/>
      <c r="M336" s="281"/>
      <c r="N336" s="281"/>
      <c r="O336" s="281"/>
      <c r="P336" s="281"/>
      <c r="Q336" s="281"/>
      <c r="X336" s="281"/>
      <c r="Y336" s="281"/>
      <c r="Z336" s="281"/>
      <c r="AA336" s="281"/>
      <c r="AB336" s="281">
        <v>10240102</v>
      </c>
      <c r="AC336" s="281" t="s">
        <v>346</v>
      </c>
      <c r="AD336" s="281"/>
      <c r="AE336" s="281" t="s">
        <v>129</v>
      </c>
      <c r="AF336" s="281" t="s">
        <v>314</v>
      </c>
      <c r="AG336" s="141"/>
      <c r="AH336" s="141"/>
      <c r="AI336" s="141"/>
      <c r="AJ336" s="281">
        <v>3</v>
      </c>
      <c r="AK336" s="281"/>
      <c r="BA336" s="281"/>
      <c r="BB336" s="281">
        <v>1</v>
      </c>
      <c r="BC336" s="281"/>
      <c r="CF336" s="281"/>
      <c r="CG336" s="281"/>
      <c r="CH336" s="281"/>
      <c r="CI336" s="281"/>
      <c r="CJ336" s="281"/>
      <c r="CK336" s="281"/>
      <c r="CL336" s="281"/>
      <c r="CM336" s="281"/>
      <c r="CN336" s="281"/>
      <c r="CO336" s="281"/>
      <c r="CP336" s="281"/>
      <c r="CQ336" s="281"/>
      <c r="CR336" s="281"/>
      <c r="CS336" s="217"/>
      <c r="CT336" s="217"/>
      <c r="CU336" s="217"/>
      <c r="CV336" s="281"/>
      <c r="CW336" s="281"/>
      <c r="CX336" s="281"/>
      <c r="DH336" s="281"/>
      <c r="DI336" s="281"/>
      <c r="DP336" s="96"/>
      <c r="DQ336" s="281"/>
      <c r="DR336" s="57" t="str">
        <f t="shared" si="6"/>
        <v/>
      </c>
      <c r="DS336" s="281"/>
      <c r="DU336" s="1" t="s">
        <v>280</v>
      </c>
      <c r="DV336" s="148"/>
      <c r="DY336" s="148"/>
      <c r="EA336" s="148"/>
      <c r="EB336" s="148"/>
      <c r="EC336" s="148"/>
      <c r="ED336" s="148"/>
    </row>
    <row r="337" spans="1:149" s="16" customFormat="1" ht="39" customHeight="1" x14ac:dyDescent="0.15">
      <c r="A337" s="16">
        <v>172024</v>
      </c>
      <c r="B337" s="125" t="s">
        <v>636</v>
      </c>
      <c r="C337" s="40" t="s">
        <v>637</v>
      </c>
      <c r="D337" s="16" t="s">
        <v>638</v>
      </c>
      <c r="E337" s="16">
        <v>172025</v>
      </c>
      <c r="H337" s="281">
        <v>0</v>
      </c>
      <c r="I337" s="281"/>
      <c r="J337" s="281"/>
      <c r="K337" s="281"/>
      <c r="L337" s="281">
        <v>0</v>
      </c>
      <c r="M337" s="281"/>
      <c r="N337" s="281"/>
      <c r="O337" s="281"/>
      <c r="P337" s="281" t="s">
        <v>268</v>
      </c>
      <c r="Q337" s="281" t="s">
        <v>269</v>
      </c>
      <c r="X337" s="281">
        <v>1</v>
      </c>
      <c r="Y337" s="281">
        <v>0</v>
      </c>
      <c r="Z337" s="281">
        <v>0</v>
      </c>
      <c r="AA337" s="281"/>
      <c r="AB337" s="281">
        <v>3001</v>
      </c>
      <c r="AC337" s="281" t="s">
        <v>337</v>
      </c>
      <c r="AD337" s="281" t="s">
        <v>330</v>
      </c>
      <c r="AE337" s="281"/>
      <c r="AF337" s="281"/>
      <c r="AJ337" s="281"/>
      <c r="AK337" s="281"/>
      <c r="AL337" s="148"/>
      <c r="AM337" s="148"/>
      <c r="AN337" s="148"/>
      <c r="AO337" s="148"/>
      <c r="AP337" s="148"/>
      <c r="AQ337" s="148"/>
      <c r="AR337" s="148"/>
      <c r="AU337" s="148"/>
      <c r="AV337" s="148"/>
      <c r="AW337" s="148"/>
      <c r="AX337" s="148"/>
      <c r="AY337" s="148"/>
      <c r="AZ337" s="148"/>
      <c r="BA337" s="310" t="s">
        <v>270</v>
      </c>
      <c r="BB337" s="281">
        <v>150</v>
      </c>
      <c r="BC337" s="281">
        <v>0</v>
      </c>
      <c r="BF337" s="16">
        <v>0</v>
      </c>
      <c r="BG337" s="16">
        <v>0</v>
      </c>
      <c r="BH337" s="16">
        <v>0</v>
      </c>
      <c r="BJ337" s="16" t="s">
        <v>270</v>
      </c>
      <c r="BS337" s="16" t="s">
        <v>270</v>
      </c>
      <c r="CF337" s="281" t="s">
        <v>378</v>
      </c>
      <c r="CG337" s="281"/>
      <c r="CH337" s="281"/>
      <c r="CI337" s="281"/>
      <c r="CJ337" s="281" t="s">
        <v>1</v>
      </c>
      <c r="CK337" s="298" t="s">
        <v>379</v>
      </c>
      <c r="CL337" s="298"/>
      <c r="CM337" s="281">
        <v>999</v>
      </c>
      <c r="CN337" s="281">
        <v>0</v>
      </c>
      <c r="CO337" s="281">
        <v>0</v>
      </c>
      <c r="CP337" s="281">
        <v>0</v>
      </c>
      <c r="CQ337" s="281">
        <v>0</v>
      </c>
      <c r="CR337" s="281"/>
      <c r="CS337" s="217">
        <v>5</v>
      </c>
      <c r="CT337" s="217"/>
      <c r="CU337" s="217">
        <v>10</v>
      </c>
      <c r="CV337" s="281" t="s">
        <v>639</v>
      </c>
      <c r="CW337" s="281" t="b">
        <v>0</v>
      </c>
      <c r="CX337" s="314" t="s">
        <v>273</v>
      </c>
      <c r="DB337" s="16">
        <v>102401</v>
      </c>
      <c r="DC337" s="16" t="b">
        <v>1</v>
      </c>
      <c r="DD337" s="163" t="s">
        <v>274</v>
      </c>
      <c r="DE337" s="141" t="s">
        <v>537</v>
      </c>
      <c r="DF337" s="163" t="s">
        <v>276</v>
      </c>
      <c r="DG337" s="163" t="s">
        <v>293</v>
      </c>
      <c r="DH337" s="321">
        <v>4</v>
      </c>
      <c r="DI337" s="321" t="b">
        <v>0</v>
      </c>
      <c r="DJ337" s="163"/>
      <c r="DP337" s="96" t="s">
        <v>381</v>
      </c>
      <c r="DQ337" s="335" t="s">
        <v>640</v>
      </c>
      <c r="DR337" s="57" t="e">
        <f t="shared" si="6"/>
        <v>#VALUE!</v>
      </c>
      <c r="DS337" s="335" t="s">
        <v>641</v>
      </c>
      <c r="DT337" s="168"/>
      <c r="DU337" s="1" t="s">
        <v>280</v>
      </c>
      <c r="DV337" s="148"/>
      <c r="DZ337" s="175">
        <v>1</v>
      </c>
      <c r="EA337" s="176" t="s">
        <v>281</v>
      </c>
      <c r="EB337" s="176" t="s">
        <v>282</v>
      </c>
      <c r="EC337" s="176" t="s">
        <v>283</v>
      </c>
      <c r="ED337" s="176" t="s">
        <v>283</v>
      </c>
      <c r="EE337" s="16" t="s">
        <v>284</v>
      </c>
      <c r="EF337" s="16" t="s">
        <v>326</v>
      </c>
      <c r="EG337" s="16" t="e">
        <v>#VALUE!</v>
      </c>
      <c r="EH337" s="16" t="s">
        <v>285</v>
      </c>
      <c r="EI337" s="16" t="s">
        <v>344</v>
      </c>
      <c r="EJ337" s="16" t="e">
        <v>#VALUE!</v>
      </c>
      <c r="EK337" s="16" t="s">
        <v>286</v>
      </c>
      <c r="EL337" s="16" t="s">
        <v>328</v>
      </c>
      <c r="EM337" s="16" t="e">
        <v>#VALUE!</v>
      </c>
      <c r="EN337" s="16" t="s">
        <v>287</v>
      </c>
      <c r="EO337" s="16" t="s">
        <v>328</v>
      </c>
      <c r="EP337" s="16" t="e">
        <v>#VALUE!</v>
      </c>
    </row>
    <row r="338" spans="1:149" s="16" customFormat="1" ht="15" customHeight="1" x14ac:dyDescent="0.15">
      <c r="B338" s="125"/>
      <c r="C338" s="40"/>
      <c r="H338" s="281"/>
      <c r="I338" s="281"/>
      <c r="J338" s="281"/>
      <c r="K338" s="281"/>
      <c r="L338" s="281"/>
      <c r="M338" s="281"/>
      <c r="N338" s="281"/>
      <c r="O338" s="281"/>
      <c r="P338" s="281"/>
      <c r="Q338" s="281"/>
      <c r="X338" s="281"/>
      <c r="Y338" s="281"/>
      <c r="Z338" s="281"/>
      <c r="AA338" s="281"/>
      <c r="AB338" s="298">
        <v>17050501</v>
      </c>
      <c r="AC338" s="281" t="s">
        <v>384</v>
      </c>
      <c r="AD338" s="281" t="s">
        <v>330</v>
      </c>
      <c r="AE338" s="281" t="s">
        <v>291</v>
      </c>
      <c r="AF338" s="281" t="s">
        <v>314</v>
      </c>
      <c r="AJ338" s="281"/>
      <c r="AK338" s="281"/>
      <c r="BA338" s="281"/>
      <c r="BB338" s="281">
        <v>1</v>
      </c>
      <c r="BC338" s="281"/>
      <c r="CF338" s="281"/>
      <c r="CG338" s="281"/>
      <c r="CH338" s="281"/>
      <c r="CI338" s="281"/>
      <c r="CJ338" s="281"/>
      <c r="CK338" s="281"/>
      <c r="CL338" s="281"/>
      <c r="CM338" s="281"/>
      <c r="CN338" s="281"/>
      <c r="CO338" s="281"/>
      <c r="CP338" s="281"/>
      <c r="CQ338" s="281"/>
      <c r="CR338" s="281"/>
      <c r="CS338" s="281"/>
      <c r="CT338" s="281"/>
      <c r="CU338" s="281"/>
      <c r="CV338" s="281"/>
      <c r="CW338" s="281"/>
      <c r="CX338" s="281"/>
      <c r="DH338" s="281"/>
      <c r="DI338" s="281"/>
      <c r="DP338" s="96"/>
      <c r="DQ338" s="281"/>
      <c r="DR338" s="57" t="str">
        <f t="shared" si="6"/>
        <v/>
      </c>
      <c r="DS338" s="281"/>
      <c r="DU338" s="1" t="s">
        <v>280</v>
      </c>
      <c r="DV338" s="148"/>
      <c r="DY338" s="148"/>
      <c r="EA338" s="148"/>
      <c r="EB338" s="148"/>
      <c r="EC338" s="148"/>
      <c r="ED338" s="148"/>
    </row>
    <row r="339" spans="1:149" s="16" customFormat="1" ht="14.25" customHeight="1" x14ac:dyDescent="0.15">
      <c r="B339" s="125"/>
      <c r="C339" s="40"/>
      <c r="H339" s="281"/>
      <c r="I339" s="281"/>
      <c r="J339" s="281"/>
      <c r="K339" s="281"/>
      <c r="L339" s="281"/>
      <c r="M339" s="281"/>
      <c r="N339" s="281"/>
      <c r="O339" s="281"/>
      <c r="P339" s="281"/>
      <c r="Q339" s="281"/>
      <c r="X339" s="281"/>
      <c r="Y339" s="281"/>
      <c r="Z339" s="281"/>
      <c r="AA339" s="281"/>
      <c r="AB339" s="298">
        <v>17050502</v>
      </c>
      <c r="AC339" s="281" t="s">
        <v>385</v>
      </c>
      <c r="AD339" s="281"/>
      <c r="AE339" s="281" t="s">
        <v>291</v>
      </c>
      <c r="AF339" s="281" t="s">
        <v>314</v>
      </c>
      <c r="AJ339" s="281">
        <v>8</v>
      </c>
      <c r="AK339" s="281"/>
      <c r="BA339" s="281"/>
      <c r="BB339" s="281">
        <v>1</v>
      </c>
      <c r="BC339" s="281"/>
      <c r="CF339" s="281"/>
      <c r="CG339" s="281"/>
      <c r="CH339" s="281"/>
      <c r="CI339" s="281"/>
      <c r="CJ339" s="281"/>
      <c r="CK339" s="281"/>
      <c r="CL339" s="281"/>
      <c r="CM339" s="281"/>
      <c r="CN339" s="281"/>
      <c r="CO339" s="281"/>
      <c r="CP339" s="281"/>
      <c r="CQ339" s="281"/>
      <c r="CR339" s="281"/>
      <c r="CS339" s="281"/>
      <c r="CT339" s="281"/>
      <c r="CU339" s="281"/>
      <c r="CV339" s="281"/>
      <c r="CW339" s="281"/>
      <c r="CX339" s="281"/>
      <c r="DH339" s="281"/>
      <c r="DI339" s="281"/>
      <c r="DP339" s="96"/>
      <c r="DQ339" s="281"/>
      <c r="DR339" s="57" t="str">
        <f t="shared" si="6"/>
        <v/>
      </c>
      <c r="DS339" s="281"/>
      <c r="DU339" s="1" t="s">
        <v>280</v>
      </c>
      <c r="DV339" s="148"/>
      <c r="DY339" s="148"/>
      <c r="EA339" s="148"/>
      <c r="EB339" s="148"/>
      <c r="EC339" s="148"/>
      <c r="ED339" s="148"/>
    </row>
    <row r="340" spans="1:149" s="16" customFormat="1" x14ac:dyDescent="0.15">
      <c r="B340" s="125"/>
      <c r="C340" s="40"/>
      <c r="H340" s="281"/>
      <c r="I340" s="281"/>
      <c r="J340" s="281"/>
      <c r="K340" s="281"/>
      <c r="L340" s="281"/>
      <c r="M340" s="281"/>
      <c r="N340" s="281"/>
      <c r="O340" s="281"/>
      <c r="P340" s="281"/>
      <c r="Q340" s="281"/>
      <c r="X340" s="281"/>
      <c r="Y340" s="281"/>
      <c r="Z340" s="281"/>
      <c r="AA340" s="281"/>
      <c r="AB340" s="281">
        <v>17050503</v>
      </c>
      <c r="AC340" s="298" t="s">
        <v>386</v>
      </c>
      <c r="AD340" s="281" t="s">
        <v>330</v>
      </c>
      <c r="AE340" s="281" t="s">
        <v>291</v>
      </c>
      <c r="AF340" s="281" t="s">
        <v>314</v>
      </c>
      <c r="AJ340" s="281"/>
      <c r="AK340" s="281"/>
      <c r="AL340" s="148"/>
      <c r="AM340" s="148"/>
      <c r="AN340" s="148"/>
      <c r="AO340" s="148"/>
      <c r="AP340" s="148"/>
      <c r="AQ340" s="148"/>
      <c r="AR340" s="148"/>
      <c r="AU340" s="148"/>
      <c r="AV340" s="148"/>
      <c r="AW340" s="148"/>
      <c r="AX340" s="148"/>
      <c r="AY340" s="148"/>
      <c r="AZ340" s="148"/>
      <c r="BA340" s="310"/>
      <c r="BB340" s="281">
        <v>1</v>
      </c>
      <c r="BC340" s="281"/>
      <c r="CF340" s="281"/>
      <c r="CG340" s="281"/>
      <c r="CH340" s="281"/>
      <c r="CI340" s="281"/>
      <c r="CJ340" s="281"/>
      <c r="CK340" s="281"/>
      <c r="CL340" s="281"/>
      <c r="CM340" s="281"/>
      <c r="CN340" s="281"/>
      <c r="CO340" s="281"/>
      <c r="CP340" s="281"/>
      <c r="CQ340" s="281"/>
      <c r="CR340" s="281"/>
      <c r="CS340" s="281"/>
      <c r="CT340" s="281"/>
      <c r="CU340" s="281"/>
      <c r="CV340" s="281"/>
      <c r="CW340" s="281"/>
      <c r="CX340" s="281"/>
      <c r="DH340" s="281"/>
      <c r="DI340" s="281"/>
      <c r="DP340" s="96"/>
      <c r="DQ340" s="298"/>
      <c r="DR340" s="57" t="str">
        <f t="shared" si="6"/>
        <v/>
      </c>
      <c r="DS340" s="298"/>
      <c r="DU340" s="1" t="s">
        <v>280</v>
      </c>
      <c r="DV340" s="148"/>
      <c r="DY340" s="148"/>
      <c r="EA340" s="148"/>
      <c r="EB340" s="148"/>
      <c r="EC340" s="148"/>
      <c r="ED340" s="148"/>
    </row>
    <row r="341" spans="1:149" s="16" customFormat="1" ht="43.5" customHeight="1" x14ac:dyDescent="0.15">
      <c r="A341" s="16">
        <v>172025</v>
      </c>
      <c r="B341" s="125" t="s">
        <v>642</v>
      </c>
      <c r="C341" s="40" t="s">
        <v>643</v>
      </c>
      <c r="D341" s="16" t="s">
        <v>644</v>
      </c>
      <c r="H341" s="281">
        <v>0</v>
      </c>
      <c r="I341" s="281"/>
      <c r="J341" s="281"/>
      <c r="K341" s="281"/>
      <c r="L341" s="281">
        <v>0</v>
      </c>
      <c r="M341" s="281"/>
      <c r="N341" s="281"/>
      <c r="O341" s="281"/>
      <c r="P341" s="281" t="s">
        <v>268</v>
      </c>
      <c r="Q341" s="281" t="s">
        <v>269</v>
      </c>
      <c r="X341" s="281">
        <v>1</v>
      </c>
      <c r="Y341" s="281">
        <v>0</v>
      </c>
      <c r="Z341" s="281">
        <v>0</v>
      </c>
      <c r="AA341" s="281"/>
      <c r="AB341" s="281">
        <v>3001</v>
      </c>
      <c r="AC341" s="281" t="s">
        <v>337</v>
      </c>
      <c r="AD341" s="281" t="s">
        <v>330</v>
      </c>
      <c r="AE341" s="281"/>
      <c r="AF341" s="281"/>
      <c r="AJ341" s="281"/>
      <c r="AK341" s="281"/>
      <c r="AL341" s="148"/>
      <c r="AM341" s="148"/>
      <c r="AN341" s="148"/>
      <c r="AO341" s="148"/>
      <c r="AP341" s="148"/>
      <c r="AQ341" s="148"/>
      <c r="AR341" s="148"/>
      <c r="AU341" s="148"/>
      <c r="AV341" s="148"/>
      <c r="AW341" s="148"/>
      <c r="AX341" s="148"/>
      <c r="AY341" s="148"/>
      <c r="AZ341" s="148"/>
      <c r="BA341" s="310" t="s">
        <v>270</v>
      </c>
      <c r="BB341" s="281">
        <v>150</v>
      </c>
      <c r="BC341" s="281">
        <v>0</v>
      </c>
      <c r="BF341" s="16">
        <v>0</v>
      </c>
      <c r="BG341" s="16">
        <v>0</v>
      </c>
      <c r="BH341" s="16">
        <v>0</v>
      </c>
      <c r="BJ341" s="16" t="s">
        <v>270</v>
      </c>
      <c r="BS341" s="16" t="s">
        <v>270</v>
      </c>
      <c r="CF341" s="281" t="s">
        <v>378</v>
      </c>
      <c r="CG341" s="281"/>
      <c r="CH341" s="281"/>
      <c r="CI341" s="281"/>
      <c r="CJ341" s="281" t="s">
        <v>1</v>
      </c>
      <c r="CK341" s="298" t="s">
        <v>379</v>
      </c>
      <c r="CL341" s="298"/>
      <c r="CM341" s="281">
        <v>999</v>
      </c>
      <c r="CN341" s="281">
        <v>0</v>
      </c>
      <c r="CO341" s="281">
        <v>0</v>
      </c>
      <c r="CP341" s="281">
        <v>0</v>
      </c>
      <c r="CQ341" s="281">
        <v>0</v>
      </c>
      <c r="CR341" s="281"/>
      <c r="CS341" s="281">
        <v>5</v>
      </c>
      <c r="CT341" s="281"/>
      <c r="CU341" s="217">
        <v>10</v>
      </c>
      <c r="CV341" s="281" t="s">
        <v>639</v>
      </c>
      <c r="CW341" s="281" t="b">
        <v>0</v>
      </c>
      <c r="CX341" s="314" t="s">
        <v>273</v>
      </c>
      <c r="DB341" s="16">
        <v>102401</v>
      </c>
      <c r="DC341" s="16" t="b">
        <v>1</v>
      </c>
      <c r="DD341" s="16" t="s">
        <v>274</v>
      </c>
      <c r="DE341" s="16" t="s">
        <v>380</v>
      </c>
      <c r="DF341" s="16" t="s">
        <v>276</v>
      </c>
      <c r="DG341" s="16" t="s">
        <v>293</v>
      </c>
      <c r="DH341" s="281">
        <v>4</v>
      </c>
      <c r="DI341" s="314" t="b">
        <v>0</v>
      </c>
      <c r="DJ341" s="159"/>
      <c r="DP341" s="96" t="s">
        <v>323</v>
      </c>
      <c r="DQ341" s="335" t="s">
        <v>382</v>
      </c>
      <c r="DR341" s="57" t="e">
        <f t="shared" si="6"/>
        <v>#VALUE!</v>
      </c>
      <c r="DS341" s="335" t="s">
        <v>383</v>
      </c>
      <c r="DU341" s="1" t="s">
        <v>280</v>
      </c>
      <c r="DV341" s="148"/>
      <c r="DZ341" s="175">
        <v>1</v>
      </c>
      <c r="EA341" s="176" t="s">
        <v>281</v>
      </c>
      <c r="EB341" s="176" t="s">
        <v>282</v>
      </c>
      <c r="EC341" s="176" t="s">
        <v>283</v>
      </c>
      <c r="ED341" s="176" t="s">
        <v>283</v>
      </c>
      <c r="EE341" s="16" t="s">
        <v>284</v>
      </c>
      <c r="EF341" s="16" t="s">
        <v>326</v>
      </c>
      <c r="EG341" s="16" t="e">
        <v>#VALUE!</v>
      </c>
      <c r="EH341" s="16" t="s">
        <v>285</v>
      </c>
      <c r="EI341" s="16" t="s">
        <v>327</v>
      </c>
      <c r="EJ341" s="16" t="e">
        <v>#VALUE!</v>
      </c>
      <c r="EK341" s="16" t="s">
        <v>286</v>
      </c>
      <c r="EL341" s="16" t="s">
        <v>328</v>
      </c>
      <c r="EM341" s="16" t="e">
        <v>#VALUE!</v>
      </c>
      <c r="EN341" s="16" t="s">
        <v>287</v>
      </c>
      <c r="EO341" s="16" t="s">
        <v>328</v>
      </c>
      <c r="EP341" s="16" t="e">
        <v>#VALUE!</v>
      </c>
    </row>
    <row r="342" spans="1:149" s="16" customFormat="1" ht="57" customHeight="1" x14ac:dyDescent="0.15">
      <c r="B342" s="125"/>
      <c r="C342" s="40"/>
      <c r="H342" s="281"/>
      <c r="I342" s="281"/>
      <c r="J342" s="281"/>
      <c r="K342" s="281"/>
      <c r="L342" s="281"/>
      <c r="M342" s="281"/>
      <c r="N342" s="281"/>
      <c r="O342" s="281"/>
      <c r="P342" s="281"/>
      <c r="Q342" s="281"/>
      <c r="X342" s="281"/>
      <c r="Y342" s="281"/>
      <c r="Z342" s="281"/>
      <c r="AA342" s="281"/>
      <c r="AB342" s="298">
        <v>17050501</v>
      </c>
      <c r="AC342" s="281" t="s">
        <v>384</v>
      </c>
      <c r="AD342" s="281" t="s">
        <v>330</v>
      </c>
      <c r="AE342" s="281" t="s">
        <v>291</v>
      </c>
      <c r="AF342" s="281" t="s">
        <v>314</v>
      </c>
      <c r="AJ342" s="281"/>
      <c r="AK342" s="281"/>
      <c r="AL342" s="148"/>
      <c r="AM342" s="148"/>
      <c r="AN342" s="148"/>
      <c r="AO342" s="148"/>
      <c r="AP342" s="148"/>
      <c r="AQ342" s="148"/>
      <c r="AR342" s="148"/>
      <c r="AU342" s="148"/>
      <c r="AV342" s="148"/>
      <c r="AW342" s="148"/>
      <c r="AX342" s="148"/>
      <c r="AY342" s="148"/>
      <c r="AZ342" s="148"/>
      <c r="BA342" s="281"/>
      <c r="BB342" s="281">
        <v>1</v>
      </c>
      <c r="BC342" s="281"/>
      <c r="BF342" s="16">
        <v>0</v>
      </c>
      <c r="BG342" s="16">
        <v>0</v>
      </c>
      <c r="BH342" s="16">
        <v>0</v>
      </c>
      <c r="CF342" s="281"/>
      <c r="CG342" s="281"/>
      <c r="CH342" s="281"/>
      <c r="CI342" s="281"/>
      <c r="CJ342" s="281"/>
      <c r="CK342" s="281"/>
      <c r="CL342" s="281"/>
      <c r="CM342" s="281"/>
      <c r="CN342" s="281"/>
      <c r="CO342" s="281"/>
      <c r="CP342" s="281"/>
      <c r="CQ342" s="281"/>
      <c r="CR342" s="281"/>
      <c r="CS342" s="281"/>
      <c r="CT342" s="281"/>
      <c r="CU342" s="281"/>
      <c r="CV342" s="281"/>
      <c r="CW342" s="281"/>
      <c r="CX342" s="281"/>
      <c r="DH342" s="281"/>
      <c r="DI342" s="281"/>
      <c r="DP342" s="96"/>
      <c r="DQ342" s="281"/>
      <c r="DR342" s="57" t="str">
        <f t="shared" si="6"/>
        <v/>
      </c>
      <c r="DS342" s="281"/>
      <c r="DU342" s="1" t="s">
        <v>280</v>
      </c>
      <c r="DV342" s="148"/>
      <c r="DY342" s="148"/>
      <c r="EA342" s="148"/>
      <c r="EB342" s="148"/>
      <c r="EC342" s="148"/>
      <c r="ED342" s="148"/>
    </row>
    <row r="343" spans="1:149" s="16" customFormat="1" ht="15" customHeight="1" x14ac:dyDescent="0.15">
      <c r="B343" s="125"/>
      <c r="C343" s="40"/>
      <c r="H343" s="281"/>
      <c r="I343" s="281"/>
      <c r="J343" s="281"/>
      <c r="K343" s="281"/>
      <c r="L343" s="281"/>
      <c r="M343" s="281"/>
      <c r="N343" s="281"/>
      <c r="O343" s="281"/>
      <c r="P343" s="281"/>
      <c r="Q343" s="281"/>
      <c r="X343" s="281"/>
      <c r="Y343" s="281"/>
      <c r="Z343" s="281"/>
      <c r="AA343" s="281"/>
      <c r="AB343" s="298">
        <v>17050502</v>
      </c>
      <c r="AC343" s="281" t="s">
        <v>385</v>
      </c>
      <c r="AD343" s="281"/>
      <c r="AE343" s="281" t="s">
        <v>291</v>
      </c>
      <c r="AF343" s="281" t="s">
        <v>314</v>
      </c>
      <c r="AJ343" s="281">
        <v>8</v>
      </c>
      <c r="AK343" s="281"/>
      <c r="AL343" s="148"/>
      <c r="AM343" s="148"/>
      <c r="AN343" s="148"/>
      <c r="AO343" s="148"/>
      <c r="AP343" s="148"/>
      <c r="AQ343" s="148"/>
      <c r="AR343" s="148"/>
      <c r="AU343" s="148"/>
      <c r="AV343" s="148"/>
      <c r="AW343" s="148"/>
      <c r="AX343" s="148"/>
      <c r="AY343" s="148"/>
      <c r="AZ343" s="148"/>
      <c r="BA343" s="281"/>
      <c r="BB343" s="281">
        <v>1</v>
      </c>
      <c r="BC343" s="281"/>
      <c r="CF343" s="281"/>
      <c r="CG343" s="281"/>
      <c r="CH343" s="281"/>
      <c r="CI343" s="281"/>
      <c r="CJ343" s="281"/>
      <c r="CK343" s="281"/>
      <c r="CL343" s="281"/>
      <c r="CM343" s="281"/>
      <c r="CN343" s="281"/>
      <c r="CO343" s="281"/>
      <c r="CP343" s="281"/>
      <c r="CQ343" s="281"/>
      <c r="CR343" s="281"/>
      <c r="CS343" s="281"/>
      <c r="CT343" s="281"/>
      <c r="CU343" s="281"/>
      <c r="CV343" s="281"/>
      <c r="CW343" s="281"/>
      <c r="CX343" s="281"/>
      <c r="DH343" s="281"/>
      <c r="DI343" s="281"/>
      <c r="DP343" s="96"/>
      <c r="DQ343" s="281"/>
      <c r="DR343" s="57" t="str">
        <f t="shared" si="6"/>
        <v/>
      </c>
      <c r="DS343" s="281"/>
      <c r="DU343" s="1" t="s">
        <v>280</v>
      </c>
      <c r="DV343" s="148"/>
      <c r="DY343" s="148"/>
      <c r="EA343" s="148"/>
      <c r="EB343" s="148"/>
      <c r="EC343" s="148"/>
      <c r="ED343" s="148"/>
    </row>
    <row r="344" spans="1:149" s="16" customFormat="1" ht="55.5" customHeight="1" x14ac:dyDescent="0.15">
      <c r="B344" s="125"/>
      <c r="C344" s="40"/>
      <c r="H344" s="281"/>
      <c r="I344" s="281"/>
      <c r="J344" s="281"/>
      <c r="K344" s="281"/>
      <c r="L344" s="281"/>
      <c r="M344" s="281"/>
      <c r="N344" s="281"/>
      <c r="O344" s="281"/>
      <c r="P344" s="281"/>
      <c r="Q344" s="281"/>
      <c r="X344" s="281"/>
      <c r="Y344" s="281"/>
      <c r="Z344" s="281"/>
      <c r="AA344" s="281"/>
      <c r="AB344" s="281">
        <v>17050503</v>
      </c>
      <c r="AC344" s="298" t="s">
        <v>386</v>
      </c>
      <c r="AD344" s="281" t="s">
        <v>330</v>
      </c>
      <c r="AE344" s="281" t="s">
        <v>291</v>
      </c>
      <c r="AF344" s="281" t="s">
        <v>314</v>
      </c>
      <c r="AJ344" s="281"/>
      <c r="AK344" s="281"/>
      <c r="AL344" s="148"/>
      <c r="AM344" s="148"/>
      <c r="AN344" s="148"/>
      <c r="AO344" s="148"/>
      <c r="AP344" s="148"/>
      <c r="AQ344" s="148"/>
      <c r="AR344" s="148"/>
      <c r="AU344" s="148"/>
      <c r="AV344" s="148"/>
      <c r="AW344" s="148"/>
      <c r="AX344" s="148"/>
      <c r="AY344" s="148"/>
      <c r="AZ344" s="148"/>
      <c r="BA344" s="310"/>
      <c r="BB344" s="281">
        <v>1</v>
      </c>
      <c r="BC344" s="281"/>
      <c r="BF344" s="16">
        <v>0</v>
      </c>
      <c r="BG344" s="16">
        <v>0</v>
      </c>
      <c r="BH344" s="16">
        <v>0</v>
      </c>
      <c r="BJ344" s="16" t="s">
        <v>270</v>
      </c>
      <c r="BS344" s="16" t="s">
        <v>270</v>
      </c>
      <c r="CF344" s="281"/>
      <c r="CG344" s="281"/>
      <c r="CH344" s="281"/>
      <c r="CI344" s="281"/>
      <c r="CJ344" s="281"/>
      <c r="CK344" s="281"/>
      <c r="CL344" s="281"/>
      <c r="CM344" s="281"/>
      <c r="CN344" s="281"/>
      <c r="CO344" s="281"/>
      <c r="CP344" s="281"/>
      <c r="CQ344" s="281"/>
      <c r="CR344" s="281"/>
      <c r="CS344" s="281"/>
      <c r="CT344" s="281"/>
      <c r="CU344" s="281"/>
      <c r="CV344" s="281"/>
      <c r="CW344" s="281"/>
      <c r="CX344" s="281"/>
      <c r="DH344" s="281"/>
      <c r="DI344" s="314"/>
      <c r="DJ344" s="159"/>
      <c r="DM344" s="141"/>
      <c r="DP344" s="96" t="s">
        <v>341</v>
      </c>
      <c r="DQ344" s="298"/>
      <c r="DR344" s="57" t="e">
        <f t="shared" si="6"/>
        <v>#VALUE!</v>
      </c>
      <c r="DS344" s="298"/>
      <c r="DT344" s="166"/>
      <c r="DU344" s="1" t="s">
        <v>280</v>
      </c>
      <c r="DV344" s="148"/>
      <c r="DZ344" s="175">
        <v>1</v>
      </c>
      <c r="EA344" s="176" t="s">
        <v>281</v>
      </c>
      <c r="EB344" s="176" t="s">
        <v>282</v>
      </c>
      <c r="EC344" s="176" t="s">
        <v>283</v>
      </c>
      <c r="ED344" s="176" t="s">
        <v>283</v>
      </c>
      <c r="EE344" s="16" t="s">
        <v>284</v>
      </c>
      <c r="EF344" s="16" t="s">
        <v>326</v>
      </c>
      <c r="EG344" s="16" t="e">
        <v>#VALUE!</v>
      </c>
      <c r="EH344" s="16" t="s">
        <v>285</v>
      </c>
      <c r="EI344" s="16" t="s">
        <v>344</v>
      </c>
      <c r="EJ344" s="16" t="e">
        <v>#VALUE!</v>
      </c>
      <c r="EK344" s="16" t="s">
        <v>286</v>
      </c>
      <c r="EL344" s="16" t="s">
        <v>345</v>
      </c>
      <c r="EM344" s="16" t="e">
        <v>#VALUE!</v>
      </c>
      <c r="EN344" s="16" t="s">
        <v>287</v>
      </c>
      <c r="EO344" s="16" t="s">
        <v>345</v>
      </c>
      <c r="EP344" s="16" t="e">
        <v>#VALUE!</v>
      </c>
    </row>
    <row r="345" spans="1:149" s="16" customFormat="1" ht="57" customHeight="1" x14ac:dyDescent="0.15">
      <c r="A345" s="16">
        <v>172026</v>
      </c>
      <c r="B345" s="125" t="s">
        <v>600</v>
      </c>
      <c r="C345" s="40" t="s">
        <v>601</v>
      </c>
      <c r="D345" s="16" t="s">
        <v>645</v>
      </c>
      <c r="H345" s="281">
        <v>0</v>
      </c>
      <c r="I345" s="281"/>
      <c r="J345" s="281"/>
      <c r="K345" s="281"/>
      <c r="L345" s="281">
        <v>0</v>
      </c>
      <c r="M345" s="281"/>
      <c r="N345" s="281"/>
      <c r="O345" s="281"/>
      <c r="P345" s="281" t="s">
        <v>268</v>
      </c>
      <c r="Q345" s="281" t="s">
        <v>269</v>
      </c>
      <c r="X345" s="281">
        <v>1</v>
      </c>
      <c r="Y345" s="281">
        <v>0</v>
      </c>
      <c r="Z345" s="281">
        <v>0</v>
      </c>
      <c r="AA345" s="281"/>
      <c r="AB345" s="281">
        <v>3001</v>
      </c>
      <c r="AC345" s="281" t="s">
        <v>337</v>
      </c>
      <c r="AD345" s="281" t="s">
        <v>330</v>
      </c>
      <c r="AE345" s="281"/>
      <c r="AF345" s="281"/>
      <c r="AG345" s="141"/>
      <c r="AH345" s="141"/>
      <c r="AI345" s="141"/>
      <c r="AJ345" s="281"/>
      <c r="AK345" s="281"/>
      <c r="BA345" s="310" t="s">
        <v>270</v>
      </c>
      <c r="BB345" s="281">
        <v>150</v>
      </c>
      <c r="BC345" s="281">
        <v>0</v>
      </c>
      <c r="CF345" s="281" t="s">
        <v>378</v>
      </c>
      <c r="CG345" s="281"/>
      <c r="CH345" s="281"/>
      <c r="CI345" s="281"/>
      <c r="CJ345" s="281" t="s">
        <v>1</v>
      </c>
      <c r="CK345" s="298" t="s">
        <v>379</v>
      </c>
      <c r="CL345" s="298"/>
      <c r="CM345" s="281">
        <v>999</v>
      </c>
      <c r="CN345" s="281">
        <v>0</v>
      </c>
      <c r="CO345" s="281">
        <v>0</v>
      </c>
      <c r="CP345" s="281">
        <v>0</v>
      </c>
      <c r="CQ345" s="281">
        <v>0</v>
      </c>
      <c r="CR345" s="281"/>
      <c r="CS345" s="281">
        <v>5</v>
      </c>
      <c r="CT345" s="281"/>
      <c r="CU345" s="217">
        <v>10</v>
      </c>
      <c r="CV345" s="281" t="s">
        <v>639</v>
      </c>
      <c r="CW345" s="281" t="b">
        <v>0</v>
      </c>
      <c r="CX345" s="314" t="s">
        <v>273</v>
      </c>
      <c r="DB345" s="16">
        <v>102401</v>
      </c>
      <c r="DC345" s="16" t="b">
        <v>1</v>
      </c>
      <c r="DD345" s="16" t="s">
        <v>274</v>
      </c>
      <c r="DE345" s="16" t="s">
        <v>380</v>
      </c>
      <c r="DF345" s="16" t="s">
        <v>276</v>
      </c>
      <c r="DG345" s="16" t="s">
        <v>293</v>
      </c>
      <c r="DH345" s="281">
        <v>4</v>
      </c>
      <c r="DI345" s="281" t="b">
        <v>0</v>
      </c>
      <c r="DP345" s="96"/>
      <c r="DQ345" s="335" t="s">
        <v>382</v>
      </c>
      <c r="DR345" s="57" t="str">
        <f t="shared" si="6"/>
        <v/>
      </c>
      <c r="DS345" s="335" t="s">
        <v>383</v>
      </c>
      <c r="DU345" s="1" t="s">
        <v>280</v>
      </c>
      <c r="DV345" s="148"/>
      <c r="DY345" s="148"/>
      <c r="EA345" s="148"/>
      <c r="EB345" s="148"/>
      <c r="EC345" s="148"/>
      <c r="ED345" s="148"/>
    </row>
    <row r="346" spans="1:149" s="16" customFormat="1" ht="39" customHeight="1" x14ac:dyDescent="0.15">
      <c r="B346" s="125"/>
      <c r="C346" s="40"/>
      <c r="H346" s="281"/>
      <c r="I346" s="281"/>
      <c r="J346" s="281"/>
      <c r="K346" s="281"/>
      <c r="L346" s="281"/>
      <c r="M346" s="281"/>
      <c r="N346" s="281"/>
      <c r="O346" s="281"/>
      <c r="P346" s="281"/>
      <c r="Q346" s="281"/>
      <c r="X346" s="281"/>
      <c r="Y346" s="281"/>
      <c r="Z346" s="281"/>
      <c r="AA346" s="281"/>
      <c r="AB346" s="298">
        <v>17050501</v>
      </c>
      <c r="AC346" s="281" t="s">
        <v>384</v>
      </c>
      <c r="AD346" s="281" t="s">
        <v>330</v>
      </c>
      <c r="AE346" s="281" t="s">
        <v>291</v>
      </c>
      <c r="AF346" s="281" t="s">
        <v>314</v>
      </c>
      <c r="AJ346" s="281"/>
      <c r="AK346" s="281"/>
      <c r="AL346" s="148"/>
      <c r="AM346" s="148"/>
      <c r="AN346" s="148"/>
      <c r="AO346" s="148"/>
      <c r="AP346" s="148"/>
      <c r="AQ346" s="148"/>
      <c r="AR346" s="148"/>
      <c r="AU346" s="148"/>
      <c r="AV346" s="148"/>
      <c r="AW346" s="148"/>
      <c r="AX346" s="148"/>
      <c r="AY346" s="148"/>
      <c r="AZ346" s="148"/>
      <c r="BA346" s="281"/>
      <c r="BB346" s="281">
        <v>1</v>
      </c>
      <c r="BC346" s="281"/>
      <c r="BF346" s="16">
        <v>0</v>
      </c>
      <c r="BG346" s="16">
        <v>0</v>
      </c>
      <c r="BH346" s="16">
        <v>0</v>
      </c>
      <c r="BJ346" s="16" t="s">
        <v>270</v>
      </c>
      <c r="BS346" s="16" t="s">
        <v>270</v>
      </c>
      <c r="CF346" s="281"/>
      <c r="CG346" s="281"/>
      <c r="CH346" s="281"/>
      <c r="CI346" s="281"/>
      <c r="CJ346" s="281"/>
      <c r="CK346" s="281"/>
      <c r="CL346" s="281"/>
      <c r="CM346" s="281"/>
      <c r="CN346" s="281"/>
      <c r="CO346" s="281"/>
      <c r="CP346" s="281"/>
      <c r="CQ346" s="281"/>
      <c r="CR346" s="281"/>
      <c r="CS346" s="281"/>
      <c r="CT346" s="281"/>
      <c r="CU346" s="281"/>
      <c r="CV346" s="281"/>
      <c r="CW346" s="281"/>
      <c r="CX346" s="281"/>
      <c r="DD346" s="163"/>
      <c r="DE346" s="141"/>
      <c r="DF346" s="163"/>
      <c r="DG346" s="163"/>
      <c r="DH346" s="321"/>
      <c r="DI346" s="321"/>
      <c r="DJ346" s="163"/>
      <c r="DP346" s="96" t="s">
        <v>381</v>
      </c>
      <c r="DQ346" s="281"/>
      <c r="DR346" s="57" t="e">
        <f t="shared" si="6"/>
        <v>#VALUE!</v>
      </c>
      <c r="DS346" s="281"/>
      <c r="DT346" s="168"/>
      <c r="DU346" s="1" t="s">
        <v>280</v>
      </c>
      <c r="DV346" s="148"/>
      <c r="DZ346" s="175">
        <v>1</v>
      </c>
      <c r="EA346" s="176" t="s">
        <v>281</v>
      </c>
      <c r="EB346" s="176" t="s">
        <v>282</v>
      </c>
      <c r="EC346" s="176" t="s">
        <v>283</v>
      </c>
      <c r="ED346" s="176" t="s">
        <v>283</v>
      </c>
      <c r="EE346" s="16" t="s">
        <v>284</v>
      </c>
      <c r="EF346" s="16" t="s">
        <v>326</v>
      </c>
      <c r="EG346" s="16" t="e">
        <v>#VALUE!</v>
      </c>
      <c r="EH346" s="16" t="s">
        <v>285</v>
      </c>
      <c r="EI346" s="16" t="s">
        <v>344</v>
      </c>
      <c r="EJ346" s="16" t="e">
        <v>#VALUE!</v>
      </c>
      <c r="EK346" s="16" t="s">
        <v>286</v>
      </c>
      <c r="EL346" s="16" t="s">
        <v>328</v>
      </c>
      <c r="EM346" s="16" t="e">
        <v>#VALUE!</v>
      </c>
      <c r="EN346" s="16" t="s">
        <v>287</v>
      </c>
      <c r="EO346" s="16" t="s">
        <v>328</v>
      </c>
      <c r="EP346" s="16" t="e">
        <v>#VALUE!</v>
      </c>
    </row>
    <row r="347" spans="1:149" s="16" customFormat="1" ht="15" customHeight="1" x14ac:dyDescent="0.15">
      <c r="B347" s="125"/>
      <c r="C347" s="40"/>
      <c r="H347" s="281"/>
      <c r="I347" s="281"/>
      <c r="J347" s="281"/>
      <c r="K347" s="281"/>
      <c r="L347" s="281"/>
      <c r="M347" s="281"/>
      <c r="N347" s="281"/>
      <c r="O347" s="281"/>
      <c r="P347" s="281"/>
      <c r="Q347" s="281"/>
      <c r="X347" s="281"/>
      <c r="Y347" s="281"/>
      <c r="Z347" s="281"/>
      <c r="AA347" s="281"/>
      <c r="AB347" s="298">
        <v>17050502</v>
      </c>
      <c r="AC347" s="281" t="s">
        <v>385</v>
      </c>
      <c r="AD347" s="281"/>
      <c r="AE347" s="281" t="s">
        <v>291</v>
      </c>
      <c r="AF347" s="281" t="s">
        <v>314</v>
      </c>
      <c r="AJ347" s="281">
        <v>8</v>
      </c>
      <c r="AK347" s="281"/>
      <c r="BA347" s="281"/>
      <c r="BB347" s="281">
        <v>1</v>
      </c>
      <c r="BC347" s="281"/>
      <c r="CF347" s="281"/>
      <c r="CG347" s="281"/>
      <c r="CH347" s="281"/>
      <c r="CI347" s="281"/>
      <c r="CJ347" s="281"/>
      <c r="CK347" s="281"/>
      <c r="CL347" s="281"/>
      <c r="CM347" s="281"/>
      <c r="CN347" s="281"/>
      <c r="CO347" s="281"/>
      <c r="CP347" s="281"/>
      <c r="CQ347" s="281"/>
      <c r="CR347" s="281"/>
      <c r="CS347" s="281"/>
      <c r="CT347" s="281"/>
      <c r="CU347" s="281"/>
      <c r="CV347" s="281"/>
      <c r="CW347" s="281"/>
      <c r="CX347" s="281"/>
      <c r="DH347" s="281"/>
      <c r="DI347" s="281"/>
      <c r="DP347" s="96"/>
      <c r="DQ347" s="281"/>
      <c r="DR347" s="57" t="str">
        <f t="shared" si="6"/>
        <v/>
      </c>
      <c r="DS347" s="281"/>
      <c r="DU347" s="1" t="s">
        <v>280</v>
      </c>
      <c r="DV347" s="148"/>
      <c r="DY347" s="148"/>
      <c r="EA347" s="148"/>
      <c r="EB347" s="148"/>
      <c r="EC347" s="148"/>
      <c r="ED347" s="148"/>
    </row>
    <row r="348" spans="1:149" s="16" customFormat="1" ht="14.25" customHeight="1" x14ac:dyDescent="0.15">
      <c r="B348" s="125"/>
      <c r="C348" s="40"/>
      <c r="H348" s="281"/>
      <c r="I348" s="281"/>
      <c r="J348" s="281"/>
      <c r="K348" s="281"/>
      <c r="L348" s="281"/>
      <c r="M348" s="281"/>
      <c r="N348" s="281"/>
      <c r="O348" s="281"/>
      <c r="P348" s="281"/>
      <c r="Q348" s="281"/>
      <c r="X348" s="281"/>
      <c r="Y348" s="281"/>
      <c r="Z348" s="281"/>
      <c r="AA348" s="281"/>
      <c r="AB348" s="281">
        <v>17050503</v>
      </c>
      <c r="AC348" s="298" t="s">
        <v>386</v>
      </c>
      <c r="AD348" s="281" t="s">
        <v>330</v>
      </c>
      <c r="AE348" s="281" t="s">
        <v>291</v>
      </c>
      <c r="AF348" s="281" t="s">
        <v>314</v>
      </c>
      <c r="AJ348" s="281"/>
      <c r="AK348" s="281"/>
      <c r="BA348" s="310"/>
      <c r="BB348" s="281">
        <v>1</v>
      </c>
      <c r="BC348" s="281"/>
      <c r="CF348" s="281"/>
      <c r="CG348" s="281"/>
      <c r="CH348" s="281"/>
      <c r="CI348" s="281"/>
      <c r="CJ348" s="281"/>
      <c r="CK348" s="281"/>
      <c r="CL348" s="281"/>
      <c r="CM348" s="281"/>
      <c r="CN348" s="281"/>
      <c r="CO348" s="281"/>
      <c r="CP348" s="281"/>
      <c r="CQ348" s="281"/>
      <c r="CR348" s="281"/>
      <c r="CS348" s="281"/>
      <c r="CT348" s="281"/>
      <c r="CU348" s="281"/>
      <c r="CV348" s="281"/>
      <c r="CW348" s="281"/>
      <c r="CX348" s="281"/>
      <c r="DH348" s="281"/>
      <c r="DI348" s="281"/>
      <c r="DP348" s="96"/>
      <c r="DQ348" s="298"/>
      <c r="DR348" s="57" t="str">
        <f t="shared" si="6"/>
        <v/>
      </c>
      <c r="DS348" s="298"/>
      <c r="DU348" s="1" t="s">
        <v>280</v>
      </c>
      <c r="DV348" s="148"/>
      <c r="DY348" s="148"/>
      <c r="EA348" s="148"/>
      <c r="EB348" s="148"/>
      <c r="EC348" s="148"/>
      <c r="ED348" s="148"/>
    </row>
    <row r="349" spans="1:149" s="16" customFormat="1" ht="15" customHeight="1" x14ac:dyDescent="0.15">
      <c r="A349" s="282">
        <v>172027</v>
      </c>
      <c r="B349" s="283" t="s">
        <v>428</v>
      </c>
      <c r="C349" s="40" t="s">
        <v>429</v>
      </c>
      <c r="D349" s="282" t="s">
        <v>646</v>
      </c>
      <c r="H349" s="284">
        <v>0</v>
      </c>
      <c r="I349" s="284"/>
      <c r="J349" s="284"/>
      <c r="K349" s="284"/>
      <c r="L349" s="284">
        <v>0</v>
      </c>
      <c r="M349" s="284"/>
      <c r="N349" s="284"/>
      <c r="O349" s="284"/>
      <c r="P349" s="284" t="s">
        <v>430</v>
      </c>
      <c r="Q349" s="284" t="s">
        <v>431</v>
      </c>
      <c r="X349" s="284">
        <v>1</v>
      </c>
      <c r="Y349" s="284">
        <v>0</v>
      </c>
      <c r="Z349" s="284">
        <v>0</v>
      </c>
      <c r="AA349" s="284"/>
      <c r="AB349" s="284">
        <v>10350104</v>
      </c>
      <c r="AC349" s="299" t="s">
        <v>432</v>
      </c>
      <c r="AD349" s="284"/>
      <c r="AE349" s="284" t="s">
        <v>291</v>
      </c>
      <c r="AF349" s="284" t="s">
        <v>394</v>
      </c>
      <c r="AJ349" s="284">
        <v>-1</v>
      </c>
      <c r="AK349" s="284"/>
      <c r="AL349" s="148"/>
      <c r="AM349" s="148"/>
      <c r="AN349" s="148"/>
      <c r="AO349" s="148"/>
      <c r="AP349" s="148"/>
      <c r="AQ349" s="148"/>
      <c r="AR349" s="148"/>
      <c r="AU349" s="148"/>
      <c r="AV349" s="148"/>
      <c r="AW349" s="148"/>
      <c r="AX349" s="148"/>
      <c r="AY349" s="148"/>
      <c r="AZ349" s="148"/>
      <c r="BA349" s="311"/>
      <c r="BB349" s="284"/>
      <c r="BC349" s="284"/>
      <c r="CF349" s="284"/>
      <c r="CG349" s="284"/>
      <c r="CH349" s="284"/>
      <c r="CI349" s="284"/>
      <c r="CJ349" s="284"/>
      <c r="CK349" s="284"/>
      <c r="CL349" s="284"/>
      <c r="CM349" s="284"/>
      <c r="CN349" s="284"/>
      <c r="CO349" s="284"/>
      <c r="CP349" s="284"/>
      <c r="CQ349" s="284"/>
      <c r="CR349" s="284"/>
      <c r="CS349" s="284"/>
      <c r="CT349" s="284"/>
      <c r="CU349" s="284"/>
      <c r="CV349" s="284"/>
      <c r="CW349" s="284"/>
      <c r="CX349" s="284" t="s">
        <v>273</v>
      </c>
      <c r="DB349" s="16">
        <v>22018</v>
      </c>
      <c r="DC349" s="16" t="b">
        <v>1</v>
      </c>
      <c r="DD349" s="16" t="s">
        <v>274</v>
      </c>
      <c r="DE349" s="16" t="s">
        <v>433</v>
      </c>
      <c r="DF349" s="16" t="s">
        <v>276</v>
      </c>
      <c r="DG349" s="16" t="s">
        <v>418</v>
      </c>
      <c r="DH349" s="281">
        <v>1</v>
      </c>
      <c r="DI349" s="281" t="b">
        <v>0</v>
      </c>
      <c r="DP349" s="96"/>
      <c r="DQ349" s="299" t="s">
        <v>647</v>
      </c>
      <c r="DR349" s="57" t="str">
        <f t="shared" si="6"/>
        <v/>
      </c>
      <c r="DS349" s="299" t="s">
        <v>648</v>
      </c>
      <c r="DU349" s="1" t="s">
        <v>280</v>
      </c>
      <c r="DV349" s="148"/>
      <c r="DY349" s="148"/>
      <c r="EA349" s="148"/>
      <c r="EB349" s="148"/>
      <c r="EC349" s="148"/>
      <c r="ED349" s="148"/>
    </row>
    <row r="350" spans="1:149" s="16" customFormat="1" ht="39" customHeight="1" x14ac:dyDescent="0.15">
      <c r="A350" s="282"/>
      <c r="B350" s="283"/>
      <c r="C350" s="40"/>
      <c r="D350" s="282"/>
      <c r="H350" s="284"/>
      <c r="I350" s="284"/>
      <c r="J350" s="284"/>
      <c r="K350" s="284"/>
      <c r="L350" s="284"/>
      <c r="M350" s="284"/>
      <c r="N350" s="284"/>
      <c r="O350" s="284"/>
      <c r="P350" s="284"/>
      <c r="Q350" s="284"/>
      <c r="X350" s="284"/>
      <c r="Y350" s="284"/>
      <c r="Z350" s="284"/>
      <c r="AA350" s="284"/>
      <c r="AB350" s="284">
        <v>10350104</v>
      </c>
      <c r="AC350" s="299" t="s">
        <v>432</v>
      </c>
      <c r="AD350" s="284"/>
      <c r="AE350" s="284" t="s">
        <v>291</v>
      </c>
      <c r="AF350" s="284" t="s">
        <v>314</v>
      </c>
      <c r="AJ350" s="284">
        <v>-1</v>
      </c>
      <c r="AK350" s="284"/>
      <c r="AL350" s="148"/>
      <c r="AM350" s="148"/>
      <c r="AN350" s="148"/>
      <c r="AO350" s="148"/>
      <c r="AP350" s="148"/>
      <c r="AQ350" s="148"/>
      <c r="AR350" s="148"/>
      <c r="AU350" s="148"/>
      <c r="AV350" s="148"/>
      <c r="AW350" s="148"/>
      <c r="AX350" s="148"/>
      <c r="AY350" s="148"/>
      <c r="AZ350" s="148"/>
      <c r="BA350" s="311"/>
      <c r="BB350" s="284"/>
      <c r="BC350" s="284"/>
      <c r="BF350" s="16">
        <v>0</v>
      </c>
      <c r="BG350" s="16">
        <v>0</v>
      </c>
      <c r="BH350" s="16">
        <v>0</v>
      </c>
      <c r="BJ350" s="16" t="s">
        <v>270</v>
      </c>
      <c r="BS350" s="16" t="s">
        <v>270</v>
      </c>
      <c r="CF350" s="284"/>
      <c r="CG350" s="284"/>
      <c r="CH350" s="284"/>
      <c r="CI350" s="284"/>
      <c r="CJ350" s="284"/>
      <c r="CK350" s="284"/>
      <c r="CL350" s="284"/>
      <c r="CM350" s="284"/>
      <c r="CN350" s="284"/>
      <c r="CO350" s="284"/>
      <c r="CP350" s="284"/>
      <c r="CQ350" s="284"/>
      <c r="CR350" s="284"/>
      <c r="CS350" s="284"/>
      <c r="CT350" s="284"/>
      <c r="CU350" s="284"/>
      <c r="CV350" s="284"/>
      <c r="CW350" s="284"/>
      <c r="CX350" s="284"/>
      <c r="DD350" s="163"/>
      <c r="DE350" s="141"/>
      <c r="DF350" s="163"/>
      <c r="DG350" s="163"/>
      <c r="DH350" s="321"/>
      <c r="DI350" s="321"/>
      <c r="DJ350" s="163"/>
      <c r="DP350" s="96" t="s">
        <v>381</v>
      </c>
      <c r="DQ350" s="284"/>
      <c r="DR350" s="57" t="e">
        <f t="shared" si="6"/>
        <v>#VALUE!</v>
      </c>
      <c r="DS350" s="299"/>
      <c r="DT350" s="168"/>
      <c r="DU350" s="1" t="s">
        <v>280</v>
      </c>
      <c r="DV350" s="148"/>
      <c r="DZ350" s="175">
        <v>1</v>
      </c>
      <c r="EA350" s="176" t="s">
        <v>281</v>
      </c>
      <c r="EB350" s="176" t="s">
        <v>282</v>
      </c>
      <c r="EC350" s="176" t="s">
        <v>283</v>
      </c>
      <c r="ED350" s="176" t="s">
        <v>283</v>
      </c>
      <c r="EE350" s="16" t="s">
        <v>284</v>
      </c>
      <c r="EF350" s="16" t="s">
        <v>326</v>
      </c>
      <c r="EG350" s="16" t="e">
        <v>#VALUE!</v>
      </c>
      <c r="EH350" s="16" t="s">
        <v>285</v>
      </c>
      <c r="EI350" s="16" t="s">
        <v>344</v>
      </c>
      <c r="EJ350" s="16" t="e">
        <v>#VALUE!</v>
      </c>
      <c r="EK350" s="16" t="s">
        <v>286</v>
      </c>
      <c r="EL350" s="16" t="s">
        <v>328</v>
      </c>
      <c r="EM350" s="16" t="e">
        <v>#VALUE!</v>
      </c>
      <c r="EN350" s="16" t="s">
        <v>287</v>
      </c>
      <c r="EO350" s="16" t="s">
        <v>328</v>
      </c>
      <c r="EP350" s="16" t="e">
        <v>#VALUE!</v>
      </c>
    </row>
    <row r="351" spans="1:149" s="16" customFormat="1" ht="15" customHeight="1" x14ac:dyDescent="0.15">
      <c r="A351" s="282"/>
      <c r="B351" s="283"/>
      <c r="C351" s="40"/>
      <c r="D351" s="282"/>
      <c r="H351" s="284"/>
      <c r="I351" s="284"/>
      <c r="J351" s="284"/>
      <c r="K351" s="284"/>
      <c r="L351" s="284"/>
      <c r="M351" s="284"/>
      <c r="N351" s="284"/>
      <c r="O351" s="284"/>
      <c r="P351" s="284"/>
      <c r="Q351" s="284"/>
      <c r="X351" s="284"/>
      <c r="Y351" s="284"/>
      <c r="Z351" s="284"/>
      <c r="AA351" s="284"/>
      <c r="AB351" s="284">
        <v>10350104</v>
      </c>
      <c r="AC351" s="299" t="s">
        <v>432</v>
      </c>
      <c r="AD351" s="284"/>
      <c r="AE351" s="284" t="s">
        <v>291</v>
      </c>
      <c r="AF351" s="284" t="s">
        <v>437</v>
      </c>
      <c r="AJ351" s="284">
        <v>-1</v>
      </c>
      <c r="AK351" s="284"/>
      <c r="BA351" s="311"/>
      <c r="BB351" s="284"/>
      <c r="BC351" s="284"/>
      <c r="CF351" s="284"/>
      <c r="CG351" s="284"/>
      <c r="CH351" s="284"/>
      <c r="CI351" s="284"/>
      <c r="CJ351" s="284"/>
      <c r="CK351" s="284"/>
      <c r="CL351" s="284"/>
      <c r="CM351" s="284"/>
      <c r="CN351" s="284"/>
      <c r="CO351" s="284"/>
      <c r="CP351" s="284"/>
      <c r="CQ351" s="284"/>
      <c r="CR351" s="284"/>
      <c r="CS351" s="284"/>
      <c r="CT351" s="284"/>
      <c r="CU351" s="284"/>
      <c r="CV351" s="284"/>
      <c r="CW351" s="284"/>
      <c r="CX351" s="284"/>
      <c r="DH351" s="281"/>
      <c r="DI351" s="281"/>
      <c r="DP351" s="96"/>
      <c r="DQ351" s="284"/>
      <c r="DR351" s="57" t="str">
        <f t="shared" si="6"/>
        <v/>
      </c>
      <c r="DS351" s="299"/>
      <c r="DU351" s="1" t="s">
        <v>280</v>
      </c>
      <c r="DV351" s="148"/>
      <c r="DY351" s="148"/>
      <c r="EA351" s="148"/>
      <c r="EB351" s="148"/>
      <c r="EC351" s="148"/>
      <c r="ED351" s="148"/>
    </row>
    <row r="352" spans="1:149" s="3" customFormat="1" ht="43.5" customHeight="1" x14ac:dyDescent="0.15">
      <c r="A352" s="285">
        <v>172028</v>
      </c>
      <c r="B352" s="286" t="s">
        <v>649</v>
      </c>
      <c r="C352" s="40" t="s">
        <v>650</v>
      </c>
      <c r="D352" s="285" t="s">
        <v>651</v>
      </c>
      <c r="E352" s="285">
        <v>172004</v>
      </c>
      <c r="F352" s="287"/>
      <c r="G352" s="287"/>
      <c r="H352" s="288">
        <v>0</v>
      </c>
      <c r="I352" s="288"/>
      <c r="J352" s="288"/>
      <c r="K352" s="288"/>
      <c r="L352" s="288">
        <v>0</v>
      </c>
      <c r="M352" s="288"/>
      <c r="N352" s="288"/>
      <c r="O352" s="288"/>
      <c r="P352" s="288" t="s">
        <v>268</v>
      </c>
      <c r="Q352" s="288" t="s">
        <v>269</v>
      </c>
      <c r="R352" s="287"/>
      <c r="S352" s="287"/>
      <c r="T352" s="287"/>
      <c r="U352" s="287"/>
      <c r="V352" s="287"/>
      <c r="W352" s="287"/>
      <c r="X352" s="288">
        <v>1</v>
      </c>
      <c r="Y352" s="288">
        <v>0</v>
      </c>
      <c r="Z352" s="288">
        <v>0</v>
      </c>
      <c r="AA352" s="288"/>
      <c r="AB352" s="288">
        <v>3001</v>
      </c>
      <c r="AC352" s="288"/>
      <c r="AD352" s="288"/>
      <c r="AE352" s="288"/>
      <c r="AF352" s="288"/>
      <c r="AG352" s="287"/>
      <c r="AH352" s="287"/>
      <c r="AI352" s="287"/>
      <c r="AJ352" s="288"/>
      <c r="AK352" s="288"/>
      <c r="AL352" s="305"/>
      <c r="AM352" s="305"/>
      <c r="AN352" s="305"/>
      <c r="AO352" s="305"/>
      <c r="AP352" s="305"/>
      <c r="AQ352" s="305"/>
      <c r="AR352" s="305"/>
      <c r="AS352" s="287"/>
      <c r="AT352" s="287"/>
      <c r="AU352" s="305"/>
      <c r="AV352" s="305"/>
      <c r="AW352" s="305"/>
      <c r="AX352" s="305"/>
      <c r="AY352" s="305"/>
      <c r="AZ352" s="305"/>
      <c r="BA352" s="312" t="s">
        <v>270</v>
      </c>
      <c r="BB352" s="288">
        <v>300</v>
      </c>
      <c r="BC352" s="288">
        <v>0</v>
      </c>
      <c r="BD352" s="287"/>
      <c r="BE352" s="287"/>
      <c r="BF352" s="287">
        <v>0</v>
      </c>
      <c r="BG352" s="287">
        <v>0</v>
      </c>
      <c r="BH352" s="287">
        <v>0</v>
      </c>
      <c r="BI352" s="287"/>
      <c r="BJ352" s="287" t="s">
        <v>270</v>
      </c>
      <c r="BK352" s="287"/>
      <c r="BL352" s="287"/>
      <c r="BM352" s="287"/>
      <c r="BN352" s="287"/>
      <c r="BO352" s="287"/>
      <c r="BP352" s="287"/>
      <c r="BQ352" s="287"/>
      <c r="BR352" s="287"/>
      <c r="BS352" s="287" t="s">
        <v>270</v>
      </c>
      <c r="BT352" s="287"/>
      <c r="BU352" s="287"/>
      <c r="BV352" s="287"/>
      <c r="BW352" s="287"/>
      <c r="BX352" s="287"/>
      <c r="BY352" s="287"/>
      <c r="BZ352" s="287"/>
      <c r="CA352" s="287"/>
      <c r="CB352" s="287"/>
      <c r="CC352" s="287"/>
      <c r="CD352" s="287"/>
      <c r="CE352" s="287"/>
      <c r="CF352" s="288" t="s">
        <v>271</v>
      </c>
      <c r="CG352" s="288"/>
      <c r="CH352" s="288"/>
      <c r="CI352" s="288"/>
      <c r="CJ352" s="288" t="s">
        <v>1</v>
      </c>
      <c r="CK352" s="300" t="s">
        <v>308</v>
      </c>
      <c r="CL352" s="300"/>
      <c r="CM352" s="288">
        <v>999</v>
      </c>
      <c r="CN352" s="288">
        <v>0</v>
      </c>
      <c r="CO352" s="288">
        <v>0</v>
      </c>
      <c r="CP352" s="288">
        <v>0</v>
      </c>
      <c r="CQ352" s="288">
        <v>0</v>
      </c>
      <c r="CR352" s="288"/>
      <c r="CS352" s="288">
        <v>5</v>
      </c>
      <c r="CT352" s="288">
        <v>2</v>
      </c>
      <c r="CU352" s="288">
        <v>8</v>
      </c>
      <c r="CV352" s="315" t="s">
        <v>652</v>
      </c>
      <c r="CW352" s="288" t="b">
        <v>1</v>
      </c>
      <c r="CX352" s="316" t="s">
        <v>273</v>
      </c>
      <c r="CY352" s="287"/>
      <c r="CZ352" s="287"/>
      <c r="DA352" s="287"/>
      <c r="DB352" s="287">
        <v>170501</v>
      </c>
      <c r="DC352" s="287" t="b">
        <v>1</v>
      </c>
      <c r="DD352" s="287" t="s">
        <v>274</v>
      </c>
      <c r="DE352" s="317" t="s">
        <v>524</v>
      </c>
      <c r="DF352" s="287" t="s">
        <v>276</v>
      </c>
      <c r="DG352" s="287" t="s">
        <v>322</v>
      </c>
      <c r="DH352" s="322">
        <v>4</v>
      </c>
      <c r="DI352" s="330" t="b">
        <v>0</v>
      </c>
      <c r="DJ352" s="331"/>
      <c r="DK352" s="287"/>
      <c r="DL352" s="287"/>
      <c r="DM352" s="287"/>
      <c r="DN352" s="332"/>
      <c r="DO352" s="332"/>
      <c r="DP352" s="333" t="s">
        <v>323</v>
      </c>
      <c r="DQ352" s="300" t="s">
        <v>653</v>
      </c>
      <c r="DR352" s="57" t="e">
        <f t="shared" si="6"/>
        <v>#VALUE!</v>
      </c>
      <c r="DS352" s="300" t="s">
        <v>526</v>
      </c>
      <c r="DT352" s="287"/>
      <c r="DU352" s="1" t="s">
        <v>280</v>
      </c>
      <c r="DV352" s="305"/>
      <c r="DW352" s="287"/>
      <c r="DX352" s="287"/>
      <c r="DY352" s="345"/>
      <c r="DZ352" s="346">
        <v>1</v>
      </c>
      <c r="EA352" s="347" t="s">
        <v>281</v>
      </c>
      <c r="EB352" s="347" t="s">
        <v>282</v>
      </c>
      <c r="EC352" s="347" t="s">
        <v>283</v>
      </c>
      <c r="ED352" s="347" t="s">
        <v>283</v>
      </c>
      <c r="EE352" s="287" t="s">
        <v>284</v>
      </c>
      <c r="EF352" s="287" t="s">
        <v>326</v>
      </c>
      <c r="EG352" s="287" t="e">
        <v>#VALUE!</v>
      </c>
      <c r="EH352" s="287" t="s">
        <v>285</v>
      </c>
      <c r="EI352" s="287" t="s">
        <v>327</v>
      </c>
      <c r="EJ352" s="287" t="e">
        <v>#VALUE!</v>
      </c>
      <c r="EK352" s="287" t="s">
        <v>286</v>
      </c>
      <c r="EL352" s="287" t="s">
        <v>328</v>
      </c>
      <c r="EM352" s="287" t="e">
        <v>#VALUE!</v>
      </c>
      <c r="EN352" s="287" t="s">
        <v>287</v>
      </c>
      <c r="EO352" s="287" t="s">
        <v>328</v>
      </c>
      <c r="EP352" s="287" t="e">
        <v>#VALUE!</v>
      </c>
      <c r="EQ352" s="287"/>
      <c r="ER352" s="287"/>
      <c r="ES352" s="287"/>
    </row>
    <row r="353" spans="1:149" s="3" customFormat="1" ht="57" customHeight="1" x14ac:dyDescent="0.15">
      <c r="A353" s="285"/>
      <c r="B353" s="286"/>
      <c r="C353" s="40"/>
      <c r="D353" s="285"/>
      <c r="E353" s="287"/>
      <c r="F353" s="287"/>
      <c r="G353" s="287"/>
      <c r="H353" s="288"/>
      <c r="I353" s="288"/>
      <c r="J353" s="288"/>
      <c r="K353" s="288"/>
      <c r="L353" s="288"/>
      <c r="M353" s="288"/>
      <c r="N353" s="288"/>
      <c r="O353" s="288"/>
      <c r="P353" s="288"/>
      <c r="Q353" s="288"/>
      <c r="R353" s="287"/>
      <c r="S353" s="287"/>
      <c r="T353" s="287"/>
      <c r="U353" s="287"/>
      <c r="V353" s="287"/>
      <c r="W353" s="287"/>
      <c r="X353" s="288"/>
      <c r="Y353" s="288"/>
      <c r="Z353" s="288"/>
      <c r="AA353" s="288"/>
      <c r="AB353" s="288">
        <v>17050301</v>
      </c>
      <c r="AC353" s="300" t="s">
        <v>329</v>
      </c>
      <c r="AD353" s="288" t="s">
        <v>330</v>
      </c>
      <c r="AE353" s="288" t="s">
        <v>291</v>
      </c>
      <c r="AF353" s="288" t="s">
        <v>314</v>
      </c>
      <c r="AG353" s="287"/>
      <c r="AH353" s="287"/>
      <c r="AI353" s="287"/>
      <c r="AJ353" s="288"/>
      <c r="AK353" s="288"/>
      <c r="AL353" s="305"/>
      <c r="AM353" s="305"/>
      <c r="AN353" s="305"/>
      <c r="AO353" s="305"/>
      <c r="AP353" s="305"/>
      <c r="AQ353" s="305"/>
      <c r="AR353" s="305"/>
      <c r="AS353" s="287"/>
      <c r="AT353" s="287"/>
      <c r="AU353" s="305"/>
      <c r="AV353" s="305"/>
      <c r="AW353" s="305"/>
      <c r="AX353" s="305"/>
      <c r="AY353" s="305"/>
      <c r="AZ353" s="305"/>
      <c r="BA353" s="312" t="s">
        <v>331</v>
      </c>
      <c r="BB353" s="313">
        <v>0.15</v>
      </c>
      <c r="BC353" s="288">
        <v>0</v>
      </c>
      <c r="BD353" s="287"/>
      <c r="BE353" s="287"/>
      <c r="BF353" s="287">
        <v>0</v>
      </c>
      <c r="BG353" s="287">
        <v>0</v>
      </c>
      <c r="BH353" s="287">
        <v>0</v>
      </c>
      <c r="BI353" s="287"/>
      <c r="BJ353" s="287"/>
      <c r="BK353" s="287"/>
      <c r="BL353" s="287"/>
      <c r="BM353" s="287"/>
      <c r="BN353" s="287"/>
      <c r="BO353" s="287"/>
      <c r="BP353" s="287"/>
      <c r="BQ353" s="287"/>
      <c r="BR353" s="287"/>
      <c r="BS353" s="287"/>
      <c r="BT353" s="287"/>
      <c r="BU353" s="287"/>
      <c r="BV353" s="287"/>
      <c r="BW353" s="287"/>
      <c r="BX353" s="287"/>
      <c r="BY353" s="287"/>
      <c r="BZ353" s="287"/>
      <c r="CA353" s="287"/>
      <c r="CB353" s="287"/>
      <c r="CC353" s="287"/>
      <c r="CD353" s="287"/>
      <c r="CE353" s="287"/>
      <c r="CF353" s="288"/>
      <c r="CG353" s="288"/>
      <c r="CH353" s="288"/>
      <c r="CI353" s="288"/>
      <c r="CJ353" s="288"/>
      <c r="CK353" s="288"/>
      <c r="CL353" s="288"/>
      <c r="CM353" s="288"/>
      <c r="CN353" s="288"/>
      <c r="CO353" s="288"/>
      <c r="CP353" s="288"/>
      <c r="CQ353" s="288"/>
      <c r="CR353" s="288"/>
      <c r="CS353" s="288"/>
      <c r="CT353" s="288"/>
      <c r="CU353" s="288"/>
      <c r="CV353" s="288"/>
      <c r="CW353" s="288"/>
      <c r="CX353" s="288"/>
      <c r="CY353" s="287"/>
      <c r="CZ353" s="287"/>
      <c r="DA353" s="287"/>
      <c r="DB353" s="287"/>
      <c r="DC353" s="287"/>
      <c r="DD353" s="287"/>
      <c r="DE353" s="287"/>
      <c r="DF353" s="287"/>
      <c r="DG353" s="287"/>
      <c r="DH353" s="322"/>
      <c r="DI353" s="322"/>
      <c r="DJ353" s="287"/>
      <c r="DK353" s="287"/>
      <c r="DL353" s="287"/>
      <c r="DM353" s="287"/>
      <c r="DN353" s="287"/>
      <c r="DO353" s="287"/>
      <c r="DP353" s="333"/>
      <c r="DQ353" s="300"/>
      <c r="DR353" s="57" t="str">
        <f t="shared" si="6"/>
        <v/>
      </c>
      <c r="DS353" s="300"/>
      <c r="DT353" s="287"/>
      <c r="DU353" s="1" t="s">
        <v>280</v>
      </c>
      <c r="DV353" s="305"/>
      <c r="DW353" s="287"/>
      <c r="DX353" s="287"/>
      <c r="DY353" s="305"/>
      <c r="DZ353" s="287"/>
      <c r="EA353" s="305"/>
      <c r="EB353" s="305"/>
      <c r="EC353" s="305"/>
      <c r="ED353" s="305"/>
      <c r="EE353" s="287"/>
      <c r="EF353" s="287"/>
      <c r="EG353" s="287"/>
      <c r="EH353" s="287"/>
      <c r="EI353" s="287"/>
      <c r="EJ353" s="287"/>
      <c r="EK353" s="287"/>
      <c r="EL353" s="287"/>
      <c r="EM353" s="287"/>
      <c r="EN353" s="287"/>
      <c r="EO353" s="287"/>
      <c r="EP353" s="287"/>
      <c r="EQ353" s="287"/>
      <c r="ER353" s="287"/>
      <c r="ES353" s="287"/>
    </row>
    <row r="354" spans="1:149" s="3" customFormat="1" ht="15" customHeight="1" x14ac:dyDescent="0.15">
      <c r="A354" s="285"/>
      <c r="B354" s="286"/>
      <c r="C354" s="40"/>
      <c r="D354" s="285"/>
      <c r="E354" s="287"/>
      <c r="F354" s="287"/>
      <c r="G354" s="287"/>
      <c r="H354" s="288"/>
      <c r="I354" s="288"/>
      <c r="J354" s="288"/>
      <c r="K354" s="288"/>
      <c r="L354" s="288"/>
      <c r="M354" s="288"/>
      <c r="N354" s="288"/>
      <c r="O354" s="288"/>
      <c r="P354" s="288"/>
      <c r="Q354" s="288"/>
      <c r="R354" s="287"/>
      <c r="S354" s="287"/>
      <c r="T354" s="287"/>
      <c r="U354" s="287"/>
      <c r="V354" s="287"/>
      <c r="W354" s="287"/>
      <c r="X354" s="288"/>
      <c r="Y354" s="288"/>
      <c r="Z354" s="288"/>
      <c r="AA354" s="288"/>
      <c r="AB354" s="288">
        <v>17050302</v>
      </c>
      <c r="AC354" s="300" t="s">
        <v>332</v>
      </c>
      <c r="AD354" s="288" t="s">
        <v>333</v>
      </c>
      <c r="AE354" s="288" t="s">
        <v>291</v>
      </c>
      <c r="AF354" s="288" t="s">
        <v>314</v>
      </c>
      <c r="AG354" s="287"/>
      <c r="AH354" s="287"/>
      <c r="AI354" s="287"/>
      <c r="AJ354" s="288">
        <v>-1</v>
      </c>
      <c r="AK354" s="288"/>
      <c r="AL354" s="305"/>
      <c r="AM354" s="305"/>
      <c r="AN354" s="305"/>
      <c r="AO354" s="305"/>
      <c r="AP354" s="305"/>
      <c r="AQ354" s="305"/>
      <c r="AR354" s="305"/>
      <c r="AS354" s="287"/>
      <c r="AT354" s="287"/>
      <c r="AU354" s="305"/>
      <c r="AV354" s="305"/>
      <c r="AW354" s="305"/>
      <c r="AX354" s="305"/>
      <c r="AY354" s="305"/>
      <c r="AZ354" s="305"/>
      <c r="BA354" s="312"/>
      <c r="BB354" s="288">
        <v>1</v>
      </c>
      <c r="BC354" s="288"/>
      <c r="BD354" s="287"/>
      <c r="BE354" s="287"/>
      <c r="BF354" s="287"/>
      <c r="BG354" s="287"/>
      <c r="BH354" s="287"/>
      <c r="BI354" s="287"/>
      <c r="BJ354" s="287"/>
      <c r="BK354" s="287"/>
      <c r="BL354" s="287"/>
      <c r="BM354" s="287"/>
      <c r="BN354" s="287"/>
      <c r="BO354" s="287"/>
      <c r="BP354" s="287"/>
      <c r="BQ354" s="287"/>
      <c r="BR354" s="287"/>
      <c r="BS354" s="287"/>
      <c r="BT354" s="287"/>
      <c r="BU354" s="287"/>
      <c r="BV354" s="287"/>
      <c r="BW354" s="287"/>
      <c r="BX354" s="287"/>
      <c r="BY354" s="287"/>
      <c r="BZ354" s="287"/>
      <c r="CA354" s="287"/>
      <c r="CB354" s="287"/>
      <c r="CC354" s="287"/>
      <c r="CD354" s="287"/>
      <c r="CE354" s="287"/>
      <c r="CF354" s="288"/>
      <c r="CG354" s="288"/>
      <c r="CH354" s="288"/>
      <c r="CI354" s="288"/>
      <c r="CJ354" s="288"/>
      <c r="CK354" s="288"/>
      <c r="CL354" s="288"/>
      <c r="CM354" s="288"/>
      <c r="CN354" s="288"/>
      <c r="CO354" s="288"/>
      <c r="CP354" s="288"/>
      <c r="CQ354" s="288"/>
      <c r="CR354" s="288"/>
      <c r="CS354" s="288"/>
      <c r="CT354" s="288"/>
      <c r="CU354" s="288"/>
      <c r="CV354" s="288"/>
      <c r="CW354" s="288"/>
      <c r="CX354" s="288"/>
      <c r="CY354" s="287"/>
      <c r="CZ354" s="287"/>
      <c r="DA354" s="287"/>
      <c r="DB354" s="287"/>
      <c r="DC354" s="287"/>
      <c r="DD354" s="287"/>
      <c r="DE354" s="287"/>
      <c r="DF354" s="287"/>
      <c r="DG354" s="287"/>
      <c r="DH354" s="322"/>
      <c r="DI354" s="322"/>
      <c r="DJ354" s="287"/>
      <c r="DK354" s="287"/>
      <c r="DL354" s="287"/>
      <c r="DM354" s="287"/>
      <c r="DN354" s="287"/>
      <c r="DO354" s="287"/>
      <c r="DP354" s="333"/>
      <c r="DQ354" s="300"/>
      <c r="DR354" s="57" t="str">
        <f t="shared" si="6"/>
        <v/>
      </c>
      <c r="DS354" s="300"/>
      <c r="DT354" s="287"/>
      <c r="DU354" s="1" t="s">
        <v>280</v>
      </c>
      <c r="DV354" s="305"/>
      <c r="DW354" s="287"/>
      <c r="DX354" s="287"/>
      <c r="DY354" s="305"/>
      <c r="DZ354" s="287"/>
      <c r="EA354" s="305"/>
      <c r="EB354" s="305"/>
      <c r="EC354" s="305"/>
      <c r="ED354" s="305"/>
      <c r="EE354" s="287"/>
      <c r="EF354" s="287"/>
      <c r="EG354" s="287"/>
      <c r="EH354" s="287"/>
      <c r="EI354" s="287"/>
      <c r="EJ354" s="287"/>
      <c r="EK354" s="287"/>
      <c r="EL354" s="287"/>
      <c r="EM354" s="287"/>
      <c r="EN354" s="287"/>
      <c r="EO354" s="287"/>
      <c r="EP354" s="287"/>
      <c r="EQ354" s="287"/>
      <c r="ER354" s="287"/>
      <c r="ES354" s="287"/>
    </row>
    <row r="355" spans="1:149" s="2" customFormat="1" ht="55.5" customHeight="1" x14ac:dyDescent="0.15">
      <c r="A355" s="285">
        <v>172029</v>
      </c>
      <c r="B355" s="289" t="s">
        <v>546</v>
      </c>
      <c r="C355" s="40" t="s">
        <v>547</v>
      </c>
      <c r="D355" s="285" t="s">
        <v>654</v>
      </c>
      <c r="E355" s="290">
        <v>170515</v>
      </c>
      <c r="F355" s="287"/>
      <c r="G355" s="287"/>
      <c r="H355" s="288">
        <v>0</v>
      </c>
      <c r="I355" s="288"/>
      <c r="J355" s="288"/>
      <c r="K355" s="288"/>
      <c r="L355" s="288">
        <v>0</v>
      </c>
      <c r="M355" s="288"/>
      <c r="N355" s="288"/>
      <c r="O355" s="288"/>
      <c r="P355" s="288" t="s">
        <v>268</v>
      </c>
      <c r="Q355" s="288" t="s">
        <v>269</v>
      </c>
      <c r="R355" s="287"/>
      <c r="S355" s="287"/>
      <c r="T355" s="287"/>
      <c r="U355" s="287"/>
      <c r="V355" s="287"/>
      <c r="W355" s="287"/>
      <c r="X355" s="288">
        <v>1</v>
      </c>
      <c r="Y355" s="288">
        <v>0</v>
      </c>
      <c r="Z355" s="288">
        <v>0</v>
      </c>
      <c r="AA355" s="288"/>
      <c r="AB355" s="288">
        <v>3001</v>
      </c>
      <c r="AC355" s="288" t="s">
        <v>337</v>
      </c>
      <c r="AD355" s="288"/>
      <c r="AE355" s="288" t="s">
        <v>129</v>
      </c>
      <c r="AF355" s="288" t="s">
        <v>314</v>
      </c>
      <c r="AG355" s="287"/>
      <c r="AH355" s="287"/>
      <c r="AI355" s="287"/>
      <c r="AJ355" s="288"/>
      <c r="AK355" s="288"/>
      <c r="AL355" s="305"/>
      <c r="AM355" s="305"/>
      <c r="AN355" s="305"/>
      <c r="AO355" s="305"/>
      <c r="AP355" s="305"/>
      <c r="AQ355" s="305"/>
      <c r="AR355" s="305"/>
      <c r="AS355" s="287"/>
      <c r="AT355" s="287"/>
      <c r="AU355" s="305"/>
      <c r="AV355" s="305"/>
      <c r="AW355" s="305"/>
      <c r="AX355" s="305"/>
      <c r="AY355" s="305"/>
      <c r="AZ355" s="305"/>
      <c r="BA355" s="312" t="s">
        <v>270</v>
      </c>
      <c r="BB355" s="288">
        <v>200</v>
      </c>
      <c r="BC355" s="288">
        <v>0</v>
      </c>
      <c r="BD355" s="287"/>
      <c r="BE355" s="287"/>
      <c r="BF355" s="287">
        <v>0</v>
      </c>
      <c r="BG355" s="287">
        <v>0</v>
      </c>
      <c r="BH355" s="287">
        <v>0</v>
      </c>
      <c r="BI355" s="287"/>
      <c r="BJ355" s="287" t="s">
        <v>270</v>
      </c>
      <c r="BK355" s="287"/>
      <c r="BL355" s="287"/>
      <c r="BM355" s="287"/>
      <c r="BN355" s="287"/>
      <c r="BO355" s="287"/>
      <c r="BP355" s="287"/>
      <c r="BQ355" s="287"/>
      <c r="BR355" s="287"/>
      <c r="BS355" s="287" t="s">
        <v>270</v>
      </c>
      <c r="BT355" s="287"/>
      <c r="BU355" s="287"/>
      <c r="BV355" s="287"/>
      <c r="BW355" s="287"/>
      <c r="BX355" s="287"/>
      <c r="BY355" s="287"/>
      <c r="BZ355" s="287"/>
      <c r="CA355" s="287"/>
      <c r="CB355" s="287"/>
      <c r="CC355" s="287"/>
      <c r="CD355" s="287"/>
      <c r="CE355" s="287"/>
      <c r="CF355" s="288" t="s">
        <v>271</v>
      </c>
      <c r="CG355" s="288"/>
      <c r="CH355" s="288"/>
      <c r="CI355" s="288"/>
      <c r="CJ355" s="288" t="s">
        <v>3</v>
      </c>
      <c r="CK355" s="300" t="s">
        <v>486</v>
      </c>
      <c r="CL355" s="300"/>
      <c r="CM355" s="288">
        <v>999</v>
      </c>
      <c r="CN355" s="288">
        <v>0</v>
      </c>
      <c r="CO355" s="288">
        <v>0</v>
      </c>
      <c r="CP355" s="288">
        <v>0</v>
      </c>
      <c r="CQ355" s="288">
        <v>0</v>
      </c>
      <c r="CR355" s="288"/>
      <c r="CS355" s="288">
        <v>4</v>
      </c>
      <c r="CT355" s="288"/>
      <c r="CU355" s="288">
        <v>5</v>
      </c>
      <c r="CV355" s="317" t="s">
        <v>655</v>
      </c>
      <c r="CW355" s="288" t="b">
        <v>0</v>
      </c>
      <c r="CX355" s="316" t="s">
        <v>273</v>
      </c>
      <c r="CY355" s="287"/>
      <c r="CZ355" s="287"/>
      <c r="DA355" s="287"/>
      <c r="DB355" s="287">
        <v>100300</v>
      </c>
      <c r="DC355" s="287" t="b">
        <v>1</v>
      </c>
      <c r="DD355" s="287" t="s">
        <v>274</v>
      </c>
      <c r="DE355" s="287" t="s">
        <v>321</v>
      </c>
      <c r="DF355" s="287" t="s">
        <v>276</v>
      </c>
      <c r="DG355" s="287" t="s">
        <v>277</v>
      </c>
      <c r="DH355" s="322">
        <v>4</v>
      </c>
      <c r="DI355" s="330" t="b">
        <v>0</v>
      </c>
      <c r="DJ355" s="331"/>
      <c r="DK355" s="287"/>
      <c r="DL355" s="287"/>
      <c r="DM355" s="306"/>
      <c r="DN355" s="332"/>
      <c r="DO355" s="332"/>
      <c r="DP355" s="333" t="s">
        <v>341</v>
      </c>
      <c r="DQ355" s="300" t="s">
        <v>656</v>
      </c>
      <c r="DR355" s="57" t="e">
        <f t="shared" si="6"/>
        <v>#VALUE!</v>
      </c>
      <c r="DS355" s="300" t="s">
        <v>532</v>
      </c>
      <c r="DT355" s="337"/>
      <c r="DU355" s="1" t="s">
        <v>280</v>
      </c>
      <c r="DV355" s="305"/>
      <c r="DW355" s="287"/>
      <c r="DX355" s="287"/>
      <c r="DY355" s="345"/>
      <c r="DZ355" s="346">
        <v>1</v>
      </c>
      <c r="EA355" s="347" t="s">
        <v>281</v>
      </c>
      <c r="EB355" s="347" t="s">
        <v>282</v>
      </c>
      <c r="EC355" s="347" t="s">
        <v>283</v>
      </c>
      <c r="ED355" s="347" t="s">
        <v>283</v>
      </c>
      <c r="EE355" s="287" t="s">
        <v>284</v>
      </c>
      <c r="EF355" s="287" t="s">
        <v>326</v>
      </c>
      <c r="EG355" s="287" t="e">
        <v>#VALUE!</v>
      </c>
      <c r="EH355" s="287" t="s">
        <v>285</v>
      </c>
      <c r="EI355" s="287" t="s">
        <v>344</v>
      </c>
      <c r="EJ355" s="287" t="e">
        <v>#VALUE!</v>
      </c>
      <c r="EK355" s="287" t="s">
        <v>286</v>
      </c>
      <c r="EL355" s="287" t="s">
        <v>345</v>
      </c>
      <c r="EM355" s="287" t="e">
        <v>#VALUE!</v>
      </c>
      <c r="EN355" s="287" t="s">
        <v>287</v>
      </c>
      <c r="EO355" s="287" t="s">
        <v>345</v>
      </c>
      <c r="EP355" s="287" t="e">
        <v>#VALUE!</v>
      </c>
      <c r="EQ355" s="287"/>
      <c r="ER355" s="287"/>
      <c r="ES355" s="287"/>
    </row>
    <row r="356" spans="1:149" s="2" customFormat="1" ht="57" customHeight="1" x14ac:dyDescent="0.15">
      <c r="A356" s="285"/>
      <c r="B356" s="286"/>
      <c r="C356" s="40"/>
      <c r="D356" s="285"/>
      <c r="E356" s="287"/>
      <c r="F356" s="287"/>
      <c r="G356" s="287"/>
      <c r="H356" s="288"/>
      <c r="I356" s="288"/>
      <c r="J356" s="288"/>
      <c r="K356" s="288"/>
      <c r="L356" s="288"/>
      <c r="M356" s="288"/>
      <c r="N356" s="288"/>
      <c r="O356" s="288"/>
      <c r="P356" s="288"/>
      <c r="Q356" s="288"/>
      <c r="R356" s="287"/>
      <c r="S356" s="287"/>
      <c r="T356" s="287"/>
      <c r="U356" s="287"/>
      <c r="V356" s="287"/>
      <c r="W356" s="287"/>
      <c r="X356" s="288"/>
      <c r="Y356" s="288"/>
      <c r="Z356" s="288"/>
      <c r="AA356" s="288"/>
      <c r="AB356" s="288">
        <v>10240102</v>
      </c>
      <c r="AC356" s="288" t="s">
        <v>346</v>
      </c>
      <c r="AD356" s="288"/>
      <c r="AE356" s="288" t="s">
        <v>129</v>
      </c>
      <c r="AF356" s="288" t="s">
        <v>314</v>
      </c>
      <c r="AG356" s="306"/>
      <c r="AH356" s="306"/>
      <c r="AI356" s="306"/>
      <c r="AJ356" s="288">
        <v>3</v>
      </c>
      <c r="AK356" s="288"/>
      <c r="AL356" s="287"/>
      <c r="AM356" s="287"/>
      <c r="AN356" s="287"/>
      <c r="AO356" s="287"/>
      <c r="AP356" s="287"/>
      <c r="AQ356" s="287"/>
      <c r="AR356" s="287"/>
      <c r="AS356" s="287"/>
      <c r="AT356" s="287"/>
      <c r="AU356" s="287"/>
      <c r="AV356" s="287"/>
      <c r="AW356" s="287"/>
      <c r="AX356" s="287"/>
      <c r="AY356" s="287"/>
      <c r="AZ356" s="287"/>
      <c r="BA356" s="288"/>
      <c r="BB356" s="288">
        <v>1</v>
      </c>
      <c r="BC356" s="288"/>
      <c r="BD356" s="287"/>
      <c r="BE356" s="287"/>
      <c r="BF356" s="287"/>
      <c r="BG356" s="287"/>
      <c r="BH356" s="287"/>
      <c r="BI356" s="287"/>
      <c r="BJ356" s="287"/>
      <c r="BK356" s="287"/>
      <c r="BL356" s="287"/>
      <c r="BM356" s="287"/>
      <c r="BN356" s="287"/>
      <c r="BO356" s="287"/>
      <c r="BP356" s="287"/>
      <c r="BQ356" s="287"/>
      <c r="BR356" s="287"/>
      <c r="BS356" s="287"/>
      <c r="BT356" s="287"/>
      <c r="BU356" s="287"/>
      <c r="BV356" s="287"/>
      <c r="BW356" s="287"/>
      <c r="BX356" s="287"/>
      <c r="BY356" s="287"/>
      <c r="BZ356" s="287"/>
      <c r="CA356" s="287"/>
      <c r="CB356" s="287"/>
      <c r="CC356" s="287"/>
      <c r="CD356" s="287"/>
      <c r="CE356" s="287"/>
      <c r="CF356" s="288"/>
      <c r="CG356" s="288"/>
      <c r="CH356" s="288"/>
      <c r="CI356" s="288"/>
      <c r="CJ356" s="288"/>
      <c r="CK356" s="288"/>
      <c r="CL356" s="288"/>
      <c r="CM356" s="288"/>
      <c r="CN356" s="288"/>
      <c r="CO356" s="288"/>
      <c r="CP356" s="288"/>
      <c r="CQ356" s="288"/>
      <c r="CR356" s="288"/>
      <c r="CS356" s="288"/>
      <c r="CT356" s="288"/>
      <c r="CU356" s="288"/>
      <c r="CV356" s="288"/>
      <c r="CW356" s="288"/>
      <c r="CX356" s="288"/>
      <c r="CY356" s="287"/>
      <c r="CZ356" s="287"/>
      <c r="DA356" s="287"/>
      <c r="DB356" s="287"/>
      <c r="DC356" s="287"/>
      <c r="DD356" s="287"/>
      <c r="DE356" s="287"/>
      <c r="DF356" s="287"/>
      <c r="DG356" s="287"/>
      <c r="DH356" s="322"/>
      <c r="DI356" s="322"/>
      <c r="DJ356" s="287"/>
      <c r="DK356" s="287"/>
      <c r="DL356" s="287"/>
      <c r="DM356" s="287"/>
      <c r="DN356" s="287"/>
      <c r="DO356" s="287"/>
      <c r="DP356" s="333"/>
      <c r="DQ356" s="288"/>
      <c r="DR356" s="57" t="str">
        <f t="shared" si="6"/>
        <v/>
      </c>
      <c r="DS356" s="288"/>
      <c r="DT356" s="287"/>
      <c r="DU356" s="1" t="s">
        <v>280</v>
      </c>
      <c r="DV356" s="305"/>
      <c r="DW356" s="287"/>
      <c r="DX356" s="287"/>
      <c r="DY356" s="305"/>
      <c r="DZ356" s="287"/>
      <c r="EA356" s="305"/>
      <c r="EB356" s="305"/>
      <c r="EC356" s="305"/>
      <c r="ED356" s="305"/>
      <c r="EE356" s="287"/>
      <c r="EF356" s="287"/>
      <c r="EG356" s="287"/>
      <c r="EH356" s="287"/>
      <c r="EI356" s="287"/>
      <c r="EJ356" s="287"/>
      <c r="EK356" s="287"/>
      <c r="EL356" s="287"/>
      <c r="EM356" s="287"/>
      <c r="EN356" s="287"/>
      <c r="EO356" s="287"/>
      <c r="EP356" s="287"/>
      <c r="EQ356" s="287"/>
      <c r="ER356" s="287"/>
      <c r="ES356" s="287"/>
    </row>
    <row r="357" spans="1:149" s="2" customFormat="1" ht="39" customHeight="1" x14ac:dyDescent="0.15">
      <c r="A357" s="285">
        <v>172030</v>
      </c>
      <c r="B357" s="286" t="s">
        <v>657</v>
      </c>
      <c r="C357" s="40" t="s">
        <v>658</v>
      </c>
      <c r="D357" s="285" t="s">
        <v>659</v>
      </c>
      <c r="E357" s="290">
        <v>170516</v>
      </c>
      <c r="F357" s="287"/>
      <c r="G357" s="287"/>
      <c r="H357" s="288">
        <v>0</v>
      </c>
      <c r="I357" s="288"/>
      <c r="J357" s="288"/>
      <c r="K357" s="288"/>
      <c r="L357" s="288">
        <v>0</v>
      </c>
      <c r="M357" s="288"/>
      <c r="N357" s="288"/>
      <c r="O357" s="288"/>
      <c r="P357" s="288" t="s">
        <v>268</v>
      </c>
      <c r="Q357" s="288" t="s">
        <v>269</v>
      </c>
      <c r="R357" s="287"/>
      <c r="S357" s="287"/>
      <c r="T357" s="287"/>
      <c r="U357" s="287"/>
      <c r="V357" s="287"/>
      <c r="W357" s="287"/>
      <c r="X357" s="288">
        <v>1</v>
      </c>
      <c r="Y357" s="288">
        <v>0</v>
      </c>
      <c r="Z357" s="288">
        <v>0</v>
      </c>
      <c r="AA357" s="288"/>
      <c r="AB357" s="288">
        <v>3001</v>
      </c>
      <c r="AC357" s="288" t="s">
        <v>337</v>
      </c>
      <c r="AD357" s="288" t="s">
        <v>330</v>
      </c>
      <c r="AE357" s="288"/>
      <c r="AF357" s="288"/>
      <c r="AG357" s="287"/>
      <c r="AH357" s="287"/>
      <c r="AI357" s="287"/>
      <c r="AJ357" s="288"/>
      <c r="AK357" s="288"/>
      <c r="AL357" s="305"/>
      <c r="AM357" s="305"/>
      <c r="AN357" s="305"/>
      <c r="AO357" s="305"/>
      <c r="AP357" s="305"/>
      <c r="AQ357" s="305"/>
      <c r="AR357" s="305"/>
      <c r="AS357" s="287"/>
      <c r="AT357" s="287"/>
      <c r="AU357" s="305"/>
      <c r="AV357" s="305"/>
      <c r="AW357" s="305"/>
      <c r="AX357" s="305"/>
      <c r="AY357" s="305"/>
      <c r="AZ357" s="305"/>
      <c r="BA357" s="312" t="s">
        <v>270</v>
      </c>
      <c r="BB357" s="288">
        <v>150</v>
      </c>
      <c r="BC357" s="288">
        <v>0</v>
      </c>
      <c r="BD357" s="287"/>
      <c r="BE357" s="287"/>
      <c r="BF357" s="287">
        <v>0</v>
      </c>
      <c r="BG357" s="287">
        <v>0</v>
      </c>
      <c r="BH357" s="287">
        <v>0</v>
      </c>
      <c r="BI357" s="287"/>
      <c r="BJ357" s="287" t="s">
        <v>270</v>
      </c>
      <c r="BK357" s="287"/>
      <c r="BL357" s="287"/>
      <c r="BM357" s="287"/>
      <c r="BN357" s="287"/>
      <c r="BO357" s="287"/>
      <c r="BP357" s="287"/>
      <c r="BQ357" s="287"/>
      <c r="BR357" s="287"/>
      <c r="BS357" s="287" t="s">
        <v>270</v>
      </c>
      <c r="BT357" s="287"/>
      <c r="BU357" s="287"/>
      <c r="BV357" s="287"/>
      <c r="BW357" s="287"/>
      <c r="BX357" s="287"/>
      <c r="BY357" s="287"/>
      <c r="BZ357" s="287"/>
      <c r="CA357" s="287"/>
      <c r="CB357" s="287"/>
      <c r="CC357" s="287"/>
      <c r="CD357" s="287"/>
      <c r="CE357" s="287"/>
      <c r="CF357" s="288" t="s">
        <v>378</v>
      </c>
      <c r="CG357" s="288"/>
      <c r="CH357" s="288"/>
      <c r="CI357" s="288"/>
      <c r="CJ357" s="288" t="s">
        <v>1</v>
      </c>
      <c r="CK357" s="300" t="s">
        <v>379</v>
      </c>
      <c r="CL357" s="300"/>
      <c r="CM357" s="288">
        <v>999</v>
      </c>
      <c r="CN357" s="288">
        <v>0</v>
      </c>
      <c r="CO357" s="288">
        <v>0</v>
      </c>
      <c r="CP357" s="288">
        <v>0</v>
      </c>
      <c r="CQ357" s="288">
        <v>0</v>
      </c>
      <c r="CR357" s="288"/>
      <c r="CS357" s="288">
        <v>5</v>
      </c>
      <c r="CT357" s="288"/>
      <c r="CU357" s="288">
        <v>10</v>
      </c>
      <c r="CV357" s="317" t="s">
        <v>660</v>
      </c>
      <c r="CW357" s="288" t="b">
        <v>0</v>
      </c>
      <c r="CX357" s="316" t="s">
        <v>273</v>
      </c>
      <c r="CY357" s="287"/>
      <c r="CZ357" s="287"/>
      <c r="DA357" s="287"/>
      <c r="DB357" s="287">
        <v>102401</v>
      </c>
      <c r="DC357" s="287" t="b">
        <v>1</v>
      </c>
      <c r="DD357" s="323" t="s">
        <v>274</v>
      </c>
      <c r="DE357" s="306" t="s">
        <v>537</v>
      </c>
      <c r="DF357" s="323" t="s">
        <v>276</v>
      </c>
      <c r="DG357" s="323" t="s">
        <v>293</v>
      </c>
      <c r="DH357" s="324">
        <v>4</v>
      </c>
      <c r="DI357" s="324" t="b">
        <v>0</v>
      </c>
      <c r="DJ357" s="323"/>
      <c r="DK357" s="287"/>
      <c r="DL357" s="287"/>
      <c r="DM357" s="287"/>
      <c r="DN357" s="332"/>
      <c r="DO357" s="332"/>
      <c r="DP357" s="333" t="s">
        <v>381</v>
      </c>
      <c r="DQ357" s="300" t="s">
        <v>661</v>
      </c>
      <c r="DR357" s="57" t="e">
        <f t="shared" si="6"/>
        <v>#VALUE!</v>
      </c>
      <c r="DS357" s="300" t="s">
        <v>539</v>
      </c>
      <c r="DT357" s="338"/>
      <c r="DU357" s="1" t="s">
        <v>280</v>
      </c>
      <c r="DV357" s="305"/>
      <c r="DW357" s="287"/>
      <c r="DX357" s="287"/>
      <c r="DY357" s="345"/>
      <c r="DZ357" s="346">
        <v>1</v>
      </c>
      <c r="EA357" s="347" t="s">
        <v>281</v>
      </c>
      <c r="EB357" s="347" t="s">
        <v>282</v>
      </c>
      <c r="EC357" s="347" t="s">
        <v>283</v>
      </c>
      <c r="ED357" s="347" t="s">
        <v>283</v>
      </c>
      <c r="EE357" s="287" t="s">
        <v>284</v>
      </c>
      <c r="EF357" s="287" t="s">
        <v>326</v>
      </c>
      <c r="EG357" s="287" t="e">
        <v>#VALUE!</v>
      </c>
      <c r="EH357" s="287" t="s">
        <v>285</v>
      </c>
      <c r="EI357" s="287" t="s">
        <v>344</v>
      </c>
      <c r="EJ357" s="287" t="e">
        <v>#VALUE!</v>
      </c>
      <c r="EK357" s="287" t="s">
        <v>286</v>
      </c>
      <c r="EL357" s="287" t="s">
        <v>328</v>
      </c>
      <c r="EM357" s="287" t="e">
        <v>#VALUE!</v>
      </c>
      <c r="EN357" s="287" t="s">
        <v>287</v>
      </c>
      <c r="EO357" s="287" t="s">
        <v>328</v>
      </c>
      <c r="EP357" s="287" t="e">
        <v>#VALUE!</v>
      </c>
      <c r="EQ357" s="287"/>
      <c r="ER357" s="287"/>
      <c r="ES357" s="287"/>
    </row>
    <row r="358" spans="1:149" s="2" customFormat="1" ht="15" customHeight="1" x14ac:dyDescent="0.15">
      <c r="A358" s="285"/>
      <c r="B358" s="286"/>
      <c r="C358" s="40"/>
      <c r="D358" s="285"/>
      <c r="E358" s="287"/>
      <c r="F358" s="287"/>
      <c r="G358" s="287"/>
      <c r="H358" s="288"/>
      <c r="I358" s="288"/>
      <c r="J358" s="288"/>
      <c r="K358" s="288"/>
      <c r="L358" s="288"/>
      <c r="M358" s="288"/>
      <c r="N358" s="288"/>
      <c r="O358" s="288"/>
      <c r="P358" s="288"/>
      <c r="Q358" s="288"/>
      <c r="R358" s="287"/>
      <c r="S358" s="287"/>
      <c r="T358" s="287"/>
      <c r="U358" s="287"/>
      <c r="V358" s="287"/>
      <c r="W358" s="287"/>
      <c r="X358" s="288"/>
      <c r="Y358" s="288"/>
      <c r="Z358" s="288"/>
      <c r="AA358" s="288"/>
      <c r="AB358" s="300">
        <v>17050501</v>
      </c>
      <c r="AC358" s="288" t="s">
        <v>384</v>
      </c>
      <c r="AD358" s="288" t="s">
        <v>330</v>
      </c>
      <c r="AE358" s="288" t="s">
        <v>291</v>
      </c>
      <c r="AF358" s="288" t="s">
        <v>314</v>
      </c>
      <c r="AG358" s="287"/>
      <c r="AH358" s="287"/>
      <c r="AI358" s="287"/>
      <c r="AJ358" s="288"/>
      <c r="AK358" s="288"/>
      <c r="AL358" s="287"/>
      <c r="AM358" s="287"/>
      <c r="AN358" s="287"/>
      <c r="AO358" s="287"/>
      <c r="AP358" s="287"/>
      <c r="AQ358" s="287"/>
      <c r="AR358" s="287"/>
      <c r="AS358" s="287"/>
      <c r="AT358" s="287"/>
      <c r="AU358" s="287"/>
      <c r="AV358" s="287"/>
      <c r="AW358" s="287"/>
      <c r="AX358" s="287"/>
      <c r="AY358" s="287"/>
      <c r="AZ358" s="287"/>
      <c r="BA358" s="288"/>
      <c r="BB358" s="288">
        <v>1</v>
      </c>
      <c r="BC358" s="288"/>
      <c r="BD358" s="287"/>
      <c r="BE358" s="287"/>
      <c r="BF358" s="287"/>
      <c r="BG358" s="287"/>
      <c r="BH358" s="287"/>
      <c r="BI358" s="287"/>
      <c r="BJ358" s="287"/>
      <c r="BK358" s="287"/>
      <c r="BL358" s="287"/>
      <c r="BM358" s="287"/>
      <c r="BN358" s="287"/>
      <c r="BO358" s="287"/>
      <c r="BP358" s="287"/>
      <c r="BQ358" s="287"/>
      <c r="BR358" s="287"/>
      <c r="BS358" s="287"/>
      <c r="BT358" s="287"/>
      <c r="BU358" s="287"/>
      <c r="BV358" s="287"/>
      <c r="BW358" s="287"/>
      <c r="BX358" s="287"/>
      <c r="BY358" s="287"/>
      <c r="BZ358" s="287"/>
      <c r="CA358" s="287"/>
      <c r="CB358" s="287"/>
      <c r="CC358" s="287"/>
      <c r="CD358" s="287"/>
      <c r="CE358" s="287"/>
      <c r="CF358" s="288"/>
      <c r="CG358" s="288"/>
      <c r="CH358" s="288"/>
      <c r="CI358" s="288"/>
      <c r="CJ358" s="288"/>
      <c r="CK358" s="288"/>
      <c r="CL358" s="288"/>
      <c r="CM358" s="288"/>
      <c r="CN358" s="288"/>
      <c r="CO358" s="288"/>
      <c r="CP358" s="288"/>
      <c r="CQ358" s="288"/>
      <c r="CR358" s="288"/>
      <c r="CS358" s="288"/>
      <c r="CT358" s="288"/>
      <c r="CU358" s="288"/>
      <c r="CV358" s="288"/>
      <c r="CW358" s="288"/>
      <c r="CX358" s="288"/>
      <c r="CY358" s="287"/>
      <c r="CZ358" s="287"/>
      <c r="DA358" s="287"/>
      <c r="DB358" s="287"/>
      <c r="DC358" s="287"/>
      <c r="DD358" s="287"/>
      <c r="DE358" s="287"/>
      <c r="DF358" s="287"/>
      <c r="DG358" s="287"/>
      <c r="DH358" s="322"/>
      <c r="DI358" s="322"/>
      <c r="DJ358" s="287"/>
      <c r="DK358" s="287"/>
      <c r="DL358" s="287"/>
      <c r="DM358" s="287"/>
      <c r="DN358" s="287"/>
      <c r="DO358" s="287"/>
      <c r="DP358" s="333"/>
      <c r="DQ358" s="288"/>
      <c r="DR358" s="57" t="str">
        <f t="shared" si="6"/>
        <v/>
      </c>
      <c r="DS358" s="288"/>
      <c r="DT358" s="287"/>
      <c r="DU358" s="1" t="s">
        <v>280</v>
      </c>
      <c r="DV358" s="305"/>
      <c r="DW358" s="287"/>
      <c r="DX358" s="287"/>
      <c r="DY358" s="305"/>
      <c r="DZ358" s="287"/>
      <c r="EA358" s="305"/>
      <c r="EB358" s="305"/>
      <c r="EC358" s="305"/>
      <c r="ED358" s="305"/>
      <c r="EE358" s="287"/>
      <c r="EF358" s="287"/>
      <c r="EG358" s="287"/>
      <c r="EH358" s="287"/>
      <c r="EI358" s="287"/>
      <c r="EJ358" s="287"/>
      <c r="EK358" s="287"/>
      <c r="EL358" s="287"/>
      <c r="EM358" s="287"/>
      <c r="EN358" s="287"/>
      <c r="EO358" s="287"/>
      <c r="EP358" s="287"/>
      <c r="EQ358" s="287"/>
      <c r="ER358" s="287"/>
      <c r="ES358" s="287"/>
    </row>
    <row r="359" spans="1:149" s="2" customFormat="1" ht="14.25" customHeight="1" x14ac:dyDescent="0.15">
      <c r="A359" s="285"/>
      <c r="B359" s="286"/>
      <c r="C359" s="40"/>
      <c r="D359" s="285"/>
      <c r="E359" s="287"/>
      <c r="F359" s="287"/>
      <c r="G359" s="287"/>
      <c r="H359" s="288"/>
      <c r="I359" s="288"/>
      <c r="J359" s="288"/>
      <c r="K359" s="288"/>
      <c r="L359" s="288"/>
      <c r="M359" s="288"/>
      <c r="N359" s="288"/>
      <c r="O359" s="288"/>
      <c r="P359" s="288"/>
      <c r="Q359" s="288"/>
      <c r="R359" s="287"/>
      <c r="S359" s="287"/>
      <c r="T359" s="287"/>
      <c r="U359" s="287"/>
      <c r="V359" s="287"/>
      <c r="W359" s="287"/>
      <c r="X359" s="288"/>
      <c r="Y359" s="288"/>
      <c r="Z359" s="288"/>
      <c r="AA359" s="288"/>
      <c r="AB359" s="300">
        <v>17050502</v>
      </c>
      <c r="AC359" s="288" t="s">
        <v>385</v>
      </c>
      <c r="AD359" s="288"/>
      <c r="AE359" s="288" t="s">
        <v>291</v>
      </c>
      <c r="AF359" s="288" t="s">
        <v>314</v>
      </c>
      <c r="AG359" s="287"/>
      <c r="AH359" s="287"/>
      <c r="AI359" s="287"/>
      <c r="AJ359" s="288">
        <v>8</v>
      </c>
      <c r="AK359" s="288"/>
      <c r="AL359" s="287"/>
      <c r="AM359" s="287"/>
      <c r="AN359" s="287"/>
      <c r="AO359" s="287"/>
      <c r="AP359" s="287"/>
      <c r="AQ359" s="287"/>
      <c r="AR359" s="287"/>
      <c r="AS359" s="287"/>
      <c r="AT359" s="287"/>
      <c r="AU359" s="287"/>
      <c r="AV359" s="287"/>
      <c r="AW359" s="287"/>
      <c r="AX359" s="287"/>
      <c r="AY359" s="287"/>
      <c r="AZ359" s="287"/>
      <c r="BA359" s="288"/>
      <c r="BB359" s="288">
        <v>1</v>
      </c>
      <c r="BC359" s="288"/>
      <c r="BD359" s="287"/>
      <c r="BE359" s="287"/>
      <c r="BF359" s="287"/>
      <c r="BG359" s="287"/>
      <c r="BH359" s="287"/>
      <c r="BI359" s="287"/>
      <c r="BJ359" s="287"/>
      <c r="BK359" s="287"/>
      <c r="BL359" s="287"/>
      <c r="BM359" s="287"/>
      <c r="BN359" s="287"/>
      <c r="BO359" s="287"/>
      <c r="BP359" s="287"/>
      <c r="BQ359" s="287"/>
      <c r="BR359" s="287"/>
      <c r="BS359" s="287"/>
      <c r="BT359" s="287"/>
      <c r="BU359" s="287"/>
      <c r="BV359" s="287"/>
      <c r="BW359" s="287"/>
      <c r="BX359" s="287"/>
      <c r="BY359" s="287"/>
      <c r="BZ359" s="287"/>
      <c r="CA359" s="287"/>
      <c r="CB359" s="287"/>
      <c r="CC359" s="287"/>
      <c r="CD359" s="287"/>
      <c r="CE359" s="287"/>
      <c r="CF359" s="288"/>
      <c r="CG359" s="288"/>
      <c r="CH359" s="288"/>
      <c r="CI359" s="288"/>
      <c r="CJ359" s="288"/>
      <c r="CK359" s="288"/>
      <c r="CL359" s="288"/>
      <c r="CM359" s="288"/>
      <c r="CN359" s="288"/>
      <c r="CO359" s="288"/>
      <c r="CP359" s="288"/>
      <c r="CQ359" s="288"/>
      <c r="CR359" s="288"/>
      <c r="CS359" s="288"/>
      <c r="CT359" s="288"/>
      <c r="CU359" s="288"/>
      <c r="CV359" s="288"/>
      <c r="CW359" s="288"/>
      <c r="CX359" s="288"/>
      <c r="CY359" s="287"/>
      <c r="CZ359" s="287"/>
      <c r="DA359" s="287"/>
      <c r="DB359" s="287"/>
      <c r="DC359" s="287"/>
      <c r="DD359" s="287"/>
      <c r="DE359" s="287"/>
      <c r="DF359" s="287"/>
      <c r="DG359" s="287"/>
      <c r="DH359" s="322"/>
      <c r="DI359" s="322"/>
      <c r="DJ359" s="287"/>
      <c r="DK359" s="287"/>
      <c r="DL359" s="287"/>
      <c r="DM359" s="287"/>
      <c r="DN359" s="287"/>
      <c r="DO359" s="287"/>
      <c r="DP359" s="333"/>
      <c r="DQ359" s="288"/>
      <c r="DR359" s="57" t="str">
        <f t="shared" si="6"/>
        <v/>
      </c>
      <c r="DS359" s="288"/>
      <c r="DT359" s="287"/>
      <c r="DU359" s="1" t="s">
        <v>280</v>
      </c>
      <c r="DV359" s="305"/>
      <c r="DW359" s="287"/>
      <c r="DX359" s="287"/>
      <c r="DY359" s="305"/>
      <c r="DZ359" s="287"/>
      <c r="EA359" s="305"/>
      <c r="EB359" s="305"/>
      <c r="EC359" s="305"/>
      <c r="ED359" s="305"/>
      <c r="EE359" s="287"/>
      <c r="EF359" s="287"/>
      <c r="EG359" s="287"/>
      <c r="EH359" s="287"/>
      <c r="EI359" s="287"/>
      <c r="EJ359" s="287"/>
      <c r="EK359" s="287"/>
      <c r="EL359" s="287"/>
      <c r="EM359" s="287"/>
      <c r="EN359" s="287"/>
      <c r="EO359" s="287"/>
      <c r="EP359" s="287"/>
      <c r="EQ359" s="287"/>
      <c r="ER359" s="287"/>
      <c r="ES359" s="287"/>
    </row>
    <row r="360" spans="1:149" s="2" customFormat="1" x14ac:dyDescent="0.15">
      <c r="A360" s="285"/>
      <c r="B360" s="286"/>
      <c r="C360" s="40"/>
      <c r="D360" s="285"/>
      <c r="E360" s="287"/>
      <c r="F360" s="287"/>
      <c r="G360" s="287"/>
      <c r="H360" s="288"/>
      <c r="I360" s="288"/>
      <c r="J360" s="288"/>
      <c r="K360" s="288"/>
      <c r="L360" s="288"/>
      <c r="M360" s="288"/>
      <c r="N360" s="288"/>
      <c r="O360" s="288"/>
      <c r="P360" s="288"/>
      <c r="Q360" s="288"/>
      <c r="R360" s="287"/>
      <c r="S360" s="287"/>
      <c r="T360" s="287"/>
      <c r="U360" s="287"/>
      <c r="V360" s="287"/>
      <c r="W360" s="287"/>
      <c r="X360" s="288"/>
      <c r="Y360" s="288"/>
      <c r="Z360" s="288"/>
      <c r="AA360" s="288"/>
      <c r="AB360" s="288">
        <v>17050503</v>
      </c>
      <c r="AC360" s="300" t="s">
        <v>386</v>
      </c>
      <c r="AD360" s="288" t="s">
        <v>330</v>
      </c>
      <c r="AE360" s="288" t="s">
        <v>291</v>
      </c>
      <c r="AF360" s="288" t="s">
        <v>314</v>
      </c>
      <c r="AG360" s="287"/>
      <c r="AH360" s="287"/>
      <c r="AI360" s="287"/>
      <c r="AJ360" s="288"/>
      <c r="AK360" s="288"/>
      <c r="AL360" s="305"/>
      <c r="AM360" s="305"/>
      <c r="AN360" s="305"/>
      <c r="AO360" s="305"/>
      <c r="AP360" s="305"/>
      <c r="AQ360" s="305"/>
      <c r="AR360" s="305"/>
      <c r="AS360" s="287"/>
      <c r="AT360" s="287"/>
      <c r="AU360" s="305"/>
      <c r="AV360" s="305"/>
      <c r="AW360" s="305"/>
      <c r="AX360" s="305"/>
      <c r="AY360" s="305"/>
      <c r="AZ360" s="305"/>
      <c r="BA360" s="312"/>
      <c r="BB360" s="288">
        <v>1</v>
      </c>
      <c r="BC360" s="288"/>
      <c r="BD360" s="287"/>
      <c r="BE360" s="287"/>
      <c r="BF360" s="287"/>
      <c r="BG360" s="287"/>
      <c r="BH360" s="287"/>
      <c r="BI360" s="287"/>
      <c r="BJ360" s="287"/>
      <c r="BK360" s="287"/>
      <c r="BL360" s="287"/>
      <c r="BM360" s="287"/>
      <c r="BN360" s="287"/>
      <c r="BO360" s="287"/>
      <c r="BP360" s="287"/>
      <c r="BQ360" s="287"/>
      <c r="BR360" s="287"/>
      <c r="BS360" s="287"/>
      <c r="BT360" s="287"/>
      <c r="BU360" s="287"/>
      <c r="BV360" s="287"/>
      <c r="BW360" s="287"/>
      <c r="BX360" s="287"/>
      <c r="BY360" s="287"/>
      <c r="BZ360" s="287"/>
      <c r="CA360" s="287"/>
      <c r="CB360" s="287"/>
      <c r="CC360" s="287"/>
      <c r="CD360" s="287"/>
      <c r="CE360" s="287"/>
      <c r="CF360" s="288"/>
      <c r="CG360" s="288"/>
      <c r="CH360" s="288"/>
      <c r="CI360" s="288"/>
      <c r="CJ360" s="288"/>
      <c r="CK360" s="288"/>
      <c r="CL360" s="288"/>
      <c r="CM360" s="288"/>
      <c r="CN360" s="288"/>
      <c r="CO360" s="288"/>
      <c r="CP360" s="288"/>
      <c r="CQ360" s="288"/>
      <c r="CR360" s="288"/>
      <c r="CS360" s="288"/>
      <c r="CT360" s="288"/>
      <c r="CU360" s="288"/>
      <c r="CV360" s="288"/>
      <c r="CW360" s="288"/>
      <c r="CX360" s="288"/>
      <c r="CY360" s="287"/>
      <c r="CZ360" s="287"/>
      <c r="DA360" s="287"/>
      <c r="DB360" s="287"/>
      <c r="DC360" s="287"/>
      <c r="DD360" s="287"/>
      <c r="DE360" s="287"/>
      <c r="DF360" s="287"/>
      <c r="DG360" s="287"/>
      <c r="DH360" s="322"/>
      <c r="DI360" s="322"/>
      <c r="DJ360" s="287"/>
      <c r="DK360" s="287"/>
      <c r="DL360" s="287"/>
      <c r="DM360" s="287"/>
      <c r="DN360" s="287"/>
      <c r="DO360" s="287"/>
      <c r="DP360" s="333"/>
      <c r="DQ360" s="300"/>
      <c r="DR360" s="57" t="str">
        <f t="shared" si="6"/>
        <v/>
      </c>
      <c r="DS360" s="300"/>
      <c r="DT360" s="287"/>
      <c r="DU360" s="1" t="s">
        <v>280</v>
      </c>
      <c r="DV360" s="305"/>
      <c r="DW360" s="287"/>
      <c r="DX360" s="287"/>
      <c r="DY360" s="305"/>
      <c r="DZ360" s="287"/>
      <c r="EA360" s="305"/>
      <c r="EB360" s="305"/>
      <c r="EC360" s="305"/>
      <c r="ED360" s="305"/>
      <c r="EE360" s="287"/>
      <c r="EF360" s="287"/>
      <c r="EG360" s="287"/>
      <c r="EH360" s="287"/>
      <c r="EI360" s="287"/>
      <c r="EJ360" s="287"/>
      <c r="EK360" s="287"/>
      <c r="EL360" s="287"/>
      <c r="EM360" s="287"/>
      <c r="EN360" s="287"/>
      <c r="EO360" s="287"/>
      <c r="EP360" s="287"/>
      <c r="EQ360" s="287"/>
      <c r="ER360" s="287"/>
      <c r="ES360" s="287"/>
    </row>
    <row r="361" spans="1:149" s="1" customFormat="1" x14ac:dyDescent="0.15">
      <c r="B361" s="37"/>
      <c r="C361" s="40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64"/>
      <c r="AM361" s="64"/>
      <c r="AN361" s="64"/>
      <c r="AO361" s="64"/>
      <c r="AP361" s="64"/>
      <c r="AQ361" s="64"/>
      <c r="AR361" s="64"/>
      <c r="AS361" s="17"/>
      <c r="AT361" s="17"/>
      <c r="AU361" s="64"/>
      <c r="AV361" s="64"/>
      <c r="AW361" s="64"/>
      <c r="AX361" s="64"/>
      <c r="AY361" s="64"/>
      <c r="AZ361" s="64"/>
      <c r="BA361" s="77"/>
      <c r="BB361" s="75"/>
      <c r="BC361" s="75"/>
      <c r="BD361" s="75"/>
      <c r="BE361" s="75"/>
      <c r="BF361" s="75"/>
      <c r="BG361" s="75"/>
      <c r="BH361" s="75"/>
      <c r="BI361" s="75"/>
      <c r="BJ361" s="80"/>
      <c r="BK361" s="80"/>
      <c r="BL361" s="80"/>
      <c r="BM361" s="80"/>
      <c r="BN361" s="80"/>
      <c r="BO361" s="80"/>
      <c r="BP361" s="80"/>
      <c r="BQ361" s="80"/>
      <c r="BR361" s="80"/>
      <c r="BS361" s="80"/>
      <c r="BT361" s="80"/>
      <c r="BU361" s="80"/>
      <c r="BV361" s="80"/>
      <c r="BW361" s="80"/>
      <c r="BX361" s="80"/>
      <c r="BY361" s="80"/>
      <c r="BZ361" s="80"/>
      <c r="CA361" s="80"/>
      <c r="CB361" s="80"/>
      <c r="CC361" s="80"/>
      <c r="CD361" s="80"/>
      <c r="CE361" s="80"/>
      <c r="DP361" s="96"/>
      <c r="DQ361" s="57"/>
      <c r="DR361" s="57" t="str">
        <f t="shared" si="6"/>
        <v/>
      </c>
      <c r="DU361" s="1" t="s">
        <v>280</v>
      </c>
      <c r="DV361" s="98"/>
      <c r="EA361" s="98"/>
      <c r="EB361" s="98"/>
      <c r="EC361" s="98"/>
      <c r="ED361" s="98"/>
    </row>
    <row r="362" spans="1:149" s="2" customFormat="1" ht="15" customHeight="1" x14ac:dyDescent="0.15">
      <c r="A362" s="10"/>
      <c r="B362" s="44"/>
      <c r="C362" s="4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58"/>
      <c r="AD362" s="10"/>
      <c r="AE362" s="10"/>
      <c r="AF362" s="10"/>
      <c r="AG362" s="10"/>
      <c r="AH362" s="10"/>
      <c r="AI362" s="10"/>
      <c r="AJ362" s="10"/>
      <c r="AK362" s="10"/>
      <c r="AL362" s="68"/>
      <c r="AM362" s="68"/>
      <c r="AN362" s="68"/>
      <c r="AO362" s="68"/>
      <c r="AP362" s="68"/>
      <c r="AQ362" s="68"/>
      <c r="AR362" s="68"/>
      <c r="AS362" s="10"/>
      <c r="AT362" s="10"/>
      <c r="AU362" s="68"/>
      <c r="AV362" s="68"/>
      <c r="AW362" s="68"/>
      <c r="AX362" s="68"/>
      <c r="AY362" s="68"/>
      <c r="AZ362" s="68"/>
      <c r="BA362" s="68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L362" s="10"/>
      <c r="BM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  <c r="CD362" s="10"/>
      <c r="CE362" s="10"/>
      <c r="CF362" s="10"/>
      <c r="CG362" s="10"/>
      <c r="CH362" s="10"/>
      <c r="CI362" s="10"/>
      <c r="CJ362" s="10"/>
      <c r="CK362" s="10"/>
      <c r="CL362" s="10"/>
      <c r="CM362" s="10"/>
      <c r="CN362" s="10"/>
      <c r="CO362" s="10"/>
      <c r="CP362" s="10"/>
      <c r="CQ362" s="10"/>
      <c r="CR362" s="10"/>
      <c r="CS362" s="10"/>
      <c r="CT362" s="10"/>
      <c r="CU362" s="10"/>
      <c r="CV362" s="10"/>
      <c r="CW362" s="10"/>
      <c r="CX362" s="10"/>
      <c r="CY362" s="10"/>
      <c r="CZ362" s="10"/>
      <c r="DA362" s="10"/>
      <c r="DB362" s="10"/>
      <c r="DC362" s="10"/>
      <c r="DD362" s="10"/>
      <c r="DE362" s="10"/>
      <c r="DF362" s="10"/>
      <c r="DG362" s="10"/>
      <c r="DH362" s="10"/>
      <c r="DI362" s="10"/>
      <c r="DJ362" s="10"/>
      <c r="DK362" s="10"/>
      <c r="DL362" s="10"/>
      <c r="DM362" s="10"/>
      <c r="DN362" s="10"/>
      <c r="DO362" s="10"/>
      <c r="DP362" s="96"/>
      <c r="DQ362" s="58"/>
      <c r="DR362" s="57" t="str">
        <f t="shared" si="6"/>
        <v/>
      </c>
      <c r="DS362" s="10"/>
      <c r="DT362" s="10"/>
      <c r="DU362" s="1" t="s">
        <v>280</v>
      </c>
      <c r="DV362" s="68"/>
      <c r="DW362" s="10"/>
      <c r="DX362" s="10"/>
      <c r="DY362" s="68"/>
      <c r="DZ362" s="10"/>
      <c r="EA362" s="68"/>
      <c r="EB362" s="68"/>
      <c r="EC362" s="68"/>
      <c r="ED362" s="68"/>
      <c r="EE362" s="10"/>
      <c r="EF362" s="10"/>
      <c r="EG362" s="10"/>
      <c r="EH362" s="10"/>
      <c r="EI362" s="10"/>
      <c r="EJ362" s="10"/>
      <c r="EK362" s="10"/>
      <c r="EL362" s="10"/>
      <c r="EM362" s="10"/>
      <c r="EN362" s="10"/>
      <c r="EO362" s="10"/>
      <c r="EP362" s="10"/>
      <c r="EQ362" s="10"/>
      <c r="ER362" s="10"/>
      <c r="ES362" s="10"/>
    </row>
    <row r="363" spans="1:149" s="2" customFormat="1" ht="15" customHeight="1" x14ac:dyDescent="0.15">
      <c r="A363" s="10"/>
      <c r="B363" s="44"/>
      <c r="C363" s="4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58"/>
      <c r="AD363" s="10"/>
      <c r="AE363" s="10"/>
      <c r="AF363" s="10"/>
      <c r="AG363" s="10"/>
      <c r="AH363" s="10"/>
      <c r="AI363" s="10"/>
      <c r="AJ363" s="10"/>
      <c r="AK363" s="10"/>
      <c r="AL363" s="68"/>
      <c r="AM363" s="68"/>
      <c r="AN363" s="68"/>
      <c r="AO363" s="68"/>
      <c r="AP363" s="68"/>
      <c r="AQ363" s="68"/>
      <c r="AR363" s="68"/>
      <c r="AS363" s="10"/>
      <c r="AT363" s="10"/>
      <c r="AU363" s="68"/>
      <c r="AV363" s="68"/>
      <c r="AW363" s="68"/>
      <c r="AX363" s="68"/>
      <c r="AY363" s="68"/>
      <c r="AZ363" s="68"/>
      <c r="BA363" s="68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L363" s="10"/>
      <c r="BM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  <c r="CG363" s="10"/>
      <c r="CH363" s="10"/>
      <c r="CI363" s="10"/>
      <c r="CJ363" s="10"/>
      <c r="CK363" s="10"/>
      <c r="CL363" s="10"/>
      <c r="CM363" s="10"/>
      <c r="CN363" s="10"/>
      <c r="CO363" s="10"/>
      <c r="CP363" s="10"/>
      <c r="CQ363" s="10"/>
      <c r="CR363" s="10"/>
      <c r="CS363" s="10"/>
      <c r="CT363" s="10"/>
      <c r="CU363" s="10"/>
      <c r="CV363" s="10"/>
      <c r="CW363" s="10"/>
      <c r="CX363" s="10"/>
      <c r="CY363" s="10"/>
      <c r="CZ363" s="10"/>
      <c r="DA363" s="10"/>
      <c r="DB363" s="10"/>
      <c r="DC363" s="10"/>
      <c r="DD363" s="10"/>
      <c r="DE363" s="10"/>
      <c r="DF363" s="10"/>
      <c r="DG363" s="10"/>
      <c r="DH363" s="10"/>
      <c r="DI363" s="10"/>
      <c r="DJ363" s="10"/>
      <c r="DK363" s="10"/>
      <c r="DL363" s="10"/>
      <c r="DM363" s="10"/>
      <c r="DN363" s="10"/>
      <c r="DO363" s="10"/>
      <c r="DP363" s="96"/>
      <c r="DQ363" s="58"/>
      <c r="DR363" s="57" t="str">
        <f t="shared" si="6"/>
        <v/>
      </c>
      <c r="DS363" s="10"/>
      <c r="DT363" s="10"/>
      <c r="DU363" s="1" t="s">
        <v>280</v>
      </c>
      <c r="DV363" s="68"/>
      <c r="DW363" s="10"/>
      <c r="DX363" s="10"/>
      <c r="DY363" s="68"/>
      <c r="DZ363" s="10"/>
      <c r="EA363" s="68"/>
      <c r="EB363" s="68"/>
      <c r="EC363" s="68"/>
      <c r="ED363" s="68"/>
      <c r="EE363" s="10"/>
      <c r="EF363" s="10"/>
      <c r="EG363" s="10"/>
      <c r="EH363" s="10"/>
      <c r="EI363" s="10"/>
      <c r="EJ363" s="10"/>
      <c r="EK363" s="10"/>
      <c r="EL363" s="10"/>
      <c r="EM363" s="10"/>
      <c r="EN363" s="10"/>
      <c r="EO363" s="10"/>
      <c r="EP363" s="10"/>
      <c r="EQ363" s="10"/>
      <c r="ER363" s="10"/>
      <c r="ES363" s="10"/>
    </row>
    <row r="364" spans="1:149" s="2" customFormat="1" ht="14.25" customHeight="1" x14ac:dyDescent="0.15">
      <c r="A364" s="10"/>
      <c r="B364" s="44"/>
      <c r="C364" s="4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58"/>
      <c r="AC364" s="59"/>
      <c r="AD364" s="10"/>
      <c r="AE364" s="10"/>
      <c r="AF364" s="10"/>
      <c r="AG364" s="10"/>
      <c r="AH364" s="10"/>
      <c r="AI364" s="10"/>
      <c r="AJ364" s="59"/>
      <c r="AK364" s="59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59"/>
      <c r="BB364" s="59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  <c r="CQ364" s="10"/>
      <c r="CR364" s="10"/>
      <c r="CS364" s="10"/>
      <c r="CT364" s="10"/>
      <c r="CU364" s="10"/>
      <c r="CV364" s="10"/>
      <c r="CW364" s="10"/>
      <c r="CX364" s="10"/>
      <c r="CY364" s="10"/>
      <c r="CZ364" s="10"/>
      <c r="DA364" s="10"/>
      <c r="DB364" s="10"/>
      <c r="DC364" s="10"/>
      <c r="DD364" s="10"/>
      <c r="DE364" s="10"/>
      <c r="DF364" s="10"/>
      <c r="DG364" s="10"/>
      <c r="DH364" s="10"/>
      <c r="DI364" s="10"/>
      <c r="DJ364" s="10"/>
      <c r="DK364" s="10"/>
      <c r="DL364" s="10"/>
      <c r="DM364" s="10"/>
      <c r="DN364" s="10"/>
      <c r="DO364" s="10"/>
      <c r="DP364" s="96"/>
      <c r="DQ364" s="10"/>
      <c r="DR364" s="57" t="str">
        <f t="shared" si="6"/>
        <v/>
      </c>
      <c r="DS364" s="10"/>
      <c r="DT364" s="10"/>
      <c r="DU364" s="1" t="s">
        <v>280</v>
      </c>
      <c r="DV364" s="68"/>
      <c r="DW364" s="10"/>
      <c r="DX364" s="10"/>
      <c r="DY364" s="68"/>
      <c r="DZ364" s="10"/>
      <c r="EA364" s="68"/>
      <c r="EB364" s="68"/>
      <c r="EC364" s="68"/>
      <c r="ED364" s="68"/>
      <c r="EE364" s="10"/>
      <c r="EF364" s="10"/>
      <c r="EG364" s="10"/>
      <c r="EH364" s="10"/>
      <c r="EI364" s="10"/>
      <c r="EJ364" s="10"/>
      <c r="EK364" s="10"/>
      <c r="EL364" s="10"/>
      <c r="EM364" s="10"/>
      <c r="EN364" s="10"/>
      <c r="EO364" s="10"/>
      <c r="EP364" s="10"/>
      <c r="EQ364" s="10"/>
      <c r="ER364" s="10"/>
      <c r="ES364" s="10"/>
    </row>
    <row r="365" spans="1:149" s="1" customFormat="1" ht="15" customHeight="1" x14ac:dyDescent="0.15">
      <c r="B365" s="37"/>
      <c r="C365" s="40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64"/>
      <c r="AM365" s="64"/>
      <c r="AN365" s="64"/>
      <c r="AO365" s="64"/>
      <c r="AP365" s="64"/>
      <c r="AQ365" s="64"/>
      <c r="AR365" s="64"/>
      <c r="AS365" s="17"/>
      <c r="AT365" s="17"/>
      <c r="AU365" s="64"/>
      <c r="AV365" s="64"/>
      <c r="AW365" s="64"/>
      <c r="AX365" s="64"/>
      <c r="AY365" s="64"/>
      <c r="AZ365" s="64"/>
      <c r="BA365" s="77"/>
      <c r="BB365" s="75"/>
      <c r="BC365" s="75"/>
      <c r="BD365" s="75"/>
      <c r="BE365" s="75"/>
      <c r="BF365" s="75"/>
      <c r="BG365" s="75"/>
      <c r="BH365" s="75"/>
      <c r="BI365" s="75"/>
      <c r="BJ365" s="80"/>
      <c r="BK365" s="80"/>
      <c r="BL365" s="80"/>
      <c r="BM365" s="80"/>
      <c r="BN365" s="80"/>
      <c r="BO365" s="80"/>
      <c r="BP365" s="80"/>
      <c r="BQ365" s="80"/>
      <c r="BR365" s="80"/>
      <c r="BS365" s="80"/>
      <c r="BT365" s="80"/>
      <c r="BU365" s="80"/>
      <c r="BV365" s="80"/>
      <c r="BW365" s="80"/>
      <c r="BX365" s="80"/>
      <c r="BY365" s="80"/>
      <c r="BZ365" s="80"/>
      <c r="CA365" s="80"/>
      <c r="CB365" s="80"/>
      <c r="CC365" s="80"/>
      <c r="CD365" s="80"/>
      <c r="CE365" s="80"/>
      <c r="DP365" s="96"/>
      <c r="DQ365" s="57"/>
      <c r="DR365" s="57" t="str">
        <f t="shared" si="6"/>
        <v/>
      </c>
      <c r="DU365" s="1" t="s">
        <v>280</v>
      </c>
      <c r="DV365" s="98"/>
      <c r="EA365" s="98"/>
      <c r="EB365" s="98"/>
      <c r="EC365" s="98"/>
      <c r="ED365" s="98"/>
    </row>
    <row r="366" spans="1:149" s="1" customFormat="1" ht="15" customHeight="1" x14ac:dyDescent="0.15">
      <c r="A366" s="291">
        <v>170901</v>
      </c>
      <c r="B366" s="292" t="s">
        <v>662</v>
      </c>
      <c r="C366" s="40" t="s">
        <v>663</v>
      </c>
      <c r="D366" s="291" t="s">
        <v>664</v>
      </c>
      <c r="E366" s="291"/>
      <c r="F366" s="291"/>
      <c r="G366" s="291"/>
      <c r="H366" s="291">
        <v>0</v>
      </c>
      <c r="I366" s="291"/>
      <c r="J366" s="291"/>
      <c r="K366" s="291"/>
      <c r="L366" s="291">
        <v>0</v>
      </c>
      <c r="M366" s="291"/>
      <c r="N366" s="291"/>
      <c r="O366" s="291"/>
      <c r="P366" s="291" t="s">
        <v>268</v>
      </c>
      <c r="Q366" s="291" t="s">
        <v>269</v>
      </c>
      <c r="R366" s="291"/>
      <c r="S366" s="291"/>
      <c r="T366" s="291"/>
      <c r="U366" s="291"/>
      <c r="V366" s="291"/>
      <c r="W366" s="291"/>
      <c r="X366" s="291">
        <v>1</v>
      </c>
      <c r="Y366" s="291">
        <v>0</v>
      </c>
      <c r="Z366" s="291">
        <v>0</v>
      </c>
      <c r="AA366" s="291"/>
      <c r="AB366" s="291">
        <v>17110101</v>
      </c>
      <c r="AC366" s="291" t="s">
        <v>665</v>
      </c>
      <c r="AD366" s="291"/>
      <c r="AE366" s="291"/>
      <c r="AF366" s="291"/>
      <c r="AG366" s="291"/>
      <c r="AH366" s="291"/>
      <c r="AI366" s="291"/>
      <c r="AJ366" s="291"/>
      <c r="AK366" s="291"/>
      <c r="AL366" s="307"/>
      <c r="AM366" s="64"/>
      <c r="AN366" s="64"/>
      <c r="AO366" s="64"/>
      <c r="AP366" s="64"/>
      <c r="AQ366" s="64"/>
      <c r="AR366" s="64"/>
      <c r="AU366" s="307"/>
      <c r="AV366" s="307"/>
      <c r="AW366" s="307"/>
      <c r="AX366" s="307"/>
      <c r="AY366" s="307"/>
      <c r="AZ366" s="307"/>
      <c r="BA366" s="307" t="s">
        <v>270</v>
      </c>
      <c r="BB366" s="291">
        <v>6</v>
      </c>
      <c r="BC366" s="291"/>
      <c r="BD366" s="291"/>
      <c r="BE366" s="291"/>
      <c r="BF366" s="291"/>
      <c r="BG366" s="291"/>
      <c r="BH366" s="291"/>
      <c r="BI366" s="291"/>
      <c r="BJ366" s="291"/>
      <c r="BK366" s="291"/>
      <c r="BL366" s="291"/>
      <c r="BM366" s="291"/>
      <c r="BN366" s="291"/>
      <c r="BO366" s="291"/>
      <c r="BP366" s="291"/>
      <c r="BQ366" s="291"/>
      <c r="BR366" s="291"/>
      <c r="BS366" s="291"/>
      <c r="BT366" s="291"/>
      <c r="BU366" s="291"/>
      <c r="BV366" s="291"/>
      <c r="BW366" s="291"/>
      <c r="BX366" s="291"/>
      <c r="BY366" s="291"/>
      <c r="BZ366" s="291"/>
      <c r="CA366" s="291"/>
      <c r="CB366" s="291"/>
      <c r="CC366" s="291"/>
      <c r="CD366" s="291"/>
      <c r="CE366" s="291"/>
      <c r="CF366" s="291" t="s">
        <v>271</v>
      </c>
      <c r="CG366" s="291"/>
      <c r="CH366" s="291"/>
      <c r="CI366" s="291"/>
      <c r="CJ366" s="291" t="s">
        <v>1</v>
      </c>
      <c r="CK366" s="291" t="s">
        <v>272</v>
      </c>
      <c r="CL366" s="291"/>
      <c r="CM366" s="291">
        <v>10</v>
      </c>
      <c r="CN366" s="291">
        <v>100</v>
      </c>
      <c r="CO366" s="291">
        <v>100</v>
      </c>
      <c r="CP366" s="291">
        <v>100</v>
      </c>
      <c r="CQ366" s="291">
        <v>30</v>
      </c>
      <c r="CR366" s="291"/>
      <c r="CS366" s="291"/>
      <c r="CT366" s="291"/>
      <c r="CU366" s="291"/>
      <c r="CV366" s="291"/>
      <c r="CW366" s="291"/>
      <c r="CX366" s="318" t="s">
        <v>273</v>
      </c>
      <c r="CY366" s="291"/>
      <c r="CZ366" s="291">
        <v>1000</v>
      </c>
      <c r="DA366" s="291">
        <v>100</v>
      </c>
      <c r="DB366" s="291"/>
      <c r="DC366" s="291" t="b">
        <v>1</v>
      </c>
      <c r="DD366" s="291" t="s">
        <v>274</v>
      </c>
      <c r="DE366" s="291" t="s">
        <v>666</v>
      </c>
      <c r="DF366" s="291" t="s">
        <v>276</v>
      </c>
      <c r="DG366" s="291" t="s">
        <v>667</v>
      </c>
      <c r="DH366" s="291">
        <v>0</v>
      </c>
      <c r="DI366" s="318" t="b">
        <v>1</v>
      </c>
      <c r="DJ366" s="318"/>
      <c r="DK366" s="291"/>
      <c r="DL366" s="291"/>
      <c r="DM366" s="291"/>
      <c r="DP366" s="96" t="str">
        <f>"SkillDetail_"&amp;A366</f>
        <v>SkillDetail_170901</v>
      </c>
      <c r="DQ366" s="339" t="s">
        <v>668</v>
      </c>
      <c r="DR366" s="57" t="e">
        <f t="shared" si="6"/>
        <v>#VALUE!</v>
      </c>
      <c r="DS366" s="291" t="s">
        <v>669</v>
      </c>
      <c r="DT366" s="291"/>
      <c r="DU366" s="1" t="s">
        <v>280</v>
      </c>
      <c r="DV366" s="307"/>
      <c r="DZ366" s="348">
        <v>1</v>
      </c>
      <c r="EA366" s="307" t="s">
        <v>281</v>
      </c>
      <c r="EB366" s="307" t="s">
        <v>282</v>
      </c>
      <c r="EC366" s="307" t="s">
        <v>283</v>
      </c>
      <c r="ED366" s="307" t="s">
        <v>283</v>
      </c>
      <c r="EE366" s="1" t="s">
        <v>284</v>
      </c>
      <c r="EF366" s="1" t="s">
        <v>326</v>
      </c>
      <c r="EG366" s="1" t="e">
        <v>#VALUE!</v>
      </c>
      <c r="EH366" s="1" t="s">
        <v>285</v>
      </c>
      <c r="EI366" s="1" t="s">
        <v>327</v>
      </c>
      <c r="EJ366" s="1" t="e">
        <v>#VALUE!</v>
      </c>
      <c r="EK366" s="1" t="s">
        <v>286</v>
      </c>
      <c r="EL366" s="1" t="s">
        <v>345</v>
      </c>
      <c r="EM366" s="1" t="e">
        <v>#VALUE!</v>
      </c>
      <c r="EN366" s="1" t="s">
        <v>287</v>
      </c>
      <c r="EO366" s="1" t="s">
        <v>345</v>
      </c>
      <c r="EP366" s="1" t="e">
        <v>#VALUE!</v>
      </c>
    </row>
    <row r="367" spans="1:149" s="1" customFormat="1" ht="14.25" customHeight="1" x14ac:dyDescent="0.15">
      <c r="A367" s="291">
        <v>171101</v>
      </c>
      <c r="B367" s="292" t="s">
        <v>662</v>
      </c>
      <c r="C367" s="40" t="s">
        <v>663</v>
      </c>
      <c r="D367" s="291" t="s">
        <v>670</v>
      </c>
      <c r="E367" s="291"/>
      <c r="F367" s="291"/>
      <c r="G367" s="291"/>
      <c r="H367" s="291">
        <v>0</v>
      </c>
      <c r="I367" s="291"/>
      <c r="J367" s="291"/>
      <c r="K367" s="291"/>
      <c r="L367" s="291">
        <v>0</v>
      </c>
      <c r="M367" s="291"/>
      <c r="N367" s="291"/>
      <c r="O367" s="291"/>
      <c r="P367" s="291" t="s">
        <v>268</v>
      </c>
      <c r="Q367" s="291" t="s">
        <v>269</v>
      </c>
      <c r="R367" s="291"/>
      <c r="S367" s="291"/>
      <c r="T367" s="291"/>
      <c r="U367" s="291"/>
      <c r="V367" s="291"/>
      <c r="W367" s="291"/>
      <c r="X367" s="291">
        <v>1</v>
      </c>
      <c r="Y367" s="291">
        <v>0</v>
      </c>
      <c r="Z367" s="291">
        <v>0</v>
      </c>
      <c r="AA367" s="291"/>
      <c r="AB367" s="291">
        <v>17110101</v>
      </c>
      <c r="AC367" s="291" t="s">
        <v>665</v>
      </c>
      <c r="AD367" s="291"/>
      <c r="AE367" s="291"/>
      <c r="AF367" s="291"/>
      <c r="AG367" s="291"/>
      <c r="AH367" s="291"/>
      <c r="AI367" s="291"/>
      <c r="AJ367" s="291"/>
      <c r="AK367" s="291"/>
      <c r="AL367" s="307"/>
      <c r="AM367" s="64"/>
      <c r="AN367" s="64"/>
      <c r="AO367" s="64"/>
      <c r="AP367" s="64"/>
      <c r="AQ367" s="64"/>
      <c r="AR367" s="64"/>
      <c r="AU367" s="307"/>
      <c r="AV367" s="307"/>
      <c r="AW367" s="307"/>
      <c r="AX367" s="307"/>
      <c r="AY367" s="307"/>
      <c r="AZ367" s="307"/>
      <c r="BA367" s="307" t="s">
        <v>270</v>
      </c>
      <c r="BB367" s="291">
        <v>6</v>
      </c>
      <c r="BC367" s="291"/>
      <c r="BD367" s="291"/>
      <c r="BE367" s="291"/>
      <c r="BF367" s="291"/>
      <c r="BG367" s="291"/>
      <c r="BH367" s="291"/>
      <c r="BI367" s="291"/>
      <c r="BJ367" s="291"/>
      <c r="BK367" s="291"/>
      <c r="BL367" s="291"/>
      <c r="BM367" s="291"/>
      <c r="BN367" s="291"/>
      <c r="BO367" s="291"/>
      <c r="BP367" s="291"/>
      <c r="BQ367" s="291"/>
      <c r="BR367" s="291"/>
      <c r="BS367" s="291"/>
      <c r="BT367" s="291"/>
      <c r="BU367" s="291"/>
      <c r="BV367" s="291"/>
      <c r="BW367" s="291"/>
      <c r="BX367" s="291"/>
      <c r="BY367" s="291"/>
      <c r="BZ367" s="291"/>
      <c r="CA367" s="291"/>
      <c r="CB367" s="291"/>
      <c r="CC367" s="291"/>
      <c r="CD367" s="291"/>
      <c r="CE367" s="291"/>
      <c r="CF367" s="291" t="s">
        <v>271</v>
      </c>
      <c r="CG367" s="291"/>
      <c r="CH367" s="291"/>
      <c r="CI367" s="291"/>
      <c r="CJ367" s="291" t="s">
        <v>1</v>
      </c>
      <c r="CK367" s="291" t="s">
        <v>272</v>
      </c>
      <c r="CL367" s="291"/>
      <c r="CM367" s="291">
        <v>10</v>
      </c>
      <c r="CN367" s="291">
        <v>100</v>
      </c>
      <c r="CO367" s="291">
        <v>0</v>
      </c>
      <c r="CP367" s="291">
        <v>100</v>
      </c>
      <c r="CQ367" s="291">
        <v>14</v>
      </c>
      <c r="CR367" s="291"/>
      <c r="CS367" s="291"/>
      <c r="CT367" s="291"/>
      <c r="CU367" s="291"/>
      <c r="CV367" s="291"/>
      <c r="CW367" s="291"/>
      <c r="CX367" s="318" t="s">
        <v>273</v>
      </c>
      <c r="CY367" s="291"/>
      <c r="CZ367" s="291">
        <v>1000</v>
      </c>
      <c r="DA367" s="291">
        <v>100</v>
      </c>
      <c r="DB367" s="291"/>
      <c r="DC367" s="291" t="b">
        <v>1</v>
      </c>
      <c r="DD367" s="291" t="s">
        <v>274</v>
      </c>
      <c r="DE367" s="291" t="s">
        <v>666</v>
      </c>
      <c r="DF367" s="291" t="s">
        <v>276</v>
      </c>
      <c r="DG367" s="291" t="s">
        <v>667</v>
      </c>
      <c r="DH367" s="291">
        <v>0</v>
      </c>
      <c r="DI367" s="318" t="b">
        <v>1</v>
      </c>
      <c r="DJ367" s="318"/>
      <c r="DK367" s="291"/>
      <c r="DL367" s="291"/>
      <c r="DM367" s="291"/>
      <c r="DP367" s="96" t="str">
        <f>"SkillDetail_"&amp;A367</f>
        <v>SkillDetail_171101</v>
      </c>
      <c r="DQ367" s="339" t="s">
        <v>668</v>
      </c>
      <c r="DR367" s="57" t="e">
        <f t="shared" si="6"/>
        <v>#VALUE!</v>
      </c>
      <c r="DS367" s="291" t="s">
        <v>669</v>
      </c>
      <c r="DT367" s="291"/>
      <c r="DU367" s="1" t="s">
        <v>280</v>
      </c>
      <c r="DV367" s="307"/>
      <c r="DZ367" s="348">
        <v>1</v>
      </c>
      <c r="EA367" s="307" t="s">
        <v>281</v>
      </c>
      <c r="EB367" s="307" t="s">
        <v>282</v>
      </c>
      <c r="EC367" s="307" t="s">
        <v>283</v>
      </c>
      <c r="ED367" s="307" t="s">
        <v>283</v>
      </c>
      <c r="EE367" s="1" t="s">
        <v>284</v>
      </c>
      <c r="EF367" s="1" t="s">
        <v>326</v>
      </c>
      <c r="EG367" s="1" t="e">
        <v>#VALUE!</v>
      </c>
      <c r="EH367" s="1" t="s">
        <v>285</v>
      </c>
      <c r="EI367" s="1" t="s">
        <v>327</v>
      </c>
      <c r="EJ367" s="1" t="e">
        <v>#VALUE!</v>
      </c>
      <c r="EK367" s="1" t="s">
        <v>286</v>
      </c>
      <c r="EL367" s="1" t="s">
        <v>345</v>
      </c>
      <c r="EM367" s="1" t="e">
        <v>#VALUE!</v>
      </c>
      <c r="EN367" s="1" t="s">
        <v>287</v>
      </c>
      <c r="EO367" s="1" t="s">
        <v>345</v>
      </c>
      <c r="EP367" s="1" t="e">
        <v>#VALUE!</v>
      </c>
    </row>
    <row r="368" spans="1:149" s="1" customFormat="1" ht="14.25" customHeight="1" x14ac:dyDescent="0.15">
      <c r="A368" s="291">
        <v>171201</v>
      </c>
      <c r="B368" s="292" t="s">
        <v>671</v>
      </c>
      <c r="C368" s="40" t="s">
        <v>672</v>
      </c>
      <c r="D368" s="291" t="s">
        <v>673</v>
      </c>
      <c r="E368" s="291"/>
      <c r="F368" s="291"/>
      <c r="G368" s="291"/>
      <c r="H368" s="291">
        <v>0</v>
      </c>
      <c r="I368" s="291"/>
      <c r="J368" s="291"/>
      <c r="K368" s="291"/>
      <c r="L368" s="291">
        <v>0</v>
      </c>
      <c r="M368" s="291"/>
      <c r="N368" s="291"/>
      <c r="O368" s="291"/>
      <c r="P368" s="291" t="s">
        <v>268</v>
      </c>
      <c r="Q368" s="291" t="s">
        <v>269</v>
      </c>
      <c r="R368" s="291"/>
      <c r="S368" s="291"/>
      <c r="T368" s="291"/>
      <c r="U368" s="291"/>
      <c r="V368" s="291"/>
      <c r="W368" s="291"/>
      <c r="X368" s="291">
        <v>1</v>
      </c>
      <c r="Y368" s="291">
        <v>0</v>
      </c>
      <c r="Z368" s="291">
        <v>0</v>
      </c>
      <c r="AA368" s="291"/>
      <c r="AB368" s="291">
        <v>17120101</v>
      </c>
      <c r="AC368" s="291" t="s">
        <v>674</v>
      </c>
      <c r="AD368" s="291"/>
      <c r="AE368" s="291"/>
      <c r="AF368" s="291"/>
      <c r="AG368" s="291"/>
      <c r="AH368" s="291"/>
      <c r="AI368" s="291"/>
      <c r="AJ368" s="291"/>
      <c r="AK368" s="291"/>
      <c r="AL368" s="307"/>
      <c r="AU368" s="307"/>
      <c r="AV368" s="307"/>
      <c r="AW368" s="307"/>
      <c r="AX368" s="307"/>
      <c r="AY368" s="307"/>
      <c r="AZ368" s="307"/>
      <c r="BA368" s="307" t="s">
        <v>270</v>
      </c>
      <c r="BB368" s="291">
        <v>30</v>
      </c>
      <c r="BC368" s="291"/>
      <c r="BD368" s="291"/>
      <c r="BE368" s="291"/>
      <c r="BF368" s="291"/>
      <c r="BG368" s="291"/>
      <c r="BH368" s="291"/>
      <c r="BI368" s="291"/>
      <c r="BJ368" s="291"/>
      <c r="BK368" s="291"/>
      <c r="BL368" s="291"/>
      <c r="BM368" s="291"/>
      <c r="BN368" s="291"/>
      <c r="BO368" s="291"/>
      <c r="BP368" s="291"/>
      <c r="BQ368" s="291"/>
      <c r="BR368" s="291"/>
      <c r="BS368" s="291"/>
      <c r="BT368" s="291"/>
      <c r="BU368" s="291"/>
      <c r="BV368" s="291"/>
      <c r="BW368" s="291"/>
      <c r="BX368" s="291"/>
      <c r="BY368" s="291"/>
      <c r="BZ368" s="291"/>
      <c r="CA368" s="291"/>
      <c r="CB368" s="291"/>
      <c r="CC368" s="291"/>
      <c r="CD368" s="291"/>
      <c r="CE368" s="291"/>
      <c r="CF368" s="291" t="s">
        <v>675</v>
      </c>
      <c r="CG368" s="291"/>
      <c r="CH368" s="291"/>
      <c r="CI368" s="291"/>
      <c r="CJ368" s="291" t="s">
        <v>1</v>
      </c>
      <c r="CK368" s="291" t="s">
        <v>272</v>
      </c>
      <c r="CL368" s="291"/>
      <c r="CM368" s="291">
        <v>5</v>
      </c>
      <c r="CN368" s="291">
        <v>100</v>
      </c>
      <c r="CO368" s="291">
        <v>0</v>
      </c>
      <c r="CP368" s="291">
        <v>100</v>
      </c>
      <c r="CQ368" s="291">
        <v>14</v>
      </c>
      <c r="CR368" s="291"/>
      <c r="CS368" s="291"/>
      <c r="CT368" s="291"/>
      <c r="CU368" s="291"/>
      <c r="CV368" s="291"/>
      <c r="CW368" s="291"/>
      <c r="CX368" s="291" t="s">
        <v>273</v>
      </c>
      <c r="CY368" s="291"/>
      <c r="CZ368" s="291">
        <v>1000</v>
      </c>
      <c r="DA368" s="291">
        <v>100</v>
      </c>
      <c r="DB368" s="291"/>
      <c r="DC368" s="291" t="b">
        <v>1</v>
      </c>
      <c r="DD368" s="291" t="s">
        <v>274</v>
      </c>
      <c r="DE368" s="291" t="s">
        <v>676</v>
      </c>
      <c r="DF368" s="291" t="s">
        <v>276</v>
      </c>
      <c r="DG368" s="291" t="s">
        <v>677</v>
      </c>
      <c r="DH368" s="291">
        <v>2</v>
      </c>
      <c r="DI368" s="318" t="b">
        <v>1</v>
      </c>
      <c r="DJ368" s="318"/>
      <c r="DK368" s="291"/>
      <c r="DL368" s="291"/>
      <c r="DM368" s="291"/>
      <c r="DP368" s="96" t="str">
        <f>"SkillDetail_"&amp;A368</f>
        <v>SkillDetail_171201</v>
      </c>
      <c r="DQ368" s="339" t="s">
        <v>678</v>
      </c>
      <c r="DR368" s="57" t="e">
        <f t="shared" si="6"/>
        <v>#VALUE!</v>
      </c>
      <c r="DS368" s="291" t="s">
        <v>679</v>
      </c>
      <c r="DT368" s="291"/>
      <c r="DU368" s="1" t="s">
        <v>280</v>
      </c>
      <c r="DV368" s="307"/>
      <c r="DZ368" s="348">
        <v>1</v>
      </c>
      <c r="EA368" s="307" t="s">
        <v>281</v>
      </c>
      <c r="EB368" s="307" t="s">
        <v>282</v>
      </c>
      <c r="EC368" s="307" t="s">
        <v>283</v>
      </c>
      <c r="ED368" s="307" t="s">
        <v>283</v>
      </c>
      <c r="EE368" s="1" t="s">
        <v>284</v>
      </c>
      <c r="EF368" s="1" t="s">
        <v>326</v>
      </c>
      <c r="EG368" s="1" t="e">
        <v>#VALUE!</v>
      </c>
      <c r="EH368" s="1" t="s">
        <v>285</v>
      </c>
      <c r="EI368" s="1" t="s">
        <v>327</v>
      </c>
      <c r="EJ368" s="1" t="e">
        <v>#VALUE!</v>
      </c>
      <c r="EK368" s="1" t="s">
        <v>286</v>
      </c>
      <c r="EL368" s="1" t="s">
        <v>345</v>
      </c>
      <c r="EM368" s="1" t="e">
        <v>#VALUE!</v>
      </c>
      <c r="EN368" s="1" t="s">
        <v>287</v>
      </c>
      <c r="EO368" s="1" t="s">
        <v>345</v>
      </c>
      <c r="EP368" s="1" t="e">
        <v>#VALUE!</v>
      </c>
    </row>
    <row r="369" spans="1:149" s="1" customFormat="1" ht="14.25" customHeight="1" x14ac:dyDescent="0.15">
      <c r="A369" s="291">
        <v>172201</v>
      </c>
      <c r="B369" s="292" t="s">
        <v>680</v>
      </c>
      <c r="C369" s="40" t="s">
        <v>681</v>
      </c>
      <c r="D369" s="291" t="s">
        <v>682</v>
      </c>
      <c r="E369" s="291"/>
      <c r="F369" s="291"/>
      <c r="G369" s="291"/>
      <c r="H369" s="291">
        <v>0</v>
      </c>
      <c r="I369" s="291"/>
      <c r="J369" s="291"/>
      <c r="K369" s="291"/>
      <c r="L369" s="291">
        <v>0</v>
      </c>
      <c r="M369" s="291"/>
      <c r="N369" s="291"/>
      <c r="O369" s="291"/>
      <c r="P369" s="291" t="s">
        <v>268</v>
      </c>
      <c r="Q369" s="291" t="s">
        <v>269</v>
      </c>
      <c r="R369" s="291"/>
      <c r="S369" s="291"/>
      <c r="T369" s="291"/>
      <c r="U369" s="291"/>
      <c r="V369" s="291"/>
      <c r="W369" s="291"/>
      <c r="X369" s="291">
        <v>1</v>
      </c>
      <c r="Y369" s="291">
        <v>0</v>
      </c>
      <c r="Z369" s="291">
        <v>0</v>
      </c>
      <c r="AA369" s="291"/>
      <c r="AB369" s="291">
        <v>17220101</v>
      </c>
      <c r="AC369" s="291" t="s">
        <v>665</v>
      </c>
      <c r="AD369" s="291"/>
      <c r="AE369" s="291"/>
      <c r="AF369" s="291"/>
      <c r="AG369" s="291"/>
      <c r="AH369" s="291"/>
      <c r="AI369" s="291"/>
      <c r="AJ369" s="291"/>
      <c r="AK369" s="291"/>
      <c r="AL369" s="307"/>
      <c r="AM369" s="66"/>
      <c r="AN369" s="66"/>
      <c r="AO369" s="66"/>
      <c r="AP369" s="66"/>
      <c r="AQ369" s="66"/>
      <c r="AR369" s="66"/>
      <c r="AU369" s="307"/>
      <c r="AV369" s="307"/>
      <c r="AW369" s="307"/>
      <c r="AX369" s="307"/>
      <c r="AY369" s="307"/>
      <c r="AZ369" s="307"/>
      <c r="BA369" s="307" t="s">
        <v>270</v>
      </c>
      <c r="BB369" s="291">
        <v>20</v>
      </c>
      <c r="BC369" s="291"/>
      <c r="BD369" s="291"/>
      <c r="BE369" s="291"/>
      <c r="BF369" s="291"/>
      <c r="BG369" s="291"/>
      <c r="BH369" s="291"/>
      <c r="BI369" s="291"/>
      <c r="BJ369" s="291"/>
      <c r="BK369" s="291"/>
      <c r="BL369" s="291"/>
      <c r="BM369" s="291"/>
      <c r="BN369" s="291"/>
      <c r="BO369" s="291"/>
      <c r="BP369" s="291"/>
      <c r="BQ369" s="291"/>
      <c r="BR369" s="291"/>
      <c r="BS369" s="291"/>
      <c r="BT369" s="291"/>
      <c r="BU369" s="291"/>
      <c r="BV369" s="291"/>
      <c r="BW369" s="291"/>
      <c r="BX369" s="291"/>
      <c r="BY369" s="291"/>
      <c r="BZ369" s="291"/>
      <c r="CA369" s="291"/>
      <c r="CB369" s="291"/>
      <c r="CC369" s="291"/>
      <c r="CD369" s="291"/>
      <c r="CE369" s="291"/>
      <c r="CF369" s="291" t="s">
        <v>271</v>
      </c>
      <c r="CG369" s="291"/>
      <c r="CH369" s="291"/>
      <c r="CI369" s="291"/>
      <c r="CJ369" s="291" t="s">
        <v>1</v>
      </c>
      <c r="CK369" s="291" t="s">
        <v>683</v>
      </c>
      <c r="CL369" s="291"/>
      <c r="CM369" s="291"/>
      <c r="CN369" s="291">
        <v>100</v>
      </c>
      <c r="CO369" s="291">
        <v>80</v>
      </c>
      <c r="CP369" s="291">
        <v>100</v>
      </c>
      <c r="CQ369" s="291">
        <v>10</v>
      </c>
      <c r="CR369" s="291"/>
      <c r="CS369" s="291"/>
      <c r="CT369" s="291"/>
      <c r="CU369" s="291"/>
      <c r="CV369" s="291"/>
      <c r="CW369" s="291"/>
      <c r="CX369" s="318" t="s">
        <v>273</v>
      </c>
      <c r="CY369" s="291"/>
      <c r="CZ369" s="291"/>
      <c r="DA369" s="291"/>
      <c r="DB369" s="291"/>
      <c r="DC369" s="291" t="b">
        <v>1</v>
      </c>
      <c r="DD369" s="291" t="s">
        <v>274</v>
      </c>
      <c r="DE369" s="291" t="s">
        <v>309</v>
      </c>
      <c r="DF369" s="291" t="s">
        <v>276</v>
      </c>
      <c r="DG369" s="291" t="s">
        <v>310</v>
      </c>
      <c r="DH369" s="291">
        <v>4</v>
      </c>
      <c r="DI369" s="318" t="b">
        <v>0</v>
      </c>
      <c r="DJ369" s="318"/>
      <c r="DK369" s="291"/>
      <c r="DL369" s="291"/>
      <c r="DM369" s="291"/>
      <c r="DP369" s="96" t="str">
        <f>"SkillDetail_"&amp;A369</f>
        <v>SkillDetail_172201</v>
      </c>
      <c r="DQ369" s="339" t="s">
        <v>684</v>
      </c>
      <c r="DR369" s="57" t="str">
        <f t="shared" si="6"/>
        <v>（主将技）对扇形范围内至多3个目标释放枪阵，造成{0:0}%伤害。</v>
      </c>
      <c r="DS369" s="291" t="s">
        <v>685</v>
      </c>
      <c r="DT369" s="291"/>
      <c r="DU369" s="1" t="s">
        <v>280</v>
      </c>
      <c r="DV369" s="307"/>
      <c r="DZ369" s="348">
        <v>1</v>
      </c>
      <c r="EA369" s="307" t="s">
        <v>281</v>
      </c>
      <c r="EB369" s="307" t="s">
        <v>282</v>
      </c>
      <c r="EC369" s="307" t="s">
        <v>283</v>
      </c>
      <c r="ED369" s="307" t="s">
        <v>283</v>
      </c>
      <c r="EE369" s="1" t="s">
        <v>284</v>
      </c>
      <c r="EF369" s="1" t="s">
        <v>326</v>
      </c>
      <c r="EG369" s="1" t="s">
        <v>686</v>
      </c>
      <c r="EH369" s="1" t="s">
        <v>285</v>
      </c>
      <c r="EI369" s="1" t="s">
        <v>327</v>
      </c>
      <c r="EJ369" s="1" t="e">
        <v>#VALUE!</v>
      </c>
      <c r="EK369" s="1" t="s">
        <v>286</v>
      </c>
      <c r="EL369" s="1" t="s">
        <v>345</v>
      </c>
      <c r="EM369" s="1" t="e">
        <v>#VALUE!</v>
      </c>
      <c r="EN369" s="1" t="s">
        <v>287</v>
      </c>
      <c r="EO369" s="1" t="s">
        <v>345</v>
      </c>
      <c r="EP369" s="1" t="e">
        <v>#VALUE!</v>
      </c>
    </row>
    <row r="370" spans="1:149" s="1" customFormat="1" ht="14.25" customHeight="1" x14ac:dyDescent="0.15">
      <c r="A370" s="1">
        <v>179900</v>
      </c>
      <c r="B370" s="293" t="s">
        <v>687</v>
      </c>
      <c r="C370" s="40" t="s">
        <v>688</v>
      </c>
      <c r="D370" s="294" t="s">
        <v>689</v>
      </c>
      <c r="E370" s="294">
        <v>100500</v>
      </c>
      <c r="F370" s="294"/>
      <c r="G370" s="294"/>
      <c r="H370" s="1">
        <v>0</v>
      </c>
      <c r="L370" s="1">
        <v>0</v>
      </c>
      <c r="P370" s="1" t="s">
        <v>268</v>
      </c>
      <c r="Q370" s="1" t="s">
        <v>269</v>
      </c>
      <c r="X370" s="1">
        <v>1</v>
      </c>
      <c r="Y370" s="1">
        <v>0</v>
      </c>
      <c r="Z370" s="1">
        <v>0</v>
      </c>
      <c r="AB370" s="56">
        <v>3001</v>
      </c>
      <c r="AC370" s="56" t="s">
        <v>337</v>
      </c>
      <c r="AD370" s="56"/>
      <c r="AE370" s="56" t="s">
        <v>129</v>
      </c>
      <c r="AF370" s="56" t="s">
        <v>314</v>
      </c>
      <c r="AG370" s="56"/>
      <c r="AH370" s="56"/>
      <c r="AI370" s="56"/>
      <c r="AJ370" s="56"/>
      <c r="AK370" s="56"/>
      <c r="BA370" s="77" t="s">
        <v>270</v>
      </c>
      <c r="BB370" s="75">
        <v>6.2</v>
      </c>
      <c r="BC370" s="75">
        <v>0</v>
      </c>
      <c r="BD370" s="75"/>
      <c r="BE370" s="75"/>
      <c r="BF370" s="75">
        <v>3.0000000000000001E-3</v>
      </c>
      <c r="BG370" s="75"/>
      <c r="BH370" s="75"/>
      <c r="BI370" s="75"/>
      <c r="CF370" s="1" t="s">
        <v>298</v>
      </c>
      <c r="CN370" s="1">
        <v>200</v>
      </c>
      <c r="CO370" s="1">
        <v>180</v>
      </c>
      <c r="CP370" s="1">
        <v>200</v>
      </c>
      <c r="CQ370" s="1">
        <v>10</v>
      </c>
      <c r="CX370" s="40" t="s">
        <v>273</v>
      </c>
      <c r="DC370" s="1" t="b">
        <v>1</v>
      </c>
      <c r="DD370" s="1" t="s">
        <v>274</v>
      </c>
      <c r="DE370" s="1" t="s">
        <v>690</v>
      </c>
      <c r="DF370" s="1" t="s">
        <v>276</v>
      </c>
      <c r="DG370" s="1" t="s">
        <v>293</v>
      </c>
      <c r="DH370" s="1">
        <v>0</v>
      </c>
      <c r="DI370" s="1" t="b">
        <v>1</v>
      </c>
      <c r="DL370" s="1" t="s">
        <v>691</v>
      </c>
      <c r="DM370" s="1" t="s">
        <v>692</v>
      </c>
      <c r="DP370" s="96" t="str">
        <f>"SkillDetail_"&amp;A370</f>
        <v>SkillDetail_179900</v>
      </c>
      <c r="DQ370" s="57" t="s">
        <v>693</v>
      </c>
      <c r="DR370" s="57" t="str">
        <f t="shared" si="6"/>
        <v>（主将技）对敌军造成武力伤害（伤害率：{0:0}%，武力加成），获得100%暴击率，持续3秒。</v>
      </c>
      <c r="DS370" s="340" t="s">
        <v>694</v>
      </c>
      <c r="DT370" s="341" t="s">
        <v>424</v>
      </c>
      <c r="DU370" s="1" t="s">
        <v>425</v>
      </c>
      <c r="DZ370" s="349">
        <v>1</v>
      </c>
      <c r="EA370" s="98" t="s">
        <v>281</v>
      </c>
      <c r="EB370" s="98" t="s">
        <v>282</v>
      </c>
      <c r="EC370" s="98" t="s">
        <v>283</v>
      </c>
      <c r="ED370" s="98" t="s">
        <v>283</v>
      </c>
      <c r="EE370" s="1" t="s">
        <v>284</v>
      </c>
      <c r="EF370" s="1" t="s">
        <v>326</v>
      </c>
      <c r="EG370" s="1" t="s">
        <v>695</v>
      </c>
      <c r="EH370" s="1" t="s">
        <v>285</v>
      </c>
      <c r="EI370" s="1" t="s">
        <v>327</v>
      </c>
      <c r="EJ370" s="1" t="e">
        <v>#VALUE!</v>
      </c>
      <c r="EK370" s="1" t="s">
        <v>286</v>
      </c>
      <c r="EL370" s="1" t="s">
        <v>328</v>
      </c>
      <c r="EM370" s="1" t="e">
        <v>#VALUE!</v>
      </c>
      <c r="EN370" s="1" t="s">
        <v>287</v>
      </c>
      <c r="EO370" s="1" t="s">
        <v>328</v>
      </c>
      <c r="EP370" s="1" t="e">
        <v>#VALUE!</v>
      </c>
    </row>
    <row r="371" spans="1:149" s="1" customFormat="1" ht="14.25" customHeight="1" x14ac:dyDescent="0.15">
      <c r="B371" s="293"/>
      <c r="C371" s="40"/>
      <c r="D371" s="294"/>
      <c r="E371" s="294"/>
      <c r="F371" s="294"/>
      <c r="G371" s="294"/>
      <c r="AB371" s="56">
        <v>10050001</v>
      </c>
      <c r="AC371" s="56" t="s">
        <v>696</v>
      </c>
      <c r="AD371" s="56"/>
      <c r="AE371" s="56" t="s">
        <v>291</v>
      </c>
      <c r="AF371" s="56" t="s">
        <v>437</v>
      </c>
      <c r="AG371" s="56"/>
      <c r="AH371" s="56"/>
      <c r="AI371" s="56"/>
      <c r="AJ371" s="56">
        <v>3</v>
      </c>
      <c r="AK371" s="56"/>
      <c r="BA371" s="77" t="s">
        <v>270</v>
      </c>
      <c r="BB371" s="75">
        <v>1</v>
      </c>
      <c r="BC371" s="75"/>
      <c r="BD371" s="75"/>
      <c r="BE371" s="75"/>
      <c r="BF371" s="75"/>
      <c r="BG371" s="75"/>
      <c r="BH371" s="75"/>
      <c r="BI371" s="75"/>
      <c r="CX371" s="40"/>
      <c r="DP371" s="96"/>
      <c r="DR371" s="57" t="str">
        <f t="shared" si="6"/>
        <v/>
      </c>
      <c r="DU371" s="1" t="s">
        <v>280</v>
      </c>
      <c r="DY371" s="98"/>
      <c r="EA371" s="98"/>
      <c r="EB371" s="98"/>
      <c r="EC371" s="98"/>
      <c r="ED371" s="98"/>
    </row>
    <row r="372" spans="1:149" s="17" customFormat="1" ht="60" customHeight="1" x14ac:dyDescent="0.15">
      <c r="A372" s="295">
        <v>173900</v>
      </c>
      <c r="B372" s="296" t="s">
        <v>697</v>
      </c>
      <c r="C372" s="40" t="s">
        <v>698</v>
      </c>
      <c r="D372" s="295" t="s">
        <v>699</v>
      </c>
      <c r="E372" s="295">
        <v>103900</v>
      </c>
      <c r="F372" s="295"/>
      <c r="G372" s="295"/>
      <c r="H372" s="295">
        <v>0</v>
      </c>
      <c r="I372" s="295"/>
      <c r="J372" s="295"/>
      <c r="K372" s="295"/>
      <c r="L372" s="295">
        <v>0</v>
      </c>
      <c r="M372" s="295"/>
      <c r="N372" s="295"/>
      <c r="O372" s="295"/>
      <c r="P372" s="295" t="s">
        <v>268</v>
      </c>
      <c r="Q372" s="295" t="s">
        <v>269</v>
      </c>
      <c r="R372" s="295"/>
      <c r="S372" s="295"/>
      <c r="T372" s="295"/>
      <c r="U372" s="295"/>
      <c r="V372" s="295"/>
      <c r="W372" s="295"/>
      <c r="X372" s="295">
        <v>1</v>
      </c>
      <c r="Y372" s="295">
        <v>0</v>
      </c>
      <c r="Z372" s="295">
        <v>0</v>
      </c>
      <c r="AA372" s="295"/>
      <c r="AB372" s="295">
        <v>10390001</v>
      </c>
      <c r="AC372" s="301" t="s">
        <v>700</v>
      </c>
      <c r="AD372" s="295"/>
      <c r="AE372" s="295" t="s">
        <v>291</v>
      </c>
      <c r="AF372" s="295" t="s">
        <v>437</v>
      </c>
      <c r="AG372" s="295"/>
      <c r="AH372" s="295"/>
      <c r="AI372" s="295"/>
      <c r="AJ372" s="295"/>
      <c r="AK372" s="295"/>
      <c r="AL372" s="308"/>
      <c r="AM372" s="308"/>
      <c r="AN372" s="308"/>
      <c r="AO372" s="308"/>
      <c r="AP372" s="308"/>
      <c r="AQ372" s="308"/>
      <c r="AR372" s="308"/>
      <c r="AS372" s="308"/>
      <c r="AT372" s="308"/>
      <c r="AU372" s="308"/>
      <c r="AV372" s="308"/>
      <c r="AW372" s="308"/>
      <c r="AX372" s="308"/>
      <c r="AY372" s="308"/>
      <c r="AZ372" s="308"/>
      <c r="BA372" s="308"/>
      <c r="BB372" s="295"/>
      <c r="BC372" s="295"/>
      <c r="BD372" s="295"/>
      <c r="BE372" s="295"/>
      <c r="BF372" s="295"/>
      <c r="BG372" s="295"/>
      <c r="BH372" s="295"/>
      <c r="BI372" s="295"/>
      <c r="BJ372" s="295"/>
      <c r="BK372" s="295"/>
      <c r="BL372" s="295"/>
      <c r="BM372" s="295"/>
      <c r="BN372" s="295"/>
      <c r="BO372" s="295"/>
      <c r="BP372" s="295"/>
      <c r="BQ372" s="295"/>
      <c r="BR372" s="295"/>
      <c r="BS372" s="295"/>
      <c r="BT372" s="295"/>
      <c r="BU372" s="295"/>
      <c r="BV372" s="295"/>
      <c r="BW372" s="295"/>
      <c r="BX372" s="295"/>
      <c r="BY372" s="295"/>
      <c r="BZ372" s="295"/>
      <c r="CA372" s="295"/>
      <c r="CB372" s="295"/>
      <c r="CC372" s="295"/>
      <c r="CD372" s="295"/>
      <c r="CE372" s="295"/>
      <c r="CF372" s="1" t="s">
        <v>271</v>
      </c>
      <c r="CG372" s="1"/>
      <c r="CH372" s="1"/>
      <c r="CI372" s="1"/>
      <c r="CJ372" s="1" t="s">
        <v>3</v>
      </c>
      <c r="CK372" s="57" t="s">
        <v>701</v>
      </c>
      <c r="CL372" s="57"/>
      <c r="CM372" s="1">
        <v>3</v>
      </c>
      <c r="CN372" s="295">
        <v>300</v>
      </c>
      <c r="CO372" s="295">
        <v>270</v>
      </c>
      <c r="CP372" s="295">
        <v>300</v>
      </c>
      <c r="CQ372" s="295">
        <v>10</v>
      </c>
      <c r="CR372" s="295"/>
      <c r="CS372" s="295"/>
      <c r="CT372" s="295"/>
      <c r="CU372" s="295"/>
      <c r="CV372" s="295"/>
      <c r="CW372" s="295"/>
      <c r="CX372" s="295" t="s">
        <v>273</v>
      </c>
      <c r="CY372" s="295"/>
      <c r="CZ372" s="295"/>
      <c r="DA372" s="295"/>
      <c r="DB372" s="295"/>
      <c r="DC372" s="295" t="b">
        <v>1</v>
      </c>
      <c r="DD372" s="325" t="s">
        <v>274</v>
      </c>
      <c r="DE372" s="295" t="s">
        <v>702</v>
      </c>
      <c r="DF372" s="325" t="s">
        <v>276</v>
      </c>
      <c r="DG372" s="326" t="s">
        <v>703</v>
      </c>
      <c r="DH372" s="295">
        <v>0</v>
      </c>
      <c r="DI372" s="295" t="b">
        <v>1</v>
      </c>
      <c r="DJ372" s="295"/>
      <c r="DK372" s="295"/>
      <c r="DL372" s="295" t="s">
        <v>691</v>
      </c>
      <c r="DM372" s="295"/>
      <c r="DN372" s="295"/>
      <c r="DO372" s="295"/>
      <c r="DP372" s="96" t="str">
        <f>"SkillDetail_"&amp;A372</f>
        <v>SkillDetail_173900</v>
      </c>
      <c r="DQ372" s="57" t="s">
        <v>704</v>
      </c>
      <c r="DR372" s="57" t="str">
        <f t="shared" si="6"/>
        <v>（主将技）对前方扇形范围内最多3支敌军造成3段武力伤害（伤害率：{1:0}%，武力加成），当剑气满4层时，会消耗4层剑气，改为造成5段武力伤害（伤害率：{2:0}%，武力加成）。进入战斗时，立即获得100初始怒气。</v>
      </c>
      <c r="DS372" s="342" t="s">
        <v>705</v>
      </c>
      <c r="DT372" s="295" t="s">
        <v>424</v>
      </c>
      <c r="DU372" s="1" t="s">
        <v>425</v>
      </c>
      <c r="DV372" s="308"/>
      <c r="DW372" s="295"/>
      <c r="DX372" s="295"/>
      <c r="DY372" s="308" t="s">
        <v>706</v>
      </c>
      <c r="DZ372" s="295">
        <v>2</v>
      </c>
      <c r="EA372" s="350" t="s">
        <v>282</v>
      </c>
      <c r="EB372" s="350" t="s">
        <v>283</v>
      </c>
      <c r="EC372" s="308"/>
      <c r="ED372" s="308"/>
      <c r="EE372" s="1" t="s">
        <v>284</v>
      </c>
      <c r="EF372" s="1" t="str">
        <f t="array" ref="EF372">IF(ISNUMBER(FIND("数值%",INDEX($1:$693,ROW($BA372)+_xlfn.NUMBERVALUE(MID(EA372,1,1)),COLUMN($BA372)+8*_xlfn.NUMBERVALUE(MID(EA372,3,3))))),"{"&amp;EA372&amp;"}"&amp;"%","{"&amp;EA372&amp;"}")</f>
        <v>{1:0}%</v>
      </c>
      <c r="EG372" s="1" t="str">
        <f>REPLACEB(DS372,FINDB(EE372,DS372),LEN(EE372),EF372)</f>
        <v>（主将技）对前方扇形范围内最多3支敌军造成3段武力伤害（伤害率：{1:0}%，武力加成），当剑气满4层时，会消耗4层剑气，改为造成5段武力伤害（伤害率：{1}，武力加成）。进入战斗时，立即获得100初始怒气。</v>
      </c>
      <c r="EH372" s="1" t="s">
        <v>285</v>
      </c>
      <c r="EI372" s="1" t="str">
        <f t="array" ref="EI372">IF(ISNUMBER(FIND("数值%",INDEX($1:$693,ROW($BA372)+_xlfn.NUMBERVALUE(MID(EB372,1,1)),COLUMN($BA372)+8*_xlfn.NUMBERVALUE(MID(EB372,3,1))))),"{"&amp;EB372&amp;"}"&amp;"%","{"&amp;EB372&amp;"}")</f>
        <v>{2:0}%</v>
      </c>
      <c r="EJ372" s="1" t="str">
        <f>REPLACEB(EG372,FINDB(EH372,EG372),LEN(EH372),EI372)</f>
        <v>（主将技）对前方扇形范围内最多3支敌军造成3段武力伤害（伤害率：{1:0}%，武力加成），当剑气满4层时，会消耗4层剑气，改为造成5段武力伤害（伤害率：{2:0}%，武力加成）。进入战斗时，立即获得100初始怒气。</v>
      </c>
      <c r="EK372" s="1" t="s">
        <v>286</v>
      </c>
      <c r="EL372" s="1" t="str">
        <f t="array" ref="EL372">IF(ISNUMBER(FIND("数值%",INDEX($1:$693,ROW($BA372)+_xlfn.NUMBERVALUE(MID(EC372,1,1)),COLUMN($BA372)+8*_xlfn.NUMBERVALUE(MID(EC372,3,1))))),"{"&amp;EC372&amp;"}"&amp;"%","{"&amp;EC372&amp;"}")</f>
        <v>{}</v>
      </c>
      <c r="EM372" s="1" t="e">
        <f>REPLACEB(EJ372,FINDB(EK372,EJ372),LEN(EK372),EL372)</f>
        <v>#VALUE!</v>
      </c>
      <c r="EN372" s="1" t="s">
        <v>287</v>
      </c>
      <c r="EO372" s="1" t="str">
        <f t="array" ref="EO372">IF(ISNUMBER(FIND("数值%",INDEX($1:$693,ROW($BA372)+_xlfn.NUMBERVALUE(MID(ED372,1,1)),COLUMN($BA372)+8*_xlfn.NUMBERVALUE(MID(ED372,3,1))))),"{"&amp;ED372&amp;"}"&amp;"%","{"&amp;ED372&amp;"}")</f>
        <v>{}</v>
      </c>
      <c r="EP372" s="1" t="e">
        <f>REPLACEB(EM372,FINDB(EN372,EM372),LEN(EN372),EO372)</f>
        <v>#VALUE!</v>
      </c>
      <c r="EQ372" s="1"/>
      <c r="ER372" s="1"/>
      <c r="ES372" s="1"/>
    </row>
    <row r="373" spans="1:149" s="17" customFormat="1" x14ac:dyDescent="0.15">
      <c r="A373" s="295"/>
      <c r="B373" s="296"/>
      <c r="C373" s="40"/>
      <c r="D373" s="295"/>
      <c r="E373" s="295"/>
      <c r="F373" s="295"/>
      <c r="G373" s="295"/>
      <c r="H373" s="295"/>
      <c r="I373" s="295"/>
      <c r="J373" s="295"/>
      <c r="K373" s="295"/>
      <c r="L373" s="295"/>
      <c r="M373" s="295"/>
      <c r="N373" s="295"/>
      <c r="O373" s="295"/>
      <c r="P373" s="295"/>
      <c r="Q373" s="295"/>
      <c r="R373" s="295"/>
      <c r="S373" s="295"/>
      <c r="T373" s="295"/>
      <c r="U373" s="295"/>
      <c r="V373" s="295"/>
      <c r="W373" s="295"/>
      <c r="X373" s="295"/>
      <c r="Y373" s="295"/>
      <c r="Z373" s="295"/>
      <c r="AA373" s="295"/>
      <c r="AB373" s="295">
        <v>10390002</v>
      </c>
      <c r="AC373" s="301" t="s">
        <v>707</v>
      </c>
      <c r="AD373" s="295" t="s">
        <v>330</v>
      </c>
      <c r="AE373" s="295" t="s">
        <v>129</v>
      </c>
      <c r="AF373" s="295" t="s">
        <v>314</v>
      </c>
      <c r="AG373" s="295"/>
      <c r="AH373" s="295"/>
      <c r="AI373" s="295"/>
      <c r="AJ373" s="295"/>
      <c r="AK373" s="295"/>
      <c r="AL373" s="308"/>
      <c r="AM373" s="308"/>
      <c r="AN373" s="308"/>
      <c r="AO373" s="308"/>
      <c r="AP373" s="308"/>
      <c r="AQ373" s="308"/>
      <c r="AR373" s="308"/>
      <c r="AS373" s="308" t="s">
        <v>708</v>
      </c>
      <c r="AT373" s="308"/>
      <c r="AU373" s="308"/>
      <c r="AV373" s="308"/>
      <c r="AW373" s="308"/>
      <c r="AX373" s="308"/>
      <c r="AY373" s="308"/>
      <c r="AZ373" s="308"/>
      <c r="BA373" s="308" t="s">
        <v>270</v>
      </c>
      <c r="BB373" s="295">
        <v>1.45</v>
      </c>
      <c r="BC373" s="295"/>
      <c r="BD373" s="295"/>
      <c r="BE373" s="295"/>
      <c r="BF373" s="295">
        <v>3.0000000000000001E-3</v>
      </c>
      <c r="BG373" s="295"/>
      <c r="BH373" s="295"/>
      <c r="BI373" s="295"/>
      <c r="BJ373" s="295"/>
      <c r="BK373" s="295"/>
      <c r="BL373" s="295"/>
      <c r="BM373" s="295"/>
      <c r="BN373" s="295"/>
      <c r="BO373" s="295"/>
      <c r="BP373" s="295"/>
      <c r="BQ373" s="295"/>
      <c r="BR373" s="295"/>
      <c r="BS373" s="295"/>
      <c r="BT373" s="295"/>
      <c r="BU373" s="295"/>
      <c r="BV373" s="295"/>
      <c r="BW373" s="295"/>
      <c r="BX373" s="295"/>
      <c r="BY373" s="295"/>
      <c r="BZ373" s="295"/>
      <c r="CA373" s="295"/>
      <c r="CB373" s="295"/>
      <c r="CC373" s="295"/>
      <c r="CD373" s="295"/>
      <c r="CE373" s="295"/>
      <c r="CF373" s="295"/>
      <c r="CG373" s="295"/>
      <c r="CH373" s="295"/>
      <c r="CI373" s="295"/>
      <c r="CJ373" s="295"/>
      <c r="CK373" s="295"/>
      <c r="CL373" s="295"/>
      <c r="CM373" s="295"/>
      <c r="CN373" s="295"/>
      <c r="CO373" s="295"/>
      <c r="CP373" s="295"/>
      <c r="CQ373" s="295"/>
      <c r="CR373" s="295"/>
      <c r="CS373" s="295"/>
      <c r="CT373" s="295"/>
      <c r="CU373" s="295"/>
      <c r="CV373" s="295"/>
      <c r="CW373" s="295"/>
      <c r="CX373" s="295"/>
      <c r="CY373" s="295"/>
      <c r="CZ373" s="295"/>
      <c r="DA373" s="295"/>
      <c r="DB373" s="295"/>
      <c r="DC373" s="295"/>
      <c r="DD373" s="295"/>
      <c r="DE373" s="295"/>
      <c r="DF373" s="295"/>
      <c r="DG373" s="295"/>
      <c r="DH373" s="295"/>
      <c r="DI373" s="295"/>
      <c r="DJ373" s="295"/>
      <c r="DK373" s="295"/>
      <c r="DL373" s="295"/>
      <c r="DM373" s="295"/>
      <c r="DN373" s="295"/>
      <c r="DO373" s="295"/>
      <c r="DP373" s="96"/>
      <c r="DQ373" s="342"/>
      <c r="DR373" s="57" t="str">
        <f t="shared" si="6"/>
        <v/>
      </c>
      <c r="DS373" s="295"/>
      <c r="DT373" s="295"/>
      <c r="DU373" s="1" t="s">
        <v>280</v>
      </c>
      <c r="DV373" s="308"/>
      <c r="DW373" s="295"/>
      <c r="DX373" s="295"/>
      <c r="DY373" s="308"/>
      <c r="DZ373" s="295"/>
      <c r="EA373" s="308"/>
      <c r="EB373" s="308"/>
      <c r="EC373" s="308"/>
      <c r="ED373" s="308"/>
      <c r="EE373" s="295"/>
      <c r="EF373" s="295"/>
      <c r="EG373" s="295"/>
      <c r="EH373" s="295"/>
      <c r="EI373" s="295"/>
      <c r="EJ373" s="295"/>
      <c r="EK373" s="295"/>
      <c r="EL373" s="295"/>
      <c r="EM373" s="295"/>
      <c r="EN373" s="295"/>
      <c r="EO373" s="295"/>
      <c r="EP373" s="295"/>
      <c r="EQ373" s="295"/>
      <c r="ER373" s="295"/>
      <c r="ES373" s="295"/>
    </row>
    <row r="374" spans="1:149" s="17" customFormat="1" x14ac:dyDescent="0.15">
      <c r="A374" s="295"/>
      <c r="B374" s="296"/>
      <c r="C374" s="40"/>
      <c r="D374" s="295"/>
      <c r="E374" s="295"/>
      <c r="F374" s="295"/>
      <c r="G374" s="295"/>
      <c r="H374" s="295"/>
      <c r="I374" s="295"/>
      <c r="J374" s="295"/>
      <c r="K374" s="295"/>
      <c r="L374" s="295"/>
      <c r="M374" s="295"/>
      <c r="N374" s="295"/>
      <c r="O374" s="295"/>
      <c r="P374" s="295"/>
      <c r="Q374" s="295"/>
      <c r="R374" s="295"/>
      <c r="S374" s="295"/>
      <c r="T374" s="295"/>
      <c r="U374" s="295"/>
      <c r="V374" s="295"/>
      <c r="W374" s="295"/>
      <c r="X374" s="295"/>
      <c r="Y374" s="295"/>
      <c r="Z374" s="295"/>
      <c r="AA374" s="295"/>
      <c r="AB374" s="295">
        <v>10390003</v>
      </c>
      <c r="AC374" s="301" t="s">
        <v>709</v>
      </c>
      <c r="AD374" s="295" t="s">
        <v>330</v>
      </c>
      <c r="AE374" s="295" t="s">
        <v>129</v>
      </c>
      <c r="AF374" s="295" t="s">
        <v>314</v>
      </c>
      <c r="AG374" s="295"/>
      <c r="AH374" s="295"/>
      <c r="AI374" s="295"/>
      <c r="AJ374" s="295"/>
      <c r="AK374" s="295"/>
      <c r="AL374" s="308"/>
      <c r="AM374" s="308"/>
      <c r="AN374" s="308"/>
      <c r="AO374" s="308"/>
      <c r="AP374" s="308"/>
      <c r="AQ374" s="308"/>
      <c r="AR374" s="308"/>
      <c r="AS374" s="308" t="s">
        <v>710</v>
      </c>
      <c r="AT374" s="308"/>
      <c r="AU374" s="308"/>
      <c r="AV374" s="308"/>
      <c r="AW374" s="308"/>
      <c r="AX374" s="308"/>
      <c r="AY374" s="308"/>
      <c r="AZ374" s="308"/>
      <c r="BA374" s="308" t="s">
        <v>270</v>
      </c>
      <c r="BB374" s="295">
        <v>1.45</v>
      </c>
      <c r="BC374" s="295"/>
      <c r="BD374" s="295"/>
      <c r="BE374" s="295"/>
      <c r="BF374" s="295">
        <v>3.0000000000000001E-3</v>
      </c>
      <c r="BG374" s="295"/>
      <c r="BH374" s="295"/>
      <c r="BI374" s="295"/>
      <c r="BJ374" s="295"/>
      <c r="BK374" s="295"/>
      <c r="BL374" s="295"/>
      <c r="BM374" s="295"/>
      <c r="BN374" s="295"/>
      <c r="BO374" s="295"/>
      <c r="BP374" s="295"/>
      <c r="BQ374" s="295"/>
      <c r="BR374" s="295"/>
      <c r="BS374" s="295"/>
      <c r="BT374" s="295"/>
      <c r="BU374" s="295"/>
      <c r="BV374" s="295"/>
      <c r="BW374" s="295"/>
      <c r="BX374" s="295"/>
      <c r="BY374" s="295"/>
      <c r="BZ374" s="295"/>
      <c r="CA374" s="295"/>
      <c r="CB374" s="295"/>
      <c r="CC374" s="295"/>
      <c r="CD374" s="295"/>
      <c r="CE374" s="295"/>
      <c r="CF374" s="295"/>
      <c r="CG374" s="295"/>
      <c r="CH374" s="295"/>
      <c r="CI374" s="295"/>
      <c r="CJ374" s="295"/>
      <c r="CK374" s="295"/>
      <c r="CL374" s="295"/>
      <c r="CM374" s="295"/>
      <c r="CN374" s="295"/>
      <c r="CO374" s="295"/>
      <c r="CP374" s="295"/>
      <c r="CQ374" s="295"/>
      <c r="CR374" s="295"/>
      <c r="CS374" s="295"/>
      <c r="CT374" s="295"/>
      <c r="CU374" s="295"/>
      <c r="CV374" s="295"/>
      <c r="CW374" s="295"/>
      <c r="CX374" s="295"/>
      <c r="CY374" s="295"/>
      <c r="CZ374" s="295"/>
      <c r="DA374" s="295"/>
      <c r="DB374" s="295"/>
      <c r="DC374" s="295"/>
      <c r="DD374" s="295"/>
      <c r="DE374" s="295"/>
      <c r="DF374" s="295"/>
      <c r="DG374" s="295"/>
      <c r="DH374" s="295"/>
      <c r="DI374" s="295"/>
      <c r="DJ374" s="295"/>
      <c r="DK374" s="295"/>
      <c r="DL374" s="295"/>
      <c r="DM374" s="295"/>
      <c r="DN374" s="295"/>
      <c r="DO374" s="295"/>
      <c r="DP374" s="96"/>
      <c r="DQ374" s="342"/>
      <c r="DR374" s="57" t="str">
        <f t="shared" si="6"/>
        <v/>
      </c>
      <c r="DS374" s="295"/>
      <c r="DT374" s="295"/>
      <c r="DU374" s="1" t="s">
        <v>280</v>
      </c>
      <c r="DV374" s="308"/>
      <c r="DW374" s="295"/>
      <c r="DX374" s="295"/>
      <c r="DY374" s="308"/>
      <c r="DZ374" s="295"/>
      <c r="EA374" s="308"/>
      <c r="EB374" s="308"/>
      <c r="EC374" s="308"/>
      <c r="ED374" s="308"/>
      <c r="EE374" s="295"/>
      <c r="EF374" s="295"/>
      <c r="EG374" s="295"/>
      <c r="EH374" s="295"/>
      <c r="EI374" s="295"/>
      <c r="EJ374" s="295"/>
      <c r="EK374" s="295"/>
      <c r="EL374" s="295"/>
      <c r="EM374" s="295"/>
      <c r="EN374" s="295"/>
      <c r="EO374" s="295"/>
      <c r="EP374" s="295"/>
      <c r="EQ374" s="295"/>
      <c r="ER374" s="295"/>
      <c r="ES374" s="295"/>
    </row>
    <row r="375" spans="1:149" s="17" customFormat="1" x14ac:dyDescent="0.15">
      <c r="A375" s="295"/>
      <c r="B375" s="296"/>
      <c r="C375" s="40"/>
      <c r="D375" s="295"/>
      <c r="E375" s="295"/>
      <c r="F375" s="295"/>
      <c r="G375" s="295"/>
      <c r="H375" s="295"/>
      <c r="I375" s="295"/>
      <c r="J375" s="295"/>
      <c r="K375" s="295"/>
      <c r="L375" s="295"/>
      <c r="M375" s="295"/>
      <c r="N375" s="295"/>
      <c r="O375" s="295"/>
      <c r="P375" s="295"/>
      <c r="Q375" s="295"/>
      <c r="R375" s="295"/>
      <c r="S375" s="295"/>
      <c r="T375" s="295"/>
      <c r="U375" s="295"/>
      <c r="V375" s="295"/>
      <c r="W375" s="295"/>
      <c r="X375" s="295"/>
      <c r="Y375" s="295"/>
      <c r="Z375" s="295"/>
      <c r="AA375" s="295"/>
      <c r="AB375" s="295">
        <v>10390004</v>
      </c>
      <c r="AC375" s="301" t="s">
        <v>711</v>
      </c>
      <c r="AD375" s="295" t="s">
        <v>330</v>
      </c>
      <c r="AE375" s="295" t="s">
        <v>291</v>
      </c>
      <c r="AF375" s="295" t="s">
        <v>437</v>
      </c>
      <c r="AG375" s="295"/>
      <c r="AH375" s="295"/>
      <c r="AI375" s="295"/>
      <c r="AJ375" s="295"/>
      <c r="AK375" s="295"/>
      <c r="AL375" s="308"/>
      <c r="AM375" s="308"/>
      <c r="AN375" s="308"/>
      <c r="AO375" s="308"/>
      <c r="AP375" s="308"/>
      <c r="AQ375" s="308"/>
      <c r="AR375" s="308"/>
      <c r="AS375" s="308"/>
      <c r="AT375" s="308"/>
      <c r="AU375" s="308"/>
      <c r="AV375" s="308"/>
      <c r="AW375" s="308"/>
      <c r="AX375" s="308"/>
      <c r="AY375" s="308"/>
      <c r="AZ375" s="308"/>
      <c r="BA375" s="308"/>
      <c r="BB375" s="295"/>
      <c r="BC375" s="295"/>
      <c r="BD375" s="295"/>
      <c r="BE375" s="295"/>
      <c r="BF375" s="295"/>
      <c r="BG375" s="295"/>
      <c r="BH375" s="295"/>
      <c r="BI375" s="295"/>
      <c r="BJ375" s="295"/>
      <c r="BK375" s="295"/>
      <c r="BL375" s="295"/>
      <c r="BM375" s="295"/>
      <c r="BN375" s="295"/>
      <c r="BO375" s="295"/>
      <c r="BP375" s="295"/>
      <c r="BQ375" s="295"/>
      <c r="BR375" s="295"/>
      <c r="BS375" s="295"/>
      <c r="BT375" s="295"/>
      <c r="BU375" s="295"/>
      <c r="BV375" s="295"/>
      <c r="BW375" s="295"/>
      <c r="BX375" s="295"/>
      <c r="BY375" s="295"/>
      <c r="BZ375" s="295"/>
      <c r="CA375" s="295"/>
      <c r="CB375" s="295"/>
      <c r="CC375" s="295"/>
      <c r="CD375" s="295"/>
      <c r="CE375" s="295"/>
      <c r="CF375" s="295"/>
      <c r="CG375" s="295"/>
      <c r="CH375" s="295"/>
      <c r="CI375" s="295"/>
      <c r="CJ375" s="295"/>
      <c r="CK375" s="295"/>
      <c r="CL375" s="295"/>
      <c r="CM375" s="295"/>
      <c r="CN375" s="295"/>
      <c r="CO375" s="295"/>
      <c r="CP375" s="295"/>
      <c r="CQ375" s="295"/>
      <c r="CR375" s="295"/>
      <c r="CS375" s="295"/>
      <c r="CT375" s="295"/>
      <c r="CU375" s="295"/>
      <c r="CV375" s="295"/>
      <c r="CW375" s="295"/>
      <c r="CX375" s="295"/>
      <c r="CY375" s="295"/>
      <c r="CZ375" s="295"/>
      <c r="DA375" s="295"/>
      <c r="DB375" s="295"/>
      <c r="DC375" s="295"/>
      <c r="DD375" s="295"/>
      <c r="DE375" s="295"/>
      <c r="DF375" s="295"/>
      <c r="DG375" s="295"/>
      <c r="DH375" s="295"/>
      <c r="DI375" s="295"/>
      <c r="DJ375" s="295"/>
      <c r="DK375" s="295"/>
      <c r="DL375" s="295"/>
      <c r="DM375" s="295"/>
      <c r="DN375" s="295"/>
      <c r="DO375" s="295"/>
      <c r="DP375" s="96"/>
      <c r="DQ375" s="342"/>
      <c r="DR375" s="57" t="str">
        <f t="shared" si="6"/>
        <v/>
      </c>
      <c r="DS375" s="295"/>
      <c r="DT375" s="295"/>
      <c r="DU375" s="1" t="s">
        <v>280</v>
      </c>
      <c r="DV375" s="308"/>
      <c r="DW375" s="295"/>
      <c r="DX375" s="295"/>
      <c r="DY375" s="308"/>
      <c r="DZ375" s="295"/>
      <c r="EA375" s="308"/>
      <c r="EB375" s="308"/>
      <c r="EC375" s="308"/>
      <c r="ED375" s="308"/>
      <c r="EE375" s="295"/>
      <c r="EF375" s="295"/>
      <c r="EG375" s="295"/>
      <c r="EH375" s="295"/>
      <c r="EI375" s="295"/>
      <c r="EJ375" s="295"/>
      <c r="EK375" s="295"/>
      <c r="EL375" s="295"/>
      <c r="EM375" s="295"/>
      <c r="EN375" s="295"/>
      <c r="EO375" s="295"/>
      <c r="EP375" s="295"/>
      <c r="EQ375" s="295"/>
      <c r="ER375" s="295"/>
      <c r="ES375" s="295"/>
    </row>
    <row r="376" spans="1:149" s="17" customFormat="1" x14ac:dyDescent="0.15">
      <c r="A376" s="295"/>
      <c r="B376" s="296"/>
      <c r="C376" s="40"/>
      <c r="D376" s="295"/>
      <c r="E376" s="295"/>
      <c r="F376" s="295"/>
      <c r="G376" s="295"/>
      <c r="H376" s="295"/>
      <c r="I376" s="295"/>
      <c r="J376" s="295"/>
      <c r="K376" s="295"/>
      <c r="L376" s="295"/>
      <c r="M376" s="295"/>
      <c r="N376" s="295"/>
      <c r="O376" s="295"/>
      <c r="P376" s="295"/>
      <c r="Q376" s="295"/>
      <c r="R376" s="295"/>
      <c r="S376" s="295"/>
      <c r="T376" s="295"/>
      <c r="U376" s="295"/>
      <c r="V376" s="295"/>
      <c r="W376" s="295"/>
      <c r="X376" s="295"/>
      <c r="Y376" s="295"/>
      <c r="Z376" s="295"/>
      <c r="AA376" s="295"/>
      <c r="AB376" s="295">
        <v>10390106</v>
      </c>
      <c r="AC376" s="301" t="s">
        <v>712</v>
      </c>
      <c r="AD376" s="295" t="s">
        <v>330</v>
      </c>
      <c r="AE376" s="295" t="s">
        <v>291</v>
      </c>
      <c r="AF376" s="295" t="s">
        <v>437</v>
      </c>
      <c r="AG376" s="295"/>
      <c r="AH376" s="295"/>
      <c r="AI376" s="295"/>
      <c r="AJ376" s="295"/>
      <c r="AK376" s="295"/>
      <c r="AL376" s="308"/>
      <c r="AM376" s="308"/>
      <c r="AN376" s="308"/>
      <c r="AO376" s="308"/>
      <c r="AP376" s="308"/>
      <c r="AQ376" s="308"/>
      <c r="AR376" s="308"/>
      <c r="AS376" s="308"/>
      <c r="AT376" s="308"/>
      <c r="AU376" s="308"/>
      <c r="AV376" s="308"/>
      <c r="AW376" s="308"/>
      <c r="AX376" s="308"/>
      <c r="AY376" s="308"/>
      <c r="AZ376" s="308"/>
      <c r="BA376" s="308"/>
      <c r="BB376" s="295"/>
      <c r="BC376" s="295"/>
      <c r="BD376" s="295"/>
      <c r="BE376" s="295"/>
      <c r="BF376" s="295"/>
      <c r="BG376" s="295"/>
      <c r="BH376" s="295"/>
      <c r="BI376" s="295"/>
      <c r="BJ376" s="295"/>
      <c r="BK376" s="295"/>
      <c r="BL376" s="295"/>
      <c r="BM376" s="295"/>
      <c r="BN376" s="295"/>
      <c r="BO376" s="295"/>
      <c r="BP376" s="295"/>
      <c r="BQ376" s="295"/>
      <c r="BR376" s="295"/>
      <c r="BS376" s="295"/>
      <c r="BT376" s="295"/>
      <c r="BU376" s="295"/>
      <c r="BV376" s="295"/>
      <c r="BW376" s="295"/>
      <c r="BX376" s="295"/>
      <c r="BY376" s="295"/>
      <c r="BZ376" s="295"/>
      <c r="CA376" s="295"/>
      <c r="CB376" s="295"/>
      <c r="CC376" s="295"/>
      <c r="CD376" s="295"/>
      <c r="CE376" s="295"/>
      <c r="CF376" s="295"/>
      <c r="CG376" s="295"/>
      <c r="CH376" s="295"/>
      <c r="CI376" s="295"/>
      <c r="CJ376" s="295"/>
      <c r="CK376" s="295"/>
      <c r="CL376" s="295"/>
      <c r="CM376" s="295"/>
      <c r="CN376" s="295"/>
      <c r="CO376" s="295"/>
      <c r="CP376" s="295"/>
      <c r="CQ376" s="295"/>
      <c r="CR376" s="295"/>
      <c r="CS376" s="295"/>
      <c r="CT376" s="295"/>
      <c r="CU376" s="295"/>
      <c r="CV376" s="295"/>
      <c r="CW376" s="295"/>
      <c r="CX376" s="295"/>
      <c r="CY376" s="295"/>
      <c r="CZ376" s="295"/>
      <c r="DA376" s="295"/>
      <c r="DB376" s="295"/>
      <c r="DC376" s="295"/>
      <c r="DD376" s="295"/>
      <c r="DE376" s="295"/>
      <c r="DF376" s="295"/>
      <c r="DG376" s="295"/>
      <c r="DH376" s="295"/>
      <c r="DI376" s="295"/>
      <c r="DJ376" s="295"/>
      <c r="DK376" s="295"/>
      <c r="DL376" s="295"/>
      <c r="DM376" s="295"/>
      <c r="DN376" s="295"/>
      <c r="DO376" s="295"/>
      <c r="DP376" s="96"/>
      <c r="DQ376" s="342"/>
      <c r="DR376" s="57" t="str">
        <f t="shared" si="6"/>
        <v/>
      </c>
      <c r="DS376" s="295"/>
      <c r="DT376" s="295"/>
      <c r="DU376" s="1" t="s">
        <v>280</v>
      </c>
      <c r="DV376" s="308"/>
      <c r="DW376" s="295"/>
      <c r="DX376" s="295"/>
      <c r="DY376" s="308"/>
      <c r="DZ376" s="295"/>
      <c r="EA376" s="308"/>
      <c r="EB376" s="308"/>
      <c r="EC376" s="308"/>
      <c r="ED376" s="308"/>
      <c r="EE376" s="295"/>
      <c r="EF376" s="295"/>
      <c r="EG376" s="295"/>
      <c r="EH376" s="295"/>
      <c r="EI376" s="295"/>
      <c r="EJ376" s="295"/>
      <c r="EK376" s="295"/>
      <c r="EL376" s="295"/>
      <c r="EM376" s="295"/>
      <c r="EN376" s="295"/>
      <c r="EO376" s="295"/>
      <c r="EP376" s="295"/>
      <c r="EQ376" s="295"/>
      <c r="ER376" s="295"/>
      <c r="ES376" s="295"/>
    </row>
    <row r="377" spans="1:149" s="1" customFormat="1" ht="14.25" customHeight="1" x14ac:dyDescent="0.15">
      <c r="B377" s="293"/>
      <c r="C377" s="40"/>
      <c r="D377" s="294"/>
      <c r="E377" s="294"/>
      <c r="F377" s="294"/>
      <c r="G377" s="294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BA377" s="77"/>
      <c r="BB377" s="75"/>
      <c r="BC377" s="75"/>
      <c r="BD377" s="75"/>
      <c r="BE377" s="75"/>
      <c r="BF377" s="75"/>
      <c r="BG377" s="75"/>
      <c r="BH377" s="75"/>
      <c r="BI377" s="75"/>
      <c r="CX377" s="40"/>
      <c r="DP377" s="96"/>
      <c r="DR377" s="57" t="str">
        <f t="shared" si="6"/>
        <v/>
      </c>
      <c r="DU377" s="1" t="s">
        <v>280</v>
      </c>
      <c r="DY377" s="98"/>
      <c r="EA377" s="98"/>
      <c r="EB377" s="98"/>
      <c r="EC377" s="98"/>
      <c r="ED377" s="98"/>
    </row>
    <row r="378" spans="1:149" s="18" customFormat="1" ht="49.5" customHeight="1" x14ac:dyDescent="0.15">
      <c r="A378" s="18">
        <v>174500</v>
      </c>
      <c r="B378" s="297" t="s">
        <v>713</v>
      </c>
      <c r="C378" s="40" t="s">
        <v>714</v>
      </c>
      <c r="D378" s="18" t="s">
        <v>715</v>
      </c>
      <c r="E378" s="18">
        <v>104500</v>
      </c>
      <c r="H378" s="18">
        <v>0</v>
      </c>
      <c r="L378" s="18">
        <v>0</v>
      </c>
      <c r="P378" s="18" t="s">
        <v>268</v>
      </c>
      <c r="Q378" s="18" t="s">
        <v>269</v>
      </c>
      <c r="X378" s="18">
        <v>1</v>
      </c>
      <c r="Y378" s="18">
        <v>0</v>
      </c>
      <c r="Z378" s="18">
        <v>0</v>
      </c>
      <c r="AB378" s="302">
        <v>10450001</v>
      </c>
      <c r="AC378" s="56" t="s">
        <v>716</v>
      </c>
      <c r="AE378" s="18" t="s">
        <v>129</v>
      </c>
      <c r="AF378" s="18" t="s">
        <v>314</v>
      </c>
      <c r="AL378" s="309"/>
      <c r="AM378" s="309"/>
      <c r="AN378" s="309"/>
      <c r="AO378" s="309"/>
      <c r="AP378" s="309"/>
      <c r="AQ378" s="309"/>
      <c r="AR378" s="309"/>
      <c r="AS378" s="309"/>
      <c r="AT378" s="309"/>
      <c r="AU378" s="309"/>
      <c r="AV378" s="309"/>
      <c r="AW378" s="309"/>
      <c r="AX378" s="309"/>
      <c r="AY378" s="309"/>
      <c r="AZ378" s="309"/>
      <c r="BA378" s="309" t="s">
        <v>270</v>
      </c>
      <c r="BB378" s="18">
        <v>5.2</v>
      </c>
      <c r="BF378" s="18">
        <v>3.0000000000000001E-3</v>
      </c>
      <c r="CF378" s="295" t="s">
        <v>271</v>
      </c>
      <c r="CJ378" s="295" t="s">
        <v>3</v>
      </c>
      <c r="CK378" s="295" t="s">
        <v>717</v>
      </c>
      <c r="CL378" s="295"/>
      <c r="CM378" s="18">
        <v>3</v>
      </c>
      <c r="CN378" s="18">
        <v>250</v>
      </c>
      <c r="CO378" s="18">
        <v>220</v>
      </c>
      <c r="CP378" s="18">
        <v>250</v>
      </c>
      <c r="CQ378" s="18">
        <v>10</v>
      </c>
      <c r="CX378" s="18" t="s">
        <v>273</v>
      </c>
      <c r="DC378" s="18" t="b">
        <v>1</v>
      </c>
      <c r="DD378" s="327" t="s">
        <v>274</v>
      </c>
      <c r="DE378" s="18" t="s">
        <v>718</v>
      </c>
      <c r="DF378" s="327" t="s">
        <v>276</v>
      </c>
      <c r="DG378" s="328" t="s">
        <v>719</v>
      </c>
      <c r="DH378" s="18">
        <v>0</v>
      </c>
      <c r="DI378" s="18" t="b">
        <v>1</v>
      </c>
      <c r="DL378" s="18" t="s">
        <v>720</v>
      </c>
      <c r="DM378" s="18" t="s">
        <v>721</v>
      </c>
      <c r="DP378" s="96"/>
      <c r="DQ378" s="57" t="s">
        <v>722</v>
      </c>
      <c r="DR378" s="57" t="str">
        <f t="shared" si="6"/>
        <v>（主将技）对敌军造成武力伤害（伤害率：{0:0}%，武力加成），该次伤害有的60%概率无视目标70%防御。</v>
      </c>
      <c r="DS378" s="18" t="s">
        <v>723</v>
      </c>
      <c r="DT378" s="18" t="s">
        <v>424</v>
      </c>
      <c r="DU378" s="1" t="s">
        <v>425</v>
      </c>
      <c r="DV378" s="309"/>
      <c r="DY378" s="309" t="s">
        <v>724</v>
      </c>
      <c r="DZ378" s="18">
        <v>1</v>
      </c>
      <c r="EA378" s="309" t="s">
        <v>281</v>
      </c>
      <c r="EB378" s="309" t="s">
        <v>281</v>
      </c>
      <c r="EC378" s="309"/>
      <c r="ED378" s="309"/>
      <c r="EE378" s="1" t="s">
        <v>284</v>
      </c>
      <c r="EF378" s="1" t="str">
        <f t="array" ref="EF378">IF(ISNUMBER(FIND("数值%",INDEX($1:$693,ROW($BA378)+_xlfn.NUMBERVALUE(MID(EA378,1,1)),COLUMN($BA378)+8*_xlfn.NUMBERVALUE(MID(EA378,3,3))))),"{"&amp;EA378&amp;"}"&amp;"%","{"&amp;EA378&amp;"}")</f>
        <v>{0:0}%</v>
      </c>
      <c r="EG378" s="1" t="str">
        <f>REPLACEB(DS378,FINDB(EE378,DS378),LEN(EE378),EF378)</f>
        <v>（主将技）对敌军造成武力伤害（伤害率：{0:0}%，武力加成），该次伤害有的60%概率无视目标70%防御。</v>
      </c>
      <c r="EH378" s="1" t="s">
        <v>285</v>
      </c>
      <c r="EI378" s="1" t="str">
        <f t="array" ref="EI378">IF(ISNUMBER(FIND("数值%",INDEX($1:$693,ROW($BA378)+_xlfn.NUMBERVALUE(MID(EB378,1,1)),COLUMN($BA378)+8*_xlfn.NUMBERVALUE(MID(EB378,3,1))))),"{"&amp;EB378&amp;"}"&amp;"%","{"&amp;EB378&amp;"}")</f>
        <v>{0:0}%</v>
      </c>
      <c r="EJ378" s="1" t="e">
        <f>REPLACEB(EG378,FINDB(EH378,EG378),LEN(EH378),EI378)</f>
        <v>#VALUE!</v>
      </c>
      <c r="EK378" s="1" t="s">
        <v>286</v>
      </c>
      <c r="EL378" s="1" t="str">
        <f t="array" ref="EL378">IF(ISNUMBER(FIND("数值%",INDEX($1:$693,ROW($BA378)+_xlfn.NUMBERVALUE(MID(EC378,1,1)),COLUMN($BA378)+8*_xlfn.NUMBERVALUE(MID(EC378,3,1))))),"{"&amp;EC378&amp;"}"&amp;"%","{"&amp;EC378&amp;"}")</f>
        <v>{}%</v>
      </c>
      <c r="EM378" s="1" t="e">
        <f>REPLACEB(EJ378,FINDB(EK378,EJ378),LEN(EK378),EL378)</f>
        <v>#VALUE!</v>
      </c>
    </row>
    <row r="379" spans="1:149" s="18" customFormat="1" x14ac:dyDescent="0.15">
      <c r="B379" s="297"/>
      <c r="C379" s="40"/>
      <c r="AB379" s="56">
        <v>10450100</v>
      </c>
      <c r="AC379" s="56" t="s">
        <v>725</v>
      </c>
      <c r="AD379" s="18" t="s">
        <v>726</v>
      </c>
      <c r="AE379" s="18" t="s">
        <v>291</v>
      </c>
      <c r="AF379" s="18" t="s">
        <v>437</v>
      </c>
      <c r="AJ379" s="18">
        <v>-1</v>
      </c>
      <c r="AL379" s="309"/>
      <c r="AM379" s="309"/>
      <c r="AN379" s="309"/>
      <c r="AO379" s="309"/>
      <c r="AP379" s="309"/>
      <c r="AQ379" s="309"/>
      <c r="AR379" s="309"/>
      <c r="AS379" s="309"/>
      <c r="AT379" s="309"/>
      <c r="AU379" s="309"/>
      <c r="AV379" s="309"/>
      <c r="AW379" s="309"/>
      <c r="AX379" s="309"/>
      <c r="AY379" s="309"/>
      <c r="AZ379" s="309"/>
      <c r="BA379" s="309" t="s">
        <v>270</v>
      </c>
      <c r="BB379" s="18">
        <v>0.7</v>
      </c>
      <c r="BJ379" s="309" t="s">
        <v>270</v>
      </c>
      <c r="BK379" s="18">
        <v>0.6</v>
      </c>
      <c r="DP379" s="96"/>
      <c r="DR379" s="57" t="str">
        <f t="shared" ref="DR379:DR380" si="7">IF(DZ379="","",IF(DZ379=1,EG379,IF(DZ379=2,EJ379,IF(DZ379=3,EM379,IF(DZ379=4,EP379,IF(DZ379=0,DS379,"【参数配置有误】"&amp;DS379))))))</f>
        <v/>
      </c>
      <c r="DU379" s="1" t="s">
        <v>280</v>
      </c>
      <c r="EA379" s="309"/>
      <c r="EB379" s="309"/>
      <c r="EC379" s="309"/>
      <c r="ED379" s="309"/>
    </row>
    <row r="380" spans="1:149" s="1" customFormat="1" ht="14.25" customHeight="1" x14ac:dyDescent="0.15">
      <c r="B380" s="293"/>
      <c r="C380" s="40"/>
      <c r="D380" s="294"/>
      <c r="E380" s="294"/>
      <c r="F380" s="294"/>
      <c r="G380" s="294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BA380" s="77"/>
      <c r="BB380" s="75"/>
      <c r="BC380" s="75"/>
      <c r="BD380" s="75"/>
      <c r="BE380" s="75"/>
      <c r="BF380" s="75"/>
      <c r="BG380" s="75"/>
      <c r="BH380" s="75"/>
      <c r="BI380" s="75"/>
      <c r="CX380" s="40"/>
      <c r="DP380" s="96"/>
      <c r="DR380" s="57" t="str">
        <f t="shared" si="7"/>
        <v/>
      </c>
      <c r="DU380" s="1" t="s">
        <v>280</v>
      </c>
      <c r="DY380" s="98"/>
      <c r="EA380" s="98"/>
      <c r="EB380" s="98"/>
      <c r="EC380" s="98"/>
      <c r="ED380" s="98"/>
    </row>
    <row r="381" spans="1:149" s="1" customFormat="1" ht="15" customHeight="1" x14ac:dyDescent="0.15">
      <c r="A381" s="1">
        <v>1002001</v>
      </c>
      <c r="B381" s="37"/>
      <c r="C381" s="40"/>
      <c r="D381" s="1" t="s">
        <v>727</v>
      </c>
      <c r="H381" s="1">
        <v>0</v>
      </c>
      <c r="L381" s="1">
        <v>0</v>
      </c>
      <c r="Q381" s="1" t="s">
        <v>728</v>
      </c>
      <c r="X381" s="1">
        <v>0.3</v>
      </c>
      <c r="Y381" s="1">
        <v>0</v>
      </c>
      <c r="Z381" s="1">
        <v>0</v>
      </c>
      <c r="AB381" s="56">
        <v>3001</v>
      </c>
      <c r="AC381" s="56" t="s">
        <v>337</v>
      </c>
      <c r="AD381" s="56"/>
      <c r="AE381" s="56"/>
      <c r="AF381" s="56"/>
      <c r="AG381" s="56"/>
      <c r="AH381" s="56"/>
      <c r="AI381" s="56"/>
      <c r="AJ381" s="56"/>
      <c r="AK381" s="56"/>
      <c r="AL381" s="64"/>
      <c r="AM381" s="64"/>
      <c r="AN381" s="64"/>
      <c r="AO381" s="64"/>
      <c r="AP381" s="64"/>
      <c r="AQ381" s="64"/>
      <c r="AR381" s="64"/>
      <c r="AS381" s="17"/>
      <c r="AT381" s="17"/>
      <c r="AU381" s="64"/>
      <c r="AV381" s="64"/>
      <c r="AW381" s="64"/>
      <c r="AX381" s="64"/>
      <c r="AY381" s="64"/>
      <c r="AZ381" s="64"/>
      <c r="BA381" s="77" t="s">
        <v>270</v>
      </c>
      <c r="BB381" s="75">
        <v>0.6</v>
      </c>
      <c r="BC381" s="75">
        <v>0.06</v>
      </c>
      <c r="BD381" s="75"/>
      <c r="BE381" s="75"/>
      <c r="BF381" s="75"/>
      <c r="BG381" s="75"/>
      <c r="BH381" s="75"/>
      <c r="BI381" s="75"/>
      <c r="BJ381" s="80"/>
      <c r="BK381" s="80"/>
      <c r="BL381" s="80"/>
      <c r="BM381" s="80"/>
      <c r="BN381" s="80"/>
      <c r="BO381" s="80"/>
      <c r="BP381" s="80"/>
      <c r="BQ381" s="80"/>
      <c r="BR381" s="80"/>
      <c r="BS381" s="80"/>
      <c r="BT381" s="80"/>
      <c r="BU381" s="80"/>
      <c r="BV381" s="80"/>
      <c r="BW381" s="80"/>
      <c r="BX381" s="80"/>
      <c r="BY381" s="80"/>
      <c r="BZ381" s="80"/>
      <c r="CA381" s="80"/>
      <c r="CB381" s="80"/>
      <c r="CC381" s="80"/>
      <c r="CD381" s="80"/>
      <c r="CE381" s="80"/>
      <c r="CX381" s="40" t="s">
        <v>273</v>
      </c>
      <c r="DB381" s="1">
        <v>1002001</v>
      </c>
      <c r="DC381" s="1" t="b">
        <v>1</v>
      </c>
      <c r="DD381" s="1" t="s">
        <v>274</v>
      </c>
      <c r="DE381" s="1" t="s">
        <v>292</v>
      </c>
      <c r="DF381" s="20" t="s">
        <v>276</v>
      </c>
      <c r="DG381" s="1" t="s">
        <v>729</v>
      </c>
      <c r="DH381" s="1">
        <v>1</v>
      </c>
      <c r="DI381" s="40" t="b">
        <v>0</v>
      </c>
      <c r="DJ381" s="40"/>
      <c r="DP381" s="96" t="str">
        <f>"SkillDetail_"&amp;A381</f>
        <v>SkillDetail_1002001</v>
      </c>
      <c r="DQ381" s="57" t="s">
        <v>730</v>
      </c>
      <c r="DR381" s="57" t="str">
        <f t="shared" ref="DR381:DR391" si="8">IF(DZ381="","",IF(DZ381=1,EG381,IF(DZ381=2,EJ381,IF(DZ381=3,EM381,IF(DZ381=4,EP381,IF(DZ381=0,DS381,"【参数配置有误】"&amp;DS381))))))</f>
        <v>对敌方造成武力{0:0}%武力伤害</v>
      </c>
      <c r="DS381" s="1" t="s">
        <v>731</v>
      </c>
      <c r="DU381" s="1" t="s">
        <v>280</v>
      </c>
      <c r="DV381" s="98"/>
      <c r="DZ381" s="109">
        <v>1</v>
      </c>
      <c r="EA381" s="110" t="s">
        <v>281</v>
      </c>
      <c r="EB381" s="110" t="s">
        <v>282</v>
      </c>
      <c r="EC381" s="110" t="s">
        <v>283</v>
      </c>
      <c r="ED381" s="110" t="s">
        <v>283</v>
      </c>
      <c r="EE381" s="1" t="s">
        <v>284</v>
      </c>
      <c r="EF381" s="1" t="str">
        <f t="array" ref="EF381">IF(ISNUMBER(FIND("数值%",INDEX($1:$693,ROW($BA381)+_xlfn.NUMBERVALUE(MID(EA381,1,1)),COLUMN($BA381)+8*_xlfn.NUMBERVALUE(MID(EA381,3,3))))),"{"&amp;EA381&amp;"}"&amp;"%","{"&amp;EA381&amp;"}")</f>
        <v>{0:0}%</v>
      </c>
      <c r="EG381" s="1" t="str">
        <f>REPLACEB(DS381,FINDB(EE381,DS381),LEN(EE381),EF381)</f>
        <v>对敌方造成武力{0:0}%武力伤害</v>
      </c>
      <c r="EH381" s="1" t="s">
        <v>285</v>
      </c>
      <c r="EI381" s="1" t="str">
        <f t="array" ref="EI381">IF(ISNUMBER(FIND("数值%",INDEX($1:$693,ROW($BA381)+_xlfn.NUMBERVALUE(MID(EB381,1,1)),COLUMN($BA381)+8*_xlfn.NUMBERVALUE(MID(EB381,3,1))))),"{"&amp;EB381&amp;"}"&amp;"%","{"&amp;EB381&amp;"}")</f>
        <v>{1:0}%</v>
      </c>
      <c r="EJ381" s="1" t="e">
        <f>REPLACEB(EG381,FINDB(EH381,EG381),LEN(EH381),EI381)</f>
        <v>#VALUE!</v>
      </c>
      <c r="EK381" s="1" t="s">
        <v>286</v>
      </c>
      <c r="EL381" s="1" t="str">
        <f t="array" ref="EL381">IF(ISNUMBER(FIND("数值%",INDEX($1:$693,ROW($BA381)+_xlfn.NUMBERVALUE(MID(EC381,1,1)),COLUMN($BA381)+8*_xlfn.NUMBERVALUE(MID(EC381,3,1))))),"{"&amp;EC381&amp;"}"&amp;"%","{"&amp;EC381&amp;"}")</f>
        <v>{2:0}</v>
      </c>
      <c r="EM381" s="1" t="e">
        <f>REPLACEB(EJ381,FINDB(EK381,EJ381),LEN(EK381),EL381)</f>
        <v>#VALUE!</v>
      </c>
      <c r="EN381" s="1" t="s">
        <v>287</v>
      </c>
      <c r="EO381" s="1" t="str">
        <f t="array" ref="EO381">IF(ISNUMBER(FIND("数值%",INDEX($1:$693,ROW($BA381)+_xlfn.NUMBERVALUE(MID(ED381,1,1)),COLUMN($BA381)+8*_xlfn.NUMBERVALUE(MID(ED381,3,1))))),"{"&amp;ED381&amp;"}"&amp;"%","{"&amp;ED381&amp;"}")</f>
        <v>{2:0}</v>
      </c>
      <c r="EP381" s="1" t="e">
        <f>REPLACEB(EM381,FINDB(EN381,EM381),LEN(EN381),EO381)</f>
        <v>#VALUE!</v>
      </c>
    </row>
    <row r="382" spans="1:149" s="1" customFormat="1" ht="15" customHeight="1" x14ac:dyDescent="0.15">
      <c r="A382" s="1">
        <v>1003001</v>
      </c>
      <c r="B382" s="37"/>
      <c r="C382" s="40"/>
      <c r="D382" s="1" t="s">
        <v>732</v>
      </c>
      <c r="H382" s="1">
        <v>0</v>
      </c>
      <c r="L382" s="1">
        <v>0</v>
      </c>
      <c r="Q382" s="1" t="s">
        <v>733</v>
      </c>
      <c r="U382" s="1">
        <v>1</v>
      </c>
      <c r="X382" s="1">
        <v>1</v>
      </c>
      <c r="Y382" s="1">
        <v>0</v>
      </c>
      <c r="Z382" s="1">
        <v>0</v>
      </c>
      <c r="AB382" s="56">
        <v>3001</v>
      </c>
      <c r="AC382" s="56" t="s">
        <v>337</v>
      </c>
      <c r="AD382" s="56"/>
      <c r="AE382" s="56"/>
      <c r="AF382" s="56"/>
      <c r="AG382" s="56"/>
      <c r="AH382" s="56"/>
      <c r="AI382" s="56"/>
      <c r="AJ382" s="56"/>
      <c r="AK382" s="56"/>
      <c r="AL382" s="64"/>
      <c r="AM382" s="64"/>
      <c r="AN382" s="64"/>
      <c r="AO382" s="64"/>
      <c r="AP382" s="64"/>
      <c r="AQ382" s="64"/>
      <c r="AR382" s="64"/>
      <c r="AS382" s="17"/>
      <c r="AT382" s="17"/>
      <c r="AU382" s="64"/>
      <c r="AV382" s="64"/>
      <c r="AW382" s="64"/>
      <c r="AX382" s="64"/>
      <c r="AY382" s="64"/>
      <c r="AZ382" s="64"/>
      <c r="BA382" s="77" t="s">
        <v>270</v>
      </c>
      <c r="BB382" s="75">
        <v>0.15</v>
      </c>
      <c r="BC382" s="75">
        <v>1.4999999999999999E-2</v>
      </c>
      <c r="BD382" s="75"/>
      <c r="BE382" s="75"/>
      <c r="BF382" s="75"/>
      <c r="BG382" s="75"/>
      <c r="BH382" s="75"/>
      <c r="BI382" s="75"/>
      <c r="BJ382" s="80"/>
      <c r="BK382" s="80"/>
      <c r="BL382" s="80"/>
      <c r="BM382" s="80"/>
      <c r="BN382" s="80"/>
      <c r="BO382" s="80"/>
      <c r="BP382" s="80"/>
      <c r="BQ382" s="80"/>
      <c r="BR382" s="80"/>
      <c r="BS382" s="80"/>
      <c r="BT382" s="80"/>
      <c r="BU382" s="80"/>
      <c r="BV382" s="80"/>
      <c r="BW382" s="80"/>
      <c r="BX382" s="80"/>
      <c r="BY382" s="80"/>
      <c r="BZ382" s="80"/>
      <c r="CA382" s="80"/>
      <c r="CB382" s="80"/>
      <c r="CC382" s="80"/>
      <c r="CD382" s="80"/>
      <c r="CE382" s="80"/>
      <c r="CX382" s="40" t="s">
        <v>273</v>
      </c>
      <c r="DB382" s="1">
        <v>1003001</v>
      </c>
      <c r="DC382" s="1" t="b">
        <v>1</v>
      </c>
      <c r="DD382" s="1" t="s">
        <v>274</v>
      </c>
      <c r="DE382" s="1" t="s">
        <v>292</v>
      </c>
      <c r="DF382" s="1" t="s">
        <v>276</v>
      </c>
      <c r="DG382" s="1" t="s">
        <v>734</v>
      </c>
      <c r="DH382" s="1">
        <v>0</v>
      </c>
      <c r="DI382" s="40" t="b">
        <v>0</v>
      </c>
      <c r="DJ382" s="40"/>
      <c r="DP382" s="96" t="str">
        <f>"SkillDetail_"&amp;A382</f>
        <v>SkillDetail_1003001</v>
      </c>
      <c r="DQ382" s="57" t="s">
        <v>735</v>
      </c>
      <c r="DR382" s="57" t="str">
        <f t="shared" si="8"/>
        <v>每3秒一次，对敌军造成{0:0}%武力伤害</v>
      </c>
      <c r="DS382" s="1" t="s">
        <v>736</v>
      </c>
      <c r="DU382" s="1" t="s">
        <v>280</v>
      </c>
      <c r="DV382" s="98"/>
      <c r="DZ382" s="109">
        <v>1</v>
      </c>
      <c r="EA382" s="110" t="s">
        <v>281</v>
      </c>
      <c r="EB382" s="110" t="s">
        <v>282</v>
      </c>
      <c r="EC382" s="110" t="s">
        <v>283</v>
      </c>
      <c r="ED382" s="110" t="s">
        <v>283</v>
      </c>
      <c r="EE382" s="1" t="s">
        <v>284</v>
      </c>
      <c r="EF382" s="1" t="str">
        <f t="array" ref="EF382">IF(ISNUMBER(FIND("数值%",INDEX($1:$693,ROW($BA382)+_xlfn.NUMBERVALUE(MID(EA382,1,1)),COLUMN($BA382)+8*_xlfn.NUMBERVALUE(MID(EA382,3,3))))),"{"&amp;EA382&amp;"}"&amp;"%","{"&amp;EA382&amp;"}")</f>
        <v>{0:0}%</v>
      </c>
      <c r="EG382" s="1" t="str">
        <f>REPLACEB(DS382,FINDB(EE382,DS382),LEN(EE382),EF382)</f>
        <v>每3秒一次，对敌军造成{0:0}%武力伤害</v>
      </c>
      <c r="EH382" s="1" t="s">
        <v>285</v>
      </c>
      <c r="EI382" s="1" t="str">
        <f t="array" ref="EI382">IF(ISNUMBER(FIND("数值%",INDEX($1:$693,ROW($BA382)+_xlfn.NUMBERVALUE(MID(EB382,1,1)),COLUMN($BA382)+8*_xlfn.NUMBERVALUE(MID(EB382,3,1))))),"{"&amp;EB382&amp;"}"&amp;"%","{"&amp;EB382&amp;"}")</f>
        <v>{1:0}</v>
      </c>
      <c r="EJ382" s="1" t="e">
        <f>REPLACEB(EG382,FINDB(EH382,EG382),LEN(EH382),EI382)</f>
        <v>#VALUE!</v>
      </c>
      <c r="EK382" s="1" t="s">
        <v>286</v>
      </c>
      <c r="EL382" s="1" t="str">
        <f t="array" ref="EL382">IF(ISNUMBER(FIND("数值%",INDEX($1:$693,ROW($BA382)+_xlfn.NUMBERVALUE(MID(EC382,1,1)),COLUMN($BA382)+8*_xlfn.NUMBERVALUE(MID(EC382,3,1))))),"{"&amp;EC382&amp;"}"&amp;"%","{"&amp;EC382&amp;"}")</f>
        <v>{2:0}%</v>
      </c>
      <c r="EM382" s="1" t="e">
        <f>REPLACEB(EJ382,FINDB(EK382,EJ382),LEN(EK382),EL382)</f>
        <v>#VALUE!</v>
      </c>
      <c r="EN382" s="1" t="s">
        <v>287</v>
      </c>
      <c r="EO382" s="1" t="str">
        <f t="array" ref="EO382">IF(ISNUMBER(FIND("数值%",INDEX($1:$693,ROW($BA382)+_xlfn.NUMBERVALUE(MID(ED382,1,1)),COLUMN($BA382)+8*_xlfn.NUMBERVALUE(MID(ED382,3,1))))),"{"&amp;ED382&amp;"}"&amp;"%","{"&amp;ED382&amp;"}")</f>
        <v>{2:0}%</v>
      </c>
      <c r="EP382" s="1" t="e">
        <f>REPLACEB(EM382,FINDB(EN382,EM382),LEN(EN382),EO382)</f>
        <v>#VALUE!</v>
      </c>
    </row>
    <row r="383" spans="1:149" s="1" customFormat="1" ht="15" customHeight="1" x14ac:dyDescent="0.15">
      <c r="A383" s="1">
        <v>3000001</v>
      </c>
      <c r="B383" s="37"/>
      <c r="C383" s="40"/>
      <c r="D383" s="1" t="s">
        <v>737</v>
      </c>
      <c r="H383" s="1">
        <v>0</v>
      </c>
      <c r="L383" s="1">
        <v>0</v>
      </c>
      <c r="Q383" s="1" t="s">
        <v>431</v>
      </c>
      <c r="X383" s="1">
        <v>1</v>
      </c>
      <c r="Y383" s="1">
        <v>0</v>
      </c>
      <c r="Z383" s="1">
        <v>0</v>
      </c>
      <c r="AB383" s="56">
        <v>4001</v>
      </c>
      <c r="AC383" s="56" t="s">
        <v>409</v>
      </c>
      <c r="AD383" s="56"/>
      <c r="AE383" s="56" t="s">
        <v>291</v>
      </c>
      <c r="AF383" s="56"/>
      <c r="AG383" s="56"/>
      <c r="AH383" s="56"/>
      <c r="AI383" s="56"/>
      <c r="AJ383" s="56">
        <v>-1</v>
      </c>
      <c r="AK383" s="56"/>
      <c r="AL383" s="64"/>
      <c r="AM383" s="64"/>
      <c r="AN383" s="64"/>
      <c r="AO383" s="64"/>
      <c r="AP383" s="64"/>
      <c r="AQ383" s="64"/>
      <c r="AR383" s="64"/>
      <c r="AS383" s="17"/>
      <c r="AT383" s="17"/>
      <c r="AU383" s="64"/>
      <c r="AV383" s="64"/>
      <c r="AW383" s="64"/>
      <c r="AX383" s="64"/>
      <c r="AY383" s="64"/>
      <c r="AZ383" s="64"/>
      <c r="BA383" s="77"/>
      <c r="BB383" s="75"/>
      <c r="BC383" s="75"/>
      <c r="BD383" s="75"/>
      <c r="BE383" s="75"/>
      <c r="BF383" s="75"/>
      <c r="BG383" s="75"/>
      <c r="BH383" s="75"/>
      <c r="BI383" s="75"/>
      <c r="BJ383" s="80"/>
      <c r="BK383" s="80"/>
      <c r="BL383" s="80"/>
      <c r="BM383" s="80"/>
      <c r="BN383" s="80"/>
      <c r="BO383" s="80"/>
      <c r="BP383" s="80"/>
      <c r="BQ383" s="80"/>
      <c r="BR383" s="80"/>
      <c r="BS383" s="80"/>
      <c r="BT383" s="80"/>
      <c r="BU383" s="80"/>
      <c r="BV383" s="80"/>
      <c r="BW383" s="80"/>
      <c r="BX383" s="80"/>
      <c r="BY383" s="80"/>
      <c r="BZ383" s="80"/>
      <c r="CA383" s="80"/>
      <c r="CB383" s="80"/>
      <c r="CC383" s="80"/>
      <c r="CD383" s="80"/>
      <c r="CE383" s="80"/>
      <c r="CX383" s="40" t="s">
        <v>273</v>
      </c>
      <c r="DB383" s="1">
        <v>3000001</v>
      </c>
      <c r="DC383" s="1" t="b">
        <v>1</v>
      </c>
      <c r="DD383" s="1" t="s">
        <v>274</v>
      </c>
      <c r="DE383" s="1" t="s">
        <v>292</v>
      </c>
      <c r="DF383" s="1" t="s">
        <v>276</v>
      </c>
      <c r="DG383" s="1" t="s">
        <v>667</v>
      </c>
      <c r="DH383" s="1">
        <v>3</v>
      </c>
      <c r="DI383" s="40" t="b">
        <v>0</v>
      </c>
      <c r="DJ383" s="40"/>
      <c r="DP383" s="96" t="str">
        <f>"SkillDetail_"&amp;A383</f>
        <v>SkillDetail_3000001</v>
      </c>
      <c r="DQ383" s="57" t="s">
        <v>738</v>
      </c>
      <c r="DR383" s="57" t="str">
        <f t="shared" si="8"/>
        <v>进入战斗后提升{0:0}攻击力，持续5秒</v>
      </c>
      <c r="DS383" s="1" t="s">
        <v>739</v>
      </c>
      <c r="DU383" s="1" t="s">
        <v>280</v>
      </c>
      <c r="DV383" s="98"/>
      <c r="DZ383" s="109">
        <v>1</v>
      </c>
      <c r="EA383" s="110" t="s">
        <v>281</v>
      </c>
      <c r="EB383" s="110" t="s">
        <v>282</v>
      </c>
      <c r="EC383" s="110" t="s">
        <v>283</v>
      </c>
      <c r="ED383" s="110" t="s">
        <v>283</v>
      </c>
      <c r="EE383" s="1" t="s">
        <v>284</v>
      </c>
      <c r="EF383" s="1" t="str">
        <f t="array" ref="EF383">IF(ISNUMBER(FIND("数值%",INDEX($1:$693,ROW($BA383)+_xlfn.NUMBERVALUE(MID(EA383,1,1)),COLUMN($BA383)+8*_xlfn.NUMBERVALUE(MID(EA383,3,3))))),"{"&amp;EA383&amp;"}"&amp;"%","{"&amp;EA383&amp;"}")</f>
        <v>{0:0}</v>
      </c>
      <c r="EG383" s="1" t="str">
        <f>REPLACEB(DS383,FINDB(EE383,DS383),LEN(EE383),EF383)</f>
        <v>进入战斗后提升{0:0}攻击力，持续5秒</v>
      </c>
      <c r="EH383" s="1" t="s">
        <v>285</v>
      </c>
      <c r="EI383" s="1" t="str">
        <f t="array" ref="EI383">IF(ISNUMBER(FIND("数值%",INDEX($1:$693,ROW($BA383)+_xlfn.NUMBERVALUE(MID(EB383,1,1)),COLUMN($BA383)+8*_xlfn.NUMBERVALUE(MID(EB383,3,1))))),"{"&amp;EB383&amp;"}"&amp;"%","{"&amp;EB383&amp;"}")</f>
        <v>{1:0}%</v>
      </c>
      <c r="EJ383" s="1" t="e">
        <f>REPLACEB(EG383,FINDB(EH383,EG383),LEN(EH383),EI383)</f>
        <v>#VALUE!</v>
      </c>
      <c r="EK383" s="1" t="s">
        <v>286</v>
      </c>
      <c r="EL383" s="1" t="str">
        <f t="array" ref="EL383">IF(ISNUMBER(FIND("数值%",INDEX($1:$693,ROW($BA383)+_xlfn.NUMBERVALUE(MID(EC383,1,1)),COLUMN($BA383)+8*_xlfn.NUMBERVALUE(MID(EC383,3,1))))),"{"&amp;EC383&amp;"}"&amp;"%","{"&amp;EC383&amp;"}")</f>
        <v>{2:0}%</v>
      </c>
      <c r="EM383" s="1" t="e">
        <f>REPLACEB(EJ383,FINDB(EK383,EJ383),LEN(EK383),EL383)</f>
        <v>#VALUE!</v>
      </c>
      <c r="EN383" s="1" t="s">
        <v>287</v>
      </c>
      <c r="EO383" s="1" t="str">
        <f t="array" ref="EO383">IF(ISNUMBER(FIND("数值%",INDEX($1:$693,ROW($BA383)+_xlfn.NUMBERVALUE(MID(ED383,1,1)),COLUMN($BA383)+8*_xlfn.NUMBERVALUE(MID(ED383,3,1))))),"{"&amp;ED383&amp;"}"&amp;"%","{"&amp;ED383&amp;"}")</f>
        <v>{2:0}%</v>
      </c>
      <c r="EP383" s="1" t="e">
        <f>REPLACEB(EM383,FINDB(EN383,EM383),LEN(EN383),EO383)</f>
        <v>#VALUE!</v>
      </c>
    </row>
    <row r="384" spans="1:149" s="1" customFormat="1" x14ac:dyDescent="0.15">
      <c r="B384" s="37"/>
      <c r="C384" s="40"/>
      <c r="AB384" s="56">
        <v>5001</v>
      </c>
      <c r="AC384" s="56" t="s">
        <v>740</v>
      </c>
      <c r="AD384" s="56" t="s">
        <v>330</v>
      </c>
      <c r="AE384" s="56" t="s">
        <v>291</v>
      </c>
      <c r="AF384" s="56"/>
      <c r="AG384" s="56"/>
      <c r="AH384" s="56"/>
      <c r="AI384" s="56"/>
      <c r="AJ384" s="56">
        <v>5</v>
      </c>
      <c r="AK384" s="56"/>
      <c r="AL384" s="64"/>
      <c r="AM384" s="64"/>
      <c r="AN384" s="64"/>
      <c r="AO384" s="64"/>
      <c r="AP384" s="64"/>
      <c r="AQ384" s="64"/>
      <c r="AR384" s="64"/>
      <c r="AS384" s="17"/>
      <c r="AT384" s="17"/>
      <c r="AU384" s="64"/>
      <c r="AV384" s="64"/>
      <c r="AW384" s="64" t="s">
        <v>741</v>
      </c>
      <c r="AX384" s="64"/>
      <c r="AY384" s="64"/>
      <c r="AZ384" s="64"/>
      <c r="BA384" s="77" t="s">
        <v>270</v>
      </c>
      <c r="BB384" s="75">
        <v>0.5</v>
      </c>
      <c r="BC384" s="75">
        <v>0.05</v>
      </c>
      <c r="BD384" s="75"/>
      <c r="BE384" s="75"/>
      <c r="BF384" s="75"/>
      <c r="BG384" s="75"/>
      <c r="BH384" s="75"/>
      <c r="BI384" s="75"/>
      <c r="BJ384" s="80"/>
      <c r="BK384" s="80"/>
      <c r="BL384" s="80"/>
      <c r="BM384" s="80"/>
      <c r="BN384" s="80"/>
      <c r="BO384" s="80"/>
      <c r="BP384" s="80"/>
      <c r="BQ384" s="80"/>
      <c r="BR384" s="80"/>
      <c r="BS384" s="80"/>
      <c r="BT384" s="80"/>
      <c r="BU384" s="80"/>
      <c r="BV384" s="80"/>
      <c r="BW384" s="80"/>
      <c r="BX384" s="80"/>
      <c r="BY384" s="80"/>
      <c r="BZ384" s="80"/>
      <c r="CA384" s="80"/>
      <c r="CB384" s="80"/>
      <c r="CC384" s="80"/>
      <c r="CD384" s="80"/>
      <c r="CE384" s="80"/>
      <c r="DF384" s="1" t="s">
        <v>276</v>
      </c>
      <c r="DG384" s="1" t="s">
        <v>293</v>
      </c>
      <c r="DP384" s="96"/>
      <c r="DQ384" s="57"/>
      <c r="DR384" s="57" t="str">
        <f t="shared" si="8"/>
        <v/>
      </c>
      <c r="DU384" s="1" t="s">
        <v>280</v>
      </c>
      <c r="DV384" s="98"/>
      <c r="DY384" s="98"/>
      <c r="EA384" s="98"/>
      <c r="EB384" s="98"/>
      <c r="EC384" s="98"/>
      <c r="ED384" s="98"/>
    </row>
    <row r="385" spans="1:149" s="1" customFormat="1" ht="15" customHeight="1" x14ac:dyDescent="0.15">
      <c r="A385" s="1">
        <v>88888888</v>
      </c>
      <c r="B385" s="351" t="s">
        <v>742</v>
      </c>
      <c r="C385" s="40" t="s">
        <v>743</v>
      </c>
      <c r="D385" s="1" t="s">
        <v>744</v>
      </c>
      <c r="H385" s="1">
        <v>0</v>
      </c>
      <c r="L385" s="1">
        <v>0</v>
      </c>
      <c r="Q385" s="1" t="s">
        <v>728</v>
      </c>
      <c r="X385" s="1">
        <v>1</v>
      </c>
      <c r="Y385" s="1">
        <v>0</v>
      </c>
      <c r="Z385" s="1">
        <v>0</v>
      </c>
      <c r="AB385" s="56">
        <v>4006</v>
      </c>
      <c r="AC385" s="56" t="s">
        <v>745</v>
      </c>
      <c r="AD385" s="56"/>
      <c r="AE385" s="56" t="s">
        <v>291</v>
      </c>
      <c r="AF385" s="56"/>
      <c r="AG385" s="56"/>
      <c r="AH385" s="56"/>
      <c r="AI385" s="56"/>
      <c r="AJ385" s="56"/>
      <c r="AK385" s="56"/>
      <c r="AL385" s="64"/>
      <c r="AM385" s="64"/>
      <c r="AN385" s="64"/>
      <c r="AO385" s="64"/>
      <c r="AP385" s="64"/>
      <c r="AQ385" s="64"/>
      <c r="AR385" s="64"/>
      <c r="AS385" s="17"/>
      <c r="AT385" s="17"/>
      <c r="AU385" s="64"/>
      <c r="AV385" s="64"/>
      <c r="AW385" s="64"/>
      <c r="AX385" s="64"/>
      <c r="AY385" s="64"/>
      <c r="AZ385" s="64"/>
      <c r="BA385" s="77" t="s">
        <v>270</v>
      </c>
      <c r="BB385" s="75">
        <v>0.1</v>
      </c>
      <c r="BC385" s="75">
        <v>0.01</v>
      </c>
      <c r="BD385" s="75"/>
      <c r="BE385" s="75"/>
      <c r="BF385" s="75">
        <v>0</v>
      </c>
      <c r="BG385" s="75">
        <v>0</v>
      </c>
      <c r="BH385" s="75">
        <v>0</v>
      </c>
      <c r="BI385" s="75"/>
      <c r="BJ385" s="80" t="s">
        <v>270</v>
      </c>
      <c r="BK385" s="80"/>
      <c r="BL385" s="80"/>
      <c r="BM385" s="80"/>
      <c r="BN385" s="80"/>
      <c r="BO385" s="80"/>
      <c r="BP385" s="80"/>
      <c r="BQ385" s="80"/>
      <c r="BR385" s="80"/>
      <c r="BS385" s="80"/>
      <c r="BT385" s="80"/>
      <c r="BU385" s="80"/>
      <c r="BV385" s="80"/>
      <c r="BW385" s="80"/>
      <c r="BX385" s="80"/>
      <c r="BY385" s="80"/>
      <c r="BZ385" s="80"/>
      <c r="CA385" s="80"/>
      <c r="CB385" s="80"/>
      <c r="CC385" s="80"/>
      <c r="CD385" s="80"/>
      <c r="CE385" s="80"/>
      <c r="CX385" s="40" t="s">
        <v>273</v>
      </c>
      <c r="DB385" s="1">
        <v>88888888</v>
      </c>
      <c r="DC385" s="1" t="b">
        <v>1</v>
      </c>
      <c r="DD385" s="1" t="s">
        <v>274</v>
      </c>
      <c r="DE385" s="1" t="s">
        <v>292</v>
      </c>
      <c r="DF385" s="1" t="s">
        <v>276</v>
      </c>
      <c r="DG385" s="1" t="s">
        <v>310</v>
      </c>
      <c r="DH385" s="1">
        <v>2</v>
      </c>
      <c r="DI385" s="1" t="b">
        <v>0</v>
      </c>
      <c r="DP385" s="96" t="str">
        <f>"SkillDetail_"&amp;A385</f>
        <v>SkillDetail_88888888</v>
      </c>
      <c r="DQ385" s="57" t="s">
        <v>746</v>
      </c>
      <c r="DR385" s="57" t="str">
        <f t="shared" si="8"/>
        <v>对扇形范围内至多3个目标造成{0:0}%伤害</v>
      </c>
      <c r="DS385" s="1" t="s">
        <v>747</v>
      </c>
      <c r="DU385" s="1" t="s">
        <v>280</v>
      </c>
      <c r="DV385" s="98"/>
      <c r="DZ385" s="109">
        <v>1</v>
      </c>
      <c r="EA385" s="110" t="s">
        <v>281</v>
      </c>
      <c r="EB385" s="110" t="s">
        <v>282</v>
      </c>
      <c r="EC385" s="110" t="s">
        <v>283</v>
      </c>
      <c r="ED385" s="110" t="s">
        <v>283</v>
      </c>
      <c r="EE385" s="1" t="s">
        <v>284</v>
      </c>
      <c r="EF385" s="1" t="str">
        <f t="array" ref="EF385">IF(ISNUMBER(FIND("数值%",INDEX($1:$693,ROW($BA385)+_xlfn.NUMBERVALUE(MID(EA385,1,1)),COLUMN($BA385)+8*_xlfn.NUMBERVALUE(MID(EA385,3,3))))),"{"&amp;EA385&amp;"}"&amp;"%","{"&amp;EA385&amp;"}")</f>
        <v>{0:0}%</v>
      </c>
      <c r="EG385" s="1" t="str">
        <f>REPLACEB(DS385,FINDB(EE385,DS385),LEN(EE385),EF385)</f>
        <v>对扇形范围内至多3个目标造成{0:0}%伤害</v>
      </c>
      <c r="EH385" s="1" t="s">
        <v>285</v>
      </c>
      <c r="EI385" s="1" t="str">
        <f t="array" ref="EI385">IF(ISNUMBER(FIND("数值%",INDEX($1:$693,ROW($BA385)+_xlfn.NUMBERVALUE(MID(EB385,1,1)),COLUMN($BA385)+8*_xlfn.NUMBERVALUE(MID(EB385,3,1))))),"{"&amp;EB385&amp;"}"&amp;"%","{"&amp;EB385&amp;"}")</f>
        <v>{1:0}%</v>
      </c>
      <c r="EJ385" s="1" t="e">
        <f>REPLACEB(EG385,FINDB(EH385,EG385),LEN(EH385),EI385)</f>
        <v>#VALUE!</v>
      </c>
      <c r="EK385" s="1" t="s">
        <v>286</v>
      </c>
      <c r="EL385" s="1" t="str">
        <f t="array" ref="EL385">IF(ISNUMBER(FIND("数值%",INDEX($1:$693,ROW($BA385)+_xlfn.NUMBERVALUE(MID(EC385,1,1)),COLUMN($BA385)+8*_xlfn.NUMBERVALUE(MID(EC385,3,1))))),"{"&amp;EC385&amp;"}"&amp;"%","{"&amp;EC385&amp;"}")</f>
        <v>{2:0}</v>
      </c>
      <c r="EM385" s="1" t="e">
        <f>REPLACEB(EJ385,FINDB(EK385,EJ385),LEN(EK385),EL385)</f>
        <v>#VALUE!</v>
      </c>
      <c r="EN385" s="1" t="s">
        <v>287</v>
      </c>
      <c r="EO385" s="1" t="str">
        <f t="array" ref="EO385">IF(ISNUMBER(FIND("数值%",INDEX($1:$693,ROW($BA385)+_xlfn.NUMBERVALUE(MID(ED385,1,1)),COLUMN($BA385)+8*_xlfn.NUMBERVALUE(MID(ED385,3,1))))),"{"&amp;ED385&amp;"}"&amp;"%","{"&amp;ED385&amp;"}")</f>
        <v>{2:0}</v>
      </c>
      <c r="EP385" s="1" t="e">
        <f>REPLACEB(EM385,FINDB(EN385,EM385),LEN(EN385),EO385)</f>
        <v>#VALUE!</v>
      </c>
    </row>
    <row r="386" spans="1:149" s="1" customFormat="1" ht="15" customHeight="1" x14ac:dyDescent="0.15">
      <c r="B386" s="351"/>
      <c r="C386" s="40"/>
      <c r="AB386" s="56">
        <v>3003</v>
      </c>
      <c r="AC386" s="56" t="s">
        <v>748</v>
      </c>
      <c r="AD386" s="56"/>
      <c r="AE386" s="56"/>
      <c r="AF386" s="56"/>
      <c r="AG386" s="56"/>
      <c r="AH386" s="56"/>
      <c r="AI386" s="56"/>
      <c r="AJ386" s="56"/>
      <c r="AK386" s="56"/>
      <c r="AL386" s="64"/>
      <c r="AM386" s="64"/>
      <c r="AN386" s="64"/>
      <c r="AO386" s="64"/>
      <c r="AP386" s="64"/>
      <c r="AQ386" s="64"/>
      <c r="AR386" s="64"/>
      <c r="AS386" s="17"/>
      <c r="AT386" s="17"/>
      <c r="AU386" s="64"/>
      <c r="AV386" s="64"/>
      <c r="AW386" s="64"/>
      <c r="AX386" s="64"/>
      <c r="AY386" s="64"/>
      <c r="AZ386" s="64"/>
      <c r="BA386" s="77" t="s">
        <v>270</v>
      </c>
      <c r="BB386" s="75">
        <v>1</v>
      </c>
      <c r="BC386" s="75">
        <v>0.1</v>
      </c>
      <c r="BD386" s="75"/>
      <c r="BE386" s="75"/>
      <c r="BF386" s="75">
        <v>0</v>
      </c>
      <c r="BG386" s="75">
        <v>0</v>
      </c>
      <c r="BH386" s="75">
        <v>0</v>
      </c>
      <c r="BI386" s="75"/>
      <c r="BJ386" s="80"/>
      <c r="BK386" s="80"/>
      <c r="BL386" s="80"/>
      <c r="BM386" s="80"/>
      <c r="BN386" s="80"/>
      <c r="BO386" s="80"/>
      <c r="BP386" s="80"/>
      <c r="BQ386" s="80"/>
      <c r="BR386" s="80"/>
      <c r="BS386" s="80"/>
      <c r="BT386" s="80"/>
      <c r="BU386" s="80"/>
      <c r="BV386" s="80"/>
      <c r="BW386" s="80"/>
      <c r="BX386" s="80"/>
      <c r="BY386" s="80"/>
      <c r="BZ386" s="80"/>
      <c r="CA386" s="80"/>
      <c r="CB386" s="80"/>
      <c r="CC386" s="80"/>
      <c r="CD386" s="80"/>
      <c r="CE386" s="80"/>
      <c r="CX386" s="40"/>
      <c r="DP386" s="96"/>
      <c r="DQ386" s="57"/>
      <c r="DR386" s="57" t="str">
        <f t="shared" si="8"/>
        <v/>
      </c>
      <c r="DU386" s="1" t="s">
        <v>280</v>
      </c>
      <c r="DV386" s="98"/>
      <c r="DY386" s="98"/>
      <c r="EA386" s="98"/>
      <c r="EB386" s="98"/>
      <c r="EC386" s="98"/>
      <c r="ED386" s="98"/>
    </row>
    <row r="387" spans="1:149" s="1" customFormat="1" ht="15" customHeight="1" x14ac:dyDescent="0.15">
      <c r="B387" s="351"/>
      <c r="C387" s="40"/>
      <c r="AB387" s="56">
        <v>40001114</v>
      </c>
      <c r="AC387" s="56" t="s">
        <v>749</v>
      </c>
      <c r="AD387" s="56"/>
      <c r="AE387" s="56"/>
      <c r="AF387" s="56"/>
      <c r="AG387" s="56"/>
      <c r="AH387" s="56"/>
      <c r="AI387" s="56"/>
      <c r="AJ387" s="56">
        <v>3</v>
      </c>
      <c r="AK387" s="56"/>
      <c r="AL387" s="64"/>
      <c r="AM387" s="64"/>
      <c r="AN387" s="64"/>
      <c r="AO387" s="64"/>
      <c r="AP387" s="64"/>
      <c r="AQ387" s="64"/>
      <c r="AR387" s="64"/>
      <c r="AS387" s="17"/>
      <c r="AT387" s="17"/>
      <c r="AU387" s="64"/>
      <c r="AV387" s="64"/>
      <c r="AW387" s="64"/>
      <c r="AX387" s="64"/>
      <c r="AY387" s="64"/>
      <c r="AZ387" s="64"/>
      <c r="BA387" s="77"/>
      <c r="BB387" s="75"/>
      <c r="BC387" s="75"/>
      <c r="BD387" s="75"/>
      <c r="BE387" s="75"/>
      <c r="BF387" s="75"/>
      <c r="BG387" s="75"/>
      <c r="BH387" s="75"/>
      <c r="BI387" s="75"/>
      <c r="BJ387" s="80"/>
      <c r="BK387" s="80"/>
      <c r="BL387" s="80"/>
      <c r="BM387" s="80"/>
      <c r="BN387" s="80"/>
      <c r="BO387" s="80"/>
      <c r="BP387" s="80"/>
      <c r="BQ387" s="80"/>
      <c r="BR387" s="80"/>
      <c r="BS387" s="80"/>
      <c r="BT387" s="80"/>
      <c r="BU387" s="80"/>
      <c r="BV387" s="80"/>
      <c r="BW387" s="80"/>
      <c r="BX387" s="80"/>
      <c r="BY387" s="80"/>
      <c r="BZ387" s="80"/>
      <c r="CA387" s="80"/>
      <c r="CB387" s="80"/>
      <c r="CC387" s="80"/>
      <c r="CD387" s="80"/>
      <c r="CE387" s="80"/>
      <c r="CX387" s="40"/>
      <c r="DP387" s="96"/>
      <c r="DQ387" s="57"/>
      <c r="DR387" s="57" t="str">
        <f t="shared" si="8"/>
        <v/>
      </c>
      <c r="DU387" s="1" t="s">
        <v>280</v>
      </c>
      <c r="DV387" s="98"/>
      <c r="DY387" s="98"/>
      <c r="EA387" s="98"/>
      <c r="EB387" s="98"/>
      <c r="EC387" s="98"/>
      <c r="ED387" s="98"/>
    </row>
    <row r="388" spans="1:149" s="1" customFormat="1" ht="33" x14ac:dyDescent="0.15">
      <c r="A388" s="1">
        <v>100001001</v>
      </c>
      <c r="B388" s="351" t="s">
        <v>288</v>
      </c>
      <c r="C388" s="40" t="s">
        <v>289</v>
      </c>
      <c r="D388" s="1" t="s">
        <v>750</v>
      </c>
      <c r="H388" s="1">
        <v>0</v>
      </c>
      <c r="L388" s="1">
        <v>0</v>
      </c>
      <c r="Q388" s="1" t="s">
        <v>728</v>
      </c>
      <c r="X388" s="1">
        <v>0.1</v>
      </c>
      <c r="Y388" s="1">
        <v>0</v>
      </c>
      <c r="Z388" s="1">
        <v>0</v>
      </c>
      <c r="AB388" s="56">
        <v>2105</v>
      </c>
      <c r="AC388" s="56"/>
      <c r="AD388" s="56"/>
      <c r="AE388" s="56" t="s">
        <v>291</v>
      </c>
      <c r="AF388" s="56"/>
      <c r="AG388" s="56"/>
      <c r="AH388" s="56"/>
      <c r="AI388" s="56"/>
      <c r="AJ388" s="56">
        <v>5</v>
      </c>
      <c r="AK388" s="56"/>
      <c r="AL388" s="64"/>
      <c r="AM388" s="64"/>
      <c r="AN388" s="64"/>
      <c r="AO388" s="64"/>
      <c r="AP388" s="64"/>
      <c r="AQ388" s="64"/>
      <c r="AR388" s="64"/>
      <c r="AS388" s="17"/>
      <c r="AT388" s="17"/>
      <c r="AU388" s="64"/>
      <c r="AV388" s="64"/>
      <c r="AW388" s="64"/>
      <c r="AX388" s="64"/>
      <c r="AY388" s="64"/>
      <c r="AZ388" s="64"/>
      <c r="BA388" s="77" t="s">
        <v>270</v>
      </c>
      <c r="BB388" s="75">
        <v>0.15</v>
      </c>
      <c r="BC388" s="75">
        <v>1.4999999999999999E-2</v>
      </c>
      <c r="BD388" s="75"/>
      <c r="BE388" s="75"/>
      <c r="BF388" s="75">
        <v>0</v>
      </c>
      <c r="BG388" s="75">
        <v>0</v>
      </c>
      <c r="BH388" s="75">
        <v>0</v>
      </c>
      <c r="BI388" s="75"/>
      <c r="BJ388" s="80" t="s">
        <v>270</v>
      </c>
      <c r="BK388" s="80">
        <v>0.1</v>
      </c>
      <c r="BL388" s="80">
        <v>0</v>
      </c>
      <c r="BM388" s="80"/>
      <c r="BN388" s="80"/>
      <c r="BO388" s="80">
        <v>0</v>
      </c>
      <c r="BP388" s="80">
        <v>0</v>
      </c>
      <c r="BQ388" s="80">
        <v>0</v>
      </c>
      <c r="BR388" s="80"/>
      <c r="BS388" s="80"/>
      <c r="BT388" s="80"/>
      <c r="BU388" s="80"/>
      <c r="BV388" s="80"/>
      <c r="BW388" s="80"/>
      <c r="BX388" s="80"/>
      <c r="BY388" s="80"/>
      <c r="BZ388" s="80"/>
      <c r="CA388" s="80"/>
      <c r="CB388" s="80"/>
      <c r="CC388" s="80"/>
      <c r="CD388" s="80"/>
      <c r="CE388" s="80"/>
      <c r="CX388" s="40" t="s">
        <v>273</v>
      </c>
      <c r="DB388" s="1">
        <v>100001001</v>
      </c>
      <c r="DC388" s="1" t="b">
        <v>0</v>
      </c>
      <c r="DD388" s="1" t="s">
        <v>274</v>
      </c>
      <c r="DE388" s="1" t="s">
        <v>751</v>
      </c>
      <c r="DF388" s="1" t="s">
        <v>276</v>
      </c>
      <c r="DG388" s="1" t="s">
        <v>277</v>
      </c>
      <c r="DH388" s="1">
        <v>3</v>
      </c>
      <c r="DI388" s="1" t="b">
        <v>0</v>
      </c>
      <c r="DP388" s="96" t="str">
        <f t="shared" ref="DP388:DP402" si="9">"SkillDetail_"&amp;A388</f>
        <v>SkillDetail_100001001</v>
      </c>
      <c r="DQ388" s="57" t="s">
        <v>752</v>
      </c>
      <c r="DR388" s="57" t="str">
        <f t="shared" si="8"/>
        <v>增加剑士{0:0}%生命加成，持续5秒</v>
      </c>
      <c r="DS388" s="1" t="s">
        <v>753</v>
      </c>
      <c r="DU388" s="1" t="s">
        <v>280</v>
      </c>
      <c r="DV388" s="98"/>
      <c r="DZ388" s="109">
        <v>1</v>
      </c>
      <c r="EA388" s="110" t="s">
        <v>281</v>
      </c>
      <c r="EB388" s="110" t="s">
        <v>282</v>
      </c>
      <c r="EC388" s="110" t="s">
        <v>283</v>
      </c>
      <c r="ED388" s="110" t="s">
        <v>283</v>
      </c>
      <c r="EE388" s="1" t="s">
        <v>284</v>
      </c>
      <c r="EF388" s="1" t="str">
        <f t="array" ref="EF388">IF(ISNUMBER(FIND("数值%",INDEX($1:$693,ROW($BA388)+_xlfn.NUMBERVALUE(MID(EA388,1,1)),COLUMN($BA388)+8*_xlfn.NUMBERVALUE(MID(EA388,3,3))))),"{"&amp;EA388&amp;"}"&amp;"%","{"&amp;EA388&amp;"}")</f>
        <v>{0:0}%</v>
      </c>
      <c r="EG388" s="1" t="str">
        <f t="shared" ref="EG388:EG402" si="10">REPLACEB(DS388,FINDB(EE388,DS388),LEN(EE388),EF388)</f>
        <v>增加剑士{0:0}%生命加成，持续5秒</v>
      </c>
      <c r="EH388" s="1" t="s">
        <v>285</v>
      </c>
      <c r="EI388" s="1" t="str">
        <f t="array" ref="EI388">IF(ISNUMBER(FIND("数值%",INDEX($1:$693,ROW($BA388)+_xlfn.NUMBERVALUE(MID(EB388,1,1)),COLUMN($BA388)+8*_xlfn.NUMBERVALUE(MID(EB388,3,1))))),"{"&amp;EB388&amp;"}"&amp;"%","{"&amp;EB388&amp;"}")</f>
        <v>{1:0}%</v>
      </c>
      <c r="EJ388" s="1" t="e">
        <f t="shared" ref="EJ388:EJ402" si="11">REPLACEB(EG388,FINDB(EH388,EG388),LEN(EH388),EI388)</f>
        <v>#VALUE!</v>
      </c>
      <c r="EK388" s="1" t="s">
        <v>286</v>
      </c>
      <c r="EL388" s="1" t="str">
        <f t="array" ref="EL388">IF(ISNUMBER(FIND("数值%",INDEX($1:$693,ROW($BA388)+_xlfn.NUMBERVALUE(MID(EC388,1,1)),COLUMN($BA388)+8*_xlfn.NUMBERVALUE(MID(EC388,3,1))))),"{"&amp;EC388&amp;"}"&amp;"%","{"&amp;EC388&amp;"}")</f>
        <v>{2:0}%</v>
      </c>
      <c r="EM388" s="1" t="e">
        <f t="shared" ref="EM388:EM402" si="12">REPLACEB(EJ388,FINDB(EK388,EJ388),LEN(EK388),EL388)</f>
        <v>#VALUE!</v>
      </c>
      <c r="EN388" s="1" t="s">
        <v>287</v>
      </c>
      <c r="EO388" s="1" t="str">
        <f t="array" ref="EO388">IF(ISNUMBER(FIND("数值%",INDEX($1:$693,ROW($BA388)+_xlfn.NUMBERVALUE(MID(ED388,1,1)),COLUMN($BA388)+8*_xlfn.NUMBERVALUE(MID(ED388,3,1))))),"{"&amp;ED388&amp;"}"&amp;"%","{"&amp;ED388&amp;"}")</f>
        <v>{2:0}%</v>
      </c>
      <c r="EP388" s="1" t="e">
        <f t="shared" ref="EP388:EP402" si="13">REPLACEB(EM388,FINDB(EN388,EM388),LEN(EN388),EO388)</f>
        <v>#VALUE!</v>
      </c>
    </row>
    <row r="389" spans="1:149" s="1" customFormat="1" ht="33" x14ac:dyDescent="0.15">
      <c r="A389" s="1">
        <v>100001002</v>
      </c>
      <c r="B389" s="351" t="s">
        <v>288</v>
      </c>
      <c r="C389" s="40" t="s">
        <v>289</v>
      </c>
      <c r="D389" s="1" t="s">
        <v>290</v>
      </c>
      <c r="H389" s="1">
        <v>0</v>
      </c>
      <c r="L389" s="20">
        <v>0</v>
      </c>
      <c r="M389" s="20"/>
      <c r="N389" s="20"/>
      <c r="O389" s="20"/>
      <c r="P389" s="20"/>
      <c r="Q389" s="1" t="s">
        <v>269</v>
      </c>
      <c r="X389" s="1">
        <v>1</v>
      </c>
      <c r="Y389" s="1">
        <v>0</v>
      </c>
      <c r="Z389" s="1">
        <v>0</v>
      </c>
      <c r="AB389" s="56">
        <v>2255</v>
      </c>
      <c r="AC389" s="56"/>
      <c r="AD389" s="56"/>
      <c r="AE389" s="56" t="s">
        <v>291</v>
      </c>
      <c r="AF389" s="56"/>
      <c r="AG389" s="56"/>
      <c r="AH389" s="56"/>
      <c r="AI389" s="56"/>
      <c r="AJ389" s="56">
        <v>10</v>
      </c>
      <c r="AK389" s="56"/>
      <c r="AL389" s="64"/>
      <c r="AM389" s="64"/>
      <c r="AN389" s="64"/>
      <c r="AO389" s="64"/>
      <c r="AP389" s="64"/>
      <c r="AQ389" s="64"/>
      <c r="AR389" s="64"/>
      <c r="AS389" s="17"/>
      <c r="AT389" s="17"/>
      <c r="AU389" s="64"/>
      <c r="AV389" s="64"/>
      <c r="AW389" s="64"/>
      <c r="AX389" s="64"/>
      <c r="AY389" s="64"/>
      <c r="AZ389" s="64"/>
      <c r="BA389" s="77" t="s">
        <v>270</v>
      </c>
      <c r="BB389" s="75">
        <v>0.15</v>
      </c>
      <c r="BC389" s="75">
        <v>1.4999999999999999E-2</v>
      </c>
      <c r="BD389" s="75"/>
      <c r="BE389" s="75"/>
      <c r="BF389" s="75">
        <v>0</v>
      </c>
      <c r="BG389" s="75">
        <v>0</v>
      </c>
      <c r="BH389" s="75">
        <v>0</v>
      </c>
      <c r="BI389" s="75"/>
      <c r="BJ389" s="80"/>
      <c r="BK389" s="80"/>
      <c r="BL389" s="80"/>
      <c r="BM389" s="80"/>
      <c r="BN389" s="80"/>
      <c r="BO389" s="80"/>
      <c r="BP389" s="80"/>
      <c r="BQ389" s="80"/>
      <c r="BR389" s="80"/>
      <c r="BS389" s="80"/>
      <c r="BT389" s="80"/>
      <c r="BU389" s="80"/>
      <c r="BV389" s="80"/>
      <c r="BW389" s="80"/>
      <c r="BX389" s="80"/>
      <c r="BY389" s="80"/>
      <c r="BZ389" s="80"/>
      <c r="CA389" s="80"/>
      <c r="CB389" s="80"/>
      <c r="CC389" s="80"/>
      <c r="CD389" s="80"/>
      <c r="CE389" s="80"/>
      <c r="CN389" s="1">
        <v>200</v>
      </c>
      <c r="CO389" s="1">
        <v>0</v>
      </c>
      <c r="CP389" s="1">
        <v>200</v>
      </c>
      <c r="CQ389" s="1">
        <v>10</v>
      </c>
      <c r="CX389" s="40" t="s">
        <v>273</v>
      </c>
      <c r="DB389" s="1">
        <v>100001002</v>
      </c>
      <c r="DC389" s="1" t="b">
        <v>1</v>
      </c>
      <c r="DD389" s="1" t="s">
        <v>274</v>
      </c>
      <c r="DE389" s="1" t="s">
        <v>292</v>
      </c>
      <c r="DF389" s="1" t="s">
        <v>276</v>
      </c>
      <c r="DG389" s="1" t="s">
        <v>277</v>
      </c>
      <c r="DH389" s="1">
        <v>4</v>
      </c>
      <c r="DI389" s="1" t="b">
        <v>1</v>
      </c>
      <c r="DP389" s="96" t="str">
        <f t="shared" si="9"/>
        <v>SkillDetail_100001002</v>
      </c>
      <c r="DQ389" s="57" t="s">
        <v>754</v>
      </c>
      <c r="DR389" s="57" t="str">
        <f t="shared" si="8"/>
        <v>增加部队{0:0}%减伤，持续10秒</v>
      </c>
      <c r="DS389" s="1" t="s">
        <v>755</v>
      </c>
      <c r="DU389" s="1" t="s">
        <v>280</v>
      </c>
      <c r="DV389" s="66"/>
      <c r="DZ389" s="109">
        <v>1</v>
      </c>
      <c r="EA389" s="110" t="s">
        <v>281</v>
      </c>
      <c r="EB389" s="110" t="s">
        <v>282</v>
      </c>
      <c r="EC389" s="110" t="s">
        <v>283</v>
      </c>
      <c r="ED389" s="110" t="s">
        <v>283</v>
      </c>
      <c r="EE389" s="1" t="s">
        <v>284</v>
      </c>
      <c r="EF389" s="1" t="str">
        <f t="array" ref="EF389">IF(ISNUMBER(FIND("数值%",INDEX($1:$693,ROW($BA389)+_xlfn.NUMBERVALUE(MID(EA389,1,1)),COLUMN($BA389)+8*_xlfn.NUMBERVALUE(MID(EA389,3,3))))),"{"&amp;EA389&amp;"}"&amp;"%","{"&amp;EA389&amp;"}")</f>
        <v>{0:0}%</v>
      </c>
      <c r="EG389" s="1" t="str">
        <f t="shared" si="10"/>
        <v>增加部队{0:0}%减伤，持续10秒</v>
      </c>
      <c r="EH389" s="1" t="s">
        <v>285</v>
      </c>
      <c r="EI389" s="1" t="str">
        <f t="array" ref="EI389">IF(ISNUMBER(FIND("数值%",INDEX($1:$693,ROW($BA389)+_xlfn.NUMBERVALUE(MID(EB389,1,1)),COLUMN($BA389)+8*_xlfn.NUMBERVALUE(MID(EB389,3,1))))),"{"&amp;EB389&amp;"}"&amp;"%","{"&amp;EB389&amp;"}")</f>
        <v>{1:0}%</v>
      </c>
      <c r="EJ389" s="1" t="e">
        <f t="shared" si="11"/>
        <v>#VALUE!</v>
      </c>
      <c r="EK389" s="1" t="s">
        <v>286</v>
      </c>
      <c r="EL389" s="1" t="str">
        <f t="array" ref="EL389">IF(ISNUMBER(FIND("数值%",INDEX($1:$693,ROW($BA389)+_xlfn.NUMBERVALUE(MID(EC389,1,1)),COLUMN($BA389)+8*_xlfn.NUMBERVALUE(MID(EC389,3,1))))),"{"&amp;EC389&amp;"}"&amp;"%","{"&amp;EC389&amp;"}")</f>
        <v>{2:0}%</v>
      </c>
      <c r="EM389" s="1" t="e">
        <f t="shared" si="12"/>
        <v>#VALUE!</v>
      </c>
      <c r="EN389" s="1" t="s">
        <v>287</v>
      </c>
      <c r="EO389" s="1" t="str">
        <f t="array" ref="EO389">IF(ISNUMBER(FIND("数值%",INDEX($1:$693,ROW($BA389)+_xlfn.NUMBERVALUE(MID(ED389,1,1)),COLUMN($BA389)+8*_xlfn.NUMBERVALUE(MID(ED389,3,1))))),"{"&amp;ED389&amp;"}"&amp;"%","{"&amp;ED389&amp;"}")</f>
        <v>{2:0}%</v>
      </c>
      <c r="EP389" s="1" t="e">
        <f t="shared" si="13"/>
        <v>#VALUE!</v>
      </c>
    </row>
    <row r="390" spans="1:149" s="1" customFormat="1" ht="33" x14ac:dyDescent="0.15">
      <c r="A390" s="1">
        <v>100003001</v>
      </c>
      <c r="B390" s="351" t="s">
        <v>756</v>
      </c>
      <c r="C390" s="40" t="s">
        <v>757</v>
      </c>
      <c r="D390" s="1" t="s">
        <v>267</v>
      </c>
      <c r="H390" s="1">
        <v>0</v>
      </c>
      <c r="L390" s="1">
        <v>0</v>
      </c>
      <c r="Q390" s="1" t="s">
        <v>728</v>
      </c>
      <c r="X390" s="1">
        <v>0.1</v>
      </c>
      <c r="Y390" s="1">
        <v>0</v>
      </c>
      <c r="Z390" s="1">
        <v>0</v>
      </c>
      <c r="AB390" s="56">
        <v>3001</v>
      </c>
      <c r="AC390" s="56"/>
      <c r="AD390" s="56"/>
      <c r="AE390" s="56"/>
      <c r="AF390" s="56"/>
      <c r="AG390" s="56"/>
      <c r="AH390" s="56"/>
      <c r="AI390" s="56"/>
      <c r="AJ390" s="56"/>
      <c r="AK390" s="56"/>
      <c r="AL390" s="64"/>
      <c r="AM390" s="64"/>
      <c r="AN390" s="64"/>
      <c r="AO390" s="64"/>
      <c r="AP390" s="64"/>
      <c r="AQ390" s="64"/>
      <c r="AR390" s="64"/>
      <c r="AS390" s="17"/>
      <c r="AT390" s="17"/>
      <c r="AU390" s="64"/>
      <c r="AV390" s="64"/>
      <c r="AW390" s="64"/>
      <c r="AX390" s="64"/>
      <c r="AY390" s="64"/>
      <c r="AZ390" s="64"/>
      <c r="BA390" s="77" t="s">
        <v>270</v>
      </c>
      <c r="BB390" s="75">
        <v>0.15</v>
      </c>
      <c r="BC390" s="75">
        <v>1.4999999999999999E-2</v>
      </c>
      <c r="BD390" s="75"/>
      <c r="BE390" s="75"/>
      <c r="BF390" s="75">
        <v>0</v>
      </c>
      <c r="BG390" s="75">
        <v>0</v>
      </c>
      <c r="BH390" s="75">
        <v>0</v>
      </c>
      <c r="BI390" s="75"/>
      <c r="BJ390" s="80" t="s">
        <v>270</v>
      </c>
      <c r="BK390" s="80"/>
      <c r="BL390" s="80"/>
      <c r="BM390" s="80"/>
      <c r="BN390" s="80"/>
      <c r="BO390" s="80"/>
      <c r="BP390" s="80"/>
      <c r="BQ390" s="80"/>
      <c r="BR390" s="80"/>
      <c r="BS390" s="80"/>
      <c r="BT390" s="80"/>
      <c r="BU390" s="80"/>
      <c r="BV390" s="80"/>
      <c r="BW390" s="80"/>
      <c r="BX390" s="80"/>
      <c r="BY390" s="80"/>
      <c r="BZ390" s="80"/>
      <c r="CA390" s="80"/>
      <c r="CB390" s="80"/>
      <c r="CC390" s="80"/>
      <c r="CD390" s="80"/>
      <c r="CE390" s="80"/>
      <c r="CX390" s="40" t="s">
        <v>273</v>
      </c>
      <c r="DB390" s="1">
        <v>100003001</v>
      </c>
      <c r="DC390" s="1" t="b">
        <v>1</v>
      </c>
      <c r="DD390" s="1" t="s">
        <v>274</v>
      </c>
      <c r="DE390" s="1" t="s">
        <v>292</v>
      </c>
      <c r="DF390" s="1" t="s">
        <v>276</v>
      </c>
      <c r="DG390" s="1" t="s">
        <v>310</v>
      </c>
      <c r="DH390" s="1">
        <v>5</v>
      </c>
      <c r="DI390" s="1" t="b">
        <v>0</v>
      </c>
      <c r="DP390" s="96" t="str">
        <f t="shared" si="9"/>
        <v>SkillDetail_100003001</v>
      </c>
      <c r="DQ390" s="57" t="s">
        <v>746</v>
      </c>
      <c r="DR390" s="57" t="str">
        <f t="shared" si="8"/>
        <v>对扇形范围内至多3个目标造成{0:0}%伤害</v>
      </c>
      <c r="DS390" s="1" t="s">
        <v>747</v>
      </c>
      <c r="DU390" s="1" t="s">
        <v>280</v>
      </c>
      <c r="DV390" s="98"/>
      <c r="DZ390" s="109">
        <v>1</v>
      </c>
      <c r="EA390" s="110" t="s">
        <v>281</v>
      </c>
      <c r="EB390" s="110" t="s">
        <v>282</v>
      </c>
      <c r="EC390" s="110" t="s">
        <v>283</v>
      </c>
      <c r="ED390" s="110" t="s">
        <v>283</v>
      </c>
      <c r="EE390" s="1" t="s">
        <v>284</v>
      </c>
      <c r="EF390" s="1" t="str">
        <f t="array" ref="EF390">IF(ISNUMBER(FIND("数值%",INDEX($1:$693,ROW($BA390)+_xlfn.NUMBERVALUE(MID(EA390,1,1)),COLUMN($BA390)+8*_xlfn.NUMBERVALUE(MID(EA390,3,3))))),"{"&amp;EA390&amp;"}"&amp;"%","{"&amp;EA390&amp;"}")</f>
        <v>{0:0}%</v>
      </c>
      <c r="EG390" s="1" t="str">
        <f t="shared" si="10"/>
        <v>对扇形范围内至多3个目标造成{0:0}%伤害</v>
      </c>
      <c r="EH390" s="1" t="s">
        <v>285</v>
      </c>
      <c r="EI390" s="1" t="str">
        <f t="array" ref="EI390">IF(ISNUMBER(FIND("数值%",INDEX($1:$693,ROW($BA390)+_xlfn.NUMBERVALUE(MID(EB390,1,1)),COLUMN($BA390)+8*_xlfn.NUMBERVALUE(MID(EB390,3,1))))),"{"&amp;EB390&amp;"}"&amp;"%","{"&amp;EB390&amp;"}")</f>
        <v>{1:0}%</v>
      </c>
      <c r="EJ390" s="1" t="e">
        <f t="shared" si="11"/>
        <v>#VALUE!</v>
      </c>
      <c r="EK390" s="1" t="s">
        <v>286</v>
      </c>
      <c r="EL390" s="1" t="str">
        <f t="array" ref="EL390">IF(ISNUMBER(FIND("数值%",INDEX($1:$693,ROW($BA390)+_xlfn.NUMBERVALUE(MID(EC390,1,1)),COLUMN($BA390)+8*_xlfn.NUMBERVALUE(MID(EC390,3,1))))),"{"&amp;EC390&amp;"}"&amp;"%","{"&amp;EC390&amp;"}")</f>
        <v>{2:0}%</v>
      </c>
      <c r="EM390" s="1" t="e">
        <f t="shared" si="12"/>
        <v>#VALUE!</v>
      </c>
      <c r="EN390" s="1" t="s">
        <v>287</v>
      </c>
      <c r="EO390" s="1" t="str">
        <f t="array" ref="EO390">IF(ISNUMBER(FIND("数值%",INDEX($1:$693,ROW($BA390)+_xlfn.NUMBERVALUE(MID(ED390,1,1)),COLUMN($BA390)+8*_xlfn.NUMBERVALUE(MID(ED390,3,1))))),"{"&amp;ED390&amp;"}"&amp;"%","{"&amp;ED390&amp;"}")</f>
        <v>{2:0}%</v>
      </c>
      <c r="EP390" s="1" t="e">
        <f t="shared" si="13"/>
        <v>#VALUE!</v>
      </c>
    </row>
    <row r="391" spans="1:149" s="1" customFormat="1" ht="33" x14ac:dyDescent="0.15">
      <c r="A391" s="1">
        <v>100003002</v>
      </c>
      <c r="B391" s="351" t="s">
        <v>756</v>
      </c>
      <c r="C391" s="40" t="s">
        <v>757</v>
      </c>
      <c r="D391" s="1" t="s">
        <v>267</v>
      </c>
      <c r="H391" s="1">
        <v>0</v>
      </c>
      <c r="L391" s="20">
        <v>0</v>
      </c>
      <c r="M391" s="20"/>
      <c r="N391" s="20"/>
      <c r="O391" s="20"/>
      <c r="P391" s="20"/>
      <c r="Q391" s="1" t="s">
        <v>269</v>
      </c>
      <c r="X391" s="1">
        <v>1</v>
      </c>
      <c r="Y391" s="1">
        <v>0</v>
      </c>
      <c r="Z391" s="1">
        <v>0</v>
      </c>
      <c r="AB391" s="56">
        <v>2303</v>
      </c>
      <c r="AC391" s="56"/>
      <c r="AD391" s="56"/>
      <c r="AE391" s="56" t="s">
        <v>291</v>
      </c>
      <c r="AF391" s="56"/>
      <c r="AG391" s="56"/>
      <c r="AH391" s="56"/>
      <c r="AI391" s="56"/>
      <c r="AJ391" s="56">
        <v>5</v>
      </c>
      <c r="AK391" s="56"/>
      <c r="AL391" s="64"/>
      <c r="AM391" s="64"/>
      <c r="AN391" s="64"/>
      <c r="AO391" s="64"/>
      <c r="AP391" s="64"/>
      <c r="AQ391" s="64"/>
      <c r="AR391" s="64"/>
      <c r="AS391" s="17"/>
      <c r="AT391" s="17"/>
      <c r="AU391" s="64"/>
      <c r="AV391" s="64"/>
      <c r="AW391" s="64"/>
      <c r="AX391" s="64"/>
      <c r="AY391" s="64"/>
      <c r="AZ391" s="64"/>
      <c r="BA391" s="77" t="s">
        <v>270</v>
      </c>
      <c r="BB391" s="75"/>
      <c r="BC391" s="75"/>
      <c r="BD391" s="75"/>
      <c r="BE391" s="75"/>
      <c r="BF391" s="75"/>
      <c r="BG391" s="75"/>
      <c r="BH391" s="75"/>
      <c r="BI391" s="75"/>
      <c r="BJ391" s="80" t="s">
        <v>270</v>
      </c>
      <c r="BK391" s="80"/>
      <c r="BL391" s="80"/>
      <c r="BM391" s="80"/>
      <c r="BN391" s="80"/>
      <c r="BO391" s="80"/>
      <c r="BP391" s="80"/>
      <c r="BQ391" s="80"/>
      <c r="BR391" s="80"/>
      <c r="BS391" s="80"/>
      <c r="BT391" s="80"/>
      <c r="BU391" s="80"/>
      <c r="BV391" s="80"/>
      <c r="BW391" s="80"/>
      <c r="BX391" s="80"/>
      <c r="BY391" s="80"/>
      <c r="BZ391" s="80"/>
      <c r="CA391" s="80"/>
      <c r="CB391" s="80"/>
      <c r="CC391" s="80"/>
      <c r="CD391" s="80"/>
      <c r="CE391" s="80"/>
      <c r="CN391" s="1">
        <v>200</v>
      </c>
      <c r="CO391" s="1">
        <v>0</v>
      </c>
      <c r="CP391" s="1">
        <v>200</v>
      </c>
      <c r="CQ391" s="1">
        <v>10</v>
      </c>
      <c r="CX391" s="40" t="s">
        <v>273</v>
      </c>
      <c r="DB391" s="1">
        <v>100003002</v>
      </c>
      <c r="DC391" s="1" t="b">
        <v>1</v>
      </c>
      <c r="DD391" s="1" t="s">
        <v>274</v>
      </c>
      <c r="DE391" s="1" t="s">
        <v>758</v>
      </c>
      <c r="DF391" s="1" t="s">
        <v>276</v>
      </c>
      <c r="DG391" s="1" t="s">
        <v>293</v>
      </c>
      <c r="DH391" s="1">
        <v>1</v>
      </c>
      <c r="DI391" s="1" t="b">
        <v>1</v>
      </c>
      <c r="DP391" s="96" t="str">
        <f t="shared" si="9"/>
        <v>SkillDetail_100003002</v>
      </c>
      <c r="DQ391" s="57" t="s">
        <v>759</v>
      </c>
      <c r="DR391" s="57" t="str">
        <f t="shared" si="8"/>
        <v>增加部队{0:0}%暴击概率，持续5秒</v>
      </c>
      <c r="DS391" s="1" t="s">
        <v>760</v>
      </c>
      <c r="DU391" s="1" t="s">
        <v>280</v>
      </c>
      <c r="DV391" s="66"/>
      <c r="DZ391" s="109">
        <v>1</v>
      </c>
      <c r="EA391" s="110" t="s">
        <v>281</v>
      </c>
      <c r="EB391" s="110" t="s">
        <v>282</v>
      </c>
      <c r="EC391" s="110" t="s">
        <v>283</v>
      </c>
      <c r="ED391" s="110" t="s">
        <v>283</v>
      </c>
      <c r="EE391" s="1" t="s">
        <v>284</v>
      </c>
      <c r="EF391" s="1" t="str">
        <f t="array" ref="EF391">IF(ISNUMBER(FIND("数值%",INDEX($1:$693,ROW($BA391)+_xlfn.NUMBERVALUE(MID(EA391,1,1)),COLUMN($BA391)+8*_xlfn.NUMBERVALUE(MID(EA391,3,3))))),"{"&amp;EA391&amp;"}"&amp;"%","{"&amp;EA391&amp;"}")</f>
        <v>{0:0}%</v>
      </c>
      <c r="EG391" s="1" t="str">
        <f t="shared" si="10"/>
        <v>增加部队{0:0}%暴击概率，持续5秒</v>
      </c>
      <c r="EH391" s="1" t="s">
        <v>285</v>
      </c>
      <c r="EI391" s="1" t="str">
        <f t="array" ref="EI391">IF(ISNUMBER(FIND("数值%",INDEX($1:$693,ROW($BA391)+_xlfn.NUMBERVALUE(MID(EB391,1,1)),COLUMN($BA391)+8*_xlfn.NUMBERVALUE(MID(EB391,3,1))))),"{"&amp;EB391&amp;"}"&amp;"%","{"&amp;EB391&amp;"}")</f>
        <v>{1:0}%</v>
      </c>
      <c r="EJ391" s="1" t="e">
        <f t="shared" si="11"/>
        <v>#VALUE!</v>
      </c>
      <c r="EK391" s="1" t="s">
        <v>286</v>
      </c>
      <c r="EL391" s="1" t="str">
        <f t="array" ref="EL391">IF(ISNUMBER(FIND("数值%",INDEX($1:$693,ROW($BA391)+_xlfn.NUMBERVALUE(MID(EC391,1,1)),COLUMN($BA391)+8*_xlfn.NUMBERVALUE(MID(EC391,3,1))))),"{"&amp;EC391&amp;"}"&amp;"%","{"&amp;EC391&amp;"}")</f>
        <v>{2:0}%</v>
      </c>
      <c r="EM391" s="1" t="e">
        <f t="shared" si="12"/>
        <v>#VALUE!</v>
      </c>
      <c r="EN391" s="1" t="s">
        <v>287</v>
      </c>
      <c r="EO391" s="1" t="str">
        <f t="array" ref="EO391">IF(ISNUMBER(FIND("数值%",INDEX($1:$693,ROW($BA391)+_xlfn.NUMBERVALUE(MID(ED391,1,1)),COLUMN($BA391)+8*_xlfn.NUMBERVALUE(MID(ED391,3,1))))),"{"&amp;ED391&amp;"}"&amp;"%","{"&amp;ED391&amp;"}")</f>
        <v>{2:0}%</v>
      </c>
      <c r="EP391" s="1" t="e">
        <f t="shared" si="13"/>
        <v>#VALUE!</v>
      </c>
    </row>
    <row r="392" spans="1:149" s="1" customFormat="1" ht="33" customHeight="1" x14ac:dyDescent="0.15">
      <c r="A392" s="1">
        <v>100007001</v>
      </c>
      <c r="B392" s="37" t="s">
        <v>761</v>
      </c>
      <c r="C392" s="40" t="s">
        <v>762</v>
      </c>
      <c r="D392" s="1" t="s">
        <v>763</v>
      </c>
      <c r="H392" s="1">
        <v>0</v>
      </c>
      <c r="L392" s="1">
        <v>0</v>
      </c>
      <c r="Q392" s="1" t="s">
        <v>764</v>
      </c>
      <c r="X392" s="1">
        <v>0.1</v>
      </c>
      <c r="Y392" s="1">
        <v>0</v>
      </c>
      <c r="Z392" s="1">
        <v>0</v>
      </c>
      <c r="AB392" s="56">
        <v>3001</v>
      </c>
      <c r="AC392" s="56"/>
      <c r="AD392" s="56"/>
      <c r="AE392" s="56"/>
      <c r="AF392" s="56"/>
      <c r="AG392" s="56"/>
      <c r="AH392" s="56"/>
      <c r="AI392" s="56"/>
      <c r="AJ392" s="56"/>
      <c r="AK392" s="56"/>
      <c r="AL392" s="64"/>
      <c r="AM392" s="64"/>
      <c r="AN392" s="64"/>
      <c r="AO392" s="64"/>
      <c r="AP392" s="64"/>
      <c r="AQ392" s="64"/>
      <c r="AR392" s="64"/>
      <c r="AS392" s="17"/>
      <c r="AT392" s="17"/>
      <c r="AU392" s="64"/>
      <c r="AV392" s="64"/>
      <c r="AW392" s="64"/>
      <c r="AX392" s="64"/>
      <c r="AY392" s="64"/>
      <c r="AZ392" s="64"/>
      <c r="BA392" s="77" t="s">
        <v>270</v>
      </c>
      <c r="BB392" s="75">
        <v>0.15</v>
      </c>
      <c r="BC392" s="75">
        <v>1.4999999999999999E-2</v>
      </c>
      <c r="BD392" s="75"/>
      <c r="BE392" s="75"/>
      <c r="BF392" s="75"/>
      <c r="BG392" s="75"/>
      <c r="BH392" s="75"/>
      <c r="BI392" s="75"/>
      <c r="BJ392" s="80" t="s">
        <v>270</v>
      </c>
      <c r="BK392" s="80"/>
      <c r="BL392" s="80"/>
      <c r="BM392" s="80"/>
      <c r="BN392" s="80"/>
      <c r="BO392" s="80"/>
      <c r="BP392" s="80"/>
      <c r="BQ392" s="80"/>
      <c r="BR392" s="80"/>
      <c r="BS392" s="80"/>
      <c r="BT392" s="80"/>
      <c r="BU392" s="80"/>
      <c r="BV392" s="80"/>
      <c r="BW392" s="80"/>
      <c r="BX392" s="80"/>
      <c r="BY392" s="80"/>
      <c r="BZ392" s="80"/>
      <c r="CA392" s="80"/>
      <c r="CB392" s="80"/>
      <c r="CC392" s="80"/>
      <c r="CD392" s="80"/>
      <c r="CE392" s="80"/>
      <c r="CX392" s="40" t="s">
        <v>273</v>
      </c>
      <c r="DB392" s="1">
        <v>100007001</v>
      </c>
      <c r="DC392" s="1" t="b">
        <v>1</v>
      </c>
      <c r="DD392" s="1" t="s">
        <v>274</v>
      </c>
      <c r="DE392" s="1" t="s">
        <v>765</v>
      </c>
      <c r="DF392" s="1" t="s">
        <v>276</v>
      </c>
      <c r="DG392" s="1" t="s">
        <v>293</v>
      </c>
      <c r="DH392" s="1">
        <v>2</v>
      </c>
      <c r="DI392" s="1" t="b">
        <v>0</v>
      </c>
      <c r="DP392" s="96" t="str">
        <f t="shared" si="9"/>
        <v>SkillDetail_100007001</v>
      </c>
      <c r="DQ392" s="57" t="s">
        <v>766</v>
      </c>
      <c r="DR392" s="57" t="str">
        <f t="shared" ref="DR392:DR455" si="14">IF(DZ392="","",IF(DZ392=1,EG392,IF(DZ392=2,EJ392,IF(DZ392=3,EM392,IF(DZ392=4,EP392,IF(DZ392=0,DS392,"【参数配置有误】"&amp;DS392))))))</f>
        <v>普通攻击后，对目标造成一次{0:0}%伤害，并让目标减速目标，持续3秒</v>
      </c>
      <c r="DS392" s="1" t="s">
        <v>767</v>
      </c>
      <c r="DU392" s="1" t="s">
        <v>280</v>
      </c>
      <c r="DV392" s="98"/>
      <c r="DZ392" s="109">
        <v>1</v>
      </c>
      <c r="EA392" s="110" t="s">
        <v>281</v>
      </c>
      <c r="EB392" s="110" t="s">
        <v>282</v>
      </c>
      <c r="EC392" s="110" t="s">
        <v>283</v>
      </c>
      <c r="ED392" s="110" t="s">
        <v>283</v>
      </c>
      <c r="EE392" s="1" t="s">
        <v>284</v>
      </c>
      <c r="EF392" s="1" t="str">
        <f t="array" ref="EF392">IF(ISNUMBER(FIND("数值%",INDEX($1:$693,ROW($BA392)+_xlfn.NUMBERVALUE(MID(EA392,1,1)),COLUMN($BA392)+8*_xlfn.NUMBERVALUE(MID(EA392,3,3))))),"{"&amp;EA392&amp;"}"&amp;"%","{"&amp;EA392&amp;"}")</f>
        <v>{0:0}%</v>
      </c>
      <c r="EG392" s="1" t="str">
        <f t="shared" si="10"/>
        <v>普通攻击后，对目标造成一次{0:0}%伤害，并让目标减速目标，持续3秒</v>
      </c>
      <c r="EH392" s="1" t="s">
        <v>285</v>
      </c>
      <c r="EI392" s="1" t="str">
        <f t="array" ref="EI392">IF(ISNUMBER(FIND("数值%",INDEX($1:$693,ROW($BA392)+_xlfn.NUMBERVALUE(MID(EB392,1,1)),COLUMN($BA392)+8*_xlfn.NUMBERVALUE(MID(EB392,3,1))))),"{"&amp;EB392&amp;"}"&amp;"%","{"&amp;EB392&amp;"}")</f>
        <v>{1:0}%</v>
      </c>
      <c r="EJ392" s="1" t="e">
        <f t="shared" si="11"/>
        <v>#VALUE!</v>
      </c>
      <c r="EK392" s="1" t="s">
        <v>286</v>
      </c>
      <c r="EL392" s="1" t="str">
        <f t="array" ref="EL392">IF(ISNUMBER(FIND("数值%",INDEX($1:$693,ROW($BA392)+_xlfn.NUMBERVALUE(MID(EC392,1,1)),COLUMN($BA392)+8*_xlfn.NUMBERVALUE(MID(EC392,3,1))))),"{"&amp;EC392&amp;"}"&amp;"%","{"&amp;EC392&amp;"}")</f>
        <v>{2:0}%</v>
      </c>
      <c r="EM392" s="1" t="e">
        <f t="shared" si="12"/>
        <v>#VALUE!</v>
      </c>
      <c r="EN392" s="1" t="s">
        <v>287</v>
      </c>
      <c r="EO392" s="1" t="str">
        <f t="array" ref="EO392">IF(ISNUMBER(FIND("数值%",INDEX($1:$693,ROW($BA392)+_xlfn.NUMBERVALUE(MID(ED392,1,1)),COLUMN($BA392)+8*_xlfn.NUMBERVALUE(MID(ED392,3,1))))),"{"&amp;ED392&amp;"}"&amp;"%","{"&amp;ED392&amp;"}")</f>
        <v>{2:0}%</v>
      </c>
      <c r="EP392" s="1" t="e">
        <f t="shared" si="13"/>
        <v>#VALUE!</v>
      </c>
    </row>
    <row r="393" spans="1:149" s="1" customFormat="1" ht="33" customHeight="1" x14ac:dyDescent="0.15">
      <c r="A393" s="1">
        <v>100007002</v>
      </c>
      <c r="B393" s="37" t="s">
        <v>761</v>
      </c>
      <c r="C393" s="40" t="s">
        <v>762</v>
      </c>
      <c r="D393" s="1" t="s">
        <v>763</v>
      </c>
      <c r="H393" s="1">
        <v>0</v>
      </c>
      <c r="L393" s="20">
        <v>0</v>
      </c>
      <c r="M393" s="20"/>
      <c r="N393" s="20"/>
      <c r="O393" s="20"/>
      <c r="P393" s="20"/>
      <c r="Q393" s="1" t="s">
        <v>269</v>
      </c>
      <c r="X393" s="1">
        <v>1</v>
      </c>
      <c r="Y393" s="1">
        <v>0</v>
      </c>
      <c r="Z393" s="1">
        <v>0</v>
      </c>
      <c r="AB393" s="56">
        <v>3001</v>
      </c>
      <c r="AC393" s="56"/>
      <c r="AD393" s="56"/>
      <c r="AE393" s="56"/>
      <c r="AF393" s="56"/>
      <c r="AG393" s="56"/>
      <c r="AH393" s="56"/>
      <c r="AI393" s="56"/>
      <c r="AJ393" s="56"/>
      <c r="AK393" s="56"/>
      <c r="AL393" s="64"/>
      <c r="AM393" s="64"/>
      <c r="AN393" s="64"/>
      <c r="AO393" s="64"/>
      <c r="AP393" s="64"/>
      <c r="AQ393" s="64"/>
      <c r="AR393" s="64"/>
      <c r="AS393" s="17"/>
      <c r="AT393" s="17"/>
      <c r="AU393" s="64"/>
      <c r="AV393" s="64"/>
      <c r="AW393" s="64"/>
      <c r="AX393" s="64"/>
      <c r="AY393" s="64"/>
      <c r="AZ393" s="64"/>
      <c r="BA393" s="77" t="s">
        <v>270</v>
      </c>
      <c r="BB393" s="75">
        <v>0.35</v>
      </c>
      <c r="BC393" s="75">
        <v>3.5000000000000003E-2</v>
      </c>
      <c r="BD393" s="75"/>
      <c r="BE393" s="75"/>
      <c r="BF393" s="75">
        <v>0</v>
      </c>
      <c r="BG393" s="75">
        <v>0</v>
      </c>
      <c r="BH393" s="75">
        <v>0</v>
      </c>
      <c r="BI393" s="75"/>
      <c r="BJ393" s="80"/>
      <c r="BK393" s="80"/>
      <c r="BL393" s="80"/>
      <c r="BM393" s="80"/>
      <c r="BN393" s="80"/>
      <c r="BO393" s="80"/>
      <c r="BP393" s="80"/>
      <c r="BQ393" s="80"/>
      <c r="BR393" s="80"/>
      <c r="BS393" s="80"/>
      <c r="BT393" s="80"/>
      <c r="BU393" s="80"/>
      <c r="BV393" s="80"/>
      <c r="BW393" s="80"/>
      <c r="BX393" s="80"/>
      <c r="BY393" s="80"/>
      <c r="BZ393" s="80"/>
      <c r="CA393" s="80"/>
      <c r="CB393" s="80"/>
      <c r="CC393" s="80"/>
      <c r="CD393" s="80"/>
      <c r="CE393" s="80"/>
      <c r="CF393" s="1" t="s">
        <v>271</v>
      </c>
      <c r="CJ393" s="1" t="s">
        <v>1</v>
      </c>
      <c r="CK393" s="1" t="s">
        <v>768</v>
      </c>
      <c r="CN393" s="1">
        <v>200</v>
      </c>
      <c r="CO393" s="1">
        <v>0</v>
      </c>
      <c r="CP393" s="1">
        <v>200</v>
      </c>
      <c r="CQ393" s="1">
        <v>10</v>
      </c>
      <c r="CX393" s="40" t="s">
        <v>273</v>
      </c>
      <c r="DB393" s="1">
        <v>100007002</v>
      </c>
      <c r="DC393" s="1" t="b">
        <v>1</v>
      </c>
      <c r="DD393" s="1" t="s">
        <v>274</v>
      </c>
      <c r="DE393" s="1" t="s">
        <v>309</v>
      </c>
      <c r="DF393" s="1" t="s">
        <v>276</v>
      </c>
      <c r="DG393" s="1" t="s">
        <v>769</v>
      </c>
      <c r="DH393" s="1">
        <v>3</v>
      </c>
      <c r="DI393" s="1" t="b">
        <v>1</v>
      </c>
      <c r="DP393" s="96" t="str">
        <f t="shared" si="9"/>
        <v>SkillDetail_100007002</v>
      </c>
      <c r="DQ393" s="57" t="s">
        <v>770</v>
      </c>
      <c r="DR393" s="57" t="str">
        <f t="shared" si="14"/>
        <v>对扇形范围内至多3个目标释放枪阵，造成{0:0}%伤害。击飞目标并让目标晕眩，持续3秒</v>
      </c>
      <c r="DS393" s="1" t="s">
        <v>771</v>
      </c>
      <c r="DU393" s="1" t="s">
        <v>280</v>
      </c>
      <c r="DV393" s="66"/>
      <c r="DZ393" s="109">
        <v>1</v>
      </c>
      <c r="EA393" s="110" t="s">
        <v>281</v>
      </c>
      <c r="EB393" s="110" t="s">
        <v>282</v>
      </c>
      <c r="EC393" s="110" t="s">
        <v>283</v>
      </c>
      <c r="ED393" s="110" t="s">
        <v>283</v>
      </c>
      <c r="EE393" s="1" t="s">
        <v>284</v>
      </c>
      <c r="EF393" s="1" t="str">
        <f t="array" ref="EF393">IF(ISNUMBER(FIND("数值%",INDEX($1:$693,ROW($BA393)+_xlfn.NUMBERVALUE(MID(EA393,1,1)),COLUMN($BA393)+8*_xlfn.NUMBERVALUE(MID(EA393,3,3))))),"{"&amp;EA393&amp;"}"&amp;"%","{"&amp;EA393&amp;"}")</f>
        <v>{0:0}%</v>
      </c>
      <c r="EG393" s="1" t="str">
        <f t="shared" si="10"/>
        <v>对扇形范围内至多3个目标释放枪阵，造成{0:0}%伤害。击飞目标并让目标晕眩，持续3秒</v>
      </c>
      <c r="EH393" s="1" t="s">
        <v>285</v>
      </c>
      <c r="EI393" s="1" t="str">
        <f t="array" ref="EI393">IF(ISNUMBER(FIND("数值%",INDEX($1:$693,ROW($BA393)+_xlfn.NUMBERVALUE(MID(EB393,1,1)),COLUMN($BA393)+8*_xlfn.NUMBERVALUE(MID(EB393,3,1))))),"{"&amp;EB393&amp;"}"&amp;"%","{"&amp;EB393&amp;"}")</f>
        <v>{1:0}%</v>
      </c>
      <c r="EJ393" s="1" t="e">
        <f t="shared" si="11"/>
        <v>#VALUE!</v>
      </c>
      <c r="EK393" s="1" t="s">
        <v>286</v>
      </c>
      <c r="EL393" s="1" t="str">
        <f t="array" ref="EL393">IF(ISNUMBER(FIND("数值%",INDEX($1:$693,ROW($BA393)+_xlfn.NUMBERVALUE(MID(EC393,1,1)),COLUMN($BA393)+8*_xlfn.NUMBERVALUE(MID(EC393,3,1))))),"{"&amp;EC393&amp;"}"&amp;"%","{"&amp;EC393&amp;"}")</f>
        <v>{2:0}</v>
      </c>
      <c r="EM393" s="1" t="e">
        <f t="shared" si="12"/>
        <v>#VALUE!</v>
      </c>
      <c r="EN393" s="1" t="s">
        <v>287</v>
      </c>
      <c r="EO393" s="1" t="str">
        <f t="array" ref="EO393">IF(ISNUMBER(FIND("数值%",INDEX($1:$693,ROW($BA393)+_xlfn.NUMBERVALUE(MID(ED393,1,1)),COLUMN($BA393)+8*_xlfn.NUMBERVALUE(MID(ED393,3,1))))),"{"&amp;ED393&amp;"}"&amp;"%","{"&amp;ED393&amp;"}")</f>
        <v>{2:0}</v>
      </c>
      <c r="EP393" s="1" t="e">
        <f t="shared" si="13"/>
        <v>#VALUE!</v>
      </c>
    </row>
    <row r="394" spans="1:149" s="19" customFormat="1" ht="14.25" customHeight="1" x14ac:dyDescent="0.15">
      <c r="A394" s="1">
        <v>100007003</v>
      </c>
      <c r="B394" s="37" t="s">
        <v>761</v>
      </c>
      <c r="C394" s="40" t="s">
        <v>762</v>
      </c>
      <c r="D394" s="1" t="s">
        <v>763</v>
      </c>
      <c r="E394" s="1"/>
      <c r="F394" s="1"/>
      <c r="G394" s="1"/>
      <c r="H394" s="1">
        <v>0</v>
      </c>
      <c r="I394" s="1"/>
      <c r="J394" s="1"/>
      <c r="K394" s="1"/>
      <c r="L394" s="20">
        <v>0</v>
      </c>
      <c r="M394" s="20"/>
      <c r="N394" s="20"/>
      <c r="O394" s="20"/>
      <c r="P394" s="20"/>
      <c r="Q394" s="1" t="s">
        <v>269</v>
      </c>
      <c r="R394" s="1"/>
      <c r="S394" s="1"/>
      <c r="T394" s="1"/>
      <c r="U394" s="1"/>
      <c r="V394" s="1"/>
      <c r="W394" s="1"/>
      <c r="X394" s="1">
        <v>1</v>
      </c>
      <c r="Y394" s="1">
        <v>0</v>
      </c>
      <c r="Z394" s="1">
        <v>0</v>
      </c>
      <c r="AA394" s="1"/>
      <c r="AB394" s="56">
        <v>3001</v>
      </c>
      <c r="AC394" s="56"/>
      <c r="AD394" s="56"/>
      <c r="AE394" s="56"/>
      <c r="AF394" s="56"/>
      <c r="AG394" s="56"/>
      <c r="AH394" s="56"/>
      <c r="AI394" s="56"/>
      <c r="AJ394" s="56"/>
      <c r="AK394" s="56"/>
      <c r="AL394" s="64"/>
      <c r="AM394" s="64"/>
      <c r="AN394" s="64"/>
      <c r="AO394" s="64"/>
      <c r="AP394" s="64"/>
      <c r="AQ394" s="64"/>
      <c r="AR394" s="64"/>
      <c r="AS394" s="17"/>
      <c r="AT394" s="17"/>
      <c r="AU394" s="64"/>
      <c r="AV394" s="64"/>
      <c r="AW394" s="64"/>
      <c r="AX394" s="64"/>
      <c r="AY394" s="64"/>
      <c r="AZ394" s="64"/>
      <c r="BA394" s="77" t="s">
        <v>270</v>
      </c>
      <c r="BB394" s="75">
        <v>0.05</v>
      </c>
      <c r="BC394" s="75">
        <v>5.0000000000000001E-3</v>
      </c>
      <c r="BD394" s="75"/>
      <c r="BE394" s="75"/>
      <c r="BF394" s="75">
        <v>0</v>
      </c>
      <c r="BG394" s="75">
        <v>0</v>
      </c>
      <c r="BH394" s="75">
        <v>0</v>
      </c>
      <c r="BI394" s="75"/>
      <c r="BJ394" s="80"/>
      <c r="BK394" s="80"/>
      <c r="BL394" s="80"/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0"/>
      <c r="CC394" s="80"/>
      <c r="CD394" s="80"/>
      <c r="CE394" s="80"/>
      <c r="CF394" s="1" t="s">
        <v>271</v>
      </c>
      <c r="CG394" s="1"/>
      <c r="CH394" s="1"/>
      <c r="CI394" s="1"/>
      <c r="CJ394" s="1" t="s">
        <v>1</v>
      </c>
      <c r="CK394" s="1" t="s">
        <v>768</v>
      </c>
      <c r="CL394" s="1"/>
      <c r="CM394" s="1"/>
      <c r="CN394" s="1">
        <v>200</v>
      </c>
      <c r="CO394" s="1">
        <v>200</v>
      </c>
      <c r="CP394" s="1">
        <v>200</v>
      </c>
      <c r="CQ394" s="1">
        <v>10</v>
      </c>
      <c r="CR394" s="1"/>
      <c r="CS394" s="1"/>
      <c r="CT394" s="1"/>
      <c r="CU394" s="1"/>
      <c r="CV394" s="1"/>
      <c r="CW394" s="1"/>
      <c r="CX394" s="40" t="s">
        <v>273</v>
      </c>
      <c r="CY394" s="1"/>
      <c r="CZ394" s="1"/>
      <c r="DA394" s="1"/>
      <c r="DB394" s="1">
        <v>100007003</v>
      </c>
      <c r="DC394" s="1" t="b">
        <v>1</v>
      </c>
      <c r="DD394" s="1" t="s">
        <v>274</v>
      </c>
      <c r="DE394" s="1" t="s">
        <v>309</v>
      </c>
      <c r="DF394" s="1" t="s">
        <v>276</v>
      </c>
      <c r="DG394" s="1" t="s">
        <v>769</v>
      </c>
      <c r="DH394" s="1">
        <v>3</v>
      </c>
      <c r="DI394" s="1" t="b">
        <v>1</v>
      </c>
      <c r="DJ394" s="1"/>
      <c r="DK394" s="1"/>
      <c r="DL394" s="1"/>
      <c r="DM394" s="1"/>
      <c r="DN394" s="1"/>
      <c r="DO394" s="1"/>
      <c r="DP394" s="96" t="str">
        <f t="shared" si="9"/>
        <v>SkillDetail_100007003</v>
      </c>
      <c r="DQ394" s="57" t="s">
        <v>770</v>
      </c>
      <c r="DR394" s="57" t="str">
        <f t="shared" si="14"/>
        <v>对扇形范围内至多3个目标释放枪阵，造成{0:0}%伤害。击飞目标并让目标晕眩，持续3秒</v>
      </c>
      <c r="DS394" s="1" t="s">
        <v>771</v>
      </c>
      <c r="DT394" s="1"/>
      <c r="DU394" s="1" t="s">
        <v>280</v>
      </c>
      <c r="DV394" s="66"/>
      <c r="DW394" s="1"/>
      <c r="DX394" s="1"/>
      <c r="DY394" s="1"/>
      <c r="DZ394" s="109">
        <v>1</v>
      </c>
      <c r="EA394" s="110" t="s">
        <v>281</v>
      </c>
      <c r="EB394" s="110" t="s">
        <v>282</v>
      </c>
      <c r="EC394" s="110" t="s">
        <v>283</v>
      </c>
      <c r="ED394" s="110" t="s">
        <v>283</v>
      </c>
      <c r="EE394" s="1" t="s">
        <v>284</v>
      </c>
      <c r="EF394" s="1" t="str">
        <f t="array" ref="EF394">IF(ISNUMBER(FIND("数值%",INDEX($1:$693,ROW($BA394)+_xlfn.NUMBERVALUE(MID(EA394,1,1)),COLUMN($BA394)+8*_xlfn.NUMBERVALUE(MID(EA394,3,3))))),"{"&amp;EA394&amp;"}"&amp;"%","{"&amp;EA394&amp;"}")</f>
        <v>{0:0}%</v>
      </c>
      <c r="EG394" s="1" t="str">
        <f t="shared" si="10"/>
        <v>对扇形范围内至多3个目标释放枪阵，造成{0:0}%伤害。击飞目标并让目标晕眩，持续3秒</v>
      </c>
      <c r="EH394" s="1" t="s">
        <v>285</v>
      </c>
      <c r="EI394" s="1" t="str">
        <f t="array" ref="EI394">IF(ISNUMBER(FIND("数值%",INDEX($1:$693,ROW($BA394)+_xlfn.NUMBERVALUE(MID(EB394,1,1)),COLUMN($BA394)+8*_xlfn.NUMBERVALUE(MID(EB394,3,1))))),"{"&amp;EB394&amp;"}"&amp;"%","{"&amp;EB394&amp;"}")</f>
        <v>{1:0}</v>
      </c>
      <c r="EJ394" s="1" t="e">
        <f t="shared" si="11"/>
        <v>#VALUE!</v>
      </c>
      <c r="EK394" s="1" t="s">
        <v>286</v>
      </c>
      <c r="EL394" s="1" t="str">
        <f t="array" ref="EL394">IF(ISNUMBER(FIND("数值%",INDEX($1:$693,ROW($BA394)+_xlfn.NUMBERVALUE(MID(EC394,1,1)),COLUMN($BA394)+8*_xlfn.NUMBERVALUE(MID(EC394,3,1))))),"{"&amp;EC394&amp;"}"&amp;"%","{"&amp;EC394&amp;"}")</f>
        <v>{2:0}%</v>
      </c>
      <c r="EM394" s="1" t="e">
        <f t="shared" si="12"/>
        <v>#VALUE!</v>
      </c>
      <c r="EN394" s="1" t="s">
        <v>287</v>
      </c>
      <c r="EO394" s="1" t="str">
        <f t="array" ref="EO394">IF(ISNUMBER(FIND("数值%",INDEX($1:$693,ROW($BA394)+_xlfn.NUMBERVALUE(MID(ED394,1,1)),COLUMN($BA394)+8*_xlfn.NUMBERVALUE(MID(ED394,3,1))))),"{"&amp;ED394&amp;"}"&amp;"%","{"&amp;ED394&amp;"}")</f>
        <v>{2:0}%</v>
      </c>
      <c r="EP394" s="1" t="e">
        <f t="shared" si="13"/>
        <v>#VALUE!</v>
      </c>
      <c r="EQ394" s="1"/>
      <c r="ER394" s="1"/>
      <c r="ES394" s="1"/>
    </row>
    <row r="395" spans="1:149" s="19" customFormat="1" ht="15" customHeight="1" x14ac:dyDescent="0.15">
      <c r="A395" s="1">
        <v>100009001</v>
      </c>
      <c r="B395" s="351" t="s">
        <v>772</v>
      </c>
      <c r="C395" s="40" t="s">
        <v>773</v>
      </c>
      <c r="D395" s="1" t="s">
        <v>774</v>
      </c>
      <c r="E395" s="1"/>
      <c r="F395" s="1"/>
      <c r="G395" s="1"/>
      <c r="H395" s="1">
        <v>0</v>
      </c>
      <c r="I395" s="1"/>
      <c r="J395" s="1"/>
      <c r="K395" s="1"/>
      <c r="L395" s="1">
        <v>0</v>
      </c>
      <c r="M395" s="1"/>
      <c r="N395" s="1"/>
      <c r="O395" s="1"/>
      <c r="P395" s="1"/>
      <c r="Q395" s="1" t="s">
        <v>764</v>
      </c>
      <c r="R395" s="1"/>
      <c r="S395" s="1"/>
      <c r="T395" s="1"/>
      <c r="U395" s="1"/>
      <c r="V395" s="1"/>
      <c r="W395" s="1"/>
      <c r="X395" s="1">
        <v>0.1</v>
      </c>
      <c r="Y395" s="1">
        <v>0</v>
      </c>
      <c r="Z395" s="1">
        <v>0</v>
      </c>
      <c r="AA395" s="1"/>
      <c r="AB395" s="56">
        <v>3001</v>
      </c>
      <c r="AC395" s="56"/>
      <c r="AD395" s="56"/>
      <c r="AE395" s="56"/>
      <c r="AF395" s="56"/>
      <c r="AG395" s="56"/>
      <c r="AH395" s="56"/>
      <c r="AI395" s="56"/>
      <c r="AJ395" s="56"/>
      <c r="AK395" s="56"/>
      <c r="AL395" s="64"/>
      <c r="AM395" s="64"/>
      <c r="AN395" s="64"/>
      <c r="AO395" s="64"/>
      <c r="AP395" s="64"/>
      <c r="AQ395" s="64"/>
      <c r="AR395" s="64"/>
      <c r="AS395" s="17"/>
      <c r="AT395" s="17"/>
      <c r="AU395" s="64"/>
      <c r="AV395" s="64"/>
      <c r="AW395" s="64"/>
      <c r="AX395" s="64"/>
      <c r="AY395" s="64"/>
      <c r="AZ395" s="64"/>
      <c r="BA395" s="77" t="s">
        <v>355</v>
      </c>
      <c r="BB395" s="75">
        <v>0.35</v>
      </c>
      <c r="BC395" s="75">
        <v>3.5000000000000003E-2</v>
      </c>
      <c r="BD395" s="75"/>
      <c r="BE395" s="75"/>
      <c r="BF395" s="75">
        <v>0</v>
      </c>
      <c r="BG395" s="75">
        <v>0</v>
      </c>
      <c r="BH395" s="75">
        <v>0</v>
      </c>
      <c r="BI395" s="75"/>
      <c r="BJ395" s="80"/>
      <c r="BK395" s="80"/>
      <c r="BL395" s="80"/>
      <c r="BM395" s="80"/>
      <c r="BN395" s="80"/>
      <c r="BO395" s="80"/>
      <c r="BP395" s="80"/>
      <c r="BQ395" s="80"/>
      <c r="BR395" s="80"/>
      <c r="BS395" s="80"/>
      <c r="BT395" s="80"/>
      <c r="BU395" s="80"/>
      <c r="BV395" s="80"/>
      <c r="BW395" s="80"/>
      <c r="BX395" s="80"/>
      <c r="BY395" s="80"/>
      <c r="BZ395" s="80"/>
      <c r="CA395" s="80"/>
      <c r="CB395" s="80"/>
      <c r="CC395" s="80"/>
      <c r="CD395" s="80"/>
      <c r="CE395" s="80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40" t="s">
        <v>273</v>
      </c>
      <c r="CY395" s="1"/>
      <c r="CZ395" s="1"/>
      <c r="DA395" s="1"/>
      <c r="DB395" s="1">
        <v>100009001</v>
      </c>
      <c r="DC395" s="1" t="b">
        <v>1</v>
      </c>
      <c r="DD395" s="1" t="s">
        <v>274</v>
      </c>
      <c r="DE395" s="1" t="s">
        <v>775</v>
      </c>
      <c r="DF395" s="1" t="s">
        <v>276</v>
      </c>
      <c r="DG395" s="1" t="s">
        <v>667</v>
      </c>
      <c r="DH395" s="1">
        <v>4</v>
      </c>
      <c r="DI395" s="1" t="b">
        <v>0</v>
      </c>
      <c r="DJ395" s="1"/>
      <c r="DK395" s="1"/>
      <c r="DL395" s="1"/>
      <c r="DM395" s="1"/>
      <c r="DN395" s="1"/>
      <c r="DO395" s="1"/>
      <c r="DP395" s="96" t="str">
        <f t="shared" si="9"/>
        <v>SkillDetail_100009001</v>
      </c>
      <c r="DQ395" s="57" t="s">
        <v>776</v>
      </c>
      <c r="DR395" s="57" t="str">
        <f t="shared" si="14"/>
        <v>普通攻击后，对目标造成一次{0:0}伤害</v>
      </c>
      <c r="DS395" s="1" t="s">
        <v>777</v>
      </c>
      <c r="DT395" s="1"/>
      <c r="DU395" s="1" t="s">
        <v>280</v>
      </c>
      <c r="DV395" s="98"/>
      <c r="DW395" s="1"/>
      <c r="DX395" s="1"/>
      <c r="DY395" s="1"/>
      <c r="DZ395" s="109">
        <v>1</v>
      </c>
      <c r="EA395" s="110" t="s">
        <v>281</v>
      </c>
      <c r="EB395" s="110" t="s">
        <v>282</v>
      </c>
      <c r="EC395" s="110" t="s">
        <v>283</v>
      </c>
      <c r="ED395" s="110" t="s">
        <v>283</v>
      </c>
      <c r="EE395" s="1" t="s">
        <v>284</v>
      </c>
      <c r="EF395" s="1" t="str">
        <f t="array" ref="EF395">IF(ISNUMBER(FIND("数值%",INDEX($1:$693,ROW($BA395)+_xlfn.NUMBERVALUE(MID(EA395,1,1)),COLUMN($BA395)+8*_xlfn.NUMBERVALUE(MID(EA395,3,3))))),"{"&amp;EA395&amp;"}"&amp;"%","{"&amp;EA395&amp;"}")</f>
        <v>{0:0}</v>
      </c>
      <c r="EG395" s="1" t="str">
        <f t="shared" si="10"/>
        <v>普通攻击后，对目标造成一次{0:0}伤害</v>
      </c>
      <c r="EH395" s="1" t="s">
        <v>285</v>
      </c>
      <c r="EI395" s="1" t="str">
        <f t="array" ref="EI395">IF(ISNUMBER(FIND("数值%",INDEX($1:$693,ROW($BA395)+_xlfn.NUMBERVALUE(MID(EB395,1,1)),COLUMN($BA395)+8*_xlfn.NUMBERVALUE(MID(EB395,3,1))))),"{"&amp;EB395&amp;"}"&amp;"%","{"&amp;EB395&amp;"}")</f>
        <v>{1:0}%</v>
      </c>
      <c r="EJ395" s="1" t="e">
        <f t="shared" si="11"/>
        <v>#VALUE!</v>
      </c>
      <c r="EK395" s="1" t="s">
        <v>286</v>
      </c>
      <c r="EL395" s="1" t="str">
        <f t="array" ref="EL395">IF(ISNUMBER(FIND("数值%",INDEX($1:$693,ROW($BA395)+_xlfn.NUMBERVALUE(MID(EC395,1,1)),COLUMN($BA395)+8*_xlfn.NUMBERVALUE(MID(EC395,3,1))))),"{"&amp;EC395&amp;"}"&amp;"%","{"&amp;EC395&amp;"}")</f>
        <v>{2:0}%</v>
      </c>
      <c r="EM395" s="1" t="e">
        <f t="shared" si="12"/>
        <v>#VALUE!</v>
      </c>
      <c r="EN395" s="1" t="s">
        <v>287</v>
      </c>
      <c r="EO395" s="1" t="str">
        <f t="array" ref="EO395">IF(ISNUMBER(FIND("数值%",INDEX($1:$693,ROW($BA395)+_xlfn.NUMBERVALUE(MID(ED395,1,1)),COLUMN($BA395)+8*_xlfn.NUMBERVALUE(MID(ED395,3,1))))),"{"&amp;ED395&amp;"}"&amp;"%","{"&amp;ED395&amp;"}")</f>
        <v>{2:0}%</v>
      </c>
      <c r="EP395" s="1" t="e">
        <f t="shared" si="13"/>
        <v>#VALUE!</v>
      </c>
      <c r="EQ395" s="1"/>
      <c r="ER395" s="1"/>
      <c r="ES395" s="1"/>
    </row>
    <row r="396" spans="1:149" s="1" customFormat="1" ht="14.25" customHeight="1" x14ac:dyDescent="0.15">
      <c r="A396" s="1">
        <v>100009002</v>
      </c>
      <c r="B396" s="351" t="s">
        <v>772</v>
      </c>
      <c r="C396" s="40" t="s">
        <v>773</v>
      </c>
      <c r="D396" s="1" t="s">
        <v>774</v>
      </c>
      <c r="H396" s="1">
        <v>0</v>
      </c>
      <c r="L396" s="1">
        <v>0</v>
      </c>
      <c r="Q396" s="1" t="s">
        <v>269</v>
      </c>
      <c r="X396" s="1">
        <v>1</v>
      </c>
      <c r="Y396" s="1">
        <v>0</v>
      </c>
      <c r="Z396" s="1">
        <v>0</v>
      </c>
      <c r="AB396" s="56">
        <v>2001</v>
      </c>
      <c r="AC396" s="56"/>
      <c r="AD396" s="56"/>
      <c r="AE396" s="56"/>
      <c r="AF396" s="56"/>
      <c r="AG396" s="56"/>
      <c r="AH396" s="56"/>
      <c r="AI396" s="56"/>
      <c r="AJ396" s="56"/>
      <c r="AK396" s="56"/>
      <c r="AL396" s="64"/>
      <c r="AM396" s="64"/>
      <c r="AN396" s="64"/>
      <c r="AO396" s="64"/>
      <c r="AP396" s="64"/>
      <c r="AQ396" s="64"/>
      <c r="AR396" s="64"/>
      <c r="AS396" s="17"/>
      <c r="AT396" s="17"/>
      <c r="AU396" s="64"/>
      <c r="AV396" s="64"/>
      <c r="AW396" s="64"/>
      <c r="AX396" s="64"/>
      <c r="AY396" s="64"/>
      <c r="AZ396" s="64"/>
      <c r="BA396" s="77" t="s">
        <v>270</v>
      </c>
      <c r="BB396" s="75"/>
      <c r="BC396" s="75"/>
      <c r="BD396" s="75"/>
      <c r="BE396" s="75"/>
      <c r="BF396" s="75"/>
      <c r="BG396" s="75"/>
      <c r="BH396" s="75"/>
      <c r="BI396" s="75"/>
      <c r="BJ396" s="80" t="s">
        <v>270</v>
      </c>
      <c r="BK396" s="80"/>
      <c r="BL396" s="80"/>
      <c r="BM396" s="80"/>
      <c r="BN396" s="80"/>
      <c r="BO396" s="80"/>
      <c r="BP396" s="80"/>
      <c r="BQ396" s="80"/>
      <c r="BR396" s="80"/>
      <c r="BS396" s="80"/>
      <c r="BT396" s="80"/>
      <c r="BU396" s="80"/>
      <c r="BV396" s="80"/>
      <c r="BW396" s="80"/>
      <c r="BX396" s="80"/>
      <c r="BY396" s="80"/>
      <c r="BZ396" s="80"/>
      <c r="CA396" s="80"/>
      <c r="CB396" s="80"/>
      <c r="CC396" s="80"/>
      <c r="CD396" s="80"/>
      <c r="CE396" s="80"/>
      <c r="CF396" s="1" t="s">
        <v>675</v>
      </c>
      <c r="CJ396" s="1" t="s">
        <v>1</v>
      </c>
      <c r="CK396" s="1" t="s">
        <v>778</v>
      </c>
      <c r="CN396" s="1">
        <v>200</v>
      </c>
      <c r="CO396" s="1">
        <v>0</v>
      </c>
      <c r="CP396" s="1">
        <v>200</v>
      </c>
      <c r="CQ396" s="1">
        <v>10</v>
      </c>
      <c r="CX396" s="40" t="s">
        <v>273</v>
      </c>
      <c r="DB396" s="1">
        <v>100009002</v>
      </c>
      <c r="DC396" s="1" t="b">
        <v>0</v>
      </c>
      <c r="DD396" s="1" t="s">
        <v>274</v>
      </c>
      <c r="DE396" s="1" t="s">
        <v>779</v>
      </c>
      <c r="DF396" s="1" t="s">
        <v>276</v>
      </c>
      <c r="DG396" s="1" t="s">
        <v>729</v>
      </c>
      <c r="DI396" s="1" t="b">
        <v>1</v>
      </c>
      <c r="DP396" s="96" t="str">
        <f t="shared" si="9"/>
        <v>SkillDetail_100009002</v>
      </c>
      <c r="DQ396" s="57" t="s">
        <v>780</v>
      </c>
      <c r="DR396" s="57" t="str">
        <f t="shared" si="14"/>
        <v>对圆形范围内友军恢复{0:0}%兵力</v>
      </c>
      <c r="DS396" s="1" t="s">
        <v>781</v>
      </c>
      <c r="DU396" s="1" t="s">
        <v>280</v>
      </c>
      <c r="DV396" s="98"/>
      <c r="DZ396" s="109">
        <v>1</v>
      </c>
      <c r="EA396" s="110" t="s">
        <v>281</v>
      </c>
      <c r="EB396" s="110" t="s">
        <v>282</v>
      </c>
      <c r="EC396" s="110" t="s">
        <v>283</v>
      </c>
      <c r="ED396" s="110" t="s">
        <v>283</v>
      </c>
      <c r="EE396" s="1" t="s">
        <v>284</v>
      </c>
      <c r="EF396" s="1" t="str">
        <f t="array" ref="EF396">IF(ISNUMBER(FIND("数值%",INDEX($1:$693,ROW($BA396)+_xlfn.NUMBERVALUE(MID(EA396,1,1)),COLUMN($BA396)+8*_xlfn.NUMBERVALUE(MID(EA396,3,3))))),"{"&amp;EA396&amp;"}"&amp;"%","{"&amp;EA396&amp;"}")</f>
        <v>{0:0}%</v>
      </c>
      <c r="EG396" s="1" t="str">
        <f t="shared" si="10"/>
        <v>对圆形范围内友军恢复{0:0}%兵力</v>
      </c>
      <c r="EH396" s="1" t="s">
        <v>285</v>
      </c>
      <c r="EI396" s="1" t="str">
        <f t="array" ref="EI396">IF(ISNUMBER(FIND("数值%",INDEX($1:$693,ROW($BA396)+_xlfn.NUMBERVALUE(MID(EB396,1,1)),COLUMN($BA396)+8*_xlfn.NUMBERVALUE(MID(EB396,3,1))))),"{"&amp;EB396&amp;"}"&amp;"%","{"&amp;EB396&amp;"}")</f>
        <v>{1:0}%</v>
      </c>
      <c r="EJ396" s="1" t="e">
        <f t="shared" si="11"/>
        <v>#VALUE!</v>
      </c>
      <c r="EK396" s="1" t="s">
        <v>286</v>
      </c>
      <c r="EL396" s="1" t="str">
        <f t="array" ref="EL396">IF(ISNUMBER(FIND("数值%",INDEX($1:$693,ROW($BA396)+_xlfn.NUMBERVALUE(MID(EC396,1,1)),COLUMN($BA396)+8*_xlfn.NUMBERVALUE(MID(EC396,3,1))))),"{"&amp;EC396&amp;"}"&amp;"%","{"&amp;EC396&amp;"}")</f>
        <v>{2:0}%</v>
      </c>
      <c r="EM396" s="1" t="e">
        <f t="shared" si="12"/>
        <v>#VALUE!</v>
      </c>
      <c r="EN396" s="1" t="s">
        <v>287</v>
      </c>
      <c r="EO396" s="1" t="str">
        <f t="array" ref="EO396">IF(ISNUMBER(FIND("数值%",INDEX($1:$693,ROW($BA396)+_xlfn.NUMBERVALUE(MID(ED396,1,1)),COLUMN($BA396)+8*_xlfn.NUMBERVALUE(MID(ED396,3,1))))),"{"&amp;ED396&amp;"}"&amp;"%","{"&amp;ED396&amp;"}")</f>
        <v>{2:0}%</v>
      </c>
      <c r="EP396" s="1" t="e">
        <f t="shared" si="13"/>
        <v>#VALUE!</v>
      </c>
    </row>
    <row r="397" spans="1:149" s="1" customFormat="1" ht="14.25" customHeight="1" x14ac:dyDescent="0.15">
      <c r="A397" s="1">
        <v>1000010011</v>
      </c>
      <c r="B397" s="351" t="s">
        <v>288</v>
      </c>
      <c r="C397" s="40" t="s">
        <v>289</v>
      </c>
      <c r="D397" s="1" t="s">
        <v>750</v>
      </c>
      <c r="H397" s="1">
        <v>0</v>
      </c>
      <c r="L397" s="1">
        <v>0</v>
      </c>
      <c r="Q397" s="1" t="s">
        <v>728</v>
      </c>
      <c r="X397" s="1">
        <v>0.1</v>
      </c>
      <c r="Y397" s="1">
        <v>0</v>
      </c>
      <c r="Z397" s="1">
        <v>0</v>
      </c>
      <c r="AB397" s="56">
        <v>2105</v>
      </c>
      <c r="AC397" s="56"/>
      <c r="AD397" s="56"/>
      <c r="AE397" s="56" t="s">
        <v>291</v>
      </c>
      <c r="AF397" s="56"/>
      <c r="AG397" s="56"/>
      <c r="AH397" s="56"/>
      <c r="AI397" s="56"/>
      <c r="AJ397" s="56">
        <v>8</v>
      </c>
      <c r="AK397" s="56"/>
      <c r="AL397" s="64"/>
      <c r="AM397" s="64"/>
      <c r="AN397" s="64"/>
      <c r="AO397" s="64"/>
      <c r="AP397" s="64"/>
      <c r="AQ397" s="64"/>
      <c r="AR397" s="64"/>
      <c r="AS397" s="17"/>
      <c r="AT397" s="17"/>
      <c r="AU397" s="64"/>
      <c r="AV397" s="64"/>
      <c r="AW397" s="64"/>
      <c r="AX397" s="64"/>
      <c r="AY397" s="64"/>
      <c r="AZ397" s="64"/>
      <c r="BA397" s="77" t="s">
        <v>270</v>
      </c>
      <c r="BB397" s="75">
        <v>0.15</v>
      </c>
      <c r="BC397" s="75">
        <v>1.4999999999999999E-2</v>
      </c>
      <c r="BD397" s="75"/>
      <c r="BE397" s="75"/>
      <c r="BF397" s="75">
        <v>0</v>
      </c>
      <c r="BG397" s="75">
        <v>0</v>
      </c>
      <c r="BH397" s="75">
        <v>0</v>
      </c>
      <c r="BI397" s="75"/>
      <c r="BJ397" s="80" t="s">
        <v>270</v>
      </c>
      <c r="BK397" s="80">
        <v>0.1</v>
      </c>
      <c r="BL397" s="80">
        <v>0</v>
      </c>
      <c r="BM397" s="80"/>
      <c r="BN397" s="80"/>
      <c r="BO397" s="80">
        <v>0</v>
      </c>
      <c r="BP397" s="80">
        <v>0</v>
      </c>
      <c r="BQ397" s="80">
        <v>0</v>
      </c>
      <c r="BR397" s="80"/>
      <c r="BS397" s="80"/>
      <c r="BT397" s="80"/>
      <c r="BU397" s="80"/>
      <c r="BV397" s="80"/>
      <c r="BW397" s="80"/>
      <c r="BX397" s="80"/>
      <c r="BY397" s="80"/>
      <c r="BZ397" s="80"/>
      <c r="CA397" s="80"/>
      <c r="CB397" s="80"/>
      <c r="CC397" s="80"/>
      <c r="CD397" s="80"/>
      <c r="CE397" s="80"/>
      <c r="CX397" s="40" t="s">
        <v>273</v>
      </c>
      <c r="DB397" s="1">
        <v>1000010011</v>
      </c>
      <c r="DC397" s="1" t="b">
        <v>0</v>
      </c>
      <c r="DD397" s="1" t="s">
        <v>274</v>
      </c>
      <c r="DE397" s="1" t="s">
        <v>751</v>
      </c>
      <c r="DF397" s="1" t="s">
        <v>276</v>
      </c>
      <c r="DG397" s="1" t="s">
        <v>310</v>
      </c>
      <c r="DI397" s="1" t="b">
        <v>0</v>
      </c>
      <c r="DP397" s="96" t="str">
        <f t="shared" si="9"/>
        <v>SkillDetail_1000010011</v>
      </c>
      <c r="DQ397" s="57" t="s">
        <v>782</v>
      </c>
      <c r="DR397" s="57" t="str">
        <f t="shared" si="14"/>
        <v>增加剑士{0:0}%生命加成，持续8秒</v>
      </c>
      <c r="DS397" s="1" t="s">
        <v>783</v>
      </c>
      <c r="DU397" s="1" t="s">
        <v>280</v>
      </c>
      <c r="DV397" s="98"/>
      <c r="DZ397" s="109">
        <v>1</v>
      </c>
      <c r="EA397" s="110" t="s">
        <v>281</v>
      </c>
      <c r="EB397" s="110" t="s">
        <v>282</v>
      </c>
      <c r="EC397" s="110" t="s">
        <v>283</v>
      </c>
      <c r="ED397" s="110" t="s">
        <v>283</v>
      </c>
      <c r="EE397" s="1" t="s">
        <v>284</v>
      </c>
      <c r="EF397" s="1" t="str">
        <f t="array" ref="EF397">IF(ISNUMBER(FIND("数值%",INDEX($1:$693,ROW($BA397)+_xlfn.NUMBERVALUE(MID(EA397,1,1)),COLUMN($BA397)+8*_xlfn.NUMBERVALUE(MID(EA397,3,3))))),"{"&amp;EA397&amp;"}"&amp;"%","{"&amp;EA397&amp;"}")</f>
        <v>{0:0}%</v>
      </c>
      <c r="EG397" s="1" t="str">
        <f t="shared" si="10"/>
        <v>增加剑士{0:0}%生命加成，持续8秒</v>
      </c>
      <c r="EH397" s="1" t="s">
        <v>285</v>
      </c>
      <c r="EI397" s="1" t="str">
        <f t="array" ref="EI397">IF(ISNUMBER(FIND("数值%",INDEX($1:$693,ROW($BA397)+_xlfn.NUMBERVALUE(MID(EB397,1,1)),COLUMN($BA397)+8*_xlfn.NUMBERVALUE(MID(EB397,3,1))))),"{"&amp;EB397&amp;"}"&amp;"%","{"&amp;EB397&amp;"}")</f>
        <v>{1:0}%</v>
      </c>
      <c r="EJ397" s="1" t="e">
        <f t="shared" si="11"/>
        <v>#VALUE!</v>
      </c>
      <c r="EK397" s="1" t="s">
        <v>286</v>
      </c>
      <c r="EL397" s="1" t="str">
        <f t="array" ref="EL397">IF(ISNUMBER(FIND("数值%",INDEX($1:$693,ROW($BA397)+_xlfn.NUMBERVALUE(MID(EC397,1,1)),COLUMN($BA397)+8*_xlfn.NUMBERVALUE(MID(EC397,3,1))))),"{"&amp;EC397&amp;"}"&amp;"%","{"&amp;EC397&amp;"}")</f>
        <v>{2:0}%</v>
      </c>
      <c r="EM397" s="1" t="e">
        <f t="shared" si="12"/>
        <v>#VALUE!</v>
      </c>
      <c r="EN397" s="1" t="s">
        <v>287</v>
      </c>
      <c r="EO397" s="1" t="str">
        <f t="array" ref="EO397">IF(ISNUMBER(FIND("数值%",INDEX($1:$693,ROW($BA397)+_xlfn.NUMBERVALUE(MID(ED397,1,1)),COLUMN($BA397)+8*_xlfn.NUMBERVALUE(MID(ED397,3,1))))),"{"&amp;ED397&amp;"}"&amp;"%","{"&amp;ED397&amp;"}")</f>
        <v>{2:0}%</v>
      </c>
      <c r="EP397" s="1" t="e">
        <f t="shared" si="13"/>
        <v>#VALUE!</v>
      </c>
    </row>
    <row r="398" spans="1:149" s="1" customFormat="1" ht="14.25" customHeight="1" x14ac:dyDescent="0.15">
      <c r="A398" s="1">
        <v>1000010021</v>
      </c>
      <c r="B398" s="351" t="s">
        <v>288</v>
      </c>
      <c r="C398" s="40" t="s">
        <v>289</v>
      </c>
      <c r="D398" s="1" t="s">
        <v>290</v>
      </c>
      <c r="H398" s="1">
        <v>0</v>
      </c>
      <c r="L398" s="1">
        <v>0</v>
      </c>
      <c r="Q398" s="1" t="s">
        <v>269</v>
      </c>
      <c r="X398" s="1">
        <v>1</v>
      </c>
      <c r="Y398" s="1">
        <v>0</v>
      </c>
      <c r="Z398" s="1">
        <v>0</v>
      </c>
      <c r="AB398" s="56">
        <v>2255</v>
      </c>
      <c r="AC398" s="56"/>
      <c r="AD398" s="56"/>
      <c r="AE398" s="56" t="s">
        <v>291</v>
      </c>
      <c r="AF398" s="56"/>
      <c r="AG398" s="56"/>
      <c r="AH398" s="56"/>
      <c r="AI398" s="56"/>
      <c r="AJ398" s="56">
        <v>13</v>
      </c>
      <c r="AK398" s="56"/>
      <c r="AL398" s="64"/>
      <c r="AM398" s="64"/>
      <c r="AN398" s="64"/>
      <c r="AO398" s="64"/>
      <c r="AP398" s="64"/>
      <c r="AQ398" s="64"/>
      <c r="AR398" s="64"/>
      <c r="AS398" s="17"/>
      <c r="AT398" s="17"/>
      <c r="AU398" s="64"/>
      <c r="AV398" s="64"/>
      <c r="AW398" s="64"/>
      <c r="AX398" s="64"/>
      <c r="AY398" s="64"/>
      <c r="AZ398" s="64"/>
      <c r="BA398" s="77" t="s">
        <v>270</v>
      </c>
      <c r="BB398" s="75">
        <v>0.15</v>
      </c>
      <c r="BC398" s="75">
        <v>1.4999999999999999E-2</v>
      </c>
      <c r="BD398" s="75"/>
      <c r="BE398" s="75"/>
      <c r="BF398" s="75">
        <v>0</v>
      </c>
      <c r="BG398" s="75">
        <v>0</v>
      </c>
      <c r="BH398" s="75">
        <v>0</v>
      </c>
      <c r="BI398" s="75"/>
      <c r="BJ398" s="80"/>
      <c r="BK398" s="80"/>
      <c r="BL398" s="80"/>
      <c r="BM398" s="80"/>
      <c r="BN398" s="80"/>
      <c r="BO398" s="80"/>
      <c r="BP398" s="80"/>
      <c r="BQ398" s="80"/>
      <c r="BR398" s="80"/>
      <c r="BS398" s="80"/>
      <c r="BT398" s="80"/>
      <c r="BU398" s="80"/>
      <c r="BV398" s="80"/>
      <c r="BW398" s="80"/>
      <c r="BX398" s="80"/>
      <c r="BY398" s="80"/>
      <c r="BZ398" s="80"/>
      <c r="CA398" s="80"/>
      <c r="CB398" s="80"/>
      <c r="CC398" s="80"/>
      <c r="CD398" s="80"/>
      <c r="CE398" s="80"/>
      <c r="CN398" s="1">
        <v>200</v>
      </c>
      <c r="CO398" s="1">
        <v>0</v>
      </c>
      <c r="CP398" s="1">
        <v>200</v>
      </c>
      <c r="CQ398" s="1">
        <v>10</v>
      </c>
      <c r="CX398" s="40" t="s">
        <v>273</v>
      </c>
      <c r="DB398" s="1">
        <v>1000010021</v>
      </c>
      <c r="DC398" s="1" t="b">
        <v>1</v>
      </c>
      <c r="DD398" s="1" t="s">
        <v>274</v>
      </c>
      <c r="DE398" s="1" t="s">
        <v>292</v>
      </c>
      <c r="DF398" s="1" t="s">
        <v>276</v>
      </c>
      <c r="DG398" s="1" t="s">
        <v>300</v>
      </c>
      <c r="DI398" s="1" t="b">
        <v>1</v>
      </c>
      <c r="DP398" s="96" t="str">
        <f t="shared" si="9"/>
        <v>SkillDetail_1000010021</v>
      </c>
      <c r="DQ398" s="57" t="s">
        <v>784</v>
      </c>
      <c r="DR398" s="57" t="str">
        <f t="shared" si="14"/>
        <v>增加部队{0:0}%减伤，持续12秒</v>
      </c>
      <c r="DS398" s="1" t="s">
        <v>785</v>
      </c>
      <c r="DU398" s="1" t="s">
        <v>280</v>
      </c>
      <c r="DV398" s="98"/>
      <c r="DZ398" s="109">
        <v>1</v>
      </c>
      <c r="EA398" s="110" t="s">
        <v>281</v>
      </c>
      <c r="EB398" s="110" t="s">
        <v>282</v>
      </c>
      <c r="EC398" s="110" t="s">
        <v>283</v>
      </c>
      <c r="ED398" s="110" t="s">
        <v>283</v>
      </c>
      <c r="EE398" s="1" t="s">
        <v>284</v>
      </c>
      <c r="EF398" s="1" t="str">
        <f t="array" ref="EF398">IF(ISNUMBER(FIND("数值%",INDEX($1:$693,ROW($BA398)+_xlfn.NUMBERVALUE(MID(EA398,1,1)),COLUMN($BA398)+8*_xlfn.NUMBERVALUE(MID(EA398,3,3))))),"{"&amp;EA398&amp;"}"&amp;"%","{"&amp;EA398&amp;"}")</f>
        <v>{0:0}%</v>
      </c>
      <c r="EG398" s="1" t="str">
        <f t="shared" si="10"/>
        <v>增加部队{0:0}%减伤，持续12秒</v>
      </c>
      <c r="EH398" s="1" t="s">
        <v>285</v>
      </c>
      <c r="EI398" s="1" t="str">
        <f t="array" ref="EI398">IF(ISNUMBER(FIND("数值%",INDEX($1:$693,ROW($BA398)+_xlfn.NUMBERVALUE(MID(EB398,1,1)),COLUMN($BA398)+8*_xlfn.NUMBERVALUE(MID(EB398,3,1))))),"{"&amp;EB398&amp;"}"&amp;"%","{"&amp;EB398&amp;"}")</f>
        <v>{1:0}%</v>
      </c>
      <c r="EJ398" s="1" t="e">
        <f t="shared" si="11"/>
        <v>#VALUE!</v>
      </c>
      <c r="EK398" s="1" t="s">
        <v>286</v>
      </c>
      <c r="EL398" s="1" t="str">
        <f t="array" ref="EL398">IF(ISNUMBER(FIND("数值%",INDEX($1:$693,ROW($BA398)+_xlfn.NUMBERVALUE(MID(EC398,1,1)),COLUMN($BA398)+8*_xlfn.NUMBERVALUE(MID(EC398,3,1))))),"{"&amp;EC398&amp;"}"&amp;"%","{"&amp;EC398&amp;"}")</f>
        <v>{2:0}%</v>
      </c>
      <c r="EM398" s="1" t="e">
        <f t="shared" si="12"/>
        <v>#VALUE!</v>
      </c>
      <c r="EN398" s="1" t="s">
        <v>287</v>
      </c>
      <c r="EO398" s="1" t="str">
        <f t="array" ref="EO398">IF(ISNUMBER(FIND("数值%",INDEX($1:$693,ROW($BA398)+_xlfn.NUMBERVALUE(MID(ED398,1,1)),COLUMN($BA398)+8*_xlfn.NUMBERVALUE(MID(ED398,3,1))))),"{"&amp;ED398&amp;"}"&amp;"%","{"&amp;ED398&amp;"}")</f>
        <v>{2:0}%</v>
      </c>
      <c r="EP398" s="1" t="e">
        <f t="shared" si="13"/>
        <v>#VALUE!</v>
      </c>
    </row>
    <row r="399" spans="1:149" s="1" customFormat="1" ht="33" x14ac:dyDescent="0.15">
      <c r="A399" s="1">
        <v>1000030011</v>
      </c>
      <c r="B399" s="351" t="s">
        <v>756</v>
      </c>
      <c r="C399" s="40" t="s">
        <v>757</v>
      </c>
      <c r="D399" s="1" t="s">
        <v>267</v>
      </c>
      <c r="H399" s="1">
        <v>0</v>
      </c>
      <c r="L399" s="1">
        <v>0</v>
      </c>
      <c r="Q399" s="1" t="s">
        <v>728</v>
      </c>
      <c r="X399" s="1">
        <v>0.1</v>
      </c>
      <c r="Y399" s="1">
        <v>0</v>
      </c>
      <c r="Z399" s="1">
        <v>0</v>
      </c>
      <c r="AB399" s="56">
        <v>3001</v>
      </c>
      <c r="AC399" s="56"/>
      <c r="AD399" s="56"/>
      <c r="AE399" s="56"/>
      <c r="AF399" s="56"/>
      <c r="AG399" s="56"/>
      <c r="AH399" s="56"/>
      <c r="AI399" s="56"/>
      <c r="AJ399" s="56"/>
      <c r="AK399" s="56"/>
      <c r="AL399" s="64"/>
      <c r="AM399" s="64"/>
      <c r="AN399" s="64"/>
      <c r="AO399" s="64"/>
      <c r="AP399" s="64"/>
      <c r="AQ399" s="64"/>
      <c r="AR399" s="64"/>
      <c r="AS399" s="17"/>
      <c r="AT399" s="17"/>
      <c r="AU399" s="64"/>
      <c r="AV399" s="64"/>
      <c r="AW399" s="64"/>
      <c r="AX399" s="64"/>
      <c r="AY399" s="64"/>
      <c r="AZ399" s="64"/>
      <c r="BA399" s="77" t="s">
        <v>270</v>
      </c>
      <c r="BB399" s="75">
        <v>0.15</v>
      </c>
      <c r="BC399" s="75">
        <v>1.4999999999999999E-2</v>
      </c>
      <c r="BD399" s="75"/>
      <c r="BE399" s="75"/>
      <c r="BF399" s="75">
        <v>0</v>
      </c>
      <c r="BG399" s="75">
        <v>0</v>
      </c>
      <c r="BH399" s="75">
        <v>0</v>
      </c>
      <c r="BI399" s="75"/>
      <c r="BJ399" s="80" t="s">
        <v>270</v>
      </c>
      <c r="BK399" s="80"/>
      <c r="BL399" s="80"/>
      <c r="BM399" s="80"/>
      <c r="BN399" s="80"/>
      <c r="BO399" s="80"/>
      <c r="BP399" s="80"/>
      <c r="BQ399" s="80"/>
      <c r="BR399" s="80"/>
      <c r="BS399" s="80"/>
      <c r="BT399" s="80"/>
      <c r="BU399" s="80"/>
      <c r="BV399" s="80"/>
      <c r="BW399" s="80"/>
      <c r="BX399" s="80"/>
      <c r="BY399" s="80"/>
      <c r="BZ399" s="80"/>
      <c r="CA399" s="80"/>
      <c r="CB399" s="80"/>
      <c r="CC399" s="80"/>
      <c r="CD399" s="80"/>
      <c r="CE399" s="80"/>
      <c r="CX399" s="40" t="s">
        <v>273</v>
      </c>
      <c r="DB399" s="1">
        <v>1000030011</v>
      </c>
      <c r="DC399" s="1" t="b">
        <v>1</v>
      </c>
      <c r="DD399" s="1" t="s">
        <v>274</v>
      </c>
      <c r="DE399" s="1" t="s">
        <v>292</v>
      </c>
      <c r="DF399" s="1" t="s">
        <v>276</v>
      </c>
      <c r="DG399" s="1" t="s">
        <v>300</v>
      </c>
      <c r="DI399" s="1" t="b">
        <v>0</v>
      </c>
      <c r="DP399" s="96" t="str">
        <f t="shared" si="9"/>
        <v>SkillDetail_1000030011</v>
      </c>
      <c r="DQ399" s="57" t="s">
        <v>786</v>
      </c>
      <c r="DR399" s="57" t="str">
        <f t="shared" si="14"/>
        <v>对圆形范围内至多3个目标造成{0:0}%伤害</v>
      </c>
      <c r="DS399" s="1" t="s">
        <v>787</v>
      </c>
      <c r="DU399" s="1" t="s">
        <v>280</v>
      </c>
      <c r="DV399" s="98"/>
      <c r="DZ399" s="109">
        <v>1</v>
      </c>
      <c r="EA399" s="110" t="s">
        <v>281</v>
      </c>
      <c r="EB399" s="110" t="s">
        <v>282</v>
      </c>
      <c r="EC399" s="110" t="s">
        <v>283</v>
      </c>
      <c r="ED399" s="110" t="s">
        <v>283</v>
      </c>
      <c r="EE399" s="1" t="s">
        <v>284</v>
      </c>
      <c r="EF399" s="1" t="str">
        <f t="array" ref="EF399">IF(ISNUMBER(FIND("数值%",INDEX($1:$693,ROW($BA399)+_xlfn.NUMBERVALUE(MID(EA399,1,1)),COLUMN($BA399)+8*_xlfn.NUMBERVALUE(MID(EA399,3,3))))),"{"&amp;EA399&amp;"}"&amp;"%","{"&amp;EA399&amp;"}")</f>
        <v>{0:0}%</v>
      </c>
      <c r="EG399" s="1" t="str">
        <f t="shared" si="10"/>
        <v>对圆形范围内至多3个目标造成{0:0}%伤害</v>
      </c>
      <c r="EH399" s="1" t="s">
        <v>285</v>
      </c>
      <c r="EI399" s="1" t="str">
        <f t="array" ref="EI399">IF(ISNUMBER(FIND("数值%",INDEX($1:$693,ROW($BA399)+_xlfn.NUMBERVALUE(MID(EB399,1,1)),COLUMN($BA399)+8*_xlfn.NUMBERVALUE(MID(EB399,3,1))))),"{"&amp;EB399&amp;"}"&amp;"%","{"&amp;EB399&amp;"}")</f>
        <v>{1:0}%</v>
      </c>
      <c r="EJ399" s="1" t="e">
        <f t="shared" si="11"/>
        <v>#VALUE!</v>
      </c>
      <c r="EK399" s="1" t="s">
        <v>286</v>
      </c>
      <c r="EL399" s="1" t="str">
        <f t="array" ref="EL399">IF(ISNUMBER(FIND("数值%",INDEX($1:$693,ROW($BA399)+_xlfn.NUMBERVALUE(MID(EC399,1,1)),COLUMN($BA399)+8*_xlfn.NUMBERVALUE(MID(EC399,3,1))))),"{"&amp;EC399&amp;"}"&amp;"%","{"&amp;EC399&amp;"}")</f>
        <v>{2:0}%</v>
      </c>
      <c r="EM399" s="1" t="e">
        <f t="shared" si="12"/>
        <v>#VALUE!</v>
      </c>
      <c r="EN399" s="1" t="s">
        <v>287</v>
      </c>
      <c r="EO399" s="1" t="str">
        <f t="array" ref="EO399">IF(ISNUMBER(FIND("数值%",INDEX($1:$693,ROW($BA399)+_xlfn.NUMBERVALUE(MID(ED399,1,1)),COLUMN($BA399)+8*_xlfn.NUMBERVALUE(MID(ED399,3,1))))),"{"&amp;ED399&amp;"}"&amp;"%","{"&amp;ED399&amp;"}")</f>
        <v>{2:0}%</v>
      </c>
      <c r="EP399" s="1" t="e">
        <f t="shared" si="13"/>
        <v>#VALUE!</v>
      </c>
    </row>
    <row r="400" spans="1:149" s="1" customFormat="1" ht="33" x14ac:dyDescent="0.15">
      <c r="A400" s="1">
        <v>1000030021</v>
      </c>
      <c r="B400" s="351" t="s">
        <v>756</v>
      </c>
      <c r="C400" s="40" t="s">
        <v>757</v>
      </c>
      <c r="D400" s="1" t="s">
        <v>267</v>
      </c>
      <c r="H400" s="1">
        <v>0</v>
      </c>
      <c r="L400" s="1">
        <v>0</v>
      </c>
      <c r="Q400" s="1" t="s">
        <v>269</v>
      </c>
      <c r="X400" s="1">
        <v>1</v>
      </c>
      <c r="Y400" s="1">
        <v>0</v>
      </c>
      <c r="Z400" s="1">
        <v>0</v>
      </c>
      <c r="AB400" s="56">
        <v>2303</v>
      </c>
      <c r="AC400" s="56"/>
      <c r="AD400" s="56"/>
      <c r="AE400" s="56" t="s">
        <v>291</v>
      </c>
      <c r="AF400" s="56"/>
      <c r="AG400" s="56"/>
      <c r="AH400" s="56"/>
      <c r="AI400" s="56"/>
      <c r="AJ400" s="56">
        <v>7</v>
      </c>
      <c r="AK400" s="56"/>
      <c r="AL400" s="64"/>
      <c r="AM400" s="64"/>
      <c r="AN400" s="64"/>
      <c r="AO400" s="64"/>
      <c r="AP400" s="64"/>
      <c r="AQ400" s="64"/>
      <c r="AR400" s="64"/>
      <c r="AS400" s="17"/>
      <c r="AT400" s="17"/>
      <c r="AU400" s="64"/>
      <c r="AV400" s="64"/>
      <c r="AW400" s="64"/>
      <c r="AX400" s="64"/>
      <c r="AY400" s="64"/>
      <c r="AZ400" s="64"/>
      <c r="BA400" s="77" t="s">
        <v>270</v>
      </c>
      <c r="BB400" s="75"/>
      <c r="BC400" s="75"/>
      <c r="BD400" s="75"/>
      <c r="BE400" s="75"/>
      <c r="BF400" s="75"/>
      <c r="BG400" s="75"/>
      <c r="BH400" s="75"/>
      <c r="BI400" s="75"/>
      <c r="BJ400" s="80" t="s">
        <v>270</v>
      </c>
      <c r="BK400" s="80"/>
      <c r="BL400" s="80"/>
      <c r="BM400" s="80"/>
      <c r="BN400" s="80"/>
      <c r="BO400" s="80"/>
      <c r="BP400" s="80"/>
      <c r="BQ400" s="80"/>
      <c r="BR400" s="80"/>
      <c r="BS400" s="80"/>
      <c r="BT400" s="80"/>
      <c r="BU400" s="80"/>
      <c r="BV400" s="80"/>
      <c r="BW400" s="80"/>
      <c r="BX400" s="80"/>
      <c r="BY400" s="80"/>
      <c r="BZ400" s="80"/>
      <c r="CA400" s="80"/>
      <c r="CB400" s="80"/>
      <c r="CC400" s="80"/>
      <c r="CD400" s="80"/>
      <c r="CE400" s="80"/>
      <c r="CN400" s="1">
        <v>200</v>
      </c>
      <c r="CO400" s="1">
        <v>0</v>
      </c>
      <c r="CP400" s="1">
        <v>200</v>
      </c>
      <c r="CQ400" s="1">
        <v>10</v>
      </c>
      <c r="CX400" s="40" t="s">
        <v>273</v>
      </c>
      <c r="DB400" s="1">
        <v>1000030021</v>
      </c>
      <c r="DC400" s="1" t="b">
        <v>1</v>
      </c>
      <c r="DD400" s="1" t="s">
        <v>274</v>
      </c>
      <c r="DE400" s="1" t="s">
        <v>758</v>
      </c>
      <c r="DF400" s="1" t="s">
        <v>276</v>
      </c>
      <c r="DG400" s="1" t="s">
        <v>677</v>
      </c>
      <c r="DI400" s="1" t="b">
        <v>1</v>
      </c>
      <c r="DP400" s="96" t="str">
        <f t="shared" si="9"/>
        <v>SkillDetail_1000030021</v>
      </c>
      <c r="DQ400" s="57" t="s">
        <v>788</v>
      </c>
      <c r="DR400" s="57" t="str">
        <f t="shared" si="14"/>
        <v>增加部队{0:0}%暴击概率，持续7秒</v>
      </c>
      <c r="DS400" s="1" t="s">
        <v>789</v>
      </c>
      <c r="DU400" s="1" t="s">
        <v>280</v>
      </c>
      <c r="DV400" s="98"/>
      <c r="DZ400" s="109">
        <v>1</v>
      </c>
      <c r="EA400" s="110" t="s">
        <v>281</v>
      </c>
      <c r="EB400" s="110" t="s">
        <v>282</v>
      </c>
      <c r="EC400" s="110" t="s">
        <v>283</v>
      </c>
      <c r="ED400" s="110" t="s">
        <v>283</v>
      </c>
      <c r="EE400" s="1" t="s">
        <v>284</v>
      </c>
      <c r="EF400" s="1" t="str">
        <f t="array" ref="EF400">IF(ISNUMBER(FIND("数值%",INDEX($1:$693,ROW($BA400)+_xlfn.NUMBERVALUE(MID(EA400,1,1)),COLUMN($BA400)+8*_xlfn.NUMBERVALUE(MID(EA400,3,3))))),"{"&amp;EA400&amp;"}"&amp;"%","{"&amp;EA400&amp;"}")</f>
        <v>{0:0}%</v>
      </c>
      <c r="EG400" s="1" t="str">
        <f t="shared" si="10"/>
        <v>增加部队{0:0}%暴击概率，持续7秒</v>
      </c>
      <c r="EH400" s="1" t="s">
        <v>285</v>
      </c>
      <c r="EI400" s="1" t="str">
        <f t="array" ref="EI400">IF(ISNUMBER(FIND("数值%",INDEX($1:$693,ROW($BA400)+_xlfn.NUMBERVALUE(MID(EB400,1,1)),COLUMN($BA400)+8*_xlfn.NUMBERVALUE(MID(EB400,3,1))))),"{"&amp;EB400&amp;"}"&amp;"%","{"&amp;EB400&amp;"}")</f>
        <v>{1:0}%</v>
      </c>
      <c r="EJ400" s="1" t="e">
        <f t="shared" si="11"/>
        <v>#VALUE!</v>
      </c>
      <c r="EK400" s="1" t="s">
        <v>286</v>
      </c>
      <c r="EL400" s="1" t="str">
        <f t="array" ref="EL400">IF(ISNUMBER(FIND("数值%",INDEX($1:$693,ROW($BA400)+_xlfn.NUMBERVALUE(MID(EC400,1,1)),COLUMN($BA400)+8*_xlfn.NUMBERVALUE(MID(EC400,3,1))))),"{"&amp;EC400&amp;"}"&amp;"%","{"&amp;EC400&amp;"}")</f>
        <v>{2:0}%</v>
      </c>
      <c r="EM400" s="1" t="e">
        <f t="shared" si="12"/>
        <v>#VALUE!</v>
      </c>
      <c r="EN400" s="1" t="s">
        <v>287</v>
      </c>
      <c r="EO400" s="1" t="str">
        <f t="array" ref="EO400">IF(ISNUMBER(FIND("数值%",INDEX($1:$693,ROW($BA400)+_xlfn.NUMBERVALUE(MID(ED400,1,1)),COLUMN($BA400)+8*_xlfn.NUMBERVALUE(MID(ED400,3,1))))),"{"&amp;ED400&amp;"}"&amp;"%","{"&amp;ED400&amp;"}")</f>
        <v>{2:0}%</v>
      </c>
      <c r="EP400" s="1" t="e">
        <f t="shared" si="13"/>
        <v>#VALUE!</v>
      </c>
    </row>
    <row r="401" spans="1:149" s="1" customFormat="1" ht="14.25" customHeight="1" x14ac:dyDescent="0.15">
      <c r="A401" s="1">
        <v>1000070011</v>
      </c>
      <c r="B401" s="37" t="s">
        <v>761</v>
      </c>
      <c r="C401" s="40" t="s">
        <v>762</v>
      </c>
      <c r="D401" s="1" t="s">
        <v>763</v>
      </c>
      <c r="H401" s="1">
        <v>0</v>
      </c>
      <c r="L401" s="1">
        <v>0</v>
      </c>
      <c r="Q401" s="1" t="s">
        <v>764</v>
      </c>
      <c r="X401" s="1">
        <v>0.1</v>
      </c>
      <c r="Y401" s="1">
        <v>0</v>
      </c>
      <c r="Z401" s="1">
        <v>0</v>
      </c>
      <c r="AB401" s="56">
        <v>3001</v>
      </c>
      <c r="AC401" s="56"/>
      <c r="AD401" s="56"/>
      <c r="AE401" s="56"/>
      <c r="AF401" s="56"/>
      <c r="AG401" s="56"/>
      <c r="AH401" s="56"/>
      <c r="AI401" s="56"/>
      <c r="AJ401" s="56"/>
      <c r="AK401" s="56"/>
      <c r="AL401" s="64"/>
      <c r="AM401" s="64"/>
      <c r="AN401" s="64"/>
      <c r="AO401" s="64"/>
      <c r="AP401" s="64"/>
      <c r="AQ401" s="64"/>
      <c r="AR401" s="64"/>
      <c r="AS401" s="17"/>
      <c r="AT401" s="17"/>
      <c r="AU401" s="64"/>
      <c r="AV401" s="64"/>
      <c r="AW401" s="64"/>
      <c r="AX401" s="64"/>
      <c r="AY401" s="64"/>
      <c r="AZ401" s="64"/>
      <c r="BA401" s="77" t="s">
        <v>270</v>
      </c>
      <c r="BB401" s="75">
        <v>0.35</v>
      </c>
      <c r="BC401" s="75">
        <v>3.5000000000000003E-2</v>
      </c>
      <c r="BD401" s="75"/>
      <c r="BE401" s="75"/>
      <c r="BF401" s="75"/>
      <c r="BG401" s="75"/>
      <c r="BH401" s="75"/>
      <c r="BI401" s="75"/>
      <c r="BJ401" s="80" t="s">
        <v>270</v>
      </c>
      <c r="BK401" s="80"/>
      <c r="BL401" s="80"/>
      <c r="BM401" s="80"/>
      <c r="BN401" s="80"/>
      <c r="BO401" s="80"/>
      <c r="BP401" s="80"/>
      <c r="BQ401" s="80"/>
      <c r="BR401" s="80"/>
      <c r="BS401" s="80"/>
      <c r="BT401" s="80"/>
      <c r="BU401" s="80"/>
      <c r="BV401" s="80"/>
      <c r="BW401" s="80"/>
      <c r="BX401" s="80"/>
      <c r="BY401" s="80"/>
      <c r="BZ401" s="80"/>
      <c r="CA401" s="80"/>
      <c r="CB401" s="80"/>
      <c r="CC401" s="80"/>
      <c r="CD401" s="80"/>
      <c r="CE401" s="80"/>
      <c r="CX401" s="40" t="s">
        <v>273</v>
      </c>
      <c r="DB401" s="1">
        <v>1000070011</v>
      </c>
      <c r="DC401" s="1" t="b">
        <v>1</v>
      </c>
      <c r="DD401" s="1" t="s">
        <v>274</v>
      </c>
      <c r="DE401" s="1" t="s">
        <v>765</v>
      </c>
      <c r="DF401" s="1" t="s">
        <v>276</v>
      </c>
      <c r="DG401" s="1" t="s">
        <v>790</v>
      </c>
      <c r="DI401" s="1" t="b">
        <v>0</v>
      </c>
      <c r="DP401" s="96" t="str">
        <f t="shared" si="9"/>
        <v>SkillDetail_1000070011</v>
      </c>
      <c r="DQ401" s="57" t="s">
        <v>766</v>
      </c>
      <c r="DR401" s="57" t="str">
        <f t="shared" si="14"/>
        <v>普通攻击后，对目标造成一次{0:0}%伤害，并让目标减速目标，持续3秒</v>
      </c>
      <c r="DS401" s="1" t="s">
        <v>767</v>
      </c>
      <c r="DU401" s="1" t="s">
        <v>280</v>
      </c>
      <c r="DV401" s="98"/>
      <c r="DZ401" s="109">
        <v>1</v>
      </c>
      <c r="EA401" s="110" t="s">
        <v>281</v>
      </c>
      <c r="EB401" s="110" t="s">
        <v>282</v>
      </c>
      <c r="EC401" s="110" t="s">
        <v>283</v>
      </c>
      <c r="ED401" s="110" t="s">
        <v>283</v>
      </c>
      <c r="EE401" s="1" t="s">
        <v>284</v>
      </c>
      <c r="EF401" s="1" t="str">
        <f t="array" ref="EF401">IF(ISNUMBER(FIND("数值%",INDEX($1:$693,ROW($BA401)+_xlfn.NUMBERVALUE(MID(EA401,1,1)),COLUMN($BA401)+8*_xlfn.NUMBERVALUE(MID(EA401,3,3))))),"{"&amp;EA401&amp;"}"&amp;"%","{"&amp;EA401&amp;"}")</f>
        <v>{0:0}%</v>
      </c>
      <c r="EG401" s="1" t="str">
        <f t="shared" si="10"/>
        <v>普通攻击后，对目标造成一次{0:0}%伤害，并让目标减速目标，持续3秒</v>
      </c>
      <c r="EH401" s="1" t="s">
        <v>285</v>
      </c>
      <c r="EI401" s="1" t="str">
        <f t="array" ref="EI401">IF(ISNUMBER(FIND("数值%",INDEX($1:$693,ROW($BA401)+_xlfn.NUMBERVALUE(MID(EB401,1,1)),COLUMN($BA401)+8*_xlfn.NUMBERVALUE(MID(EB401,3,1))))),"{"&amp;EB401&amp;"}"&amp;"%","{"&amp;EB401&amp;"}")</f>
        <v>{1:0}%</v>
      </c>
      <c r="EJ401" s="1" t="e">
        <f t="shared" si="11"/>
        <v>#VALUE!</v>
      </c>
      <c r="EK401" s="1" t="s">
        <v>286</v>
      </c>
      <c r="EL401" s="1" t="str">
        <f t="array" ref="EL401">IF(ISNUMBER(FIND("数值%",INDEX($1:$693,ROW($BA401)+_xlfn.NUMBERVALUE(MID(EC401,1,1)),COLUMN($BA401)+8*_xlfn.NUMBERVALUE(MID(EC401,3,1))))),"{"&amp;EC401&amp;"}"&amp;"%","{"&amp;EC401&amp;"}")</f>
        <v>{2:0}%</v>
      </c>
      <c r="EM401" s="1" t="e">
        <f t="shared" si="12"/>
        <v>#VALUE!</v>
      </c>
      <c r="EN401" s="1" t="s">
        <v>287</v>
      </c>
      <c r="EO401" s="1" t="str">
        <f t="array" ref="EO401">IF(ISNUMBER(FIND("数值%",INDEX($1:$693,ROW($BA401)+_xlfn.NUMBERVALUE(MID(ED401,1,1)),COLUMN($BA401)+8*_xlfn.NUMBERVALUE(MID(ED401,3,1))))),"{"&amp;ED401&amp;"}"&amp;"%","{"&amp;ED401&amp;"}")</f>
        <v>{2:0}%</v>
      </c>
      <c r="EP401" s="1" t="e">
        <f t="shared" si="13"/>
        <v>#VALUE!</v>
      </c>
    </row>
    <row r="402" spans="1:149" s="1" customFormat="1" ht="33" customHeight="1" x14ac:dyDescent="0.15">
      <c r="A402" s="1">
        <v>1000070021</v>
      </c>
      <c r="B402" s="37" t="s">
        <v>761</v>
      </c>
      <c r="C402" s="40" t="s">
        <v>762</v>
      </c>
      <c r="D402" s="1" t="s">
        <v>763</v>
      </c>
      <c r="H402" s="1">
        <v>0</v>
      </c>
      <c r="L402" s="1">
        <v>0</v>
      </c>
      <c r="Q402" s="1" t="s">
        <v>733</v>
      </c>
      <c r="U402" s="1">
        <v>5</v>
      </c>
      <c r="Y402" s="1">
        <v>0</v>
      </c>
      <c r="Z402" s="1">
        <v>0</v>
      </c>
      <c r="AB402" s="56">
        <v>3001</v>
      </c>
      <c r="AC402" s="56"/>
      <c r="AD402" s="56"/>
      <c r="AE402" s="56"/>
      <c r="AF402" s="56"/>
      <c r="AG402" s="56"/>
      <c r="AH402" s="56"/>
      <c r="AI402" s="56"/>
      <c r="AJ402" s="56"/>
      <c r="AK402" s="56"/>
      <c r="AL402" s="64"/>
      <c r="AM402" s="64"/>
      <c r="AN402" s="64"/>
      <c r="AO402" s="64"/>
      <c r="AP402" s="64"/>
      <c r="AQ402" s="64"/>
      <c r="AR402" s="64"/>
      <c r="AS402" s="17"/>
      <c r="AT402" s="17"/>
      <c r="AU402" s="64"/>
      <c r="AV402" s="64"/>
      <c r="AW402" s="64"/>
      <c r="AX402" s="64"/>
      <c r="AY402" s="64"/>
      <c r="AZ402" s="64"/>
      <c r="BA402" s="77" t="s">
        <v>270</v>
      </c>
      <c r="BB402" s="75">
        <v>0.35</v>
      </c>
      <c r="BC402" s="75">
        <v>3.5000000000000003E-2</v>
      </c>
      <c r="BD402" s="75"/>
      <c r="BE402" s="75"/>
      <c r="BF402" s="75">
        <v>0</v>
      </c>
      <c r="BG402" s="75">
        <v>0</v>
      </c>
      <c r="BH402" s="75">
        <v>0</v>
      </c>
      <c r="BI402" s="75"/>
      <c r="BJ402" s="80"/>
      <c r="BK402" s="80"/>
      <c r="BL402" s="80"/>
      <c r="BM402" s="80"/>
      <c r="BN402" s="80"/>
      <c r="BO402" s="80"/>
      <c r="BP402" s="80"/>
      <c r="BQ402" s="80"/>
      <c r="BR402" s="80"/>
      <c r="BS402" s="80"/>
      <c r="BT402" s="80"/>
      <c r="BU402" s="80"/>
      <c r="BV402" s="80"/>
      <c r="BW402" s="80"/>
      <c r="BX402" s="80"/>
      <c r="BY402" s="80"/>
      <c r="BZ402" s="80"/>
      <c r="CA402" s="80"/>
      <c r="CB402" s="80"/>
      <c r="CC402" s="80"/>
      <c r="CD402" s="80"/>
      <c r="CE402" s="80"/>
      <c r="CF402" s="1" t="s">
        <v>271</v>
      </c>
      <c r="CJ402" s="1" t="s">
        <v>1</v>
      </c>
      <c r="CK402" s="1" t="s">
        <v>768</v>
      </c>
      <c r="CX402" s="40" t="s">
        <v>273</v>
      </c>
      <c r="DB402" s="1">
        <v>1000070021</v>
      </c>
      <c r="DC402" s="1" t="b">
        <v>1</v>
      </c>
      <c r="DD402" s="1" t="s">
        <v>274</v>
      </c>
      <c r="DE402" s="1" t="s">
        <v>309</v>
      </c>
      <c r="DF402" s="1" t="s">
        <v>276</v>
      </c>
      <c r="DG402" s="1" t="s">
        <v>791</v>
      </c>
      <c r="DI402" s="1" t="b">
        <v>1</v>
      </c>
      <c r="DP402" s="96" t="str">
        <f t="shared" si="9"/>
        <v>SkillDetail_1000070021</v>
      </c>
      <c r="DQ402" s="57" t="s">
        <v>770</v>
      </c>
      <c r="DR402" s="57" t="str">
        <f t="shared" si="14"/>
        <v>对扇形范围内至多3个目标释放枪阵，造成{0:0}%伤害。击飞目标并让目标晕眩，持续3秒</v>
      </c>
      <c r="DS402" s="1" t="s">
        <v>771</v>
      </c>
      <c r="DU402" s="1" t="s">
        <v>280</v>
      </c>
      <c r="DV402" s="98"/>
      <c r="DZ402" s="109">
        <v>1</v>
      </c>
      <c r="EA402" s="110" t="s">
        <v>281</v>
      </c>
      <c r="EB402" s="110" t="s">
        <v>282</v>
      </c>
      <c r="EC402" s="110" t="s">
        <v>283</v>
      </c>
      <c r="ED402" s="110" t="s">
        <v>283</v>
      </c>
      <c r="EE402" s="1" t="s">
        <v>284</v>
      </c>
      <c r="EF402" s="1" t="str">
        <f t="array" ref="EF402">IF(ISNUMBER(FIND("数值%",INDEX($1:$693,ROW($BA402)+_xlfn.NUMBERVALUE(MID(EA402,1,1)),COLUMN($BA402)+8*_xlfn.NUMBERVALUE(MID(EA402,3,3))))),"{"&amp;EA402&amp;"}"&amp;"%","{"&amp;EA402&amp;"}")</f>
        <v>{0:0}%</v>
      </c>
      <c r="EG402" s="1" t="str">
        <f t="shared" si="10"/>
        <v>对扇形范围内至多3个目标释放枪阵，造成{0:0}%伤害。击飞目标并让目标晕眩，持续3秒</v>
      </c>
      <c r="EH402" s="1" t="s">
        <v>285</v>
      </c>
      <c r="EI402" s="1" t="str">
        <f t="array" ref="EI402">IF(ISNUMBER(FIND("数值%",INDEX($1:$693,ROW($BA402)+_xlfn.NUMBERVALUE(MID(EB402,1,1)),COLUMN($BA402)+8*_xlfn.NUMBERVALUE(MID(EB402,3,1))))),"{"&amp;EB402&amp;"}"&amp;"%","{"&amp;EB402&amp;"}")</f>
        <v>{1:0}%</v>
      </c>
      <c r="EJ402" s="1" t="e">
        <f t="shared" si="11"/>
        <v>#VALUE!</v>
      </c>
      <c r="EK402" s="1" t="s">
        <v>286</v>
      </c>
      <c r="EL402" s="1" t="str">
        <f t="array" ref="EL402">IF(ISNUMBER(FIND("数值%",INDEX($1:$693,ROW($BA402)+_xlfn.NUMBERVALUE(MID(EC402,1,1)),COLUMN($BA402)+8*_xlfn.NUMBERVALUE(MID(EC402,3,1))))),"{"&amp;EC402&amp;"}"&amp;"%","{"&amp;EC402&amp;"}")</f>
        <v>{2:0}</v>
      </c>
      <c r="EM402" s="1" t="e">
        <f t="shared" si="12"/>
        <v>#VALUE!</v>
      </c>
      <c r="EN402" s="1" t="s">
        <v>287</v>
      </c>
      <c r="EO402" s="1" t="str">
        <f t="array" ref="EO402">IF(ISNUMBER(FIND("数值%",INDEX($1:$693,ROW($BA402)+_xlfn.NUMBERVALUE(MID(ED402,1,1)),COLUMN($BA402)+8*_xlfn.NUMBERVALUE(MID(ED402,3,1))))),"{"&amp;ED402&amp;"}"&amp;"%","{"&amp;ED402&amp;"}")</f>
        <v>{2:0}</v>
      </c>
      <c r="EP402" s="1" t="e">
        <f t="shared" si="13"/>
        <v>#VALUE!</v>
      </c>
    </row>
    <row r="403" spans="1:149" s="1" customFormat="1" x14ac:dyDescent="0.15">
      <c r="B403" s="351"/>
      <c r="C403" s="40"/>
      <c r="AB403" s="56">
        <v>1004</v>
      </c>
      <c r="AC403" s="56"/>
      <c r="AD403" s="56"/>
      <c r="AE403" s="56"/>
      <c r="AF403" s="56"/>
      <c r="AG403" s="56"/>
      <c r="AH403" s="56"/>
      <c r="AI403" s="56"/>
      <c r="AJ403" s="56">
        <v>5</v>
      </c>
      <c r="AK403" s="56"/>
      <c r="AL403" s="64"/>
      <c r="AM403" s="64"/>
      <c r="AN403" s="64"/>
      <c r="AO403" s="64"/>
      <c r="AP403" s="64"/>
      <c r="AQ403" s="64"/>
      <c r="AR403" s="64"/>
      <c r="AS403" s="17"/>
      <c r="AT403" s="17"/>
      <c r="AU403" s="64"/>
      <c r="AV403" s="64"/>
      <c r="AW403" s="64"/>
      <c r="AX403" s="64"/>
      <c r="AY403" s="64"/>
      <c r="AZ403" s="64"/>
      <c r="BA403" s="77" t="s">
        <v>270</v>
      </c>
      <c r="BB403" s="75"/>
      <c r="BC403" s="75"/>
      <c r="BD403" s="75"/>
      <c r="BE403" s="75"/>
      <c r="BF403" s="75"/>
      <c r="BG403" s="75"/>
      <c r="BH403" s="75"/>
      <c r="BI403" s="75"/>
      <c r="BJ403" s="80" t="s">
        <v>270</v>
      </c>
      <c r="BK403" s="80"/>
      <c r="BL403" s="80"/>
      <c r="BM403" s="80"/>
      <c r="BN403" s="80"/>
      <c r="BO403" s="80"/>
      <c r="BP403" s="80"/>
      <c r="BQ403" s="80"/>
      <c r="BR403" s="80"/>
      <c r="BS403" s="80"/>
      <c r="BT403" s="80"/>
      <c r="BU403" s="80"/>
      <c r="BV403" s="80"/>
      <c r="BW403" s="80"/>
      <c r="BX403" s="80"/>
      <c r="BY403" s="80"/>
      <c r="BZ403" s="80"/>
      <c r="CA403" s="80"/>
      <c r="CB403" s="80"/>
      <c r="CC403" s="80"/>
      <c r="CD403" s="80"/>
      <c r="CE403" s="80"/>
      <c r="CX403" s="40"/>
      <c r="DC403" s="1" t="b">
        <v>1</v>
      </c>
      <c r="DD403" s="1" t="s">
        <v>274</v>
      </c>
      <c r="DF403" s="1" t="s">
        <v>276</v>
      </c>
      <c r="DG403" s="1" t="s">
        <v>677</v>
      </c>
      <c r="DI403" s="1" t="b">
        <v>0</v>
      </c>
      <c r="DP403" s="96"/>
      <c r="DQ403" s="57"/>
      <c r="DR403" s="57" t="e">
        <f t="shared" si="14"/>
        <v>#VALUE!</v>
      </c>
      <c r="DU403" s="1" t="s">
        <v>280</v>
      </c>
      <c r="DV403" s="98"/>
      <c r="DY403" s="98"/>
      <c r="DZ403" s="109">
        <v>1</v>
      </c>
      <c r="EA403" s="110" t="s">
        <v>281</v>
      </c>
      <c r="EB403" s="110" t="s">
        <v>282</v>
      </c>
      <c r="EC403" s="110" t="s">
        <v>283</v>
      </c>
      <c r="ED403" s="110" t="s">
        <v>283</v>
      </c>
      <c r="EE403" s="1" t="s">
        <v>284</v>
      </c>
      <c r="EF403" s="1" t="str">
        <f t="array" ref="EF403">IF(INDEX($1:$693,ROW(BA403)+_xlfn.NUMBERVALUE(LEFT(EA403,1)),COLUMN(BA403)+8*_xlfn.NUMBERVALUE(LEFT(EA403,3)))="数值%","{"&amp;EA403&amp;"}"&amp;"%","{"&amp;EA403&amp;"}")</f>
        <v>{0:0}%</v>
      </c>
      <c r="EG403" s="1" t="e">
        <f>REPLACEB(DS403,FINDB(EE403,DS403),LEN(EE403),"&lt;color=#ffc766&gt;"&amp;EF403&amp;"&lt;/color&gt;")</f>
        <v>#VALUE!</v>
      </c>
      <c r="EH403" s="1" t="s">
        <v>285</v>
      </c>
      <c r="EI403" s="1" t="e">
        <f t="array" ref="EI403">IF(INDEX(400:693,ROW(BA403)+_xlfn.NUMBERVALUE(LEFT(EB403,1)),COLUMN(BA403)+8*_xlfn.NUMBERVALUE(LEFT(EB403,3)))="数值%","{"&amp;EB403&amp;"}"&amp;"%","{"&amp;EB403&amp;"}")</f>
        <v>#REF!</v>
      </c>
      <c r="EJ403" s="1" t="e">
        <f>REPLACEB(EG403,FINDB(EH403,EG403),LEN(EH403),"&lt;color=#ffc766&gt;"&amp;EI403&amp;"&lt;/color&gt;")</f>
        <v>#VALUE!</v>
      </c>
      <c r="EK403" s="1" t="s">
        <v>286</v>
      </c>
      <c r="EL403" s="1" t="e">
        <f t="array" ref="EL403">IF(INDEX(400:693,ROW(BA403)+_xlfn.NUMBERVALUE(LEFT(EC403,1)),COLUMN(BA403)+_xlfn.NUMBERVALUE(LEFT(EC403,3)))="数值%","{"&amp;EC403&amp;"}"&amp;"%","{"&amp;EC403&amp;"}")</f>
        <v>#REF!</v>
      </c>
      <c r="EM403" s="1" t="e">
        <f>REPLACEB(EJ403,FINDB(EK403,EJ403),LEN(EK403),"&lt;color=#ffc766&gt;"&amp;EL403&amp;"&lt;/color&gt;")</f>
        <v>#VALUE!</v>
      </c>
      <c r="EN403" s="1" t="s">
        <v>286</v>
      </c>
      <c r="EO403" s="1" t="e">
        <f t="array" ref="EO403">IF(INDEX(400:693,ROW(BF403)+_xlfn.NUMBERVALUE(LEFT(EH403,1)),COLUMN(BF403)+_xlfn.NUMBERVALUE(LEFT(EH403,3)))="数值%","{"&amp;EH403&amp;"}"&amp;"%","{"&amp;EH403&amp;"}")</f>
        <v>#VALUE!</v>
      </c>
      <c r="EP403" s="1" t="e">
        <f>REPLACEB(#REF!,FINDB(EN403,#REF!),LEN(EN403),"&lt;color=#ffc766&gt;"&amp;EO403&amp;"&lt;/color&gt;")</f>
        <v>#REF!</v>
      </c>
    </row>
    <row r="404" spans="1:149" s="1" customFormat="1" ht="33" x14ac:dyDescent="0.15">
      <c r="A404" s="1">
        <v>1000090011</v>
      </c>
      <c r="B404" s="351" t="s">
        <v>772</v>
      </c>
      <c r="C404" s="40" t="s">
        <v>773</v>
      </c>
      <c r="D404" s="1" t="s">
        <v>774</v>
      </c>
      <c r="H404" s="1">
        <v>0</v>
      </c>
      <c r="L404" s="1">
        <v>0</v>
      </c>
      <c r="Q404" s="1" t="s">
        <v>764</v>
      </c>
      <c r="X404" s="1">
        <v>0.15</v>
      </c>
      <c r="Y404" s="1">
        <v>0</v>
      </c>
      <c r="Z404" s="1">
        <v>0</v>
      </c>
      <c r="AB404" s="56">
        <v>3001</v>
      </c>
      <c r="AC404" s="56"/>
      <c r="AD404" s="56"/>
      <c r="AE404" s="56"/>
      <c r="AF404" s="56"/>
      <c r="AG404" s="56"/>
      <c r="AH404" s="56"/>
      <c r="AI404" s="56"/>
      <c r="AJ404" s="56"/>
      <c r="AK404" s="56"/>
      <c r="AL404" s="64"/>
      <c r="AM404" s="64"/>
      <c r="AN404" s="64"/>
      <c r="AO404" s="64"/>
      <c r="AP404" s="64"/>
      <c r="AQ404" s="64"/>
      <c r="AR404" s="64"/>
      <c r="AS404" s="17"/>
      <c r="AT404" s="17"/>
      <c r="AU404" s="64"/>
      <c r="AV404" s="64"/>
      <c r="AW404" s="64"/>
      <c r="AX404" s="64"/>
      <c r="AY404" s="64"/>
      <c r="AZ404" s="64"/>
      <c r="BA404" s="77" t="s">
        <v>355</v>
      </c>
      <c r="BB404" s="75">
        <v>0.35</v>
      </c>
      <c r="BC404" s="75">
        <v>3.5000000000000003E-2</v>
      </c>
      <c r="BD404" s="75"/>
      <c r="BE404" s="75"/>
      <c r="BF404" s="75">
        <v>0</v>
      </c>
      <c r="BG404" s="75">
        <v>0</v>
      </c>
      <c r="BH404" s="75">
        <v>0</v>
      </c>
      <c r="BI404" s="75"/>
      <c r="BJ404" s="80"/>
      <c r="BK404" s="80"/>
      <c r="BL404" s="80"/>
      <c r="BM404" s="80"/>
      <c r="BN404" s="80"/>
      <c r="BO404" s="80"/>
      <c r="BP404" s="80"/>
      <c r="BQ404" s="80"/>
      <c r="BR404" s="80"/>
      <c r="BS404" s="80"/>
      <c r="BT404" s="80"/>
      <c r="BU404" s="80"/>
      <c r="BV404" s="80"/>
      <c r="BW404" s="80"/>
      <c r="BX404" s="80"/>
      <c r="BY404" s="80"/>
      <c r="BZ404" s="80"/>
      <c r="CA404" s="80"/>
      <c r="CB404" s="80"/>
      <c r="CC404" s="80"/>
      <c r="CD404" s="80"/>
      <c r="CE404" s="80"/>
      <c r="CX404" s="40" t="s">
        <v>273</v>
      </c>
      <c r="DB404" s="1">
        <v>1000090011</v>
      </c>
      <c r="DC404" s="1" t="b">
        <v>1</v>
      </c>
      <c r="DD404" s="1" t="s">
        <v>274</v>
      </c>
      <c r="DE404" s="1" t="s">
        <v>775</v>
      </c>
      <c r="DF404" s="1" t="s">
        <v>276</v>
      </c>
      <c r="DG404" s="1" t="s">
        <v>729</v>
      </c>
      <c r="DI404" s="1" t="b">
        <v>0</v>
      </c>
      <c r="DP404" s="96" t="str">
        <f>"SkillDetail_"&amp;A404</f>
        <v>SkillDetail_1000090011</v>
      </c>
      <c r="DQ404" s="57" t="s">
        <v>776</v>
      </c>
      <c r="DR404" s="57" t="str">
        <f t="shared" si="14"/>
        <v>普通攻击后，对目标造成一次{0:0}伤害</v>
      </c>
      <c r="DS404" s="1" t="s">
        <v>777</v>
      </c>
      <c r="DU404" s="1" t="s">
        <v>280</v>
      </c>
      <c r="DV404" s="98"/>
      <c r="DZ404" s="109">
        <v>1</v>
      </c>
      <c r="EA404" s="110" t="s">
        <v>281</v>
      </c>
      <c r="EB404" s="110" t="s">
        <v>282</v>
      </c>
      <c r="EC404" s="110" t="s">
        <v>283</v>
      </c>
      <c r="ED404" s="110" t="s">
        <v>283</v>
      </c>
      <c r="EE404" s="1" t="s">
        <v>284</v>
      </c>
      <c r="EF404" s="1" t="str">
        <f t="array" ref="EF404">IF(ISNUMBER(FIND("数值%",INDEX($1:$693,ROW($BA404)+_xlfn.NUMBERVALUE(MID(EA404,1,1)),COLUMN($BA404)+8*_xlfn.NUMBERVALUE(MID(EA404,3,3))))),"{"&amp;EA404&amp;"}"&amp;"%","{"&amp;EA404&amp;"}")</f>
        <v>{0:0}</v>
      </c>
      <c r="EG404" s="1" t="str">
        <f>REPLACEB(DS404,FINDB(EE404,DS404),LEN(EE404),EF404)</f>
        <v>普通攻击后，对目标造成一次{0:0}伤害</v>
      </c>
      <c r="EH404" s="1" t="s">
        <v>285</v>
      </c>
      <c r="EI404" s="1" t="str">
        <f t="array" ref="EI404">IF(ISNUMBER(FIND("数值%",INDEX($1:$693,ROW($BA404)+_xlfn.NUMBERVALUE(MID(EB404,1,1)),COLUMN($BA404)+8*_xlfn.NUMBERVALUE(MID(EB404,3,1))))),"{"&amp;EB404&amp;"}"&amp;"%","{"&amp;EB404&amp;"}")</f>
        <v>{1:0}%</v>
      </c>
      <c r="EJ404" s="1" t="e">
        <f>REPLACEB(EG404,FINDB(EH404,EG404),LEN(EH404),EI404)</f>
        <v>#VALUE!</v>
      </c>
      <c r="EK404" s="1" t="s">
        <v>286</v>
      </c>
      <c r="EL404" s="1" t="str">
        <f t="array" ref="EL404">IF(ISNUMBER(FIND("数值%",INDEX($1:$693,ROW($BA404)+_xlfn.NUMBERVALUE(MID(EC404,1,1)),COLUMN($BA404)+8*_xlfn.NUMBERVALUE(MID(EC404,3,1))))),"{"&amp;EC404&amp;"}"&amp;"%","{"&amp;EC404&amp;"}")</f>
        <v>{2:0}</v>
      </c>
      <c r="EM404" s="1" t="e">
        <f>REPLACEB(EJ404,FINDB(EK404,EJ404),LEN(EK404),EL404)</f>
        <v>#VALUE!</v>
      </c>
      <c r="EN404" s="1" t="s">
        <v>287</v>
      </c>
      <c r="EO404" s="1" t="str">
        <f t="array" ref="EO404">IF(ISNUMBER(FIND("数值%",INDEX($1:$693,ROW($BA404)+_xlfn.NUMBERVALUE(MID(ED404,1,1)),COLUMN($BA404)+8*_xlfn.NUMBERVALUE(MID(ED404,3,1))))),"{"&amp;ED404&amp;"}"&amp;"%","{"&amp;ED404&amp;"}")</f>
        <v>{2:0}</v>
      </c>
      <c r="EP404" s="1" t="e">
        <f>REPLACEB(EM404,FINDB(EN404,EM404),LEN(EN404),EO404)</f>
        <v>#VALUE!</v>
      </c>
    </row>
    <row r="405" spans="1:149" s="1" customFormat="1" ht="14.25" customHeight="1" x14ac:dyDescent="0.15">
      <c r="A405" s="1">
        <v>1000090021</v>
      </c>
      <c r="B405" s="351" t="s">
        <v>772</v>
      </c>
      <c r="C405" s="40" t="s">
        <v>773</v>
      </c>
      <c r="D405" s="1" t="s">
        <v>774</v>
      </c>
      <c r="H405" s="1">
        <v>0</v>
      </c>
      <c r="L405" s="1">
        <v>0</v>
      </c>
      <c r="Q405" s="1" t="s">
        <v>269</v>
      </c>
      <c r="X405" s="1">
        <v>1</v>
      </c>
      <c r="Y405" s="1">
        <v>0</v>
      </c>
      <c r="Z405" s="1">
        <v>0</v>
      </c>
      <c r="AB405" s="56">
        <v>2001</v>
      </c>
      <c r="AC405" s="56"/>
      <c r="AD405" s="56"/>
      <c r="AE405" s="56"/>
      <c r="AF405" s="56"/>
      <c r="AG405" s="56"/>
      <c r="AH405" s="56"/>
      <c r="AI405" s="56"/>
      <c r="AJ405" s="56"/>
      <c r="AK405" s="56"/>
      <c r="AL405" s="64"/>
      <c r="AM405" s="64"/>
      <c r="AN405" s="64"/>
      <c r="AO405" s="64"/>
      <c r="AP405" s="64"/>
      <c r="AQ405" s="64"/>
      <c r="AR405" s="64"/>
      <c r="AS405" s="17"/>
      <c r="AT405" s="17"/>
      <c r="AU405" s="64"/>
      <c r="AV405" s="64"/>
      <c r="AW405" s="64"/>
      <c r="AX405" s="64"/>
      <c r="AY405" s="64"/>
      <c r="AZ405" s="64"/>
      <c r="BA405" s="77" t="s">
        <v>270</v>
      </c>
      <c r="BB405" s="75"/>
      <c r="BC405" s="75"/>
      <c r="BD405" s="75"/>
      <c r="BE405" s="75"/>
      <c r="BF405" s="75"/>
      <c r="BG405" s="75"/>
      <c r="BH405" s="75"/>
      <c r="BI405" s="75"/>
      <c r="BJ405" s="80" t="s">
        <v>270</v>
      </c>
      <c r="BK405" s="80"/>
      <c r="BL405" s="80"/>
      <c r="BM405" s="80"/>
      <c r="BN405" s="80"/>
      <c r="BO405" s="80"/>
      <c r="BP405" s="80"/>
      <c r="BQ405" s="80"/>
      <c r="BR405" s="80"/>
      <c r="BS405" s="80"/>
      <c r="BT405" s="80"/>
      <c r="BU405" s="80"/>
      <c r="BV405" s="80"/>
      <c r="BW405" s="80"/>
      <c r="BX405" s="80"/>
      <c r="BY405" s="80"/>
      <c r="BZ405" s="80"/>
      <c r="CA405" s="80"/>
      <c r="CB405" s="80"/>
      <c r="CC405" s="80"/>
      <c r="CD405" s="80"/>
      <c r="CE405" s="80"/>
      <c r="CF405" s="1" t="s">
        <v>675</v>
      </c>
      <c r="CJ405" s="1" t="s">
        <v>1</v>
      </c>
      <c r="CK405" s="1" t="s">
        <v>272</v>
      </c>
      <c r="CN405" s="1">
        <v>200</v>
      </c>
      <c r="CO405" s="1">
        <v>0</v>
      </c>
      <c r="CP405" s="1">
        <v>200</v>
      </c>
      <c r="CQ405" s="1">
        <v>10</v>
      </c>
      <c r="CX405" s="40" t="s">
        <v>273</v>
      </c>
      <c r="DB405" s="1">
        <v>1000090021</v>
      </c>
      <c r="DC405" s="1" t="b">
        <v>0</v>
      </c>
      <c r="DD405" s="1" t="s">
        <v>274</v>
      </c>
      <c r="DE405" s="1" t="s">
        <v>779</v>
      </c>
      <c r="DF405" s="1" t="s">
        <v>276</v>
      </c>
      <c r="DG405" s="1" t="s">
        <v>769</v>
      </c>
      <c r="DI405" s="1" t="b">
        <v>1</v>
      </c>
      <c r="DP405" s="96" t="str">
        <f>"SkillDetail_"&amp;A405</f>
        <v>SkillDetail_1000090021</v>
      </c>
      <c r="DQ405" s="57" t="s">
        <v>780</v>
      </c>
      <c r="DR405" s="57" t="str">
        <f t="shared" si="14"/>
        <v>对圆形范围内友军恢复{0:0}%兵力</v>
      </c>
      <c r="DS405" s="1" t="s">
        <v>781</v>
      </c>
      <c r="DU405" s="1" t="s">
        <v>280</v>
      </c>
      <c r="DV405" s="98"/>
      <c r="DZ405" s="109">
        <v>1</v>
      </c>
      <c r="EA405" s="110" t="s">
        <v>281</v>
      </c>
      <c r="EB405" s="110" t="s">
        <v>282</v>
      </c>
      <c r="EC405" s="110" t="s">
        <v>283</v>
      </c>
      <c r="ED405" s="110" t="s">
        <v>283</v>
      </c>
      <c r="EE405" s="1" t="s">
        <v>284</v>
      </c>
      <c r="EF405" s="1" t="str">
        <f t="array" ref="EF405">IF(ISNUMBER(FIND("数值%",INDEX($1:$693,ROW($BA405)+_xlfn.NUMBERVALUE(MID(EA405,1,1)),COLUMN($BA405)+8*_xlfn.NUMBERVALUE(MID(EA405,3,3))))),"{"&amp;EA405&amp;"}"&amp;"%","{"&amp;EA405&amp;"}")</f>
        <v>{0:0}%</v>
      </c>
      <c r="EG405" s="1" t="str">
        <f>REPLACEB(DS405,FINDB(EE405,DS405),LEN(EE405),EF405)</f>
        <v>对圆形范围内友军恢复{0:0}%兵力</v>
      </c>
      <c r="EH405" s="1" t="s">
        <v>285</v>
      </c>
      <c r="EI405" s="1" t="str">
        <f t="array" ref="EI405">IF(ISNUMBER(FIND("数值%",INDEX($1:$693,ROW($BA405)+_xlfn.NUMBERVALUE(MID(EB405,1,1)),COLUMN($BA405)+8*_xlfn.NUMBERVALUE(MID(EB405,3,1))))),"{"&amp;EB405&amp;"}"&amp;"%","{"&amp;EB405&amp;"}")</f>
        <v>{1:0}</v>
      </c>
      <c r="EJ405" s="1" t="e">
        <f>REPLACEB(EG405,FINDB(EH405,EG405),LEN(EH405),EI405)</f>
        <v>#VALUE!</v>
      </c>
      <c r="EK405" s="1" t="s">
        <v>286</v>
      </c>
      <c r="EL405" s="1" t="str">
        <f t="array" ref="EL405">IF(ISNUMBER(FIND("数值%",INDEX($1:$693,ROW($BA405)+_xlfn.NUMBERVALUE(MID(EC405,1,1)),COLUMN($BA405)+8*_xlfn.NUMBERVALUE(MID(EC405,3,1))))),"{"&amp;EC405&amp;"}"&amp;"%","{"&amp;EC405&amp;"}")</f>
        <v>{2:0}</v>
      </c>
      <c r="EM405" s="1" t="e">
        <f>REPLACEB(EJ405,FINDB(EK405,EJ405),LEN(EK405),EL405)</f>
        <v>#VALUE!</v>
      </c>
      <c r="EN405" s="1" t="s">
        <v>287</v>
      </c>
      <c r="EO405" s="1" t="str">
        <f t="array" ref="EO405">IF(ISNUMBER(FIND("数值%",INDEX($1:$693,ROW($BA405)+_xlfn.NUMBERVALUE(MID(ED405,1,1)),COLUMN($BA405)+8*_xlfn.NUMBERVALUE(MID(ED405,3,1))))),"{"&amp;ED405&amp;"}"&amp;"%","{"&amp;ED405&amp;"}")</f>
        <v>{2:0}</v>
      </c>
      <c r="EP405" s="1" t="e">
        <f>REPLACEB(EM405,FINDB(EN405,EM405),LEN(EN405),EO405)</f>
        <v>#VALUE!</v>
      </c>
    </row>
    <row r="406" spans="1:149" s="1" customFormat="1" ht="14.25" customHeight="1" x14ac:dyDescent="0.15">
      <c r="B406" s="37"/>
      <c r="C406" s="40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64"/>
      <c r="AM406" s="64"/>
      <c r="AN406" s="64"/>
      <c r="AO406" s="64"/>
      <c r="AP406" s="64"/>
      <c r="AQ406" s="64"/>
      <c r="AR406" s="64"/>
      <c r="AS406" s="17"/>
      <c r="AT406" s="17"/>
      <c r="AU406" s="64"/>
      <c r="AV406" s="64"/>
      <c r="AW406" s="64"/>
      <c r="AX406" s="64"/>
      <c r="AY406" s="64"/>
      <c r="AZ406" s="64"/>
      <c r="BA406" s="77"/>
      <c r="BB406" s="75"/>
      <c r="BC406" s="75"/>
      <c r="BD406" s="75"/>
      <c r="BE406" s="75"/>
      <c r="BF406" s="75"/>
      <c r="BG406" s="75"/>
      <c r="BH406" s="75"/>
      <c r="BI406" s="75"/>
      <c r="BJ406" s="80"/>
      <c r="BK406" s="80"/>
      <c r="BL406" s="80"/>
      <c r="BM406" s="80"/>
      <c r="BN406" s="80"/>
      <c r="BO406" s="80"/>
      <c r="BP406" s="80"/>
      <c r="BQ406" s="80"/>
      <c r="BR406" s="80"/>
      <c r="BS406" s="80"/>
      <c r="BT406" s="80"/>
      <c r="BU406" s="80"/>
      <c r="BV406" s="80"/>
      <c r="BW406" s="80"/>
      <c r="BX406" s="80"/>
      <c r="BY406" s="80"/>
      <c r="BZ406" s="80"/>
      <c r="CA406" s="80"/>
      <c r="CB406" s="80"/>
      <c r="CC406" s="80"/>
      <c r="CD406" s="80"/>
      <c r="CE406" s="80"/>
      <c r="DP406" s="96"/>
      <c r="DQ406" s="57"/>
      <c r="DR406" s="57" t="str">
        <f t="shared" si="14"/>
        <v/>
      </c>
      <c r="DU406" s="1" t="s">
        <v>280</v>
      </c>
      <c r="DV406" s="98"/>
      <c r="DY406" s="98"/>
      <c r="EA406" s="98"/>
      <c r="EB406" s="98"/>
      <c r="EC406" s="98"/>
      <c r="ED406" s="98"/>
    </row>
    <row r="407" spans="1:149" s="1" customFormat="1" x14ac:dyDescent="0.15">
      <c r="B407" s="37"/>
      <c r="C407" s="40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64"/>
      <c r="AM407" s="64"/>
      <c r="AN407" s="64"/>
      <c r="AO407" s="64"/>
      <c r="AP407" s="64"/>
      <c r="AQ407" s="64"/>
      <c r="AR407" s="64"/>
      <c r="AS407" s="17"/>
      <c r="AT407" s="17"/>
      <c r="AU407" s="64"/>
      <c r="AV407" s="64"/>
      <c r="AW407" s="64"/>
      <c r="AX407" s="64"/>
      <c r="AY407" s="64"/>
      <c r="AZ407" s="64"/>
      <c r="BA407" s="77"/>
      <c r="BB407" s="75"/>
      <c r="BC407" s="75"/>
      <c r="BD407" s="75"/>
      <c r="BE407" s="75"/>
      <c r="BF407" s="75"/>
      <c r="BG407" s="75"/>
      <c r="BH407" s="75"/>
      <c r="BI407" s="75"/>
      <c r="BJ407" s="80"/>
      <c r="BK407" s="80"/>
      <c r="BL407" s="80"/>
      <c r="BM407" s="80"/>
      <c r="BN407" s="80"/>
      <c r="BO407" s="80"/>
      <c r="BP407" s="80"/>
      <c r="BQ407" s="80"/>
      <c r="BR407" s="80"/>
      <c r="BS407" s="80"/>
      <c r="BT407" s="80"/>
      <c r="BU407" s="80"/>
      <c r="BV407" s="80"/>
      <c r="BW407" s="80"/>
      <c r="BX407" s="80"/>
      <c r="BY407" s="80"/>
      <c r="BZ407" s="80"/>
      <c r="CA407" s="80"/>
      <c r="CB407" s="80"/>
      <c r="CC407" s="80"/>
      <c r="CD407" s="80"/>
      <c r="CE407" s="80"/>
      <c r="DP407" s="96"/>
      <c r="DQ407" s="57"/>
      <c r="DR407" s="57" t="str">
        <f t="shared" si="14"/>
        <v/>
      </c>
      <c r="DU407" s="1" t="s">
        <v>280</v>
      </c>
      <c r="DV407" s="98"/>
      <c r="DY407" s="98"/>
      <c r="EA407" s="98"/>
      <c r="EB407" s="98"/>
      <c r="EC407" s="98"/>
      <c r="ED407" s="98"/>
    </row>
    <row r="408" spans="1:149" s="10" customFormat="1" ht="48" customHeight="1" x14ac:dyDescent="0.15">
      <c r="A408" s="10">
        <v>650101</v>
      </c>
      <c r="B408" s="44" t="s">
        <v>792</v>
      </c>
      <c r="C408" s="40" t="s">
        <v>793</v>
      </c>
      <c r="D408" s="10">
        <v>2223</v>
      </c>
      <c r="R408" s="10" t="s">
        <v>794</v>
      </c>
      <c r="X408" s="10">
        <v>1</v>
      </c>
      <c r="AB408" s="1">
        <v>65010101</v>
      </c>
      <c r="AC408" s="10" t="s">
        <v>795</v>
      </c>
      <c r="AE408" s="10" t="s">
        <v>291</v>
      </c>
      <c r="AF408" s="10" t="s">
        <v>437</v>
      </c>
      <c r="AM408" s="68"/>
      <c r="AN408" s="68"/>
      <c r="AO408" s="68"/>
      <c r="AP408" s="68"/>
      <c r="AQ408" s="68"/>
      <c r="AR408" s="68"/>
      <c r="AS408" s="68"/>
      <c r="AT408" s="68"/>
      <c r="AU408" s="68"/>
      <c r="AV408" s="68"/>
      <c r="AW408" s="68"/>
      <c r="AX408" s="68"/>
      <c r="AY408" s="68"/>
      <c r="AZ408" s="68"/>
      <c r="BA408" s="68"/>
      <c r="CX408" s="10" t="s">
        <v>796</v>
      </c>
      <c r="DD408" s="362" t="s">
        <v>797</v>
      </c>
      <c r="DE408" s="10" t="s">
        <v>798</v>
      </c>
      <c r="DJ408" s="10" t="b">
        <v>1</v>
      </c>
      <c r="DK408" s="10" t="s">
        <v>799</v>
      </c>
      <c r="DP408" s="96"/>
      <c r="DQ408" s="10" t="s">
        <v>799</v>
      </c>
      <c r="DR408" s="57" t="str">
        <f t="shared" si="14"/>
        <v/>
      </c>
      <c r="DS408" s="10" t="s">
        <v>800</v>
      </c>
      <c r="DU408" s="1" t="s">
        <v>280</v>
      </c>
      <c r="DV408" s="68"/>
      <c r="DY408" s="68"/>
      <c r="EA408" s="68"/>
      <c r="EB408" s="68"/>
      <c r="EC408" s="68"/>
      <c r="ED408" s="68"/>
    </row>
    <row r="409" spans="1:149" s="1" customFormat="1" x14ac:dyDescent="0.15">
      <c r="B409" s="37"/>
      <c r="C409" s="40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64"/>
      <c r="AM409" s="64"/>
      <c r="AN409" s="64"/>
      <c r="AO409" s="64"/>
      <c r="AP409" s="64"/>
      <c r="AQ409" s="64"/>
      <c r="AR409" s="64"/>
      <c r="AS409" s="17"/>
      <c r="AT409" s="17"/>
      <c r="AU409" s="64"/>
      <c r="AV409" s="64"/>
      <c r="AW409" s="64"/>
      <c r="AX409" s="64"/>
      <c r="AY409" s="64"/>
      <c r="AZ409" s="64"/>
      <c r="BA409" s="77"/>
      <c r="BB409" s="75"/>
      <c r="BC409" s="75"/>
      <c r="BD409" s="75"/>
      <c r="BE409" s="75"/>
      <c r="BF409" s="75"/>
      <c r="BG409" s="75"/>
      <c r="BH409" s="75"/>
      <c r="BI409" s="75"/>
      <c r="BJ409" s="80"/>
      <c r="BK409" s="80"/>
      <c r="BL409" s="80"/>
      <c r="BM409" s="80"/>
      <c r="BN409" s="80"/>
      <c r="BO409" s="80"/>
      <c r="BP409" s="80"/>
      <c r="BQ409" s="80"/>
      <c r="BR409" s="80"/>
      <c r="BS409" s="80"/>
      <c r="BT409" s="80"/>
      <c r="BU409" s="80"/>
      <c r="BV409" s="80"/>
      <c r="BW409" s="80"/>
      <c r="BX409" s="80"/>
      <c r="BY409" s="80"/>
      <c r="BZ409" s="80"/>
      <c r="CA409" s="80"/>
      <c r="CB409" s="80"/>
      <c r="CC409" s="80"/>
      <c r="CD409" s="80"/>
      <c r="CE409" s="80"/>
      <c r="DJ409" s="10" t="b">
        <v>1</v>
      </c>
      <c r="DP409" s="96"/>
      <c r="DQ409" s="57"/>
      <c r="DR409" s="57" t="str">
        <f t="shared" si="14"/>
        <v/>
      </c>
      <c r="DU409" s="1" t="s">
        <v>280</v>
      </c>
      <c r="DV409" s="98"/>
      <c r="EA409" s="98"/>
      <c r="EB409" s="98"/>
      <c r="EC409" s="98"/>
      <c r="ED409" s="98"/>
    </row>
    <row r="410" spans="1:149" s="1" customFormat="1" ht="55.5" customHeight="1" x14ac:dyDescent="0.15">
      <c r="A410" s="1">
        <v>650102</v>
      </c>
      <c r="B410" s="37" t="s">
        <v>801</v>
      </c>
      <c r="C410" s="40" t="s">
        <v>802</v>
      </c>
      <c r="D410" s="1">
        <v>2222</v>
      </c>
      <c r="E410" s="1">
        <v>173001</v>
      </c>
      <c r="L410" s="1">
        <v>0</v>
      </c>
      <c r="R410" s="1" t="s">
        <v>794</v>
      </c>
      <c r="AB410" s="1">
        <v>65010105</v>
      </c>
      <c r="AC410" s="56" t="s">
        <v>803</v>
      </c>
      <c r="AD410" s="56"/>
      <c r="AE410" s="56" t="s">
        <v>129</v>
      </c>
      <c r="AF410" s="56" t="s">
        <v>314</v>
      </c>
      <c r="AG410" s="56"/>
      <c r="AH410" s="56"/>
      <c r="AI410" s="56"/>
      <c r="AJ410" s="56"/>
      <c r="AK410" s="56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77"/>
      <c r="BB410" s="75"/>
      <c r="BC410" s="75"/>
      <c r="BD410" s="75"/>
      <c r="BE410" s="75"/>
      <c r="BF410" s="75"/>
      <c r="BG410" s="75"/>
      <c r="BH410" s="75"/>
      <c r="BI410" s="75"/>
      <c r="BJ410" s="80"/>
      <c r="BK410" s="80"/>
      <c r="BL410" s="80"/>
      <c r="BM410" s="80"/>
      <c r="BN410" s="80"/>
      <c r="BO410" s="80"/>
      <c r="BP410" s="80"/>
      <c r="BQ410" s="80"/>
      <c r="BR410" s="80"/>
      <c r="BS410" s="80"/>
      <c r="BT410" s="80"/>
      <c r="BU410" s="80"/>
      <c r="BV410" s="80"/>
      <c r="BW410" s="80"/>
      <c r="BX410" s="80"/>
      <c r="BY410" s="80"/>
      <c r="BZ410" s="80"/>
      <c r="CA410" s="80"/>
      <c r="CB410" s="80"/>
      <c r="CC410" s="80"/>
      <c r="CD410" s="80"/>
      <c r="CE410" s="80"/>
      <c r="CF410" s="1" t="s">
        <v>378</v>
      </c>
      <c r="CJ410" s="1" t="s">
        <v>1</v>
      </c>
      <c r="CK410" s="57" t="s">
        <v>804</v>
      </c>
      <c r="CL410" s="57"/>
      <c r="CM410" s="1">
        <v>100</v>
      </c>
      <c r="CN410" s="1">
        <v>200</v>
      </c>
      <c r="CO410" s="1">
        <v>100</v>
      </c>
      <c r="CP410" s="1">
        <v>200</v>
      </c>
      <c r="CQ410" s="1">
        <v>20</v>
      </c>
      <c r="CX410" s="1" t="s">
        <v>796</v>
      </c>
      <c r="DB410" s="1">
        <v>2222</v>
      </c>
      <c r="DD410" s="362" t="s">
        <v>797</v>
      </c>
      <c r="DE410" s="1" t="s">
        <v>805</v>
      </c>
      <c r="DJ410" s="10" t="b">
        <v>1</v>
      </c>
      <c r="DP410" s="96" t="str">
        <f>"SkillDetail_"&amp;A410</f>
        <v>SkillDetail_650102</v>
      </c>
      <c r="DQ410" s="57"/>
      <c r="DR410" s="57" t="e">
        <f t="shared" si="14"/>
        <v>#VALUE!</v>
      </c>
      <c r="DU410" s="1" t="s">
        <v>280</v>
      </c>
      <c r="DV410" s="98"/>
      <c r="DW410" s="20"/>
      <c r="DX410" s="20"/>
      <c r="DZ410" s="109">
        <v>1</v>
      </c>
      <c r="EA410" s="110" t="s">
        <v>281</v>
      </c>
      <c r="EB410" s="110" t="s">
        <v>282</v>
      </c>
      <c r="EC410" s="110" t="s">
        <v>283</v>
      </c>
      <c r="ED410" s="110" t="s">
        <v>283</v>
      </c>
      <c r="EE410" s="1" t="s">
        <v>284</v>
      </c>
      <c r="EF410" s="1" t="str">
        <f t="array" ref="EF410">IF(ISNUMBER(FIND("数值%",INDEX($1:$693,ROW($BA410)+_xlfn.NUMBERVALUE(MID(EA410,1,1)),COLUMN($BA410)+8*_xlfn.NUMBERVALUE(MID(EA410,3,3))))),"{"&amp;EA410&amp;"}"&amp;"%","{"&amp;EA410&amp;"}")</f>
        <v>{0:0}</v>
      </c>
      <c r="EG410" s="1" t="e">
        <f>REPLACEB(DS410,FINDB(EE410,DS410),LEN(EE410),EF410)</f>
        <v>#VALUE!</v>
      </c>
      <c r="EH410" s="1" t="s">
        <v>285</v>
      </c>
      <c r="EI410" s="1" t="str">
        <f t="array" ref="EI410">IF(ISNUMBER(FIND("数值%",INDEX($1:$693,ROW($BA410)+_xlfn.NUMBERVALUE(MID(EB410,1,1)),COLUMN($BA410)+8*_xlfn.NUMBERVALUE(MID(EB410,3,1))))),"{"&amp;EB410&amp;"}"&amp;"%","{"&amp;EB410&amp;"}")</f>
        <v>{1:0}%</v>
      </c>
      <c r="EJ410" s="1" t="e">
        <f>REPLACEB(EG410,FINDB(EH410,EG410),LEN(EH410),EI410)</f>
        <v>#VALUE!</v>
      </c>
      <c r="EK410" s="1" t="s">
        <v>286</v>
      </c>
      <c r="EL410" s="1" t="str">
        <f t="array" ref="EL410">IF(ISNUMBER(FIND("数值%",INDEX($1:$693,ROW($BA410)+_xlfn.NUMBERVALUE(MID(EC410,1,1)),COLUMN($BA410)+8*_xlfn.NUMBERVALUE(MID(EC410,3,1))))),"{"&amp;EC410&amp;"}"&amp;"%","{"&amp;EC410&amp;"}")</f>
        <v>{2:0}%</v>
      </c>
      <c r="EM410" s="1" t="e">
        <f>REPLACEB(EJ410,FINDB(EK410,EJ410),LEN(EK410),EL410)</f>
        <v>#VALUE!</v>
      </c>
      <c r="EN410" s="1" t="s">
        <v>287</v>
      </c>
      <c r="EO410" s="1" t="str">
        <f t="array" ref="EO410">IF(ISNUMBER(FIND("数值%",INDEX($1:$693,ROW($BA410)+_xlfn.NUMBERVALUE(MID(ED410,1,1)),COLUMN($BA410)+8*_xlfn.NUMBERVALUE(MID(ED410,3,1))))),"{"&amp;ED410&amp;"}"&amp;"%","{"&amp;ED410&amp;"}")</f>
        <v>{2:0}%</v>
      </c>
      <c r="EP410" s="1" t="e">
        <f>REPLACEB(EM410,FINDB(EN410,EM410),LEN(EN410),EO410)</f>
        <v>#VALUE!</v>
      </c>
    </row>
    <row r="411" spans="1:149" s="1" customFormat="1" ht="15" customHeight="1" x14ac:dyDescent="0.15">
      <c r="B411" s="37"/>
      <c r="C411" s="40"/>
      <c r="AB411" s="352">
        <v>65010102</v>
      </c>
      <c r="AC411" s="56" t="s">
        <v>806</v>
      </c>
      <c r="AD411" s="56"/>
      <c r="AE411" s="56" t="s">
        <v>129</v>
      </c>
      <c r="AF411" s="56" t="s">
        <v>807</v>
      </c>
      <c r="AG411" s="56"/>
      <c r="AH411" s="56"/>
      <c r="AI411" s="56"/>
      <c r="AJ411" s="56"/>
      <c r="AK411" s="56"/>
      <c r="AL411" s="64"/>
      <c r="AM411" s="64" t="s">
        <v>808</v>
      </c>
      <c r="AN411" s="64" t="s">
        <v>809</v>
      </c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77" t="s">
        <v>270</v>
      </c>
      <c r="BB411" s="75">
        <v>180</v>
      </c>
      <c r="BC411" s="75"/>
      <c r="BD411" s="75"/>
      <c r="BE411" s="75"/>
      <c r="BF411" s="75"/>
      <c r="BG411" s="75"/>
      <c r="BH411" s="75"/>
      <c r="BI411" s="75"/>
      <c r="BJ411" s="80"/>
      <c r="BK411" s="80"/>
      <c r="BL411" s="80"/>
      <c r="BM411" s="80"/>
      <c r="BN411" s="80"/>
      <c r="BO411" s="80"/>
      <c r="BP411" s="80"/>
      <c r="BQ411" s="80"/>
      <c r="BR411" s="80"/>
      <c r="BS411" s="80"/>
      <c r="BT411" s="80"/>
      <c r="BU411" s="80"/>
      <c r="BV411" s="80"/>
      <c r="BW411" s="80"/>
      <c r="BX411" s="80"/>
      <c r="BY411" s="80"/>
      <c r="BZ411" s="80"/>
      <c r="CA411" s="80"/>
      <c r="CB411" s="80"/>
      <c r="CC411" s="80"/>
      <c r="CD411" s="80"/>
      <c r="CE411" s="80"/>
      <c r="DJ411" s="10" t="b">
        <v>1</v>
      </c>
      <c r="DP411" s="96"/>
      <c r="DQ411" s="84"/>
      <c r="DR411" s="57" t="str">
        <f t="shared" si="14"/>
        <v/>
      </c>
      <c r="DU411" s="1" t="s">
        <v>280</v>
      </c>
      <c r="DV411" s="98"/>
      <c r="DW411" s="20"/>
      <c r="DX411" s="20"/>
      <c r="DY411" s="98"/>
      <c r="EA411" s="98"/>
      <c r="EB411" s="98"/>
      <c r="EC411" s="98"/>
      <c r="ED411" s="98"/>
      <c r="EE411" s="20"/>
      <c r="EF411" s="20"/>
      <c r="EG411" s="20"/>
      <c r="EH411" s="20"/>
      <c r="EI411" s="20"/>
      <c r="EJ411" s="20"/>
      <c r="EK411" s="20"/>
      <c r="EL411" s="20"/>
      <c r="EM411" s="20"/>
      <c r="EN411" s="20"/>
      <c r="EO411" s="20"/>
      <c r="EP411" s="20"/>
      <c r="EQ411" s="20"/>
      <c r="ER411" s="20"/>
      <c r="ES411" s="20"/>
    </row>
    <row r="412" spans="1:149" s="20" customFormat="1" ht="15" customHeight="1" x14ac:dyDescent="0.15">
      <c r="A412" s="1"/>
      <c r="B412" s="37"/>
      <c r="C412" s="40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>
        <v>65010103</v>
      </c>
      <c r="AC412" s="56" t="s">
        <v>810</v>
      </c>
      <c r="AD412" s="56" t="s">
        <v>330</v>
      </c>
      <c r="AE412" s="56" t="s">
        <v>811</v>
      </c>
      <c r="AF412" s="56" t="s">
        <v>314</v>
      </c>
      <c r="AG412" s="56"/>
      <c r="AH412" s="56"/>
      <c r="AI412" s="56"/>
      <c r="AJ412" s="56"/>
      <c r="AK412" s="56"/>
      <c r="AM412" s="64" t="s">
        <v>808</v>
      </c>
      <c r="AN412" s="64" t="s">
        <v>812</v>
      </c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77" t="s">
        <v>270</v>
      </c>
      <c r="BB412" s="75">
        <v>350</v>
      </c>
      <c r="BC412" s="75"/>
      <c r="BD412" s="75"/>
      <c r="BE412" s="75"/>
      <c r="BF412" s="75"/>
      <c r="BG412" s="75"/>
      <c r="BH412" s="75"/>
      <c r="BI412" s="75"/>
      <c r="BJ412" s="80"/>
      <c r="BK412" s="80"/>
      <c r="BL412" s="80"/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0"/>
      <c r="CC412" s="80"/>
      <c r="CD412" s="80"/>
      <c r="CE412" s="80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0" t="b">
        <v>1</v>
      </c>
      <c r="DK412" s="1"/>
      <c r="DL412" s="1"/>
      <c r="DM412" s="1"/>
      <c r="DN412" s="1"/>
      <c r="DO412" s="1"/>
      <c r="DP412" s="96"/>
      <c r="DQ412" s="84"/>
      <c r="DR412" s="57" t="str">
        <f t="shared" si="14"/>
        <v/>
      </c>
      <c r="DS412" s="1"/>
      <c r="DT412" s="1"/>
      <c r="DU412" s="1" t="s">
        <v>280</v>
      </c>
      <c r="DV412" s="98"/>
      <c r="DY412" s="98"/>
      <c r="DZ412" s="1"/>
      <c r="EA412" s="98"/>
      <c r="EB412" s="98"/>
      <c r="EC412" s="98"/>
      <c r="ED412" s="98"/>
    </row>
    <row r="413" spans="1:149" s="20" customFormat="1" x14ac:dyDescent="0.15">
      <c r="A413" s="1"/>
      <c r="B413" s="37"/>
      <c r="C413" s="40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352">
        <v>65010104</v>
      </c>
      <c r="AC413" s="56" t="s">
        <v>810</v>
      </c>
      <c r="AD413" s="56" t="s">
        <v>330</v>
      </c>
      <c r="AE413" s="56" t="s">
        <v>811</v>
      </c>
      <c r="AF413" s="56" t="s">
        <v>314</v>
      </c>
      <c r="AG413" s="56"/>
      <c r="AH413" s="56"/>
      <c r="AI413" s="56"/>
      <c r="AJ413" s="56"/>
      <c r="AK413" s="56"/>
      <c r="AM413" s="64" t="s">
        <v>808</v>
      </c>
      <c r="AN413" s="64" t="s">
        <v>314</v>
      </c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77" t="s">
        <v>270</v>
      </c>
      <c r="BB413" s="75">
        <v>50</v>
      </c>
      <c r="BC413" s="75"/>
      <c r="BD413" s="75"/>
      <c r="BE413" s="75"/>
      <c r="BF413" s="75"/>
      <c r="BG413" s="75"/>
      <c r="BH413" s="75"/>
      <c r="BI413" s="75"/>
      <c r="BJ413" s="80"/>
      <c r="BK413" s="80"/>
      <c r="BL413" s="80"/>
      <c r="BM413" s="80"/>
      <c r="BN413" s="80"/>
      <c r="BO413" s="80"/>
      <c r="BP413" s="80"/>
      <c r="BQ413" s="80"/>
      <c r="BR413" s="80"/>
      <c r="BS413" s="80"/>
      <c r="BT413" s="80"/>
      <c r="BU413" s="80"/>
      <c r="BV413" s="80"/>
      <c r="BW413" s="80"/>
      <c r="BX413" s="80"/>
      <c r="BY413" s="80"/>
      <c r="BZ413" s="80"/>
      <c r="CA413" s="80"/>
      <c r="CB413" s="80"/>
      <c r="CC413" s="80"/>
      <c r="CD413" s="80"/>
      <c r="CE413" s="80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0" t="b">
        <v>1</v>
      </c>
      <c r="DK413" s="1"/>
      <c r="DL413" s="1"/>
      <c r="DM413" s="1"/>
      <c r="DN413" s="1"/>
      <c r="DO413" s="1"/>
      <c r="DP413" s="96"/>
      <c r="DQ413" s="84"/>
      <c r="DR413" s="57" t="str">
        <f t="shared" si="14"/>
        <v/>
      </c>
      <c r="DS413" s="1"/>
      <c r="DT413" s="1"/>
      <c r="DU413" s="1" t="s">
        <v>280</v>
      </c>
      <c r="DV413" s="98"/>
      <c r="DY413" s="98"/>
      <c r="DZ413" s="1"/>
      <c r="EA413" s="98"/>
      <c r="EB413" s="98"/>
      <c r="EC413" s="98"/>
      <c r="ED413" s="98"/>
    </row>
    <row r="414" spans="1:149" s="1" customFormat="1" x14ac:dyDescent="0.15">
      <c r="A414" s="1">
        <v>640101</v>
      </c>
      <c r="B414" s="37" t="s">
        <v>813</v>
      </c>
      <c r="C414" s="40" t="s">
        <v>814</v>
      </c>
      <c r="H414" s="282">
        <v>1</v>
      </c>
      <c r="L414" s="1">
        <v>0</v>
      </c>
      <c r="Q414" s="1" t="s">
        <v>431</v>
      </c>
      <c r="W414" s="1" t="b">
        <v>1</v>
      </c>
      <c r="X414" s="1">
        <v>1</v>
      </c>
      <c r="Y414" s="1">
        <v>0</v>
      </c>
      <c r="Z414" s="1">
        <v>0</v>
      </c>
      <c r="AB414" s="353">
        <v>64010101</v>
      </c>
      <c r="AC414" s="17" t="s">
        <v>815</v>
      </c>
      <c r="AD414" s="17"/>
      <c r="AE414" s="56" t="s">
        <v>291</v>
      </c>
      <c r="AF414" s="10" t="s">
        <v>437</v>
      </c>
      <c r="AG414" s="56"/>
      <c r="AH414" s="56"/>
      <c r="AI414" s="56"/>
      <c r="AJ414" s="56">
        <v>-1</v>
      </c>
      <c r="AK414" s="56"/>
      <c r="AL414" s="64"/>
      <c r="AM414" s="64"/>
      <c r="AN414" s="64"/>
      <c r="AO414" s="64"/>
      <c r="AP414" s="64"/>
      <c r="AQ414" s="64"/>
      <c r="AR414" s="64"/>
      <c r="AS414" s="1">
        <v>173014</v>
      </c>
      <c r="AU414" s="64"/>
      <c r="AV414" s="64"/>
      <c r="AW414" s="64"/>
      <c r="AX414" s="64"/>
      <c r="AY414" s="64"/>
      <c r="AZ414" s="64"/>
      <c r="BA414" s="77"/>
      <c r="BB414" s="75"/>
      <c r="BC414" s="75"/>
      <c r="BD414" s="75"/>
      <c r="BE414" s="75"/>
      <c r="BF414" s="75"/>
      <c r="BG414" s="75"/>
      <c r="BH414" s="75"/>
      <c r="BI414" s="75"/>
      <c r="BJ414" s="80"/>
      <c r="BK414" s="80"/>
      <c r="BL414" s="80"/>
      <c r="BM414" s="80"/>
      <c r="BN414" s="80"/>
      <c r="BO414" s="80"/>
      <c r="BP414" s="80"/>
      <c r="BQ414" s="80"/>
      <c r="BR414" s="80"/>
      <c r="BS414" s="80"/>
      <c r="BT414" s="80"/>
      <c r="BU414" s="80"/>
      <c r="BV414" s="80"/>
      <c r="BW414" s="80"/>
      <c r="BX414" s="80"/>
      <c r="BY414" s="80"/>
      <c r="BZ414" s="80"/>
      <c r="CA414" s="80"/>
      <c r="CB414" s="80"/>
      <c r="CC414" s="80"/>
      <c r="CD414" s="80"/>
      <c r="CE414" s="80"/>
      <c r="CX414" s="40" t="s">
        <v>273</v>
      </c>
      <c r="DD414" s="362" t="s">
        <v>797</v>
      </c>
      <c r="DE414" s="1" t="s">
        <v>816</v>
      </c>
      <c r="DJ414" s="10" t="b">
        <v>1</v>
      </c>
      <c r="DK414" s="1" t="s">
        <v>817</v>
      </c>
      <c r="DP414" s="96"/>
      <c r="DQ414" s="1" t="s">
        <v>817</v>
      </c>
      <c r="DR414" s="57" t="str">
        <f t="shared" si="14"/>
        <v/>
      </c>
      <c r="DS414" s="1" t="s">
        <v>818</v>
      </c>
      <c r="DU414" s="1" t="s">
        <v>280</v>
      </c>
      <c r="DV414" s="98"/>
      <c r="EA414" s="98"/>
      <c r="EB414" s="98"/>
      <c r="EC414" s="98"/>
      <c r="ED414" s="98"/>
    </row>
    <row r="415" spans="1:149" s="1" customFormat="1" ht="49.5" customHeight="1" x14ac:dyDescent="0.15">
      <c r="B415" s="37"/>
      <c r="C415" s="40"/>
      <c r="AB415" s="353">
        <v>64010102</v>
      </c>
      <c r="AC415" s="17" t="s">
        <v>819</v>
      </c>
      <c r="AD415" s="56" t="s">
        <v>330</v>
      </c>
      <c r="AE415" s="56" t="s">
        <v>820</v>
      </c>
      <c r="AF415" s="56" t="s">
        <v>314</v>
      </c>
      <c r="AG415" s="56"/>
      <c r="AH415" s="56"/>
      <c r="AI415" s="56"/>
      <c r="AJ415" s="56"/>
      <c r="AK415" s="56"/>
      <c r="AL415" s="64"/>
      <c r="AM415" s="64"/>
      <c r="AN415" s="64"/>
      <c r="AO415" s="64"/>
      <c r="AP415" s="64"/>
      <c r="AQ415" s="64"/>
      <c r="AR415" s="64"/>
      <c r="AU415" s="64"/>
      <c r="AV415" s="64"/>
      <c r="AW415" s="64"/>
      <c r="AX415" s="64"/>
      <c r="AY415" s="64"/>
      <c r="AZ415" s="64"/>
      <c r="BA415" s="77"/>
      <c r="BB415" s="75"/>
      <c r="BC415" s="75"/>
      <c r="BD415" s="75"/>
      <c r="BE415" s="75"/>
      <c r="BF415" s="75"/>
      <c r="BG415" s="75"/>
      <c r="BH415" s="75"/>
      <c r="BI415" s="75"/>
      <c r="BJ415" s="80"/>
      <c r="BK415" s="80"/>
      <c r="BL415" s="80"/>
      <c r="BM415" s="80"/>
      <c r="BN415" s="80"/>
      <c r="BO415" s="80"/>
      <c r="BP415" s="80"/>
      <c r="BQ415" s="80"/>
      <c r="BR415" s="80"/>
      <c r="BS415" s="80"/>
      <c r="BT415" s="80"/>
      <c r="BU415" s="80"/>
      <c r="BV415" s="80"/>
      <c r="BW415" s="80"/>
      <c r="BX415" s="80"/>
      <c r="BY415" s="80"/>
      <c r="BZ415" s="80"/>
      <c r="CA415" s="80"/>
      <c r="CB415" s="1" t="s">
        <v>1</v>
      </c>
      <c r="CC415" s="57" t="s">
        <v>464</v>
      </c>
      <c r="CD415" s="57">
        <v>5</v>
      </c>
      <c r="CE415" s="57" t="s">
        <v>675</v>
      </c>
      <c r="DJ415" s="10" t="b">
        <v>1</v>
      </c>
      <c r="DP415" s="96"/>
      <c r="DR415" s="57" t="str">
        <f t="shared" si="14"/>
        <v/>
      </c>
      <c r="DU415" s="1" t="s">
        <v>280</v>
      </c>
      <c r="DV415" s="98"/>
      <c r="EA415" s="98"/>
      <c r="EB415" s="98"/>
      <c r="EC415" s="98"/>
      <c r="ED415" s="98"/>
    </row>
    <row r="416" spans="1:149" s="1" customFormat="1" x14ac:dyDescent="0.15">
      <c r="B416" s="37"/>
      <c r="C416" s="40"/>
      <c r="AB416" s="353">
        <v>64010103</v>
      </c>
      <c r="AC416" s="17" t="s">
        <v>821</v>
      </c>
      <c r="AD416" s="56" t="s">
        <v>330</v>
      </c>
      <c r="AE416" s="56" t="s">
        <v>811</v>
      </c>
      <c r="AF416" s="56" t="s">
        <v>314</v>
      </c>
      <c r="AG416" s="56"/>
      <c r="AH416" s="56"/>
      <c r="AI416" s="56"/>
      <c r="AJ416" s="56">
        <v>2</v>
      </c>
      <c r="AK416" s="56"/>
      <c r="AL416" s="64"/>
      <c r="AM416" s="64"/>
      <c r="AN416" s="64"/>
      <c r="AO416" s="64"/>
      <c r="AP416" s="64"/>
      <c r="AQ416" s="64"/>
      <c r="AR416" s="64"/>
      <c r="AU416" s="64"/>
      <c r="AV416" s="64"/>
      <c r="AW416" s="64"/>
      <c r="AX416" s="64"/>
      <c r="AY416" s="64"/>
      <c r="AZ416" s="64"/>
      <c r="BA416" s="77" t="s">
        <v>270</v>
      </c>
      <c r="BB416" s="75">
        <v>1</v>
      </c>
      <c r="BC416" s="75"/>
      <c r="BD416" s="75"/>
      <c r="BE416" s="75"/>
      <c r="BF416" s="75"/>
      <c r="BG416" s="75"/>
      <c r="BH416" s="75"/>
      <c r="BI416" s="75"/>
      <c r="BJ416" s="80"/>
      <c r="BK416" s="80"/>
      <c r="BL416" s="80"/>
      <c r="BM416" s="80"/>
      <c r="BN416" s="80"/>
      <c r="BO416" s="80"/>
      <c r="BP416" s="80"/>
      <c r="BQ416" s="80"/>
      <c r="BR416" s="80"/>
      <c r="BS416" s="80"/>
      <c r="BT416" s="80"/>
      <c r="BU416" s="80"/>
      <c r="BV416" s="80"/>
      <c r="BW416" s="80"/>
      <c r="BX416" s="80"/>
      <c r="BY416" s="80"/>
      <c r="BZ416" s="80"/>
      <c r="CA416" s="80"/>
      <c r="CB416" s="80"/>
      <c r="CC416" s="80"/>
      <c r="CD416" s="80"/>
      <c r="CE416" s="80"/>
      <c r="DJ416" s="10" t="b">
        <v>1</v>
      </c>
      <c r="DP416" s="96"/>
      <c r="DR416" s="57" t="str">
        <f t="shared" si="14"/>
        <v/>
      </c>
      <c r="DU416" s="1" t="s">
        <v>280</v>
      </c>
      <c r="DV416" s="98"/>
      <c r="EA416" s="98"/>
      <c r="EB416" s="98"/>
      <c r="EC416" s="98"/>
      <c r="ED416" s="98"/>
    </row>
    <row r="417" spans="1:149" s="1" customFormat="1" x14ac:dyDescent="0.15">
      <c r="A417" s="1">
        <v>640102</v>
      </c>
      <c r="B417" s="37" t="s">
        <v>822</v>
      </c>
      <c r="C417" s="40" t="s">
        <v>823</v>
      </c>
      <c r="H417" s="282">
        <v>1</v>
      </c>
      <c r="L417" s="1">
        <v>0</v>
      </c>
      <c r="Q417" s="1" t="s">
        <v>431</v>
      </c>
      <c r="W417" s="1" t="b">
        <v>1</v>
      </c>
      <c r="X417" s="1">
        <v>1</v>
      </c>
      <c r="Y417" s="1">
        <v>0</v>
      </c>
      <c r="Z417" s="1">
        <v>0</v>
      </c>
      <c r="AB417" s="353">
        <v>64010201</v>
      </c>
      <c r="AC417" s="17" t="s">
        <v>815</v>
      </c>
      <c r="AD417" s="17"/>
      <c r="AE417" s="56" t="s">
        <v>291</v>
      </c>
      <c r="AF417" s="10" t="s">
        <v>437</v>
      </c>
      <c r="AG417" s="56"/>
      <c r="AH417" s="56"/>
      <c r="AI417" s="56"/>
      <c r="AJ417" s="56">
        <v>-1</v>
      </c>
      <c r="AK417" s="56"/>
      <c r="AL417" s="64"/>
      <c r="AM417" s="64"/>
      <c r="AN417" s="64"/>
      <c r="AO417" s="64"/>
      <c r="AP417" s="64"/>
      <c r="AQ417" s="64"/>
      <c r="AR417" s="64"/>
      <c r="AS417" s="1">
        <v>173011</v>
      </c>
      <c r="AU417" s="64"/>
      <c r="AV417" s="64"/>
      <c r="AW417" s="64"/>
      <c r="AX417" s="64"/>
      <c r="AY417" s="64"/>
      <c r="AZ417" s="64"/>
      <c r="BA417" s="77"/>
      <c r="BB417" s="75"/>
      <c r="BC417" s="75"/>
      <c r="BD417" s="75"/>
      <c r="BE417" s="75"/>
      <c r="BF417" s="75"/>
      <c r="BG417" s="75"/>
      <c r="BH417" s="75"/>
      <c r="BI417" s="75"/>
      <c r="BJ417" s="80"/>
      <c r="BK417" s="80"/>
      <c r="BL417" s="80"/>
      <c r="BM417" s="80"/>
      <c r="BN417" s="80"/>
      <c r="BO417" s="80"/>
      <c r="BP417" s="80"/>
      <c r="BQ417" s="80"/>
      <c r="BR417" s="80"/>
      <c r="BS417" s="80"/>
      <c r="BT417" s="80"/>
      <c r="BU417" s="80"/>
      <c r="BV417" s="80"/>
      <c r="BW417" s="80"/>
      <c r="BX417" s="80"/>
      <c r="BY417" s="80"/>
      <c r="BZ417" s="80"/>
      <c r="CA417" s="80"/>
      <c r="CB417" s="80"/>
      <c r="CC417" s="80"/>
      <c r="CD417" s="80"/>
      <c r="CE417" s="80"/>
      <c r="CX417" s="40" t="s">
        <v>273</v>
      </c>
      <c r="DD417" s="362" t="s">
        <v>797</v>
      </c>
      <c r="DE417" s="1" t="s">
        <v>824</v>
      </c>
      <c r="DJ417" s="10" t="b">
        <v>1</v>
      </c>
      <c r="DK417" s="1" t="s">
        <v>825</v>
      </c>
      <c r="DP417" s="96"/>
      <c r="DQ417" s="1" t="s">
        <v>825</v>
      </c>
      <c r="DR417" s="57" t="str">
        <f t="shared" si="14"/>
        <v/>
      </c>
      <c r="DS417" s="1" t="s">
        <v>826</v>
      </c>
      <c r="DU417" s="1" t="s">
        <v>280</v>
      </c>
      <c r="DV417" s="98"/>
      <c r="EA417" s="98"/>
      <c r="EB417" s="98"/>
      <c r="EC417" s="98"/>
      <c r="ED417" s="98"/>
    </row>
    <row r="418" spans="1:149" s="1" customFormat="1" ht="49.5" customHeight="1" x14ac:dyDescent="0.15">
      <c r="B418" s="37"/>
      <c r="C418" s="40"/>
      <c r="AB418" s="353">
        <v>64010202</v>
      </c>
      <c r="AC418" s="17" t="s">
        <v>819</v>
      </c>
      <c r="AD418" s="56" t="s">
        <v>330</v>
      </c>
      <c r="AE418" s="56" t="s">
        <v>820</v>
      </c>
      <c r="AF418" s="56" t="s">
        <v>314</v>
      </c>
      <c r="AG418" s="56"/>
      <c r="AH418" s="56"/>
      <c r="AI418" s="56"/>
      <c r="AJ418" s="56"/>
      <c r="AK418" s="56"/>
      <c r="AL418" s="64"/>
      <c r="AM418" s="64"/>
      <c r="AN418" s="64"/>
      <c r="AO418" s="64"/>
      <c r="AP418" s="64"/>
      <c r="AQ418" s="64"/>
      <c r="AR418" s="64"/>
      <c r="AU418" s="64"/>
      <c r="AV418" s="64"/>
      <c r="AW418" s="64"/>
      <c r="AX418" s="64"/>
      <c r="AY418" s="64"/>
      <c r="AZ418" s="64"/>
      <c r="BA418" s="77"/>
      <c r="BB418" s="75"/>
      <c r="BC418" s="75"/>
      <c r="BD418" s="75"/>
      <c r="BE418" s="75"/>
      <c r="BF418" s="75"/>
      <c r="BG418" s="75"/>
      <c r="BH418" s="75"/>
      <c r="BI418" s="75"/>
      <c r="BJ418" s="80"/>
      <c r="BK418" s="80"/>
      <c r="BL418" s="80"/>
      <c r="BM418" s="80"/>
      <c r="BN418" s="80"/>
      <c r="BO418" s="80"/>
      <c r="BP418" s="80"/>
      <c r="BQ418" s="80"/>
      <c r="BR418" s="80"/>
      <c r="BS418" s="80"/>
      <c r="BT418" s="80"/>
      <c r="BU418" s="80"/>
      <c r="BV418" s="80"/>
      <c r="BW418" s="80"/>
      <c r="BX418" s="80"/>
      <c r="BY418" s="80"/>
      <c r="BZ418" s="80"/>
      <c r="CA418" s="80"/>
      <c r="CB418" s="1" t="s">
        <v>1</v>
      </c>
      <c r="CC418" s="57" t="s">
        <v>464</v>
      </c>
      <c r="CD418" s="57">
        <v>5</v>
      </c>
      <c r="CE418" s="57" t="s">
        <v>675</v>
      </c>
      <c r="DJ418" s="10" t="b">
        <v>1</v>
      </c>
      <c r="DP418" s="96"/>
      <c r="DR418" s="57" t="str">
        <f t="shared" si="14"/>
        <v/>
      </c>
      <c r="DU418" s="1" t="s">
        <v>280</v>
      </c>
      <c r="DV418" s="98"/>
      <c r="EA418" s="98"/>
      <c r="EB418" s="98"/>
      <c r="EC418" s="98"/>
      <c r="ED418" s="98"/>
    </row>
    <row r="419" spans="1:149" s="1" customFormat="1" x14ac:dyDescent="0.15">
      <c r="B419" s="37"/>
      <c r="C419" s="40"/>
      <c r="AB419" s="353">
        <v>64010203</v>
      </c>
      <c r="AC419" s="17" t="s">
        <v>827</v>
      </c>
      <c r="AD419" s="56" t="s">
        <v>330</v>
      </c>
      <c r="AE419" s="56" t="s">
        <v>811</v>
      </c>
      <c r="AF419" s="56" t="s">
        <v>314</v>
      </c>
      <c r="AG419" s="56"/>
      <c r="AH419" s="56"/>
      <c r="AI419" s="56"/>
      <c r="AJ419" s="56">
        <v>1</v>
      </c>
      <c r="AK419" s="56"/>
      <c r="AL419" s="64"/>
      <c r="AM419" s="64"/>
      <c r="AN419" s="64"/>
      <c r="AO419" s="64"/>
      <c r="AP419" s="64"/>
      <c r="AQ419" s="64"/>
      <c r="AR419" s="64"/>
      <c r="AU419" s="64"/>
      <c r="AV419" s="64"/>
      <c r="AW419" s="64"/>
      <c r="AX419" s="64"/>
      <c r="AY419" s="64"/>
      <c r="AZ419" s="64"/>
      <c r="BA419" s="77" t="s">
        <v>270</v>
      </c>
      <c r="BB419" s="75">
        <v>1</v>
      </c>
      <c r="BC419" s="75"/>
      <c r="BD419" s="75"/>
      <c r="BE419" s="75"/>
      <c r="BF419" s="75"/>
      <c r="BG419" s="75"/>
      <c r="BH419" s="75"/>
      <c r="BI419" s="75"/>
      <c r="BJ419" s="80"/>
      <c r="BK419" s="80"/>
      <c r="BL419" s="80"/>
      <c r="BM419" s="80"/>
      <c r="BN419" s="80"/>
      <c r="BO419" s="80"/>
      <c r="BP419" s="80"/>
      <c r="BQ419" s="80"/>
      <c r="BR419" s="80"/>
      <c r="BS419" s="80"/>
      <c r="BT419" s="80"/>
      <c r="BU419" s="80"/>
      <c r="BV419" s="80"/>
      <c r="BW419" s="80"/>
      <c r="BX419" s="80"/>
      <c r="BY419" s="80"/>
      <c r="BZ419" s="80"/>
      <c r="CA419" s="80"/>
      <c r="CB419" s="80"/>
      <c r="CC419" s="80"/>
      <c r="CD419" s="80"/>
      <c r="CE419" s="80"/>
      <c r="DJ419" s="10" t="b">
        <v>1</v>
      </c>
      <c r="DP419" s="96"/>
      <c r="DR419" s="57" t="str">
        <f t="shared" si="14"/>
        <v/>
      </c>
      <c r="DU419" s="1" t="s">
        <v>280</v>
      </c>
      <c r="DV419" s="98"/>
      <c r="EA419" s="98"/>
      <c r="EB419" s="98"/>
      <c r="EC419" s="98"/>
      <c r="ED419" s="98"/>
    </row>
    <row r="420" spans="1:149" s="1" customFormat="1" x14ac:dyDescent="0.15">
      <c r="A420" s="1">
        <v>640103</v>
      </c>
      <c r="B420" s="37" t="s">
        <v>828</v>
      </c>
      <c r="C420" s="40" t="s">
        <v>829</v>
      </c>
      <c r="H420" s="282">
        <v>1</v>
      </c>
      <c r="L420" s="1">
        <v>0</v>
      </c>
      <c r="Q420" s="1" t="s">
        <v>431</v>
      </c>
      <c r="W420" s="1" t="b">
        <v>1</v>
      </c>
      <c r="X420" s="1">
        <v>1</v>
      </c>
      <c r="Y420" s="1">
        <v>0</v>
      </c>
      <c r="Z420" s="1">
        <v>0</v>
      </c>
      <c r="AB420" s="353">
        <v>64010301</v>
      </c>
      <c r="AC420" s="17" t="s">
        <v>815</v>
      </c>
      <c r="AD420" s="17"/>
      <c r="AE420" s="56" t="s">
        <v>291</v>
      </c>
      <c r="AF420" s="10" t="s">
        <v>437</v>
      </c>
      <c r="AG420" s="56"/>
      <c r="AH420" s="56"/>
      <c r="AI420" s="56"/>
      <c r="AJ420" s="56">
        <v>-1</v>
      </c>
      <c r="AK420" s="56"/>
      <c r="AL420" s="64"/>
      <c r="AM420" s="64"/>
      <c r="AN420" s="64"/>
      <c r="AO420" s="64"/>
      <c r="AP420" s="64"/>
      <c r="AQ420" s="64"/>
      <c r="AR420" s="64"/>
      <c r="AS420" s="1">
        <v>173012</v>
      </c>
      <c r="AU420" s="64"/>
      <c r="AV420" s="64"/>
      <c r="AW420" s="64"/>
      <c r="AX420" s="64"/>
      <c r="AY420" s="64"/>
      <c r="AZ420" s="64"/>
      <c r="BA420" s="77"/>
      <c r="BB420" s="75"/>
      <c r="BC420" s="75"/>
      <c r="BD420" s="75"/>
      <c r="BE420" s="75"/>
      <c r="BF420" s="75"/>
      <c r="BG420" s="75"/>
      <c r="BH420" s="75"/>
      <c r="BI420" s="75"/>
      <c r="BJ420" s="80"/>
      <c r="BK420" s="80"/>
      <c r="BL420" s="80"/>
      <c r="BM420" s="80"/>
      <c r="BN420" s="80"/>
      <c r="BO420" s="80"/>
      <c r="BP420" s="80"/>
      <c r="BQ420" s="80"/>
      <c r="BR420" s="80"/>
      <c r="BS420" s="80"/>
      <c r="BT420" s="80"/>
      <c r="BU420" s="80"/>
      <c r="BV420" s="80"/>
      <c r="BW420" s="80"/>
      <c r="BX420" s="80"/>
      <c r="BY420" s="80"/>
      <c r="BZ420" s="80"/>
      <c r="CA420" s="80"/>
      <c r="CB420" s="80"/>
      <c r="CC420" s="80"/>
      <c r="CD420" s="80"/>
      <c r="CE420" s="80"/>
      <c r="CX420" s="40" t="s">
        <v>273</v>
      </c>
      <c r="DD420" s="362" t="s">
        <v>797</v>
      </c>
      <c r="DE420" s="1" t="s">
        <v>830</v>
      </c>
      <c r="DJ420" s="10" t="b">
        <v>1</v>
      </c>
      <c r="DK420" s="1" t="s">
        <v>831</v>
      </c>
      <c r="DP420" s="96"/>
      <c r="DQ420" s="1" t="s">
        <v>831</v>
      </c>
      <c r="DR420" s="57" t="str">
        <f t="shared" si="14"/>
        <v/>
      </c>
      <c r="DS420" s="1" t="s">
        <v>832</v>
      </c>
      <c r="DU420" s="1" t="s">
        <v>280</v>
      </c>
      <c r="DV420" s="98"/>
      <c r="EA420" s="98"/>
      <c r="EB420" s="98"/>
      <c r="EC420" s="98"/>
      <c r="ED420" s="98"/>
    </row>
    <row r="421" spans="1:149" s="1" customFormat="1" ht="49.5" customHeight="1" x14ac:dyDescent="0.15">
      <c r="B421" s="37"/>
      <c r="C421" s="40"/>
      <c r="AB421" s="353">
        <v>64010302</v>
      </c>
      <c r="AC421" s="17" t="s">
        <v>819</v>
      </c>
      <c r="AD421" s="56" t="s">
        <v>330</v>
      </c>
      <c r="AE421" s="56" t="s">
        <v>820</v>
      </c>
      <c r="AF421" s="56" t="s">
        <v>314</v>
      </c>
      <c r="AG421" s="56"/>
      <c r="AH421" s="56"/>
      <c r="AI421" s="56"/>
      <c r="AJ421" s="56"/>
      <c r="AK421" s="56"/>
      <c r="AL421" s="64"/>
      <c r="AM421" s="64"/>
      <c r="AN421" s="64"/>
      <c r="AO421" s="64"/>
      <c r="AP421" s="64"/>
      <c r="AQ421" s="64"/>
      <c r="AR421" s="64"/>
      <c r="AS421" s="17"/>
      <c r="AT421" s="17"/>
      <c r="AU421" s="64"/>
      <c r="AV421" s="64"/>
      <c r="AW421" s="64"/>
      <c r="AX421" s="64"/>
      <c r="AY421" s="64"/>
      <c r="AZ421" s="64"/>
      <c r="BA421" s="77"/>
      <c r="BB421" s="75"/>
      <c r="BC421" s="75"/>
      <c r="BD421" s="75"/>
      <c r="BE421" s="75"/>
      <c r="BF421" s="75"/>
      <c r="BG421" s="75"/>
      <c r="BH421" s="75"/>
      <c r="BI421" s="75"/>
      <c r="BJ421" s="80"/>
      <c r="BK421" s="80"/>
      <c r="BL421" s="80"/>
      <c r="BM421" s="80"/>
      <c r="BN421" s="80"/>
      <c r="BO421" s="80"/>
      <c r="BP421" s="80"/>
      <c r="BQ421" s="80"/>
      <c r="BR421" s="80"/>
      <c r="BS421" s="80"/>
      <c r="BT421" s="80"/>
      <c r="BU421" s="80"/>
      <c r="BV421" s="80"/>
      <c r="BW421" s="80"/>
      <c r="BX421" s="80"/>
      <c r="BY421" s="80"/>
      <c r="BZ421" s="80"/>
      <c r="CA421" s="80"/>
      <c r="CB421" s="1" t="s">
        <v>1</v>
      </c>
      <c r="CC421" s="57" t="s">
        <v>464</v>
      </c>
      <c r="CD421" s="57">
        <v>5</v>
      </c>
      <c r="CE421" s="57" t="s">
        <v>675</v>
      </c>
      <c r="DJ421" s="10" t="b">
        <v>1</v>
      </c>
      <c r="DP421" s="96"/>
      <c r="DQ421" s="57"/>
      <c r="DR421" s="57" t="str">
        <f t="shared" si="14"/>
        <v/>
      </c>
      <c r="DS421" s="57"/>
      <c r="DU421" s="1" t="s">
        <v>280</v>
      </c>
      <c r="DV421" s="98"/>
      <c r="EA421" s="98"/>
      <c r="EB421" s="98"/>
      <c r="EC421" s="98"/>
      <c r="ED421" s="98"/>
    </row>
    <row r="422" spans="1:149" s="1" customFormat="1" x14ac:dyDescent="0.15">
      <c r="B422" s="37"/>
      <c r="C422" s="40"/>
      <c r="AB422" s="353">
        <v>64010303</v>
      </c>
      <c r="AC422" s="17" t="s">
        <v>833</v>
      </c>
      <c r="AD422" s="56" t="s">
        <v>330</v>
      </c>
      <c r="AE422" s="56" t="s">
        <v>811</v>
      </c>
      <c r="AF422" s="56" t="s">
        <v>314</v>
      </c>
      <c r="AG422" s="56"/>
      <c r="AH422" s="56"/>
      <c r="AI422" s="56"/>
      <c r="AJ422" s="56">
        <v>2</v>
      </c>
      <c r="AK422" s="56"/>
      <c r="AL422" s="64"/>
      <c r="AM422" s="64"/>
      <c r="AN422" s="64"/>
      <c r="AO422" s="64"/>
      <c r="AP422" s="64"/>
      <c r="AQ422" s="64"/>
      <c r="AR422" s="64"/>
      <c r="AS422" s="17"/>
      <c r="AT422" s="17"/>
      <c r="AU422" s="64"/>
      <c r="AV422" s="64"/>
      <c r="AW422" s="64"/>
      <c r="AX422" s="64"/>
      <c r="AY422" s="64"/>
      <c r="AZ422" s="64"/>
      <c r="BA422" s="77" t="s">
        <v>270</v>
      </c>
      <c r="BB422" s="75">
        <v>0.5</v>
      </c>
      <c r="BC422" s="75"/>
      <c r="BD422" s="75"/>
      <c r="BE422" s="75"/>
      <c r="BF422" s="75"/>
      <c r="BG422" s="75"/>
      <c r="BH422" s="75"/>
      <c r="BI422" s="75"/>
      <c r="BJ422" s="80"/>
      <c r="BK422" s="80"/>
      <c r="BL422" s="80"/>
      <c r="BM422" s="80"/>
      <c r="BN422" s="80"/>
      <c r="BO422" s="80"/>
      <c r="BP422" s="80"/>
      <c r="BQ422" s="80"/>
      <c r="BR422" s="80"/>
      <c r="BS422" s="80"/>
      <c r="BT422" s="80"/>
      <c r="BU422" s="80"/>
      <c r="BV422" s="80"/>
      <c r="BW422" s="80"/>
      <c r="BX422" s="80"/>
      <c r="BY422" s="80"/>
      <c r="BZ422" s="80"/>
      <c r="CA422" s="80"/>
      <c r="CB422" s="80"/>
      <c r="CC422" s="80"/>
      <c r="CD422" s="80"/>
      <c r="CE422" s="80"/>
      <c r="DJ422" s="10" t="b">
        <v>1</v>
      </c>
      <c r="DP422" s="96"/>
      <c r="DQ422" s="57"/>
      <c r="DR422" s="57" t="str">
        <f t="shared" si="14"/>
        <v/>
      </c>
      <c r="DU422" s="1" t="s">
        <v>280</v>
      </c>
      <c r="DV422" s="98"/>
      <c r="EA422" s="98"/>
      <c r="EB422" s="98"/>
      <c r="EC422" s="98"/>
      <c r="ED422" s="98"/>
    </row>
    <row r="423" spans="1:149" s="1" customFormat="1" x14ac:dyDescent="0.15">
      <c r="B423" s="37"/>
      <c r="C423" s="40"/>
      <c r="AB423" s="353">
        <v>64010304</v>
      </c>
      <c r="AC423" s="17" t="s">
        <v>834</v>
      </c>
      <c r="AD423" s="56" t="s">
        <v>330</v>
      </c>
      <c r="AE423" s="56" t="s">
        <v>811</v>
      </c>
      <c r="AF423" s="56" t="s">
        <v>314</v>
      </c>
      <c r="AG423" s="56"/>
      <c r="AH423" s="56"/>
      <c r="AI423" s="56"/>
      <c r="AJ423" s="56">
        <v>2</v>
      </c>
      <c r="AK423" s="56"/>
      <c r="AL423" s="64"/>
      <c r="AM423" s="64"/>
      <c r="AN423" s="64"/>
      <c r="AO423" s="64"/>
      <c r="AP423" s="64"/>
      <c r="AQ423" s="64"/>
      <c r="AR423" s="64"/>
      <c r="AS423" s="17"/>
      <c r="AT423" s="17"/>
      <c r="AU423" s="64"/>
      <c r="AV423" s="64"/>
      <c r="AW423" s="64"/>
      <c r="AX423" s="64"/>
      <c r="AY423" s="64"/>
      <c r="AZ423" s="64"/>
      <c r="BA423" s="77" t="s">
        <v>270</v>
      </c>
      <c r="BB423" s="75">
        <v>0.5</v>
      </c>
      <c r="BC423" s="75"/>
      <c r="BD423" s="75"/>
      <c r="BE423" s="75"/>
      <c r="BF423" s="75"/>
      <c r="BG423" s="75"/>
      <c r="BH423" s="75"/>
      <c r="BI423" s="75"/>
      <c r="BJ423" s="80"/>
      <c r="BK423" s="80"/>
      <c r="BL423" s="80"/>
      <c r="BM423" s="80"/>
      <c r="BN423" s="80"/>
      <c r="BO423" s="80"/>
      <c r="BP423" s="80"/>
      <c r="BQ423" s="80"/>
      <c r="BR423" s="80"/>
      <c r="BS423" s="80"/>
      <c r="BT423" s="80"/>
      <c r="BU423" s="80"/>
      <c r="BV423" s="80"/>
      <c r="BW423" s="80"/>
      <c r="BX423" s="80"/>
      <c r="BY423" s="80"/>
      <c r="BZ423" s="80"/>
      <c r="CA423" s="80"/>
      <c r="CB423" s="80"/>
      <c r="CC423" s="80"/>
      <c r="CD423" s="80"/>
      <c r="CE423" s="80"/>
      <c r="DJ423" s="10" t="b">
        <v>1</v>
      </c>
      <c r="DP423" s="96"/>
      <c r="DQ423" s="57"/>
      <c r="DR423" s="57" t="str">
        <f t="shared" si="14"/>
        <v/>
      </c>
      <c r="DU423" s="1" t="s">
        <v>280</v>
      </c>
      <c r="DV423" s="98"/>
      <c r="EA423" s="98"/>
      <c r="EB423" s="98"/>
      <c r="EC423" s="98"/>
      <c r="ED423" s="98"/>
    </row>
    <row r="424" spans="1:149" s="8" customFormat="1" ht="14.25" customHeight="1" x14ac:dyDescent="0.15">
      <c r="A424" s="185">
        <v>640104</v>
      </c>
      <c r="B424" s="186" t="s">
        <v>462</v>
      </c>
      <c r="C424" s="40" t="s">
        <v>463</v>
      </c>
      <c r="D424" s="185" t="s">
        <v>835</v>
      </c>
      <c r="E424" s="185">
        <v>170520</v>
      </c>
      <c r="F424" s="185"/>
      <c r="G424" s="185"/>
      <c r="H424" s="185">
        <v>0</v>
      </c>
      <c r="I424" s="185"/>
      <c r="J424" s="185"/>
      <c r="K424" s="185"/>
      <c r="L424" s="185">
        <v>0</v>
      </c>
      <c r="M424" s="185"/>
      <c r="N424" s="185"/>
      <c r="O424" s="185"/>
      <c r="P424" s="185" t="s">
        <v>268</v>
      </c>
      <c r="Q424" s="185" t="s">
        <v>269</v>
      </c>
      <c r="R424" s="185"/>
      <c r="S424" s="185"/>
      <c r="T424" s="185"/>
      <c r="U424" s="185"/>
      <c r="V424" s="185"/>
      <c r="W424" s="185"/>
      <c r="X424" s="185">
        <v>1</v>
      </c>
      <c r="Y424" s="185">
        <v>0</v>
      </c>
      <c r="Z424" s="185">
        <v>0</v>
      </c>
      <c r="AA424" s="185"/>
      <c r="AB424" s="185">
        <v>3001</v>
      </c>
      <c r="AC424" s="193"/>
      <c r="AD424" s="16"/>
      <c r="AE424" s="16"/>
      <c r="AF424" s="16"/>
      <c r="AG424" s="16"/>
      <c r="AH424" s="16"/>
      <c r="AI424" s="16"/>
      <c r="AJ424" s="16"/>
      <c r="AK424" s="16"/>
      <c r="AL424" s="148"/>
      <c r="AM424" s="148"/>
      <c r="AN424" s="148"/>
      <c r="AO424" s="148"/>
      <c r="AP424" s="148"/>
      <c r="AQ424" s="148"/>
      <c r="AR424" s="148"/>
      <c r="AS424" s="16"/>
      <c r="AT424" s="16"/>
      <c r="AU424" s="148"/>
      <c r="AV424" s="148"/>
      <c r="AW424" s="148"/>
      <c r="AX424" s="148"/>
      <c r="AY424" s="148"/>
      <c r="AZ424" s="148"/>
      <c r="BA424" s="203" t="s">
        <v>270</v>
      </c>
      <c r="BB424" s="185">
        <v>150</v>
      </c>
      <c r="BC424" s="16">
        <v>0</v>
      </c>
      <c r="BD424" s="16"/>
      <c r="BE424" s="16"/>
      <c r="BF424" s="16">
        <v>0</v>
      </c>
      <c r="BG424" s="16">
        <v>0</v>
      </c>
      <c r="BH424" s="16">
        <v>0</v>
      </c>
      <c r="BI424" s="16"/>
      <c r="BJ424" s="16" t="s">
        <v>270</v>
      </c>
      <c r="BK424" s="16"/>
      <c r="BL424" s="16"/>
      <c r="BM424" s="16"/>
      <c r="BN424" s="16"/>
      <c r="BO424" s="16"/>
      <c r="BP424" s="16"/>
      <c r="BQ424" s="16"/>
      <c r="BR424" s="16"/>
      <c r="BS424" s="16" t="s">
        <v>270</v>
      </c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 t="s">
        <v>271</v>
      </c>
      <c r="CG424" s="16"/>
      <c r="CH424" s="16"/>
      <c r="CI424" s="16"/>
      <c r="CJ424" s="16" t="s">
        <v>1</v>
      </c>
      <c r="CK424" s="140" t="s">
        <v>464</v>
      </c>
      <c r="CL424" s="140"/>
      <c r="CM424" s="10">
        <v>999</v>
      </c>
      <c r="CN424" s="16">
        <v>0</v>
      </c>
      <c r="CO424" s="16">
        <v>0</v>
      </c>
      <c r="CP424" s="16">
        <v>0</v>
      </c>
      <c r="CQ424" s="16">
        <v>0</v>
      </c>
      <c r="CR424" s="16"/>
      <c r="CS424" s="16">
        <v>20</v>
      </c>
      <c r="CT424" s="16">
        <v>10</v>
      </c>
      <c r="CU424" s="185">
        <v>24</v>
      </c>
      <c r="CV424" s="185" t="s">
        <v>483</v>
      </c>
      <c r="CW424" s="16" t="b">
        <v>1</v>
      </c>
      <c r="CX424" s="16" t="s">
        <v>273</v>
      </c>
      <c r="CY424" s="16"/>
      <c r="CZ424" s="16"/>
      <c r="DA424" s="16"/>
      <c r="DB424" s="16">
        <v>170501</v>
      </c>
      <c r="DC424" s="16" t="b">
        <v>1</v>
      </c>
      <c r="DD424" s="185" t="s">
        <v>274</v>
      </c>
      <c r="DE424" s="185" t="s">
        <v>495</v>
      </c>
      <c r="DF424" s="185" t="s">
        <v>276</v>
      </c>
      <c r="DG424" s="185" t="s">
        <v>322</v>
      </c>
      <c r="DH424" s="16">
        <v>4</v>
      </c>
      <c r="DI424" s="16" t="b">
        <v>0</v>
      </c>
      <c r="DJ424" s="10" t="b">
        <v>1</v>
      </c>
      <c r="DK424" s="16"/>
      <c r="DL424" s="16"/>
      <c r="DM424" s="16"/>
      <c r="DN424" s="1"/>
      <c r="DO424" s="1"/>
      <c r="DP424" s="96" t="s">
        <v>475</v>
      </c>
      <c r="DQ424" s="140" t="s">
        <v>836</v>
      </c>
      <c r="DR424" s="57" t="e">
        <f t="shared" si="14"/>
        <v>#VALUE!</v>
      </c>
      <c r="DS424" s="140" t="s">
        <v>837</v>
      </c>
      <c r="DT424" s="16"/>
      <c r="DU424" s="1" t="s">
        <v>280</v>
      </c>
      <c r="DV424" s="148"/>
      <c r="DW424" s="16"/>
      <c r="DX424" s="16"/>
      <c r="DY424" s="1"/>
      <c r="DZ424" s="16">
        <v>1</v>
      </c>
      <c r="EA424" s="148">
        <v>-1</v>
      </c>
      <c r="EB424" s="148">
        <v>4.1666666666666699E-2</v>
      </c>
      <c r="EC424" s="148">
        <v>8.3333333333333301E-2</v>
      </c>
      <c r="ED424" s="148">
        <v>8.3333333333333301E-2</v>
      </c>
      <c r="EE424" s="16" t="s">
        <v>284</v>
      </c>
      <c r="EF424" s="16" t="s">
        <v>326</v>
      </c>
      <c r="EG424" s="16" t="e">
        <v>#VALUE!</v>
      </c>
      <c r="EH424" s="16" t="s">
        <v>285</v>
      </c>
      <c r="EI424" s="16" t="s">
        <v>327</v>
      </c>
      <c r="EJ424" s="16" t="e">
        <v>#VALUE!</v>
      </c>
      <c r="EK424" s="16" t="s">
        <v>286</v>
      </c>
      <c r="EL424" s="16" t="s">
        <v>328</v>
      </c>
      <c r="EM424" s="16" t="e">
        <v>#VALUE!</v>
      </c>
      <c r="EN424" s="16" t="s">
        <v>287</v>
      </c>
      <c r="EO424" s="16" t="s">
        <v>328</v>
      </c>
      <c r="EP424" s="16" t="e">
        <v>#VALUE!</v>
      </c>
      <c r="EQ424" s="16"/>
      <c r="ER424" s="16"/>
      <c r="ES424" s="16"/>
    </row>
    <row r="425" spans="1:149" s="8" customFormat="1" ht="14.25" customHeight="1" x14ac:dyDescent="0.15">
      <c r="A425" s="185"/>
      <c r="B425" s="186"/>
      <c r="C425" s="40"/>
      <c r="D425" s="185"/>
      <c r="E425" s="185"/>
      <c r="F425" s="185"/>
      <c r="G425" s="185"/>
      <c r="H425" s="185"/>
      <c r="I425" s="185"/>
      <c r="J425" s="185"/>
      <c r="K425" s="185"/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  <c r="Z425" s="185"/>
      <c r="AA425" s="185"/>
      <c r="AB425" s="185">
        <v>17050301</v>
      </c>
      <c r="AC425" s="185" t="s">
        <v>329</v>
      </c>
      <c r="AD425" s="16" t="s">
        <v>330</v>
      </c>
      <c r="AE425" s="16" t="s">
        <v>291</v>
      </c>
      <c r="AF425" s="16" t="s">
        <v>314</v>
      </c>
      <c r="AG425" s="16"/>
      <c r="AH425" s="16"/>
      <c r="AI425" s="16"/>
      <c r="AJ425" s="16"/>
      <c r="AK425" s="16"/>
      <c r="AL425" s="148"/>
      <c r="AM425" s="148"/>
      <c r="AN425" s="148"/>
      <c r="AO425" s="148"/>
      <c r="AP425" s="148"/>
      <c r="AQ425" s="148"/>
      <c r="AR425" s="148"/>
      <c r="AS425" s="16"/>
      <c r="AT425" s="16"/>
      <c r="AU425" s="148"/>
      <c r="AV425" s="148"/>
      <c r="AW425" s="148"/>
      <c r="AX425" s="148"/>
      <c r="AY425" s="148"/>
      <c r="AZ425" s="148"/>
      <c r="BA425" s="203" t="s">
        <v>331</v>
      </c>
      <c r="BB425" s="179">
        <v>0.23</v>
      </c>
      <c r="BC425" s="16">
        <v>0</v>
      </c>
      <c r="BD425" s="16"/>
      <c r="BE425" s="16"/>
      <c r="BF425" s="16">
        <v>0</v>
      </c>
      <c r="BG425" s="16">
        <v>0</v>
      </c>
      <c r="BH425" s="16">
        <v>0</v>
      </c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85"/>
      <c r="CV425" s="185"/>
      <c r="CW425" s="16"/>
      <c r="CX425" s="159"/>
      <c r="CY425" s="16"/>
      <c r="CZ425" s="16"/>
      <c r="DA425" s="16"/>
      <c r="DB425" s="16"/>
      <c r="DC425" s="16"/>
      <c r="DD425" s="185"/>
      <c r="DE425" s="185"/>
      <c r="DF425" s="185"/>
      <c r="DG425" s="185"/>
      <c r="DH425" s="16"/>
      <c r="DI425" s="159"/>
      <c r="DJ425" s="10" t="b">
        <v>1</v>
      </c>
      <c r="DK425" s="16"/>
      <c r="DL425" s="16"/>
      <c r="DM425" s="16"/>
      <c r="DN425" s="16"/>
      <c r="DO425" s="16"/>
      <c r="DP425" s="96"/>
      <c r="DQ425" s="140"/>
      <c r="DR425" s="57" t="str">
        <f t="shared" si="14"/>
        <v/>
      </c>
      <c r="DS425" s="140"/>
      <c r="DT425" s="16"/>
      <c r="DU425" s="1" t="s">
        <v>280</v>
      </c>
      <c r="DV425" s="148"/>
      <c r="DW425" s="16"/>
      <c r="DX425" s="16"/>
      <c r="DY425" s="148"/>
      <c r="DZ425" s="175"/>
      <c r="EA425" s="176"/>
      <c r="EB425" s="176"/>
      <c r="EC425" s="176"/>
      <c r="ED425" s="176"/>
      <c r="EE425" s="16"/>
      <c r="EF425" s="16"/>
      <c r="EG425" s="16"/>
      <c r="EH425" s="16"/>
      <c r="EI425" s="16"/>
      <c r="EJ425" s="16"/>
      <c r="EK425" s="16"/>
      <c r="EL425" s="16"/>
      <c r="EM425" s="16"/>
      <c r="EN425" s="16"/>
      <c r="EO425" s="16"/>
      <c r="EP425" s="16"/>
      <c r="EQ425" s="16"/>
      <c r="ER425" s="16"/>
      <c r="ES425" s="16"/>
    </row>
    <row r="426" spans="1:149" s="8" customFormat="1" ht="14.25" customHeight="1" x14ac:dyDescent="0.15">
      <c r="A426" s="185"/>
      <c r="B426" s="186"/>
      <c r="C426" s="40"/>
      <c r="D426" s="185"/>
      <c r="E426" s="185"/>
      <c r="F426" s="185"/>
      <c r="G426" s="185"/>
      <c r="H426" s="185"/>
      <c r="I426" s="185"/>
      <c r="J426" s="185"/>
      <c r="K426" s="185"/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  <c r="Z426" s="185"/>
      <c r="AA426" s="185"/>
      <c r="AB426" s="185">
        <v>17050302</v>
      </c>
      <c r="AC426" s="185" t="s">
        <v>332</v>
      </c>
      <c r="AD426" s="16" t="s">
        <v>333</v>
      </c>
      <c r="AE426" s="16" t="s">
        <v>291</v>
      </c>
      <c r="AF426" s="16" t="s">
        <v>314</v>
      </c>
      <c r="AG426" s="16"/>
      <c r="AH426" s="16"/>
      <c r="AI426" s="16"/>
      <c r="AJ426" s="16">
        <v>-1</v>
      </c>
      <c r="AK426" s="16"/>
      <c r="AL426" s="148"/>
      <c r="AM426" s="149"/>
      <c r="AN426" s="149"/>
      <c r="AO426" s="149"/>
      <c r="AP426" s="149"/>
      <c r="AQ426" s="149"/>
      <c r="AR426" s="149"/>
      <c r="AS426" s="16"/>
      <c r="AT426" s="16"/>
      <c r="AU426" s="148"/>
      <c r="AV426" s="148"/>
      <c r="AW426" s="148"/>
      <c r="AX426" s="148"/>
      <c r="AY426" s="148"/>
      <c r="AZ426" s="148"/>
      <c r="BA426" s="203"/>
      <c r="BB426" s="185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85"/>
      <c r="CV426" s="185"/>
      <c r="CW426" s="16"/>
      <c r="CX426" s="16"/>
      <c r="CY426" s="16"/>
      <c r="CZ426" s="16"/>
      <c r="DA426" s="16"/>
      <c r="DB426" s="16"/>
      <c r="DC426" s="16"/>
      <c r="DD426" s="185"/>
      <c r="DE426" s="185"/>
      <c r="DF426" s="185"/>
      <c r="DG426" s="185"/>
      <c r="DH426" s="16"/>
      <c r="DI426" s="16"/>
      <c r="DJ426" s="10" t="b">
        <v>1</v>
      </c>
      <c r="DK426" s="16"/>
      <c r="DL426" s="16"/>
      <c r="DM426" s="16"/>
      <c r="DN426" s="16"/>
      <c r="DO426" s="16"/>
      <c r="DP426" s="96"/>
      <c r="DQ426" s="140"/>
      <c r="DR426" s="57" t="str">
        <f t="shared" si="14"/>
        <v/>
      </c>
      <c r="DS426" s="140"/>
      <c r="DT426" s="16"/>
      <c r="DU426" s="1" t="s">
        <v>280</v>
      </c>
      <c r="DV426" s="148"/>
      <c r="DW426" s="16"/>
      <c r="DX426" s="16"/>
      <c r="DY426" s="148"/>
      <c r="DZ426" s="16"/>
      <c r="EA426" s="148"/>
      <c r="EB426" s="148"/>
      <c r="EC426" s="148"/>
      <c r="ED426" s="148"/>
      <c r="EE426" s="16"/>
      <c r="EF426" s="16"/>
      <c r="EG426" s="16"/>
      <c r="EH426" s="16"/>
      <c r="EI426" s="16"/>
      <c r="EJ426" s="16"/>
      <c r="EK426" s="16"/>
      <c r="EL426" s="16"/>
      <c r="EM426" s="16"/>
      <c r="EN426" s="16"/>
      <c r="EO426" s="16"/>
      <c r="EP426" s="16"/>
      <c r="EQ426" s="16"/>
      <c r="ER426" s="16"/>
      <c r="ES426" s="16"/>
    </row>
    <row r="427" spans="1:149" s="10" customFormat="1" ht="14.25" customHeight="1" x14ac:dyDescent="0.15">
      <c r="A427" s="185">
        <v>640105</v>
      </c>
      <c r="B427" s="186" t="s">
        <v>476</v>
      </c>
      <c r="C427" s="40" t="s">
        <v>477</v>
      </c>
      <c r="D427" s="185" t="s">
        <v>838</v>
      </c>
      <c r="E427" s="185">
        <v>170518</v>
      </c>
      <c r="F427" s="185"/>
      <c r="G427" s="185"/>
      <c r="H427" s="185">
        <v>0</v>
      </c>
      <c r="I427" s="185"/>
      <c r="J427" s="185"/>
      <c r="K427" s="185"/>
      <c r="L427" s="185">
        <v>0</v>
      </c>
      <c r="M427" s="185"/>
      <c r="N427" s="185"/>
      <c r="O427" s="185"/>
      <c r="P427" s="185" t="s">
        <v>268</v>
      </c>
      <c r="Q427" s="185" t="s">
        <v>269</v>
      </c>
      <c r="R427" s="185"/>
      <c r="S427" s="185"/>
      <c r="T427" s="185"/>
      <c r="U427" s="185"/>
      <c r="V427" s="185"/>
      <c r="W427" s="185"/>
      <c r="X427" s="185">
        <v>1</v>
      </c>
      <c r="Y427" s="185">
        <v>0</v>
      </c>
      <c r="Z427" s="185">
        <v>0</v>
      </c>
      <c r="AA427" s="185"/>
      <c r="AB427" s="185">
        <v>3001</v>
      </c>
      <c r="AC427" s="193" t="s">
        <v>337</v>
      </c>
      <c r="AE427" s="10" t="s">
        <v>129</v>
      </c>
      <c r="AF427" s="10" t="s">
        <v>314</v>
      </c>
      <c r="AL427" s="68"/>
      <c r="AM427" s="68"/>
      <c r="AN427" s="68"/>
      <c r="AO427" s="68"/>
      <c r="AP427" s="68"/>
      <c r="AQ427" s="68"/>
      <c r="AR427" s="68"/>
      <c r="AU427" s="68"/>
      <c r="AV427" s="68"/>
      <c r="AW427" s="68"/>
      <c r="AX427" s="68"/>
      <c r="AY427" s="68"/>
      <c r="AZ427" s="68"/>
      <c r="BA427" s="203" t="s">
        <v>270</v>
      </c>
      <c r="BB427" s="185">
        <v>100</v>
      </c>
      <c r="BC427" s="10">
        <v>0</v>
      </c>
      <c r="BF427" s="10">
        <v>0</v>
      </c>
      <c r="BG427" s="10">
        <v>0</v>
      </c>
      <c r="BH427" s="10">
        <v>0</v>
      </c>
      <c r="BJ427" s="10" t="s">
        <v>270</v>
      </c>
      <c r="BS427" s="10" t="s">
        <v>270</v>
      </c>
      <c r="CF427" s="10" t="s">
        <v>271</v>
      </c>
      <c r="CJ427" s="10" t="s">
        <v>3</v>
      </c>
      <c r="CK427" s="58" t="s">
        <v>443</v>
      </c>
      <c r="CL427" s="58"/>
      <c r="CM427" s="10">
        <v>999</v>
      </c>
      <c r="CN427" s="10">
        <v>0</v>
      </c>
      <c r="CO427" s="10">
        <v>0</v>
      </c>
      <c r="CP427" s="10">
        <v>0</v>
      </c>
      <c r="CQ427" s="10">
        <v>0</v>
      </c>
      <c r="CS427" s="10">
        <v>15</v>
      </c>
      <c r="CU427" s="185">
        <v>15</v>
      </c>
      <c r="CV427" s="185" t="s">
        <v>479</v>
      </c>
      <c r="CW427" s="10" t="b">
        <v>0</v>
      </c>
      <c r="CX427" s="10" t="s">
        <v>273</v>
      </c>
      <c r="DB427" s="10">
        <v>100300</v>
      </c>
      <c r="DC427" s="10" t="b">
        <v>1</v>
      </c>
      <c r="DD427" s="185" t="s">
        <v>274</v>
      </c>
      <c r="DE427" s="185" t="s">
        <v>340</v>
      </c>
      <c r="DF427" s="185" t="s">
        <v>276</v>
      </c>
      <c r="DG427" s="185" t="s">
        <v>277</v>
      </c>
      <c r="DH427" s="10">
        <v>4</v>
      </c>
      <c r="DI427" s="10" t="b">
        <v>0</v>
      </c>
      <c r="DJ427" s="10" t="b">
        <v>1</v>
      </c>
      <c r="DP427" s="96" t="s">
        <v>471</v>
      </c>
      <c r="DQ427" s="58" t="s">
        <v>839</v>
      </c>
      <c r="DR427" s="57" t="e">
        <f t="shared" si="14"/>
        <v>#VALUE!</v>
      </c>
      <c r="DS427" s="58" t="s">
        <v>840</v>
      </c>
      <c r="DU427" s="1" t="s">
        <v>280</v>
      </c>
      <c r="DV427" s="68"/>
      <c r="DZ427" s="10">
        <v>1</v>
      </c>
      <c r="EA427" s="68">
        <v>-1</v>
      </c>
      <c r="EB427" s="68">
        <v>4.1666666666666699E-2</v>
      </c>
      <c r="EC427" s="68">
        <v>8.3333333333333301E-2</v>
      </c>
      <c r="ED427" s="68">
        <v>8.3333333333333301E-2</v>
      </c>
      <c r="EE427" s="10" t="s">
        <v>284</v>
      </c>
      <c r="EF427" s="10" t="s">
        <v>326</v>
      </c>
      <c r="EG427" s="10" t="e">
        <v>#VALUE!</v>
      </c>
      <c r="EH427" s="10" t="s">
        <v>285</v>
      </c>
      <c r="EI427" s="10" t="s">
        <v>344</v>
      </c>
      <c r="EJ427" s="10" t="e">
        <v>#VALUE!</v>
      </c>
      <c r="EK427" s="10" t="s">
        <v>286</v>
      </c>
      <c r="EL427" s="10" t="s">
        <v>345</v>
      </c>
      <c r="EM427" s="10" t="e">
        <v>#VALUE!</v>
      </c>
      <c r="EN427" s="10" t="s">
        <v>287</v>
      </c>
      <c r="EO427" s="10" t="s">
        <v>345</v>
      </c>
      <c r="EP427" s="10" t="e">
        <v>#VALUE!</v>
      </c>
    </row>
    <row r="428" spans="1:149" s="10" customFormat="1" ht="14.25" customHeight="1" x14ac:dyDescent="0.15">
      <c r="A428" s="185"/>
      <c r="B428" s="187"/>
      <c r="C428" s="40"/>
      <c r="D428" s="185"/>
      <c r="E428" s="185"/>
      <c r="F428" s="185"/>
      <c r="G428" s="185"/>
      <c r="H428" s="185"/>
      <c r="I428" s="185"/>
      <c r="J428" s="185"/>
      <c r="K428" s="185"/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  <c r="Z428" s="185"/>
      <c r="AA428" s="185"/>
      <c r="AB428" s="185">
        <v>10240102</v>
      </c>
      <c r="AC428" s="185" t="s">
        <v>346</v>
      </c>
      <c r="AE428" s="10" t="s">
        <v>129</v>
      </c>
      <c r="AF428" s="10" t="s">
        <v>314</v>
      </c>
      <c r="AJ428" s="10">
        <v>3</v>
      </c>
      <c r="AL428" s="68"/>
      <c r="AM428" s="68"/>
      <c r="AN428" s="68"/>
      <c r="AO428" s="68"/>
      <c r="AP428" s="68"/>
      <c r="AQ428" s="68"/>
      <c r="AR428" s="68"/>
      <c r="AU428" s="68"/>
      <c r="AV428" s="68"/>
      <c r="AW428" s="68"/>
      <c r="AX428" s="68"/>
      <c r="AY428" s="68"/>
      <c r="AZ428" s="68"/>
      <c r="BA428" s="203"/>
      <c r="BB428" s="185"/>
      <c r="CK428" s="58"/>
      <c r="CL428" s="58"/>
      <c r="CU428" s="185"/>
      <c r="CV428" s="185"/>
      <c r="CX428" s="89"/>
      <c r="DD428" s="185"/>
      <c r="DE428" s="185"/>
      <c r="DF428" s="185"/>
      <c r="DG428" s="185"/>
      <c r="DI428" s="89"/>
      <c r="DJ428" s="10" t="b">
        <v>1</v>
      </c>
      <c r="DM428" s="59"/>
      <c r="DN428" s="59"/>
      <c r="DO428" s="59"/>
      <c r="DP428" s="94"/>
      <c r="DQ428" s="58"/>
      <c r="DR428" s="57" t="str">
        <f t="shared" si="14"/>
        <v/>
      </c>
      <c r="DS428" s="58"/>
      <c r="DT428" s="99"/>
      <c r="DU428" s="1" t="s">
        <v>280</v>
      </c>
      <c r="DV428" s="68"/>
      <c r="DY428" s="68"/>
      <c r="DZ428" s="113"/>
      <c r="EA428" s="114"/>
      <c r="EB428" s="114"/>
      <c r="EC428" s="114"/>
      <c r="ED428" s="114"/>
    </row>
    <row r="429" spans="1:149" s="10" customFormat="1" ht="14.25" customHeight="1" x14ac:dyDescent="0.15">
      <c r="A429" s="185">
        <v>640106</v>
      </c>
      <c r="B429" s="186" t="s">
        <v>456</v>
      </c>
      <c r="C429" s="40" t="s">
        <v>457</v>
      </c>
      <c r="D429" s="185" t="s">
        <v>841</v>
      </c>
      <c r="E429" s="185">
        <v>170519</v>
      </c>
      <c r="F429" s="185"/>
      <c r="G429" s="185"/>
      <c r="H429" s="185">
        <v>0</v>
      </c>
      <c r="I429" s="185"/>
      <c r="J429" s="185"/>
      <c r="K429" s="185"/>
      <c r="L429" s="185">
        <v>0</v>
      </c>
      <c r="M429" s="185"/>
      <c r="N429" s="185"/>
      <c r="O429" s="185"/>
      <c r="P429" s="185" t="s">
        <v>268</v>
      </c>
      <c r="Q429" s="185" t="s">
        <v>269</v>
      </c>
      <c r="R429" s="185"/>
      <c r="S429" s="185"/>
      <c r="T429" s="185"/>
      <c r="U429" s="185"/>
      <c r="V429" s="185"/>
      <c r="W429" s="185"/>
      <c r="X429" s="185">
        <v>1</v>
      </c>
      <c r="Y429" s="185">
        <v>0</v>
      </c>
      <c r="Z429" s="185">
        <v>0</v>
      </c>
      <c r="AA429" s="185"/>
      <c r="AB429" s="185">
        <v>3001</v>
      </c>
      <c r="AC429" s="185" t="s">
        <v>337</v>
      </c>
      <c r="AD429" s="10" t="s">
        <v>330</v>
      </c>
      <c r="AE429" s="59"/>
      <c r="AF429" s="59"/>
      <c r="AG429" s="59"/>
      <c r="AH429" s="59"/>
      <c r="AI429" s="59"/>
      <c r="AJ429" s="59"/>
      <c r="AK429" s="59"/>
      <c r="BA429" s="185" t="s">
        <v>270</v>
      </c>
      <c r="BB429" s="185">
        <v>75</v>
      </c>
      <c r="BC429" s="10">
        <v>0</v>
      </c>
      <c r="BF429" s="10">
        <v>0</v>
      </c>
      <c r="BG429" s="10">
        <v>0</v>
      </c>
      <c r="BH429" s="10">
        <v>0</v>
      </c>
      <c r="BJ429" s="10" t="s">
        <v>270</v>
      </c>
      <c r="BS429" s="10" t="s">
        <v>270</v>
      </c>
      <c r="CF429" s="10" t="s">
        <v>378</v>
      </c>
      <c r="CJ429" s="10" t="s">
        <v>1</v>
      </c>
      <c r="CK429" s="58" t="s">
        <v>379</v>
      </c>
      <c r="CL429" s="58"/>
      <c r="CM429" s="10">
        <v>999</v>
      </c>
      <c r="CN429" s="10">
        <v>0</v>
      </c>
      <c r="CO429" s="10">
        <v>0</v>
      </c>
      <c r="CP429" s="10">
        <v>0</v>
      </c>
      <c r="CQ429" s="10">
        <v>0</v>
      </c>
      <c r="CS429" s="10">
        <v>5</v>
      </c>
      <c r="CU429" s="185">
        <v>20</v>
      </c>
      <c r="CV429" s="185" t="s">
        <v>481</v>
      </c>
      <c r="CW429" s="10" t="b">
        <v>0</v>
      </c>
      <c r="CX429" s="10" t="s">
        <v>273</v>
      </c>
      <c r="DB429" s="10">
        <v>102401</v>
      </c>
      <c r="DC429" s="10" t="b">
        <v>1</v>
      </c>
      <c r="DD429" s="185" t="s">
        <v>274</v>
      </c>
      <c r="DE429" s="185" t="s">
        <v>380</v>
      </c>
      <c r="DF429" s="185" t="s">
        <v>276</v>
      </c>
      <c r="DG429" s="185" t="s">
        <v>293</v>
      </c>
      <c r="DH429" s="10">
        <v>4</v>
      </c>
      <c r="DI429" s="10" t="b">
        <v>0</v>
      </c>
      <c r="DJ429" s="10" t="b">
        <v>1</v>
      </c>
      <c r="DP429" s="96" t="s">
        <v>473</v>
      </c>
      <c r="DQ429" s="10" t="s">
        <v>842</v>
      </c>
      <c r="DR429" s="57" t="e">
        <f t="shared" si="14"/>
        <v>#VALUE!</v>
      </c>
      <c r="DS429" s="10" t="s">
        <v>843</v>
      </c>
      <c r="DU429" s="1" t="s">
        <v>280</v>
      </c>
      <c r="DV429" s="68"/>
      <c r="DZ429" s="10">
        <v>1</v>
      </c>
      <c r="EA429" s="68">
        <v>-1</v>
      </c>
      <c r="EB429" s="68">
        <v>4.1666666666666699E-2</v>
      </c>
      <c r="EC429" s="68">
        <v>8.3333333333333301E-2</v>
      </c>
      <c r="ED429" s="68">
        <v>8.3333333333333301E-2</v>
      </c>
      <c r="EE429" s="10" t="s">
        <v>284</v>
      </c>
      <c r="EF429" s="10" t="s">
        <v>326</v>
      </c>
      <c r="EG429" s="10" t="e">
        <v>#VALUE!</v>
      </c>
      <c r="EH429" s="10" t="s">
        <v>285</v>
      </c>
      <c r="EI429" s="10" t="s">
        <v>344</v>
      </c>
      <c r="EJ429" s="10" t="e">
        <v>#VALUE!</v>
      </c>
      <c r="EK429" s="10" t="s">
        <v>286</v>
      </c>
      <c r="EL429" s="10" t="s">
        <v>328</v>
      </c>
      <c r="EM429" s="10" t="e">
        <v>#VALUE!</v>
      </c>
      <c r="EN429" s="10" t="s">
        <v>287</v>
      </c>
      <c r="EO429" s="10" t="s">
        <v>328</v>
      </c>
      <c r="EP429" s="10" t="e">
        <v>#VALUE!</v>
      </c>
    </row>
    <row r="430" spans="1:149" s="10" customFormat="1" ht="14.25" customHeight="1" x14ac:dyDescent="0.15">
      <c r="A430" s="185"/>
      <c r="B430" s="186"/>
      <c r="C430" s="40"/>
      <c r="D430" s="185"/>
      <c r="E430" s="185"/>
      <c r="F430" s="185"/>
      <c r="G430" s="185"/>
      <c r="H430" s="185"/>
      <c r="I430" s="185"/>
      <c r="J430" s="185"/>
      <c r="K430" s="185"/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  <c r="Z430" s="185"/>
      <c r="AA430" s="185"/>
      <c r="AB430" s="185">
        <v>17050505</v>
      </c>
      <c r="AC430" s="185" t="s">
        <v>384</v>
      </c>
      <c r="AD430" s="10" t="s">
        <v>330</v>
      </c>
      <c r="AE430" s="59" t="s">
        <v>291</v>
      </c>
      <c r="AF430" s="59" t="s">
        <v>314</v>
      </c>
      <c r="AG430" s="59"/>
      <c r="AH430" s="59"/>
      <c r="AI430" s="59"/>
      <c r="AJ430" s="59"/>
      <c r="AK430" s="59"/>
      <c r="BA430" s="185"/>
      <c r="BB430" s="185"/>
      <c r="CU430" s="185"/>
      <c r="CV430" s="185"/>
      <c r="DD430" s="185"/>
      <c r="DE430" s="185"/>
      <c r="DF430" s="185"/>
      <c r="DG430" s="185"/>
      <c r="DJ430" s="10" t="b">
        <v>1</v>
      </c>
      <c r="DP430" s="96"/>
      <c r="DR430" s="57" t="str">
        <f t="shared" si="14"/>
        <v/>
      </c>
      <c r="DU430" s="1" t="s">
        <v>280</v>
      </c>
      <c r="DV430" s="68"/>
      <c r="DY430" s="68"/>
      <c r="EA430" s="68"/>
      <c r="EB430" s="68"/>
      <c r="EC430" s="68"/>
      <c r="ED430" s="68"/>
    </row>
    <row r="431" spans="1:149" s="10" customFormat="1" ht="14.25" customHeight="1" x14ac:dyDescent="0.15">
      <c r="A431" s="185"/>
      <c r="B431" s="186"/>
      <c r="C431" s="40"/>
      <c r="D431" s="185"/>
      <c r="E431" s="185"/>
      <c r="F431" s="185"/>
      <c r="G431" s="185"/>
      <c r="H431" s="185"/>
      <c r="I431" s="185"/>
      <c r="J431" s="185"/>
      <c r="K431" s="185"/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  <c r="Z431" s="185"/>
      <c r="AA431" s="185"/>
      <c r="AB431" s="185">
        <v>17050506</v>
      </c>
      <c r="AC431" s="185" t="s">
        <v>385</v>
      </c>
      <c r="AE431" s="10" t="s">
        <v>291</v>
      </c>
      <c r="AF431" s="10" t="s">
        <v>314</v>
      </c>
      <c r="AJ431" s="10">
        <v>8</v>
      </c>
      <c r="AL431" s="68"/>
      <c r="AM431" s="68"/>
      <c r="AN431" s="68"/>
      <c r="AO431" s="68"/>
      <c r="AP431" s="68"/>
      <c r="AQ431" s="68"/>
      <c r="AR431" s="68"/>
      <c r="AU431" s="68"/>
      <c r="AV431" s="68"/>
      <c r="AW431" s="68"/>
      <c r="AX431" s="68"/>
      <c r="AY431" s="68"/>
      <c r="AZ431" s="68"/>
      <c r="BA431" s="203"/>
      <c r="BB431" s="185"/>
      <c r="CK431" s="58"/>
      <c r="CL431" s="58"/>
      <c r="CU431" s="185"/>
      <c r="CV431" s="185"/>
      <c r="CX431" s="89"/>
      <c r="DD431" s="210"/>
      <c r="DE431" s="185"/>
      <c r="DF431" s="210"/>
      <c r="DG431" s="210"/>
      <c r="DH431" s="93"/>
      <c r="DI431" s="93"/>
      <c r="DJ431" s="10" t="b">
        <v>1</v>
      </c>
      <c r="DP431" s="96"/>
      <c r="DQ431" s="105"/>
      <c r="DR431" s="57" t="str">
        <f t="shared" si="14"/>
        <v/>
      </c>
      <c r="DS431" s="105"/>
      <c r="DT431" s="106"/>
      <c r="DU431" s="1" t="s">
        <v>280</v>
      </c>
      <c r="DV431" s="68"/>
      <c r="DY431" s="68"/>
      <c r="DZ431" s="113"/>
      <c r="EA431" s="114"/>
      <c r="EB431" s="114"/>
      <c r="EC431" s="114"/>
      <c r="ED431" s="114"/>
    </row>
    <row r="432" spans="1:149" s="10" customFormat="1" ht="14.25" customHeight="1" x14ac:dyDescent="0.15">
      <c r="A432" s="185"/>
      <c r="B432" s="186"/>
      <c r="C432" s="40"/>
      <c r="D432" s="185"/>
      <c r="E432" s="185"/>
      <c r="F432" s="185"/>
      <c r="G432" s="185"/>
      <c r="H432" s="185"/>
      <c r="I432" s="185"/>
      <c r="J432" s="185"/>
      <c r="K432" s="185"/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  <c r="Z432" s="185"/>
      <c r="AA432" s="185"/>
      <c r="AB432" s="193">
        <v>17050507</v>
      </c>
      <c r="AC432" s="185" t="s">
        <v>386</v>
      </c>
      <c r="AD432" s="10" t="s">
        <v>330</v>
      </c>
      <c r="AE432" s="10" t="s">
        <v>291</v>
      </c>
      <c r="AF432" s="10" t="s">
        <v>314</v>
      </c>
      <c r="AJ432" s="59"/>
      <c r="AK432" s="59"/>
      <c r="BA432" s="185"/>
      <c r="BB432" s="185"/>
      <c r="CU432" s="185"/>
      <c r="CV432" s="185"/>
      <c r="DD432" s="185"/>
      <c r="DE432" s="185"/>
      <c r="DF432" s="185"/>
      <c r="DG432" s="185"/>
      <c r="DJ432" s="10" t="b">
        <v>1</v>
      </c>
      <c r="DP432" s="96"/>
      <c r="DR432" s="57" t="str">
        <f t="shared" si="14"/>
        <v/>
      </c>
      <c r="DU432" s="1" t="s">
        <v>280</v>
      </c>
      <c r="DV432" s="68"/>
      <c r="DY432" s="68"/>
      <c r="EA432" s="68"/>
      <c r="EB432" s="68"/>
      <c r="EC432" s="68"/>
      <c r="ED432" s="68"/>
    </row>
    <row r="433" spans="1:149" s="8" customFormat="1" ht="14.25" customHeight="1" x14ac:dyDescent="0.15">
      <c r="A433" s="185">
        <v>640107</v>
      </c>
      <c r="B433" s="186" t="s">
        <v>462</v>
      </c>
      <c r="C433" s="40" t="s">
        <v>463</v>
      </c>
      <c r="D433" s="185" t="s">
        <v>844</v>
      </c>
      <c r="E433" s="185">
        <v>170520</v>
      </c>
      <c r="F433" s="185"/>
      <c r="G433" s="185"/>
      <c r="H433" s="185">
        <v>0</v>
      </c>
      <c r="I433" s="185"/>
      <c r="J433" s="185"/>
      <c r="K433" s="185"/>
      <c r="L433" s="185">
        <v>0</v>
      </c>
      <c r="M433" s="185"/>
      <c r="N433" s="185"/>
      <c r="O433" s="185"/>
      <c r="P433" s="185" t="s">
        <v>268</v>
      </c>
      <c r="Q433" s="185" t="s">
        <v>269</v>
      </c>
      <c r="R433" s="185"/>
      <c r="S433" s="185"/>
      <c r="T433" s="185"/>
      <c r="U433" s="185"/>
      <c r="V433" s="185"/>
      <c r="W433" s="185"/>
      <c r="X433" s="185">
        <v>1</v>
      </c>
      <c r="Y433" s="185">
        <v>0</v>
      </c>
      <c r="Z433" s="185">
        <v>0</v>
      </c>
      <c r="AA433" s="185"/>
      <c r="AB433" s="185">
        <v>3001</v>
      </c>
      <c r="AC433" s="193"/>
      <c r="AD433" s="16"/>
      <c r="AE433" s="16"/>
      <c r="AF433" s="16"/>
      <c r="AG433" s="16"/>
      <c r="AH433" s="16"/>
      <c r="AI433" s="16"/>
      <c r="AJ433" s="16"/>
      <c r="AK433" s="16"/>
      <c r="AL433" s="148"/>
      <c r="AM433" s="148"/>
      <c r="AN433" s="148"/>
      <c r="AO433" s="148"/>
      <c r="AP433" s="148"/>
      <c r="AQ433" s="148"/>
      <c r="AR433" s="148"/>
      <c r="AS433" s="16"/>
      <c r="AT433" s="16"/>
      <c r="AU433" s="148"/>
      <c r="AV433" s="148"/>
      <c r="AW433" s="148"/>
      <c r="AX433" s="148"/>
      <c r="AY433" s="148"/>
      <c r="AZ433" s="148"/>
      <c r="BA433" s="203" t="s">
        <v>270</v>
      </c>
      <c r="BB433" s="185">
        <v>150</v>
      </c>
      <c r="BC433" s="16">
        <v>0</v>
      </c>
      <c r="BD433" s="16"/>
      <c r="BE433" s="16"/>
      <c r="BF433" s="16">
        <v>0</v>
      </c>
      <c r="BG433" s="16">
        <v>0</v>
      </c>
      <c r="BH433" s="16">
        <v>0</v>
      </c>
      <c r="BI433" s="16"/>
      <c r="BJ433" s="16" t="s">
        <v>270</v>
      </c>
      <c r="BK433" s="16"/>
      <c r="BL433" s="16"/>
      <c r="BM433" s="16"/>
      <c r="BN433" s="16"/>
      <c r="BO433" s="16"/>
      <c r="BP433" s="16"/>
      <c r="BQ433" s="16"/>
      <c r="BR433" s="16"/>
      <c r="BS433" s="16" t="s">
        <v>270</v>
      </c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 t="s">
        <v>271</v>
      </c>
      <c r="CG433" s="16"/>
      <c r="CH433" s="16"/>
      <c r="CI433" s="16"/>
      <c r="CJ433" s="16" t="s">
        <v>1</v>
      </c>
      <c r="CK433" s="140" t="s">
        <v>464</v>
      </c>
      <c r="CL433" s="140"/>
      <c r="CM433" s="10">
        <v>999</v>
      </c>
      <c r="CN433" s="16">
        <v>0</v>
      </c>
      <c r="CO433" s="16">
        <v>0</v>
      </c>
      <c r="CP433" s="16">
        <v>0</v>
      </c>
      <c r="CQ433" s="16">
        <v>0</v>
      </c>
      <c r="CR433" s="16"/>
      <c r="CS433" s="16">
        <v>20</v>
      </c>
      <c r="CT433" s="16">
        <v>10</v>
      </c>
      <c r="CU433" s="185">
        <v>24</v>
      </c>
      <c r="CV433" s="185" t="s">
        <v>483</v>
      </c>
      <c r="CW433" s="16" t="b">
        <v>1</v>
      </c>
      <c r="CX433" s="16" t="s">
        <v>273</v>
      </c>
      <c r="CY433" s="16"/>
      <c r="CZ433" s="16"/>
      <c r="DA433" s="16"/>
      <c r="DB433" s="16">
        <v>170501</v>
      </c>
      <c r="DC433" s="16" t="b">
        <v>1</v>
      </c>
      <c r="DD433" s="185" t="s">
        <v>274</v>
      </c>
      <c r="DE433" s="185" t="s">
        <v>495</v>
      </c>
      <c r="DF433" s="185" t="s">
        <v>276</v>
      </c>
      <c r="DG433" s="185" t="s">
        <v>322</v>
      </c>
      <c r="DH433" s="16">
        <v>4</v>
      </c>
      <c r="DI433" s="16" t="b">
        <v>0</v>
      </c>
      <c r="DJ433" s="10" t="b">
        <v>1</v>
      </c>
      <c r="DK433" s="16"/>
      <c r="DL433" s="16"/>
      <c r="DM433" s="16"/>
      <c r="DN433" s="1"/>
      <c r="DO433" s="1"/>
      <c r="DP433" s="96" t="s">
        <v>475</v>
      </c>
      <c r="DQ433" s="140" t="s">
        <v>836</v>
      </c>
      <c r="DR433" s="57" t="e">
        <f t="shared" si="14"/>
        <v>#VALUE!</v>
      </c>
      <c r="DS433" s="140" t="s">
        <v>837</v>
      </c>
      <c r="DT433" s="16"/>
      <c r="DU433" s="1" t="s">
        <v>280</v>
      </c>
      <c r="DV433" s="148"/>
      <c r="DW433" s="16"/>
      <c r="DX433" s="16"/>
      <c r="DY433" s="1"/>
      <c r="DZ433" s="16">
        <v>1</v>
      </c>
      <c r="EA433" s="148">
        <v>-1</v>
      </c>
      <c r="EB433" s="148">
        <v>4.1666666666666699E-2</v>
      </c>
      <c r="EC433" s="148">
        <v>8.3333333333333301E-2</v>
      </c>
      <c r="ED433" s="148">
        <v>8.3333333333333301E-2</v>
      </c>
      <c r="EE433" s="16" t="s">
        <v>284</v>
      </c>
      <c r="EF433" s="16" t="s">
        <v>326</v>
      </c>
      <c r="EG433" s="16" t="e">
        <v>#VALUE!</v>
      </c>
      <c r="EH433" s="16" t="s">
        <v>285</v>
      </c>
      <c r="EI433" s="16" t="s">
        <v>327</v>
      </c>
      <c r="EJ433" s="16" t="e">
        <v>#VALUE!</v>
      </c>
      <c r="EK433" s="16" t="s">
        <v>286</v>
      </c>
      <c r="EL433" s="16" t="s">
        <v>328</v>
      </c>
      <c r="EM433" s="16" t="e">
        <v>#VALUE!</v>
      </c>
      <c r="EN433" s="16" t="s">
        <v>287</v>
      </c>
      <c r="EO433" s="16" t="s">
        <v>328</v>
      </c>
      <c r="EP433" s="16" t="e">
        <v>#VALUE!</v>
      </c>
      <c r="EQ433" s="16"/>
      <c r="ER433" s="16"/>
      <c r="ES433" s="16"/>
    </row>
    <row r="434" spans="1:149" s="8" customFormat="1" ht="14.25" customHeight="1" x14ac:dyDescent="0.15">
      <c r="A434" s="185"/>
      <c r="B434" s="186"/>
      <c r="C434" s="40"/>
      <c r="D434" s="185"/>
      <c r="E434" s="185"/>
      <c r="F434" s="185"/>
      <c r="G434" s="185"/>
      <c r="H434" s="185"/>
      <c r="I434" s="185"/>
      <c r="J434" s="185"/>
      <c r="K434" s="185"/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  <c r="Z434" s="185"/>
      <c r="AA434" s="185"/>
      <c r="AB434" s="185">
        <v>17050301</v>
      </c>
      <c r="AC434" s="185" t="s">
        <v>329</v>
      </c>
      <c r="AD434" s="16" t="s">
        <v>330</v>
      </c>
      <c r="AE434" s="16" t="s">
        <v>291</v>
      </c>
      <c r="AF434" s="16" t="s">
        <v>314</v>
      </c>
      <c r="AG434" s="16"/>
      <c r="AH434" s="16"/>
      <c r="AI434" s="16"/>
      <c r="AJ434" s="16"/>
      <c r="AK434" s="16"/>
      <c r="AL434" s="148"/>
      <c r="AM434" s="148"/>
      <c r="AN434" s="148"/>
      <c r="AO434" s="148"/>
      <c r="AP434" s="148"/>
      <c r="AQ434" s="148"/>
      <c r="AR434" s="148"/>
      <c r="AS434" s="16"/>
      <c r="AT434" s="16"/>
      <c r="AU434" s="148"/>
      <c r="AV434" s="148"/>
      <c r="AW434" s="148"/>
      <c r="AX434" s="148"/>
      <c r="AY434" s="148"/>
      <c r="AZ434" s="148"/>
      <c r="BA434" s="203" t="s">
        <v>331</v>
      </c>
      <c r="BB434" s="179">
        <v>0.23</v>
      </c>
      <c r="BC434" s="16">
        <v>0</v>
      </c>
      <c r="BD434" s="16"/>
      <c r="BE434" s="16"/>
      <c r="BF434" s="16">
        <v>0</v>
      </c>
      <c r="BG434" s="16">
        <v>0</v>
      </c>
      <c r="BH434" s="16">
        <v>0</v>
      </c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85"/>
      <c r="CV434" s="185"/>
      <c r="CW434" s="16"/>
      <c r="CX434" s="159"/>
      <c r="CY434" s="16"/>
      <c r="CZ434" s="16"/>
      <c r="DA434" s="16"/>
      <c r="DB434" s="16"/>
      <c r="DC434" s="16"/>
      <c r="DD434" s="185"/>
      <c r="DE434" s="185"/>
      <c r="DF434" s="185"/>
      <c r="DG434" s="185"/>
      <c r="DH434" s="16"/>
      <c r="DI434" s="159"/>
      <c r="DJ434" s="10" t="b">
        <v>1</v>
      </c>
      <c r="DK434" s="16"/>
      <c r="DL434" s="16"/>
      <c r="DM434" s="16"/>
      <c r="DN434" s="16"/>
      <c r="DO434" s="16"/>
      <c r="DP434" s="96"/>
      <c r="DQ434" s="140"/>
      <c r="DR434" s="57" t="str">
        <f t="shared" si="14"/>
        <v/>
      </c>
      <c r="DS434" s="140"/>
      <c r="DT434" s="16"/>
      <c r="DU434" s="1" t="s">
        <v>280</v>
      </c>
      <c r="DV434" s="148"/>
      <c r="DW434" s="16"/>
      <c r="DX434" s="16"/>
      <c r="DY434" s="148"/>
      <c r="DZ434" s="175"/>
      <c r="EA434" s="176"/>
      <c r="EB434" s="176"/>
      <c r="EC434" s="176"/>
      <c r="ED434" s="176"/>
      <c r="EE434" s="16"/>
      <c r="EF434" s="16"/>
      <c r="EG434" s="16"/>
      <c r="EH434" s="16"/>
      <c r="EI434" s="16"/>
      <c r="EJ434" s="16"/>
      <c r="EK434" s="16"/>
      <c r="EL434" s="16"/>
      <c r="EM434" s="16"/>
      <c r="EN434" s="16"/>
      <c r="EO434" s="16"/>
      <c r="EP434" s="16"/>
      <c r="EQ434" s="16"/>
      <c r="ER434" s="16"/>
      <c r="ES434" s="16"/>
    </row>
    <row r="435" spans="1:149" s="8" customFormat="1" ht="14.25" customHeight="1" x14ac:dyDescent="0.15">
      <c r="A435" s="185"/>
      <c r="B435" s="186"/>
      <c r="C435" s="40"/>
      <c r="D435" s="185"/>
      <c r="E435" s="185"/>
      <c r="F435" s="185"/>
      <c r="G435" s="185"/>
      <c r="H435" s="185"/>
      <c r="I435" s="185"/>
      <c r="J435" s="185"/>
      <c r="K435" s="185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  <c r="Z435" s="185"/>
      <c r="AA435" s="185"/>
      <c r="AB435" s="185">
        <v>17050302</v>
      </c>
      <c r="AC435" s="185" t="s">
        <v>332</v>
      </c>
      <c r="AD435" s="16" t="s">
        <v>333</v>
      </c>
      <c r="AE435" s="16" t="s">
        <v>291</v>
      </c>
      <c r="AF435" s="16" t="s">
        <v>314</v>
      </c>
      <c r="AG435" s="16"/>
      <c r="AH435" s="16"/>
      <c r="AI435" s="16"/>
      <c r="AJ435" s="16">
        <v>-1</v>
      </c>
      <c r="AK435" s="16"/>
      <c r="AL435" s="148"/>
      <c r="AM435" s="149"/>
      <c r="AN435" s="149"/>
      <c r="AO435" s="149"/>
      <c r="AP435" s="149"/>
      <c r="AQ435" s="149"/>
      <c r="AR435" s="149"/>
      <c r="AS435" s="16"/>
      <c r="AT435" s="16"/>
      <c r="AU435" s="148"/>
      <c r="AV435" s="148"/>
      <c r="AW435" s="148"/>
      <c r="AX435" s="148"/>
      <c r="AY435" s="148"/>
      <c r="AZ435" s="148"/>
      <c r="BA435" s="203"/>
      <c r="BB435" s="185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85"/>
      <c r="CV435" s="185"/>
      <c r="CW435" s="16"/>
      <c r="CX435" s="16"/>
      <c r="CY435" s="16"/>
      <c r="CZ435" s="16"/>
      <c r="DA435" s="16"/>
      <c r="DB435" s="16"/>
      <c r="DC435" s="16"/>
      <c r="DD435" s="185"/>
      <c r="DE435" s="185"/>
      <c r="DF435" s="185"/>
      <c r="DG435" s="185"/>
      <c r="DH435" s="16"/>
      <c r="DI435" s="16"/>
      <c r="DJ435" s="10" t="b">
        <v>1</v>
      </c>
      <c r="DK435" s="16"/>
      <c r="DL435" s="16"/>
      <c r="DM435" s="16"/>
      <c r="DN435" s="16"/>
      <c r="DO435" s="16"/>
      <c r="DP435" s="96"/>
      <c r="DQ435" s="140"/>
      <c r="DR435" s="57" t="str">
        <f t="shared" si="14"/>
        <v/>
      </c>
      <c r="DS435" s="140"/>
      <c r="DT435" s="16"/>
      <c r="DU435" s="1" t="s">
        <v>280</v>
      </c>
      <c r="DV435" s="148"/>
      <c r="DW435" s="16"/>
      <c r="DX435" s="16"/>
      <c r="DY435" s="148"/>
      <c r="DZ435" s="16"/>
      <c r="EA435" s="148"/>
      <c r="EB435" s="148"/>
      <c r="EC435" s="148"/>
      <c r="ED435" s="148"/>
      <c r="EE435" s="16"/>
      <c r="EF435" s="16"/>
      <c r="EG435" s="16"/>
      <c r="EH435" s="16"/>
      <c r="EI435" s="16"/>
      <c r="EJ435" s="16"/>
      <c r="EK435" s="16"/>
      <c r="EL435" s="16"/>
      <c r="EM435" s="16"/>
      <c r="EN435" s="16"/>
      <c r="EO435" s="16"/>
      <c r="EP435" s="16"/>
      <c r="EQ435" s="16"/>
      <c r="ER435" s="16"/>
      <c r="ES435" s="16"/>
    </row>
    <row r="436" spans="1:149" s="10" customFormat="1" ht="14.25" customHeight="1" x14ac:dyDescent="0.15">
      <c r="A436" s="185">
        <v>640108</v>
      </c>
      <c r="B436" s="186" t="s">
        <v>476</v>
      </c>
      <c r="C436" s="40" t="s">
        <v>477</v>
      </c>
      <c r="D436" s="185" t="s">
        <v>845</v>
      </c>
      <c r="E436" s="185">
        <v>170518</v>
      </c>
      <c r="F436" s="185"/>
      <c r="G436" s="185"/>
      <c r="H436" s="185">
        <v>0</v>
      </c>
      <c r="I436" s="185"/>
      <c r="J436" s="185"/>
      <c r="K436" s="185"/>
      <c r="L436" s="185">
        <v>0</v>
      </c>
      <c r="M436" s="185"/>
      <c r="N436" s="185"/>
      <c r="O436" s="185"/>
      <c r="P436" s="185" t="s">
        <v>268</v>
      </c>
      <c r="Q436" s="185" t="s">
        <v>269</v>
      </c>
      <c r="R436" s="185"/>
      <c r="S436" s="185"/>
      <c r="T436" s="185"/>
      <c r="U436" s="185"/>
      <c r="V436" s="185"/>
      <c r="W436" s="185"/>
      <c r="X436" s="185">
        <v>1</v>
      </c>
      <c r="Y436" s="185">
        <v>0</v>
      </c>
      <c r="Z436" s="185">
        <v>0</v>
      </c>
      <c r="AA436" s="185"/>
      <c r="AB436" s="185">
        <v>3001</v>
      </c>
      <c r="AC436" s="193" t="s">
        <v>337</v>
      </c>
      <c r="AE436" s="10" t="s">
        <v>129</v>
      </c>
      <c r="AF436" s="10" t="s">
        <v>314</v>
      </c>
      <c r="AL436" s="68"/>
      <c r="AM436" s="68"/>
      <c r="AN436" s="68"/>
      <c r="AO436" s="68"/>
      <c r="AP436" s="68"/>
      <c r="AQ436" s="68"/>
      <c r="AR436" s="68"/>
      <c r="AU436" s="68"/>
      <c r="AV436" s="68"/>
      <c r="AW436" s="68"/>
      <c r="AX436" s="68"/>
      <c r="AY436" s="68"/>
      <c r="AZ436" s="68"/>
      <c r="BA436" s="203" t="s">
        <v>270</v>
      </c>
      <c r="BB436" s="185">
        <v>100</v>
      </c>
      <c r="BC436" s="10">
        <v>0</v>
      </c>
      <c r="BF436" s="10">
        <v>0</v>
      </c>
      <c r="BG436" s="10">
        <v>0</v>
      </c>
      <c r="BH436" s="10">
        <v>0</v>
      </c>
      <c r="BJ436" s="10" t="s">
        <v>270</v>
      </c>
      <c r="BS436" s="10" t="s">
        <v>270</v>
      </c>
      <c r="CF436" s="10" t="s">
        <v>271</v>
      </c>
      <c r="CJ436" s="10" t="s">
        <v>3</v>
      </c>
      <c r="CK436" s="58" t="s">
        <v>443</v>
      </c>
      <c r="CL436" s="58"/>
      <c r="CM436" s="10">
        <v>999</v>
      </c>
      <c r="CN436" s="10">
        <v>0</v>
      </c>
      <c r="CO436" s="10">
        <v>0</v>
      </c>
      <c r="CP436" s="10">
        <v>0</v>
      </c>
      <c r="CQ436" s="10">
        <v>0</v>
      </c>
      <c r="CS436" s="10">
        <v>15</v>
      </c>
      <c r="CU436" s="185">
        <v>15</v>
      </c>
      <c r="CV436" s="185" t="s">
        <v>479</v>
      </c>
      <c r="CW436" s="10" t="b">
        <v>0</v>
      </c>
      <c r="CX436" s="10" t="s">
        <v>273</v>
      </c>
      <c r="DB436" s="10">
        <v>100300</v>
      </c>
      <c r="DC436" s="10" t="b">
        <v>1</v>
      </c>
      <c r="DD436" s="185" t="s">
        <v>274</v>
      </c>
      <c r="DE436" s="185" t="s">
        <v>340</v>
      </c>
      <c r="DF436" s="185" t="s">
        <v>276</v>
      </c>
      <c r="DG436" s="185" t="s">
        <v>277</v>
      </c>
      <c r="DH436" s="10">
        <v>4</v>
      </c>
      <c r="DI436" s="10" t="b">
        <v>0</v>
      </c>
      <c r="DJ436" s="10" t="b">
        <v>1</v>
      </c>
      <c r="DP436" s="96" t="s">
        <v>471</v>
      </c>
      <c r="DQ436" s="58" t="s">
        <v>839</v>
      </c>
      <c r="DR436" s="57" t="e">
        <f t="shared" si="14"/>
        <v>#VALUE!</v>
      </c>
      <c r="DS436" s="58" t="s">
        <v>840</v>
      </c>
      <c r="DU436" s="1" t="s">
        <v>280</v>
      </c>
      <c r="DV436" s="68"/>
      <c r="DZ436" s="10">
        <v>1</v>
      </c>
      <c r="EA436" s="68">
        <v>-1</v>
      </c>
      <c r="EB436" s="68">
        <v>4.1666666666666699E-2</v>
      </c>
      <c r="EC436" s="68">
        <v>8.3333333333333301E-2</v>
      </c>
      <c r="ED436" s="68">
        <v>8.3333333333333301E-2</v>
      </c>
      <c r="EE436" s="10" t="s">
        <v>284</v>
      </c>
      <c r="EF436" s="10" t="s">
        <v>326</v>
      </c>
      <c r="EG436" s="10" t="e">
        <v>#VALUE!</v>
      </c>
      <c r="EH436" s="10" t="s">
        <v>285</v>
      </c>
      <c r="EI436" s="10" t="s">
        <v>344</v>
      </c>
      <c r="EJ436" s="10" t="e">
        <v>#VALUE!</v>
      </c>
      <c r="EK436" s="10" t="s">
        <v>286</v>
      </c>
      <c r="EL436" s="10" t="s">
        <v>345</v>
      </c>
      <c r="EM436" s="10" t="e">
        <v>#VALUE!</v>
      </c>
      <c r="EN436" s="10" t="s">
        <v>287</v>
      </c>
      <c r="EO436" s="10" t="s">
        <v>345</v>
      </c>
      <c r="EP436" s="10" t="e">
        <v>#VALUE!</v>
      </c>
    </row>
    <row r="437" spans="1:149" s="10" customFormat="1" ht="14.25" customHeight="1" x14ac:dyDescent="0.15">
      <c r="A437" s="185"/>
      <c r="B437" s="187"/>
      <c r="C437" s="40"/>
      <c r="D437" s="185"/>
      <c r="E437" s="185"/>
      <c r="F437" s="185"/>
      <c r="G437" s="185"/>
      <c r="H437" s="185"/>
      <c r="I437" s="185"/>
      <c r="J437" s="185"/>
      <c r="K437" s="185"/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  <c r="Z437" s="185"/>
      <c r="AA437" s="185"/>
      <c r="AB437" s="185">
        <v>10240102</v>
      </c>
      <c r="AC437" s="185" t="s">
        <v>346</v>
      </c>
      <c r="AE437" s="10" t="s">
        <v>129</v>
      </c>
      <c r="AF437" s="10" t="s">
        <v>314</v>
      </c>
      <c r="AJ437" s="10">
        <v>3</v>
      </c>
      <c r="AL437" s="68"/>
      <c r="AM437" s="68"/>
      <c r="AN437" s="68"/>
      <c r="AO437" s="68"/>
      <c r="AP437" s="68"/>
      <c r="AQ437" s="68"/>
      <c r="AR437" s="68"/>
      <c r="AU437" s="68"/>
      <c r="AV437" s="68"/>
      <c r="AW437" s="68"/>
      <c r="AX437" s="68"/>
      <c r="AY437" s="68"/>
      <c r="AZ437" s="68"/>
      <c r="BA437" s="203"/>
      <c r="BB437" s="185"/>
      <c r="CK437" s="58"/>
      <c r="CL437" s="58"/>
      <c r="CU437" s="185"/>
      <c r="CV437" s="185"/>
      <c r="CX437" s="89"/>
      <c r="DD437" s="185"/>
      <c r="DE437" s="185"/>
      <c r="DF437" s="185"/>
      <c r="DG437" s="185"/>
      <c r="DI437" s="89"/>
      <c r="DJ437" s="10" t="b">
        <v>1</v>
      </c>
      <c r="DM437" s="59"/>
      <c r="DN437" s="59"/>
      <c r="DO437" s="59"/>
      <c r="DP437" s="94"/>
      <c r="DQ437" s="58"/>
      <c r="DR437" s="57" t="str">
        <f t="shared" si="14"/>
        <v/>
      </c>
      <c r="DS437" s="58"/>
      <c r="DT437" s="99"/>
      <c r="DU437" s="1" t="s">
        <v>280</v>
      </c>
      <c r="DV437" s="68"/>
      <c r="DY437" s="68"/>
      <c r="DZ437" s="113"/>
      <c r="EA437" s="114"/>
      <c r="EB437" s="114"/>
      <c r="EC437" s="114"/>
      <c r="ED437" s="114"/>
    </row>
    <row r="438" spans="1:149" s="10" customFormat="1" ht="14.25" customHeight="1" x14ac:dyDescent="0.15">
      <c r="A438" s="185">
        <v>640109</v>
      </c>
      <c r="B438" s="186" t="s">
        <v>456</v>
      </c>
      <c r="C438" s="40" t="s">
        <v>457</v>
      </c>
      <c r="D438" s="185" t="s">
        <v>846</v>
      </c>
      <c r="E438" s="185">
        <v>170519</v>
      </c>
      <c r="F438" s="185"/>
      <c r="G438" s="185"/>
      <c r="H438" s="185">
        <v>0</v>
      </c>
      <c r="I438" s="185"/>
      <c r="J438" s="185"/>
      <c r="K438" s="185"/>
      <c r="L438" s="185">
        <v>0</v>
      </c>
      <c r="M438" s="185"/>
      <c r="N438" s="185"/>
      <c r="O438" s="185"/>
      <c r="P438" s="185" t="s">
        <v>268</v>
      </c>
      <c r="Q438" s="185" t="s">
        <v>269</v>
      </c>
      <c r="R438" s="185"/>
      <c r="S438" s="185"/>
      <c r="T438" s="185"/>
      <c r="U438" s="185"/>
      <c r="V438" s="185"/>
      <c r="W438" s="185"/>
      <c r="X438" s="185">
        <v>1</v>
      </c>
      <c r="Y438" s="185">
        <v>0</v>
      </c>
      <c r="Z438" s="185">
        <v>0</v>
      </c>
      <c r="AA438" s="185"/>
      <c r="AB438" s="185">
        <v>3001</v>
      </c>
      <c r="AC438" s="185" t="s">
        <v>337</v>
      </c>
      <c r="AD438" s="10" t="s">
        <v>330</v>
      </c>
      <c r="AE438" s="59"/>
      <c r="AF438" s="59"/>
      <c r="AG438" s="59"/>
      <c r="AH438" s="59"/>
      <c r="AI438" s="59"/>
      <c r="AJ438" s="59"/>
      <c r="AK438" s="59"/>
      <c r="BA438" s="185" t="s">
        <v>270</v>
      </c>
      <c r="BB438" s="185">
        <v>75</v>
      </c>
      <c r="BC438" s="10">
        <v>0</v>
      </c>
      <c r="BF438" s="10">
        <v>0</v>
      </c>
      <c r="BG438" s="10">
        <v>0</v>
      </c>
      <c r="BH438" s="10">
        <v>0</v>
      </c>
      <c r="BJ438" s="10" t="s">
        <v>270</v>
      </c>
      <c r="BS438" s="10" t="s">
        <v>270</v>
      </c>
      <c r="CF438" s="10" t="s">
        <v>378</v>
      </c>
      <c r="CJ438" s="10" t="s">
        <v>1</v>
      </c>
      <c r="CK438" s="58" t="s">
        <v>379</v>
      </c>
      <c r="CL438" s="58"/>
      <c r="CM438" s="10">
        <v>999</v>
      </c>
      <c r="CN438" s="10">
        <v>0</v>
      </c>
      <c r="CO438" s="10">
        <v>0</v>
      </c>
      <c r="CP438" s="10">
        <v>0</v>
      </c>
      <c r="CQ438" s="10">
        <v>0</v>
      </c>
      <c r="CS438" s="10">
        <v>5</v>
      </c>
      <c r="CU438" s="185">
        <v>20</v>
      </c>
      <c r="CV438" s="185" t="s">
        <v>481</v>
      </c>
      <c r="CW438" s="10" t="b">
        <v>0</v>
      </c>
      <c r="CX438" s="10" t="s">
        <v>273</v>
      </c>
      <c r="DB438" s="10">
        <v>102401</v>
      </c>
      <c r="DC438" s="10" t="b">
        <v>1</v>
      </c>
      <c r="DD438" s="185" t="s">
        <v>274</v>
      </c>
      <c r="DE438" s="185" t="s">
        <v>380</v>
      </c>
      <c r="DF438" s="185" t="s">
        <v>276</v>
      </c>
      <c r="DG438" s="185" t="s">
        <v>293</v>
      </c>
      <c r="DH438" s="10">
        <v>4</v>
      </c>
      <c r="DI438" s="10" t="b">
        <v>0</v>
      </c>
      <c r="DJ438" s="10" t="b">
        <v>1</v>
      </c>
      <c r="DP438" s="96" t="s">
        <v>473</v>
      </c>
      <c r="DQ438" s="10" t="s">
        <v>842</v>
      </c>
      <c r="DR438" s="57" t="e">
        <f t="shared" si="14"/>
        <v>#VALUE!</v>
      </c>
      <c r="DS438" s="10" t="s">
        <v>843</v>
      </c>
      <c r="DU438" s="1" t="s">
        <v>280</v>
      </c>
      <c r="DV438" s="68"/>
      <c r="DZ438" s="10">
        <v>1</v>
      </c>
      <c r="EA438" s="68">
        <v>-1</v>
      </c>
      <c r="EB438" s="68">
        <v>4.1666666666666699E-2</v>
      </c>
      <c r="EC438" s="68">
        <v>8.3333333333333301E-2</v>
      </c>
      <c r="ED438" s="68">
        <v>8.3333333333333301E-2</v>
      </c>
      <c r="EE438" s="10" t="s">
        <v>284</v>
      </c>
      <c r="EF438" s="10" t="s">
        <v>326</v>
      </c>
      <c r="EG438" s="10" t="e">
        <v>#VALUE!</v>
      </c>
      <c r="EH438" s="10" t="s">
        <v>285</v>
      </c>
      <c r="EI438" s="10" t="s">
        <v>344</v>
      </c>
      <c r="EJ438" s="10" t="e">
        <v>#VALUE!</v>
      </c>
      <c r="EK438" s="10" t="s">
        <v>286</v>
      </c>
      <c r="EL438" s="10" t="s">
        <v>328</v>
      </c>
      <c r="EM438" s="10" t="e">
        <v>#VALUE!</v>
      </c>
      <c r="EN438" s="10" t="s">
        <v>287</v>
      </c>
      <c r="EO438" s="10" t="s">
        <v>328</v>
      </c>
      <c r="EP438" s="10" t="e">
        <v>#VALUE!</v>
      </c>
    </row>
    <row r="439" spans="1:149" s="10" customFormat="1" ht="14.25" customHeight="1" x14ac:dyDescent="0.15">
      <c r="A439" s="185"/>
      <c r="B439" s="186"/>
      <c r="C439" s="40"/>
      <c r="D439" s="185"/>
      <c r="E439" s="185"/>
      <c r="F439" s="185"/>
      <c r="G439" s="185"/>
      <c r="H439" s="185"/>
      <c r="I439" s="185"/>
      <c r="J439" s="185"/>
      <c r="K439" s="185"/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  <c r="Z439" s="185"/>
      <c r="AA439" s="185"/>
      <c r="AB439" s="185">
        <v>17050505</v>
      </c>
      <c r="AC439" s="185" t="s">
        <v>384</v>
      </c>
      <c r="AD439" s="10" t="s">
        <v>330</v>
      </c>
      <c r="AE439" s="59" t="s">
        <v>291</v>
      </c>
      <c r="AF439" s="59" t="s">
        <v>314</v>
      </c>
      <c r="AG439" s="59"/>
      <c r="AH439" s="59"/>
      <c r="AI439" s="59"/>
      <c r="AJ439" s="59"/>
      <c r="AK439" s="59"/>
      <c r="BA439" s="185"/>
      <c r="BB439" s="185"/>
      <c r="CU439" s="185"/>
      <c r="CV439" s="185"/>
      <c r="DD439" s="185"/>
      <c r="DE439" s="185"/>
      <c r="DF439" s="185"/>
      <c r="DG439" s="185"/>
      <c r="DJ439" s="10" t="b">
        <v>1</v>
      </c>
      <c r="DP439" s="96"/>
      <c r="DR439" s="57" t="str">
        <f t="shared" si="14"/>
        <v/>
      </c>
      <c r="DU439" s="1" t="s">
        <v>280</v>
      </c>
      <c r="DV439" s="68"/>
      <c r="DY439" s="68"/>
      <c r="EA439" s="68"/>
      <c r="EB439" s="68"/>
      <c r="EC439" s="68"/>
      <c r="ED439" s="68"/>
    </row>
    <row r="440" spans="1:149" s="10" customFormat="1" ht="14.25" customHeight="1" x14ac:dyDescent="0.15">
      <c r="A440" s="185"/>
      <c r="B440" s="186"/>
      <c r="C440" s="40"/>
      <c r="D440" s="185"/>
      <c r="E440" s="185"/>
      <c r="F440" s="185"/>
      <c r="G440" s="185"/>
      <c r="H440" s="185"/>
      <c r="I440" s="185"/>
      <c r="J440" s="185"/>
      <c r="K440" s="185"/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  <c r="Z440" s="185"/>
      <c r="AA440" s="185"/>
      <c r="AB440" s="185">
        <v>17050506</v>
      </c>
      <c r="AC440" s="185" t="s">
        <v>385</v>
      </c>
      <c r="AE440" s="10" t="s">
        <v>291</v>
      </c>
      <c r="AF440" s="10" t="s">
        <v>314</v>
      </c>
      <c r="AJ440" s="10">
        <v>8</v>
      </c>
      <c r="AL440" s="68"/>
      <c r="AM440" s="68"/>
      <c r="AN440" s="68"/>
      <c r="AO440" s="68"/>
      <c r="AP440" s="68"/>
      <c r="AQ440" s="68"/>
      <c r="AR440" s="68"/>
      <c r="AU440" s="68"/>
      <c r="AV440" s="68"/>
      <c r="AW440" s="68"/>
      <c r="AX440" s="68"/>
      <c r="AY440" s="68"/>
      <c r="AZ440" s="68"/>
      <c r="BA440" s="203"/>
      <c r="BB440" s="185"/>
      <c r="CK440" s="58"/>
      <c r="CL440" s="58"/>
      <c r="CU440" s="185"/>
      <c r="CV440" s="185"/>
      <c r="CX440" s="89"/>
      <c r="DD440" s="210"/>
      <c r="DE440" s="185"/>
      <c r="DF440" s="210"/>
      <c r="DG440" s="210"/>
      <c r="DH440" s="93"/>
      <c r="DI440" s="93"/>
      <c r="DJ440" s="10" t="b">
        <v>1</v>
      </c>
      <c r="DP440" s="96"/>
      <c r="DQ440" s="105"/>
      <c r="DR440" s="57" t="str">
        <f t="shared" si="14"/>
        <v/>
      </c>
      <c r="DS440" s="105"/>
      <c r="DT440" s="106"/>
      <c r="DU440" s="1" t="s">
        <v>280</v>
      </c>
      <c r="DV440" s="68"/>
      <c r="DY440" s="68"/>
      <c r="DZ440" s="113"/>
      <c r="EA440" s="114"/>
      <c r="EB440" s="114"/>
      <c r="EC440" s="114"/>
      <c r="ED440" s="114"/>
    </row>
    <row r="441" spans="1:149" s="10" customFormat="1" ht="14.25" customHeight="1" x14ac:dyDescent="0.15">
      <c r="A441" s="185"/>
      <c r="B441" s="186"/>
      <c r="C441" s="40"/>
      <c r="D441" s="185"/>
      <c r="E441" s="185"/>
      <c r="F441" s="185"/>
      <c r="G441" s="185"/>
      <c r="H441" s="185"/>
      <c r="I441" s="185"/>
      <c r="J441" s="185"/>
      <c r="K441" s="185"/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  <c r="Z441" s="185"/>
      <c r="AA441" s="185"/>
      <c r="AB441" s="193">
        <v>17050507</v>
      </c>
      <c r="AC441" s="185" t="s">
        <v>386</v>
      </c>
      <c r="AD441" s="10" t="s">
        <v>330</v>
      </c>
      <c r="AE441" s="10" t="s">
        <v>291</v>
      </c>
      <c r="AF441" s="10" t="s">
        <v>314</v>
      </c>
      <c r="AJ441" s="59"/>
      <c r="AK441" s="59"/>
      <c r="BA441" s="185"/>
      <c r="BB441" s="185"/>
      <c r="CU441" s="185"/>
      <c r="CV441" s="185"/>
      <c r="DD441" s="185"/>
      <c r="DE441" s="185"/>
      <c r="DF441" s="185"/>
      <c r="DG441" s="185"/>
      <c r="DJ441" s="10" t="b">
        <v>1</v>
      </c>
      <c r="DP441" s="96"/>
      <c r="DR441" s="57" t="str">
        <f t="shared" si="14"/>
        <v/>
      </c>
      <c r="DU441" s="1" t="s">
        <v>280</v>
      </c>
      <c r="DV441" s="68"/>
      <c r="DY441" s="68"/>
      <c r="EA441" s="68"/>
      <c r="EB441" s="68"/>
      <c r="EC441" s="68"/>
      <c r="ED441" s="68"/>
    </row>
    <row r="442" spans="1:149" s="2" customFormat="1" ht="15" customHeight="1" x14ac:dyDescent="0.15">
      <c r="A442" s="282">
        <v>640110</v>
      </c>
      <c r="B442" s="283" t="s">
        <v>428</v>
      </c>
      <c r="C442" s="40" t="s">
        <v>429</v>
      </c>
      <c r="D442" s="282" t="s">
        <v>646</v>
      </c>
      <c r="E442" s="282"/>
      <c r="F442" s="282"/>
      <c r="G442" s="282"/>
      <c r="H442" s="282">
        <v>0</v>
      </c>
      <c r="I442" s="282"/>
      <c r="J442" s="282"/>
      <c r="K442" s="282"/>
      <c r="L442" s="282">
        <v>0</v>
      </c>
      <c r="M442" s="282"/>
      <c r="N442" s="282"/>
      <c r="O442" s="282"/>
      <c r="P442" s="282" t="s">
        <v>430</v>
      </c>
      <c r="Q442" s="282" t="s">
        <v>431</v>
      </c>
      <c r="R442" s="282"/>
      <c r="S442" s="282"/>
      <c r="T442" s="282"/>
      <c r="U442" s="282"/>
      <c r="V442" s="282"/>
      <c r="W442" s="282"/>
      <c r="X442" s="282">
        <v>1</v>
      </c>
      <c r="Y442" s="282">
        <v>0</v>
      </c>
      <c r="Z442" s="282">
        <v>0</v>
      </c>
      <c r="AA442" s="282"/>
      <c r="AB442" s="282">
        <v>10350104</v>
      </c>
      <c r="AC442" s="354" t="s">
        <v>432</v>
      </c>
      <c r="AD442" s="282"/>
      <c r="AE442" s="282" t="s">
        <v>291</v>
      </c>
      <c r="AF442" s="282" t="s">
        <v>394</v>
      </c>
      <c r="AG442" s="282"/>
      <c r="AH442" s="282"/>
      <c r="AI442" s="282"/>
      <c r="AJ442" s="282">
        <v>-1</v>
      </c>
      <c r="AK442" s="282"/>
      <c r="AL442" s="355"/>
      <c r="AM442" s="355"/>
      <c r="AN442" s="355"/>
      <c r="AO442" s="355"/>
      <c r="AP442" s="355"/>
      <c r="AQ442" s="355"/>
      <c r="AR442" s="355"/>
      <c r="AS442" s="282"/>
      <c r="AT442" s="282"/>
      <c r="AU442" s="355"/>
      <c r="AV442" s="355"/>
      <c r="AW442" s="355"/>
      <c r="AX442" s="355"/>
      <c r="AY442" s="355"/>
      <c r="AZ442" s="355"/>
      <c r="BA442" s="355"/>
      <c r="BB442" s="282"/>
      <c r="BC442" s="282"/>
      <c r="BD442" s="282"/>
      <c r="BE442" s="282"/>
      <c r="BF442" s="282"/>
      <c r="BG442" s="282"/>
      <c r="BH442" s="282"/>
      <c r="BI442" s="282"/>
      <c r="BJ442" s="282"/>
      <c r="BK442" s="282"/>
      <c r="BL442" s="282"/>
      <c r="BM442" s="282"/>
      <c r="BN442" s="282"/>
      <c r="BO442" s="282"/>
      <c r="BP442" s="282"/>
      <c r="BQ442" s="282"/>
      <c r="BR442" s="282"/>
      <c r="BS442" s="282"/>
      <c r="BT442" s="282"/>
      <c r="BU442" s="282"/>
      <c r="BV442" s="282"/>
      <c r="BW442" s="282"/>
      <c r="BX442" s="282"/>
      <c r="BY442" s="282"/>
      <c r="BZ442" s="282"/>
      <c r="CA442" s="282"/>
      <c r="CB442" s="282"/>
      <c r="CC442" s="282"/>
      <c r="CD442" s="282"/>
      <c r="CE442" s="282"/>
      <c r="CF442" s="282"/>
      <c r="CG442" s="282"/>
      <c r="CH442" s="282"/>
      <c r="CI442" s="282"/>
      <c r="CJ442" s="282"/>
      <c r="CK442" s="282"/>
      <c r="CL442" s="282"/>
      <c r="CM442" s="282"/>
      <c r="CN442" s="282"/>
      <c r="CO442" s="282"/>
      <c r="CP442" s="282"/>
      <c r="CQ442" s="282"/>
      <c r="CR442" s="282"/>
      <c r="CS442" s="282"/>
      <c r="CT442" s="282"/>
      <c r="CU442" s="282"/>
      <c r="CV442" s="282"/>
      <c r="CW442" s="282"/>
      <c r="CX442" s="282" t="s">
        <v>273</v>
      </c>
      <c r="CY442" s="282">
        <v>1</v>
      </c>
      <c r="CZ442" s="282">
        <v>1000</v>
      </c>
      <c r="DA442" s="282">
        <v>100</v>
      </c>
      <c r="DB442" s="282">
        <v>22018</v>
      </c>
      <c r="DC442" s="282" t="b">
        <v>1</v>
      </c>
      <c r="DD442" s="282" t="s">
        <v>274</v>
      </c>
      <c r="DE442" s="282" t="s">
        <v>433</v>
      </c>
      <c r="DF442" s="282" t="s">
        <v>276</v>
      </c>
      <c r="DG442" s="282" t="s">
        <v>418</v>
      </c>
      <c r="DH442" s="282">
        <v>1</v>
      </c>
      <c r="DI442" s="282" t="b">
        <v>0</v>
      </c>
      <c r="DJ442" s="10" t="b">
        <v>1</v>
      </c>
      <c r="DK442" s="354" t="s">
        <v>847</v>
      </c>
      <c r="DL442" s="282"/>
      <c r="DM442" s="282"/>
      <c r="DN442" s="282"/>
      <c r="DO442" s="282"/>
      <c r="DP442" s="96" t="s">
        <v>434</v>
      </c>
      <c r="DQ442" s="354" t="s">
        <v>848</v>
      </c>
      <c r="DR442" s="57" t="str">
        <f t="shared" si="14"/>
        <v/>
      </c>
      <c r="DS442" s="354" t="s">
        <v>849</v>
      </c>
      <c r="DT442" s="282"/>
      <c r="DU442" s="1" t="s">
        <v>280</v>
      </c>
      <c r="DV442" s="355"/>
      <c r="DW442" s="282"/>
      <c r="DX442" s="282"/>
      <c r="DY442" s="355"/>
      <c r="DZ442" s="282"/>
      <c r="EA442" s="355"/>
      <c r="EB442" s="355"/>
      <c r="EC442" s="355"/>
      <c r="ED442" s="355"/>
      <c r="EE442" s="282"/>
      <c r="EF442" s="282"/>
      <c r="EG442" s="282"/>
      <c r="EH442" s="282"/>
      <c r="EI442" s="282"/>
      <c r="EJ442" s="282"/>
      <c r="EK442" s="282"/>
      <c r="EL442" s="282"/>
      <c r="EM442" s="282"/>
      <c r="EN442" s="282"/>
      <c r="EO442" s="282"/>
      <c r="EP442" s="282"/>
      <c r="EQ442" s="282"/>
      <c r="ER442" s="282"/>
      <c r="ES442" s="282"/>
    </row>
    <row r="443" spans="1:149" s="2" customFormat="1" ht="15" customHeight="1" x14ac:dyDescent="0.15">
      <c r="A443" s="282"/>
      <c r="B443" s="283"/>
      <c r="C443" s="40"/>
      <c r="D443" s="282"/>
      <c r="E443" s="282"/>
      <c r="F443" s="282"/>
      <c r="G443" s="282"/>
      <c r="H443" s="282"/>
      <c r="I443" s="282"/>
      <c r="J443" s="282"/>
      <c r="K443" s="282"/>
      <c r="L443" s="282"/>
      <c r="M443" s="282"/>
      <c r="N443" s="282"/>
      <c r="O443" s="282"/>
      <c r="P443" s="282"/>
      <c r="Q443" s="282"/>
      <c r="R443" s="282"/>
      <c r="S443" s="282"/>
      <c r="T443" s="282"/>
      <c r="U443" s="282"/>
      <c r="V443" s="282"/>
      <c r="W443" s="282"/>
      <c r="X443" s="282"/>
      <c r="Y443" s="282"/>
      <c r="Z443" s="282"/>
      <c r="AA443" s="282"/>
      <c r="AB443" s="282">
        <v>10350104</v>
      </c>
      <c r="AC443" s="354" t="s">
        <v>432</v>
      </c>
      <c r="AD443" s="282"/>
      <c r="AE443" s="282" t="s">
        <v>291</v>
      </c>
      <c r="AF443" s="282" t="s">
        <v>314</v>
      </c>
      <c r="AG443" s="282"/>
      <c r="AH443" s="282"/>
      <c r="AI443" s="282"/>
      <c r="AJ443" s="282">
        <v>-1</v>
      </c>
      <c r="AK443" s="282"/>
      <c r="AL443" s="355"/>
      <c r="AM443" s="355"/>
      <c r="AN443" s="355"/>
      <c r="AO443" s="355"/>
      <c r="AP443" s="355"/>
      <c r="AQ443" s="355"/>
      <c r="AR443" s="355"/>
      <c r="AS443" s="282"/>
      <c r="AT443" s="282"/>
      <c r="AU443" s="355"/>
      <c r="AV443" s="355"/>
      <c r="AW443" s="355"/>
      <c r="AX443" s="355"/>
      <c r="AY443" s="355"/>
      <c r="AZ443" s="355"/>
      <c r="BA443" s="355"/>
      <c r="BB443" s="282"/>
      <c r="BC443" s="282"/>
      <c r="BD443" s="282"/>
      <c r="BE443" s="282"/>
      <c r="BF443" s="282"/>
      <c r="BG443" s="282"/>
      <c r="BH443" s="282"/>
      <c r="BI443" s="282"/>
      <c r="BJ443" s="282"/>
      <c r="BK443" s="282"/>
      <c r="BL443" s="282"/>
      <c r="BM443" s="282"/>
      <c r="BN443" s="282"/>
      <c r="BO443" s="282"/>
      <c r="BP443" s="282"/>
      <c r="BQ443" s="282"/>
      <c r="BR443" s="282"/>
      <c r="BS443" s="282"/>
      <c r="BT443" s="282"/>
      <c r="BU443" s="282"/>
      <c r="BV443" s="282"/>
      <c r="BW443" s="282"/>
      <c r="BX443" s="282"/>
      <c r="BY443" s="282"/>
      <c r="BZ443" s="282"/>
      <c r="CA443" s="282"/>
      <c r="CB443" s="282"/>
      <c r="CC443" s="282"/>
      <c r="CD443" s="282"/>
      <c r="CE443" s="282"/>
      <c r="CF443" s="282"/>
      <c r="CG443" s="282"/>
      <c r="CH443" s="282"/>
      <c r="CI443" s="282"/>
      <c r="CJ443" s="282"/>
      <c r="CK443" s="282"/>
      <c r="CL443" s="282"/>
      <c r="CM443" s="282"/>
      <c r="CN443" s="282"/>
      <c r="CO443" s="282"/>
      <c r="CP443" s="282"/>
      <c r="CQ443" s="282"/>
      <c r="CR443" s="282"/>
      <c r="CS443" s="282"/>
      <c r="CT443" s="282"/>
      <c r="CU443" s="282"/>
      <c r="CV443" s="282"/>
      <c r="CW443" s="282"/>
      <c r="CX443" s="282"/>
      <c r="CY443" s="282"/>
      <c r="CZ443" s="282"/>
      <c r="DA443" s="282"/>
      <c r="DB443" s="282"/>
      <c r="DC443" s="282"/>
      <c r="DD443" s="282"/>
      <c r="DE443" s="282"/>
      <c r="DF443" s="282"/>
      <c r="DG443" s="282"/>
      <c r="DH443" s="282"/>
      <c r="DI443" s="282"/>
      <c r="DJ443" s="10" t="b">
        <v>1</v>
      </c>
      <c r="DK443" s="282"/>
      <c r="DL443" s="282"/>
      <c r="DM443" s="282"/>
      <c r="DN443" s="282"/>
      <c r="DO443" s="282"/>
      <c r="DP443" s="96"/>
      <c r="DQ443" s="354"/>
      <c r="DR443" s="57" t="str">
        <f t="shared" si="14"/>
        <v/>
      </c>
      <c r="DS443" s="354"/>
      <c r="DT443" s="282"/>
      <c r="DU443" s="1" t="s">
        <v>280</v>
      </c>
      <c r="DV443" s="355"/>
      <c r="DW443" s="282"/>
      <c r="DX443" s="282"/>
      <c r="DY443" s="355"/>
      <c r="DZ443" s="282"/>
      <c r="EA443" s="355"/>
      <c r="EB443" s="355"/>
      <c r="EC443" s="355"/>
      <c r="ED443" s="355"/>
      <c r="EE443" s="282"/>
      <c r="EF443" s="282"/>
      <c r="EG443" s="282"/>
      <c r="EH443" s="282"/>
      <c r="EI443" s="282"/>
      <c r="EJ443" s="282"/>
      <c r="EK443" s="282"/>
      <c r="EL443" s="282"/>
      <c r="EM443" s="282"/>
      <c r="EN443" s="282"/>
      <c r="EO443" s="282"/>
      <c r="EP443" s="282"/>
      <c r="EQ443" s="282"/>
      <c r="ER443" s="282"/>
      <c r="ES443" s="282"/>
    </row>
    <row r="444" spans="1:149" s="2" customFormat="1" ht="15" customHeight="1" x14ac:dyDescent="0.15">
      <c r="A444" s="282"/>
      <c r="B444" s="283"/>
      <c r="C444" s="40"/>
      <c r="D444" s="282"/>
      <c r="E444" s="282"/>
      <c r="F444" s="282"/>
      <c r="G444" s="282"/>
      <c r="H444" s="282"/>
      <c r="I444" s="282"/>
      <c r="J444" s="282"/>
      <c r="K444" s="282"/>
      <c r="L444" s="282"/>
      <c r="M444" s="282"/>
      <c r="N444" s="282"/>
      <c r="O444" s="282"/>
      <c r="P444" s="282"/>
      <c r="Q444" s="282"/>
      <c r="R444" s="282"/>
      <c r="S444" s="282"/>
      <c r="T444" s="282"/>
      <c r="U444" s="282"/>
      <c r="V444" s="282"/>
      <c r="W444" s="282"/>
      <c r="X444" s="282"/>
      <c r="Y444" s="282"/>
      <c r="Z444" s="282"/>
      <c r="AA444" s="282"/>
      <c r="AB444" s="282">
        <v>10350104</v>
      </c>
      <c r="AC444" s="354" t="s">
        <v>432</v>
      </c>
      <c r="AD444" s="282"/>
      <c r="AE444" s="282" t="s">
        <v>291</v>
      </c>
      <c r="AF444" s="282" t="s">
        <v>437</v>
      </c>
      <c r="AG444" s="282"/>
      <c r="AH444" s="282"/>
      <c r="AI444" s="282"/>
      <c r="AJ444" s="282">
        <v>-1</v>
      </c>
      <c r="AK444" s="282"/>
      <c r="AL444" s="355"/>
      <c r="AM444" s="355"/>
      <c r="AN444" s="355"/>
      <c r="AO444" s="355"/>
      <c r="AP444" s="355"/>
      <c r="AQ444" s="355"/>
      <c r="AR444" s="355"/>
      <c r="AS444" s="282"/>
      <c r="AT444" s="282"/>
      <c r="AU444" s="355"/>
      <c r="AV444" s="355"/>
      <c r="AW444" s="355"/>
      <c r="AX444" s="355"/>
      <c r="AY444" s="355"/>
      <c r="AZ444" s="355"/>
      <c r="BA444" s="355"/>
      <c r="BB444" s="282"/>
      <c r="BC444" s="282"/>
      <c r="BD444" s="282"/>
      <c r="BE444" s="282"/>
      <c r="BF444" s="282"/>
      <c r="BG444" s="282"/>
      <c r="BH444" s="282"/>
      <c r="BI444" s="282"/>
      <c r="BJ444" s="282"/>
      <c r="BK444" s="282"/>
      <c r="BL444" s="282"/>
      <c r="BM444" s="282"/>
      <c r="BN444" s="282"/>
      <c r="BO444" s="282"/>
      <c r="BP444" s="282"/>
      <c r="BQ444" s="282"/>
      <c r="BR444" s="282"/>
      <c r="BS444" s="282"/>
      <c r="BT444" s="282"/>
      <c r="BU444" s="282"/>
      <c r="BV444" s="282"/>
      <c r="BW444" s="282"/>
      <c r="BX444" s="282"/>
      <c r="BY444" s="282"/>
      <c r="BZ444" s="282"/>
      <c r="CA444" s="282"/>
      <c r="CB444" s="282"/>
      <c r="CC444" s="282"/>
      <c r="CD444" s="282"/>
      <c r="CE444" s="282"/>
      <c r="CF444" s="282"/>
      <c r="CG444" s="282"/>
      <c r="CH444" s="282"/>
      <c r="CI444" s="282"/>
      <c r="CJ444" s="282"/>
      <c r="CK444" s="282"/>
      <c r="CL444" s="282"/>
      <c r="CM444" s="282"/>
      <c r="CN444" s="282"/>
      <c r="CO444" s="282"/>
      <c r="CP444" s="282"/>
      <c r="CQ444" s="282"/>
      <c r="CR444" s="282"/>
      <c r="CS444" s="282"/>
      <c r="CT444" s="282"/>
      <c r="CU444" s="282"/>
      <c r="CV444" s="282"/>
      <c r="CW444" s="282"/>
      <c r="CX444" s="282"/>
      <c r="CY444" s="282"/>
      <c r="CZ444" s="282"/>
      <c r="DA444" s="282"/>
      <c r="DB444" s="282"/>
      <c r="DC444" s="282"/>
      <c r="DD444" s="282"/>
      <c r="DE444" s="282"/>
      <c r="DF444" s="282"/>
      <c r="DG444" s="282"/>
      <c r="DH444" s="282"/>
      <c r="DI444" s="282"/>
      <c r="DJ444" s="10" t="b">
        <v>1</v>
      </c>
      <c r="DK444" s="282"/>
      <c r="DL444" s="282"/>
      <c r="DM444" s="282"/>
      <c r="DN444" s="282"/>
      <c r="DO444" s="282"/>
      <c r="DP444" s="96"/>
      <c r="DQ444" s="354"/>
      <c r="DR444" s="57" t="str">
        <f t="shared" si="14"/>
        <v/>
      </c>
      <c r="DS444" s="282"/>
      <c r="DT444" s="282"/>
      <c r="DU444" s="1" t="s">
        <v>280</v>
      </c>
      <c r="DV444" s="355"/>
      <c r="DW444" s="282"/>
      <c r="DX444" s="282"/>
      <c r="DY444" s="355"/>
      <c r="DZ444" s="282"/>
      <c r="EA444" s="355"/>
      <c r="EB444" s="355"/>
      <c r="EC444" s="355"/>
      <c r="ED444" s="355"/>
      <c r="EE444" s="282"/>
      <c r="EF444" s="282"/>
      <c r="EG444" s="282"/>
      <c r="EH444" s="282"/>
      <c r="EI444" s="282"/>
      <c r="EJ444" s="282"/>
      <c r="EK444" s="282"/>
      <c r="EL444" s="282"/>
      <c r="EM444" s="282"/>
      <c r="EN444" s="282"/>
      <c r="EO444" s="282"/>
      <c r="EP444" s="282"/>
      <c r="EQ444" s="282"/>
      <c r="ER444" s="282"/>
      <c r="ES444" s="282"/>
    </row>
    <row r="445" spans="1:149" s="21" customFormat="1" ht="54" customHeight="1" x14ac:dyDescent="0.15">
      <c r="A445" s="185">
        <v>660101</v>
      </c>
      <c r="B445" s="186" t="s">
        <v>850</v>
      </c>
      <c r="C445" s="40" t="s">
        <v>851</v>
      </c>
      <c r="D445" s="185" t="s">
        <v>852</v>
      </c>
      <c r="E445" s="185"/>
      <c r="F445" s="185"/>
      <c r="G445" s="185"/>
      <c r="H445" s="185">
        <v>0</v>
      </c>
      <c r="I445" s="185"/>
      <c r="J445" s="185"/>
      <c r="K445" s="185"/>
      <c r="L445" s="185">
        <v>0</v>
      </c>
      <c r="M445" s="185"/>
      <c r="N445" s="185"/>
      <c r="O445" s="185"/>
      <c r="P445" s="185" t="s">
        <v>268</v>
      </c>
      <c r="Q445" s="185" t="s">
        <v>269</v>
      </c>
      <c r="R445" s="185"/>
      <c r="S445" s="185"/>
      <c r="T445" s="185"/>
      <c r="U445" s="185"/>
      <c r="V445" s="185"/>
      <c r="W445" s="185"/>
      <c r="X445" s="185">
        <v>1</v>
      </c>
      <c r="Y445" s="185">
        <v>0</v>
      </c>
      <c r="Z445" s="185">
        <v>0</v>
      </c>
      <c r="AA445" s="185"/>
      <c r="AB445" s="185">
        <v>3001</v>
      </c>
      <c r="AC445" s="193" t="s">
        <v>337</v>
      </c>
      <c r="AD445" s="185"/>
      <c r="AE445" s="10" t="s">
        <v>129</v>
      </c>
      <c r="AF445" s="10" t="s">
        <v>314</v>
      </c>
      <c r="AG445" s="185"/>
      <c r="AH445" s="185"/>
      <c r="AI445" s="185"/>
      <c r="AJ445" s="185"/>
      <c r="AK445" s="185"/>
      <c r="AL445" s="203"/>
      <c r="AM445" s="203"/>
      <c r="AN445" s="203"/>
      <c r="AO445" s="203"/>
      <c r="AP445" s="203"/>
      <c r="AQ445" s="203"/>
      <c r="AR445" s="203"/>
      <c r="AS445" s="185"/>
      <c r="AT445" s="185"/>
      <c r="AU445" s="203"/>
      <c r="AV445" s="203"/>
      <c r="AW445" s="203"/>
      <c r="AX445" s="203"/>
      <c r="AY445" s="203"/>
      <c r="AZ445" s="203"/>
      <c r="BA445" s="203" t="s">
        <v>270</v>
      </c>
      <c r="BB445" s="357">
        <v>65</v>
      </c>
      <c r="BC445" s="185"/>
      <c r="BD445" s="185"/>
      <c r="BE445" s="185"/>
      <c r="BF445" s="185"/>
      <c r="BG445" s="185"/>
      <c r="BH445" s="185"/>
      <c r="BI445" s="185"/>
      <c r="BJ445" s="185"/>
      <c r="BK445" s="185"/>
      <c r="BL445" s="185"/>
      <c r="BM445" s="185"/>
      <c r="BN445" s="185"/>
      <c r="BO445" s="185"/>
      <c r="BP445" s="185"/>
      <c r="BQ445" s="185"/>
      <c r="BR445" s="185"/>
      <c r="BS445" s="185"/>
      <c r="BT445" s="185"/>
      <c r="BU445" s="185"/>
      <c r="BV445" s="185"/>
      <c r="BW445" s="185"/>
      <c r="BX445" s="185"/>
      <c r="BY445" s="185"/>
      <c r="BZ445" s="185"/>
      <c r="CA445" s="185"/>
      <c r="CB445" s="185"/>
      <c r="CC445" s="185"/>
      <c r="CD445" s="185"/>
      <c r="CE445" s="185"/>
      <c r="CF445" s="185" t="s">
        <v>271</v>
      </c>
      <c r="CG445" s="185"/>
      <c r="CH445" s="185"/>
      <c r="CI445" s="185"/>
      <c r="CJ445" s="185" t="s">
        <v>1</v>
      </c>
      <c r="CK445" s="359" t="s">
        <v>464</v>
      </c>
      <c r="CL445" s="359"/>
      <c r="CM445" s="22">
        <v>999</v>
      </c>
      <c r="CN445" s="185">
        <v>0</v>
      </c>
      <c r="CO445" s="185">
        <v>0</v>
      </c>
      <c r="CP445" s="185">
        <v>0</v>
      </c>
      <c r="CQ445" s="185">
        <v>0</v>
      </c>
      <c r="CR445" s="185"/>
      <c r="CS445" s="185">
        <v>20</v>
      </c>
      <c r="CT445" s="185">
        <v>10</v>
      </c>
      <c r="CU445" s="185">
        <v>24</v>
      </c>
      <c r="CV445" s="16" t="s">
        <v>853</v>
      </c>
      <c r="CW445" s="185" t="b">
        <v>1</v>
      </c>
      <c r="CX445" s="185" t="s">
        <v>273</v>
      </c>
      <c r="CY445" s="185"/>
      <c r="CZ445" s="185"/>
      <c r="DA445" s="185"/>
      <c r="DB445" s="185">
        <v>170501</v>
      </c>
      <c r="DC445" s="185" t="b">
        <v>1</v>
      </c>
      <c r="DD445" s="185" t="s">
        <v>274</v>
      </c>
      <c r="DE445" s="185" t="s">
        <v>666</v>
      </c>
      <c r="DF445" s="185" t="s">
        <v>276</v>
      </c>
      <c r="DG445" s="185" t="s">
        <v>322</v>
      </c>
      <c r="DH445" s="185">
        <v>4</v>
      </c>
      <c r="DI445" s="185" t="b">
        <v>0</v>
      </c>
      <c r="DJ445" s="22" t="b">
        <v>1</v>
      </c>
      <c r="DK445" s="185"/>
      <c r="DL445" s="185"/>
      <c r="DM445" s="185"/>
      <c r="DN445" s="23"/>
      <c r="DO445" s="23"/>
      <c r="DP445" s="363" t="s">
        <v>475</v>
      </c>
      <c r="DQ445" s="193" t="s">
        <v>854</v>
      </c>
      <c r="DR445" s="57" t="e">
        <f t="shared" si="14"/>
        <v>#VALUE!</v>
      </c>
      <c r="DS445" s="193" t="s">
        <v>837</v>
      </c>
      <c r="DT445" s="185"/>
      <c r="DU445" s="1" t="s">
        <v>280</v>
      </c>
      <c r="DV445" s="203"/>
      <c r="DW445" s="185"/>
      <c r="DX445" s="185"/>
      <c r="DY445" s="23"/>
      <c r="DZ445" s="185">
        <v>1</v>
      </c>
      <c r="EA445" s="364">
        <v>-1</v>
      </c>
      <c r="EB445" s="364">
        <v>4.1666666666666699E-2</v>
      </c>
      <c r="EC445" s="364">
        <v>8.3333333333333301E-2</v>
      </c>
      <c r="ED445" s="364">
        <v>8.3333333333333301E-2</v>
      </c>
      <c r="EE445" s="185" t="s">
        <v>284</v>
      </c>
      <c r="EF445" s="185" t="s">
        <v>326</v>
      </c>
      <c r="EG445" s="185" t="e">
        <v>#VALUE!</v>
      </c>
      <c r="EH445" s="185" t="s">
        <v>285</v>
      </c>
      <c r="EI445" s="185" t="s">
        <v>327</v>
      </c>
      <c r="EJ445" s="185" t="e">
        <v>#VALUE!</v>
      </c>
      <c r="EK445" s="185" t="s">
        <v>286</v>
      </c>
      <c r="EL445" s="185" t="s">
        <v>328</v>
      </c>
      <c r="EM445" s="185" t="e">
        <v>#VALUE!</v>
      </c>
      <c r="EN445" s="185" t="s">
        <v>287</v>
      </c>
      <c r="EO445" s="185" t="s">
        <v>328</v>
      </c>
      <c r="EP445" s="185" t="e">
        <v>#VALUE!</v>
      </c>
      <c r="EQ445" s="185"/>
      <c r="ER445" s="185"/>
      <c r="ES445" s="185"/>
    </row>
    <row r="446" spans="1:149" s="21" customFormat="1" ht="14.25" customHeight="1" x14ac:dyDescent="0.15">
      <c r="A446" s="185"/>
      <c r="B446" s="186"/>
      <c r="C446" s="40"/>
      <c r="D446" s="185"/>
      <c r="E446" s="185"/>
      <c r="F446" s="185"/>
      <c r="G446" s="185"/>
      <c r="H446" s="185"/>
      <c r="I446" s="185"/>
      <c r="J446" s="185"/>
      <c r="K446" s="185"/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  <c r="Z446" s="185"/>
      <c r="AA446" s="185"/>
      <c r="AB446" s="192">
        <v>66010101</v>
      </c>
      <c r="AC446" s="192" t="s">
        <v>855</v>
      </c>
      <c r="AD446" s="185"/>
      <c r="AE446" s="10" t="s">
        <v>129</v>
      </c>
      <c r="AF446" s="10" t="s">
        <v>314</v>
      </c>
      <c r="AG446" s="185"/>
      <c r="AH446" s="185"/>
      <c r="AI446" s="185"/>
      <c r="AJ446" s="185">
        <v>6</v>
      </c>
      <c r="AK446" s="185"/>
      <c r="AL446" s="203"/>
      <c r="AM446" s="203"/>
      <c r="AN446" s="203"/>
      <c r="AO446" s="203"/>
      <c r="AP446" s="203"/>
      <c r="AQ446" s="203"/>
      <c r="AR446" s="203"/>
      <c r="AS446" s="185"/>
      <c r="AT446" s="185"/>
      <c r="AU446" s="203"/>
      <c r="AV446" s="203"/>
      <c r="AW446" s="203"/>
      <c r="AX446" s="203"/>
      <c r="AY446" s="203"/>
      <c r="AZ446" s="203"/>
      <c r="BA446" s="203" t="s">
        <v>331</v>
      </c>
      <c r="BB446" s="358">
        <v>0.23</v>
      </c>
      <c r="BC446" s="185"/>
      <c r="BD446" s="185"/>
      <c r="BE446" s="185"/>
      <c r="BF446" s="185"/>
      <c r="BG446" s="185"/>
      <c r="BH446" s="185"/>
      <c r="BI446" s="185"/>
      <c r="BJ446" s="185"/>
      <c r="BK446" s="185"/>
      <c r="BL446" s="185"/>
      <c r="BM446" s="185"/>
      <c r="BN446" s="185"/>
      <c r="BO446" s="185"/>
      <c r="BP446" s="185"/>
      <c r="BQ446" s="185"/>
      <c r="BR446" s="185"/>
      <c r="BS446" s="185"/>
      <c r="BT446" s="185"/>
      <c r="BU446" s="185"/>
      <c r="BV446" s="185"/>
      <c r="BW446" s="185"/>
      <c r="BX446" s="185"/>
      <c r="BY446" s="185"/>
      <c r="BZ446" s="185"/>
      <c r="CA446" s="185"/>
      <c r="CB446" s="185"/>
      <c r="CC446" s="185"/>
      <c r="CD446" s="185"/>
      <c r="CE446" s="185"/>
      <c r="CF446" s="185"/>
      <c r="CG446" s="185"/>
      <c r="CH446" s="185"/>
      <c r="CI446" s="185"/>
      <c r="CJ446" s="185"/>
      <c r="CK446" s="359"/>
      <c r="CL446" s="359"/>
      <c r="CM446" s="22"/>
      <c r="CN446" s="185"/>
      <c r="CO446" s="185"/>
      <c r="CP446" s="185"/>
      <c r="CQ446" s="185"/>
      <c r="CR446" s="185"/>
      <c r="CS446" s="185"/>
      <c r="CT446" s="185"/>
      <c r="CU446" s="185"/>
      <c r="CV446" s="185"/>
      <c r="CW446" s="185"/>
      <c r="CX446" s="185"/>
      <c r="CY446" s="185"/>
      <c r="CZ446" s="185"/>
      <c r="DA446" s="185"/>
      <c r="DB446" s="185"/>
      <c r="DC446" s="185"/>
      <c r="DD446" s="185"/>
      <c r="DE446" s="185"/>
      <c r="DF446" s="185"/>
      <c r="DG446" s="185"/>
      <c r="DH446" s="185"/>
      <c r="DI446" s="185"/>
      <c r="DJ446" s="22"/>
      <c r="DK446" s="185"/>
      <c r="DL446" s="185"/>
      <c r="DM446" s="185"/>
      <c r="DN446" s="23"/>
      <c r="DO446" s="23"/>
      <c r="DP446" s="363"/>
      <c r="DQ446" s="193"/>
      <c r="DR446" s="57" t="str">
        <f t="shared" si="14"/>
        <v/>
      </c>
      <c r="DS446" s="193"/>
      <c r="DT446" s="185"/>
      <c r="DU446" s="1" t="s">
        <v>280</v>
      </c>
      <c r="DV446" s="203"/>
      <c r="DW446" s="185"/>
      <c r="DX446" s="185"/>
      <c r="DY446" s="23"/>
      <c r="DZ446" s="185"/>
      <c r="EA446" s="364"/>
      <c r="EB446" s="364"/>
      <c r="EC446" s="364"/>
      <c r="ED446" s="364"/>
      <c r="EE446" s="185"/>
      <c r="EF446" s="185"/>
      <c r="EG446" s="185"/>
      <c r="EH446" s="185"/>
      <c r="EI446" s="185"/>
      <c r="EJ446" s="185"/>
      <c r="EK446" s="185"/>
      <c r="EL446" s="185"/>
      <c r="EM446" s="185"/>
      <c r="EN446" s="185"/>
      <c r="EO446" s="185"/>
      <c r="EP446" s="185"/>
      <c r="EQ446" s="185"/>
      <c r="ER446" s="185"/>
      <c r="ES446" s="185"/>
    </row>
    <row r="447" spans="1:149" s="21" customFormat="1" ht="14.25" customHeight="1" x14ac:dyDescent="0.15">
      <c r="A447" s="185"/>
      <c r="B447" s="186"/>
      <c r="C447" s="40"/>
      <c r="D447" s="185"/>
      <c r="E447" s="185"/>
      <c r="F447" s="185"/>
      <c r="G447" s="185"/>
      <c r="H447" s="185"/>
      <c r="I447" s="185"/>
      <c r="J447" s="185"/>
      <c r="K447" s="185"/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  <c r="Z447" s="185"/>
      <c r="AA447" s="185"/>
      <c r="AB447" s="192">
        <v>66010102</v>
      </c>
      <c r="AC447" s="192" t="s">
        <v>856</v>
      </c>
      <c r="AD447" s="185" t="s">
        <v>330</v>
      </c>
      <c r="AE447" s="185" t="s">
        <v>291</v>
      </c>
      <c r="AF447" s="185" t="s">
        <v>314</v>
      </c>
      <c r="AG447" s="185"/>
      <c r="AH447" s="185"/>
      <c r="AI447" s="185"/>
      <c r="AJ447" s="185"/>
      <c r="AK447" s="185"/>
      <c r="AL447" s="203"/>
      <c r="AM447" s="203"/>
      <c r="AN447" s="203"/>
      <c r="AO447" s="203"/>
      <c r="AP447" s="203"/>
      <c r="AQ447" s="203"/>
      <c r="AR447" s="203"/>
      <c r="AS447" s="185"/>
      <c r="AT447" s="185"/>
      <c r="AU447" s="203"/>
      <c r="AV447" s="203"/>
      <c r="AW447" s="203"/>
      <c r="AX447" s="203"/>
      <c r="AY447" s="203"/>
      <c r="AZ447" s="203"/>
      <c r="BA447" s="203" t="s">
        <v>331</v>
      </c>
      <c r="BB447" s="358">
        <v>0.23</v>
      </c>
      <c r="BC447" s="185"/>
      <c r="BD447" s="185"/>
      <c r="BE447" s="185"/>
      <c r="BF447" s="185"/>
      <c r="BG447" s="185"/>
      <c r="BH447" s="185"/>
      <c r="BI447" s="185"/>
      <c r="BJ447" s="185"/>
      <c r="BK447" s="185"/>
      <c r="BL447" s="185"/>
      <c r="BM447" s="185"/>
      <c r="BN447" s="185"/>
      <c r="BO447" s="185"/>
      <c r="BP447" s="185"/>
      <c r="BQ447" s="185"/>
      <c r="BR447" s="185"/>
      <c r="BS447" s="185"/>
      <c r="BT447" s="185"/>
      <c r="BU447" s="185"/>
      <c r="BV447" s="185"/>
      <c r="BW447" s="185"/>
      <c r="BX447" s="185"/>
      <c r="BY447" s="185"/>
      <c r="BZ447" s="185"/>
      <c r="CA447" s="185"/>
      <c r="CB447" s="185"/>
      <c r="CC447" s="185"/>
      <c r="CD447" s="185"/>
      <c r="CE447" s="185"/>
      <c r="CF447" s="185"/>
      <c r="CG447" s="185"/>
      <c r="CH447" s="185"/>
      <c r="CI447" s="185"/>
      <c r="CJ447" s="185"/>
      <c r="CK447" s="360"/>
      <c r="CL447" s="360"/>
      <c r="CM447" s="185"/>
      <c r="CN447" s="185"/>
      <c r="CO447" s="185"/>
      <c r="CP447" s="185"/>
      <c r="CQ447" s="185"/>
      <c r="CR447" s="185"/>
      <c r="CS447" s="185"/>
      <c r="CT447" s="185"/>
      <c r="CU447" s="185"/>
      <c r="CV447" s="185"/>
      <c r="CW447" s="185"/>
      <c r="CX447" s="361"/>
      <c r="CY447" s="185"/>
      <c r="CZ447" s="185"/>
      <c r="DA447" s="185"/>
      <c r="DB447" s="185"/>
      <c r="DC447" s="185"/>
      <c r="DD447" s="185"/>
      <c r="DE447" s="185"/>
      <c r="DF447" s="185"/>
      <c r="DG447" s="185"/>
      <c r="DH447" s="185"/>
      <c r="DI447" s="361"/>
      <c r="DJ447" s="22" t="b">
        <v>1</v>
      </c>
      <c r="DK447" s="185"/>
      <c r="DL447" s="185"/>
      <c r="DM447" s="185"/>
      <c r="DN447" s="185"/>
      <c r="DO447" s="185"/>
      <c r="DP447" s="363"/>
      <c r="DQ447" s="193"/>
      <c r="DR447" s="57" t="str">
        <f t="shared" si="14"/>
        <v/>
      </c>
      <c r="DS447" s="193"/>
      <c r="DT447" s="185"/>
      <c r="DU447" s="1" t="s">
        <v>280</v>
      </c>
      <c r="DV447" s="203"/>
      <c r="DW447" s="185"/>
      <c r="DX447" s="185"/>
      <c r="DY447" s="203"/>
      <c r="DZ447" s="175"/>
      <c r="EA447" s="176"/>
      <c r="EB447" s="176"/>
      <c r="EC447" s="176"/>
      <c r="ED447" s="176"/>
      <c r="EE447" s="185"/>
      <c r="EF447" s="185"/>
      <c r="EG447" s="185"/>
      <c r="EH447" s="185"/>
      <c r="EI447" s="185"/>
      <c r="EJ447" s="185"/>
      <c r="EK447" s="185"/>
      <c r="EL447" s="185"/>
      <c r="EM447" s="185"/>
      <c r="EN447" s="185"/>
      <c r="EO447" s="185"/>
      <c r="EP447" s="185"/>
      <c r="EQ447" s="185"/>
      <c r="ER447" s="185"/>
      <c r="ES447" s="185"/>
    </row>
    <row r="448" spans="1:149" s="21" customFormat="1" ht="14.25" customHeight="1" x14ac:dyDescent="0.15">
      <c r="A448" s="185"/>
      <c r="B448" s="186"/>
      <c r="C448" s="40"/>
      <c r="D448" s="185"/>
      <c r="E448" s="185"/>
      <c r="F448" s="185"/>
      <c r="G448" s="185"/>
      <c r="H448" s="185"/>
      <c r="I448" s="185"/>
      <c r="J448" s="185"/>
      <c r="K448" s="185"/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  <c r="Z448" s="185"/>
      <c r="AA448" s="185"/>
      <c r="AB448" s="192">
        <v>66010103</v>
      </c>
      <c r="AC448" s="192" t="s">
        <v>857</v>
      </c>
      <c r="AD448" s="185" t="s">
        <v>333</v>
      </c>
      <c r="AE448" s="185" t="s">
        <v>291</v>
      </c>
      <c r="AF448" s="185" t="s">
        <v>314</v>
      </c>
      <c r="AG448" s="185"/>
      <c r="AH448" s="185"/>
      <c r="AI448" s="185"/>
      <c r="AJ448" s="185">
        <v>-1</v>
      </c>
      <c r="AK448" s="185"/>
      <c r="AL448" s="203"/>
      <c r="AM448" s="356"/>
      <c r="AN448" s="356"/>
      <c r="AO448" s="356"/>
      <c r="AP448" s="356"/>
      <c r="AQ448" s="356"/>
      <c r="AR448" s="356"/>
      <c r="AS448" s="185"/>
      <c r="AT448" s="185"/>
      <c r="AU448" s="203"/>
      <c r="AV448" s="203"/>
      <c r="AW448" s="203"/>
      <c r="AX448" s="203"/>
      <c r="AY448" s="203"/>
      <c r="AZ448" s="203"/>
      <c r="BA448" s="203"/>
      <c r="BB448" s="357"/>
      <c r="BC448" s="185"/>
      <c r="BD448" s="185"/>
      <c r="BE448" s="185"/>
      <c r="BF448" s="185"/>
      <c r="BG448" s="185"/>
      <c r="BH448" s="185"/>
      <c r="BI448" s="185"/>
      <c r="BJ448" s="185"/>
      <c r="BK448" s="185"/>
      <c r="BL448" s="185"/>
      <c r="BM448" s="185"/>
      <c r="BN448" s="185"/>
      <c r="BO448" s="185"/>
      <c r="BP448" s="185"/>
      <c r="BQ448" s="185"/>
      <c r="BR448" s="185"/>
      <c r="BS448" s="185"/>
      <c r="BT448" s="185"/>
      <c r="BU448" s="185"/>
      <c r="BV448" s="185"/>
      <c r="BW448" s="185"/>
      <c r="BX448" s="185"/>
      <c r="BY448" s="185"/>
      <c r="BZ448" s="185"/>
      <c r="CA448" s="185"/>
      <c r="CB448" s="185"/>
      <c r="CC448" s="185"/>
      <c r="CD448" s="185"/>
      <c r="CE448" s="185"/>
      <c r="CF448" s="185"/>
      <c r="CG448" s="185"/>
      <c r="CH448" s="185"/>
      <c r="CI448" s="185"/>
      <c r="CJ448" s="185"/>
      <c r="CK448" s="360"/>
      <c r="CL448" s="360"/>
      <c r="CM448" s="185"/>
      <c r="CN448" s="185"/>
      <c r="CO448" s="185"/>
      <c r="CP448" s="185"/>
      <c r="CQ448" s="185"/>
      <c r="CR448" s="185"/>
      <c r="CS448" s="185"/>
      <c r="CT448" s="185"/>
      <c r="CU448" s="185"/>
      <c r="CV448" s="185"/>
      <c r="CW448" s="185"/>
      <c r="CX448" s="185"/>
      <c r="CY448" s="185"/>
      <c r="CZ448" s="185"/>
      <c r="DA448" s="185"/>
      <c r="DB448" s="185"/>
      <c r="DC448" s="185"/>
      <c r="DD448" s="185"/>
      <c r="DE448" s="185"/>
      <c r="DF448" s="185"/>
      <c r="DG448" s="185"/>
      <c r="DH448" s="185"/>
      <c r="DI448" s="185"/>
      <c r="DJ448" s="22" t="b">
        <v>1</v>
      </c>
      <c r="DK448" s="185"/>
      <c r="DL448" s="185"/>
      <c r="DM448" s="185"/>
      <c r="DN448" s="185"/>
      <c r="DO448" s="185"/>
      <c r="DP448" s="363"/>
      <c r="DQ448" s="193"/>
      <c r="DR448" s="57" t="str">
        <f t="shared" si="14"/>
        <v/>
      </c>
      <c r="DS448" s="193"/>
      <c r="DT448" s="185"/>
      <c r="DU448" s="1" t="s">
        <v>280</v>
      </c>
      <c r="DV448" s="203"/>
      <c r="DW448" s="185"/>
      <c r="DX448" s="185"/>
      <c r="DY448" s="203"/>
      <c r="DZ448" s="185"/>
      <c r="EA448" s="185"/>
      <c r="EB448" s="185"/>
      <c r="EC448" s="185"/>
      <c r="ED448" s="185"/>
      <c r="EE448" s="185"/>
      <c r="EF448" s="185"/>
      <c r="EG448" s="185"/>
      <c r="EH448" s="185"/>
      <c r="EI448" s="185"/>
      <c r="EJ448" s="185"/>
      <c r="EK448" s="185"/>
      <c r="EL448" s="185"/>
      <c r="EM448" s="185"/>
      <c r="EN448" s="185"/>
      <c r="EO448" s="185"/>
      <c r="EP448" s="185"/>
      <c r="EQ448" s="185"/>
      <c r="ER448" s="185"/>
      <c r="ES448" s="185"/>
    </row>
    <row r="449" spans="1:149" s="22" customFormat="1" ht="45.95" customHeight="1" x14ac:dyDescent="0.15">
      <c r="A449" s="185">
        <v>660201</v>
      </c>
      <c r="B449" s="186" t="s">
        <v>858</v>
      </c>
      <c r="C449" s="40" t="s">
        <v>859</v>
      </c>
      <c r="D449" s="185" t="s">
        <v>860</v>
      </c>
      <c r="E449" s="185"/>
      <c r="F449" s="185"/>
      <c r="G449" s="185"/>
      <c r="H449" s="185">
        <v>0</v>
      </c>
      <c r="I449" s="185"/>
      <c r="J449" s="185"/>
      <c r="K449" s="185"/>
      <c r="L449" s="185">
        <v>0</v>
      </c>
      <c r="M449" s="185"/>
      <c r="N449" s="185"/>
      <c r="O449" s="185"/>
      <c r="P449" s="185" t="s">
        <v>268</v>
      </c>
      <c r="Q449" s="185" t="s">
        <v>269</v>
      </c>
      <c r="R449" s="185"/>
      <c r="S449" s="185"/>
      <c r="T449" s="185"/>
      <c r="U449" s="185"/>
      <c r="V449" s="185"/>
      <c r="W449" s="185"/>
      <c r="X449" s="185">
        <v>1</v>
      </c>
      <c r="Y449" s="185">
        <v>0</v>
      </c>
      <c r="Z449" s="185">
        <v>0</v>
      </c>
      <c r="AA449" s="185"/>
      <c r="AB449" s="185">
        <v>3002</v>
      </c>
      <c r="AC449" s="185" t="s">
        <v>297</v>
      </c>
      <c r="AD449" s="22" t="s">
        <v>330</v>
      </c>
      <c r="AE449" s="10" t="s">
        <v>129</v>
      </c>
      <c r="AF449" s="10" t="s">
        <v>314</v>
      </c>
      <c r="AG449" s="59"/>
      <c r="AH449" s="59"/>
      <c r="AI449" s="59"/>
      <c r="AJ449" s="59"/>
      <c r="AK449" s="59"/>
      <c r="BA449" s="185" t="s">
        <v>270</v>
      </c>
      <c r="BB449" s="357">
        <v>75</v>
      </c>
      <c r="BC449" s="22">
        <v>0</v>
      </c>
      <c r="BF449" s="22">
        <v>0</v>
      </c>
      <c r="BG449" s="22">
        <v>0</v>
      </c>
      <c r="BH449" s="22">
        <v>0</v>
      </c>
      <c r="BJ449" s="22" t="s">
        <v>270</v>
      </c>
      <c r="BS449" s="22" t="s">
        <v>270</v>
      </c>
      <c r="CF449" s="22" t="s">
        <v>378</v>
      </c>
      <c r="CJ449" s="22" t="s">
        <v>1</v>
      </c>
      <c r="CK449" s="368" t="s">
        <v>804</v>
      </c>
      <c r="CL449" s="368"/>
      <c r="CM449" s="22">
        <v>999</v>
      </c>
      <c r="CN449" s="22">
        <v>0</v>
      </c>
      <c r="CO449" s="22">
        <v>0</v>
      </c>
      <c r="CP449" s="22">
        <v>0</v>
      </c>
      <c r="CQ449" s="22">
        <v>0</v>
      </c>
      <c r="CS449" s="22">
        <v>5</v>
      </c>
      <c r="CU449" s="185">
        <v>20</v>
      </c>
      <c r="CV449" s="16" t="s">
        <v>861</v>
      </c>
      <c r="CW449" s="22" t="b">
        <v>0</v>
      </c>
      <c r="CX449" s="22" t="s">
        <v>273</v>
      </c>
      <c r="DB449" s="22">
        <v>102401</v>
      </c>
      <c r="DC449" s="22" t="b">
        <v>1</v>
      </c>
      <c r="DD449" s="185" t="s">
        <v>274</v>
      </c>
      <c r="DE449" s="185" t="s">
        <v>862</v>
      </c>
      <c r="DF449" s="185" t="s">
        <v>276</v>
      </c>
      <c r="DG449" s="185" t="s">
        <v>293</v>
      </c>
      <c r="DH449" s="22">
        <v>4</v>
      </c>
      <c r="DI449" s="22" t="b">
        <v>0</v>
      </c>
      <c r="DJ449" s="22" t="b">
        <v>1</v>
      </c>
      <c r="DP449" s="363" t="s">
        <v>473</v>
      </c>
      <c r="DQ449" s="22" t="s">
        <v>863</v>
      </c>
      <c r="DR449" s="57" t="e">
        <f t="shared" si="14"/>
        <v>#VALUE!</v>
      </c>
      <c r="DS449" s="22" t="s">
        <v>843</v>
      </c>
      <c r="DU449" s="1" t="s">
        <v>280</v>
      </c>
      <c r="DV449" s="365"/>
      <c r="DZ449" s="22">
        <v>1</v>
      </c>
      <c r="EA449" s="377">
        <v>-1</v>
      </c>
      <c r="EB449" s="377">
        <v>4.1666666666666699E-2</v>
      </c>
      <c r="EC449" s="377">
        <v>8.3333333333333301E-2</v>
      </c>
      <c r="ED449" s="377">
        <v>8.3333333333333301E-2</v>
      </c>
      <c r="EE449" s="22" t="s">
        <v>284</v>
      </c>
      <c r="EF449" s="22" t="s">
        <v>326</v>
      </c>
      <c r="EG449" s="22" t="e">
        <v>#VALUE!</v>
      </c>
      <c r="EH449" s="22" t="s">
        <v>285</v>
      </c>
      <c r="EI449" s="22" t="s">
        <v>344</v>
      </c>
      <c r="EJ449" s="22" t="e">
        <v>#VALUE!</v>
      </c>
      <c r="EK449" s="22" t="s">
        <v>286</v>
      </c>
      <c r="EL449" s="22" t="s">
        <v>328</v>
      </c>
      <c r="EM449" s="22" t="e">
        <v>#VALUE!</v>
      </c>
      <c r="EN449" s="22" t="s">
        <v>287</v>
      </c>
      <c r="EO449" s="22" t="s">
        <v>328</v>
      </c>
      <c r="EP449" s="22" t="e">
        <v>#VALUE!</v>
      </c>
    </row>
    <row r="450" spans="1:149" s="22" customFormat="1" ht="14.25" customHeight="1" x14ac:dyDescent="0.15">
      <c r="A450" s="185"/>
      <c r="B450" s="186"/>
      <c r="C450" s="40"/>
      <c r="D450" s="185"/>
      <c r="E450" s="185"/>
      <c r="F450" s="185"/>
      <c r="G450" s="185"/>
      <c r="H450" s="185"/>
      <c r="I450" s="185"/>
      <c r="J450" s="185"/>
      <c r="K450" s="185"/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  <c r="Z450" s="185"/>
      <c r="AA450" s="185"/>
      <c r="AB450" s="192">
        <v>66010204</v>
      </c>
      <c r="AC450" s="17" t="s">
        <v>864</v>
      </c>
      <c r="AD450" s="22" t="s">
        <v>330</v>
      </c>
      <c r="AE450" s="10" t="s">
        <v>129</v>
      </c>
      <c r="AF450" s="10" t="s">
        <v>314</v>
      </c>
      <c r="AG450" s="59"/>
      <c r="AH450" s="59"/>
      <c r="AI450" s="59"/>
      <c r="AJ450" s="59">
        <v>6</v>
      </c>
      <c r="AK450" s="59"/>
      <c r="BA450" s="185"/>
      <c r="BB450" s="357"/>
      <c r="CK450" s="368"/>
      <c r="CL450" s="368"/>
      <c r="CU450" s="185"/>
      <c r="CV450" s="185"/>
      <c r="DD450" s="185"/>
      <c r="DE450" s="185"/>
      <c r="DF450" s="185"/>
      <c r="DG450" s="185"/>
      <c r="DP450" s="363"/>
      <c r="DR450" s="57" t="str">
        <f t="shared" si="14"/>
        <v/>
      </c>
      <c r="DU450" s="1" t="s">
        <v>280</v>
      </c>
      <c r="DV450" s="365"/>
      <c r="EA450" s="377"/>
      <c r="EB450" s="377"/>
      <c r="EC450" s="377"/>
      <c r="ED450" s="377"/>
    </row>
    <row r="451" spans="1:149" s="22" customFormat="1" ht="14.25" customHeight="1" x14ac:dyDescent="0.15">
      <c r="A451" s="185"/>
      <c r="B451" s="186"/>
      <c r="C451" s="40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5"/>
      <c r="O451" s="185"/>
      <c r="P451" s="185"/>
      <c r="Q451" s="185"/>
      <c r="R451" s="185"/>
      <c r="S451" s="185"/>
      <c r="T451" s="185"/>
      <c r="U451" s="185"/>
      <c r="V451" s="185"/>
      <c r="W451" s="185"/>
      <c r="X451" s="185"/>
      <c r="Y451" s="185"/>
      <c r="Z451" s="185"/>
      <c r="AA451" s="185"/>
      <c r="AB451" s="192">
        <v>66010201</v>
      </c>
      <c r="AC451" s="192" t="s">
        <v>865</v>
      </c>
      <c r="AD451" s="22" t="s">
        <v>330</v>
      </c>
      <c r="AE451" s="59" t="s">
        <v>291</v>
      </c>
      <c r="AF451" s="59" t="s">
        <v>314</v>
      </c>
      <c r="AG451" s="59"/>
      <c r="AH451" s="59"/>
      <c r="AI451" s="59"/>
      <c r="AJ451" s="59"/>
      <c r="AK451" s="59"/>
      <c r="BA451" s="185"/>
      <c r="BB451" s="357"/>
      <c r="CK451" s="369"/>
      <c r="CL451" s="369"/>
      <c r="CU451" s="185"/>
      <c r="CV451" s="185"/>
      <c r="DD451" s="185"/>
      <c r="DE451" s="185"/>
      <c r="DF451" s="185"/>
      <c r="DG451" s="185"/>
      <c r="DJ451" s="22" t="b">
        <v>1</v>
      </c>
      <c r="DP451" s="363"/>
      <c r="DR451" s="57" t="str">
        <f t="shared" si="14"/>
        <v/>
      </c>
      <c r="DU451" s="1" t="s">
        <v>280</v>
      </c>
      <c r="DV451" s="365"/>
      <c r="DY451" s="365"/>
    </row>
    <row r="452" spans="1:149" s="22" customFormat="1" ht="14.25" customHeight="1" x14ac:dyDescent="0.15">
      <c r="A452" s="185"/>
      <c r="B452" s="186"/>
      <c r="C452" s="40"/>
      <c r="D452" s="185"/>
      <c r="E452" s="185"/>
      <c r="F452" s="185"/>
      <c r="G452" s="185"/>
      <c r="H452" s="185"/>
      <c r="I452" s="185"/>
      <c r="J452" s="185"/>
      <c r="K452" s="185"/>
      <c r="L452" s="185"/>
      <c r="M452" s="185"/>
      <c r="N452" s="185"/>
      <c r="O452" s="185"/>
      <c r="P452" s="185"/>
      <c r="Q452" s="185"/>
      <c r="R452" s="185"/>
      <c r="S452" s="185"/>
      <c r="T452" s="185"/>
      <c r="U452" s="185"/>
      <c r="V452" s="185"/>
      <c r="W452" s="185"/>
      <c r="X452" s="185"/>
      <c r="Y452" s="185"/>
      <c r="Z452" s="185"/>
      <c r="AA452" s="185"/>
      <c r="AB452" s="192">
        <v>66010202</v>
      </c>
      <c r="AC452" s="192" t="s">
        <v>866</v>
      </c>
      <c r="AE452" s="22" t="s">
        <v>291</v>
      </c>
      <c r="AF452" s="22" t="s">
        <v>314</v>
      </c>
      <c r="AJ452" s="22">
        <v>8</v>
      </c>
      <c r="AL452" s="365"/>
      <c r="AM452" s="365"/>
      <c r="AN452" s="365"/>
      <c r="AO452" s="365"/>
      <c r="AP452" s="365"/>
      <c r="AQ452" s="365"/>
      <c r="AR452" s="365"/>
      <c r="AU452" s="365"/>
      <c r="AV452" s="365"/>
      <c r="AW452" s="365"/>
      <c r="AX452" s="365"/>
      <c r="AY452" s="365"/>
      <c r="AZ452" s="365"/>
      <c r="BA452" s="203"/>
      <c r="BB452" s="357"/>
      <c r="CK452" s="368"/>
      <c r="CL452" s="368"/>
      <c r="CU452" s="185"/>
      <c r="CV452" s="185"/>
      <c r="CX452" s="374"/>
      <c r="DD452" s="210"/>
      <c r="DE452" s="185"/>
      <c r="DF452" s="210"/>
      <c r="DG452" s="210"/>
      <c r="DH452" s="375"/>
      <c r="DI452" s="375"/>
      <c r="DJ452" s="22" t="b">
        <v>1</v>
      </c>
      <c r="DP452" s="363"/>
      <c r="DQ452" s="376"/>
      <c r="DR452" s="57" t="str">
        <f t="shared" si="14"/>
        <v/>
      </c>
      <c r="DS452" s="376"/>
      <c r="DT452" s="106"/>
      <c r="DU452" s="1" t="s">
        <v>280</v>
      </c>
      <c r="DV452" s="365"/>
      <c r="DY452" s="365"/>
      <c r="DZ452" s="113"/>
      <c r="EA452" s="114"/>
      <c r="EB452" s="114"/>
      <c r="EC452" s="114"/>
      <c r="ED452" s="114"/>
    </row>
    <row r="453" spans="1:149" s="22" customFormat="1" ht="14.25" customHeight="1" x14ac:dyDescent="0.15">
      <c r="A453" s="185"/>
      <c r="B453" s="186"/>
      <c r="C453" s="40"/>
      <c r="D453" s="185"/>
      <c r="E453" s="185"/>
      <c r="F453" s="185"/>
      <c r="G453" s="185"/>
      <c r="H453" s="185"/>
      <c r="I453" s="185"/>
      <c r="J453" s="185"/>
      <c r="K453" s="185"/>
      <c r="L453" s="185"/>
      <c r="M453" s="185"/>
      <c r="N453" s="185"/>
      <c r="O453" s="185"/>
      <c r="P453" s="185"/>
      <c r="Q453" s="185"/>
      <c r="R453" s="185"/>
      <c r="S453" s="185"/>
      <c r="T453" s="185"/>
      <c r="U453" s="185"/>
      <c r="V453" s="185"/>
      <c r="W453" s="185"/>
      <c r="X453" s="185"/>
      <c r="Y453" s="185"/>
      <c r="Z453" s="185"/>
      <c r="AA453" s="185"/>
      <c r="AB453" s="192">
        <v>66010203</v>
      </c>
      <c r="AC453" s="192" t="s">
        <v>867</v>
      </c>
      <c r="AD453" s="22" t="s">
        <v>330</v>
      </c>
      <c r="AE453" s="22" t="s">
        <v>291</v>
      </c>
      <c r="AF453" s="22" t="s">
        <v>314</v>
      </c>
      <c r="AJ453" s="59"/>
      <c r="AK453" s="59"/>
      <c r="BA453" s="185"/>
      <c r="BB453" s="357"/>
      <c r="CK453" s="369"/>
      <c r="CL453" s="369"/>
      <c r="CU453" s="185"/>
      <c r="CV453" s="185"/>
      <c r="DD453" s="185"/>
      <c r="DE453" s="185"/>
      <c r="DF453" s="185"/>
      <c r="DG453" s="185"/>
      <c r="DJ453" s="22" t="b">
        <v>1</v>
      </c>
      <c r="DP453" s="363"/>
      <c r="DR453" s="57" t="str">
        <f t="shared" si="14"/>
        <v/>
      </c>
      <c r="DU453" s="1" t="s">
        <v>280</v>
      </c>
      <c r="DV453" s="365"/>
      <c r="DY453" s="365"/>
    </row>
    <row r="454" spans="1:149" s="21" customFormat="1" ht="58.5" customHeight="1" x14ac:dyDescent="0.15">
      <c r="A454" s="185">
        <v>660301</v>
      </c>
      <c r="B454" s="186" t="s">
        <v>868</v>
      </c>
      <c r="C454" s="40" t="s">
        <v>869</v>
      </c>
      <c r="D454" s="185" t="s">
        <v>870</v>
      </c>
      <c r="E454" s="185"/>
      <c r="F454" s="185"/>
      <c r="G454" s="185"/>
      <c r="H454" s="185">
        <v>0</v>
      </c>
      <c r="I454" s="185"/>
      <c r="J454" s="185"/>
      <c r="K454" s="185"/>
      <c r="L454" s="185">
        <v>0</v>
      </c>
      <c r="M454" s="185"/>
      <c r="N454" s="185"/>
      <c r="O454" s="185"/>
      <c r="P454" s="185" t="s">
        <v>268</v>
      </c>
      <c r="Q454" s="185" t="s">
        <v>269</v>
      </c>
      <c r="R454" s="185"/>
      <c r="S454" s="185"/>
      <c r="T454" s="185"/>
      <c r="U454" s="185"/>
      <c r="V454" s="185"/>
      <c r="W454" s="185"/>
      <c r="X454" s="185">
        <v>1</v>
      </c>
      <c r="Y454" s="185">
        <v>0</v>
      </c>
      <c r="Z454" s="185">
        <v>0</v>
      </c>
      <c r="AA454" s="185"/>
      <c r="AB454" s="185">
        <v>3001</v>
      </c>
      <c r="AC454" s="193" t="s">
        <v>337</v>
      </c>
      <c r="AD454" s="185"/>
      <c r="AE454" s="10" t="s">
        <v>129</v>
      </c>
      <c r="AF454" s="10" t="s">
        <v>314</v>
      </c>
      <c r="AG454" s="185"/>
      <c r="AH454" s="185"/>
      <c r="AI454" s="185"/>
      <c r="AJ454" s="185"/>
      <c r="AK454" s="185"/>
      <c r="AL454" s="203"/>
      <c r="AM454" s="203"/>
      <c r="AN454" s="203"/>
      <c r="AO454" s="203"/>
      <c r="AP454" s="203"/>
      <c r="AQ454" s="203"/>
      <c r="AR454" s="203"/>
      <c r="AS454" s="185"/>
      <c r="AT454" s="185"/>
      <c r="AU454" s="203"/>
      <c r="AV454" s="203"/>
      <c r="AW454" s="203"/>
      <c r="AX454" s="203"/>
      <c r="AY454" s="203"/>
      <c r="AZ454" s="203"/>
      <c r="BA454" s="203" t="s">
        <v>270</v>
      </c>
      <c r="BB454" s="357">
        <v>65</v>
      </c>
      <c r="BC454" s="185"/>
      <c r="BD454" s="185"/>
      <c r="BE454" s="185"/>
      <c r="BF454" s="185"/>
      <c r="BG454" s="185"/>
      <c r="BH454" s="185"/>
      <c r="BI454" s="185"/>
      <c r="BJ454" s="185"/>
      <c r="BK454" s="185"/>
      <c r="BL454" s="185"/>
      <c r="BM454" s="185"/>
      <c r="BN454" s="185"/>
      <c r="BO454" s="185"/>
      <c r="BP454" s="185"/>
      <c r="BQ454" s="185"/>
      <c r="BR454" s="185"/>
      <c r="BS454" s="185"/>
      <c r="BT454" s="185"/>
      <c r="BU454" s="185"/>
      <c r="BV454" s="185"/>
      <c r="BW454" s="185"/>
      <c r="BX454" s="185"/>
      <c r="BY454" s="185"/>
      <c r="BZ454" s="185"/>
      <c r="CA454" s="185"/>
      <c r="CB454" s="185"/>
      <c r="CC454" s="185"/>
      <c r="CD454" s="185"/>
      <c r="CE454" s="185"/>
      <c r="CF454" s="185" t="s">
        <v>271</v>
      </c>
      <c r="CG454" s="185"/>
      <c r="CH454" s="185"/>
      <c r="CI454" s="185"/>
      <c r="CJ454" s="185" t="s">
        <v>1</v>
      </c>
      <c r="CK454" s="359" t="s">
        <v>464</v>
      </c>
      <c r="CL454" s="359"/>
      <c r="CM454" s="22">
        <v>999</v>
      </c>
      <c r="CN454" s="185">
        <v>0</v>
      </c>
      <c r="CO454" s="185">
        <v>0</v>
      </c>
      <c r="CP454" s="185">
        <v>0</v>
      </c>
      <c r="CQ454" s="185">
        <v>0</v>
      </c>
      <c r="CR454" s="185"/>
      <c r="CS454" s="185">
        <v>20</v>
      </c>
      <c r="CT454" s="185">
        <v>10</v>
      </c>
      <c r="CU454" s="185">
        <v>24</v>
      </c>
      <c r="CV454" s="16" t="s">
        <v>871</v>
      </c>
      <c r="CW454" s="185" t="b">
        <v>1</v>
      </c>
      <c r="CX454" s="185" t="s">
        <v>273</v>
      </c>
      <c r="CY454" s="185"/>
      <c r="CZ454" s="185"/>
      <c r="DA454" s="185"/>
      <c r="DB454" s="185">
        <v>170501</v>
      </c>
      <c r="DC454" s="185" t="b">
        <v>1</v>
      </c>
      <c r="DD454" s="185" t="s">
        <v>274</v>
      </c>
      <c r="DE454" s="185" t="s">
        <v>872</v>
      </c>
      <c r="DF454" s="185" t="s">
        <v>276</v>
      </c>
      <c r="DG454" s="185" t="s">
        <v>322</v>
      </c>
      <c r="DH454" s="185">
        <v>4</v>
      </c>
      <c r="DI454" s="185" t="b">
        <v>0</v>
      </c>
      <c r="DJ454" s="22" t="b">
        <v>1</v>
      </c>
      <c r="DK454" s="185"/>
      <c r="DL454" s="185"/>
      <c r="DM454" s="185"/>
      <c r="DN454" s="23"/>
      <c r="DO454" s="23"/>
      <c r="DP454" s="363" t="s">
        <v>475</v>
      </c>
      <c r="DQ454" s="193" t="s">
        <v>854</v>
      </c>
      <c r="DR454" s="57" t="e">
        <f t="shared" si="14"/>
        <v>#VALUE!</v>
      </c>
      <c r="DS454" s="193" t="s">
        <v>837</v>
      </c>
      <c r="DT454" s="185"/>
      <c r="DU454" s="1" t="s">
        <v>280</v>
      </c>
      <c r="DV454" s="203"/>
      <c r="DW454" s="185"/>
      <c r="DX454" s="185"/>
      <c r="DY454" s="23"/>
      <c r="DZ454" s="185">
        <v>1</v>
      </c>
      <c r="EA454" s="364">
        <v>-1</v>
      </c>
      <c r="EB454" s="364">
        <v>4.1666666666666699E-2</v>
      </c>
      <c r="EC454" s="364">
        <v>8.3333333333333301E-2</v>
      </c>
      <c r="ED454" s="364">
        <v>8.3333333333333301E-2</v>
      </c>
      <c r="EE454" s="185" t="s">
        <v>284</v>
      </c>
      <c r="EF454" s="185" t="s">
        <v>326</v>
      </c>
      <c r="EG454" s="185" t="e">
        <v>#VALUE!</v>
      </c>
      <c r="EH454" s="185" t="s">
        <v>285</v>
      </c>
      <c r="EI454" s="185" t="s">
        <v>327</v>
      </c>
      <c r="EJ454" s="185" t="e">
        <v>#VALUE!</v>
      </c>
      <c r="EK454" s="185" t="s">
        <v>286</v>
      </c>
      <c r="EL454" s="185" t="s">
        <v>328</v>
      </c>
      <c r="EM454" s="185" t="e">
        <v>#VALUE!</v>
      </c>
      <c r="EN454" s="185" t="s">
        <v>287</v>
      </c>
      <c r="EO454" s="185" t="s">
        <v>328</v>
      </c>
      <c r="EP454" s="185" t="e">
        <v>#VALUE!</v>
      </c>
      <c r="EQ454" s="185"/>
      <c r="ER454" s="185"/>
      <c r="ES454" s="185"/>
    </row>
    <row r="455" spans="1:149" s="21" customFormat="1" ht="14.25" customHeight="1" x14ac:dyDescent="0.15">
      <c r="A455" s="185"/>
      <c r="B455" s="186"/>
      <c r="C455" s="40"/>
      <c r="D455" s="185"/>
      <c r="E455" s="185"/>
      <c r="F455" s="185"/>
      <c r="G455" s="185"/>
      <c r="H455" s="185"/>
      <c r="I455" s="185"/>
      <c r="J455" s="185"/>
      <c r="K455" s="185"/>
      <c r="L455" s="185"/>
      <c r="M455" s="185"/>
      <c r="N455" s="185"/>
      <c r="O455" s="185"/>
      <c r="P455" s="185"/>
      <c r="Q455" s="185"/>
      <c r="R455" s="185"/>
      <c r="S455" s="185"/>
      <c r="T455" s="185"/>
      <c r="U455" s="185"/>
      <c r="V455" s="185"/>
      <c r="W455" s="185"/>
      <c r="X455" s="185"/>
      <c r="Y455" s="185"/>
      <c r="Z455" s="185"/>
      <c r="AA455" s="185"/>
      <c r="AB455" s="17">
        <v>66010301</v>
      </c>
      <c r="AC455" s="17" t="s">
        <v>873</v>
      </c>
      <c r="AD455" s="185"/>
      <c r="AE455" s="10" t="s">
        <v>129</v>
      </c>
      <c r="AF455" s="10" t="s">
        <v>314</v>
      </c>
      <c r="AG455" s="185"/>
      <c r="AH455" s="185"/>
      <c r="AI455" s="185"/>
      <c r="AJ455" s="185">
        <v>6</v>
      </c>
      <c r="AK455" s="185"/>
      <c r="AL455" s="203"/>
      <c r="AM455" s="203"/>
      <c r="AN455" s="203"/>
      <c r="AO455" s="203"/>
      <c r="AP455" s="203"/>
      <c r="AQ455" s="203"/>
      <c r="AR455" s="203"/>
      <c r="AS455" s="185"/>
      <c r="AT455" s="185"/>
      <c r="AU455" s="203"/>
      <c r="AV455" s="203"/>
      <c r="AW455" s="203"/>
      <c r="AX455" s="203"/>
      <c r="AY455" s="203"/>
      <c r="AZ455" s="203"/>
      <c r="BA455" s="203"/>
      <c r="BB455" s="358"/>
      <c r="BC455" s="185"/>
      <c r="BD455" s="185"/>
      <c r="BE455" s="185"/>
      <c r="BF455" s="185"/>
      <c r="BG455" s="185"/>
      <c r="BH455" s="185"/>
      <c r="BI455" s="185"/>
      <c r="BJ455" s="185"/>
      <c r="BK455" s="185"/>
      <c r="BL455" s="185"/>
      <c r="BM455" s="185"/>
      <c r="BN455" s="185"/>
      <c r="BO455" s="185"/>
      <c r="BP455" s="185"/>
      <c r="BQ455" s="185"/>
      <c r="BR455" s="185"/>
      <c r="BS455" s="185"/>
      <c r="BT455" s="185"/>
      <c r="BU455" s="185"/>
      <c r="BV455" s="185"/>
      <c r="BW455" s="185"/>
      <c r="BX455" s="185"/>
      <c r="BY455" s="185"/>
      <c r="BZ455" s="185"/>
      <c r="CA455" s="185"/>
      <c r="CB455" s="185"/>
      <c r="CC455" s="185"/>
      <c r="CD455" s="185"/>
      <c r="CE455" s="185"/>
      <c r="CF455" s="185"/>
      <c r="CG455" s="185"/>
      <c r="CH455" s="185"/>
      <c r="CI455" s="185"/>
      <c r="CJ455" s="185"/>
      <c r="CK455" s="359"/>
      <c r="CL455" s="359"/>
      <c r="CM455" s="22"/>
      <c r="CN455" s="185"/>
      <c r="CO455" s="185"/>
      <c r="CP455" s="185"/>
      <c r="CQ455" s="185"/>
      <c r="CR455" s="185"/>
      <c r="CS455" s="185"/>
      <c r="CT455" s="185"/>
      <c r="CU455" s="185"/>
      <c r="CV455" s="185"/>
      <c r="CW455" s="185"/>
      <c r="CX455" s="185"/>
      <c r="CY455" s="185"/>
      <c r="CZ455" s="185"/>
      <c r="DA455" s="185"/>
      <c r="DB455" s="185"/>
      <c r="DC455" s="185"/>
      <c r="DD455" s="185"/>
      <c r="DE455" s="185"/>
      <c r="DF455" s="185"/>
      <c r="DG455" s="185"/>
      <c r="DH455" s="185"/>
      <c r="DI455" s="185"/>
      <c r="DJ455" s="22"/>
      <c r="DK455" s="185"/>
      <c r="DL455" s="185"/>
      <c r="DM455" s="185"/>
      <c r="DN455" s="23"/>
      <c r="DO455" s="23"/>
      <c r="DP455" s="363"/>
      <c r="DQ455" s="193"/>
      <c r="DR455" s="57" t="str">
        <f t="shared" si="14"/>
        <v/>
      </c>
      <c r="DS455" s="193"/>
      <c r="DT455" s="185"/>
      <c r="DU455" s="1" t="s">
        <v>280</v>
      </c>
      <c r="DV455" s="203"/>
      <c r="DW455" s="185"/>
      <c r="DX455" s="185"/>
      <c r="DY455" s="23"/>
      <c r="DZ455" s="185"/>
      <c r="EA455" s="364"/>
      <c r="EB455" s="364"/>
      <c r="EC455" s="364"/>
      <c r="ED455" s="364"/>
      <c r="EE455" s="185"/>
      <c r="EF455" s="185"/>
      <c r="EG455" s="185"/>
      <c r="EH455" s="185"/>
      <c r="EI455" s="185"/>
      <c r="EJ455" s="185"/>
      <c r="EK455" s="185"/>
      <c r="EL455" s="185"/>
      <c r="EM455" s="185"/>
      <c r="EN455" s="185"/>
      <c r="EO455" s="185"/>
      <c r="EP455" s="185"/>
      <c r="EQ455" s="185"/>
      <c r="ER455" s="185"/>
      <c r="ES455" s="185"/>
    </row>
    <row r="456" spans="1:149" s="21" customFormat="1" ht="14.25" customHeight="1" x14ac:dyDescent="0.15">
      <c r="A456" s="185"/>
      <c r="B456" s="186"/>
      <c r="C456" s="40"/>
      <c r="D456" s="185"/>
      <c r="E456" s="185"/>
      <c r="F456" s="185"/>
      <c r="G456" s="185"/>
      <c r="H456" s="185"/>
      <c r="I456" s="185"/>
      <c r="J456" s="185"/>
      <c r="K456" s="185"/>
      <c r="L456" s="185"/>
      <c r="M456" s="185"/>
      <c r="N456" s="185"/>
      <c r="O456" s="185"/>
      <c r="P456" s="185"/>
      <c r="Q456" s="185"/>
      <c r="R456" s="185"/>
      <c r="S456" s="185"/>
      <c r="T456" s="185"/>
      <c r="U456" s="185"/>
      <c r="V456" s="185"/>
      <c r="W456" s="185"/>
      <c r="X456" s="185"/>
      <c r="Y456" s="185"/>
      <c r="Z456" s="185"/>
      <c r="AA456" s="185"/>
      <c r="AB456" s="192">
        <v>66010102</v>
      </c>
      <c r="AC456" s="192" t="s">
        <v>856</v>
      </c>
      <c r="AD456" s="185" t="s">
        <v>330</v>
      </c>
      <c r="AE456" s="185" t="s">
        <v>291</v>
      </c>
      <c r="AF456" s="185" t="s">
        <v>314</v>
      </c>
      <c r="AG456" s="185"/>
      <c r="AH456" s="185"/>
      <c r="AI456" s="185"/>
      <c r="AJ456" s="185"/>
      <c r="AK456" s="185"/>
      <c r="AL456" s="203"/>
      <c r="AM456" s="203"/>
      <c r="AN456" s="203"/>
      <c r="AO456" s="203"/>
      <c r="AP456" s="203"/>
      <c r="AQ456" s="203"/>
      <c r="AR456" s="203"/>
      <c r="AS456" s="185"/>
      <c r="AT456" s="185"/>
      <c r="AU456" s="203"/>
      <c r="AV456" s="203"/>
      <c r="AW456" s="203"/>
      <c r="AX456" s="203"/>
      <c r="AY456" s="203"/>
      <c r="AZ456" s="203"/>
      <c r="BA456" s="203" t="s">
        <v>331</v>
      </c>
      <c r="BB456" s="358">
        <v>0.23</v>
      </c>
      <c r="BC456" s="185"/>
      <c r="BD456" s="185"/>
      <c r="BE456" s="185"/>
      <c r="BF456" s="185"/>
      <c r="BG456" s="185"/>
      <c r="BH456" s="185"/>
      <c r="BI456" s="185"/>
      <c r="BJ456" s="185"/>
      <c r="BK456" s="185"/>
      <c r="BL456" s="185"/>
      <c r="BM456" s="185"/>
      <c r="BN456" s="185"/>
      <c r="BO456" s="185"/>
      <c r="BP456" s="185"/>
      <c r="BQ456" s="185"/>
      <c r="BR456" s="185"/>
      <c r="BS456" s="185"/>
      <c r="BT456" s="185"/>
      <c r="BU456" s="185"/>
      <c r="BV456" s="185"/>
      <c r="BW456" s="185"/>
      <c r="BX456" s="185"/>
      <c r="BY456" s="185"/>
      <c r="BZ456" s="185"/>
      <c r="CA456" s="185"/>
      <c r="CB456" s="185"/>
      <c r="CC456" s="185"/>
      <c r="CD456" s="185"/>
      <c r="CE456" s="185"/>
      <c r="CF456" s="185"/>
      <c r="CG456" s="185"/>
      <c r="CH456" s="185"/>
      <c r="CI456" s="185"/>
      <c r="CJ456" s="185"/>
      <c r="CK456" s="360"/>
      <c r="CL456" s="360"/>
      <c r="CM456" s="185"/>
      <c r="CN456" s="185"/>
      <c r="CO456" s="185"/>
      <c r="CP456" s="185"/>
      <c r="CQ456" s="185"/>
      <c r="CR456" s="185"/>
      <c r="CS456" s="185"/>
      <c r="CT456" s="185"/>
      <c r="CU456" s="185"/>
      <c r="CV456" s="185"/>
      <c r="CW456" s="185"/>
      <c r="CX456" s="361"/>
      <c r="CY456" s="185"/>
      <c r="CZ456" s="185"/>
      <c r="DA456" s="185"/>
      <c r="DB456" s="185"/>
      <c r="DC456" s="185"/>
      <c r="DD456" s="185"/>
      <c r="DE456" s="185"/>
      <c r="DF456" s="185"/>
      <c r="DG456" s="185"/>
      <c r="DH456" s="185"/>
      <c r="DI456" s="361"/>
      <c r="DJ456" s="22" t="b">
        <v>1</v>
      </c>
      <c r="DK456" s="185"/>
      <c r="DL456" s="185"/>
      <c r="DM456" s="185"/>
      <c r="DN456" s="185"/>
      <c r="DO456" s="185"/>
      <c r="DP456" s="363"/>
      <c r="DQ456" s="193"/>
      <c r="DR456" s="57" t="str">
        <f t="shared" ref="DR456:DR519" si="15">IF(DZ456="","",IF(DZ456=1,EG456,IF(DZ456=2,EJ456,IF(DZ456=3,EM456,IF(DZ456=4,EP456,IF(DZ456=0,DS456,"【参数配置有误】"&amp;DS456))))))</f>
        <v/>
      </c>
      <c r="DS456" s="193"/>
      <c r="DT456" s="185"/>
      <c r="DU456" s="1" t="s">
        <v>280</v>
      </c>
      <c r="DV456" s="203"/>
      <c r="DW456" s="185"/>
      <c r="DX456" s="185"/>
      <c r="DY456" s="203"/>
      <c r="DZ456" s="175"/>
      <c r="EA456" s="176"/>
      <c r="EB456" s="176"/>
      <c r="EC456" s="176"/>
      <c r="ED456" s="176"/>
      <c r="EE456" s="185"/>
      <c r="EF456" s="185"/>
      <c r="EG456" s="185"/>
      <c r="EH456" s="185"/>
      <c r="EI456" s="185"/>
      <c r="EJ456" s="185"/>
      <c r="EK456" s="185"/>
      <c r="EL456" s="185"/>
      <c r="EM456" s="185"/>
      <c r="EN456" s="185"/>
      <c r="EO456" s="185"/>
      <c r="EP456" s="185"/>
      <c r="EQ456" s="185"/>
      <c r="ER456" s="185"/>
      <c r="ES456" s="185"/>
    </row>
    <row r="457" spans="1:149" s="21" customFormat="1" ht="14.25" customHeight="1" x14ac:dyDescent="0.15">
      <c r="A457" s="185"/>
      <c r="B457" s="186"/>
      <c r="C457" s="40"/>
      <c r="D457" s="185"/>
      <c r="E457" s="185"/>
      <c r="F457" s="185"/>
      <c r="G457" s="185"/>
      <c r="H457" s="185"/>
      <c r="I457" s="185"/>
      <c r="J457" s="185"/>
      <c r="K457" s="185"/>
      <c r="L457" s="185"/>
      <c r="M457" s="185"/>
      <c r="N457" s="185"/>
      <c r="O457" s="185"/>
      <c r="P457" s="185"/>
      <c r="Q457" s="185"/>
      <c r="R457" s="185"/>
      <c r="S457" s="185"/>
      <c r="T457" s="185"/>
      <c r="U457" s="185"/>
      <c r="V457" s="185"/>
      <c r="W457" s="185"/>
      <c r="X457" s="185"/>
      <c r="Y457" s="185"/>
      <c r="Z457" s="185"/>
      <c r="AA457" s="185"/>
      <c r="AB457" s="192">
        <v>66010103</v>
      </c>
      <c r="AC457" s="192" t="s">
        <v>857</v>
      </c>
      <c r="AD457" s="185" t="s">
        <v>333</v>
      </c>
      <c r="AE457" s="185" t="s">
        <v>291</v>
      </c>
      <c r="AF457" s="185" t="s">
        <v>314</v>
      </c>
      <c r="AG457" s="185"/>
      <c r="AH457" s="185"/>
      <c r="AI457" s="185"/>
      <c r="AJ457" s="185">
        <v>-1</v>
      </c>
      <c r="AK457" s="185"/>
      <c r="AL457" s="203"/>
      <c r="AM457" s="356"/>
      <c r="AN457" s="356"/>
      <c r="AO457" s="356"/>
      <c r="AP457" s="356"/>
      <c r="AQ457" s="356"/>
      <c r="AR457" s="356"/>
      <c r="AS457" s="185"/>
      <c r="AT457" s="185"/>
      <c r="AU457" s="203"/>
      <c r="AV457" s="203"/>
      <c r="AW457" s="203"/>
      <c r="AX457" s="203"/>
      <c r="AY457" s="203"/>
      <c r="AZ457" s="203"/>
      <c r="BA457" s="203"/>
      <c r="BB457" s="357"/>
      <c r="BC457" s="185"/>
      <c r="BD457" s="185"/>
      <c r="BE457" s="185"/>
      <c r="BF457" s="185"/>
      <c r="BG457" s="185"/>
      <c r="BH457" s="185"/>
      <c r="BI457" s="185"/>
      <c r="BJ457" s="185"/>
      <c r="BK457" s="185"/>
      <c r="BL457" s="185"/>
      <c r="BM457" s="185"/>
      <c r="BN457" s="185"/>
      <c r="BO457" s="185"/>
      <c r="BP457" s="185"/>
      <c r="BQ457" s="185"/>
      <c r="BR457" s="185"/>
      <c r="BS457" s="185"/>
      <c r="BT457" s="185"/>
      <c r="BU457" s="185"/>
      <c r="BV457" s="185"/>
      <c r="BW457" s="185"/>
      <c r="BX457" s="185"/>
      <c r="BY457" s="185"/>
      <c r="BZ457" s="185"/>
      <c r="CA457" s="185"/>
      <c r="CB457" s="185"/>
      <c r="CC457" s="185"/>
      <c r="CD457" s="185"/>
      <c r="CE457" s="185"/>
      <c r="CF457" s="185"/>
      <c r="CG457" s="185"/>
      <c r="CH457" s="185"/>
      <c r="CI457" s="185"/>
      <c r="CJ457" s="185"/>
      <c r="CK457" s="360"/>
      <c r="CL457" s="360"/>
      <c r="CM457" s="185"/>
      <c r="CN457" s="185"/>
      <c r="CO457" s="185"/>
      <c r="CP457" s="185"/>
      <c r="CQ457" s="185"/>
      <c r="CR457" s="185"/>
      <c r="CS457" s="185"/>
      <c r="CT457" s="185"/>
      <c r="CU457" s="185"/>
      <c r="CV457" s="185"/>
      <c r="CW457" s="185"/>
      <c r="CX457" s="185"/>
      <c r="CY457" s="185"/>
      <c r="CZ457" s="185"/>
      <c r="DA457" s="185"/>
      <c r="DB457" s="185"/>
      <c r="DC457" s="185"/>
      <c r="DD457" s="185"/>
      <c r="DE457" s="185"/>
      <c r="DF457" s="185"/>
      <c r="DG457" s="185"/>
      <c r="DH457" s="185"/>
      <c r="DI457" s="185"/>
      <c r="DJ457" s="22" t="b">
        <v>1</v>
      </c>
      <c r="DK457" s="185"/>
      <c r="DL457" s="185"/>
      <c r="DM457" s="185"/>
      <c r="DN457" s="185"/>
      <c r="DO457" s="185"/>
      <c r="DP457" s="363"/>
      <c r="DQ457" s="193"/>
      <c r="DR457" s="57" t="str">
        <f t="shared" si="15"/>
        <v/>
      </c>
      <c r="DS457" s="193"/>
      <c r="DT457" s="185"/>
      <c r="DU457" s="1" t="s">
        <v>280</v>
      </c>
      <c r="DV457" s="203"/>
      <c r="DW457" s="185"/>
      <c r="DX457" s="185"/>
      <c r="DY457" s="203"/>
      <c r="DZ457" s="185"/>
      <c r="EA457" s="185"/>
      <c r="EB457" s="185"/>
      <c r="EC457" s="185"/>
      <c r="ED457" s="185"/>
      <c r="EE457" s="185"/>
      <c r="EF457" s="185"/>
      <c r="EG457" s="185"/>
      <c r="EH457" s="185"/>
      <c r="EI457" s="185"/>
      <c r="EJ457" s="185"/>
      <c r="EK457" s="185"/>
      <c r="EL457" s="185"/>
      <c r="EM457" s="185"/>
      <c r="EN457" s="185"/>
      <c r="EO457" s="185"/>
      <c r="EP457" s="185"/>
      <c r="EQ457" s="185"/>
      <c r="ER457" s="185"/>
      <c r="ES457" s="185"/>
    </row>
    <row r="458" spans="1:149" s="21" customFormat="1" ht="63" customHeight="1" x14ac:dyDescent="0.15">
      <c r="A458" s="185">
        <v>660401</v>
      </c>
      <c r="B458" s="186" t="s">
        <v>874</v>
      </c>
      <c r="C458" s="40" t="s">
        <v>875</v>
      </c>
      <c r="D458" s="185" t="s">
        <v>876</v>
      </c>
      <c r="E458" s="185"/>
      <c r="F458" s="185"/>
      <c r="G458" s="185"/>
      <c r="H458" s="185">
        <v>0</v>
      </c>
      <c r="I458" s="185"/>
      <c r="J458" s="185"/>
      <c r="K458" s="185"/>
      <c r="L458" s="185">
        <v>0</v>
      </c>
      <c r="M458" s="185"/>
      <c r="N458" s="185"/>
      <c r="O458" s="185"/>
      <c r="P458" s="185" t="s">
        <v>268</v>
      </c>
      <c r="Q458" s="185" t="s">
        <v>269</v>
      </c>
      <c r="R458" s="185"/>
      <c r="S458" s="185"/>
      <c r="T458" s="185"/>
      <c r="U458" s="185"/>
      <c r="V458" s="185"/>
      <c r="W458" s="185"/>
      <c r="X458" s="185">
        <v>1</v>
      </c>
      <c r="Y458" s="185">
        <v>0</v>
      </c>
      <c r="Z458" s="185">
        <v>0</v>
      </c>
      <c r="AA458" s="185"/>
      <c r="AB458" s="185">
        <v>3002</v>
      </c>
      <c r="AC458" s="185" t="s">
        <v>297</v>
      </c>
      <c r="AD458" s="185"/>
      <c r="AE458" s="10" t="s">
        <v>129</v>
      </c>
      <c r="AF458" s="10" t="s">
        <v>314</v>
      </c>
      <c r="AG458" s="185"/>
      <c r="AH458" s="185"/>
      <c r="AI458" s="185"/>
      <c r="AJ458" s="185"/>
      <c r="AK458" s="185"/>
      <c r="AL458" s="203"/>
      <c r="AM458" s="203"/>
      <c r="AN458" s="203"/>
      <c r="AO458" s="203"/>
      <c r="AP458" s="203"/>
      <c r="AQ458" s="203"/>
      <c r="AR458" s="203"/>
      <c r="AS458" s="185"/>
      <c r="AT458" s="185"/>
      <c r="AU458" s="203"/>
      <c r="AV458" s="203"/>
      <c r="AW458" s="203"/>
      <c r="AX458" s="203"/>
      <c r="AY458" s="203"/>
      <c r="AZ458" s="203"/>
      <c r="BA458" s="203" t="s">
        <v>270</v>
      </c>
      <c r="BB458" s="357">
        <v>65</v>
      </c>
      <c r="BC458" s="185"/>
      <c r="BD458" s="185"/>
      <c r="BE458" s="185"/>
      <c r="BF458" s="185"/>
      <c r="BG458" s="185"/>
      <c r="BH458" s="185"/>
      <c r="BI458" s="185"/>
      <c r="BJ458" s="185"/>
      <c r="BK458" s="185"/>
      <c r="BL458" s="185"/>
      <c r="BM458" s="185"/>
      <c r="BN458" s="185"/>
      <c r="BO458" s="185"/>
      <c r="BP458" s="185"/>
      <c r="BQ458" s="185"/>
      <c r="BR458" s="185"/>
      <c r="BS458" s="185"/>
      <c r="BT458" s="185"/>
      <c r="BU458" s="185"/>
      <c r="BV458" s="185"/>
      <c r="BW458" s="185"/>
      <c r="BX458" s="185"/>
      <c r="BY458" s="185"/>
      <c r="BZ458" s="185"/>
      <c r="CA458" s="185"/>
      <c r="CB458" s="185"/>
      <c r="CC458" s="185"/>
      <c r="CD458" s="185"/>
      <c r="CE458" s="185"/>
      <c r="CF458" s="185" t="s">
        <v>271</v>
      </c>
      <c r="CG458" s="185"/>
      <c r="CH458" s="185"/>
      <c r="CI458" s="185"/>
      <c r="CJ458" s="22" t="s">
        <v>3</v>
      </c>
      <c r="CK458" s="368" t="s">
        <v>486</v>
      </c>
      <c r="CL458" s="368"/>
      <c r="CM458" s="22">
        <v>999</v>
      </c>
      <c r="CN458" s="185">
        <v>0</v>
      </c>
      <c r="CO458" s="185">
        <v>0</v>
      </c>
      <c r="CP458" s="185">
        <v>0</v>
      </c>
      <c r="CQ458" s="185">
        <v>0</v>
      </c>
      <c r="CR458" s="185"/>
      <c r="CS458" s="185">
        <v>20</v>
      </c>
      <c r="CT458" s="185">
        <v>10</v>
      </c>
      <c r="CU458" s="185">
        <v>24</v>
      </c>
      <c r="CV458" s="16" t="s">
        <v>877</v>
      </c>
      <c r="CW458" s="185" t="b">
        <v>1</v>
      </c>
      <c r="CX458" s="185" t="s">
        <v>273</v>
      </c>
      <c r="CY458" s="185"/>
      <c r="CZ458" s="185"/>
      <c r="DA458" s="185"/>
      <c r="DB458" s="185">
        <v>170501</v>
      </c>
      <c r="DC458" s="185" t="b">
        <v>1</v>
      </c>
      <c r="DD458" s="185" t="s">
        <v>274</v>
      </c>
      <c r="DE458" s="185" t="s">
        <v>878</v>
      </c>
      <c r="DF458" s="185" t="s">
        <v>276</v>
      </c>
      <c r="DG458" s="185" t="s">
        <v>322</v>
      </c>
      <c r="DH458" s="185">
        <v>4</v>
      </c>
      <c r="DI458" s="185" t="b">
        <v>0</v>
      </c>
      <c r="DJ458" s="22" t="b">
        <v>1</v>
      </c>
      <c r="DK458" s="185"/>
      <c r="DL458" s="185"/>
      <c r="DM458" s="185"/>
      <c r="DN458" s="23"/>
      <c r="DO458" s="23"/>
      <c r="DP458" s="363" t="s">
        <v>475</v>
      </c>
      <c r="DQ458" s="193" t="s">
        <v>1141</v>
      </c>
      <c r="DR458" s="57" t="e">
        <f t="shared" si="15"/>
        <v>#VALUE!</v>
      </c>
      <c r="DS458" s="193" t="s">
        <v>837</v>
      </c>
      <c r="DT458" s="185"/>
      <c r="DU458" s="1" t="s">
        <v>280</v>
      </c>
      <c r="DV458" s="203"/>
      <c r="DW458" s="185"/>
      <c r="DX458" s="185"/>
      <c r="DY458" s="23"/>
      <c r="DZ458" s="185">
        <v>1</v>
      </c>
      <c r="EA458" s="364">
        <v>-1</v>
      </c>
      <c r="EB458" s="364">
        <v>4.1666666666666699E-2</v>
      </c>
      <c r="EC458" s="364">
        <v>8.3333333333333301E-2</v>
      </c>
      <c r="ED458" s="364">
        <v>8.3333333333333301E-2</v>
      </c>
      <c r="EE458" s="185" t="s">
        <v>284</v>
      </c>
      <c r="EF458" s="185" t="s">
        <v>326</v>
      </c>
      <c r="EG458" s="185" t="e">
        <v>#VALUE!</v>
      </c>
      <c r="EH458" s="185" t="s">
        <v>285</v>
      </c>
      <c r="EI458" s="185" t="s">
        <v>327</v>
      </c>
      <c r="EJ458" s="185" t="e">
        <v>#VALUE!</v>
      </c>
      <c r="EK458" s="185" t="s">
        <v>286</v>
      </c>
      <c r="EL458" s="185" t="s">
        <v>328</v>
      </c>
      <c r="EM458" s="185" t="e">
        <v>#VALUE!</v>
      </c>
      <c r="EN458" s="185" t="s">
        <v>287</v>
      </c>
      <c r="EO458" s="185" t="s">
        <v>328</v>
      </c>
      <c r="EP458" s="185" t="e">
        <v>#VALUE!</v>
      </c>
      <c r="EQ458" s="185"/>
      <c r="ER458" s="185"/>
      <c r="ES458" s="185"/>
    </row>
    <row r="459" spans="1:149" s="21" customFormat="1" ht="14.25" customHeight="1" x14ac:dyDescent="0.15">
      <c r="A459" s="185"/>
      <c r="B459" s="186"/>
      <c r="C459" s="40"/>
      <c r="D459" s="185"/>
      <c r="E459" s="185"/>
      <c r="F459" s="185"/>
      <c r="G459" s="185"/>
      <c r="H459" s="185"/>
      <c r="I459" s="185"/>
      <c r="J459" s="185"/>
      <c r="K459" s="185"/>
      <c r="L459" s="185"/>
      <c r="M459" s="185"/>
      <c r="N459" s="185"/>
      <c r="O459" s="185"/>
      <c r="P459" s="185"/>
      <c r="Q459" s="185"/>
      <c r="R459" s="185"/>
      <c r="S459" s="185"/>
      <c r="T459" s="185"/>
      <c r="U459" s="185"/>
      <c r="V459" s="185"/>
      <c r="W459" s="185"/>
      <c r="X459" s="185"/>
      <c r="Y459" s="185"/>
      <c r="Z459" s="185"/>
      <c r="AA459" s="185"/>
      <c r="AB459" s="17">
        <v>66010401</v>
      </c>
      <c r="AC459" s="17" t="s">
        <v>879</v>
      </c>
      <c r="AD459" s="185"/>
      <c r="AE459" s="10" t="s">
        <v>129</v>
      </c>
      <c r="AF459" s="10" t="s">
        <v>314</v>
      </c>
      <c r="AG459" s="185"/>
      <c r="AH459" s="185"/>
      <c r="AI459" s="185"/>
      <c r="AJ459" s="185">
        <v>6</v>
      </c>
      <c r="AK459" s="185"/>
      <c r="AL459" s="203"/>
      <c r="AM459" s="203"/>
      <c r="AN459" s="203"/>
      <c r="AO459" s="203"/>
      <c r="AP459" s="203"/>
      <c r="AQ459" s="203"/>
      <c r="AR459" s="203"/>
      <c r="AS459" s="185"/>
      <c r="AT459" s="185"/>
      <c r="AU459" s="203"/>
      <c r="AV459" s="203"/>
      <c r="AW459" s="203"/>
      <c r="AX459" s="203"/>
      <c r="AY459" s="203"/>
      <c r="AZ459" s="203"/>
      <c r="BA459" s="203"/>
      <c r="BB459" s="358"/>
      <c r="BC459" s="185"/>
      <c r="BD459" s="185"/>
      <c r="BE459" s="185"/>
      <c r="BF459" s="185"/>
      <c r="BG459" s="185"/>
      <c r="BH459" s="185"/>
      <c r="BI459" s="185"/>
      <c r="BJ459" s="185"/>
      <c r="BK459" s="185"/>
      <c r="BL459" s="185"/>
      <c r="BM459" s="185"/>
      <c r="BN459" s="185"/>
      <c r="BO459" s="185"/>
      <c r="BP459" s="185"/>
      <c r="BQ459" s="185"/>
      <c r="BR459" s="185"/>
      <c r="BS459" s="185"/>
      <c r="BT459" s="185"/>
      <c r="BU459" s="185"/>
      <c r="BV459" s="185"/>
      <c r="BW459" s="185"/>
      <c r="BX459" s="185"/>
      <c r="BY459" s="185"/>
      <c r="BZ459" s="185"/>
      <c r="CA459" s="185"/>
      <c r="CB459" s="185"/>
      <c r="CC459" s="185"/>
      <c r="CD459" s="185"/>
      <c r="CE459" s="185"/>
      <c r="CF459" s="185"/>
      <c r="CG459" s="185"/>
      <c r="CH459" s="185"/>
      <c r="CI459" s="185"/>
      <c r="CJ459" s="185"/>
      <c r="CK459" s="359"/>
      <c r="CL459" s="359"/>
      <c r="CM459" s="22"/>
      <c r="CN459" s="185"/>
      <c r="CO459" s="185"/>
      <c r="CP459" s="185"/>
      <c r="CQ459" s="185"/>
      <c r="CR459" s="185"/>
      <c r="CS459" s="185"/>
      <c r="CT459" s="185"/>
      <c r="CU459" s="185"/>
      <c r="CV459" s="185"/>
      <c r="CW459" s="185"/>
      <c r="CX459" s="185"/>
      <c r="CY459" s="185"/>
      <c r="CZ459" s="185"/>
      <c r="DA459" s="185"/>
      <c r="DB459" s="185"/>
      <c r="DC459" s="185"/>
      <c r="DD459" s="185"/>
      <c r="DE459" s="185"/>
      <c r="DF459" s="185"/>
      <c r="DG459" s="185"/>
      <c r="DH459" s="185"/>
      <c r="DI459" s="185"/>
      <c r="DJ459" s="22"/>
      <c r="DK459" s="185"/>
      <c r="DL459" s="185"/>
      <c r="DM459" s="185"/>
      <c r="DN459" s="23"/>
      <c r="DO459" s="23"/>
      <c r="DP459" s="363"/>
      <c r="DQ459" s="193"/>
      <c r="DR459" s="57" t="str">
        <f t="shared" si="15"/>
        <v/>
      </c>
      <c r="DS459" s="193"/>
      <c r="DT459" s="185"/>
      <c r="DU459" s="1" t="s">
        <v>280</v>
      </c>
      <c r="DV459" s="203"/>
      <c r="DW459" s="185"/>
      <c r="DX459" s="185"/>
      <c r="DY459" s="23"/>
      <c r="DZ459" s="185"/>
      <c r="EA459" s="364"/>
      <c r="EB459" s="364"/>
      <c r="EC459" s="364"/>
      <c r="ED459" s="364"/>
      <c r="EE459" s="185"/>
      <c r="EF459" s="185"/>
      <c r="EG459" s="185"/>
      <c r="EH459" s="185"/>
      <c r="EI459" s="185"/>
      <c r="EJ459" s="185"/>
      <c r="EK459" s="185"/>
      <c r="EL459" s="185"/>
      <c r="EM459" s="185"/>
      <c r="EN459" s="185"/>
      <c r="EO459" s="185"/>
      <c r="EP459" s="185"/>
      <c r="EQ459" s="185"/>
      <c r="ER459" s="185"/>
      <c r="ES459" s="185"/>
    </row>
    <row r="460" spans="1:149" s="21" customFormat="1" ht="14.25" customHeight="1" x14ac:dyDescent="0.15">
      <c r="A460" s="185"/>
      <c r="B460" s="186"/>
      <c r="C460" s="40"/>
      <c r="D460" s="185"/>
      <c r="E460" s="185"/>
      <c r="F460" s="185"/>
      <c r="G460" s="185"/>
      <c r="H460" s="185"/>
      <c r="I460" s="185"/>
      <c r="J460" s="185"/>
      <c r="K460" s="185"/>
      <c r="L460" s="185"/>
      <c r="M460" s="185"/>
      <c r="N460" s="185"/>
      <c r="O460" s="185"/>
      <c r="P460" s="185"/>
      <c r="Q460" s="185"/>
      <c r="R460" s="185"/>
      <c r="S460" s="185"/>
      <c r="T460" s="185"/>
      <c r="U460" s="185"/>
      <c r="V460" s="185"/>
      <c r="W460" s="185"/>
      <c r="X460" s="185"/>
      <c r="Y460" s="185"/>
      <c r="Z460" s="185"/>
      <c r="AA460" s="185"/>
      <c r="AB460" s="192">
        <v>66010102</v>
      </c>
      <c r="AC460" s="192" t="s">
        <v>856</v>
      </c>
      <c r="AD460" s="185" t="s">
        <v>330</v>
      </c>
      <c r="AE460" s="185" t="s">
        <v>291</v>
      </c>
      <c r="AF460" s="185" t="s">
        <v>314</v>
      </c>
      <c r="AG460" s="185"/>
      <c r="AH460" s="185"/>
      <c r="AI460" s="185"/>
      <c r="AJ460" s="185"/>
      <c r="AK460" s="185"/>
      <c r="AL460" s="203"/>
      <c r="AM460" s="203"/>
      <c r="AN460" s="203"/>
      <c r="AO460" s="203"/>
      <c r="AP460" s="203"/>
      <c r="AQ460" s="203"/>
      <c r="AR460" s="203"/>
      <c r="AS460" s="185"/>
      <c r="AT460" s="185"/>
      <c r="AU460" s="203"/>
      <c r="AV460" s="203"/>
      <c r="AW460" s="203"/>
      <c r="AX460" s="203"/>
      <c r="AY460" s="203"/>
      <c r="AZ460" s="203"/>
      <c r="BA460" s="203" t="s">
        <v>331</v>
      </c>
      <c r="BB460" s="358">
        <v>0.23</v>
      </c>
      <c r="BC460" s="185"/>
      <c r="BD460" s="185"/>
      <c r="BE460" s="185"/>
      <c r="BF460" s="185"/>
      <c r="BG460" s="185"/>
      <c r="BH460" s="185"/>
      <c r="BI460" s="185"/>
      <c r="BJ460" s="185"/>
      <c r="BK460" s="185"/>
      <c r="BL460" s="185"/>
      <c r="BM460" s="185"/>
      <c r="BN460" s="185"/>
      <c r="BO460" s="185"/>
      <c r="BP460" s="185"/>
      <c r="BQ460" s="185"/>
      <c r="BR460" s="185"/>
      <c r="BS460" s="185"/>
      <c r="BT460" s="185"/>
      <c r="BU460" s="185"/>
      <c r="BV460" s="185"/>
      <c r="BW460" s="185"/>
      <c r="BX460" s="185"/>
      <c r="BY460" s="185"/>
      <c r="BZ460" s="185"/>
      <c r="CA460" s="185"/>
      <c r="CB460" s="185"/>
      <c r="CC460" s="185"/>
      <c r="CD460" s="185"/>
      <c r="CE460" s="185"/>
      <c r="CF460" s="185"/>
      <c r="CG460" s="185"/>
      <c r="CH460" s="185"/>
      <c r="CI460" s="185"/>
      <c r="CJ460" s="185"/>
      <c r="CK460" s="360"/>
      <c r="CL460" s="360"/>
      <c r="CM460" s="185"/>
      <c r="CN460" s="185"/>
      <c r="CO460" s="185"/>
      <c r="CP460" s="185"/>
      <c r="CQ460" s="185"/>
      <c r="CR460" s="185"/>
      <c r="CS460" s="185"/>
      <c r="CT460" s="185"/>
      <c r="CU460" s="185"/>
      <c r="CV460" s="185"/>
      <c r="CW460" s="185"/>
      <c r="CX460" s="361"/>
      <c r="CY460" s="185"/>
      <c r="CZ460" s="185"/>
      <c r="DA460" s="185"/>
      <c r="DB460" s="185"/>
      <c r="DC460" s="185"/>
      <c r="DD460" s="185"/>
      <c r="DE460" s="185"/>
      <c r="DF460" s="185"/>
      <c r="DG460" s="185"/>
      <c r="DH460" s="185"/>
      <c r="DI460" s="361"/>
      <c r="DJ460" s="22" t="b">
        <v>1</v>
      </c>
      <c r="DK460" s="185"/>
      <c r="DL460" s="185"/>
      <c r="DM460" s="185"/>
      <c r="DN460" s="185"/>
      <c r="DO460" s="185"/>
      <c r="DP460" s="363"/>
      <c r="DQ460" s="193"/>
      <c r="DR460" s="57" t="str">
        <f t="shared" si="15"/>
        <v/>
      </c>
      <c r="DS460" s="193"/>
      <c r="DT460" s="185"/>
      <c r="DU460" s="1" t="s">
        <v>280</v>
      </c>
      <c r="DV460" s="203"/>
      <c r="DW460" s="185"/>
      <c r="DX460" s="185"/>
      <c r="DY460" s="203"/>
      <c r="DZ460" s="175"/>
      <c r="EA460" s="176"/>
      <c r="EB460" s="176"/>
      <c r="EC460" s="176"/>
      <c r="ED460" s="176"/>
      <c r="EE460" s="185"/>
      <c r="EF460" s="185"/>
      <c r="EG460" s="185"/>
      <c r="EH460" s="185"/>
      <c r="EI460" s="185"/>
      <c r="EJ460" s="185"/>
      <c r="EK460" s="185"/>
      <c r="EL460" s="185"/>
      <c r="EM460" s="185"/>
      <c r="EN460" s="185"/>
      <c r="EO460" s="185"/>
      <c r="EP460" s="185"/>
      <c r="EQ460" s="185"/>
      <c r="ER460" s="185"/>
      <c r="ES460" s="185"/>
    </row>
    <row r="461" spans="1:149" s="21" customFormat="1" ht="14.25" customHeight="1" x14ac:dyDescent="0.15">
      <c r="A461" s="185"/>
      <c r="B461" s="186"/>
      <c r="C461" s="40"/>
      <c r="D461" s="185"/>
      <c r="E461" s="185"/>
      <c r="F461" s="185"/>
      <c r="G461" s="185"/>
      <c r="H461" s="185"/>
      <c r="I461" s="185"/>
      <c r="J461" s="185"/>
      <c r="K461" s="185"/>
      <c r="L461" s="185"/>
      <c r="M461" s="185"/>
      <c r="N461" s="185"/>
      <c r="O461" s="185"/>
      <c r="P461" s="185"/>
      <c r="Q461" s="185"/>
      <c r="R461" s="185"/>
      <c r="S461" s="185"/>
      <c r="T461" s="185"/>
      <c r="U461" s="185"/>
      <c r="V461" s="185"/>
      <c r="W461" s="185"/>
      <c r="X461" s="185"/>
      <c r="Y461" s="185"/>
      <c r="Z461" s="185"/>
      <c r="AA461" s="185"/>
      <c r="AB461" s="192">
        <v>66010103</v>
      </c>
      <c r="AC461" s="192" t="s">
        <v>857</v>
      </c>
      <c r="AD461" s="185" t="s">
        <v>333</v>
      </c>
      <c r="AE461" s="185" t="s">
        <v>291</v>
      </c>
      <c r="AF461" s="185" t="s">
        <v>314</v>
      </c>
      <c r="AG461" s="185"/>
      <c r="AH461" s="185"/>
      <c r="AI461" s="185"/>
      <c r="AJ461" s="185">
        <v>-1</v>
      </c>
      <c r="AK461" s="185"/>
      <c r="AL461" s="203"/>
      <c r="AM461" s="356"/>
      <c r="AN461" s="356"/>
      <c r="AO461" s="356"/>
      <c r="AP461" s="356"/>
      <c r="AQ461" s="356"/>
      <c r="AR461" s="356"/>
      <c r="AS461" s="185"/>
      <c r="AT461" s="185"/>
      <c r="AU461" s="203"/>
      <c r="AV461" s="203"/>
      <c r="AW461" s="203"/>
      <c r="AX461" s="203"/>
      <c r="AY461" s="203"/>
      <c r="AZ461" s="203"/>
      <c r="BA461" s="203"/>
      <c r="BB461" s="357"/>
      <c r="BC461" s="185"/>
      <c r="BD461" s="185"/>
      <c r="BE461" s="185"/>
      <c r="BF461" s="185"/>
      <c r="BG461" s="185"/>
      <c r="BH461" s="185"/>
      <c r="BI461" s="185"/>
      <c r="BJ461" s="185"/>
      <c r="BK461" s="185"/>
      <c r="BL461" s="185"/>
      <c r="BM461" s="185"/>
      <c r="BN461" s="185"/>
      <c r="BO461" s="185"/>
      <c r="BP461" s="185"/>
      <c r="BQ461" s="185"/>
      <c r="BR461" s="185"/>
      <c r="BS461" s="185"/>
      <c r="BT461" s="185"/>
      <c r="BU461" s="185"/>
      <c r="BV461" s="185"/>
      <c r="BW461" s="185"/>
      <c r="BX461" s="185"/>
      <c r="BY461" s="185"/>
      <c r="BZ461" s="185"/>
      <c r="CA461" s="185"/>
      <c r="CB461" s="185"/>
      <c r="CC461" s="185"/>
      <c r="CD461" s="185"/>
      <c r="CE461" s="185"/>
      <c r="CF461" s="185"/>
      <c r="CG461" s="185"/>
      <c r="CH461" s="185"/>
      <c r="CI461" s="185"/>
      <c r="CJ461" s="185"/>
      <c r="CK461" s="360"/>
      <c r="CL461" s="360"/>
      <c r="CM461" s="185"/>
      <c r="CN461" s="185"/>
      <c r="CO461" s="185"/>
      <c r="CP461" s="185"/>
      <c r="CQ461" s="185"/>
      <c r="CR461" s="185"/>
      <c r="CS461" s="185"/>
      <c r="CT461" s="185"/>
      <c r="CU461" s="185"/>
      <c r="CV461" s="185"/>
      <c r="CW461" s="185"/>
      <c r="CX461" s="185"/>
      <c r="CY461" s="185"/>
      <c r="CZ461" s="185"/>
      <c r="DA461" s="185"/>
      <c r="DB461" s="185"/>
      <c r="DC461" s="185"/>
      <c r="DD461" s="185"/>
      <c r="DE461" s="185"/>
      <c r="DF461" s="185"/>
      <c r="DG461" s="185"/>
      <c r="DH461" s="185"/>
      <c r="DI461" s="185"/>
      <c r="DJ461" s="22" t="b">
        <v>1</v>
      </c>
      <c r="DK461" s="185"/>
      <c r="DL461" s="185"/>
      <c r="DM461" s="185"/>
      <c r="DN461" s="185"/>
      <c r="DO461" s="185"/>
      <c r="DP461" s="363"/>
      <c r="DQ461" s="193"/>
      <c r="DR461" s="57" t="str">
        <f t="shared" si="15"/>
        <v/>
      </c>
      <c r="DS461" s="193"/>
      <c r="DT461" s="185"/>
      <c r="DU461" s="1" t="s">
        <v>280</v>
      </c>
      <c r="DV461" s="203"/>
      <c r="DW461" s="185"/>
      <c r="DX461" s="185"/>
      <c r="DY461" s="203"/>
      <c r="DZ461" s="185"/>
      <c r="EA461" s="185"/>
      <c r="EB461" s="185"/>
      <c r="EC461" s="185"/>
      <c r="ED461" s="185"/>
      <c r="EE461" s="185"/>
      <c r="EF461" s="185"/>
      <c r="EG461" s="185"/>
      <c r="EH461" s="185"/>
      <c r="EI461" s="185"/>
      <c r="EJ461" s="185"/>
      <c r="EK461" s="185"/>
      <c r="EL461" s="185"/>
      <c r="EM461" s="185"/>
      <c r="EN461" s="185"/>
      <c r="EO461" s="185"/>
      <c r="EP461" s="185"/>
      <c r="EQ461" s="185"/>
      <c r="ER461" s="185"/>
      <c r="ES461" s="185"/>
    </row>
    <row r="462" spans="1:149" s="21" customFormat="1" ht="51" customHeight="1" x14ac:dyDescent="0.15">
      <c r="A462" s="185">
        <v>660501</v>
      </c>
      <c r="B462" s="186" t="s">
        <v>880</v>
      </c>
      <c r="C462" s="40" t="s">
        <v>881</v>
      </c>
      <c r="D462" s="185" t="s">
        <v>882</v>
      </c>
      <c r="E462" s="185"/>
      <c r="F462" s="185"/>
      <c r="G462" s="185"/>
      <c r="H462" s="185">
        <v>0</v>
      </c>
      <c r="I462" s="185"/>
      <c r="J462" s="185"/>
      <c r="K462" s="185"/>
      <c r="L462" s="185">
        <v>0</v>
      </c>
      <c r="M462" s="185"/>
      <c r="N462" s="185"/>
      <c r="O462" s="185"/>
      <c r="P462" s="185" t="s">
        <v>268</v>
      </c>
      <c r="Q462" s="185" t="s">
        <v>269</v>
      </c>
      <c r="R462" s="185"/>
      <c r="S462" s="185"/>
      <c r="T462" s="185"/>
      <c r="U462" s="185"/>
      <c r="V462" s="185"/>
      <c r="W462" s="185"/>
      <c r="X462" s="185">
        <v>1</v>
      </c>
      <c r="Y462" s="185">
        <v>0</v>
      </c>
      <c r="Z462" s="185">
        <v>0</v>
      </c>
      <c r="AA462" s="185"/>
      <c r="AB462" s="185">
        <v>3001</v>
      </c>
      <c r="AC462" s="193" t="s">
        <v>337</v>
      </c>
      <c r="AD462" s="185"/>
      <c r="AE462" s="10" t="s">
        <v>129</v>
      </c>
      <c r="AF462" s="10" t="s">
        <v>314</v>
      </c>
      <c r="AG462" s="185"/>
      <c r="AH462" s="185"/>
      <c r="AI462" s="185"/>
      <c r="AJ462" s="185"/>
      <c r="AK462" s="185"/>
      <c r="AL462" s="203"/>
      <c r="AM462" s="203"/>
      <c r="AN462" s="203"/>
      <c r="AO462" s="203"/>
      <c r="AP462" s="203"/>
      <c r="AQ462" s="203"/>
      <c r="AR462" s="203"/>
      <c r="AS462" s="185"/>
      <c r="AT462" s="185"/>
      <c r="AU462" s="203"/>
      <c r="AV462" s="203"/>
      <c r="AW462" s="203"/>
      <c r="AX462" s="203"/>
      <c r="AY462" s="203"/>
      <c r="AZ462" s="203"/>
      <c r="BA462" s="203" t="s">
        <v>270</v>
      </c>
      <c r="BB462" s="357">
        <v>65</v>
      </c>
      <c r="BC462" s="185"/>
      <c r="BD462" s="185"/>
      <c r="BE462" s="185"/>
      <c r="BF462" s="185"/>
      <c r="BG462" s="185"/>
      <c r="BH462" s="185"/>
      <c r="BI462" s="185"/>
      <c r="BJ462" s="185"/>
      <c r="BK462" s="185"/>
      <c r="BL462" s="185"/>
      <c r="BM462" s="185"/>
      <c r="BN462" s="185"/>
      <c r="BO462" s="185"/>
      <c r="BP462" s="185"/>
      <c r="BQ462" s="185"/>
      <c r="BR462" s="185"/>
      <c r="BS462" s="185"/>
      <c r="BT462" s="185"/>
      <c r="BU462" s="185"/>
      <c r="BV462" s="185"/>
      <c r="BW462" s="185"/>
      <c r="BX462" s="185"/>
      <c r="BY462" s="185"/>
      <c r="BZ462" s="185"/>
      <c r="CA462" s="185"/>
      <c r="CB462" s="185"/>
      <c r="CC462" s="185"/>
      <c r="CD462" s="185"/>
      <c r="CE462" s="185"/>
      <c r="CF462" s="185" t="s">
        <v>271</v>
      </c>
      <c r="CG462" s="185"/>
      <c r="CH462" s="185"/>
      <c r="CI462" s="23"/>
      <c r="CJ462" s="23" t="s">
        <v>2</v>
      </c>
      <c r="CK462" s="370" t="s">
        <v>883</v>
      </c>
      <c r="CL462" s="370"/>
      <c r="CM462" s="22">
        <v>999</v>
      </c>
      <c r="CN462" s="185">
        <v>0</v>
      </c>
      <c r="CO462" s="185">
        <v>0</v>
      </c>
      <c r="CP462" s="185">
        <v>0</v>
      </c>
      <c r="CQ462" s="185">
        <v>0</v>
      </c>
      <c r="CR462" s="185"/>
      <c r="CS462" s="185">
        <v>20</v>
      </c>
      <c r="CT462" s="185">
        <v>10</v>
      </c>
      <c r="CU462" s="185">
        <v>24</v>
      </c>
      <c r="CV462" s="16" t="s">
        <v>884</v>
      </c>
      <c r="CW462" s="185" t="b">
        <v>1</v>
      </c>
      <c r="CX462" s="185" t="s">
        <v>273</v>
      </c>
      <c r="CY462" s="185"/>
      <c r="CZ462" s="185"/>
      <c r="DA462" s="185"/>
      <c r="DB462" s="185">
        <v>170501</v>
      </c>
      <c r="DC462" s="185" t="b">
        <v>1</v>
      </c>
      <c r="DD462" s="185" t="s">
        <v>274</v>
      </c>
      <c r="DE462" s="185" t="s">
        <v>885</v>
      </c>
      <c r="DF462" s="185" t="s">
        <v>276</v>
      </c>
      <c r="DG462" s="185" t="s">
        <v>322</v>
      </c>
      <c r="DH462" s="185">
        <v>4</v>
      </c>
      <c r="DI462" s="185" t="b">
        <v>0</v>
      </c>
      <c r="DJ462" s="22" t="b">
        <v>1</v>
      </c>
      <c r="DK462" s="185"/>
      <c r="DL462" s="185"/>
      <c r="DM462" s="185"/>
      <c r="DN462" s="23"/>
      <c r="DO462" s="23"/>
      <c r="DP462" s="363" t="s">
        <v>475</v>
      </c>
      <c r="DQ462" s="193" t="s">
        <v>854</v>
      </c>
      <c r="DR462" s="57" t="e">
        <f t="shared" si="15"/>
        <v>#VALUE!</v>
      </c>
      <c r="DS462" s="193" t="s">
        <v>837</v>
      </c>
      <c r="DT462" s="185"/>
      <c r="DU462" s="1" t="s">
        <v>280</v>
      </c>
      <c r="DV462" s="203"/>
      <c r="DW462" s="185"/>
      <c r="DX462" s="185"/>
      <c r="DY462" s="23"/>
      <c r="DZ462" s="185">
        <v>1</v>
      </c>
      <c r="EA462" s="364">
        <v>-1</v>
      </c>
      <c r="EB462" s="364">
        <v>4.1666666666666699E-2</v>
      </c>
      <c r="EC462" s="364">
        <v>8.3333333333333301E-2</v>
      </c>
      <c r="ED462" s="364">
        <v>8.3333333333333301E-2</v>
      </c>
      <c r="EE462" s="185" t="s">
        <v>284</v>
      </c>
      <c r="EF462" s="185" t="s">
        <v>326</v>
      </c>
      <c r="EG462" s="185" t="e">
        <v>#VALUE!</v>
      </c>
      <c r="EH462" s="185" t="s">
        <v>285</v>
      </c>
      <c r="EI462" s="185" t="s">
        <v>327</v>
      </c>
      <c r="EJ462" s="185" t="e">
        <v>#VALUE!</v>
      </c>
      <c r="EK462" s="185" t="s">
        <v>286</v>
      </c>
      <c r="EL462" s="185" t="s">
        <v>328</v>
      </c>
      <c r="EM462" s="185" t="e">
        <v>#VALUE!</v>
      </c>
      <c r="EN462" s="185" t="s">
        <v>287</v>
      </c>
      <c r="EO462" s="185" t="s">
        <v>328</v>
      </c>
      <c r="EP462" s="185" t="e">
        <v>#VALUE!</v>
      </c>
      <c r="EQ462" s="185"/>
      <c r="ER462" s="185"/>
      <c r="ES462" s="185"/>
    </row>
    <row r="463" spans="1:149" s="21" customFormat="1" ht="14.25" customHeight="1" x14ac:dyDescent="0.15">
      <c r="A463" s="185"/>
      <c r="B463" s="186"/>
      <c r="C463" s="40"/>
      <c r="D463" s="185"/>
      <c r="E463" s="185"/>
      <c r="F463" s="185"/>
      <c r="G463" s="185"/>
      <c r="H463" s="185"/>
      <c r="I463" s="185"/>
      <c r="J463" s="185"/>
      <c r="K463" s="185"/>
      <c r="L463" s="185"/>
      <c r="M463" s="185"/>
      <c r="N463" s="185"/>
      <c r="O463" s="185"/>
      <c r="P463" s="185"/>
      <c r="Q463" s="185"/>
      <c r="R463" s="185"/>
      <c r="S463" s="185"/>
      <c r="T463" s="185"/>
      <c r="U463" s="185"/>
      <c r="V463" s="185"/>
      <c r="W463" s="185"/>
      <c r="X463" s="185"/>
      <c r="Y463" s="185"/>
      <c r="Z463" s="185"/>
      <c r="AA463" s="185"/>
      <c r="AB463" s="17">
        <v>66010501</v>
      </c>
      <c r="AC463" s="17" t="s">
        <v>886</v>
      </c>
      <c r="AD463" s="185"/>
      <c r="AE463" s="10" t="s">
        <v>129</v>
      </c>
      <c r="AF463" s="10" t="s">
        <v>314</v>
      </c>
      <c r="AG463" s="185"/>
      <c r="AH463" s="185"/>
      <c r="AI463" s="185"/>
      <c r="AJ463" s="185">
        <v>6</v>
      </c>
      <c r="AK463" s="185"/>
      <c r="AL463" s="203"/>
      <c r="AM463" s="203"/>
      <c r="AN463" s="203"/>
      <c r="AO463" s="203"/>
      <c r="AP463" s="203"/>
      <c r="AQ463" s="203"/>
      <c r="AR463" s="203"/>
      <c r="AS463" s="185"/>
      <c r="AT463" s="185"/>
      <c r="AU463" s="203"/>
      <c r="AV463" s="203"/>
      <c r="AW463" s="203"/>
      <c r="AX463" s="203"/>
      <c r="AY463" s="203"/>
      <c r="AZ463" s="203"/>
      <c r="BA463" s="203"/>
      <c r="BB463" s="358"/>
      <c r="BC463" s="185"/>
      <c r="BD463" s="185"/>
      <c r="BE463" s="185"/>
      <c r="BF463" s="185"/>
      <c r="BG463" s="185"/>
      <c r="BH463" s="185"/>
      <c r="BI463" s="185"/>
      <c r="BJ463" s="185"/>
      <c r="BK463" s="185"/>
      <c r="BL463" s="185"/>
      <c r="BM463" s="185"/>
      <c r="BN463" s="185"/>
      <c r="BO463" s="185"/>
      <c r="BP463" s="185"/>
      <c r="BQ463" s="185"/>
      <c r="BR463" s="185"/>
      <c r="BS463" s="185"/>
      <c r="BT463" s="185"/>
      <c r="BU463" s="185"/>
      <c r="BV463" s="185"/>
      <c r="BW463" s="185"/>
      <c r="BX463" s="185"/>
      <c r="BY463" s="185"/>
      <c r="BZ463" s="185"/>
      <c r="CA463" s="185"/>
      <c r="CB463" s="185"/>
      <c r="CC463" s="185"/>
      <c r="CD463" s="185"/>
      <c r="CE463" s="185"/>
      <c r="CF463" s="185"/>
      <c r="CG463" s="185"/>
      <c r="CH463" s="185"/>
      <c r="CI463" s="185"/>
      <c r="CJ463" s="185"/>
      <c r="CK463" s="359"/>
      <c r="CL463" s="359"/>
      <c r="CM463" s="22"/>
      <c r="CN463" s="185"/>
      <c r="CO463" s="185"/>
      <c r="CP463" s="185"/>
      <c r="CQ463" s="185"/>
      <c r="CR463" s="185"/>
      <c r="CS463" s="185"/>
      <c r="CT463" s="185"/>
      <c r="CU463" s="185"/>
      <c r="CV463" s="185"/>
      <c r="CW463" s="185"/>
      <c r="CX463" s="185"/>
      <c r="CY463" s="185"/>
      <c r="CZ463" s="185"/>
      <c r="DA463" s="185"/>
      <c r="DB463" s="185"/>
      <c r="DC463" s="185"/>
      <c r="DD463" s="185"/>
      <c r="DE463" s="185"/>
      <c r="DF463" s="185"/>
      <c r="DG463" s="185"/>
      <c r="DH463" s="185"/>
      <c r="DI463" s="185"/>
      <c r="DJ463" s="22"/>
      <c r="DK463" s="185"/>
      <c r="DL463" s="185"/>
      <c r="DM463" s="185"/>
      <c r="DN463" s="23"/>
      <c r="DO463" s="23"/>
      <c r="DP463" s="363"/>
      <c r="DQ463" s="193"/>
      <c r="DR463" s="57" t="str">
        <f t="shared" si="15"/>
        <v/>
      </c>
      <c r="DS463" s="193"/>
      <c r="DT463" s="185"/>
      <c r="DU463" s="1" t="s">
        <v>280</v>
      </c>
      <c r="DV463" s="203"/>
      <c r="DW463" s="185"/>
      <c r="DX463" s="185"/>
      <c r="DY463" s="23"/>
      <c r="DZ463" s="185"/>
      <c r="EA463" s="364"/>
      <c r="EB463" s="364"/>
      <c r="EC463" s="364"/>
      <c r="ED463" s="364"/>
      <c r="EE463" s="185"/>
      <c r="EF463" s="185"/>
      <c r="EG463" s="185"/>
      <c r="EH463" s="185"/>
      <c r="EI463" s="185"/>
      <c r="EJ463" s="185"/>
      <c r="EK463" s="185"/>
      <c r="EL463" s="185"/>
      <c r="EM463" s="185"/>
      <c r="EN463" s="185"/>
      <c r="EO463" s="185"/>
      <c r="EP463" s="185"/>
      <c r="EQ463" s="185"/>
      <c r="ER463" s="185"/>
      <c r="ES463" s="185"/>
    </row>
    <row r="464" spans="1:149" s="21" customFormat="1" ht="14.25" customHeight="1" x14ac:dyDescent="0.15">
      <c r="A464" s="185"/>
      <c r="B464" s="186"/>
      <c r="C464" s="40"/>
      <c r="D464" s="185"/>
      <c r="E464" s="185"/>
      <c r="F464" s="185"/>
      <c r="G464" s="185"/>
      <c r="H464" s="185"/>
      <c r="I464" s="185"/>
      <c r="J464" s="185"/>
      <c r="K464" s="185"/>
      <c r="L464" s="185"/>
      <c r="M464" s="185"/>
      <c r="N464" s="185"/>
      <c r="O464" s="185"/>
      <c r="P464" s="185"/>
      <c r="Q464" s="185"/>
      <c r="R464" s="185"/>
      <c r="S464" s="185"/>
      <c r="T464" s="185"/>
      <c r="U464" s="185"/>
      <c r="V464" s="185"/>
      <c r="W464" s="185"/>
      <c r="X464" s="185"/>
      <c r="Y464" s="185"/>
      <c r="Z464" s="185"/>
      <c r="AA464" s="185"/>
      <c r="AB464" s="192">
        <v>66010102</v>
      </c>
      <c r="AC464" s="192" t="s">
        <v>856</v>
      </c>
      <c r="AD464" s="185" t="s">
        <v>330</v>
      </c>
      <c r="AE464" s="185" t="s">
        <v>291</v>
      </c>
      <c r="AF464" s="185" t="s">
        <v>314</v>
      </c>
      <c r="AG464" s="185"/>
      <c r="AH464" s="185"/>
      <c r="AI464" s="185"/>
      <c r="AJ464" s="185"/>
      <c r="AK464" s="185"/>
      <c r="AL464" s="203"/>
      <c r="AM464" s="203"/>
      <c r="AN464" s="203"/>
      <c r="AO464" s="203"/>
      <c r="AP464" s="203"/>
      <c r="AQ464" s="203"/>
      <c r="AR464" s="203"/>
      <c r="AS464" s="185"/>
      <c r="AT464" s="185"/>
      <c r="AU464" s="203"/>
      <c r="AV464" s="203"/>
      <c r="AW464" s="203"/>
      <c r="AX464" s="203"/>
      <c r="AY464" s="203"/>
      <c r="AZ464" s="203"/>
      <c r="BA464" s="203" t="s">
        <v>331</v>
      </c>
      <c r="BB464" s="358">
        <v>0.23</v>
      </c>
      <c r="BC464" s="185"/>
      <c r="BD464" s="185"/>
      <c r="BE464" s="185"/>
      <c r="BF464" s="185"/>
      <c r="BG464" s="185"/>
      <c r="BH464" s="185"/>
      <c r="BI464" s="185"/>
      <c r="BJ464" s="185"/>
      <c r="BK464" s="185"/>
      <c r="BL464" s="185"/>
      <c r="BM464" s="185"/>
      <c r="BN464" s="185"/>
      <c r="BO464" s="185"/>
      <c r="BP464" s="185"/>
      <c r="BQ464" s="185"/>
      <c r="BR464" s="185"/>
      <c r="BS464" s="185"/>
      <c r="BT464" s="185"/>
      <c r="BU464" s="185"/>
      <c r="BV464" s="185"/>
      <c r="BW464" s="185"/>
      <c r="BX464" s="185"/>
      <c r="BY464" s="185"/>
      <c r="BZ464" s="185"/>
      <c r="CA464" s="185"/>
      <c r="CB464" s="185"/>
      <c r="CC464" s="185"/>
      <c r="CD464" s="185"/>
      <c r="CE464" s="185"/>
      <c r="CF464" s="185"/>
      <c r="CG464" s="185"/>
      <c r="CH464" s="185"/>
      <c r="CI464" s="185"/>
      <c r="CJ464" s="185"/>
      <c r="CK464" s="360"/>
      <c r="CL464" s="360"/>
      <c r="CM464" s="185"/>
      <c r="CN464" s="185"/>
      <c r="CO464" s="185"/>
      <c r="CP464" s="185"/>
      <c r="CQ464" s="185"/>
      <c r="CR464" s="185"/>
      <c r="CS464" s="185"/>
      <c r="CT464" s="185"/>
      <c r="CU464" s="185"/>
      <c r="CV464" s="185"/>
      <c r="CW464" s="185"/>
      <c r="CX464" s="361"/>
      <c r="CY464" s="185"/>
      <c r="CZ464" s="185"/>
      <c r="DA464" s="185"/>
      <c r="DB464" s="185"/>
      <c r="DC464" s="185"/>
      <c r="DD464" s="185"/>
      <c r="DE464" s="185"/>
      <c r="DF464" s="185"/>
      <c r="DG464" s="185"/>
      <c r="DH464" s="185"/>
      <c r="DI464" s="361"/>
      <c r="DJ464" s="22" t="b">
        <v>1</v>
      </c>
      <c r="DK464" s="185"/>
      <c r="DL464" s="185"/>
      <c r="DM464" s="185"/>
      <c r="DN464" s="185"/>
      <c r="DO464" s="185"/>
      <c r="DP464" s="363"/>
      <c r="DQ464" s="193"/>
      <c r="DR464" s="57" t="str">
        <f t="shared" si="15"/>
        <v/>
      </c>
      <c r="DS464" s="193"/>
      <c r="DT464" s="185"/>
      <c r="DU464" s="1" t="s">
        <v>280</v>
      </c>
      <c r="DV464" s="203"/>
      <c r="DW464" s="185"/>
      <c r="DX464" s="185"/>
      <c r="DY464" s="203"/>
      <c r="DZ464" s="175"/>
      <c r="EA464" s="176"/>
      <c r="EB464" s="176"/>
      <c r="EC464" s="176"/>
      <c r="ED464" s="176"/>
      <c r="EE464" s="185"/>
      <c r="EF464" s="185"/>
      <c r="EG464" s="185"/>
      <c r="EH464" s="185"/>
      <c r="EI464" s="185"/>
      <c r="EJ464" s="185"/>
      <c r="EK464" s="185"/>
      <c r="EL464" s="185"/>
      <c r="EM464" s="185"/>
      <c r="EN464" s="185"/>
      <c r="EO464" s="185"/>
      <c r="EP464" s="185"/>
      <c r="EQ464" s="185"/>
      <c r="ER464" s="185"/>
      <c r="ES464" s="185"/>
    </row>
    <row r="465" spans="1:149" s="21" customFormat="1" ht="14.25" customHeight="1" x14ac:dyDescent="0.15">
      <c r="A465" s="185"/>
      <c r="B465" s="186"/>
      <c r="C465" s="40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5"/>
      <c r="O465" s="185"/>
      <c r="P465" s="185"/>
      <c r="Q465" s="185"/>
      <c r="R465" s="185"/>
      <c r="S465" s="185"/>
      <c r="T465" s="185"/>
      <c r="U465" s="185"/>
      <c r="V465" s="185"/>
      <c r="W465" s="185"/>
      <c r="X465" s="185"/>
      <c r="Y465" s="185"/>
      <c r="Z465" s="185"/>
      <c r="AA465" s="185"/>
      <c r="AB465" s="192">
        <v>66010103</v>
      </c>
      <c r="AC465" s="192" t="s">
        <v>857</v>
      </c>
      <c r="AD465" s="185" t="s">
        <v>333</v>
      </c>
      <c r="AE465" s="185" t="s">
        <v>291</v>
      </c>
      <c r="AF465" s="185" t="s">
        <v>314</v>
      </c>
      <c r="AG465" s="185"/>
      <c r="AH465" s="185"/>
      <c r="AI465" s="185"/>
      <c r="AJ465" s="185">
        <v>-1</v>
      </c>
      <c r="AK465" s="185"/>
      <c r="AL465" s="203"/>
      <c r="AM465" s="356"/>
      <c r="AN465" s="356"/>
      <c r="AO465" s="356"/>
      <c r="AP465" s="356"/>
      <c r="AQ465" s="356"/>
      <c r="AR465" s="356"/>
      <c r="AS465" s="185"/>
      <c r="AT465" s="185"/>
      <c r="AU465" s="203"/>
      <c r="AV465" s="203"/>
      <c r="AW465" s="203"/>
      <c r="AX465" s="203"/>
      <c r="AY465" s="203"/>
      <c r="AZ465" s="203"/>
      <c r="BA465" s="203"/>
      <c r="BB465" s="357"/>
      <c r="BC465" s="185"/>
      <c r="BD465" s="185"/>
      <c r="BE465" s="185"/>
      <c r="BF465" s="185"/>
      <c r="BG465" s="185"/>
      <c r="BH465" s="185"/>
      <c r="BI465" s="185"/>
      <c r="BJ465" s="185"/>
      <c r="BK465" s="185"/>
      <c r="BL465" s="185"/>
      <c r="BM465" s="185"/>
      <c r="BN465" s="185"/>
      <c r="BO465" s="185"/>
      <c r="BP465" s="185"/>
      <c r="BQ465" s="185"/>
      <c r="BR465" s="185"/>
      <c r="BS465" s="185"/>
      <c r="BT465" s="185"/>
      <c r="BU465" s="185"/>
      <c r="BV465" s="185"/>
      <c r="BW465" s="185"/>
      <c r="BX465" s="185"/>
      <c r="BY465" s="185"/>
      <c r="BZ465" s="185"/>
      <c r="CA465" s="185"/>
      <c r="CB465" s="185"/>
      <c r="CC465" s="185"/>
      <c r="CD465" s="185"/>
      <c r="CE465" s="185"/>
      <c r="CF465" s="185"/>
      <c r="CG465" s="185"/>
      <c r="CH465" s="185"/>
      <c r="CI465" s="185"/>
      <c r="CJ465" s="185"/>
      <c r="CK465" s="360"/>
      <c r="CL465" s="360"/>
      <c r="CM465" s="185"/>
      <c r="CN465" s="185"/>
      <c r="CO465" s="185"/>
      <c r="CP465" s="185"/>
      <c r="CQ465" s="185"/>
      <c r="CR465" s="185"/>
      <c r="CS465" s="185"/>
      <c r="CT465" s="185"/>
      <c r="CU465" s="185"/>
      <c r="CV465" s="185"/>
      <c r="CW465" s="185"/>
      <c r="CX465" s="185"/>
      <c r="CY465" s="185"/>
      <c r="CZ465" s="185"/>
      <c r="DA465" s="185"/>
      <c r="DB465" s="185"/>
      <c r="DC465" s="185"/>
      <c r="DD465" s="185"/>
      <c r="DE465" s="185"/>
      <c r="DF465" s="185"/>
      <c r="DG465" s="185"/>
      <c r="DH465" s="185"/>
      <c r="DI465" s="185"/>
      <c r="DJ465" s="22" t="b">
        <v>1</v>
      </c>
      <c r="DK465" s="185"/>
      <c r="DL465" s="185"/>
      <c r="DM465" s="185"/>
      <c r="DN465" s="185"/>
      <c r="DO465" s="185"/>
      <c r="DP465" s="363"/>
      <c r="DQ465" s="193"/>
      <c r="DR465" s="57" t="str">
        <f t="shared" si="15"/>
        <v/>
      </c>
      <c r="DS465" s="193"/>
      <c r="DT465" s="185"/>
      <c r="DU465" s="1" t="s">
        <v>280</v>
      </c>
      <c r="DV465" s="203"/>
      <c r="DW465" s="185"/>
      <c r="DX465" s="185"/>
      <c r="DY465" s="203"/>
      <c r="DZ465" s="185"/>
      <c r="EA465" s="185"/>
      <c r="EB465" s="185"/>
      <c r="EC465" s="185"/>
      <c r="ED465" s="185"/>
      <c r="EE465" s="185"/>
      <c r="EF465" s="185"/>
      <c r="EG465" s="185"/>
      <c r="EH465" s="185"/>
      <c r="EI465" s="185"/>
      <c r="EJ465" s="185"/>
      <c r="EK465" s="185"/>
      <c r="EL465" s="185"/>
      <c r="EM465" s="185"/>
      <c r="EN465" s="185"/>
      <c r="EO465" s="185"/>
      <c r="EP465" s="185"/>
      <c r="EQ465" s="185"/>
      <c r="ER465" s="185"/>
      <c r="ES465" s="185"/>
    </row>
    <row r="466" spans="1:149" s="22" customFormat="1" ht="57.6" customHeight="1" x14ac:dyDescent="0.15">
      <c r="A466" s="185">
        <v>660601</v>
      </c>
      <c r="B466" s="186" t="s">
        <v>887</v>
      </c>
      <c r="C466" s="40" t="s">
        <v>888</v>
      </c>
      <c r="D466" s="185" t="s">
        <v>889</v>
      </c>
      <c r="E466" s="185"/>
      <c r="F466" s="185"/>
      <c r="G466" s="185"/>
      <c r="H466" s="185">
        <v>0</v>
      </c>
      <c r="I466" s="185"/>
      <c r="J466" s="185"/>
      <c r="K466" s="185"/>
      <c r="L466" s="185">
        <v>0</v>
      </c>
      <c r="M466" s="185"/>
      <c r="N466" s="185"/>
      <c r="O466" s="185"/>
      <c r="P466" s="185" t="s">
        <v>268</v>
      </c>
      <c r="Q466" s="185" t="s">
        <v>269</v>
      </c>
      <c r="R466" s="185"/>
      <c r="S466" s="185"/>
      <c r="T466" s="185"/>
      <c r="U466" s="185"/>
      <c r="V466" s="185"/>
      <c r="W466" s="185"/>
      <c r="X466" s="185">
        <v>1</v>
      </c>
      <c r="Y466" s="185">
        <v>0</v>
      </c>
      <c r="Z466" s="185">
        <v>0</v>
      </c>
      <c r="AA466" s="185"/>
      <c r="AB466" s="185">
        <v>3002</v>
      </c>
      <c r="AC466" s="185" t="s">
        <v>297</v>
      </c>
      <c r="AD466" s="22" t="s">
        <v>330</v>
      </c>
      <c r="AE466" s="10" t="s">
        <v>129</v>
      </c>
      <c r="AF466" s="10" t="s">
        <v>314</v>
      </c>
      <c r="AG466" s="59"/>
      <c r="AH466" s="59"/>
      <c r="AI466" s="59"/>
      <c r="AJ466" s="59"/>
      <c r="AK466" s="59"/>
      <c r="BA466" s="185" t="s">
        <v>270</v>
      </c>
      <c r="BB466" s="357">
        <v>74</v>
      </c>
      <c r="BC466" s="22">
        <v>0</v>
      </c>
      <c r="BF466" s="22">
        <v>0</v>
      </c>
      <c r="BG466" s="22">
        <v>0</v>
      </c>
      <c r="BH466" s="22">
        <v>0</v>
      </c>
      <c r="BJ466" s="22" t="s">
        <v>270</v>
      </c>
      <c r="BS466" s="22" t="s">
        <v>270</v>
      </c>
      <c r="CF466" s="22" t="s">
        <v>378</v>
      </c>
      <c r="CJ466" s="22" t="s">
        <v>1</v>
      </c>
      <c r="CK466" s="368" t="s">
        <v>804</v>
      </c>
      <c r="CL466" s="368"/>
      <c r="CM466" s="22">
        <v>999</v>
      </c>
      <c r="CN466" s="22">
        <v>0</v>
      </c>
      <c r="CO466" s="22">
        <v>0</v>
      </c>
      <c r="CP466" s="22">
        <v>0</v>
      </c>
      <c r="CQ466" s="22">
        <v>0</v>
      </c>
      <c r="CS466" s="22">
        <v>5</v>
      </c>
      <c r="CU466" s="185">
        <v>20</v>
      </c>
      <c r="CV466" s="16" t="s">
        <v>890</v>
      </c>
      <c r="CW466" s="22" t="b">
        <v>0</v>
      </c>
      <c r="CX466" s="22" t="s">
        <v>273</v>
      </c>
      <c r="DB466" s="22">
        <v>102401</v>
      </c>
      <c r="DC466" s="22" t="b">
        <v>1</v>
      </c>
      <c r="DD466" s="185" t="s">
        <v>274</v>
      </c>
      <c r="DE466" s="185" t="s">
        <v>891</v>
      </c>
      <c r="DF466" s="185" t="s">
        <v>276</v>
      </c>
      <c r="DG466" s="185" t="s">
        <v>293</v>
      </c>
      <c r="DH466" s="22">
        <v>4</v>
      </c>
      <c r="DI466" s="22" t="b">
        <v>0</v>
      </c>
      <c r="DJ466" s="22" t="b">
        <v>1</v>
      </c>
      <c r="DP466" s="363" t="s">
        <v>473</v>
      </c>
      <c r="DQ466" s="22" t="s">
        <v>892</v>
      </c>
      <c r="DR466" s="57" t="e">
        <f t="shared" si="15"/>
        <v>#VALUE!</v>
      </c>
      <c r="DS466" s="22" t="s">
        <v>843</v>
      </c>
      <c r="DU466" s="1" t="s">
        <v>280</v>
      </c>
      <c r="DV466" s="365"/>
      <c r="DZ466" s="22">
        <v>1</v>
      </c>
      <c r="EA466" s="377">
        <v>-1</v>
      </c>
      <c r="EB466" s="377">
        <v>4.1666666666666699E-2</v>
      </c>
      <c r="EC466" s="377">
        <v>8.3333333333333301E-2</v>
      </c>
      <c r="ED466" s="377">
        <v>8.3333333333333301E-2</v>
      </c>
      <c r="EE466" s="22" t="s">
        <v>284</v>
      </c>
      <c r="EF466" s="22" t="s">
        <v>326</v>
      </c>
      <c r="EG466" s="22" t="e">
        <v>#VALUE!</v>
      </c>
      <c r="EH466" s="22" t="s">
        <v>285</v>
      </c>
      <c r="EI466" s="22" t="s">
        <v>344</v>
      </c>
      <c r="EJ466" s="22" t="e">
        <v>#VALUE!</v>
      </c>
      <c r="EK466" s="22" t="s">
        <v>286</v>
      </c>
      <c r="EL466" s="22" t="s">
        <v>328</v>
      </c>
      <c r="EM466" s="22" t="e">
        <v>#VALUE!</v>
      </c>
      <c r="EN466" s="22" t="s">
        <v>287</v>
      </c>
      <c r="EO466" s="22" t="s">
        <v>328</v>
      </c>
      <c r="EP466" s="22" t="e">
        <v>#VALUE!</v>
      </c>
    </row>
    <row r="467" spans="1:149" s="22" customFormat="1" ht="14.25" customHeight="1" x14ac:dyDescent="0.15">
      <c r="A467" s="185"/>
      <c r="B467" s="186"/>
      <c r="C467" s="40"/>
      <c r="D467" s="185"/>
      <c r="E467" s="185"/>
      <c r="F467" s="185"/>
      <c r="G467" s="185"/>
      <c r="H467" s="185"/>
      <c r="I467" s="185"/>
      <c r="J467" s="185"/>
      <c r="K467" s="185"/>
      <c r="L467" s="185"/>
      <c r="M467" s="185"/>
      <c r="N467" s="185"/>
      <c r="O467" s="185"/>
      <c r="P467" s="185"/>
      <c r="Q467" s="185"/>
      <c r="R467" s="185"/>
      <c r="S467" s="185"/>
      <c r="T467" s="185"/>
      <c r="U467" s="185"/>
      <c r="V467" s="185"/>
      <c r="W467" s="185"/>
      <c r="X467" s="185"/>
      <c r="Y467" s="185"/>
      <c r="Z467" s="185"/>
      <c r="AA467" s="185"/>
      <c r="AB467" s="17">
        <v>66010604</v>
      </c>
      <c r="AC467" s="17" t="s">
        <v>893</v>
      </c>
      <c r="AD467" s="22" t="s">
        <v>330</v>
      </c>
      <c r="AE467" s="10" t="s">
        <v>129</v>
      </c>
      <c r="AF467" s="10" t="s">
        <v>314</v>
      </c>
      <c r="AG467" s="59"/>
      <c r="AH467" s="59"/>
      <c r="AI467" s="59"/>
      <c r="AJ467" s="59">
        <v>6</v>
      </c>
      <c r="AK467" s="59"/>
      <c r="BA467" s="185"/>
      <c r="BB467" s="357"/>
      <c r="CK467" s="368"/>
      <c r="CL467" s="368"/>
      <c r="CU467" s="185"/>
      <c r="CV467" s="185"/>
      <c r="DD467" s="185"/>
      <c r="DE467" s="185"/>
      <c r="DF467" s="185"/>
      <c r="DG467" s="185"/>
      <c r="DP467" s="363"/>
      <c r="DR467" s="57" t="str">
        <f t="shared" si="15"/>
        <v/>
      </c>
      <c r="DU467" s="1" t="s">
        <v>280</v>
      </c>
      <c r="DV467" s="365"/>
      <c r="EA467" s="377"/>
      <c r="EB467" s="377"/>
      <c r="EC467" s="377"/>
      <c r="ED467" s="377"/>
    </row>
    <row r="468" spans="1:149" s="22" customFormat="1" ht="14.25" customHeight="1" x14ac:dyDescent="0.15">
      <c r="A468" s="185"/>
      <c r="B468" s="186"/>
      <c r="C468" s="40"/>
      <c r="D468" s="185"/>
      <c r="E468" s="185"/>
      <c r="F468" s="185"/>
      <c r="G468" s="185"/>
      <c r="H468" s="185"/>
      <c r="I468" s="185"/>
      <c r="J468" s="185"/>
      <c r="K468" s="185"/>
      <c r="L468" s="185"/>
      <c r="M468" s="185"/>
      <c r="N468" s="185"/>
      <c r="O468" s="185"/>
      <c r="P468" s="185"/>
      <c r="Q468" s="185"/>
      <c r="R468" s="185"/>
      <c r="S468" s="185"/>
      <c r="T468" s="185"/>
      <c r="U468" s="185"/>
      <c r="V468" s="185"/>
      <c r="W468" s="185"/>
      <c r="X468" s="185"/>
      <c r="Y468" s="185"/>
      <c r="Z468" s="185"/>
      <c r="AA468" s="185"/>
      <c r="AB468" s="17">
        <v>66010601</v>
      </c>
      <c r="AC468" s="192" t="s">
        <v>865</v>
      </c>
      <c r="AD468" s="22" t="s">
        <v>330</v>
      </c>
      <c r="AE468" s="59" t="s">
        <v>291</v>
      </c>
      <c r="AF468" s="59" t="s">
        <v>314</v>
      </c>
      <c r="AG468" s="59"/>
      <c r="AH468" s="59"/>
      <c r="AI468" s="59"/>
      <c r="AJ468" s="59"/>
      <c r="AK468" s="59"/>
      <c r="BA468" s="185"/>
      <c r="BB468" s="357"/>
      <c r="CK468" s="369"/>
      <c r="CL468" s="369"/>
      <c r="CU468" s="185"/>
      <c r="CV468" s="185"/>
      <c r="DD468" s="185"/>
      <c r="DE468" s="185"/>
      <c r="DF468" s="185"/>
      <c r="DG468" s="185"/>
      <c r="DJ468" s="22" t="b">
        <v>1</v>
      </c>
      <c r="DP468" s="363"/>
      <c r="DR468" s="57" t="str">
        <f t="shared" si="15"/>
        <v/>
      </c>
      <c r="DU468" s="1" t="s">
        <v>280</v>
      </c>
      <c r="DV468" s="365"/>
      <c r="DY468" s="365"/>
    </row>
    <row r="469" spans="1:149" s="22" customFormat="1" ht="14.25" customHeight="1" x14ac:dyDescent="0.15">
      <c r="A469" s="185"/>
      <c r="B469" s="186"/>
      <c r="C469" s="40"/>
      <c r="D469" s="185"/>
      <c r="E469" s="185"/>
      <c r="F469" s="185"/>
      <c r="G469" s="185"/>
      <c r="H469" s="185"/>
      <c r="I469" s="185"/>
      <c r="J469" s="185"/>
      <c r="K469" s="185"/>
      <c r="L469" s="185"/>
      <c r="M469" s="185"/>
      <c r="N469" s="185"/>
      <c r="O469" s="185"/>
      <c r="P469" s="185"/>
      <c r="Q469" s="185"/>
      <c r="R469" s="185"/>
      <c r="S469" s="185"/>
      <c r="T469" s="185"/>
      <c r="U469" s="185"/>
      <c r="V469" s="185"/>
      <c r="W469" s="185"/>
      <c r="X469" s="185"/>
      <c r="Y469" s="185"/>
      <c r="Z469" s="185"/>
      <c r="AA469" s="185"/>
      <c r="AB469" s="192">
        <v>66010602</v>
      </c>
      <c r="AC469" s="192" t="s">
        <v>866</v>
      </c>
      <c r="AE469" s="22" t="s">
        <v>291</v>
      </c>
      <c r="AF469" s="22" t="s">
        <v>314</v>
      </c>
      <c r="AJ469" s="22">
        <v>8</v>
      </c>
      <c r="AL469" s="365"/>
      <c r="AM469" s="365"/>
      <c r="AN469" s="365"/>
      <c r="AO469" s="365"/>
      <c r="AP469" s="365"/>
      <c r="AQ469" s="365"/>
      <c r="AR469" s="365"/>
      <c r="AU469" s="365"/>
      <c r="AV469" s="365"/>
      <c r="AW469" s="365"/>
      <c r="AX469" s="365"/>
      <c r="AY469" s="365"/>
      <c r="AZ469" s="365"/>
      <c r="BA469" s="203"/>
      <c r="BB469" s="357"/>
      <c r="CK469" s="368"/>
      <c r="CL469" s="368"/>
      <c r="CU469" s="185"/>
      <c r="CV469" s="185"/>
      <c r="CX469" s="374"/>
      <c r="DD469" s="210"/>
      <c r="DE469" s="185"/>
      <c r="DF469" s="210"/>
      <c r="DG469" s="210"/>
      <c r="DH469" s="375"/>
      <c r="DI469" s="375"/>
      <c r="DJ469" s="22" t="b">
        <v>1</v>
      </c>
      <c r="DP469" s="363"/>
      <c r="DQ469" s="376"/>
      <c r="DR469" s="57" t="str">
        <f t="shared" si="15"/>
        <v/>
      </c>
      <c r="DS469" s="376"/>
      <c r="DT469" s="106"/>
      <c r="DU469" s="1" t="s">
        <v>280</v>
      </c>
      <c r="DV469" s="365"/>
      <c r="DY469" s="365"/>
      <c r="DZ469" s="113"/>
      <c r="EA469" s="114"/>
      <c r="EB469" s="114"/>
      <c r="EC469" s="114"/>
      <c r="ED469" s="114"/>
    </row>
    <row r="470" spans="1:149" s="22" customFormat="1" ht="14.25" customHeight="1" x14ac:dyDescent="0.15">
      <c r="A470" s="185"/>
      <c r="B470" s="186"/>
      <c r="C470" s="40"/>
      <c r="D470" s="185"/>
      <c r="E470" s="185"/>
      <c r="F470" s="185"/>
      <c r="G470" s="185"/>
      <c r="H470" s="185"/>
      <c r="I470" s="185"/>
      <c r="J470" s="185"/>
      <c r="K470" s="185"/>
      <c r="L470" s="185"/>
      <c r="M470" s="185"/>
      <c r="N470" s="185"/>
      <c r="O470" s="185"/>
      <c r="P470" s="185"/>
      <c r="Q470" s="185"/>
      <c r="R470" s="185"/>
      <c r="S470" s="185"/>
      <c r="T470" s="185"/>
      <c r="U470" s="185"/>
      <c r="V470" s="185"/>
      <c r="W470" s="185"/>
      <c r="X470" s="185"/>
      <c r="Y470" s="185"/>
      <c r="Z470" s="185"/>
      <c r="AA470" s="185"/>
      <c r="AB470" s="17">
        <v>66010603</v>
      </c>
      <c r="AC470" s="192" t="s">
        <v>867</v>
      </c>
      <c r="AD470" s="22" t="s">
        <v>330</v>
      </c>
      <c r="AE470" s="22" t="s">
        <v>291</v>
      </c>
      <c r="AF470" s="22" t="s">
        <v>314</v>
      </c>
      <c r="AJ470" s="59"/>
      <c r="AK470" s="59"/>
      <c r="BA470" s="185"/>
      <c r="BB470" s="357"/>
      <c r="CK470" s="369"/>
      <c r="CL470" s="369"/>
      <c r="CU470" s="185"/>
      <c r="CV470" s="185"/>
      <c r="DD470" s="185"/>
      <c r="DE470" s="185"/>
      <c r="DF470" s="185"/>
      <c r="DG470" s="185"/>
      <c r="DJ470" s="22" t="b">
        <v>1</v>
      </c>
      <c r="DP470" s="363"/>
      <c r="DR470" s="57" t="str">
        <f t="shared" si="15"/>
        <v/>
      </c>
      <c r="DU470" s="1" t="s">
        <v>280</v>
      </c>
      <c r="DV470" s="365"/>
      <c r="DY470" s="365"/>
    </row>
    <row r="471" spans="1:149" s="21" customFormat="1" ht="68.099999999999994" customHeight="1" x14ac:dyDescent="0.15">
      <c r="A471" s="185">
        <v>660701</v>
      </c>
      <c r="B471" s="186" t="s">
        <v>265</v>
      </c>
      <c r="C471" s="40" t="s">
        <v>266</v>
      </c>
      <c r="D471" s="185" t="s">
        <v>894</v>
      </c>
      <c r="E471" s="185"/>
      <c r="F471" s="185"/>
      <c r="G471" s="185"/>
      <c r="H471" s="185">
        <v>0</v>
      </c>
      <c r="I471" s="185"/>
      <c r="J471" s="185"/>
      <c r="K471" s="185"/>
      <c r="L471" s="185">
        <v>0</v>
      </c>
      <c r="M471" s="185"/>
      <c r="N471" s="185"/>
      <c r="O471" s="185"/>
      <c r="P471" s="185" t="s">
        <v>268</v>
      </c>
      <c r="Q471" s="185" t="s">
        <v>269</v>
      </c>
      <c r="R471" s="185"/>
      <c r="S471" s="185"/>
      <c r="T471" s="185"/>
      <c r="U471" s="185"/>
      <c r="V471" s="185"/>
      <c r="W471" s="185"/>
      <c r="X471" s="185">
        <v>1</v>
      </c>
      <c r="Y471" s="185">
        <v>0</v>
      </c>
      <c r="Z471" s="185">
        <v>0</v>
      </c>
      <c r="AA471" s="185"/>
      <c r="AB471" s="185">
        <v>3001</v>
      </c>
      <c r="AC471" s="193" t="s">
        <v>337</v>
      </c>
      <c r="AD471" s="185"/>
      <c r="AE471" s="10" t="s">
        <v>129</v>
      </c>
      <c r="AF471" s="10" t="s">
        <v>314</v>
      </c>
      <c r="AG471" s="185"/>
      <c r="AH471" s="185"/>
      <c r="AI471" s="185"/>
      <c r="AJ471" s="185"/>
      <c r="AK471" s="185"/>
      <c r="AL471" s="203"/>
      <c r="AM471" s="203"/>
      <c r="AN471" s="203"/>
      <c r="AO471" s="203"/>
      <c r="AP471" s="203"/>
      <c r="AQ471" s="203"/>
      <c r="AR471" s="203"/>
      <c r="AS471" s="185"/>
      <c r="AT471" s="185"/>
      <c r="AU471" s="203"/>
      <c r="AV471" s="203"/>
      <c r="AW471" s="203"/>
      <c r="AX471" s="203"/>
      <c r="AY471" s="203"/>
      <c r="AZ471" s="203"/>
      <c r="BA471" s="203" t="s">
        <v>270</v>
      </c>
      <c r="BB471" s="357">
        <v>65</v>
      </c>
      <c r="BC471" s="185"/>
      <c r="BD471" s="185"/>
      <c r="BE471" s="185"/>
      <c r="BF471" s="185"/>
      <c r="BG471" s="185"/>
      <c r="BH471" s="185"/>
      <c r="BI471" s="185"/>
      <c r="BJ471" s="185"/>
      <c r="BK471" s="185"/>
      <c r="BL471" s="185"/>
      <c r="BM471" s="185"/>
      <c r="BN471" s="185"/>
      <c r="BO471" s="185"/>
      <c r="BP471" s="185"/>
      <c r="BQ471" s="185"/>
      <c r="BR471" s="185"/>
      <c r="BS471" s="185"/>
      <c r="BT471" s="185"/>
      <c r="BU471" s="185"/>
      <c r="BV471" s="185"/>
      <c r="BW471" s="185"/>
      <c r="BX471" s="185"/>
      <c r="BY471" s="185"/>
      <c r="BZ471" s="185"/>
      <c r="CA471" s="185"/>
      <c r="CB471" s="185"/>
      <c r="CC471" s="185"/>
      <c r="CD471" s="185"/>
      <c r="CE471" s="185"/>
      <c r="CF471" s="185" t="s">
        <v>271</v>
      </c>
      <c r="CG471" s="185"/>
      <c r="CH471" s="185"/>
      <c r="CI471" s="185"/>
      <c r="CJ471" s="22" t="s">
        <v>3</v>
      </c>
      <c r="CK471" s="368" t="s">
        <v>486</v>
      </c>
      <c r="CL471" s="368"/>
      <c r="CM471" s="22">
        <v>999</v>
      </c>
      <c r="CN471" s="185">
        <v>0</v>
      </c>
      <c r="CO471" s="185">
        <v>0</v>
      </c>
      <c r="CP471" s="185">
        <v>0</v>
      </c>
      <c r="CQ471" s="185">
        <v>0</v>
      </c>
      <c r="CR471" s="185"/>
      <c r="CS471" s="185">
        <v>20</v>
      </c>
      <c r="CT471" s="185">
        <v>10</v>
      </c>
      <c r="CU471" s="185">
        <v>24</v>
      </c>
      <c r="CV471" s="16" t="s">
        <v>895</v>
      </c>
      <c r="CW471" s="185" t="b">
        <v>1</v>
      </c>
      <c r="CX471" s="185" t="s">
        <v>273</v>
      </c>
      <c r="CY471" s="185"/>
      <c r="CZ471" s="185"/>
      <c r="DA471" s="185"/>
      <c r="DB471" s="185">
        <v>170501</v>
      </c>
      <c r="DC471" s="185" t="b">
        <v>1</v>
      </c>
      <c r="DD471" s="185" t="s">
        <v>274</v>
      </c>
      <c r="DE471" s="185" t="s">
        <v>275</v>
      </c>
      <c r="DF471" s="185" t="s">
        <v>276</v>
      </c>
      <c r="DG471" s="185" t="s">
        <v>703</v>
      </c>
      <c r="DH471" s="185">
        <v>4</v>
      </c>
      <c r="DI471" s="185" t="b">
        <v>0</v>
      </c>
      <c r="DJ471" s="22" t="b">
        <v>1</v>
      </c>
      <c r="DK471" s="185"/>
      <c r="DL471" s="185"/>
      <c r="DM471" s="185"/>
      <c r="DN471" s="23"/>
      <c r="DO471" s="23"/>
      <c r="DP471" s="363" t="s">
        <v>475</v>
      </c>
      <c r="DQ471" s="193" t="s">
        <v>854</v>
      </c>
      <c r="DR471" s="57" t="e">
        <f t="shared" si="15"/>
        <v>#VALUE!</v>
      </c>
      <c r="DS471" s="193" t="s">
        <v>837</v>
      </c>
      <c r="DT471" s="185"/>
      <c r="DU471" s="1" t="s">
        <v>280</v>
      </c>
      <c r="DV471" s="203"/>
      <c r="DW471" s="185"/>
      <c r="DX471" s="185"/>
      <c r="DY471" s="23"/>
      <c r="DZ471" s="185">
        <v>1</v>
      </c>
      <c r="EA471" s="364">
        <v>-1</v>
      </c>
      <c r="EB471" s="364">
        <v>4.1666666666666699E-2</v>
      </c>
      <c r="EC471" s="364">
        <v>8.3333333333333301E-2</v>
      </c>
      <c r="ED471" s="364">
        <v>8.3333333333333301E-2</v>
      </c>
      <c r="EE471" s="185" t="s">
        <v>284</v>
      </c>
      <c r="EF471" s="185" t="s">
        <v>326</v>
      </c>
      <c r="EG471" s="185" t="e">
        <v>#VALUE!</v>
      </c>
      <c r="EH471" s="185" t="s">
        <v>285</v>
      </c>
      <c r="EI471" s="185" t="s">
        <v>327</v>
      </c>
      <c r="EJ471" s="185" t="e">
        <v>#VALUE!</v>
      </c>
      <c r="EK471" s="185" t="s">
        <v>286</v>
      </c>
      <c r="EL471" s="185" t="s">
        <v>328</v>
      </c>
      <c r="EM471" s="185" t="e">
        <v>#VALUE!</v>
      </c>
      <c r="EN471" s="185" t="s">
        <v>287</v>
      </c>
      <c r="EO471" s="185" t="s">
        <v>328</v>
      </c>
      <c r="EP471" s="185" t="e">
        <v>#VALUE!</v>
      </c>
      <c r="EQ471" s="185"/>
      <c r="ER471" s="185"/>
      <c r="ES471" s="185"/>
    </row>
    <row r="472" spans="1:149" s="21" customFormat="1" ht="14.25" customHeight="1" x14ac:dyDescent="0.15">
      <c r="A472" s="185"/>
      <c r="B472" s="186"/>
      <c r="C472" s="40"/>
      <c r="D472" s="185"/>
      <c r="E472" s="185"/>
      <c r="F472" s="185"/>
      <c r="G472" s="185"/>
      <c r="H472" s="185"/>
      <c r="I472" s="185"/>
      <c r="J472" s="185"/>
      <c r="K472" s="185"/>
      <c r="L472" s="185"/>
      <c r="M472" s="185"/>
      <c r="N472" s="185"/>
      <c r="O472" s="185"/>
      <c r="P472" s="185"/>
      <c r="Q472" s="185"/>
      <c r="R472" s="185"/>
      <c r="S472" s="185"/>
      <c r="T472" s="185"/>
      <c r="U472" s="185"/>
      <c r="V472" s="185"/>
      <c r="W472" s="185"/>
      <c r="X472" s="185"/>
      <c r="Y472" s="185"/>
      <c r="Z472" s="185"/>
      <c r="AA472" s="185"/>
      <c r="AB472" s="192">
        <v>66010701</v>
      </c>
      <c r="AC472" s="192" t="s">
        <v>896</v>
      </c>
      <c r="AD472" s="185"/>
      <c r="AE472" s="22" t="s">
        <v>129</v>
      </c>
      <c r="AF472" s="185" t="s">
        <v>394</v>
      </c>
      <c r="AG472" s="185"/>
      <c r="AH472" s="185"/>
      <c r="AI472" s="185"/>
      <c r="AJ472" s="185">
        <v>6</v>
      </c>
      <c r="AK472" s="185"/>
      <c r="AL472" s="203"/>
      <c r="AM472" s="203"/>
      <c r="AN472" s="203"/>
      <c r="AO472" s="203"/>
      <c r="AP472" s="203"/>
      <c r="AQ472" s="203"/>
      <c r="AR472" s="203"/>
      <c r="AS472" s="185"/>
      <c r="AT472" s="185"/>
      <c r="AU472" s="203"/>
      <c r="AV472" s="203"/>
      <c r="AW472" s="203"/>
      <c r="AX472" s="203"/>
      <c r="AY472" s="203"/>
      <c r="AZ472" s="203"/>
      <c r="BA472" s="203" t="s">
        <v>897</v>
      </c>
      <c r="BB472" s="358">
        <v>100</v>
      </c>
      <c r="BC472" s="185"/>
      <c r="BD472" s="185"/>
      <c r="BE472" s="185"/>
      <c r="BF472" s="185"/>
      <c r="BG472" s="185"/>
      <c r="BH472" s="185"/>
      <c r="BI472" s="185"/>
      <c r="BJ472" s="185"/>
      <c r="BK472" s="185"/>
      <c r="BL472" s="185"/>
      <c r="BM472" s="185"/>
      <c r="BN472" s="185"/>
      <c r="BO472" s="185"/>
      <c r="BP472" s="185"/>
      <c r="BQ472" s="185"/>
      <c r="BR472" s="185"/>
      <c r="BS472" s="185"/>
      <c r="BT472" s="185"/>
      <c r="BU472" s="185"/>
      <c r="BV472" s="185"/>
      <c r="BW472" s="185"/>
      <c r="BX472" s="185"/>
      <c r="BY472" s="185"/>
      <c r="BZ472" s="185"/>
      <c r="CA472" s="185"/>
      <c r="CB472" s="185"/>
      <c r="CC472" s="185"/>
      <c r="CD472" s="185"/>
      <c r="CE472" s="185"/>
      <c r="CF472" s="185"/>
      <c r="CG472" s="185"/>
      <c r="CH472" s="185"/>
      <c r="CI472" s="185"/>
      <c r="CJ472" s="185"/>
      <c r="CK472" s="359"/>
      <c r="CL472" s="359"/>
      <c r="CM472" s="22"/>
      <c r="CN472" s="185"/>
      <c r="CO472" s="185"/>
      <c r="CP472" s="185"/>
      <c r="CQ472" s="185"/>
      <c r="CR472" s="185"/>
      <c r="CS472" s="185"/>
      <c r="CT472" s="185"/>
      <c r="CU472" s="185"/>
      <c r="CV472" s="185"/>
      <c r="CW472" s="185"/>
      <c r="CX472" s="185"/>
      <c r="CY472" s="185"/>
      <c r="CZ472" s="185"/>
      <c r="DA472" s="185"/>
      <c r="DB472" s="185"/>
      <c r="DC472" s="185"/>
      <c r="DD472" s="185"/>
      <c r="DE472" s="185"/>
      <c r="DF472" s="185"/>
      <c r="DG472" s="185"/>
      <c r="DH472" s="185"/>
      <c r="DI472" s="185"/>
      <c r="DJ472" s="22"/>
      <c r="DK472" s="185"/>
      <c r="DL472" s="185"/>
      <c r="DM472" s="185"/>
      <c r="DN472" s="23"/>
      <c r="DO472" s="23"/>
      <c r="DP472" s="363"/>
      <c r="DQ472" s="193"/>
      <c r="DR472" s="57" t="str">
        <f t="shared" si="15"/>
        <v/>
      </c>
      <c r="DS472" s="193"/>
      <c r="DT472" s="185"/>
      <c r="DU472" s="1" t="s">
        <v>280</v>
      </c>
      <c r="DV472" s="203"/>
      <c r="DW472" s="185"/>
      <c r="DX472" s="185"/>
      <c r="DY472" s="23"/>
      <c r="DZ472" s="185"/>
      <c r="EA472" s="364"/>
      <c r="EB472" s="364"/>
      <c r="EC472" s="364"/>
      <c r="ED472" s="364"/>
      <c r="EE472" s="185"/>
      <c r="EF472" s="185"/>
      <c r="EG472" s="185"/>
      <c r="EH472" s="185"/>
      <c r="EI472" s="185"/>
      <c r="EJ472" s="185"/>
      <c r="EK472" s="185"/>
      <c r="EL472" s="185"/>
      <c r="EM472" s="185"/>
      <c r="EN472" s="185"/>
      <c r="EO472" s="185"/>
      <c r="EP472" s="185"/>
      <c r="EQ472" s="185"/>
      <c r="ER472" s="185"/>
      <c r="ES472" s="185"/>
    </row>
    <row r="473" spans="1:149" s="21" customFormat="1" ht="14.25" customHeight="1" x14ac:dyDescent="0.15">
      <c r="A473" s="185"/>
      <c r="B473" s="186"/>
      <c r="C473" s="40"/>
      <c r="D473" s="185"/>
      <c r="E473" s="185"/>
      <c r="F473" s="185"/>
      <c r="G473" s="185"/>
      <c r="H473" s="185"/>
      <c r="I473" s="185"/>
      <c r="J473" s="185"/>
      <c r="K473" s="185"/>
      <c r="L473" s="185"/>
      <c r="M473" s="185"/>
      <c r="N473" s="185"/>
      <c r="O473" s="185"/>
      <c r="P473" s="185"/>
      <c r="Q473" s="185"/>
      <c r="R473" s="185"/>
      <c r="S473" s="185"/>
      <c r="T473" s="185"/>
      <c r="U473" s="185"/>
      <c r="V473" s="185"/>
      <c r="W473" s="185"/>
      <c r="X473" s="185"/>
      <c r="Y473" s="185"/>
      <c r="Z473" s="185"/>
      <c r="AA473" s="185"/>
      <c r="AB473" s="192">
        <v>66010102</v>
      </c>
      <c r="AC473" s="192" t="s">
        <v>856</v>
      </c>
      <c r="AD473" s="185" t="s">
        <v>330</v>
      </c>
      <c r="AE473" s="185" t="s">
        <v>291</v>
      </c>
      <c r="AF473" s="185" t="s">
        <v>314</v>
      </c>
      <c r="AG473" s="185"/>
      <c r="AH473" s="185"/>
      <c r="AI473" s="185"/>
      <c r="AJ473" s="185"/>
      <c r="AK473" s="185"/>
      <c r="AL473" s="203"/>
      <c r="AM473" s="203"/>
      <c r="AN473" s="203"/>
      <c r="AO473" s="203"/>
      <c r="AP473" s="203"/>
      <c r="AQ473" s="203"/>
      <c r="AR473" s="203"/>
      <c r="AS473" s="185"/>
      <c r="AT473" s="185"/>
      <c r="AU473" s="203"/>
      <c r="AV473" s="203"/>
      <c r="AW473" s="203"/>
      <c r="AX473" s="203"/>
      <c r="AY473" s="203"/>
      <c r="AZ473" s="203"/>
      <c r="BA473" s="203" t="s">
        <v>331</v>
      </c>
      <c r="BB473" s="358">
        <v>0.23</v>
      </c>
      <c r="BC473" s="185"/>
      <c r="BD473" s="185"/>
      <c r="BE473" s="185"/>
      <c r="BF473" s="185"/>
      <c r="BG473" s="185"/>
      <c r="BH473" s="185"/>
      <c r="BI473" s="185"/>
      <c r="BJ473" s="185"/>
      <c r="BK473" s="185"/>
      <c r="BL473" s="185"/>
      <c r="BM473" s="185"/>
      <c r="BN473" s="185"/>
      <c r="BO473" s="185"/>
      <c r="BP473" s="185"/>
      <c r="BQ473" s="185"/>
      <c r="BR473" s="185"/>
      <c r="BS473" s="185"/>
      <c r="BT473" s="185"/>
      <c r="BU473" s="185"/>
      <c r="BV473" s="185"/>
      <c r="BW473" s="185"/>
      <c r="BX473" s="185"/>
      <c r="BY473" s="185"/>
      <c r="BZ473" s="185"/>
      <c r="CA473" s="185"/>
      <c r="CB473" s="185"/>
      <c r="CC473" s="185"/>
      <c r="CD473" s="185"/>
      <c r="CE473" s="185"/>
      <c r="CF473" s="185"/>
      <c r="CG473" s="185"/>
      <c r="CH473" s="185"/>
      <c r="CI473" s="185"/>
      <c r="CJ473" s="185"/>
      <c r="CK473" s="360"/>
      <c r="CL473" s="360"/>
      <c r="CM473" s="185"/>
      <c r="CN473" s="185"/>
      <c r="CO473" s="185"/>
      <c r="CP473" s="185"/>
      <c r="CQ473" s="185"/>
      <c r="CR473" s="185"/>
      <c r="CS473" s="185"/>
      <c r="CT473" s="185"/>
      <c r="CU473" s="185"/>
      <c r="CV473" s="185"/>
      <c r="CW473" s="185"/>
      <c r="CX473" s="361"/>
      <c r="CY473" s="185"/>
      <c r="CZ473" s="185"/>
      <c r="DA473" s="185"/>
      <c r="DB473" s="185"/>
      <c r="DC473" s="185"/>
      <c r="DD473" s="185"/>
      <c r="DE473" s="185"/>
      <c r="DF473" s="185"/>
      <c r="DG473" s="185"/>
      <c r="DH473" s="185"/>
      <c r="DI473" s="361"/>
      <c r="DJ473" s="22" t="b">
        <v>1</v>
      </c>
      <c r="DK473" s="185"/>
      <c r="DL473" s="185"/>
      <c r="DM473" s="185"/>
      <c r="DN473" s="185"/>
      <c r="DO473" s="185"/>
      <c r="DP473" s="363"/>
      <c r="DQ473" s="193"/>
      <c r="DR473" s="57" t="str">
        <f t="shared" si="15"/>
        <v/>
      </c>
      <c r="DS473" s="193"/>
      <c r="DT473" s="185"/>
      <c r="DU473" s="1" t="s">
        <v>280</v>
      </c>
      <c r="DV473" s="203"/>
      <c r="DW473" s="185"/>
      <c r="DX473" s="185"/>
      <c r="DY473" s="203"/>
      <c r="DZ473" s="175"/>
      <c r="EA473" s="176"/>
      <c r="EB473" s="176"/>
      <c r="EC473" s="176"/>
      <c r="ED473" s="176"/>
      <c r="EE473" s="185"/>
      <c r="EF473" s="185"/>
      <c r="EG473" s="185"/>
      <c r="EH473" s="185"/>
      <c r="EI473" s="185"/>
      <c r="EJ473" s="185"/>
      <c r="EK473" s="185"/>
      <c r="EL473" s="185"/>
      <c r="EM473" s="185"/>
      <c r="EN473" s="185"/>
      <c r="EO473" s="185"/>
      <c r="EP473" s="185"/>
      <c r="EQ473" s="185"/>
      <c r="ER473" s="185"/>
      <c r="ES473" s="185"/>
    </row>
    <row r="474" spans="1:149" s="21" customFormat="1" ht="14.25" customHeight="1" x14ac:dyDescent="0.15">
      <c r="A474" s="185"/>
      <c r="B474" s="186"/>
      <c r="C474" s="40"/>
      <c r="D474" s="185"/>
      <c r="E474" s="185"/>
      <c r="F474" s="185"/>
      <c r="G474" s="185"/>
      <c r="H474" s="185"/>
      <c r="I474" s="185"/>
      <c r="J474" s="185"/>
      <c r="K474" s="185"/>
      <c r="L474" s="185"/>
      <c r="M474" s="185"/>
      <c r="N474" s="185"/>
      <c r="O474" s="185"/>
      <c r="P474" s="185"/>
      <c r="Q474" s="185"/>
      <c r="R474" s="185"/>
      <c r="S474" s="185"/>
      <c r="T474" s="185"/>
      <c r="U474" s="185"/>
      <c r="V474" s="185"/>
      <c r="W474" s="185"/>
      <c r="X474" s="185"/>
      <c r="Y474" s="185"/>
      <c r="Z474" s="185"/>
      <c r="AA474" s="185"/>
      <c r="AB474" s="192">
        <v>66010103</v>
      </c>
      <c r="AC474" s="192" t="s">
        <v>857</v>
      </c>
      <c r="AD474" s="185" t="s">
        <v>333</v>
      </c>
      <c r="AE474" s="185" t="s">
        <v>291</v>
      </c>
      <c r="AF474" s="185" t="s">
        <v>314</v>
      </c>
      <c r="AG474" s="185"/>
      <c r="AH474" s="185"/>
      <c r="AI474" s="185"/>
      <c r="AJ474" s="185">
        <v>-1</v>
      </c>
      <c r="AK474" s="185"/>
      <c r="AL474" s="203"/>
      <c r="AM474" s="356"/>
      <c r="AN474" s="356"/>
      <c r="AO474" s="356"/>
      <c r="AP474" s="356"/>
      <c r="AQ474" s="356"/>
      <c r="AR474" s="356"/>
      <c r="AS474" s="185"/>
      <c r="AT474" s="185"/>
      <c r="AU474" s="203"/>
      <c r="AV474" s="203"/>
      <c r="AW474" s="203"/>
      <c r="AX474" s="203"/>
      <c r="AY474" s="203"/>
      <c r="AZ474" s="203"/>
      <c r="BA474" s="203"/>
      <c r="BB474" s="357"/>
      <c r="BC474" s="185"/>
      <c r="BD474" s="185"/>
      <c r="BE474" s="185"/>
      <c r="BF474" s="185"/>
      <c r="BG474" s="185"/>
      <c r="BH474" s="185"/>
      <c r="BI474" s="185"/>
      <c r="BJ474" s="185"/>
      <c r="BK474" s="185"/>
      <c r="BL474" s="185"/>
      <c r="BM474" s="185"/>
      <c r="BN474" s="185"/>
      <c r="BO474" s="185"/>
      <c r="BP474" s="185"/>
      <c r="BQ474" s="185"/>
      <c r="BR474" s="185"/>
      <c r="BS474" s="185"/>
      <c r="BT474" s="185"/>
      <c r="BU474" s="185"/>
      <c r="BV474" s="185"/>
      <c r="BW474" s="185"/>
      <c r="BX474" s="185"/>
      <c r="BY474" s="185"/>
      <c r="BZ474" s="185"/>
      <c r="CA474" s="185"/>
      <c r="CB474" s="185"/>
      <c r="CC474" s="185"/>
      <c r="CD474" s="185"/>
      <c r="CE474" s="185"/>
      <c r="CF474" s="185"/>
      <c r="CG474" s="185"/>
      <c r="CH474" s="185"/>
      <c r="CI474" s="185"/>
      <c r="CJ474" s="185"/>
      <c r="CK474" s="360"/>
      <c r="CL474" s="360"/>
      <c r="CM474" s="185"/>
      <c r="CN474" s="185"/>
      <c r="CO474" s="185"/>
      <c r="CP474" s="185"/>
      <c r="CQ474" s="185"/>
      <c r="CR474" s="185"/>
      <c r="CS474" s="185"/>
      <c r="CT474" s="185"/>
      <c r="CU474" s="185"/>
      <c r="CV474" s="185"/>
      <c r="CW474" s="185"/>
      <c r="CX474" s="185"/>
      <c r="CY474" s="185"/>
      <c r="CZ474" s="185"/>
      <c r="DA474" s="185"/>
      <c r="DB474" s="185"/>
      <c r="DC474" s="185"/>
      <c r="DD474" s="185"/>
      <c r="DE474" s="185"/>
      <c r="DF474" s="185"/>
      <c r="DG474" s="185"/>
      <c r="DH474" s="185"/>
      <c r="DI474" s="185"/>
      <c r="DJ474" s="22" t="b">
        <v>1</v>
      </c>
      <c r="DK474" s="185"/>
      <c r="DL474" s="185"/>
      <c r="DM474" s="185"/>
      <c r="DN474" s="185"/>
      <c r="DO474" s="185"/>
      <c r="DP474" s="363"/>
      <c r="DQ474" s="193"/>
      <c r="DR474" s="57" t="str">
        <f t="shared" si="15"/>
        <v/>
      </c>
      <c r="DS474" s="193"/>
      <c r="DT474" s="185"/>
      <c r="DU474" s="1" t="s">
        <v>280</v>
      </c>
      <c r="DV474" s="203"/>
      <c r="DW474" s="185"/>
      <c r="DX474" s="185"/>
      <c r="DY474" s="203"/>
      <c r="DZ474" s="185"/>
      <c r="EA474" s="185"/>
      <c r="EB474" s="185"/>
      <c r="EC474" s="185"/>
      <c r="ED474" s="185"/>
      <c r="EE474" s="185"/>
      <c r="EF474" s="185"/>
      <c r="EG474" s="185"/>
      <c r="EH474" s="185"/>
      <c r="EI474" s="185"/>
      <c r="EJ474" s="185"/>
      <c r="EK474" s="185"/>
      <c r="EL474" s="185"/>
      <c r="EM474" s="185"/>
      <c r="EN474" s="185"/>
      <c r="EO474" s="185"/>
      <c r="EP474" s="185"/>
      <c r="EQ474" s="185"/>
      <c r="ER474" s="185"/>
      <c r="ES474" s="185"/>
    </row>
    <row r="475" spans="1:149" s="21" customFormat="1" ht="51.6" customHeight="1" x14ac:dyDescent="0.15">
      <c r="A475" s="185">
        <v>660801</v>
      </c>
      <c r="B475" s="186" t="s">
        <v>898</v>
      </c>
      <c r="C475" s="40" t="s">
        <v>899</v>
      </c>
      <c r="D475" s="185" t="s">
        <v>900</v>
      </c>
      <c r="E475" s="185"/>
      <c r="F475" s="185"/>
      <c r="G475" s="185"/>
      <c r="H475" s="185">
        <v>0</v>
      </c>
      <c r="I475" s="185"/>
      <c r="J475" s="185"/>
      <c r="K475" s="185"/>
      <c r="L475" s="185">
        <v>0</v>
      </c>
      <c r="M475" s="185"/>
      <c r="N475" s="185"/>
      <c r="O475" s="185"/>
      <c r="P475" s="185" t="s">
        <v>268</v>
      </c>
      <c r="Q475" s="185" t="s">
        <v>269</v>
      </c>
      <c r="R475" s="185"/>
      <c r="S475" s="185"/>
      <c r="T475" s="185"/>
      <c r="U475" s="185"/>
      <c r="V475" s="185"/>
      <c r="W475" s="185"/>
      <c r="X475" s="185">
        <v>1</v>
      </c>
      <c r="Y475" s="185">
        <v>0</v>
      </c>
      <c r="Z475" s="185">
        <v>0</v>
      </c>
      <c r="AA475" s="185"/>
      <c r="AB475" s="185">
        <v>3001</v>
      </c>
      <c r="AC475" s="193" t="s">
        <v>337</v>
      </c>
      <c r="AD475" s="185"/>
      <c r="AE475" s="10" t="s">
        <v>129</v>
      </c>
      <c r="AF475" s="10" t="s">
        <v>314</v>
      </c>
      <c r="AG475" s="185"/>
      <c r="AH475" s="185"/>
      <c r="AI475" s="185"/>
      <c r="AJ475" s="185"/>
      <c r="AK475" s="185"/>
      <c r="AL475" s="203"/>
      <c r="AM475" s="203"/>
      <c r="AN475" s="203"/>
      <c r="AO475" s="203"/>
      <c r="AP475" s="203"/>
      <c r="AQ475" s="203"/>
      <c r="AR475" s="203"/>
      <c r="AS475" s="185"/>
      <c r="AT475" s="185"/>
      <c r="AU475" s="203"/>
      <c r="AV475" s="203"/>
      <c r="AW475" s="203"/>
      <c r="AX475" s="203"/>
      <c r="AY475" s="203"/>
      <c r="AZ475" s="203"/>
      <c r="BA475" s="203" t="s">
        <v>270</v>
      </c>
      <c r="BB475" s="357">
        <v>65</v>
      </c>
      <c r="BC475" s="185"/>
      <c r="BD475" s="185"/>
      <c r="BE475" s="185"/>
      <c r="BF475" s="185"/>
      <c r="BG475" s="185"/>
      <c r="BH475" s="185"/>
      <c r="BI475" s="185"/>
      <c r="BJ475" s="185"/>
      <c r="BK475" s="185"/>
      <c r="BL475" s="185"/>
      <c r="BM475" s="185"/>
      <c r="BN475" s="185"/>
      <c r="BO475" s="185"/>
      <c r="BP475" s="185"/>
      <c r="BQ475" s="185"/>
      <c r="BR475" s="185"/>
      <c r="BS475" s="185"/>
      <c r="BT475" s="185"/>
      <c r="BU475" s="185"/>
      <c r="BV475" s="185"/>
      <c r="BW475" s="185"/>
      <c r="BX475" s="185"/>
      <c r="BY475" s="185"/>
      <c r="BZ475" s="185"/>
      <c r="CA475" s="185"/>
      <c r="CB475" s="185"/>
      <c r="CC475" s="185"/>
      <c r="CD475" s="185"/>
      <c r="CE475" s="185"/>
      <c r="CF475" s="185" t="s">
        <v>271</v>
      </c>
      <c r="CG475" s="185"/>
      <c r="CH475" s="185"/>
      <c r="CI475" s="185"/>
      <c r="CJ475" s="185" t="s">
        <v>1</v>
      </c>
      <c r="CK475" s="359" t="s">
        <v>464</v>
      </c>
      <c r="CL475" s="359"/>
      <c r="CM475" s="22">
        <v>999</v>
      </c>
      <c r="CN475" s="185">
        <v>0</v>
      </c>
      <c r="CO475" s="185">
        <v>0</v>
      </c>
      <c r="CP475" s="185">
        <v>0</v>
      </c>
      <c r="CQ475" s="185">
        <v>0</v>
      </c>
      <c r="CR475" s="185"/>
      <c r="CS475" s="185">
        <v>20</v>
      </c>
      <c r="CT475" s="185">
        <v>10</v>
      </c>
      <c r="CU475" s="185">
        <v>24</v>
      </c>
      <c r="CV475" s="16" t="s">
        <v>901</v>
      </c>
      <c r="CW475" s="185" t="b">
        <v>1</v>
      </c>
      <c r="CX475" s="185" t="s">
        <v>273</v>
      </c>
      <c r="CY475" s="185"/>
      <c r="CZ475" s="185"/>
      <c r="DA475" s="185"/>
      <c r="DB475" s="185">
        <v>170501</v>
      </c>
      <c r="DC475" s="185" t="b">
        <v>1</v>
      </c>
      <c r="DD475" s="185" t="s">
        <v>274</v>
      </c>
      <c r="DE475" s="185" t="s">
        <v>902</v>
      </c>
      <c r="DF475" s="185" t="s">
        <v>276</v>
      </c>
      <c r="DG475" s="185" t="s">
        <v>322</v>
      </c>
      <c r="DH475" s="185">
        <v>4</v>
      </c>
      <c r="DI475" s="185" t="b">
        <v>0</v>
      </c>
      <c r="DJ475" s="22" t="b">
        <v>1</v>
      </c>
      <c r="DK475" s="185"/>
      <c r="DL475" s="185"/>
      <c r="DM475" s="185"/>
      <c r="DN475" s="23"/>
      <c r="DO475" s="23"/>
      <c r="DP475" s="363" t="s">
        <v>475</v>
      </c>
      <c r="DQ475" s="193" t="s">
        <v>854</v>
      </c>
      <c r="DR475" s="57" t="e">
        <f t="shared" si="15"/>
        <v>#VALUE!</v>
      </c>
      <c r="DS475" s="193" t="s">
        <v>837</v>
      </c>
      <c r="DT475" s="185"/>
      <c r="DU475" s="1" t="s">
        <v>280</v>
      </c>
      <c r="DV475" s="203"/>
      <c r="DW475" s="185"/>
      <c r="DX475" s="185"/>
      <c r="DY475" s="23"/>
      <c r="DZ475" s="185">
        <v>1</v>
      </c>
      <c r="EA475" s="364">
        <v>-1</v>
      </c>
      <c r="EB475" s="364">
        <v>4.1666666666666699E-2</v>
      </c>
      <c r="EC475" s="364">
        <v>8.3333333333333301E-2</v>
      </c>
      <c r="ED475" s="364">
        <v>8.3333333333333301E-2</v>
      </c>
      <c r="EE475" s="185" t="s">
        <v>284</v>
      </c>
      <c r="EF475" s="185" t="s">
        <v>326</v>
      </c>
      <c r="EG475" s="185" t="e">
        <v>#VALUE!</v>
      </c>
      <c r="EH475" s="185" t="s">
        <v>285</v>
      </c>
      <c r="EI475" s="185" t="s">
        <v>327</v>
      </c>
      <c r="EJ475" s="185" t="e">
        <v>#VALUE!</v>
      </c>
      <c r="EK475" s="185" t="s">
        <v>286</v>
      </c>
      <c r="EL475" s="185" t="s">
        <v>328</v>
      </c>
      <c r="EM475" s="185" t="e">
        <v>#VALUE!</v>
      </c>
      <c r="EN475" s="185" t="s">
        <v>287</v>
      </c>
      <c r="EO475" s="185" t="s">
        <v>328</v>
      </c>
      <c r="EP475" s="185" t="e">
        <v>#VALUE!</v>
      </c>
      <c r="EQ475" s="185"/>
      <c r="ER475" s="185"/>
      <c r="ES475" s="185"/>
    </row>
    <row r="476" spans="1:149" s="21" customFormat="1" ht="14.25" customHeight="1" x14ac:dyDescent="0.15">
      <c r="A476" s="185"/>
      <c r="B476" s="186"/>
      <c r="C476" s="40"/>
      <c r="D476" s="185"/>
      <c r="E476" s="185"/>
      <c r="F476" s="185"/>
      <c r="G476" s="185"/>
      <c r="H476" s="185"/>
      <c r="I476" s="185"/>
      <c r="J476" s="185"/>
      <c r="K476" s="185"/>
      <c r="L476" s="185"/>
      <c r="M476" s="185"/>
      <c r="N476" s="185"/>
      <c r="O476" s="185"/>
      <c r="P476" s="185"/>
      <c r="Q476" s="185"/>
      <c r="R476" s="185"/>
      <c r="S476" s="185"/>
      <c r="T476" s="185"/>
      <c r="U476" s="185"/>
      <c r="V476" s="185"/>
      <c r="W476" s="185"/>
      <c r="X476" s="185"/>
      <c r="Y476" s="185"/>
      <c r="Z476" s="185"/>
      <c r="AA476" s="185"/>
      <c r="AB476" s="192">
        <v>66010801</v>
      </c>
      <c r="AC476" s="17" t="s">
        <v>903</v>
      </c>
      <c r="AD476" s="185"/>
      <c r="AE476" s="10" t="s">
        <v>129</v>
      </c>
      <c r="AF476" s="10" t="s">
        <v>314</v>
      </c>
      <c r="AG476" s="185"/>
      <c r="AH476" s="185"/>
      <c r="AI476" s="185"/>
      <c r="AJ476" s="185">
        <v>6</v>
      </c>
      <c r="AK476" s="185"/>
      <c r="AL476" s="203"/>
      <c r="AM476" s="203"/>
      <c r="AN476" s="203"/>
      <c r="AO476" s="203"/>
      <c r="AP476" s="203"/>
      <c r="AQ476" s="203"/>
      <c r="AR476" s="203"/>
      <c r="AS476" s="185"/>
      <c r="AT476" s="185"/>
      <c r="AU476" s="203"/>
      <c r="AV476" s="203"/>
      <c r="AW476" s="203"/>
      <c r="AX476" s="203"/>
      <c r="AY476" s="203"/>
      <c r="AZ476" s="203"/>
      <c r="BA476" s="203"/>
      <c r="BB476" s="358"/>
      <c r="BC476" s="185"/>
      <c r="BD476" s="185"/>
      <c r="BE476" s="185"/>
      <c r="BF476" s="185"/>
      <c r="BG476" s="185"/>
      <c r="BH476" s="185"/>
      <c r="BI476" s="185"/>
      <c r="BJ476" s="185"/>
      <c r="BK476" s="185"/>
      <c r="BL476" s="185"/>
      <c r="BM476" s="185"/>
      <c r="BN476" s="185"/>
      <c r="BO476" s="185"/>
      <c r="BP476" s="185"/>
      <c r="BQ476" s="185"/>
      <c r="BR476" s="185"/>
      <c r="BS476" s="185"/>
      <c r="BT476" s="185"/>
      <c r="BU476" s="185"/>
      <c r="BV476" s="185"/>
      <c r="BW476" s="185"/>
      <c r="BX476" s="185"/>
      <c r="BY476" s="185"/>
      <c r="BZ476" s="185"/>
      <c r="CA476" s="185"/>
      <c r="CB476" s="185"/>
      <c r="CC476" s="185"/>
      <c r="CD476" s="185"/>
      <c r="CE476" s="185"/>
      <c r="CF476" s="185"/>
      <c r="CG476" s="185"/>
      <c r="CH476" s="185"/>
      <c r="CI476" s="185"/>
      <c r="CJ476" s="185"/>
      <c r="CK476" s="359"/>
      <c r="CL476" s="359"/>
      <c r="CM476" s="22"/>
      <c r="CN476" s="185"/>
      <c r="CO476" s="185"/>
      <c r="CP476" s="185"/>
      <c r="CQ476" s="185"/>
      <c r="CR476" s="185"/>
      <c r="CS476" s="185"/>
      <c r="CT476" s="185"/>
      <c r="CU476" s="185"/>
      <c r="CV476" s="185"/>
      <c r="CW476" s="185"/>
      <c r="CX476" s="185"/>
      <c r="CY476" s="185"/>
      <c r="CZ476" s="185"/>
      <c r="DA476" s="185"/>
      <c r="DB476" s="185"/>
      <c r="DC476" s="185"/>
      <c r="DD476" s="185"/>
      <c r="DE476" s="185"/>
      <c r="DF476" s="185"/>
      <c r="DG476" s="185"/>
      <c r="DH476" s="185"/>
      <c r="DI476" s="185"/>
      <c r="DJ476" s="22"/>
      <c r="DK476" s="185"/>
      <c r="DL476" s="185"/>
      <c r="DM476" s="185"/>
      <c r="DN476" s="23"/>
      <c r="DO476" s="23"/>
      <c r="DP476" s="363"/>
      <c r="DQ476" s="193"/>
      <c r="DR476" s="57" t="str">
        <f t="shared" si="15"/>
        <v/>
      </c>
      <c r="DS476" s="193"/>
      <c r="DT476" s="185"/>
      <c r="DU476" s="1" t="s">
        <v>280</v>
      </c>
      <c r="DV476" s="203"/>
      <c r="DW476" s="185"/>
      <c r="DX476" s="185"/>
      <c r="DY476" s="23"/>
      <c r="DZ476" s="185"/>
      <c r="EA476" s="364"/>
      <c r="EB476" s="364"/>
      <c r="EC476" s="364"/>
      <c r="ED476" s="364"/>
      <c r="EE476" s="185"/>
      <c r="EF476" s="185"/>
      <c r="EG476" s="185"/>
      <c r="EH476" s="185"/>
      <c r="EI476" s="185"/>
      <c r="EJ476" s="185"/>
      <c r="EK476" s="185"/>
      <c r="EL476" s="185"/>
      <c r="EM476" s="185"/>
      <c r="EN476" s="185"/>
      <c r="EO476" s="185"/>
      <c r="EP476" s="185"/>
      <c r="EQ476" s="185"/>
      <c r="ER476" s="185"/>
      <c r="ES476" s="185"/>
    </row>
    <row r="477" spans="1:149" s="21" customFormat="1" ht="14.25" customHeight="1" x14ac:dyDescent="0.15">
      <c r="A477" s="185"/>
      <c r="B477" s="186"/>
      <c r="C477" s="40"/>
      <c r="D477" s="185"/>
      <c r="E477" s="185"/>
      <c r="F477" s="185"/>
      <c r="G477" s="185"/>
      <c r="H477" s="185"/>
      <c r="I477" s="185"/>
      <c r="J477" s="185"/>
      <c r="K477" s="185"/>
      <c r="L477" s="185"/>
      <c r="M477" s="185"/>
      <c r="N477" s="185"/>
      <c r="O477" s="185"/>
      <c r="P477" s="185"/>
      <c r="Q477" s="185"/>
      <c r="R477" s="185"/>
      <c r="S477" s="185"/>
      <c r="T477" s="185"/>
      <c r="U477" s="185"/>
      <c r="V477" s="185"/>
      <c r="W477" s="185"/>
      <c r="X477" s="185"/>
      <c r="Y477" s="185"/>
      <c r="Z477" s="185"/>
      <c r="AA477" s="185"/>
      <c r="AB477" s="192">
        <v>66010102</v>
      </c>
      <c r="AC477" s="192" t="s">
        <v>856</v>
      </c>
      <c r="AD477" s="185" t="s">
        <v>330</v>
      </c>
      <c r="AE477" s="185" t="s">
        <v>291</v>
      </c>
      <c r="AF477" s="185" t="s">
        <v>314</v>
      </c>
      <c r="AG477" s="185"/>
      <c r="AH477" s="185"/>
      <c r="AI477" s="185"/>
      <c r="AJ477" s="185"/>
      <c r="AK477" s="185"/>
      <c r="AL477" s="203"/>
      <c r="AM477" s="203"/>
      <c r="AN477" s="203"/>
      <c r="AO477" s="203"/>
      <c r="AP477" s="203"/>
      <c r="AQ477" s="203"/>
      <c r="AR477" s="203"/>
      <c r="AS477" s="185"/>
      <c r="AT477" s="185"/>
      <c r="AU477" s="203"/>
      <c r="AV477" s="203"/>
      <c r="AW477" s="203"/>
      <c r="AX477" s="203"/>
      <c r="AY477" s="203"/>
      <c r="AZ477" s="203"/>
      <c r="BA477" s="203" t="s">
        <v>331</v>
      </c>
      <c r="BB477" s="358">
        <v>0.23</v>
      </c>
      <c r="BC477" s="185"/>
      <c r="BD477" s="185"/>
      <c r="BE477" s="185"/>
      <c r="BF477" s="185"/>
      <c r="BG477" s="185"/>
      <c r="BH477" s="185"/>
      <c r="BI477" s="185"/>
      <c r="BJ477" s="185"/>
      <c r="BK477" s="185"/>
      <c r="BL477" s="185"/>
      <c r="BM477" s="185"/>
      <c r="BN477" s="185"/>
      <c r="BO477" s="185"/>
      <c r="BP477" s="185"/>
      <c r="BQ477" s="185"/>
      <c r="BR477" s="185"/>
      <c r="BS477" s="185"/>
      <c r="BT477" s="185"/>
      <c r="BU477" s="185"/>
      <c r="BV477" s="185"/>
      <c r="BW477" s="185"/>
      <c r="BX477" s="185"/>
      <c r="BY477" s="185"/>
      <c r="BZ477" s="185"/>
      <c r="CA477" s="185"/>
      <c r="CB477" s="185"/>
      <c r="CC477" s="185"/>
      <c r="CD477" s="185"/>
      <c r="CE477" s="185"/>
      <c r="CF477" s="185"/>
      <c r="CG477" s="185"/>
      <c r="CH477" s="185"/>
      <c r="CI477" s="185"/>
      <c r="CJ477" s="185"/>
      <c r="CK477" s="360"/>
      <c r="CL477" s="360"/>
      <c r="CM477" s="185"/>
      <c r="CN477" s="185"/>
      <c r="CO477" s="185"/>
      <c r="CP477" s="185"/>
      <c r="CQ477" s="185"/>
      <c r="CR477" s="185"/>
      <c r="CS477" s="185"/>
      <c r="CT477" s="185"/>
      <c r="CU477" s="185"/>
      <c r="CV477" s="185"/>
      <c r="CW477" s="185"/>
      <c r="CX477" s="361"/>
      <c r="CY477" s="185"/>
      <c r="CZ477" s="185"/>
      <c r="DA477" s="185"/>
      <c r="DB477" s="185"/>
      <c r="DC477" s="185"/>
      <c r="DD477" s="185"/>
      <c r="DE477" s="185"/>
      <c r="DF477" s="185"/>
      <c r="DG477" s="185"/>
      <c r="DH477" s="185"/>
      <c r="DI477" s="361"/>
      <c r="DJ477" s="22" t="b">
        <v>1</v>
      </c>
      <c r="DK477" s="185"/>
      <c r="DL477" s="185"/>
      <c r="DM477" s="185"/>
      <c r="DN477" s="185"/>
      <c r="DO477" s="185"/>
      <c r="DP477" s="363"/>
      <c r="DQ477" s="193"/>
      <c r="DR477" s="57" t="str">
        <f t="shared" si="15"/>
        <v/>
      </c>
      <c r="DS477" s="193"/>
      <c r="DT477" s="185"/>
      <c r="DU477" s="1" t="s">
        <v>280</v>
      </c>
      <c r="DV477" s="203"/>
      <c r="DW477" s="185"/>
      <c r="DX477" s="185"/>
      <c r="DY477" s="203"/>
      <c r="DZ477" s="175"/>
      <c r="EA477" s="176"/>
      <c r="EB477" s="176"/>
      <c r="EC477" s="176"/>
      <c r="ED477" s="176"/>
      <c r="EE477" s="185"/>
      <c r="EF477" s="185"/>
      <c r="EG477" s="185"/>
      <c r="EH477" s="185"/>
      <c r="EI477" s="185"/>
      <c r="EJ477" s="185"/>
      <c r="EK477" s="185"/>
      <c r="EL477" s="185"/>
      <c r="EM477" s="185"/>
      <c r="EN477" s="185"/>
      <c r="EO477" s="185"/>
      <c r="EP477" s="185"/>
      <c r="EQ477" s="185"/>
      <c r="ER477" s="185"/>
      <c r="ES477" s="185"/>
    </row>
    <row r="478" spans="1:149" s="21" customFormat="1" ht="14.25" customHeight="1" x14ac:dyDescent="0.15">
      <c r="A478" s="185"/>
      <c r="B478" s="186"/>
      <c r="C478" s="40"/>
      <c r="D478" s="185"/>
      <c r="E478" s="185"/>
      <c r="F478" s="185"/>
      <c r="G478" s="185"/>
      <c r="H478" s="185"/>
      <c r="I478" s="185"/>
      <c r="J478" s="185"/>
      <c r="K478" s="185"/>
      <c r="L478" s="185"/>
      <c r="M478" s="185"/>
      <c r="N478" s="185"/>
      <c r="O478" s="185"/>
      <c r="P478" s="185"/>
      <c r="Q478" s="185"/>
      <c r="R478" s="185"/>
      <c r="S478" s="185"/>
      <c r="T478" s="185"/>
      <c r="U478" s="185"/>
      <c r="V478" s="185"/>
      <c r="W478" s="185"/>
      <c r="X478" s="185"/>
      <c r="Y478" s="185"/>
      <c r="Z478" s="185"/>
      <c r="AA478" s="185"/>
      <c r="AB478" s="192">
        <v>66010103</v>
      </c>
      <c r="AC478" s="192" t="s">
        <v>857</v>
      </c>
      <c r="AD478" s="185" t="s">
        <v>333</v>
      </c>
      <c r="AE478" s="185" t="s">
        <v>291</v>
      </c>
      <c r="AF478" s="185" t="s">
        <v>314</v>
      </c>
      <c r="AG478" s="185"/>
      <c r="AH478" s="185"/>
      <c r="AI478" s="185"/>
      <c r="AJ478" s="185">
        <v>-1</v>
      </c>
      <c r="AK478" s="185"/>
      <c r="AL478" s="203"/>
      <c r="AM478" s="356"/>
      <c r="AN478" s="356"/>
      <c r="AO478" s="356"/>
      <c r="AP478" s="356"/>
      <c r="AQ478" s="356"/>
      <c r="AR478" s="356"/>
      <c r="AS478" s="185"/>
      <c r="AT478" s="185"/>
      <c r="AU478" s="203"/>
      <c r="AV478" s="203"/>
      <c r="AW478" s="203"/>
      <c r="AX478" s="203"/>
      <c r="AY478" s="203"/>
      <c r="AZ478" s="203"/>
      <c r="BA478" s="203"/>
      <c r="BB478" s="357"/>
      <c r="BC478" s="185"/>
      <c r="BD478" s="185"/>
      <c r="BE478" s="185"/>
      <c r="BF478" s="185"/>
      <c r="BG478" s="185"/>
      <c r="BH478" s="185"/>
      <c r="BI478" s="185"/>
      <c r="BJ478" s="185"/>
      <c r="BK478" s="185"/>
      <c r="BL478" s="185"/>
      <c r="BM478" s="185"/>
      <c r="BN478" s="185"/>
      <c r="BO478" s="185"/>
      <c r="BP478" s="185"/>
      <c r="BQ478" s="185"/>
      <c r="BR478" s="185"/>
      <c r="BS478" s="185"/>
      <c r="BT478" s="185"/>
      <c r="BU478" s="185"/>
      <c r="BV478" s="185"/>
      <c r="BW478" s="185"/>
      <c r="BX478" s="185"/>
      <c r="BY478" s="185"/>
      <c r="BZ478" s="185"/>
      <c r="CA478" s="185"/>
      <c r="CB478" s="185"/>
      <c r="CC478" s="185"/>
      <c r="CD478" s="185"/>
      <c r="CE478" s="185"/>
      <c r="CF478" s="185"/>
      <c r="CG478" s="185"/>
      <c r="CH478" s="185"/>
      <c r="CI478" s="185"/>
      <c r="CJ478" s="185"/>
      <c r="CK478" s="360"/>
      <c r="CL478" s="360"/>
      <c r="CM478" s="185"/>
      <c r="CN478" s="185"/>
      <c r="CO478" s="185"/>
      <c r="CP478" s="185"/>
      <c r="CQ478" s="185"/>
      <c r="CR478" s="185"/>
      <c r="CS478" s="185"/>
      <c r="CT478" s="185"/>
      <c r="CU478" s="185"/>
      <c r="CV478" s="185"/>
      <c r="CW478" s="185"/>
      <c r="CX478" s="185"/>
      <c r="CY478" s="185"/>
      <c r="CZ478" s="185"/>
      <c r="DA478" s="185"/>
      <c r="DB478" s="185"/>
      <c r="DC478" s="185"/>
      <c r="DD478" s="185"/>
      <c r="DE478" s="185"/>
      <c r="DF478" s="185"/>
      <c r="DG478" s="185"/>
      <c r="DH478" s="185"/>
      <c r="DI478" s="185"/>
      <c r="DJ478" s="22" t="b">
        <v>1</v>
      </c>
      <c r="DK478" s="185"/>
      <c r="DL478" s="185"/>
      <c r="DM478" s="185"/>
      <c r="DN478" s="185"/>
      <c r="DO478" s="185"/>
      <c r="DP478" s="363"/>
      <c r="DQ478" s="193"/>
      <c r="DR478" s="57" t="str">
        <f t="shared" si="15"/>
        <v/>
      </c>
      <c r="DS478" s="193"/>
      <c r="DT478" s="185"/>
      <c r="DU478" s="1" t="s">
        <v>280</v>
      </c>
      <c r="DV478" s="203"/>
      <c r="DW478" s="185"/>
      <c r="DX478" s="185"/>
      <c r="DY478" s="203"/>
      <c r="DZ478" s="185"/>
      <c r="EA478" s="185"/>
      <c r="EB478" s="185"/>
      <c r="EC478" s="185"/>
      <c r="ED478" s="185"/>
      <c r="EE478" s="185"/>
      <c r="EF478" s="185"/>
      <c r="EG478" s="185"/>
      <c r="EH478" s="185"/>
      <c r="EI478" s="185"/>
      <c r="EJ478" s="185"/>
      <c r="EK478" s="185"/>
      <c r="EL478" s="185"/>
      <c r="EM478" s="185"/>
      <c r="EN478" s="185"/>
      <c r="EO478" s="185"/>
      <c r="EP478" s="185"/>
      <c r="EQ478" s="185"/>
      <c r="ER478" s="185"/>
      <c r="ES478" s="185"/>
    </row>
    <row r="479" spans="1:149" s="21" customFormat="1" ht="57.6" customHeight="1" x14ac:dyDescent="0.15">
      <c r="A479" s="185">
        <v>660901</v>
      </c>
      <c r="B479" s="186" t="s">
        <v>904</v>
      </c>
      <c r="C479" s="40" t="s">
        <v>905</v>
      </c>
      <c r="D479" s="185" t="s">
        <v>906</v>
      </c>
      <c r="E479" s="185"/>
      <c r="F479" s="185"/>
      <c r="G479" s="185"/>
      <c r="H479" s="185">
        <v>0</v>
      </c>
      <c r="I479" s="185"/>
      <c r="J479" s="185"/>
      <c r="K479" s="185"/>
      <c r="L479" s="185">
        <v>0</v>
      </c>
      <c r="M479" s="185"/>
      <c r="N479" s="185"/>
      <c r="O479" s="185"/>
      <c r="P479" s="185" t="s">
        <v>268</v>
      </c>
      <c r="Q479" s="185" t="s">
        <v>269</v>
      </c>
      <c r="R479" s="185"/>
      <c r="S479" s="185"/>
      <c r="T479" s="185"/>
      <c r="U479" s="185"/>
      <c r="V479" s="185"/>
      <c r="W479" s="185"/>
      <c r="X479" s="185">
        <v>1</v>
      </c>
      <c r="Y479" s="185">
        <v>0</v>
      </c>
      <c r="Z479" s="185">
        <v>0</v>
      </c>
      <c r="AA479" s="185"/>
      <c r="AB479" s="185">
        <v>3002</v>
      </c>
      <c r="AC479" s="185" t="s">
        <v>297</v>
      </c>
      <c r="AD479" s="185"/>
      <c r="AE479" s="10" t="s">
        <v>129</v>
      </c>
      <c r="AF479" s="10" t="s">
        <v>314</v>
      </c>
      <c r="AG479" s="185"/>
      <c r="AH479" s="185"/>
      <c r="AI479" s="185"/>
      <c r="AJ479" s="185"/>
      <c r="AK479" s="185"/>
      <c r="AL479" s="203"/>
      <c r="AM479" s="203"/>
      <c r="AN479" s="203"/>
      <c r="AO479" s="203"/>
      <c r="AP479" s="203"/>
      <c r="AQ479" s="203"/>
      <c r="AR479" s="203"/>
      <c r="AS479" s="185"/>
      <c r="AT479" s="185"/>
      <c r="AU479" s="203"/>
      <c r="AV479" s="203"/>
      <c r="AW479" s="203"/>
      <c r="AX479" s="203"/>
      <c r="AY479" s="203"/>
      <c r="AZ479" s="203"/>
      <c r="BA479" s="203" t="s">
        <v>270</v>
      </c>
      <c r="BB479" s="357">
        <v>65</v>
      </c>
      <c r="BC479" s="185"/>
      <c r="BD479" s="185"/>
      <c r="BE479" s="185"/>
      <c r="BF479" s="185"/>
      <c r="BG479" s="185"/>
      <c r="BH479" s="185"/>
      <c r="BI479" s="185"/>
      <c r="BJ479" s="185"/>
      <c r="BK479" s="185"/>
      <c r="BL479" s="185"/>
      <c r="BM479" s="185"/>
      <c r="BN479" s="185"/>
      <c r="BO479" s="185"/>
      <c r="BP479" s="185"/>
      <c r="BQ479" s="185"/>
      <c r="BR479" s="185"/>
      <c r="BS479" s="185"/>
      <c r="BT479" s="185"/>
      <c r="BU479" s="185"/>
      <c r="BV479" s="185"/>
      <c r="BW479" s="185"/>
      <c r="BX479" s="185"/>
      <c r="BY479" s="185"/>
      <c r="BZ479" s="185"/>
      <c r="CA479" s="185"/>
      <c r="CB479" s="185"/>
      <c r="CC479" s="185"/>
      <c r="CD479" s="185"/>
      <c r="CE479" s="185"/>
      <c r="CF479" s="185" t="s">
        <v>271</v>
      </c>
      <c r="CG479" s="185"/>
      <c r="CH479" s="185"/>
      <c r="CI479" s="185"/>
      <c r="CJ479" s="22" t="s">
        <v>3</v>
      </c>
      <c r="CK479" s="368" t="s">
        <v>486</v>
      </c>
      <c r="CL479" s="368"/>
      <c r="CM479" s="22">
        <v>999</v>
      </c>
      <c r="CN479" s="185">
        <v>0</v>
      </c>
      <c r="CO479" s="185">
        <v>0</v>
      </c>
      <c r="CP479" s="185">
        <v>0</v>
      </c>
      <c r="CQ479" s="185">
        <v>0</v>
      </c>
      <c r="CR479" s="185"/>
      <c r="CS479" s="185">
        <v>20</v>
      </c>
      <c r="CT479" s="185">
        <v>10</v>
      </c>
      <c r="CU479" s="185">
        <v>24</v>
      </c>
      <c r="CV479" s="16" t="s">
        <v>907</v>
      </c>
      <c r="CW479" s="185" t="b">
        <v>1</v>
      </c>
      <c r="CX479" s="185" t="s">
        <v>273</v>
      </c>
      <c r="CY479" s="185"/>
      <c r="CZ479" s="185"/>
      <c r="DA479" s="185"/>
      <c r="DB479" s="185">
        <v>170501</v>
      </c>
      <c r="DC479" s="185" t="b">
        <v>1</v>
      </c>
      <c r="DD479" s="185" t="s">
        <v>274</v>
      </c>
      <c r="DE479" s="185" t="s">
        <v>908</v>
      </c>
      <c r="DF479" s="185" t="s">
        <v>276</v>
      </c>
      <c r="DG479" s="185" t="s">
        <v>322</v>
      </c>
      <c r="DH479" s="185">
        <v>4</v>
      </c>
      <c r="DI479" s="185" t="b">
        <v>0</v>
      </c>
      <c r="DJ479" s="22" t="b">
        <v>1</v>
      </c>
      <c r="DK479" s="185"/>
      <c r="DL479" s="185"/>
      <c r="DM479" s="185"/>
      <c r="DN479" s="23"/>
      <c r="DO479" s="23"/>
      <c r="DP479" s="363" t="s">
        <v>475</v>
      </c>
      <c r="DQ479" s="193" t="s">
        <v>854</v>
      </c>
      <c r="DR479" s="57" t="e">
        <f t="shared" si="15"/>
        <v>#VALUE!</v>
      </c>
      <c r="DS479" s="193" t="s">
        <v>837</v>
      </c>
      <c r="DT479" s="185"/>
      <c r="DU479" s="1" t="s">
        <v>280</v>
      </c>
      <c r="DV479" s="203"/>
      <c r="DW479" s="185"/>
      <c r="DX479" s="185"/>
      <c r="DY479" s="23"/>
      <c r="DZ479" s="185">
        <v>1</v>
      </c>
      <c r="EA479" s="364">
        <v>-1</v>
      </c>
      <c r="EB479" s="364">
        <v>4.1666666666666699E-2</v>
      </c>
      <c r="EC479" s="364">
        <v>8.3333333333333301E-2</v>
      </c>
      <c r="ED479" s="364">
        <v>8.3333333333333301E-2</v>
      </c>
      <c r="EE479" s="185" t="s">
        <v>284</v>
      </c>
      <c r="EF479" s="185" t="s">
        <v>326</v>
      </c>
      <c r="EG479" s="185" t="e">
        <v>#VALUE!</v>
      </c>
      <c r="EH479" s="185" t="s">
        <v>285</v>
      </c>
      <c r="EI479" s="185" t="s">
        <v>327</v>
      </c>
      <c r="EJ479" s="185" t="e">
        <v>#VALUE!</v>
      </c>
      <c r="EK479" s="185" t="s">
        <v>286</v>
      </c>
      <c r="EL479" s="185" t="s">
        <v>328</v>
      </c>
      <c r="EM479" s="185" t="e">
        <v>#VALUE!</v>
      </c>
      <c r="EN479" s="185" t="s">
        <v>287</v>
      </c>
      <c r="EO479" s="185" t="s">
        <v>328</v>
      </c>
      <c r="EP479" s="185" t="e">
        <v>#VALUE!</v>
      </c>
      <c r="EQ479" s="185"/>
      <c r="ER479" s="185"/>
      <c r="ES479" s="185"/>
    </row>
    <row r="480" spans="1:149" s="21" customFormat="1" ht="14.25" customHeight="1" x14ac:dyDescent="0.15">
      <c r="A480" s="185"/>
      <c r="B480" s="186"/>
      <c r="C480" s="40"/>
      <c r="D480" s="185"/>
      <c r="E480" s="185"/>
      <c r="F480" s="185"/>
      <c r="G480" s="185"/>
      <c r="H480" s="185"/>
      <c r="I480" s="185"/>
      <c r="J480" s="185"/>
      <c r="K480" s="185"/>
      <c r="L480" s="185"/>
      <c r="M480" s="185"/>
      <c r="N480" s="185"/>
      <c r="O480" s="185"/>
      <c r="P480" s="185"/>
      <c r="Q480" s="185"/>
      <c r="R480" s="185"/>
      <c r="S480" s="185"/>
      <c r="T480" s="185"/>
      <c r="U480" s="185"/>
      <c r="V480" s="185"/>
      <c r="W480" s="185"/>
      <c r="X480" s="185"/>
      <c r="Y480" s="185"/>
      <c r="Z480" s="185"/>
      <c r="AA480" s="185"/>
      <c r="AB480" s="192">
        <v>66010901</v>
      </c>
      <c r="AC480" s="17" t="s">
        <v>909</v>
      </c>
      <c r="AD480" s="185"/>
      <c r="AE480" s="22" t="s">
        <v>129</v>
      </c>
      <c r="AF480" s="17" t="s">
        <v>910</v>
      </c>
      <c r="AG480" s="185"/>
      <c r="AH480" s="185"/>
      <c r="AI480" s="185"/>
      <c r="AJ480" s="185">
        <v>6</v>
      </c>
      <c r="AK480" s="185"/>
      <c r="AL480" s="203"/>
      <c r="AM480" s="203"/>
      <c r="AN480" s="203"/>
      <c r="AO480" s="203"/>
      <c r="AP480" s="203"/>
      <c r="AQ480" s="203"/>
      <c r="AR480" s="203"/>
      <c r="AS480" s="185"/>
      <c r="AT480" s="185"/>
      <c r="AU480" s="203"/>
      <c r="AV480" s="203"/>
      <c r="AW480" s="203"/>
      <c r="AX480" s="203"/>
      <c r="AY480" s="203"/>
      <c r="AZ480" s="203"/>
      <c r="BA480" s="203" t="s">
        <v>897</v>
      </c>
      <c r="BB480" s="358">
        <v>100</v>
      </c>
      <c r="BC480" s="185"/>
      <c r="BD480" s="185"/>
      <c r="BE480" s="185"/>
      <c r="BF480" s="185"/>
      <c r="BG480" s="185"/>
      <c r="BH480" s="185"/>
      <c r="BI480" s="185"/>
      <c r="BJ480" s="185"/>
      <c r="BK480" s="185"/>
      <c r="BL480" s="185"/>
      <c r="BM480" s="185"/>
      <c r="BN480" s="185"/>
      <c r="BO480" s="185"/>
      <c r="BP480" s="185"/>
      <c r="BQ480" s="185"/>
      <c r="BR480" s="185"/>
      <c r="BS480" s="185"/>
      <c r="BT480" s="185"/>
      <c r="BU480" s="185"/>
      <c r="BV480" s="185"/>
      <c r="BW480" s="185"/>
      <c r="BX480" s="185"/>
      <c r="BY480" s="185"/>
      <c r="BZ480" s="185"/>
      <c r="CA480" s="185"/>
      <c r="CB480" s="185"/>
      <c r="CC480" s="185"/>
      <c r="CD480" s="185"/>
      <c r="CE480" s="185"/>
      <c r="CF480" s="185"/>
      <c r="CG480" s="185"/>
      <c r="CH480" s="185"/>
      <c r="CI480" s="185"/>
      <c r="CJ480" s="185"/>
      <c r="CK480" s="359"/>
      <c r="CL480" s="359"/>
      <c r="CM480" s="22"/>
      <c r="CN480" s="185"/>
      <c r="CO480" s="185"/>
      <c r="CP480" s="185"/>
      <c r="CQ480" s="185"/>
      <c r="CR480" s="185"/>
      <c r="CS480" s="185"/>
      <c r="CT480" s="185"/>
      <c r="CU480" s="185"/>
      <c r="CV480" s="185"/>
      <c r="CW480" s="185"/>
      <c r="CX480" s="185"/>
      <c r="CY480" s="185"/>
      <c r="CZ480" s="185"/>
      <c r="DA480" s="185"/>
      <c r="DB480" s="185"/>
      <c r="DC480" s="185"/>
      <c r="DD480" s="185"/>
      <c r="DE480" s="185"/>
      <c r="DF480" s="185"/>
      <c r="DG480" s="185"/>
      <c r="DH480" s="185"/>
      <c r="DI480" s="185"/>
      <c r="DJ480" s="22"/>
      <c r="DK480" s="185"/>
      <c r="DL480" s="185"/>
      <c r="DM480" s="185"/>
      <c r="DN480" s="23"/>
      <c r="DO480" s="23"/>
      <c r="DP480" s="363"/>
      <c r="DQ480" s="193"/>
      <c r="DR480" s="57" t="str">
        <f t="shared" si="15"/>
        <v/>
      </c>
      <c r="DS480" s="193"/>
      <c r="DT480" s="185"/>
      <c r="DU480" s="1" t="s">
        <v>280</v>
      </c>
      <c r="DV480" s="203"/>
      <c r="DW480" s="185"/>
      <c r="DX480" s="185"/>
      <c r="DY480" s="23"/>
      <c r="DZ480" s="185"/>
      <c r="EA480" s="364"/>
      <c r="EB480" s="364"/>
      <c r="EC480" s="364"/>
      <c r="ED480" s="364"/>
      <c r="EE480" s="185"/>
      <c r="EF480" s="185"/>
      <c r="EG480" s="185"/>
      <c r="EH480" s="185"/>
      <c r="EI480" s="185"/>
      <c r="EJ480" s="185"/>
      <c r="EK480" s="185"/>
      <c r="EL480" s="185"/>
      <c r="EM480" s="185"/>
      <c r="EN480" s="185"/>
      <c r="EO480" s="185"/>
      <c r="EP480" s="185"/>
      <c r="EQ480" s="185"/>
      <c r="ER480" s="185"/>
      <c r="ES480" s="185"/>
    </row>
    <row r="481" spans="1:149" s="21" customFormat="1" ht="14.25" customHeight="1" x14ac:dyDescent="0.15">
      <c r="A481" s="185"/>
      <c r="B481" s="186"/>
      <c r="C481" s="40"/>
      <c r="D481" s="185"/>
      <c r="E481" s="185"/>
      <c r="F481" s="185"/>
      <c r="G481" s="185"/>
      <c r="H481" s="185"/>
      <c r="I481" s="185"/>
      <c r="J481" s="185"/>
      <c r="K481" s="185"/>
      <c r="L481" s="185"/>
      <c r="M481" s="185"/>
      <c r="N481" s="185"/>
      <c r="O481" s="185"/>
      <c r="P481" s="185"/>
      <c r="Q481" s="185"/>
      <c r="R481" s="185"/>
      <c r="S481" s="185"/>
      <c r="T481" s="185"/>
      <c r="U481" s="185"/>
      <c r="V481" s="185"/>
      <c r="W481" s="185"/>
      <c r="X481" s="185"/>
      <c r="Y481" s="185"/>
      <c r="Z481" s="185"/>
      <c r="AA481" s="185"/>
      <c r="AB481" s="192">
        <v>66010102</v>
      </c>
      <c r="AC481" s="192" t="s">
        <v>856</v>
      </c>
      <c r="AD481" s="185" t="s">
        <v>330</v>
      </c>
      <c r="AE481" s="185" t="s">
        <v>291</v>
      </c>
      <c r="AF481" s="185" t="s">
        <v>314</v>
      </c>
      <c r="AG481" s="185"/>
      <c r="AH481" s="185"/>
      <c r="AI481" s="185"/>
      <c r="AJ481" s="185"/>
      <c r="AK481" s="185"/>
      <c r="AL481" s="203"/>
      <c r="AM481" s="203"/>
      <c r="AN481" s="203"/>
      <c r="AO481" s="203"/>
      <c r="AP481" s="203"/>
      <c r="AQ481" s="203"/>
      <c r="AR481" s="203"/>
      <c r="AS481" s="185"/>
      <c r="AT481" s="185"/>
      <c r="AU481" s="203"/>
      <c r="AV481" s="203"/>
      <c r="AW481" s="203"/>
      <c r="AX481" s="203"/>
      <c r="AY481" s="203"/>
      <c r="AZ481" s="203"/>
      <c r="BA481" s="203" t="s">
        <v>331</v>
      </c>
      <c r="BB481" s="358">
        <v>0.23</v>
      </c>
      <c r="BC481" s="185"/>
      <c r="BD481" s="185"/>
      <c r="BE481" s="185"/>
      <c r="BF481" s="185"/>
      <c r="BG481" s="185"/>
      <c r="BH481" s="185"/>
      <c r="BI481" s="185"/>
      <c r="BJ481" s="185"/>
      <c r="BK481" s="185"/>
      <c r="BL481" s="185"/>
      <c r="BM481" s="185"/>
      <c r="BN481" s="185"/>
      <c r="BO481" s="185"/>
      <c r="BP481" s="185"/>
      <c r="BQ481" s="185"/>
      <c r="BR481" s="185"/>
      <c r="BS481" s="185"/>
      <c r="BT481" s="185"/>
      <c r="BU481" s="185"/>
      <c r="BV481" s="185"/>
      <c r="BW481" s="185"/>
      <c r="BX481" s="185"/>
      <c r="BY481" s="185"/>
      <c r="BZ481" s="185"/>
      <c r="CA481" s="185"/>
      <c r="CB481" s="185"/>
      <c r="CC481" s="185"/>
      <c r="CD481" s="185"/>
      <c r="CE481" s="185"/>
      <c r="CF481" s="185"/>
      <c r="CG481" s="185"/>
      <c r="CH481" s="185"/>
      <c r="CI481" s="185"/>
      <c r="CJ481" s="185"/>
      <c r="CK481" s="360"/>
      <c r="CL481" s="360"/>
      <c r="CM481" s="185"/>
      <c r="CN481" s="185"/>
      <c r="CO481" s="185"/>
      <c r="CP481" s="185"/>
      <c r="CQ481" s="185"/>
      <c r="CR481" s="185"/>
      <c r="CS481" s="185"/>
      <c r="CT481" s="185"/>
      <c r="CU481" s="185"/>
      <c r="CV481" s="185"/>
      <c r="CW481" s="185"/>
      <c r="CX481" s="361"/>
      <c r="CY481" s="185"/>
      <c r="CZ481" s="185"/>
      <c r="DA481" s="185"/>
      <c r="DB481" s="185"/>
      <c r="DC481" s="185"/>
      <c r="DD481" s="185"/>
      <c r="DE481" s="185"/>
      <c r="DF481" s="185"/>
      <c r="DG481" s="185"/>
      <c r="DH481" s="185"/>
      <c r="DI481" s="361"/>
      <c r="DJ481" s="22" t="b">
        <v>1</v>
      </c>
      <c r="DK481" s="185"/>
      <c r="DL481" s="185"/>
      <c r="DM481" s="185"/>
      <c r="DN481" s="185"/>
      <c r="DO481" s="185"/>
      <c r="DP481" s="363"/>
      <c r="DQ481" s="193"/>
      <c r="DR481" s="57" t="str">
        <f t="shared" si="15"/>
        <v/>
      </c>
      <c r="DS481" s="193"/>
      <c r="DT481" s="185"/>
      <c r="DU481" s="1" t="s">
        <v>280</v>
      </c>
      <c r="DV481" s="203"/>
      <c r="DW481" s="185"/>
      <c r="DX481" s="185"/>
      <c r="DY481" s="203"/>
      <c r="DZ481" s="175"/>
      <c r="EA481" s="176"/>
      <c r="EB481" s="176"/>
      <c r="EC481" s="176"/>
      <c r="ED481" s="176"/>
      <c r="EE481" s="185"/>
      <c r="EF481" s="185"/>
      <c r="EG481" s="185"/>
      <c r="EH481" s="185"/>
      <c r="EI481" s="185"/>
      <c r="EJ481" s="185"/>
      <c r="EK481" s="185"/>
      <c r="EL481" s="185"/>
      <c r="EM481" s="185"/>
      <c r="EN481" s="185"/>
      <c r="EO481" s="185"/>
      <c r="EP481" s="185"/>
      <c r="EQ481" s="185"/>
      <c r="ER481" s="185"/>
      <c r="ES481" s="185"/>
    </row>
    <row r="482" spans="1:149" s="21" customFormat="1" ht="14.25" customHeight="1" x14ac:dyDescent="0.15">
      <c r="A482" s="185"/>
      <c r="B482" s="186"/>
      <c r="C482" s="40"/>
      <c r="D482" s="185"/>
      <c r="E482" s="185"/>
      <c r="F482" s="185"/>
      <c r="G482" s="185"/>
      <c r="H482" s="185"/>
      <c r="I482" s="185"/>
      <c r="J482" s="185"/>
      <c r="K482" s="185"/>
      <c r="L482" s="185"/>
      <c r="M482" s="185"/>
      <c r="N482" s="185"/>
      <c r="O482" s="185"/>
      <c r="P482" s="185"/>
      <c r="Q482" s="185"/>
      <c r="R482" s="185"/>
      <c r="S482" s="185"/>
      <c r="T482" s="185"/>
      <c r="U482" s="185"/>
      <c r="V482" s="185"/>
      <c r="W482" s="185"/>
      <c r="X482" s="185"/>
      <c r="Y482" s="185"/>
      <c r="Z482" s="185"/>
      <c r="AA482" s="185"/>
      <c r="AB482" s="192">
        <v>66010103</v>
      </c>
      <c r="AC482" s="192" t="s">
        <v>857</v>
      </c>
      <c r="AD482" s="185" t="s">
        <v>333</v>
      </c>
      <c r="AE482" s="185" t="s">
        <v>291</v>
      </c>
      <c r="AF482" s="185" t="s">
        <v>314</v>
      </c>
      <c r="AG482" s="185"/>
      <c r="AH482" s="185"/>
      <c r="AI482" s="185"/>
      <c r="AJ482" s="185">
        <v>-1</v>
      </c>
      <c r="AK482" s="185"/>
      <c r="AL482" s="203"/>
      <c r="AM482" s="356"/>
      <c r="AN482" s="356"/>
      <c r="AO482" s="356"/>
      <c r="AP482" s="356"/>
      <c r="AQ482" s="356"/>
      <c r="AR482" s="356"/>
      <c r="AS482" s="185"/>
      <c r="AT482" s="185"/>
      <c r="AU482" s="203"/>
      <c r="AV482" s="203"/>
      <c r="AW482" s="203"/>
      <c r="AX482" s="203"/>
      <c r="AY482" s="203"/>
      <c r="AZ482" s="203"/>
      <c r="BA482" s="203"/>
      <c r="BB482" s="357"/>
      <c r="BC482" s="185"/>
      <c r="BD482" s="185"/>
      <c r="BE482" s="185"/>
      <c r="BF482" s="185"/>
      <c r="BG482" s="185"/>
      <c r="BH482" s="185"/>
      <c r="BI482" s="185"/>
      <c r="BJ482" s="185"/>
      <c r="BK482" s="185"/>
      <c r="BL482" s="185"/>
      <c r="BM482" s="185"/>
      <c r="BN482" s="185"/>
      <c r="BO482" s="185"/>
      <c r="BP482" s="185"/>
      <c r="BQ482" s="185"/>
      <c r="BR482" s="185"/>
      <c r="BS482" s="185"/>
      <c r="BT482" s="185"/>
      <c r="BU482" s="185"/>
      <c r="BV482" s="185"/>
      <c r="BW482" s="185"/>
      <c r="BX482" s="185"/>
      <c r="BY482" s="185"/>
      <c r="BZ482" s="185"/>
      <c r="CA482" s="185"/>
      <c r="CB482" s="185"/>
      <c r="CC482" s="185"/>
      <c r="CD482" s="185"/>
      <c r="CE482" s="185"/>
      <c r="CF482" s="185"/>
      <c r="CG482" s="185"/>
      <c r="CH482" s="185"/>
      <c r="CI482" s="185"/>
      <c r="CJ482" s="185"/>
      <c r="CK482" s="360"/>
      <c r="CL482" s="360"/>
      <c r="CM482" s="185"/>
      <c r="CN482" s="185"/>
      <c r="CO482" s="185"/>
      <c r="CP482" s="185"/>
      <c r="CQ482" s="185"/>
      <c r="CR482" s="185"/>
      <c r="CS482" s="185"/>
      <c r="CT482" s="185"/>
      <c r="CU482" s="185"/>
      <c r="CV482" s="185"/>
      <c r="CW482" s="185"/>
      <c r="CX482" s="185"/>
      <c r="CY482" s="185"/>
      <c r="CZ482" s="185"/>
      <c r="DA482" s="185"/>
      <c r="DB482" s="185"/>
      <c r="DC482" s="185"/>
      <c r="DD482" s="185"/>
      <c r="DE482" s="185"/>
      <c r="DF482" s="185"/>
      <c r="DG482" s="185"/>
      <c r="DH482" s="185"/>
      <c r="DI482" s="185"/>
      <c r="DJ482" s="22" t="b">
        <v>1</v>
      </c>
      <c r="DK482" s="185"/>
      <c r="DL482" s="185"/>
      <c r="DM482" s="185"/>
      <c r="DN482" s="185"/>
      <c r="DO482" s="185"/>
      <c r="DP482" s="363"/>
      <c r="DQ482" s="193"/>
      <c r="DR482" s="57" t="str">
        <f t="shared" si="15"/>
        <v/>
      </c>
      <c r="DS482" s="193"/>
      <c r="DT482" s="185"/>
      <c r="DU482" s="1" t="s">
        <v>280</v>
      </c>
      <c r="DV482" s="203"/>
      <c r="DW482" s="185"/>
      <c r="DX482" s="185"/>
      <c r="DY482" s="203"/>
      <c r="DZ482" s="185"/>
      <c r="EA482" s="185"/>
      <c r="EB482" s="185"/>
      <c r="EC482" s="185"/>
      <c r="ED482" s="185"/>
      <c r="EE482" s="185"/>
      <c r="EF482" s="185"/>
      <c r="EG482" s="185"/>
      <c r="EH482" s="185"/>
      <c r="EI482" s="185"/>
      <c r="EJ482" s="185"/>
      <c r="EK482" s="185"/>
      <c r="EL482" s="185"/>
      <c r="EM482" s="185"/>
      <c r="EN482" s="185"/>
      <c r="EO482" s="185"/>
      <c r="EP482" s="185"/>
      <c r="EQ482" s="185"/>
      <c r="ER482" s="185"/>
      <c r="ES482" s="185"/>
    </row>
    <row r="483" spans="1:149" s="22" customFormat="1" ht="46.5" customHeight="1" x14ac:dyDescent="0.15">
      <c r="A483" s="185">
        <v>661001</v>
      </c>
      <c r="B483" s="186" t="s">
        <v>911</v>
      </c>
      <c r="C483" s="40" t="s">
        <v>912</v>
      </c>
      <c r="D483" s="185" t="s">
        <v>913</v>
      </c>
      <c r="E483" s="185"/>
      <c r="F483" s="185"/>
      <c r="G483" s="185"/>
      <c r="H483" s="185">
        <v>0</v>
      </c>
      <c r="I483" s="185"/>
      <c r="J483" s="185"/>
      <c r="K483" s="185"/>
      <c r="L483" s="185">
        <v>0</v>
      </c>
      <c r="M483" s="185"/>
      <c r="N483" s="185"/>
      <c r="O483" s="185"/>
      <c r="P483" s="185" t="s">
        <v>268</v>
      </c>
      <c r="Q483" s="185" t="s">
        <v>269</v>
      </c>
      <c r="R483" s="185"/>
      <c r="S483" s="185"/>
      <c r="T483" s="185"/>
      <c r="U483" s="185"/>
      <c r="V483" s="185"/>
      <c r="W483" s="185"/>
      <c r="X483" s="185">
        <v>1</v>
      </c>
      <c r="Y483" s="185">
        <v>0</v>
      </c>
      <c r="Z483" s="185">
        <v>0</v>
      </c>
      <c r="AA483" s="185"/>
      <c r="AB483" s="185">
        <v>3002</v>
      </c>
      <c r="AC483" s="185" t="s">
        <v>297</v>
      </c>
      <c r="AD483" s="22" t="s">
        <v>330</v>
      </c>
      <c r="AE483" s="10" t="s">
        <v>129</v>
      </c>
      <c r="AF483" s="10" t="s">
        <v>314</v>
      </c>
      <c r="AG483" s="59"/>
      <c r="AH483" s="59"/>
      <c r="AI483" s="59"/>
      <c r="AJ483" s="59"/>
      <c r="AK483" s="59"/>
      <c r="BA483" s="185" t="s">
        <v>270</v>
      </c>
      <c r="BB483" s="357">
        <v>75</v>
      </c>
      <c r="BC483" s="22">
        <v>0</v>
      </c>
      <c r="BF483" s="22">
        <v>0</v>
      </c>
      <c r="BG483" s="22">
        <v>0</v>
      </c>
      <c r="BH483" s="22">
        <v>0</v>
      </c>
      <c r="BJ483" s="22" t="s">
        <v>270</v>
      </c>
      <c r="BS483" s="22" t="s">
        <v>270</v>
      </c>
      <c r="CF483" s="22" t="s">
        <v>378</v>
      </c>
      <c r="CJ483" s="22" t="s">
        <v>1</v>
      </c>
      <c r="CK483" s="368" t="s">
        <v>804</v>
      </c>
      <c r="CL483" s="368"/>
      <c r="CM483" s="22">
        <v>999</v>
      </c>
      <c r="CN483" s="22">
        <v>0</v>
      </c>
      <c r="CO483" s="22">
        <v>0</v>
      </c>
      <c r="CP483" s="22">
        <v>0</v>
      </c>
      <c r="CQ483" s="22">
        <v>0</v>
      </c>
      <c r="CS483" s="22">
        <v>5</v>
      </c>
      <c r="CU483" s="185">
        <v>20</v>
      </c>
      <c r="CV483" s="16" t="s">
        <v>914</v>
      </c>
      <c r="CW483" s="22" t="b">
        <v>0</v>
      </c>
      <c r="CX483" s="22" t="s">
        <v>273</v>
      </c>
      <c r="DB483" s="22">
        <v>102401</v>
      </c>
      <c r="DC483" s="22" t="b">
        <v>1</v>
      </c>
      <c r="DD483" s="185" t="s">
        <v>274</v>
      </c>
      <c r="DE483" s="185" t="s">
        <v>915</v>
      </c>
      <c r="DF483" s="185" t="s">
        <v>276</v>
      </c>
      <c r="DG483" s="185" t="s">
        <v>703</v>
      </c>
      <c r="DH483" s="22">
        <v>4</v>
      </c>
      <c r="DI483" s="22" t="b">
        <v>0</v>
      </c>
      <c r="DJ483" s="22" t="b">
        <v>1</v>
      </c>
      <c r="DP483" s="363" t="s">
        <v>473</v>
      </c>
      <c r="DQ483" s="193" t="s">
        <v>916</v>
      </c>
      <c r="DR483" s="57" t="e">
        <f t="shared" si="15"/>
        <v>#VALUE!</v>
      </c>
      <c r="DS483" s="22" t="s">
        <v>843</v>
      </c>
      <c r="DU483" s="1" t="s">
        <v>280</v>
      </c>
      <c r="DV483" s="365"/>
      <c r="DZ483" s="22">
        <v>1</v>
      </c>
      <c r="EA483" s="377">
        <v>-1</v>
      </c>
      <c r="EB483" s="377">
        <v>4.1666666666666699E-2</v>
      </c>
      <c r="EC483" s="377">
        <v>8.3333333333333301E-2</v>
      </c>
      <c r="ED483" s="377">
        <v>8.3333333333333301E-2</v>
      </c>
      <c r="EE483" s="22" t="s">
        <v>284</v>
      </c>
      <c r="EF483" s="22" t="s">
        <v>326</v>
      </c>
      <c r="EG483" s="22" t="e">
        <v>#VALUE!</v>
      </c>
      <c r="EH483" s="22" t="s">
        <v>285</v>
      </c>
      <c r="EI483" s="22" t="s">
        <v>344</v>
      </c>
      <c r="EJ483" s="22" t="e">
        <v>#VALUE!</v>
      </c>
      <c r="EK483" s="22" t="s">
        <v>286</v>
      </c>
      <c r="EL483" s="22" t="s">
        <v>328</v>
      </c>
      <c r="EM483" s="22" t="e">
        <v>#VALUE!</v>
      </c>
      <c r="EN483" s="22" t="s">
        <v>287</v>
      </c>
      <c r="EO483" s="22" t="s">
        <v>328</v>
      </c>
      <c r="EP483" s="22" t="e">
        <v>#VALUE!</v>
      </c>
    </row>
    <row r="484" spans="1:149" s="22" customFormat="1" ht="14.25" customHeight="1" x14ac:dyDescent="0.15">
      <c r="A484" s="185"/>
      <c r="B484" s="186"/>
      <c r="C484" s="40"/>
      <c r="D484" s="185"/>
      <c r="E484" s="185"/>
      <c r="F484" s="185"/>
      <c r="G484" s="185"/>
      <c r="H484" s="185"/>
      <c r="I484" s="185"/>
      <c r="J484" s="185"/>
      <c r="K484" s="185"/>
      <c r="L484" s="185"/>
      <c r="M484" s="185"/>
      <c r="N484" s="185"/>
      <c r="O484" s="185"/>
      <c r="P484" s="185"/>
      <c r="Q484" s="185"/>
      <c r="R484" s="185"/>
      <c r="S484" s="185"/>
      <c r="T484" s="185"/>
      <c r="U484" s="185"/>
      <c r="V484" s="185"/>
      <c r="W484" s="185"/>
      <c r="X484" s="185"/>
      <c r="Y484" s="185"/>
      <c r="Z484" s="185"/>
      <c r="AA484" s="185"/>
      <c r="AB484" s="192">
        <v>66011001</v>
      </c>
      <c r="AC484" s="17" t="s">
        <v>917</v>
      </c>
      <c r="AD484" s="22" t="s">
        <v>330</v>
      </c>
      <c r="AE484" s="10" t="s">
        <v>129</v>
      </c>
      <c r="AF484" s="10" t="s">
        <v>314</v>
      </c>
      <c r="AG484" s="59"/>
      <c r="AH484" s="59"/>
      <c r="AI484" s="59"/>
      <c r="AJ484" s="59">
        <v>6</v>
      </c>
      <c r="AK484" s="59"/>
      <c r="BA484" s="185"/>
      <c r="BB484" s="357"/>
      <c r="CK484" s="368"/>
      <c r="CL484" s="368"/>
      <c r="CU484" s="185"/>
      <c r="CV484" s="185"/>
      <c r="DD484" s="185"/>
      <c r="DE484" s="185"/>
      <c r="DF484" s="185"/>
      <c r="DG484" s="185"/>
      <c r="DP484" s="363"/>
      <c r="DR484" s="57" t="str">
        <f t="shared" si="15"/>
        <v/>
      </c>
      <c r="DU484" s="1" t="s">
        <v>280</v>
      </c>
      <c r="DV484" s="365"/>
      <c r="EA484" s="377"/>
      <c r="EB484" s="377"/>
      <c r="EC484" s="377"/>
      <c r="ED484" s="377"/>
    </row>
    <row r="485" spans="1:149" s="22" customFormat="1" ht="14.25" customHeight="1" x14ac:dyDescent="0.15">
      <c r="A485" s="185"/>
      <c r="B485" s="186"/>
      <c r="C485" s="40"/>
      <c r="D485" s="185"/>
      <c r="E485" s="185"/>
      <c r="F485" s="185"/>
      <c r="G485" s="185"/>
      <c r="H485" s="185"/>
      <c r="I485" s="185"/>
      <c r="J485" s="185"/>
      <c r="K485" s="185"/>
      <c r="L485" s="185"/>
      <c r="M485" s="185"/>
      <c r="N485" s="185"/>
      <c r="O485" s="185"/>
      <c r="P485" s="185"/>
      <c r="Q485" s="185"/>
      <c r="R485" s="185"/>
      <c r="S485" s="185"/>
      <c r="T485" s="185"/>
      <c r="U485" s="185"/>
      <c r="V485" s="185"/>
      <c r="W485" s="185"/>
      <c r="X485" s="185"/>
      <c r="Y485" s="185"/>
      <c r="Z485" s="185"/>
      <c r="AA485" s="185"/>
      <c r="AB485" s="192">
        <v>66010201</v>
      </c>
      <c r="AC485" s="192" t="s">
        <v>865</v>
      </c>
      <c r="AD485" s="22" t="s">
        <v>330</v>
      </c>
      <c r="AE485" s="59" t="s">
        <v>291</v>
      </c>
      <c r="AF485" s="59" t="s">
        <v>314</v>
      </c>
      <c r="AG485" s="59"/>
      <c r="AH485" s="59"/>
      <c r="AI485" s="59"/>
      <c r="AJ485" s="59"/>
      <c r="AK485" s="59"/>
      <c r="BA485" s="185"/>
      <c r="BB485" s="357"/>
      <c r="CK485" s="369"/>
      <c r="CL485" s="369"/>
      <c r="CU485" s="185"/>
      <c r="CV485" s="185"/>
      <c r="DD485" s="185"/>
      <c r="DE485" s="185"/>
      <c r="DF485" s="185"/>
      <c r="DG485" s="185"/>
      <c r="DJ485" s="22" t="b">
        <v>1</v>
      </c>
      <c r="DP485" s="363"/>
      <c r="DR485" s="57" t="str">
        <f t="shared" si="15"/>
        <v/>
      </c>
      <c r="DU485" s="1" t="s">
        <v>280</v>
      </c>
      <c r="DV485" s="365"/>
      <c r="DY485" s="365"/>
    </row>
    <row r="486" spans="1:149" s="22" customFormat="1" ht="14.25" customHeight="1" x14ac:dyDescent="0.15">
      <c r="A486" s="185"/>
      <c r="B486" s="186"/>
      <c r="C486" s="40"/>
      <c r="D486" s="185"/>
      <c r="E486" s="185"/>
      <c r="F486" s="185"/>
      <c r="G486" s="185"/>
      <c r="H486" s="185"/>
      <c r="I486" s="185"/>
      <c r="J486" s="185"/>
      <c r="K486" s="185"/>
      <c r="L486" s="185"/>
      <c r="M486" s="185"/>
      <c r="N486" s="185"/>
      <c r="O486" s="185"/>
      <c r="P486" s="185"/>
      <c r="Q486" s="185"/>
      <c r="R486" s="185"/>
      <c r="S486" s="185"/>
      <c r="T486" s="185"/>
      <c r="U486" s="185"/>
      <c r="V486" s="185"/>
      <c r="W486" s="185"/>
      <c r="X486" s="185"/>
      <c r="Y486" s="185"/>
      <c r="Z486" s="185"/>
      <c r="AA486" s="185"/>
      <c r="AB486" s="192">
        <v>66010202</v>
      </c>
      <c r="AC486" s="192" t="s">
        <v>866</v>
      </c>
      <c r="AE486" s="22" t="s">
        <v>291</v>
      </c>
      <c r="AF486" s="22" t="s">
        <v>314</v>
      </c>
      <c r="AJ486" s="22">
        <v>8</v>
      </c>
      <c r="AL486" s="365"/>
      <c r="AM486" s="365"/>
      <c r="AN486" s="365"/>
      <c r="AO486" s="365"/>
      <c r="AP486" s="365"/>
      <c r="AQ486" s="365"/>
      <c r="AR486" s="365"/>
      <c r="AU486" s="365"/>
      <c r="AV486" s="365"/>
      <c r="AW486" s="365"/>
      <c r="AX486" s="365"/>
      <c r="AY486" s="365"/>
      <c r="AZ486" s="365"/>
      <c r="BA486" s="203"/>
      <c r="BB486" s="357"/>
      <c r="CK486" s="368"/>
      <c r="CL486" s="368"/>
      <c r="CU486" s="185"/>
      <c r="CV486" s="185"/>
      <c r="CX486" s="374"/>
      <c r="DD486" s="210"/>
      <c r="DE486" s="185"/>
      <c r="DF486" s="210"/>
      <c r="DG486" s="210"/>
      <c r="DH486" s="375"/>
      <c r="DI486" s="375"/>
      <c r="DJ486" s="22" t="b">
        <v>1</v>
      </c>
      <c r="DP486" s="363"/>
      <c r="DQ486" s="376"/>
      <c r="DR486" s="57" t="str">
        <f t="shared" si="15"/>
        <v/>
      </c>
      <c r="DS486" s="376"/>
      <c r="DT486" s="106"/>
      <c r="DU486" s="1" t="s">
        <v>280</v>
      </c>
      <c r="DV486" s="365"/>
      <c r="DY486" s="365"/>
      <c r="DZ486" s="113"/>
      <c r="EA486" s="114"/>
      <c r="EB486" s="114"/>
      <c r="EC486" s="114"/>
      <c r="ED486" s="114"/>
    </row>
    <row r="487" spans="1:149" s="22" customFormat="1" ht="14.25" customHeight="1" x14ac:dyDescent="0.15">
      <c r="A487" s="185"/>
      <c r="B487" s="186"/>
      <c r="C487" s="40"/>
      <c r="D487" s="185"/>
      <c r="E487" s="185"/>
      <c r="F487" s="185"/>
      <c r="G487" s="185"/>
      <c r="H487" s="185"/>
      <c r="I487" s="185"/>
      <c r="J487" s="185"/>
      <c r="K487" s="185"/>
      <c r="L487" s="185"/>
      <c r="M487" s="185"/>
      <c r="N487" s="185"/>
      <c r="O487" s="185"/>
      <c r="P487" s="185"/>
      <c r="Q487" s="185"/>
      <c r="R487" s="185"/>
      <c r="S487" s="185"/>
      <c r="T487" s="185"/>
      <c r="U487" s="185"/>
      <c r="V487" s="185"/>
      <c r="W487" s="185"/>
      <c r="X487" s="185"/>
      <c r="Y487" s="185"/>
      <c r="Z487" s="185"/>
      <c r="AA487" s="185"/>
      <c r="AB487" s="192">
        <v>66010203</v>
      </c>
      <c r="AC487" s="192" t="s">
        <v>867</v>
      </c>
      <c r="AD487" s="22" t="s">
        <v>330</v>
      </c>
      <c r="AE487" s="22" t="s">
        <v>291</v>
      </c>
      <c r="AF487" s="22" t="s">
        <v>314</v>
      </c>
      <c r="AJ487" s="59"/>
      <c r="AK487" s="59"/>
      <c r="BA487" s="185"/>
      <c r="BB487" s="357"/>
      <c r="CK487" s="369"/>
      <c r="CL487" s="369"/>
      <c r="CU487" s="185"/>
      <c r="CV487" s="185"/>
      <c r="DD487" s="185"/>
      <c r="DE487" s="185"/>
      <c r="DF487" s="185"/>
      <c r="DG487" s="185"/>
      <c r="DJ487" s="22" t="b">
        <v>1</v>
      </c>
      <c r="DP487" s="363"/>
      <c r="DR487" s="57" t="str">
        <f t="shared" si="15"/>
        <v/>
      </c>
      <c r="DU487" s="1" t="s">
        <v>280</v>
      </c>
      <c r="DV487" s="365"/>
      <c r="DY487" s="365"/>
    </row>
    <row r="488" spans="1:149" s="21" customFormat="1" ht="72" customHeight="1" x14ac:dyDescent="0.15">
      <c r="A488" s="185">
        <v>661101</v>
      </c>
      <c r="B488" s="186" t="s">
        <v>918</v>
      </c>
      <c r="C488" s="40" t="s">
        <v>919</v>
      </c>
      <c r="D488" s="185" t="s">
        <v>920</v>
      </c>
      <c r="E488" s="185"/>
      <c r="F488" s="185"/>
      <c r="G488" s="185"/>
      <c r="H488" s="185">
        <v>0</v>
      </c>
      <c r="I488" s="185"/>
      <c r="J488" s="185"/>
      <c r="K488" s="185"/>
      <c r="L488" s="185">
        <v>0</v>
      </c>
      <c r="M488" s="185"/>
      <c r="N488" s="185"/>
      <c r="O488" s="185"/>
      <c r="P488" s="185" t="s">
        <v>268</v>
      </c>
      <c r="Q488" s="185" t="s">
        <v>269</v>
      </c>
      <c r="R488" s="185"/>
      <c r="S488" s="185"/>
      <c r="T488" s="185"/>
      <c r="U488" s="185"/>
      <c r="V488" s="185"/>
      <c r="W488" s="185"/>
      <c r="X488" s="185">
        <v>1</v>
      </c>
      <c r="Y488" s="185">
        <v>0</v>
      </c>
      <c r="Z488" s="185">
        <v>0</v>
      </c>
      <c r="AA488" s="185"/>
      <c r="AB488" s="185">
        <v>3004</v>
      </c>
      <c r="AC488" s="193" t="s">
        <v>337</v>
      </c>
      <c r="AD488" s="185"/>
      <c r="AE488" s="10" t="s">
        <v>129</v>
      </c>
      <c r="AF488" s="10" t="s">
        <v>314</v>
      </c>
      <c r="AG488" s="185"/>
      <c r="AH488" s="185"/>
      <c r="AI488" s="185"/>
      <c r="AJ488" s="185"/>
      <c r="AK488" s="185"/>
      <c r="AL488" s="203"/>
      <c r="AM488" s="203"/>
      <c r="AN488" s="203"/>
      <c r="AO488" s="203"/>
      <c r="AP488" s="203"/>
      <c r="AQ488" s="203"/>
      <c r="AR488" s="203"/>
      <c r="AS488" s="185"/>
      <c r="AT488" s="185"/>
      <c r="AU488" s="203"/>
      <c r="AV488" s="203"/>
      <c r="AW488" s="203"/>
      <c r="AX488" s="203"/>
      <c r="AY488" s="203"/>
      <c r="AZ488" s="203"/>
      <c r="BA488" s="203" t="s">
        <v>270</v>
      </c>
      <c r="BB488" s="357">
        <v>65</v>
      </c>
      <c r="BC488" s="185"/>
      <c r="BD488" s="185"/>
      <c r="BE488" s="185"/>
      <c r="BF488" s="185"/>
      <c r="BG488" s="185"/>
      <c r="BH488" s="185"/>
      <c r="BI488" s="185"/>
      <c r="BJ488" s="185"/>
      <c r="BK488" s="185"/>
      <c r="BL488" s="185"/>
      <c r="BM488" s="185"/>
      <c r="BN488" s="185"/>
      <c r="BO488" s="185"/>
      <c r="BP488" s="185"/>
      <c r="BQ488" s="185"/>
      <c r="BR488" s="185"/>
      <c r="BS488" s="185"/>
      <c r="BT488" s="185"/>
      <c r="BU488" s="185"/>
      <c r="BV488" s="185"/>
      <c r="BW488" s="185"/>
      <c r="BX488" s="185"/>
      <c r="BY488" s="185"/>
      <c r="BZ488" s="185"/>
      <c r="CA488" s="185"/>
      <c r="CB488" s="185"/>
      <c r="CC488" s="185"/>
      <c r="CD488" s="185"/>
      <c r="CE488" s="185"/>
      <c r="CF488" s="185" t="s">
        <v>271</v>
      </c>
      <c r="CG488" s="185"/>
      <c r="CH488" s="185"/>
      <c r="CI488" s="185"/>
      <c r="CJ488" s="185" t="s">
        <v>1</v>
      </c>
      <c r="CK488" s="359" t="s">
        <v>464</v>
      </c>
      <c r="CL488" s="359"/>
      <c r="CM488" s="22">
        <v>999</v>
      </c>
      <c r="CN488" s="185">
        <v>0</v>
      </c>
      <c r="CO488" s="185">
        <v>0</v>
      </c>
      <c r="CP488" s="185">
        <v>0</v>
      </c>
      <c r="CQ488" s="185">
        <v>0</v>
      </c>
      <c r="CR488" s="185"/>
      <c r="CS488" s="185">
        <v>20</v>
      </c>
      <c r="CT488" s="185">
        <v>10</v>
      </c>
      <c r="CU488" s="185">
        <v>24</v>
      </c>
      <c r="CV488" s="16" t="s">
        <v>921</v>
      </c>
      <c r="CW488" s="185" t="b">
        <v>1</v>
      </c>
      <c r="CX488" s="185" t="s">
        <v>273</v>
      </c>
      <c r="CY488" s="185"/>
      <c r="CZ488" s="185"/>
      <c r="DA488" s="185"/>
      <c r="DB488" s="185">
        <v>170501</v>
      </c>
      <c r="DC488" s="185" t="b">
        <v>1</v>
      </c>
      <c r="DD488" s="185" t="s">
        <v>274</v>
      </c>
      <c r="DE488" s="185" t="s">
        <v>922</v>
      </c>
      <c r="DF488" s="185" t="s">
        <v>276</v>
      </c>
      <c r="DG488" s="185" t="s">
        <v>923</v>
      </c>
      <c r="DH488" s="185">
        <v>4</v>
      </c>
      <c r="DI488" s="185" t="b">
        <v>0</v>
      </c>
      <c r="DJ488" s="22" t="b">
        <v>1</v>
      </c>
      <c r="DK488" s="185"/>
      <c r="DL488" s="185"/>
      <c r="DM488" s="185"/>
      <c r="DN488" s="23"/>
      <c r="DO488" s="23"/>
      <c r="DP488" s="363" t="s">
        <v>475</v>
      </c>
      <c r="DQ488" s="193" t="s">
        <v>854</v>
      </c>
      <c r="DR488" s="57" t="e">
        <f t="shared" si="15"/>
        <v>#VALUE!</v>
      </c>
      <c r="DS488" s="193" t="s">
        <v>837</v>
      </c>
      <c r="DT488" s="185"/>
      <c r="DU488" s="1" t="s">
        <v>280</v>
      </c>
      <c r="DV488" s="203"/>
      <c r="DW488" s="185"/>
      <c r="DX488" s="185"/>
      <c r="DY488" s="23"/>
      <c r="DZ488" s="185">
        <v>1</v>
      </c>
      <c r="EA488" s="364">
        <v>-1</v>
      </c>
      <c r="EB488" s="364">
        <v>4.1666666666666699E-2</v>
      </c>
      <c r="EC488" s="364">
        <v>8.3333333333333301E-2</v>
      </c>
      <c r="ED488" s="364">
        <v>8.3333333333333301E-2</v>
      </c>
      <c r="EE488" s="185" t="s">
        <v>284</v>
      </c>
      <c r="EF488" s="185" t="s">
        <v>326</v>
      </c>
      <c r="EG488" s="185" t="e">
        <v>#VALUE!</v>
      </c>
      <c r="EH488" s="185" t="s">
        <v>285</v>
      </c>
      <c r="EI488" s="185" t="s">
        <v>327</v>
      </c>
      <c r="EJ488" s="185" t="e">
        <v>#VALUE!</v>
      </c>
      <c r="EK488" s="185" t="s">
        <v>286</v>
      </c>
      <c r="EL488" s="185" t="s">
        <v>328</v>
      </c>
      <c r="EM488" s="185" t="e">
        <v>#VALUE!</v>
      </c>
      <c r="EN488" s="185" t="s">
        <v>287</v>
      </c>
      <c r="EO488" s="185" t="s">
        <v>328</v>
      </c>
      <c r="EP488" s="185" t="e">
        <v>#VALUE!</v>
      </c>
      <c r="EQ488" s="185"/>
      <c r="ER488" s="185"/>
      <c r="ES488" s="185"/>
    </row>
    <row r="489" spans="1:149" s="21" customFormat="1" ht="14.25" customHeight="1" x14ac:dyDescent="0.15">
      <c r="A489" s="185"/>
      <c r="B489" s="186"/>
      <c r="C489" s="40"/>
      <c r="D489" s="185"/>
      <c r="E489" s="185"/>
      <c r="F489" s="185"/>
      <c r="G489" s="185"/>
      <c r="H489" s="185"/>
      <c r="I489" s="185"/>
      <c r="J489" s="185"/>
      <c r="K489" s="185"/>
      <c r="L489" s="185"/>
      <c r="M489" s="185"/>
      <c r="N489" s="185"/>
      <c r="O489" s="185"/>
      <c r="P489" s="185"/>
      <c r="Q489" s="185"/>
      <c r="R489" s="185"/>
      <c r="S489" s="185"/>
      <c r="T489" s="185"/>
      <c r="U489" s="185"/>
      <c r="V489" s="185"/>
      <c r="W489" s="185"/>
      <c r="X489" s="185"/>
      <c r="Y489" s="185"/>
      <c r="Z489" s="185"/>
      <c r="AA489" s="185"/>
      <c r="AB489" s="192">
        <v>66010102</v>
      </c>
      <c r="AC489" s="192" t="s">
        <v>856</v>
      </c>
      <c r="AD489" s="185" t="s">
        <v>330</v>
      </c>
      <c r="AE489" s="185" t="s">
        <v>291</v>
      </c>
      <c r="AF489" s="185" t="s">
        <v>314</v>
      </c>
      <c r="AG489" s="185"/>
      <c r="AH489" s="185"/>
      <c r="AI489" s="185"/>
      <c r="AJ489" s="185"/>
      <c r="AK489" s="185"/>
      <c r="AL489" s="203"/>
      <c r="AM489" s="203"/>
      <c r="AN489" s="203"/>
      <c r="AO489" s="203"/>
      <c r="AP489" s="203"/>
      <c r="AQ489" s="203"/>
      <c r="AR489" s="203"/>
      <c r="AS489" s="185"/>
      <c r="AT489" s="185"/>
      <c r="AU489" s="203"/>
      <c r="AV489" s="203"/>
      <c r="AW489" s="203"/>
      <c r="AX489" s="203"/>
      <c r="AY489" s="203"/>
      <c r="AZ489" s="203"/>
      <c r="BA489" s="203" t="s">
        <v>331</v>
      </c>
      <c r="BB489" s="358">
        <v>0.23</v>
      </c>
      <c r="BC489" s="185"/>
      <c r="BD489" s="185"/>
      <c r="BE489" s="185"/>
      <c r="BF489" s="185"/>
      <c r="BG489" s="185"/>
      <c r="BH489" s="185"/>
      <c r="BI489" s="185"/>
      <c r="BJ489" s="185"/>
      <c r="BK489" s="185"/>
      <c r="BL489" s="185"/>
      <c r="BM489" s="185"/>
      <c r="BN489" s="185"/>
      <c r="BO489" s="185"/>
      <c r="BP489" s="185"/>
      <c r="BQ489" s="185"/>
      <c r="BR489" s="185"/>
      <c r="BS489" s="185"/>
      <c r="BT489" s="185"/>
      <c r="BU489" s="185"/>
      <c r="BV489" s="185"/>
      <c r="BW489" s="185"/>
      <c r="BX489" s="185"/>
      <c r="BY489" s="185"/>
      <c r="BZ489" s="185"/>
      <c r="CA489" s="185"/>
      <c r="CB489" s="185"/>
      <c r="CC489" s="185"/>
      <c r="CD489" s="185"/>
      <c r="CE489" s="185"/>
      <c r="CF489" s="185"/>
      <c r="CG489" s="185"/>
      <c r="CH489" s="185"/>
      <c r="CI489" s="185"/>
      <c r="CJ489" s="185"/>
      <c r="CK489" s="360"/>
      <c r="CL489" s="360"/>
      <c r="CM489" s="185"/>
      <c r="CN489" s="185"/>
      <c r="CO489" s="185"/>
      <c r="CP489" s="185"/>
      <c r="CQ489" s="185"/>
      <c r="CR489" s="185"/>
      <c r="CS489" s="185"/>
      <c r="CT489" s="185"/>
      <c r="CU489" s="185"/>
      <c r="CV489" s="185"/>
      <c r="CW489" s="185"/>
      <c r="CX489" s="361"/>
      <c r="CY489" s="185"/>
      <c r="CZ489" s="185"/>
      <c r="DA489" s="185"/>
      <c r="DB489" s="185"/>
      <c r="DC489" s="185"/>
      <c r="DD489" s="185"/>
      <c r="DE489" s="185"/>
      <c r="DF489" s="185"/>
      <c r="DG489" s="185"/>
      <c r="DH489" s="185"/>
      <c r="DI489" s="361"/>
      <c r="DJ489" s="22" t="b">
        <v>1</v>
      </c>
      <c r="DK489" s="185"/>
      <c r="DL489" s="185"/>
      <c r="DM489" s="185"/>
      <c r="DN489" s="185"/>
      <c r="DO489" s="185"/>
      <c r="DP489" s="363"/>
      <c r="DQ489" s="193"/>
      <c r="DR489" s="57" t="str">
        <f t="shared" si="15"/>
        <v/>
      </c>
      <c r="DS489" s="193"/>
      <c r="DT489" s="185"/>
      <c r="DU489" s="1" t="s">
        <v>280</v>
      </c>
      <c r="DV489" s="203"/>
      <c r="DW489" s="185"/>
      <c r="DX489" s="185"/>
      <c r="DY489" s="203"/>
      <c r="DZ489" s="175"/>
      <c r="EA489" s="176"/>
      <c r="EB489" s="176"/>
      <c r="EC489" s="176"/>
      <c r="ED489" s="176"/>
      <c r="EE489" s="185"/>
      <c r="EF489" s="185"/>
      <c r="EG489" s="185"/>
      <c r="EH489" s="185"/>
      <c r="EI489" s="185"/>
      <c r="EJ489" s="185"/>
      <c r="EK489" s="185"/>
      <c r="EL489" s="185"/>
      <c r="EM489" s="185"/>
      <c r="EN489" s="185"/>
      <c r="EO489" s="185"/>
      <c r="EP489" s="185"/>
      <c r="EQ489" s="185"/>
      <c r="ER489" s="185"/>
      <c r="ES489" s="185"/>
    </row>
    <row r="490" spans="1:149" s="21" customFormat="1" ht="14.25" customHeight="1" x14ac:dyDescent="0.15">
      <c r="A490" s="185"/>
      <c r="B490" s="186"/>
      <c r="C490" s="40"/>
      <c r="D490" s="185"/>
      <c r="E490" s="185"/>
      <c r="F490" s="185"/>
      <c r="G490" s="185"/>
      <c r="H490" s="185"/>
      <c r="I490" s="185"/>
      <c r="J490" s="185"/>
      <c r="K490" s="185"/>
      <c r="L490" s="185"/>
      <c r="M490" s="185"/>
      <c r="N490" s="185"/>
      <c r="O490" s="185"/>
      <c r="P490" s="185"/>
      <c r="Q490" s="185"/>
      <c r="R490" s="185"/>
      <c r="S490" s="185"/>
      <c r="T490" s="185"/>
      <c r="U490" s="185"/>
      <c r="V490" s="185"/>
      <c r="W490" s="185"/>
      <c r="X490" s="185"/>
      <c r="Y490" s="185"/>
      <c r="Z490" s="185"/>
      <c r="AA490" s="185"/>
      <c r="AB490" s="192">
        <v>66010103</v>
      </c>
      <c r="AC490" s="192" t="s">
        <v>857</v>
      </c>
      <c r="AD490" s="185" t="s">
        <v>333</v>
      </c>
      <c r="AE490" s="185" t="s">
        <v>291</v>
      </c>
      <c r="AF490" s="185" t="s">
        <v>314</v>
      </c>
      <c r="AG490" s="185"/>
      <c r="AH490" s="185"/>
      <c r="AI490" s="185"/>
      <c r="AJ490" s="185">
        <v>-1</v>
      </c>
      <c r="AK490" s="185"/>
      <c r="AL490" s="203"/>
      <c r="AM490" s="356"/>
      <c r="AN490" s="356"/>
      <c r="AO490" s="356"/>
      <c r="AP490" s="356"/>
      <c r="AQ490" s="356"/>
      <c r="AR490" s="356"/>
      <c r="AS490" s="185"/>
      <c r="AT490" s="185"/>
      <c r="AU490" s="203"/>
      <c r="AV490" s="203"/>
      <c r="AW490" s="203"/>
      <c r="AX490" s="203"/>
      <c r="AY490" s="203"/>
      <c r="AZ490" s="203"/>
      <c r="BA490" s="203"/>
      <c r="BB490" s="357"/>
      <c r="BC490" s="185"/>
      <c r="BD490" s="185"/>
      <c r="BE490" s="185"/>
      <c r="BF490" s="185"/>
      <c r="BG490" s="185"/>
      <c r="BH490" s="185"/>
      <c r="BI490" s="185"/>
      <c r="BJ490" s="185"/>
      <c r="BK490" s="185"/>
      <c r="BL490" s="185"/>
      <c r="BM490" s="185"/>
      <c r="BN490" s="185"/>
      <c r="BO490" s="185"/>
      <c r="BP490" s="185"/>
      <c r="BQ490" s="185"/>
      <c r="BR490" s="185"/>
      <c r="BS490" s="185"/>
      <c r="BT490" s="185"/>
      <c r="BU490" s="185"/>
      <c r="BV490" s="185"/>
      <c r="BW490" s="185"/>
      <c r="BX490" s="185"/>
      <c r="BY490" s="185"/>
      <c r="BZ490" s="185"/>
      <c r="CA490" s="185"/>
      <c r="CB490" s="185"/>
      <c r="CC490" s="185"/>
      <c r="CD490" s="185"/>
      <c r="CE490" s="185"/>
      <c r="CF490" s="185"/>
      <c r="CG490" s="185"/>
      <c r="CH490" s="185"/>
      <c r="CI490" s="185"/>
      <c r="CJ490" s="185"/>
      <c r="CK490" s="360"/>
      <c r="CL490" s="360"/>
      <c r="CM490" s="185"/>
      <c r="CN490" s="185"/>
      <c r="CO490" s="185"/>
      <c r="CP490" s="185"/>
      <c r="CQ490" s="185"/>
      <c r="CR490" s="185"/>
      <c r="CS490" s="185"/>
      <c r="CT490" s="185"/>
      <c r="CU490" s="185"/>
      <c r="CV490" s="185"/>
      <c r="CW490" s="185"/>
      <c r="CX490" s="185"/>
      <c r="CY490" s="185"/>
      <c r="CZ490" s="185"/>
      <c r="DA490" s="185"/>
      <c r="DB490" s="185"/>
      <c r="DC490" s="185"/>
      <c r="DD490" s="185"/>
      <c r="DE490" s="185"/>
      <c r="DF490" s="185"/>
      <c r="DG490" s="185"/>
      <c r="DH490" s="185"/>
      <c r="DI490" s="185"/>
      <c r="DJ490" s="22" t="b">
        <v>1</v>
      </c>
      <c r="DK490" s="185"/>
      <c r="DL490" s="185"/>
      <c r="DM490" s="185"/>
      <c r="DN490" s="185"/>
      <c r="DO490" s="185"/>
      <c r="DP490" s="363"/>
      <c r="DQ490" s="193"/>
      <c r="DR490" s="57" t="str">
        <f t="shared" si="15"/>
        <v/>
      </c>
      <c r="DS490" s="193"/>
      <c r="DT490" s="185"/>
      <c r="DU490" s="1" t="s">
        <v>280</v>
      </c>
      <c r="DV490" s="203"/>
      <c r="DW490" s="185"/>
      <c r="DX490" s="185"/>
      <c r="DY490" s="203"/>
      <c r="DZ490" s="185"/>
      <c r="EA490" s="185"/>
      <c r="EB490" s="185"/>
      <c r="EC490" s="185"/>
      <c r="ED490" s="185"/>
      <c r="EE490" s="185"/>
      <c r="EF490" s="185"/>
      <c r="EG490" s="185"/>
      <c r="EH490" s="185"/>
      <c r="EI490" s="185"/>
      <c r="EJ490" s="185"/>
      <c r="EK490" s="185"/>
      <c r="EL490" s="185"/>
      <c r="EM490" s="185"/>
      <c r="EN490" s="185"/>
      <c r="EO490" s="185"/>
      <c r="EP490" s="185"/>
      <c r="EQ490" s="185"/>
      <c r="ER490" s="185"/>
      <c r="ES490" s="185"/>
    </row>
    <row r="491" spans="1:149" s="21" customFormat="1" ht="78" customHeight="1" x14ac:dyDescent="0.15">
      <c r="A491" s="185">
        <v>661201</v>
      </c>
      <c r="B491" s="186" t="s">
        <v>924</v>
      </c>
      <c r="C491" s="40" t="s">
        <v>925</v>
      </c>
      <c r="D491" s="185" t="s">
        <v>926</v>
      </c>
      <c r="E491" s="185"/>
      <c r="F491" s="185"/>
      <c r="G491" s="185"/>
      <c r="H491" s="185">
        <v>0</v>
      </c>
      <c r="I491" s="185"/>
      <c r="J491" s="185"/>
      <c r="K491" s="185"/>
      <c r="L491" s="185">
        <v>0</v>
      </c>
      <c r="M491" s="185"/>
      <c r="N491" s="185"/>
      <c r="O491" s="185"/>
      <c r="P491" s="185" t="s">
        <v>268</v>
      </c>
      <c r="Q491" s="185" t="s">
        <v>269</v>
      </c>
      <c r="R491" s="185"/>
      <c r="S491" s="185"/>
      <c r="T491" s="185"/>
      <c r="U491" s="185"/>
      <c r="V491" s="185"/>
      <c r="W491" s="185"/>
      <c r="X491" s="185">
        <v>1</v>
      </c>
      <c r="Y491" s="185">
        <v>0</v>
      </c>
      <c r="Z491" s="185">
        <v>0</v>
      </c>
      <c r="AA491" s="185"/>
      <c r="AB491" s="185">
        <v>3001</v>
      </c>
      <c r="AC491" s="193" t="s">
        <v>337</v>
      </c>
      <c r="AD491" s="185"/>
      <c r="AE491" s="10" t="s">
        <v>129</v>
      </c>
      <c r="AF491" s="10" t="s">
        <v>314</v>
      </c>
      <c r="AG491" s="185"/>
      <c r="AH491" s="185"/>
      <c r="AI491" s="185"/>
      <c r="AJ491" s="185"/>
      <c r="AK491" s="185"/>
      <c r="AL491" s="203"/>
      <c r="AM491" s="203"/>
      <c r="AN491" s="203"/>
      <c r="AO491" s="203"/>
      <c r="AP491" s="203"/>
      <c r="AQ491" s="203"/>
      <c r="AR491" s="203"/>
      <c r="AS491" s="185"/>
      <c r="AT491" s="185"/>
      <c r="AU491" s="203"/>
      <c r="AV491" s="203"/>
      <c r="AW491" s="203"/>
      <c r="AX491" s="203"/>
      <c r="AY491" s="203"/>
      <c r="AZ491" s="203"/>
      <c r="BA491" s="203" t="s">
        <v>270</v>
      </c>
      <c r="BB491" s="357">
        <v>65</v>
      </c>
      <c r="BC491" s="185"/>
      <c r="BD491" s="185"/>
      <c r="BE491" s="185"/>
      <c r="BF491" s="185"/>
      <c r="BG491" s="185"/>
      <c r="BH491" s="185"/>
      <c r="BI491" s="185"/>
      <c r="BJ491" s="185"/>
      <c r="BK491" s="185"/>
      <c r="BL491" s="185"/>
      <c r="BM491" s="185"/>
      <c r="BN491" s="185"/>
      <c r="BO491" s="185"/>
      <c r="BP491" s="185"/>
      <c r="BQ491" s="185"/>
      <c r="BR491" s="185"/>
      <c r="BS491" s="185"/>
      <c r="BT491" s="185"/>
      <c r="BU491" s="185"/>
      <c r="BV491" s="185"/>
      <c r="BW491" s="185"/>
      <c r="BX491" s="185"/>
      <c r="BY491" s="185"/>
      <c r="BZ491" s="185"/>
      <c r="CA491" s="185"/>
      <c r="CB491" s="185"/>
      <c r="CC491" s="185"/>
      <c r="CD491" s="185"/>
      <c r="CE491" s="185"/>
      <c r="CF491" s="185" t="s">
        <v>271</v>
      </c>
      <c r="CG491" s="185"/>
      <c r="CH491" s="185"/>
      <c r="CI491" s="23"/>
      <c r="CJ491" s="23" t="s">
        <v>2</v>
      </c>
      <c r="CK491" s="370" t="s">
        <v>883</v>
      </c>
      <c r="CL491" s="370"/>
      <c r="CM491" s="22">
        <v>999</v>
      </c>
      <c r="CN491" s="185">
        <v>0</v>
      </c>
      <c r="CO491" s="185">
        <v>0</v>
      </c>
      <c r="CP491" s="185">
        <v>0</v>
      </c>
      <c r="CQ491" s="185">
        <v>0</v>
      </c>
      <c r="CR491" s="185"/>
      <c r="CS491" s="185">
        <v>20</v>
      </c>
      <c r="CT491" s="185">
        <v>10</v>
      </c>
      <c r="CU491" s="185">
        <v>24</v>
      </c>
      <c r="CV491" s="16" t="s">
        <v>927</v>
      </c>
      <c r="CW491" s="185" t="b">
        <v>1</v>
      </c>
      <c r="CX491" s="185" t="s">
        <v>273</v>
      </c>
      <c r="CY491" s="185"/>
      <c r="CZ491" s="185"/>
      <c r="DA491" s="185"/>
      <c r="DB491" s="185">
        <v>170501</v>
      </c>
      <c r="DC491" s="185" t="b">
        <v>1</v>
      </c>
      <c r="DD491" s="185" t="s">
        <v>274</v>
      </c>
      <c r="DE491" s="185" t="s">
        <v>928</v>
      </c>
      <c r="DF491" s="185" t="s">
        <v>276</v>
      </c>
      <c r="DG491" s="185" t="s">
        <v>703</v>
      </c>
      <c r="DH491" s="185">
        <v>4</v>
      </c>
      <c r="DI491" s="185" t="b">
        <v>0</v>
      </c>
      <c r="DJ491" s="22" t="b">
        <v>1</v>
      </c>
      <c r="DK491" s="185"/>
      <c r="DL491" s="185"/>
      <c r="DM491" s="185"/>
      <c r="DN491" s="23"/>
      <c r="DO491" s="23"/>
      <c r="DP491" s="363" t="s">
        <v>475</v>
      </c>
      <c r="DQ491" s="193" t="s">
        <v>854</v>
      </c>
      <c r="DR491" s="57" t="e">
        <f t="shared" si="15"/>
        <v>#VALUE!</v>
      </c>
      <c r="DS491" s="193" t="s">
        <v>837</v>
      </c>
      <c r="DT491" s="185"/>
      <c r="DU491" s="1" t="s">
        <v>280</v>
      </c>
      <c r="DV491" s="203"/>
      <c r="DW491" s="185"/>
      <c r="DX491" s="185"/>
      <c r="DY491" s="23"/>
      <c r="DZ491" s="185">
        <v>1</v>
      </c>
      <c r="EA491" s="364">
        <v>-1</v>
      </c>
      <c r="EB491" s="364">
        <v>4.1666666666666699E-2</v>
      </c>
      <c r="EC491" s="364">
        <v>8.3333333333333301E-2</v>
      </c>
      <c r="ED491" s="364">
        <v>8.3333333333333301E-2</v>
      </c>
      <c r="EE491" s="185" t="s">
        <v>284</v>
      </c>
      <c r="EF491" s="185" t="s">
        <v>326</v>
      </c>
      <c r="EG491" s="185" t="e">
        <v>#VALUE!</v>
      </c>
      <c r="EH491" s="185" t="s">
        <v>285</v>
      </c>
      <c r="EI491" s="185" t="s">
        <v>327</v>
      </c>
      <c r="EJ491" s="185" t="e">
        <v>#VALUE!</v>
      </c>
      <c r="EK491" s="185" t="s">
        <v>286</v>
      </c>
      <c r="EL491" s="185" t="s">
        <v>328</v>
      </c>
      <c r="EM491" s="185" t="e">
        <v>#VALUE!</v>
      </c>
      <c r="EN491" s="185" t="s">
        <v>287</v>
      </c>
      <c r="EO491" s="185" t="s">
        <v>328</v>
      </c>
      <c r="EP491" s="185" t="e">
        <v>#VALUE!</v>
      </c>
      <c r="EQ491" s="185"/>
      <c r="ER491" s="185"/>
      <c r="ES491" s="185"/>
    </row>
    <row r="492" spans="1:149" s="21" customFormat="1" ht="14.25" customHeight="1" x14ac:dyDescent="0.15">
      <c r="A492" s="185"/>
      <c r="B492" s="186"/>
      <c r="C492" s="40"/>
      <c r="D492" s="185"/>
      <c r="E492" s="185"/>
      <c r="F492" s="185"/>
      <c r="G492" s="185"/>
      <c r="H492" s="185"/>
      <c r="I492" s="185"/>
      <c r="J492" s="185"/>
      <c r="K492" s="185"/>
      <c r="L492" s="185"/>
      <c r="M492" s="185"/>
      <c r="N492" s="185"/>
      <c r="O492" s="185"/>
      <c r="P492" s="185"/>
      <c r="Q492" s="185"/>
      <c r="R492" s="185"/>
      <c r="S492" s="185"/>
      <c r="T492" s="185"/>
      <c r="U492" s="185"/>
      <c r="V492" s="185"/>
      <c r="W492" s="185"/>
      <c r="X492" s="185"/>
      <c r="Y492" s="185"/>
      <c r="Z492" s="185"/>
      <c r="AA492" s="185"/>
      <c r="AB492" s="192">
        <v>66011201</v>
      </c>
      <c r="AC492" s="17" t="s">
        <v>929</v>
      </c>
      <c r="AD492" s="185"/>
      <c r="AE492" s="185" t="s">
        <v>291</v>
      </c>
      <c r="AF492" s="185" t="s">
        <v>314</v>
      </c>
      <c r="AG492" s="185"/>
      <c r="AH492" s="185"/>
      <c r="AI492" s="185"/>
      <c r="AJ492" s="185">
        <v>6</v>
      </c>
      <c r="AK492" s="185"/>
      <c r="AL492" s="203"/>
      <c r="AM492" s="203"/>
      <c r="AN492" s="203"/>
      <c r="AO492" s="203"/>
      <c r="AP492" s="203"/>
      <c r="AQ492" s="203"/>
      <c r="AR492" s="203"/>
      <c r="AS492" s="185"/>
      <c r="AT492" s="185"/>
      <c r="AU492" s="203"/>
      <c r="AV492" s="203"/>
      <c r="AW492" s="203"/>
      <c r="AX492" s="203"/>
      <c r="AY492" s="203"/>
      <c r="AZ492" s="203"/>
      <c r="BA492" s="203" t="s">
        <v>270</v>
      </c>
      <c r="BB492" s="358">
        <v>1</v>
      </c>
      <c r="BC492" s="185"/>
      <c r="BD492" s="185"/>
      <c r="BE492" s="185"/>
      <c r="BF492" s="185"/>
      <c r="BG492" s="185"/>
      <c r="BH492" s="185"/>
      <c r="BI492" s="185"/>
      <c r="BJ492" s="185"/>
      <c r="BK492" s="185"/>
      <c r="BL492" s="185"/>
      <c r="BM492" s="185"/>
      <c r="BN492" s="185"/>
      <c r="BO492" s="185"/>
      <c r="BP492" s="185"/>
      <c r="BQ492" s="185"/>
      <c r="BR492" s="185"/>
      <c r="BS492" s="185"/>
      <c r="BT492" s="185"/>
      <c r="BU492" s="185"/>
      <c r="BV492" s="185"/>
      <c r="BW492" s="185"/>
      <c r="BX492" s="185"/>
      <c r="BY492" s="185"/>
      <c r="BZ492" s="185"/>
      <c r="CA492" s="185"/>
      <c r="CB492" s="185"/>
      <c r="CC492" s="185"/>
      <c r="CD492" s="185"/>
      <c r="CE492" s="185"/>
      <c r="CF492" s="185"/>
      <c r="CG492" s="185"/>
      <c r="CH492" s="185"/>
      <c r="CI492" s="185"/>
      <c r="CJ492" s="185"/>
      <c r="CK492" s="359"/>
      <c r="CL492" s="359"/>
      <c r="CM492" s="22"/>
      <c r="CN492" s="185"/>
      <c r="CO492" s="185"/>
      <c r="CP492" s="185"/>
      <c r="CQ492" s="185"/>
      <c r="CR492" s="185"/>
      <c r="CS492" s="185"/>
      <c r="CT492" s="185"/>
      <c r="CU492" s="185"/>
      <c r="CV492" s="185"/>
      <c r="CW492" s="185"/>
      <c r="CX492" s="185"/>
      <c r="CY492" s="185"/>
      <c r="CZ492" s="185"/>
      <c r="DA492" s="185"/>
      <c r="DB492" s="185"/>
      <c r="DC492" s="185"/>
      <c r="DD492" s="185"/>
      <c r="DE492" s="185"/>
      <c r="DF492" s="185"/>
      <c r="DG492" s="185"/>
      <c r="DH492" s="185"/>
      <c r="DI492" s="185"/>
      <c r="DJ492" s="22"/>
      <c r="DK492" s="185"/>
      <c r="DL492" s="185"/>
      <c r="DM492" s="185"/>
      <c r="DN492" s="23"/>
      <c r="DO492" s="23"/>
      <c r="DP492" s="363"/>
      <c r="DQ492" s="193"/>
      <c r="DR492" s="57" t="str">
        <f t="shared" si="15"/>
        <v/>
      </c>
      <c r="DS492" s="193"/>
      <c r="DT492" s="185"/>
      <c r="DU492" s="1" t="s">
        <v>280</v>
      </c>
      <c r="DV492" s="203"/>
      <c r="DW492" s="185"/>
      <c r="DX492" s="185"/>
      <c r="DY492" s="23"/>
      <c r="DZ492" s="185"/>
      <c r="EA492" s="364"/>
      <c r="EB492" s="364"/>
      <c r="EC492" s="364"/>
      <c r="ED492" s="364"/>
      <c r="EE492" s="185"/>
      <c r="EF492" s="185"/>
      <c r="EG492" s="185"/>
      <c r="EH492" s="185"/>
      <c r="EI492" s="185"/>
      <c r="EJ492" s="185"/>
      <c r="EK492" s="185"/>
      <c r="EL492" s="185"/>
      <c r="EM492" s="185"/>
      <c r="EN492" s="185"/>
      <c r="EO492" s="185"/>
      <c r="EP492" s="185"/>
      <c r="EQ492" s="185"/>
      <c r="ER492" s="185"/>
      <c r="ES492" s="185"/>
    </row>
    <row r="493" spans="1:149" s="21" customFormat="1" ht="14.25" customHeight="1" x14ac:dyDescent="0.15">
      <c r="A493" s="185"/>
      <c r="B493" s="186"/>
      <c r="C493" s="40"/>
      <c r="D493" s="185"/>
      <c r="E493" s="185"/>
      <c r="F493" s="185"/>
      <c r="G493" s="185"/>
      <c r="H493" s="185"/>
      <c r="I493" s="185"/>
      <c r="J493" s="185"/>
      <c r="K493" s="185"/>
      <c r="L493" s="185"/>
      <c r="M493" s="185"/>
      <c r="N493" s="185"/>
      <c r="O493" s="185"/>
      <c r="P493" s="185"/>
      <c r="Q493" s="185"/>
      <c r="R493" s="185"/>
      <c r="S493" s="185"/>
      <c r="T493" s="185"/>
      <c r="U493" s="185"/>
      <c r="V493" s="185"/>
      <c r="W493" s="185"/>
      <c r="X493" s="185"/>
      <c r="Y493" s="185"/>
      <c r="Z493" s="185"/>
      <c r="AA493" s="185"/>
      <c r="AB493" s="192">
        <v>66010102</v>
      </c>
      <c r="AC493" s="192" t="s">
        <v>856</v>
      </c>
      <c r="AD493" s="185" t="s">
        <v>330</v>
      </c>
      <c r="AE493" s="185" t="s">
        <v>291</v>
      </c>
      <c r="AF493" s="185" t="s">
        <v>314</v>
      </c>
      <c r="AG493" s="185"/>
      <c r="AH493" s="185"/>
      <c r="AI493" s="185"/>
      <c r="AJ493" s="185"/>
      <c r="AK493" s="185"/>
      <c r="AL493" s="203"/>
      <c r="AM493" s="203"/>
      <c r="AN493" s="203"/>
      <c r="AO493" s="203"/>
      <c r="AP493" s="203"/>
      <c r="AQ493" s="203"/>
      <c r="AR493" s="203"/>
      <c r="AS493" s="185"/>
      <c r="AT493" s="185"/>
      <c r="AU493" s="203"/>
      <c r="AV493" s="203"/>
      <c r="AW493" s="203"/>
      <c r="AX493" s="203"/>
      <c r="AY493" s="203"/>
      <c r="AZ493" s="203"/>
      <c r="BA493" s="203" t="s">
        <v>331</v>
      </c>
      <c r="BB493" s="358">
        <v>0.23</v>
      </c>
      <c r="BC493" s="185"/>
      <c r="BD493" s="185"/>
      <c r="BE493" s="185"/>
      <c r="BF493" s="185"/>
      <c r="BG493" s="185"/>
      <c r="BH493" s="185"/>
      <c r="BI493" s="185"/>
      <c r="BJ493" s="185"/>
      <c r="BK493" s="185"/>
      <c r="BL493" s="185"/>
      <c r="BM493" s="185"/>
      <c r="BN493" s="185"/>
      <c r="BO493" s="185"/>
      <c r="BP493" s="185"/>
      <c r="BQ493" s="185"/>
      <c r="BR493" s="185"/>
      <c r="BS493" s="185"/>
      <c r="BT493" s="185"/>
      <c r="BU493" s="185"/>
      <c r="BV493" s="185"/>
      <c r="BW493" s="185"/>
      <c r="BX493" s="185"/>
      <c r="BY493" s="185"/>
      <c r="BZ493" s="185"/>
      <c r="CA493" s="185"/>
      <c r="CB493" s="185"/>
      <c r="CC493" s="185"/>
      <c r="CD493" s="185"/>
      <c r="CE493" s="185"/>
      <c r="CF493" s="185"/>
      <c r="CG493" s="185"/>
      <c r="CH493" s="185"/>
      <c r="CI493" s="185"/>
      <c r="CJ493" s="185"/>
      <c r="CK493" s="360"/>
      <c r="CL493" s="360"/>
      <c r="CM493" s="185"/>
      <c r="CN493" s="185"/>
      <c r="CO493" s="185"/>
      <c r="CP493" s="185"/>
      <c r="CQ493" s="185"/>
      <c r="CR493" s="185"/>
      <c r="CS493" s="185"/>
      <c r="CT493" s="185"/>
      <c r="CU493" s="185"/>
      <c r="CV493" s="185"/>
      <c r="CW493" s="185"/>
      <c r="CX493" s="361"/>
      <c r="CY493" s="185"/>
      <c r="CZ493" s="185"/>
      <c r="DA493" s="185"/>
      <c r="DB493" s="185"/>
      <c r="DC493" s="185"/>
      <c r="DD493" s="185"/>
      <c r="DE493" s="185"/>
      <c r="DF493" s="185"/>
      <c r="DG493" s="185"/>
      <c r="DH493" s="185"/>
      <c r="DI493" s="361"/>
      <c r="DJ493" s="22" t="b">
        <v>1</v>
      </c>
      <c r="DK493" s="185"/>
      <c r="DL493" s="185"/>
      <c r="DM493" s="185"/>
      <c r="DN493" s="185"/>
      <c r="DO493" s="185"/>
      <c r="DP493" s="363"/>
      <c r="DQ493" s="193"/>
      <c r="DR493" s="57" t="str">
        <f t="shared" si="15"/>
        <v/>
      </c>
      <c r="DS493" s="193"/>
      <c r="DT493" s="185"/>
      <c r="DU493" s="1" t="s">
        <v>280</v>
      </c>
      <c r="DV493" s="203"/>
      <c r="DW493" s="185"/>
      <c r="DX493" s="185"/>
      <c r="DY493" s="203"/>
      <c r="DZ493" s="175"/>
      <c r="EA493" s="176"/>
      <c r="EB493" s="176"/>
      <c r="EC493" s="176"/>
      <c r="ED493" s="176"/>
      <c r="EE493" s="185"/>
      <c r="EF493" s="185"/>
      <c r="EG493" s="185"/>
      <c r="EH493" s="185"/>
      <c r="EI493" s="185"/>
      <c r="EJ493" s="185"/>
      <c r="EK493" s="185"/>
      <c r="EL493" s="185"/>
      <c r="EM493" s="185"/>
      <c r="EN493" s="185"/>
      <c r="EO493" s="185"/>
      <c r="EP493" s="185"/>
      <c r="EQ493" s="185"/>
      <c r="ER493" s="185"/>
      <c r="ES493" s="185"/>
    </row>
    <row r="494" spans="1:149" s="21" customFormat="1" ht="14.25" customHeight="1" x14ac:dyDescent="0.15">
      <c r="A494" s="185"/>
      <c r="B494" s="186"/>
      <c r="C494" s="40"/>
      <c r="D494" s="185"/>
      <c r="E494" s="185"/>
      <c r="F494" s="185"/>
      <c r="G494" s="185"/>
      <c r="H494" s="185"/>
      <c r="I494" s="185"/>
      <c r="J494" s="185"/>
      <c r="K494" s="185"/>
      <c r="L494" s="185"/>
      <c r="M494" s="185"/>
      <c r="N494" s="185"/>
      <c r="O494" s="185"/>
      <c r="P494" s="185"/>
      <c r="Q494" s="185"/>
      <c r="R494" s="185"/>
      <c r="S494" s="185"/>
      <c r="T494" s="185"/>
      <c r="U494" s="185"/>
      <c r="V494" s="185"/>
      <c r="W494" s="185"/>
      <c r="X494" s="185"/>
      <c r="Y494" s="185"/>
      <c r="Z494" s="185"/>
      <c r="AA494" s="185"/>
      <c r="AB494" s="192">
        <v>66010103</v>
      </c>
      <c r="AC494" s="192" t="s">
        <v>857</v>
      </c>
      <c r="AD494" s="185" t="s">
        <v>333</v>
      </c>
      <c r="AE494" s="185" t="s">
        <v>291</v>
      </c>
      <c r="AF494" s="185" t="s">
        <v>314</v>
      </c>
      <c r="AG494" s="185"/>
      <c r="AH494" s="185"/>
      <c r="AI494" s="185"/>
      <c r="AJ494" s="185">
        <v>-1</v>
      </c>
      <c r="AK494" s="185"/>
      <c r="AL494" s="203"/>
      <c r="AM494" s="356"/>
      <c r="AN494" s="356"/>
      <c r="AO494" s="356"/>
      <c r="AP494" s="356"/>
      <c r="AQ494" s="356"/>
      <c r="AR494" s="356"/>
      <c r="AS494" s="185"/>
      <c r="AT494" s="185"/>
      <c r="AU494" s="203"/>
      <c r="AV494" s="203"/>
      <c r="AW494" s="203"/>
      <c r="AX494" s="203"/>
      <c r="AY494" s="203"/>
      <c r="AZ494" s="203"/>
      <c r="BA494" s="203"/>
      <c r="BB494" s="357"/>
      <c r="BC494" s="185"/>
      <c r="BD494" s="185"/>
      <c r="BE494" s="185"/>
      <c r="BF494" s="185"/>
      <c r="BG494" s="185"/>
      <c r="BH494" s="185"/>
      <c r="BI494" s="185"/>
      <c r="BJ494" s="185"/>
      <c r="BK494" s="185"/>
      <c r="BL494" s="185"/>
      <c r="BM494" s="185"/>
      <c r="BN494" s="185"/>
      <c r="BO494" s="185"/>
      <c r="BP494" s="185"/>
      <c r="BQ494" s="185"/>
      <c r="BR494" s="185"/>
      <c r="BS494" s="185"/>
      <c r="BT494" s="185"/>
      <c r="BU494" s="185"/>
      <c r="BV494" s="185"/>
      <c r="BW494" s="185"/>
      <c r="BX494" s="185"/>
      <c r="BY494" s="185"/>
      <c r="BZ494" s="185"/>
      <c r="CA494" s="185"/>
      <c r="CB494" s="185"/>
      <c r="CC494" s="185"/>
      <c r="CD494" s="185"/>
      <c r="CE494" s="185"/>
      <c r="CF494" s="185"/>
      <c r="CG494" s="185"/>
      <c r="CH494" s="185"/>
      <c r="CI494" s="185"/>
      <c r="CJ494" s="185"/>
      <c r="CK494" s="360"/>
      <c r="CL494" s="360"/>
      <c r="CM494" s="185"/>
      <c r="CN494" s="185"/>
      <c r="CO494" s="185"/>
      <c r="CP494" s="185"/>
      <c r="CQ494" s="185"/>
      <c r="CR494" s="185"/>
      <c r="CS494" s="185"/>
      <c r="CT494" s="185"/>
      <c r="CU494" s="185"/>
      <c r="CV494" s="185"/>
      <c r="CW494" s="185"/>
      <c r="CX494" s="185"/>
      <c r="CY494" s="185"/>
      <c r="CZ494" s="185"/>
      <c r="DA494" s="185"/>
      <c r="DB494" s="185"/>
      <c r="DC494" s="185"/>
      <c r="DD494" s="185"/>
      <c r="DE494" s="185"/>
      <c r="DF494" s="185"/>
      <c r="DG494" s="185"/>
      <c r="DH494" s="185"/>
      <c r="DI494" s="185"/>
      <c r="DJ494" s="22" t="b">
        <v>1</v>
      </c>
      <c r="DK494" s="185"/>
      <c r="DL494" s="185"/>
      <c r="DM494" s="185"/>
      <c r="DN494" s="185"/>
      <c r="DO494" s="185"/>
      <c r="DP494" s="363"/>
      <c r="DQ494" s="193"/>
      <c r="DR494" s="57" t="str">
        <f t="shared" si="15"/>
        <v/>
      </c>
      <c r="DS494" s="193"/>
      <c r="DT494" s="185"/>
      <c r="DU494" s="1" t="s">
        <v>280</v>
      </c>
      <c r="DV494" s="203"/>
      <c r="DW494" s="185"/>
      <c r="DX494" s="185"/>
      <c r="DY494" s="203"/>
      <c r="DZ494" s="185"/>
      <c r="EA494" s="185"/>
      <c r="EB494" s="185"/>
      <c r="EC494" s="185"/>
      <c r="ED494" s="185"/>
      <c r="EE494" s="185"/>
      <c r="EF494" s="185"/>
      <c r="EG494" s="185"/>
      <c r="EH494" s="185"/>
      <c r="EI494" s="185"/>
      <c r="EJ494" s="185"/>
      <c r="EK494" s="185"/>
      <c r="EL494" s="185"/>
      <c r="EM494" s="185"/>
      <c r="EN494" s="185"/>
      <c r="EO494" s="185"/>
      <c r="EP494" s="185"/>
      <c r="EQ494" s="185"/>
      <c r="ER494" s="185"/>
      <c r="ES494" s="185"/>
    </row>
    <row r="495" spans="1:149" s="8" customFormat="1" ht="57.6" customHeight="1" x14ac:dyDescent="0.15">
      <c r="A495" s="16">
        <v>661301</v>
      </c>
      <c r="B495" s="125" t="s">
        <v>334</v>
      </c>
      <c r="C495" s="40" t="s">
        <v>335</v>
      </c>
      <c r="D495" s="16" t="s">
        <v>469</v>
      </c>
      <c r="E495" s="16">
        <v>170515</v>
      </c>
      <c r="F495" s="16"/>
      <c r="G495" s="16"/>
      <c r="H495" s="16">
        <v>0</v>
      </c>
      <c r="I495" s="16"/>
      <c r="J495" s="16"/>
      <c r="K495" s="16"/>
      <c r="L495" s="16">
        <v>0</v>
      </c>
      <c r="M495" s="16"/>
      <c r="N495" s="16"/>
      <c r="O495" s="16"/>
      <c r="P495" s="16" t="s">
        <v>268</v>
      </c>
      <c r="Q495" s="16" t="s">
        <v>269</v>
      </c>
      <c r="R495" s="16"/>
      <c r="S495" s="16"/>
      <c r="T495" s="16"/>
      <c r="U495" s="16"/>
      <c r="V495" s="16"/>
      <c r="W495" s="16"/>
      <c r="X495" s="16">
        <v>1</v>
      </c>
      <c r="Y495" s="16">
        <v>0</v>
      </c>
      <c r="Z495" s="16">
        <v>0</v>
      </c>
      <c r="AA495" s="16"/>
      <c r="AB495" s="16">
        <v>3001</v>
      </c>
      <c r="AC495" s="140" t="s">
        <v>337</v>
      </c>
      <c r="AD495" s="16"/>
      <c r="AE495" s="16" t="s">
        <v>129</v>
      </c>
      <c r="AF495" s="16" t="s">
        <v>314</v>
      </c>
      <c r="AG495" s="16"/>
      <c r="AH495" s="16"/>
      <c r="AI495" s="16"/>
      <c r="AJ495" s="16"/>
      <c r="AK495" s="16"/>
      <c r="AL495" s="148"/>
      <c r="AM495" s="148"/>
      <c r="AN495" s="148"/>
      <c r="AO495" s="148"/>
      <c r="AP495" s="148"/>
      <c r="AQ495" s="148"/>
      <c r="AR495" s="148"/>
      <c r="AS495" s="16"/>
      <c r="AT495" s="16"/>
      <c r="AU495" s="148"/>
      <c r="AV495" s="148"/>
      <c r="AW495" s="148"/>
      <c r="AX495" s="148"/>
      <c r="AY495" s="148"/>
      <c r="AZ495" s="148"/>
      <c r="BA495" s="148" t="s">
        <v>270</v>
      </c>
      <c r="BB495" s="366">
        <v>40</v>
      </c>
      <c r="BC495" s="16">
        <v>0</v>
      </c>
      <c r="BD495" s="16"/>
      <c r="BE495" s="16"/>
      <c r="BF495" s="16">
        <v>0</v>
      </c>
      <c r="BG495" s="16">
        <v>0</v>
      </c>
      <c r="BH495" s="16">
        <v>0</v>
      </c>
      <c r="BI495" s="16"/>
      <c r="BJ495" s="16" t="s">
        <v>270</v>
      </c>
      <c r="BK495" s="16"/>
      <c r="BL495" s="16"/>
      <c r="BM495" s="16"/>
      <c r="BN495" s="16"/>
      <c r="BO495" s="16"/>
      <c r="BP495" s="16"/>
      <c r="BQ495" s="16"/>
      <c r="BR495" s="16"/>
      <c r="BS495" s="16" t="s">
        <v>270</v>
      </c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 t="s">
        <v>271</v>
      </c>
      <c r="CG495" s="16"/>
      <c r="CH495" s="16"/>
      <c r="CI495" s="16"/>
      <c r="CJ495" s="16" t="s">
        <v>3</v>
      </c>
      <c r="CK495" s="371" t="s">
        <v>486</v>
      </c>
      <c r="CL495" s="371"/>
      <c r="CM495" s="10">
        <v>999</v>
      </c>
      <c r="CN495" s="16">
        <v>0</v>
      </c>
      <c r="CO495" s="16">
        <v>0</v>
      </c>
      <c r="CP495" s="16">
        <v>0</v>
      </c>
      <c r="CQ495" s="16">
        <v>0</v>
      </c>
      <c r="CR495" s="16"/>
      <c r="CS495" s="16">
        <v>15</v>
      </c>
      <c r="CT495" s="16"/>
      <c r="CU495" s="16">
        <v>15</v>
      </c>
      <c r="CV495" s="1" t="s">
        <v>470</v>
      </c>
      <c r="CW495" s="16" t="b">
        <v>0</v>
      </c>
      <c r="CX495" s="16" t="s">
        <v>273</v>
      </c>
      <c r="CY495" s="16"/>
      <c r="CZ495" s="16"/>
      <c r="DA495" s="16"/>
      <c r="DB495" s="16">
        <v>100300</v>
      </c>
      <c r="DC495" s="16" t="b">
        <v>1</v>
      </c>
      <c r="DD495" s="16" t="s">
        <v>274</v>
      </c>
      <c r="DE495" s="16" t="s">
        <v>340</v>
      </c>
      <c r="DF495" s="16" t="s">
        <v>276</v>
      </c>
      <c r="DG495" s="16" t="s">
        <v>277</v>
      </c>
      <c r="DH495" s="16">
        <v>4</v>
      </c>
      <c r="DI495" s="16" t="b">
        <v>0</v>
      </c>
      <c r="DJ495" s="1" t="b">
        <v>1</v>
      </c>
      <c r="DK495" s="140" t="s">
        <v>930</v>
      </c>
      <c r="DL495" s="16"/>
      <c r="DM495" s="16"/>
      <c r="DN495" s="1"/>
      <c r="DO495" s="1"/>
      <c r="DP495" s="96" t="s">
        <v>471</v>
      </c>
      <c r="DQ495" s="140" t="s">
        <v>930</v>
      </c>
      <c r="DR495" s="57" t="e">
        <f t="shared" si="15"/>
        <v>#VALUE!</v>
      </c>
      <c r="DS495" s="16" t="s">
        <v>931</v>
      </c>
      <c r="DT495" s="16"/>
      <c r="DU495" s="1" t="s">
        <v>280</v>
      </c>
      <c r="DV495" s="148"/>
      <c r="DW495" s="16"/>
      <c r="DX495" s="16"/>
      <c r="DY495" s="1"/>
      <c r="DZ495" s="16">
        <v>1</v>
      </c>
      <c r="EA495" s="148">
        <v>-1</v>
      </c>
      <c r="EB495" s="148">
        <v>4.1666666666666699E-2</v>
      </c>
      <c r="EC495" s="148">
        <v>8.3333333333333301E-2</v>
      </c>
      <c r="ED495" s="148">
        <v>8.3333333333333301E-2</v>
      </c>
      <c r="EE495" s="16" t="s">
        <v>284</v>
      </c>
      <c r="EF495" s="16" t="s">
        <v>326</v>
      </c>
      <c r="EG495" s="16" t="e">
        <v>#VALUE!</v>
      </c>
      <c r="EH495" s="16" t="s">
        <v>285</v>
      </c>
      <c r="EI495" s="16" t="s">
        <v>344</v>
      </c>
      <c r="EJ495" s="16" t="e">
        <v>#VALUE!</v>
      </c>
      <c r="EK495" s="16" t="s">
        <v>286</v>
      </c>
      <c r="EL495" s="16" t="s">
        <v>345</v>
      </c>
      <c r="EM495" s="16" t="e">
        <v>#VALUE!</v>
      </c>
      <c r="EN495" s="16" t="s">
        <v>287</v>
      </c>
      <c r="EO495" s="16" t="s">
        <v>345</v>
      </c>
      <c r="EP495" s="16" t="e">
        <v>#VALUE!</v>
      </c>
      <c r="EQ495" s="16"/>
      <c r="ER495" s="16"/>
      <c r="ES495" s="16"/>
    </row>
    <row r="496" spans="1:149" s="8" customFormat="1" ht="14.25" customHeight="1" x14ac:dyDescent="0.15">
      <c r="A496" s="16"/>
      <c r="B496" s="126"/>
      <c r="C496" s="40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>
        <v>10240102</v>
      </c>
      <c r="AC496" s="16" t="s">
        <v>346</v>
      </c>
      <c r="AD496" s="16"/>
      <c r="AE496" s="16" t="s">
        <v>129</v>
      </c>
      <c r="AF496" s="16" t="s">
        <v>314</v>
      </c>
      <c r="AG496" s="16"/>
      <c r="AH496" s="16"/>
      <c r="AI496" s="16"/>
      <c r="AJ496" s="16">
        <v>3</v>
      </c>
      <c r="AK496" s="16"/>
      <c r="AL496" s="148"/>
      <c r="AM496" s="148"/>
      <c r="AN496" s="148"/>
      <c r="AO496" s="148"/>
      <c r="AP496" s="148"/>
      <c r="AQ496" s="148"/>
      <c r="AR496" s="148"/>
      <c r="AS496" s="16"/>
      <c r="AT496" s="16"/>
      <c r="AU496" s="148"/>
      <c r="AV496" s="148"/>
      <c r="AW496" s="148"/>
      <c r="AX496" s="148"/>
      <c r="AY496" s="148"/>
      <c r="AZ496" s="148"/>
      <c r="BA496" s="148"/>
      <c r="BB496" s="36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371"/>
      <c r="CL496" s="371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59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59"/>
      <c r="DJ496" s="1" t="b">
        <v>1</v>
      </c>
      <c r="DK496" s="140"/>
      <c r="DL496" s="16"/>
      <c r="DM496" s="141"/>
      <c r="DN496" s="141"/>
      <c r="DO496" s="141"/>
      <c r="DP496" s="94"/>
      <c r="DQ496" s="140"/>
      <c r="DR496" s="57" t="str">
        <f t="shared" si="15"/>
        <v/>
      </c>
      <c r="DS496" s="140"/>
      <c r="DT496" s="166"/>
      <c r="DU496" s="1" t="s">
        <v>280</v>
      </c>
      <c r="DV496" s="148"/>
      <c r="DW496" s="16"/>
      <c r="DX496" s="16"/>
      <c r="DY496" s="148"/>
      <c r="DZ496" s="175"/>
      <c r="EA496" s="176"/>
      <c r="EB496" s="176"/>
      <c r="EC496" s="176"/>
      <c r="ED496" s="176"/>
      <c r="EE496" s="16"/>
      <c r="EF496" s="16"/>
      <c r="EG496" s="16"/>
      <c r="EH496" s="16"/>
      <c r="EI496" s="16"/>
      <c r="EJ496" s="16"/>
      <c r="EK496" s="16"/>
      <c r="EL496" s="16"/>
      <c r="EM496" s="16"/>
      <c r="EN496" s="16"/>
      <c r="EO496" s="16"/>
      <c r="EP496" s="16"/>
      <c r="EQ496" s="16"/>
      <c r="ER496" s="16"/>
      <c r="ES496" s="16"/>
    </row>
    <row r="497" spans="1:149" s="8" customFormat="1" ht="59.45" customHeight="1" x14ac:dyDescent="0.15">
      <c r="A497" s="16">
        <v>661401</v>
      </c>
      <c r="B497" s="125" t="s">
        <v>456</v>
      </c>
      <c r="C497" s="40" t="s">
        <v>457</v>
      </c>
      <c r="D497" s="16" t="s">
        <v>469</v>
      </c>
      <c r="E497" s="16">
        <v>170516</v>
      </c>
      <c r="F497" s="16"/>
      <c r="G497" s="16"/>
      <c r="H497" s="16">
        <v>0</v>
      </c>
      <c r="I497" s="16"/>
      <c r="J497" s="16"/>
      <c r="K497" s="16"/>
      <c r="L497" s="16">
        <v>0</v>
      </c>
      <c r="M497" s="16"/>
      <c r="N497" s="16"/>
      <c r="O497" s="16"/>
      <c r="P497" s="16" t="s">
        <v>268</v>
      </c>
      <c r="Q497" s="16" t="s">
        <v>269</v>
      </c>
      <c r="R497" s="16"/>
      <c r="S497" s="16"/>
      <c r="T497" s="16"/>
      <c r="U497" s="16"/>
      <c r="V497" s="16"/>
      <c r="W497" s="16"/>
      <c r="X497" s="16">
        <v>1</v>
      </c>
      <c r="Y497" s="16">
        <v>0</v>
      </c>
      <c r="Z497" s="16">
        <v>0</v>
      </c>
      <c r="AA497" s="16"/>
      <c r="AB497" s="141">
        <v>3001</v>
      </c>
      <c r="AC497" s="141" t="s">
        <v>337</v>
      </c>
      <c r="AD497" s="16" t="s">
        <v>330</v>
      </c>
      <c r="AE497" s="141"/>
      <c r="AF497" s="141"/>
      <c r="AG497" s="141"/>
      <c r="AH497" s="141"/>
      <c r="AI497" s="141"/>
      <c r="AJ497" s="141"/>
      <c r="AK497" s="141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 t="s">
        <v>270</v>
      </c>
      <c r="BB497" s="366">
        <v>40</v>
      </c>
      <c r="BC497" s="16">
        <v>0</v>
      </c>
      <c r="BD497" s="16"/>
      <c r="BE497" s="16"/>
      <c r="BF497" s="16">
        <v>0</v>
      </c>
      <c r="BG497" s="16">
        <v>0</v>
      </c>
      <c r="BH497" s="16">
        <v>0</v>
      </c>
      <c r="BI497" s="16"/>
      <c r="BJ497" s="16" t="s">
        <v>270</v>
      </c>
      <c r="BK497" s="16"/>
      <c r="BL497" s="16"/>
      <c r="BM497" s="16"/>
      <c r="BN497" s="16"/>
      <c r="BO497" s="16"/>
      <c r="BP497" s="16"/>
      <c r="BQ497" s="16"/>
      <c r="BR497" s="16"/>
      <c r="BS497" s="16" t="s">
        <v>270</v>
      </c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 t="s">
        <v>378</v>
      </c>
      <c r="CG497" s="16"/>
      <c r="CH497" s="16"/>
      <c r="CI497" s="16"/>
      <c r="CJ497" s="16" t="s">
        <v>1</v>
      </c>
      <c r="CK497" s="372" t="s">
        <v>379</v>
      </c>
      <c r="CL497" s="372"/>
      <c r="CM497" s="10">
        <v>999</v>
      </c>
      <c r="CN497" s="16">
        <v>0</v>
      </c>
      <c r="CO497" s="16">
        <v>0</v>
      </c>
      <c r="CP497" s="16">
        <v>0</v>
      </c>
      <c r="CQ497" s="16">
        <v>0</v>
      </c>
      <c r="CR497" s="16"/>
      <c r="CS497" s="16">
        <v>5</v>
      </c>
      <c r="CT497" s="16"/>
      <c r="CU497" s="16">
        <v>20</v>
      </c>
      <c r="CV497" s="1" t="s">
        <v>472</v>
      </c>
      <c r="CW497" s="16" t="b">
        <v>0</v>
      </c>
      <c r="CX497" s="16" t="s">
        <v>273</v>
      </c>
      <c r="CY497" s="16"/>
      <c r="CZ497" s="16"/>
      <c r="DA497" s="16"/>
      <c r="DB497" s="16">
        <v>102401</v>
      </c>
      <c r="DC497" s="16" t="b">
        <v>1</v>
      </c>
      <c r="DD497" s="16" t="s">
        <v>274</v>
      </c>
      <c r="DE497" s="16" t="s">
        <v>380</v>
      </c>
      <c r="DF497" s="16" t="s">
        <v>276</v>
      </c>
      <c r="DG497" s="16" t="s">
        <v>293</v>
      </c>
      <c r="DH497" s="16">
        <v>4</v>
      </c>
      <c r="DI497" s="16" t="b">
        <v>0</v>
      </c>
      <c r="DJ497" s="1" t="b">
        <v>1</v>
      </c>
      <c r="DK497" s="16" t="s">
        <v>932</v>
      </c>
      <c r="DL497" s="16"/>
      <c r="DM497" s="16"/>
      <c r="DN497" s="1"/>
      <c r="DO497" s="1"/>
      <c r="DP497" s="96" t="s">
        <v>473</v>
      </c>
      <c r="DQ497" s="16" t="s">
        <v>932</v>
      </c>
      <c r="DR497" s="57" t="e">
        <f t="shared" si="15"/>
        <v>#VALUE!</v>
      </c>
      <c r="DS497" s="16" t="s">
        <v>933</v>
      </c>
      <c r="DT497" s="16"/>
      <c r="DU497" s="1" t="s">
        <v>280</v>
      </c>
      <c r="DV497" s="148"/>
      <c r="DW497" s="16"/>
      <c r="DX497" s="16"/>
      <c r="DY497" s="1"/>
      <c r="DZ497" s="16">
        <v>1</v>
      </c>
      <c r="EA497" s="148">
        <v>-1</v>
      </c>
      <c r="EB497" s="148">
        <v>4.1666666666666699E-2</v>
      </c>
      <c r="EC497" s="148">
        <v>8.3333333333333301E-2</v>
      </c>
      <c r="ED497" s="148">
        <v>8.3333333333333301E-2</v>
      </c>
      <c r="EE497" s="16" t="s">
        <v>284</v>
      </c>
      <c r="EF497" s="16" t="s">
        <v>326</v>
      </c>
      <c r="EG497" s="16" t="e">
        <v>#VALUE!</v>
      </c>
      <c r="EH497" s="16" t="s">
        <v>285</v>
      </c>
      <c r="EI497" s="16" t="s">
        <v>344</v>
      </c>
      <c r="EJ497" s="16" t="e">
        <v>#VALUE!</v>
      </c>
      <c r="EK497" s="16" t="s">
        <v>286</v>
      </c>
      <c r="EL497" s="16" t="s">
        <v>328</v>
      </c>
      <c r="EM497" s="16" t="e">
        <v>#VALUE!</v>
      </c>
      <c r="EN497" s="16" t="s">
        <v>287</v>
      </c>
      <c r="EO497" s="16" t="s">
        <v>328</v>
      </c>
      <c r="EP497" s="16" t="e">
        <v>#VALUE!</v>
      </c>
      <c r="EQ497" s="16"/>
      <c r="ER497" s="16"/>
      <c r="ES497" s="16"/>
    </row>
    <row r="498" spans="1:149" s="8" customFormat="1" ht="14.25" customHeight="1" x14ac:dyDescent="0.15">
      <c r="A498" s="16"/>
      <c r="B498" s="125"/>
      <c r="C498" s="40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41">
        <v>17050505</v>
      </c>
      <c r="AC498" s="141" t="s">
        <v>384</v>
      </c>
      <c r="AD498" s="16" t="s">
        <v>330</v>
      </c>
      <c r="AE498" s="141" t="s">
        <v>291</v>
      </c>
      <c r="AF498" s="141" t="s">
        <v>314</v>
      </c>
      <c r="AG498" s="141"/>
      <c r="AH498" s="141"/>
      <c r="AI498" s="141"/>
      <c r="AJ498" s="141"/>
      <c r="AK498" s="141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36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373"/>
      <c r="CL498" s="373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" t="b">
        <v>1</v>
      </c>
      <c r="DK498" s="16"/>
      <c r="DL498" s="16"/>
      <c r="DM498" s="16"/>
      <c r="DN498" s="16"/>
      <c r="DO498" s="16"/>
      <c r="DP498" s="96"/>
      <c r="DQ498" s="16"/>
      <c r="DR498" s="57" t="str">
        <f t="shared" si="15"/>
        <v/>
      </c>
      <c r="DS498" s="16"/>
      <c r="DT498" s="16"/>
      <c r="DU498" s="1" t="s">
        <v>280</v>
      </c>
      <c r="DV498" s="148"/>
      <c r="DW498" s="16"/>
      <c r="DX498" s="16"/>
      <c r="DY498" s="148"/>
      <c r="DZ498" s="16"/>
      <c r="EA498" s="148"/>
      <c r="EB498" s="148"/>
      <c r="EC498" s="148"/>
      <c r="ED498" s="148"/>
      <c r="EE498" s="16"/>
      <c r="EF498" s="16"/>
      <c r="EG498" s="16"/>
      <c r="EH498" s="16"/>
      <c r="EI498" s="16"/>
      <c r="EJ498" s="16"/>
      <c r="EK498" s="16"/>
      <c r="EL498" s="16"/>
      <c r="EM498" s="16"/>
      <c r="EN498" s="16"/>
      <c r="EO498" s="16"/>
      <c r="EP498" s="16"/>
      <c r="EQ498" s="16"/>
      <c r="ER498" s="16"/>
      <c r="ES498" s="16"/>
    </row>
    <row r="499" spans="1:149" s="8" customFormat="1" ht="14.25" customHeight="1" x14ac:dyDescent="0.15">
      <c r="A499" s="16"/>
      <c r="B499" s="125"/>
      <c r="C499" s="40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>
        <v>17050506</v>
      </c>
      <c r="AC499" s="16" t="s">
        <v>385</v>
      </c>
      <c r="AD499" s="16"/>
      <c r="AE499" s="16" t="s">
        <v>291</v>
      </c>
      <c r="AF499" s="16" t="s">
        <v>314</v>
      </c>
      <c r="AG499" s="16"/>
      <c r="AH499" s="16"/>
      <c r="AI499" s="16"/>
      <c r="AJ499" s="16">
        <v>8</v>
      </c>
      <c r="AK499" s="16"/>
      <c r="AL499" s="148"/>
      <c r="AM499" s="148"/>
      <c r="AN499" s="148"/>
      <c r="AO499" s="148"/>
      <c r="AP499" s="148"/>
      <c r="AQ499" s="148"/>
      <c r="AR499" s="148"/>
      <c r="AS499" s="16"/>
      <c r="AT499" s="16"/>
      <c r="AU499" s="148"/>
      <c r="AV499" s="148"/>
      <c r="AW499" s="148"/>
      <c r="AX499" s="148"/>
      <c r="AY499" s="148"/>
      <c r="AZ499" s="148"/>
      <c r="BA499" s="148"/>
      <c r="BB499" s="36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371"/>
      <c r="CL499" s="371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59"/>
      <c r="CY499" s="16"/>
      <c r="CZ499" s="16"/>
      <c r="DA499" s="16"/>
      <c r="DB499" s="16"/>
      <c r="DC499" s="16"/>
      <c r="DD499" s="163"/>
      <c r="DE499" s="141"/>
      <c r="DF499" s="163"/>
      <c r="DG499" s="163"/>
      <c r="DH499" s="163"/>
      <c r="DI499" s="163"/>
      <c r="DJ499" s="1" t="b">
        <v>1</v>
      </c>
      <c r="DK499" s="16"/>
      <c r="DL499" s="16"/>
      <c r="DM499" s="16"/>
      <c r="DN499" s="16"/>
      <c r="DO499" s="16"/>
      <c r="DP499" s="96"/>
      <c r="DQ499" s="167"/>
      <c r="DR499" s="57" t="str">
        <f t="shared" si="15"/>
        <v/>
      </c>
      <c r="DS499" s="167"/>
      <c r="DT499" s="168"/>
      <c r="DU499" s="1" t="s">
        <v>280</v>
      </c>
      <c r="DV499" s="148"/>
      <c r="DW499" s="16"/>
      <c r="DX499" s="16"/>
      <c r="DY499" s="148"/>
      <c r="DZ499" s="175"/>
      <c r="EA499" s="176"/>
      <c r="EB499" s="176"/>
      <c r="EC499" s="176"/>
      <c r="ED499" s="176"/>
      <c r="EE499" s="16"/>
      <c r="EF499" s="16"/>
      <c r="EG499" s="16"/>
      <c r="EH499" s="16"/>
      <c r="EI499" s="16"/>
      <c r="EJ499" s="16"/>
      <c r="EK499" s="16"/>
      <c r="EL499" s="16"/>
      <c r="EM499" s="16"/>
      <c r="EN499" s="16"/>
      <c r="EO499" s="16"/>
      <c r="EP499" s="16"/>
      <c r="EQ499" s="16"/>
      <c r="ER499" s="16"/>
      <c r="ES499" s="16"/>
    </row>
    <row r="500" spans="1:149" s="8" customFormat="1" ht="14.25" customHeight="1" x14ac:dyDescent="0.15">
      <c r="A500" s="16"/>
      <c r="B500" s="125"/>
      <c r="C500" s="40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40">
        <v>17050507</v>
      </c>
      <c r="AC500" s="141" t="s">
        <v>386</v>
      </c>
      <c r="AD500" s="16" t="s">
        <v>330</v>
      </c>
      <c r="AE500" s="16" t="s">
        <v>291</v>
      </c>
      <c r="AF500" s="16" t="s">
        <v>314</v>
      </c>
      <c r="AG500" s="16"/>
      <c r="AH500" s="16"/>
      <c r="AI500" s="16"/>
      <c r="AJ500" s="141"/>
      <c r="AK500" s="141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41"/>
      <c r="BB500" s="367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373"/>
      <c r="CL500" s="373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" t="b">
        <v>1</v>
      </c>
      <c r="DK500" s="16"/>
      <c r="DL500" s="16"/>
      <c r="DM500" s="16"/>
      <c r="DN500" s="16"/>
      <c r="DO500" s="16"/>
      <c r="DP500" s="96"/>
      <c r="DQ500" s="16"/>
      <c r="DR500" s="57" t="str">
        <f t="shared" si="15"/>
        <v/>
      </c>
      <c r="DS500" s="16"/>
      <c r="DT500" s="16"/>
      <c r="DU500" s="1" t="s">
        <v>280</v>
      </c>
      <c r="DV500" s="148"/>
      <c r="DW500" s="16"/>
      <c r="DX500" s="16"/>
      <c r="DY500" s="148"/>
      <c r="DZ500" s="16"/>
      <c r="EA500" s="148"/>
      <c r="EB500" s="148"/>
      <c r="EC500" s="148"/>
      <c r="ED500" s="148"/>
      <c r="EE500" s="16"/>
      <c r="EF500" s="16"/>
      <c r="EG500" s="16"/>
      <c r="EH500" s="16"/>
      <c r="EI500" s="16"/>
      <c r="EJ500" s="16"/>
      <c r="EK500" s="16"/>
      <c r="EL500" s="16"/>
      <c r="EM500" s="16"/>
      <c r="EN500" s="16"/>
      <c r="EO500" s="16"/>
      <c r="EP500" s="16"/>
      <c r="EQ500" s="16"/>
      <c r="ER500" s="16"/>
      <c r="ES500" s="16"/>
    </row>
    <row r="501" spans="1:149" s="21" customFormat="1" ht="43.5" customHeight="1" x14ac:dyDescent="0.15">
      <c r="A501" s="185">
        <v>661601</v>
      </c>
      <c r="B501" s="186" t="s">
        <v>934</v>
      </c>
      <c r="C501" s="40" t="s">
        <v>935</v>
      </c>
      <c r="D501" s="185" t="s">
        <v>936</v>
      </c>
      <c r="E501" s="185"/>
      <c r="F501" s="185"/>
      <c r="G501" s="185"/>
      <c r="H501" s="185">
        <v>0</v>
      </c>
      <c r="I501" s="185"/>
      <c r="J501" s="185"/>
      <c r="K501" s="185"/>
      <c r="L501" s="185">
        <v>0</v>
      </c>
      <c r="M501" s="185"/>
      <c r="N501" s="185"/>
      <c r="O501" s="185"/>
      <c r="P501" s="185" t="s">
        <v>268</v>
      </c>
      <c r="Q501" s="185" t="s">
        <v>269</v>
      </c>
      <c r="R501" s="185"/>
      <c r="S501" s="185"/>
      <c r="T501" s="185"/>
      <c r="U501" s="185"/>
      <c r="V501" s="185"/>
      <c r="W501" s="185"/>
      <c r="X501" s="185">
        <v>1</v>
      </c>
      <c r="Y501" s="185">
        <v>0</v>
      </c>
      <c r="Z501" s="185">
        <v>0</v>
      </c>
      <c r="AA501" s="185"/>
      <c r="AB501" s="185">
        <v>3004</v>
      </c>
      <c r="AC501" s="193" t="s">
        <v>337</v>
      </c>
      <c r="AD501" s="185"/>
      <c r="AE501" s="10" t="s">
        <v>129</v>
      </c>
      <c r="AF501" s="10" t="s">
        <v>314</v>
      </c>
      <c r="AG501" s="185"/>
      <c r="AH501" s="185"/>
      <c r="AI501" s="185"/>
      <c r="AJ501" s="185"/>
      <c r="AK501" s="185"/>
      <c r="AL501" s="203"/>
      <c r="AM501" s="203"/>
      <c r="AN501" s="203"/>
      <c r="AO501" s="203"/>
      <c r="AP501" s="203"/>
      <c r="AQ501" s="203"/>
      <c r="AR501" s="203"/>
      <c r="AS501" s="185"/>
      <c r="AT501" s="185"/>
      <c r="AU501" s="203"/>
      <c r="AV501" s="203"/>
      <c r="AW501" s="203"/>
      <c r="AX501" s="203"/>
      <c r="AY501" s="203"/>
      <c r="AZ501" s="203"/>
      <c r="BA501" s="203" t="s">
        <v>270</v>
      </c>
      <c r="BB501" s="357">
        <v>65</v>
      </c>
      <c r="BC501" s="185"/>
      <c r="BD501" s="185"/>
      <c r="BE501" s="185"/>
      <c r="BF501" s="185"/>
      <c r="BG501" s="185"/>
      <c r="BH501" s="185"/>
      <c r="BI501" s="185"/>
      <c r="BJ501" s="185"/>
      <c r="BK501" s="185"/>
      <c r="BL501" s="185"/>
      <c r="BM501" s="185"/>
      <c r="BN501" s="185"/>
      <c r="BO501" s="185"/>
      <c r="BP501" s="185"/>
      <c r="BQ501" s="185"/>
      <c r="BR501" s="185"/>
      <c r="BS501" s="185"/>
      <c r="BT501" s="185"/>
      <c r="BU501" s="185"/>
      <c r="BV501" s="185"/>
      <c r="BW501" s="185"/>
      <c r="BX501" s="185"/>
      <c r="BY501" s="185"/>
      <c r="BZ501" s="185"/>
      <c r="CA501" s="185"/>
      <c r="CB501" s="185"/>
      <c r="CC501" s="185"/>
      <c r="CD501" s="185"/>
      <c r="CE501" s="185"/>
      <c r="CF501" s="185" t="s">
        <v>271</v>
      </c>
      <c r="CG501" s="185"/>
      <c r="CH501" s="185"/>
      <c r="CI501" s="185"/>
      <c r="CJ501" s="185" t="s">
        <v>1</v>
      </c>
      <c r="CK501" s="359" t="s">
        <v>464</v>
      </c>
      <c r="CL501" s="359"/>
      <c r="CM501" s="22">
        <v>999</v>
      </c>
      <c r="CN501" s="185">
        <v>0</v>
      </c>
      <c r="CO501" s="185">
        <v>0</v>
      </c>
      <c r="CP501" s="185">
        <v>0</v>
      </c>
      <c r="CQ501" s="185">
        <v>0</v>
      </c>
      <c r="CR501" s="185"/>
      <c r="CS501" s="185">
        <v>20</v>
      </c>
      <c r="CT501" s="185">
        <v>10</v>
      </c>
      <c r="CU501" s="185">
        <v>24</v>
      </c>
      <c r="CV501" s="16" t="s">
        <v>937</v>
      </c>
      <c r="CW501" s="185" t="b">
        <v>1</v>
      </c>
      <c r="CX501" s="185" t="s">
        <v>273</v>
      </c>
      <c r="CY501" s="185"/>
      <c r="CZ501" s="185"/>
      <c r="DA501" s="185"/>
      <c r="DB501" s="185">
        <v>170501</v>
      </c>
      <c r="DC501" s="185" t="b">
        <v>1</v>
      </c>
      <c r="DD501" s="185" t="s">
        <v>274</v>
      </c>
      <c r="DE501" s="185" t="s">
        <v>922</v>
      </c>
      <c r="DF501" s="185" t="s">
        <v>276</v>
      </c>
      <c r="DG501" s="185" t="s">
        <v>923</v>
      </c>
      <c r="DH501" s="185">
        <v>4</v>
      </c>
      <c r="DI501" s="185" t="b">
        <v>0</v>
      </c>
      <c r="DJ501" s="22" t="b">
        <v>1</v>
      </c>
      <c r="DK501" s="185"/>
      <c r="DL501" s="185"/>
      <c r="DM501" s="185"/>
      <c r="DN501" s="23"/>
      <c r="DO501" s="23"/>
      <c r="DP501" s="363" t="s">
        <v>475</v>
      </c>
      <c r="DQ501" s="193" t="s">
        <v>854</v>
      </c>
      <c r="DR501" s="57" t="e">
        <f t="shared" si="15"/>
        <v>#VALUE!</v>
      </c>
      <c r="DS501" s="193" t="s">
        <v>837</v>
      </c>
      <c r="DT501" s="185"/>
      <c r="DU501" s="1" t="s">
        <v>280</v>
      </c>
      <c r="DV501" s="203"/>
      <c r="DW501" s="185"/>
      <c r="DX501" s="185"/>
      <c r="DY501" s="23"/>
      <c r="DZ501" s="185">
        <v>1</v>
      </c>
      <c r="EA501" s="364">
        <v>-1</v>
      </c>
      <c r="EB501" s="364">
        <v>4.1666666666666699E-2</v>
      </c>
      <c r="EC501" s="364">
        <v>8.3333333333333301E-2</v>
      </c>
      <c r="ED501" s="364">
        <v>8.3333333333333301E-2</v>
      </c>
      <c r="EE501" s="185" t="s">
        <v>284</v>
      </c>
      <c r="EF501" s="185" t="s">
        <v>326</v>
      </c>
      <c r="EG501" s="185" t="e">
        <v>#VALUE!</v>
      </c>
      <c r="EH501" s="185" t="s">
        <v>285</v>
      </c>
      <c r="EI501" s="185" t="s">
        <v>327</v>
      </c>
      <c r="EJ501" s="185" t="e">
        <v>#VALUE!</v>
      </c>
      <c r="EK501" s="185" t="s">
        <v>286</v>
      </c>
      <c r="EL501" s="185" t="s">
        <v>328</v>
      </c>
      <c r="EM501" s="185" t="e">
        <v>#VALUE!</v>
      </c>
      <c r="EN501" s="185" t="s">
        <v>287</v>
      </c>
      <c r="EO501" s="185" t="s">
        <v>328</v>
      </c>
      <c r="EP501" s="185" t="e">
        <v>#VALUE!</v>
      </c>
      <c r="EQ501" s="185"/>
      <c r="ER501" s="185"/>
      <c r="ES501" s="185"/>
    </row>
    <row r="502" spans="1:149" s="21" customFormat="1" ht="14.25" customHeight="1" x14ac:dyDescent="0.15">
      <c r="A502" s="185"/>
      <c r="B502" s="186"/>
      <c r="C502" s="40"/>
      <c r="D502" s="185"/>
      <c r="E502" s="185"/>
      <c r="F502" s="185"/>
      <c r="G502" s="185"/>
      <c r="H502" s="185"/>
      <c r="I502" s="185"/>
      <c r="J502" s="185"/>
      <c r="K502" s="185"/>
      <c r="L502" s="185"/>
      <c r="M502" s="185"/>
      <c r="N502" s="185"/>
      <c r="O502" s="185"/>
      <c r="P502" s="185"/>
      <c r="Q502" s="185"/>
      <c r="R502" s="185"/>
      <c r="S502" s="185"/>
      <c r="T502" s="185"/>
      <c r="U502" s="185"/>
      <c r="V502" s="185"/>
      <c r="W502" s="185"/>
      <c r="X502" s="185"/>
      <c r="Y502" s="185"/>
      <c r="Z502" s="185"/>
      <c r="AA502" s="185"/>
      <c r="AB502" s="192">
        <v>66010102</v>
      </c>
      <c r="AC502" s="192" t="s">
        <v>856</v>
      </c>
      <c r="AD502" s="185" t="s">
        <v>330</v>
      </c>
      <c r="AE502" s="185" t="s">
        <v>291</v>
      </c>
      <c r="AF502" s="185" t="s">
        <v>314</v>
      </c>
      <c r="AG502" s="185"/>
      <c r="AH502" s="185"/>
      <c r="AI502" s="185"/>
      <c r="AJ502" s="185"/>
      <c r="AK502" s="185"/>
      <c r="AL502" s="203"/>
      <c r="AM502" s="203"/>
      <c r="AN502" s="203"/>
      <c r="AO502" s="203"/>
      <c r="AP502" s="203"/>
      <c r="AQ502" s="203"/>
      <c r="AR502" s="203"/>
      <c r="AS502" s="185"/>
      <c r="AT502" s="185"/>
      <c r="AU502" s="203"/>
      <c r="AV502" s="203"/>
      <c r="AW502" s="203"/>
      <c r="AX502" s="203"/>
      <c r="AY502" s="203"/>
      <c r="AZ502" s="203"/>
      <c r="BA502" s="203" t="s">
        <v>331</v>
      </c>
      <c r="BB502" s="358">
        <v>0.23</v>
      </c>
      <c r="BC502" s="185"/>
      <c r="BD502" s="185"/>
      <c r="BE502" s="185"/>
      <c r="BF502" s="185"/>
      <c r="BG502" s="185"/>
      <c r="BH502" s="185"/>
      <c r="BI502" s="185"/>
      <c r="BJ502" s="185"/>
      <c r="BK502" s="185"/>
      <c r="BL502" s="185"/>
      <c r="BM502" s="185"/>
      <c r="BN502" s="185"/>
      <c r="BO502" s="185"/>
      <c r="BP502" s="185"/>
      <c r="BQ502" s="185"/>
      <c r="BR502" s="185"/>
      <c r="BS502" s="185"/>
      <c r="BT502" s="185"/>
      <c r="BU502" s="185"/>
      <c r="BV502" s="185"/>
      <c r="BW502" s="185"/>
      <c r="BX502" s="185"/>
      <c r="BY502" s="185"/>
      <c r="BZ502" s="185"/>
      <c r="CA502" s="185"/>
      <c r="CB502" s="185"/>
      <c r="CC502" s="185"/>
      <c r="CD502" s="185"/>
      <c r="CE502" s="185"/>
      <c r="CF502" s="185"/>
      <c r="CG502" s="185"/>
      <c r="CH502" s="185"/>
      <c r="CI502" s="185"/>
      <c r="CJ502" s="185"/>
      <c r="CK502" s="360"/>
      <c r="CL502" s="360"/>
      <c r="CM502" s="185"/>
      <c r="CN502" s="185"/>
      <c r="CO502" s="185"/>
      <c r="CP502" s="185"/>
      <c r="CQ502" s="185"/>
      <c r="CR502" s="185"/>
      <c r="CS502" s="185"/>
      <c r="CT502" s="185"/>
      <c r="CU502" s="185"/>
      <c r="CV502" s="185"/>
      <c r="CW502" s="185"/>
      <c r="CX502" s="361"/>
      <c r="CY502" s="185"/>
      <c r="CZ502" s="185"/>
      <c r="DA502" s="185"/>
      <c r="DB502" s="185"/>
      <c r="DC502" s="185"/>
      <c r="DD502" s="185"/>
      <c r="DE502" s="185"/>
      <c r="DF502" s="185"/>
      <c r="DG502" s="185"/>
      <c r="DH502" s="185"/>
      <c r="DI502" s="361"/>
      <c r="DJ502" s="22" t="b">
        <v>1</v>
      </c>
      <c r="DK502" s="185"/>
      <c r="DL502" s="185"/>
      <c r="DM502" s="185"/>
      <c r="DN502" s="185"/>
      <c r="DO502" s="185"/>
      <c r="DP502" s="363"/>
      <c r="DQ502" s="193"/>
      <c r="DR502" s="57" t="str">
        <f t="shared" si="15"/>
        <v/>
      </c>
      <c r="DS502" s="193"/>
      <c r="DT502" s="185"/>
      <c r="DU502" s="1" t="s">
        <v>280</v>
      </c>
      <c r="DV502" s="203"/>
      <c r="DW502" s="185"/>
      <c r="DX502" s="185"/>
      <c r="DY502" s="203"/>
      <c r="DZ502" s="175"/>
      <c r="EA502" s="176"/>
      <c r="EB502" s="176"/>
      <c r="EC502" s="176"/>
      <c r="ED502" s="176"/>
      <c r="EE502" s="185"/>
      <c r="EF502" s="185"/>
      <c r="EG502" s="185"/>
      <c r="EH502" s="185"/>
      <c r="EI502" s="185"/>
      <c r="EJ502" s="185"/>
      <c r="EK502" s="185"/>
      <c r="EL502" s="185"/>
      <c r="EM502" s="185"/>
      <c r="EN502" s="185"/>
      <c r="EO502" s="185"/>
      <c r="EP502" s="185"/>
      <c r="EQ502" s="185"/>
      <c r="ER502" s="185"/>
      <c r="ES502" s="185"/>
    </row>
    <row r="503" spans="1:149" s="21" customFormat="1" ht="14.25" customHeight="1" x14ac:dyDescent="0.15">
      <c r="A503" s="185"/>
      <c r="B503" s="186"/>
      <c r="C503" s="40"/>
      <c r="D503" s="185"/>
      <c r="E503" s="185"/>
      <c r="F503" s="185"/>
      <c r="G503" s="185"/>
      <c r="H503" s="185"/>
      <c r="I503" s="185"/>
      <c r="J503" s="185"/>
      <c r="K503" s="185"/>
      <c r="L503" s="185"/>
      <c r="M503" s="185"/>
      <c r="N503" s="185"/>
      <c r="O503" s="185"/>
      <c r="P503" s="185"/>
      <c r="Q503" s="185"/>
      <c r="R503" s="185"/>
      <c r="S503" s="185"/>
      <c r="T503" s="185"/>
      <c r="U503" s="185"/>
      <c r="V503" s="185"/>
      <c r="W503" s="185"/>
      <c r="X503" s="185"/>
      <c r="Y503" s="185"/>
      <c r="Z503" s="185"/>
      <c r="AA503" s="185"/>
      <c r="AB503" s="192">
        <v>66010103</v>
      </c>
      <c r="AC503" s="192" t="s">
        <v>857</v>
      </c>
      <c r="AD503" s="185" t="s">
        <v>333</v>
      </c>
      <c r="AE503" s="185" t="s">
        <v>291</v>
      </c>
      <c r="AF503" s="185" t="s">
        <v>314</v>
      </c>
      <c r="AG503" s="185"/>
      <c r="AH503" s="185"/>
      <c r="AI503" s="185"/>
      <c r="AJ503" s="185">
        <v>-1</v>
      </c>
      <c r="AK503" s="185"/>
      <c r="AL503" s="203"/>
      <c r="AM503" s="356"/>
      <c r="AN503" s="356"/>
      <c r="AO503" s="356"/>
      <c r="AP503" s="356"/>
      <c r="AQ503" s="356"/>
      <c r="AR503" s="356"/>
      <c r="AS503" s="185"/>
      <c r="AT503" s="185"/>
      <c r="AU503" s="203"/>
      <c r="AV503" s="203"/>
      <c r="AW503" s="203"/>
      <c r="AX503" s="203"/>
      <c r="AY503" s="203"/>
      <c r="AZ503" s="203"/>
      <c r="BA503" s="203"/>
      <c r="BB503" s="357"/>
      <c r="BC503" s="185"/>
      <c r="BD503" s="185"/>
      <c r="BE503" s="185"/>
      <c r="BF503" s="185"/>
      <c r="BG503" s="185"/>
      <c r="BH503" s="185"/>
      <c r="BI503" s="185"/>
      <c r="BJ503" s="185"/>
      <c r="BK503" s="185"/>
      <c r="BL503" s="185"/>
      <c r="BM503" s="185"/>
      <c r="BN503" s="185"/>
      <c r="BO503" s="185"/>
      <c r="BP503" s="185"/>
      <c r="BQ503" s="185"/>
      <c r="BR503" s="185"/>
      <c r="BS503" s="185"/>
      <c r="BT503" s="185"/>
      <c r="BU503" s="185"/>
      <c r="BV503" s="185"/>
      <c r="BW503" s="185"/>
      <c r="BX503" s="185"/>
      <c r="BY503" s="185"/>
      <c r="BZ503" s="185"/>
      <c r="CA503" s="185"/>
      <c r="CB503" s="185"/>
      <c r="CC503" s="185"/>
      <c r="CD503" s="185"/>
      <c r="CE503" s="185"/>
      <c r="CF503" s="185"/>
      <c r="CG503" s="185"/>
      <c r="CH503" s="185"/>
      <c r="CI503" s="185"/>
      <c r="CJ503" s="185"/>
      <c r="CK503" s="360"/>
      <c r="CL503" s="360"/>
      <c r="CM503" s="185"/>
      <c r="CN503" s="185"/>
      <c r="CO503" s="185"/>
      <c r="CP503" s="185"/>
      <c r="CQ503" s="185"/>
      <c r="CR503" s="185"/>
      <c r="CS503" s="185"/>
      <c r="CT503" s="185"/>
      <c r="CU503" s="185"/>
      <c r="CV503" s="185"/>
      <c r="CW503" s="185"/>
      <c r="CX503" s="185"/>
      <c r="CY503" s="185"/>
      <c r="CZ503" s="185"/>
      <c r="DA503" s="185"/>
      <c r="DB503" s="185"/>
      <c r="DC503" s="185"/>
      <c r="DD503" s="185"/>
      <c r="DE503" s="185"/>
      <c r="DF503" s="185"/>
      <c r="DG503" s="185"/>
      <c r="DH503" s="185"/>
      <c r="DI503" s="185"/>
      <c r="DJ503" s="22" t="b">
        <v>1</v>
      </c>
      <c r="DK503" s="185"/>
      <c r="DL503" s="185"/>
      <c r="DM503" s="185"/>
      <c r="DN503" s="185"/>
      <c r="DO503" s="185"/>
      <c r="DP503" s="363"/>
      <c r="DQ503" s="193"/>
      <c r="DR503" s="57" t="str">
        <f t="shared" si="15"/>
        <v/>
      </c>
      <c r="DS503" s="193"/>
      <c r="DT503" s="185"/>
      <c r="DU503" s="1" t="s">
        <v>280</v>
      </c>
      <c r="DV503" s="203"/>
      <c r="DW503" s="185"/>
      <c r="DX503" s="185"/>
      <c r="DY503" s="203"/>
      <c r="DZ503" s="185"/>
      <c r="EA503" s="185"/>
      <c r="EB503" s="185"/>
      <c r="EC503" s="185"/>
      <c r="ED503" s="185"/>
      <c r="EE503" s="185"/>
      <c r="EF503" s="185"/>
      <c r="EG503" s="185"/>
      <c r="EH503" s="185"/>
      <c r="EI503" s="185"/>
      <c r="EJ503" s="185"/>
      <c r="EK503" s="185"/>
      <c r="EL503" s="185"/>
      <c r="EM503" s="185"/>
      <c r="EN503" s="185"/>
      <c r="EO503" s="185"/>
      <c r="EP503" s="185"/>
      <c r="EQ503" s="185"/>
      <c r="ER503" s="185"/>
      <c r="ES503" s="185"/>
    </row>
    <row r="504" spans="1:149" s="21" customFormat="1" ht="14.25" customHeight="1" x14ac:dyDescent="0.15">
      <c r="A504" s="185">
        <v>661901</v>
      </c>
      <c r="B504" s="186" t="s">
        <v>938</v>
      </c>
      <c r="C504" s="40" t="s">
        <v>939</v>
      </c>
      <c r="D504" s="185" t="s">
        <v>940</v>
      </c>
      <c r="E504" s="185"/>
      <c r="F504" s="185"/>
      <c r="G504" s="185"/>
      <c r="H504" s="185">
        <v>0</v>
      </c>
      <c r="I504" s="185"/>
      <c r="J504" s="185"/>
      <c r="K504" s="185"/>
      <c r="L504" s="185">
        <v>0</v>
      </c>
      <c r="M504" s="185"/>
      <c r="N504" s="185"/>
      <c r="O504" s="185"/>
      <c r="P504" s="185" t="s">
        <v>268</v>
      </c>
      <c r="Q504" s="185" t="s">
        <v>269</v>
      </c>
      <c r="R504" s="185"/>
      <c r="S504" s="185"/>
      <c r="T504" s="185"/>
      <c r="U504" s="185"/>
      <c r="V504" s="185"/>
      <c r="W504" s="185"/>
      <c r="X504" s="185">
        <v>1</v>
      </c>
      <c r="Y504" s="185">
        <v>0</v>
      </c>
      <c r="Z504" s="185">
        <v>0</v>
      </c>
      <c r="AA504" s="185"/>
      <c r="AB504" s="185">
        <v>3001</v>
      </c>
      <c r="AC504" s="193" t="s">
        <v>337</v>
      </c>
      <c r="AD504" s="185"/>
      <c r="AE504" s="10" t="s">
        <v>129</v>
      </c>
      <c r="AF504" s="10" t="s">
        <v>314</v>
      </c>
      <c r="AG504" s="185"/>
      <c r="AH504" s="185"/>
      <c r="AI504" s="185"/>
      <c r="AJ504" s="185"/>
      <c r="AK504" s="185"/>
      <c r="AL504" s="203"/>
      <c r="AM504" s="203"/>
      <c r="AN504" s="203"/>
      <c r="AO504" s="203"/>
      <c r="AP504" s="203"/>
      <c r="AQ504" s="203"/>
      <c r="AR504" s="203"/>
      <c r="AS504" s="185"/>
      <c r="AT504" s="185"/>
      <c r="AU504" s="203"/>
      <c r="AV504" s="203"/>
      <c r="AW504" s="203"/>
      <c r="AX504" s="203"/>
      <c r="AY504" s="203"/>
      <c r="AZ504" s="203"/>
      <c r="BA504" s="203" t="s">
        <v>270</v>
      </c>
      <c r="BB504" s="357">
        <v>65</v>
      </c>
      <c r="BC504" s="185"/>
      <c r="BD504" s="185"/>
      <c r="BE504" s="185"/>
      <c r="BF504" s="185"/>
      <c r="BG504" s="185"/>
      <c r="BH504" s="185"/>
      <c r="BI504" s="185"/>
      <c r="BJ504" s="185"/>
      <c r="BK504" s="185"/>
      <c r="BL504" s="185"/>
      <c r="BM504" s="185"/>
      <c r="BN504" s="185"/>
      <c r="BO504" s="185"/>
      <c r="BP504" s="185"/>
      <c r="BQ504" s="185"/>
      <c r="BR504" s="185"/>
      <c r="BS504" s="185"/>
      <c r="BT504" s="185"/>
      <c r="BU504" s="185"/>
      <c r="BV504" s="185"/>
      <c r="BW504" s="185"/>
      <c r="BX504" s="185"/>
      <c r="BY504" s="185"/>
      <c r="BZ504" s="185"/>
      <c r="CA504" s="185"/>
      <c r="CB504" s="185"/>
      <c r="CC504" s="185"/>
      <c r="CD504" s="185"/>
      <c r="CE504" s="185"/>
      <c r="CF504" s="185" t="s">
        <v>271</v>
      </c>
      <c r="CG504" s="185"/>
      <c r="CH504" s="185"/>
      <c r="CI504" s="23"/>
      <c r="CJ504" s="23" t="s">
        <v>2</v>
      </c>
      <c r="CK504" s="370" t="s">
        <v>883</v>
      </c>
      <c r="CL504" s="370"/>
      <c r="CM504" s="22">
        <v>999</v>
      </c>
      <c r="CN504" s="185">
        <v>0</v>
      </c>
      <c r="CO504" s="185">
        <v>0</v>
      </c>
      <c r="CP504" s="185">
        <v>0</v>
      </c>
      <c r="CQ504" s="185">
        <v>0</v>
      </c>
      <c r="CR504" s="185"/>
      <c r="CS504" s="185">
        <v>20</v>
      </c>
      <c r="CT504" s="185">
        <v>10</v>
      </c>
      <c r="CU504" s="185">
        <v>24</v>
      </c>
      <c r="CV504" s="185" t="s">
        <v>941</v>
      </c>
      <c r="CW504" s="185" t="b">
        <v>1</v>
      </c>
      <c r="CX504" s="185" t="s">
        <v>273</v>
      </c>
      <c r="CY504" s="185"/>
      <c r="CZ504" s="185"/>
      <c r="DA504" s="185"/>
      <c r="DB504" s="185">
        <v>170501</v>
      </c>
      <c r="DC504" s="185" t="b">
        <v>1</v>
      </c>
      <c r="DD504" s="185" t="s">
        <v>274</v>
      </c>
      <c r="DE504" s="185" t="s">
        <v>928</v>
      </c>
      <c r="DF504" s="185" t="s">
        <v>276</v>
      </c>
      <c r="DG504" s="185" t="s">
        <v>703</v>
      </c>
      <c r="DH504" s="185">
        <v>4</v>
      </c>
      <c r="DI504" s="185" t="b">
        <v>0</v>
      </c>
      <c r="DJ504" s="22" t="b">
        <v>1</v>
      </c>
      <c r="DK504" s="185"/>
      <c r="DL504" s="185"/>
      <c r="DM504" s="185"/>
      <c r="DN504" s="23"/>
      <c r="DO504" s="23"/>
      <c r="DP504" s="363" t="s">
        <v>475</v>
      </c>
      <c r="DQ504" s="193" t="s">
        <v>854</v>
      </c>
      <c r="DR504" s="57" t="e">
        <f t="shared" si="15"/>
        <v>#VALUE!</v>
      </c>
      <c r="DS504" s="193" t="s">
        <v>837</v>
      </c>
      <c r="DT504" s="185"/>
      <c r="DU504" s="1" t="s">
        <v>280</v>
      </c>
      <c r="DV504" s="203"/>
      <c r="DW504" s="185"/>
      <c r="DX504" s="185"/>
      <c r="DY504" s="23"/>
      <c r="DZ504" s="185">
        <v>1</v>
      </c>
      <c r="EA504" s="364">
        <v>-1</v>
      </c>
      <c r="EB504" s="364">
        <v>4.1666666666666699E-2</v>
      </c>
      <c r="EC504" s="364">
        <v>8.3333333333333301E-2</v>
      </c>
      <c r="ED504" s="364">
        <v>8.3333333333333301E-2</v>
      </c>
      <c r="EE504" s="185" t="s">
        <v>284</v>
      </c>
      <c r="EF504" s="185" t="s">
        <v>326</v>
      </c>
      <c r="EG504" s="185" t="e">
        <v>#VALUE!</v>
      </c>
      <c r="EH504" s="185" t="s">
        <v>285</v>
      </c>
      <c r="EI504" s="185" t="s">
        <v>327</v>
      </c>
      <c r="EJ504" s="185" t="e">
        <v>#VALUE!</v>
      </c>
      <c r="EK504" s="185" t="s">
        <v>286</v>
      </c>
      <c r="EL504" s="185" t="s">
        <v>328</v>
      </c>
      <c r="EM504" s="185" t="e">
        <v>#VALUE!</v>
      </c>
      <c r="EN504" s="185" t="s">
        <v>287</v>
      </c>
      <c r="EO504" s="185" t="s">
        <v>328</v>
      </c>
      <c r="EP504" s="185" t="e">
        <v>#VALUE!</v>
      </c>
      <c r="EQ504" s="185"/>
      <c r="ER504" s="185"/>
      <c r="ES504" s="185"/>
    </row>
    <row r="505" spans="1:149" s="21" customFormat="1" ht="14.25" customHeight="1" x14ac:dyDescent="0.15">
      <c r="A505" s="185"/>
      <c r="B505" s="186"/>
      <c r="C505" s="40"/>
      <c r="D505" s="185"/>
      <c r="E505" s="185"/>
      <c r="F505" s="185"/>
      <c r="G505" s="185"/>
      <c r="H505" s="185"/>
      <c r="I505" s="185"/>
      <c r="J505" s="185"/>
      <c r="K505" s="185"/>
      <c r="L505" s="185"/>
      <c r="M505" s="185"/>
      <c r="N505" s="185"/>
      <c r="O505" s="185"/>
      <c r="P505" s="185"/>
      <c r="Q505" s="185"/>
      <c r="R505" s="185"/>
      <c r="S505" s="185"/>
      <c r="T505" s="185"/>
      <c r="U505" s="185"/>
      <c r="V505" s="185"/>
      <c r="W505" s="185"/>
      <c r="X505" s="185"/>
      <c r="Y505" s="185"/>
      <c r="Z505" s="185"/>
      <c r="AA505" s="185"/>
      <c r="AB505" s="192">
        <v>66011201</v>
      </c>
      <c r="AC505" s="17" t="s">
        <v>929</v>
      </c>
      <c r="AD505" s="185"/>
      <c r="AE505" s="185" t="s">
        <v>291</v>
      </c>
      <c r="AF505" s="185" t="s">
        <v>314</v>
      </c>
      <c r="AG505" s="185"/>
      <c r="AH505" s="185"/>
      <c r="AI505" s="185"/>
      <c r="AJ505" s="185">
        <v>6</v>
      </c>
      <c r="AK505" s="185"/>
      <c r="AL505" s="203"/>
      <c r="AM505" s="203"/>
      <c r="AN505" s="203"/>
      <c r="AO505" s="203"/>
      <c r="AP505" s="203"/>
      <c r="AQ505" s="203"/>
      <c r="AR505" s="203"/>
      <c r="AS505" s="185"/>
      <c r="AT505" s="185"/>
      <c r="AU505" s="203"/>
      <c r="AV505" s="203"/>
      <c r="AW505" s="203"/>
      <c r="AX505" s="203"/>
      <c r="AY505" s="203"/>
      <c r="AZ505" s="203"/>
      <c r="BA505" s="203" t="s">
        <v>270</v>
      </c>
      <c r="BB505" s="358">
        <v>1</v>
      </c>
      <c r="BC505" s="185"/>
      <c r="BD505" s="185"/>
      <c r="BE505" s="185"/>
      <c r="BF505" s="185"/>
      <c r="BG505" s="185"/>
      <c r="BH505" s="185"/>
      <c r="BI505" s="185"/>
      <c r="BJ505" s="185"/>
      <c r="BK505" s="185"/>
      <c r="BL505" s="185"/>
      <c r="BM505" s="185"/>
      <c r="BN505" s="185"/>
      <c r="BO505" s="185"/>
      <c r="BP505" s="185"/>
      <c r="BQ505" s="185"/>
      <c r="BR505" s="185"/>
      <c r="BS505" s="185"/>
      <c r="BT505" s="185"/>
      <c r="BU505" s="185"/>
      <c r="BV505" s="185"/>
      <c r="BW505" s="185"/>
      <c r="BX505" s="185"/>
      <c r="BY505" s="185"/>
      <c r="BZ505" s="185"/>
      <c r="CA505" s="185"/>
      <c r="CB505" s="185"/>
      <c r="CC505" s="185"/>
      <c r="CD505" s="185"/>
      <c r="CE505" s="185"/>
      <c r="CF505" s="185"/>
      <c r="CG505" s="185"/>
      <c r="CH505" s="185"/>
      <c r="CI505" s="185"/>
      <c r="CJ505" s="185"/>
      <c r="CK505" s="359"/>
      <c r="CL505" s="359"/>
      <c r="CM505" s="22"/>
      <c r="CN505" s="185"/>
      <c r="CO505" s="185"/>
      <c r="CP505" s="185"/>
      <c r="CQ505" s="185"/>
      <c r="CR505" s="185"/>
      <c r="CS505" s="185"/>
      <c r="CT505" s="185"/>
      <c r="CU505" s="185"/>
      <c r="CV505" s="185"/>
      <c r="CW505" s="185"/>
      <c r="CX505" s="185"/>
      <c r="CY505" s="185"/>
      <c r="CZ505" s="185"/>
      <c r="DA505" s="185"/>
      <c r="DB505" s="185"/>
      <c r="DC505" s="185"/>
      <c r="DD505" s="185"/>
      <c r="DE505" s="185"/>
      <c r="DF505" s="185"/>
      <c r="DG505" s="185"/>
      <c r="DH505" s="185"/>
      <c r="DI505" s="185"/>
      <c r="DJ505" s="22"/>
      <c r="DK505" s="185"/>
      <c r="DL505" s="185"/>
      <c r="DM505" s="185"/>
      <c r="DN505" s="23"/>
      <c r="DO505" s="23"/>
      <c r="DP505" s="363"/>
      <c r="DQ505" s="193"/>
      <c r="DR505" s="57" t="str">
        <f t="shared" si="15"/>
        <v/>
      </c>
      <c r="DS505" s="193"/>
      <c r="DT505" s="185"/>
      <c r="DU505" s="1" t="s">
        <v>280</v>
      </c>
      <c r="DV505" s="203"/>
      <c r="DW505" s="185"/>
      <c r="DX505" s="185"/>
      <c r="DY505" s="23"/>
      <c r="DZ505" s="185"/>
      <c r="EA505" s="364"/>
      <c r="EB505" s="364"/>
      <c r="EC505" s="364"/>
      <c r="ED505" s="364"/>
      <c r="EE505" s="185"/>
      <c r="EF505" s="185"/>
      <c r="EG505" s="185"/>
      <c r="EH505" s="185"/>
      <c r="EI505" s="185"/>
      <c r="EJ505" s="185"/>
      <c r="EK505" s="185"/>
      <c r="EL505" s="185"/>
      <c r="EM505" s="185"/>
      <c r="EN505" s="185"/>
      <c r="EO505" s="185"/>
      <c r="EP505" s="185"/>
      <c r="EQ505" s="185"/>
      <c r="ER505" s="185"/>
      <c r="ES505" s="185"/>
    </row>
    <row r="506" spans="1:149" s="21" customFormat="1" ht="14.25" customHeight="1" x14ac:dyDescent="0.15">
      <c r="A506" s="185"/>
      <c r="B506" s="186"/>
      <c r="C506" s="40"/>
      <c r="D506" s="185"/>
      <c r="E506" s="185"/>
      <c r="F506" s="185"/>
      <c r="G506" s="185"/>
      <c r="H506" s="185"/>
      <c r="I506" s="185"/>
      <c r="J506" s="185"/>
      <c r="K506" s="185"/>
      <c r="L506" s="185"/>
      <c r="M506" s="185"/>
      <c r="N506" s="185"/>
      <c r="O506" s="185"/>
      <c r="P506" s="185"/>
      <c r="Q506" s="185"/>
      <c r="R506" s="185"/>
      <c r="S506" s="185"/>
      <c r="T506" s="185"/>
      <c r="U506" s="185"/>
      <c r="V506" s="185"/>
      <c r="W506" s="185"/>
      <c r="X506" s="185"/>
      <c r="Y506" s="185"/>
      <c r="Z506" s="185"/>
      <c r="AA506" s="185"/>
      <c r="AB506" s="192">
        <v>66010102</v>
      </c>
      <c r="AC506" s="192" t="s">
        <v>856</v>
      </c>
      <c r="AD506" s="185" t="s">
        <v>330</v>
      </c>
      <c r="AE506" s="185" t="s">
        <v>291</v>
      </c>
      <c r="AF506" s="185" t="s">
        <v>314</v>
      </c>
      <c r="AG506" s="185"/>
      <c r="AH506" s="185"/>
      <c r="AI506" s="185"/>
      <c r="AJ506" s="185"/>
      <c r="AK506" s="185"/>
      <c r="AL506" s="203"/>
      <c r="AM506" s="203"/>
      <c r="AN506" s="203"/>
      <c r="AO506" s="203"/>
      <c r="AP506" s="203"/>
      <c r="AQ506" s="203"/>
      <c r="AR506" s="203"/>
      <c r="AS506" s="185"/>
      <c r="AT506" s="185"/>
      <c r="AU506" s="203"/>
      <c r="AV506" s="203"/>
      <c r="AW506" s="203"/>
      <c r="AX506" s="203"/>
      <c r="AY506" s="203"/>
      <c r="AZ506" s="203"/>
      <c r="BA506" s="203" t="s">
        <v>331</v>
      </c>
      <c r="BB506" s="358">
        <v>0.23</v>
      </c>
      <c r="BC506" s="185"/>
      <c r="BD506" s="185"/>
      <c r="BE506" s="185"/>
      <c r="BF506" s="185"/>
      <c r="BG506" s="185"/>
      <c r="BH506" s="185"/>
      <c r="BI506" s="185"/>
      <c r="BJ506" s="185"/>
      <c r="BK506" s="185"/>
      <c r="BL506" s="185"/>
      <c r="BM506" s="185"/>
      <c r="BN506" s="185"/>
      <c r="BO506" s="185"/>
      <c r="BP506" s="185"/>
      <c r="BQ506" s="185"/>
      <c r="BR506" s="185"/>
      <c r="BS506" s="185"/>
      <c r="BT506" s="185"/>
      <c r="BU506" s="185"/>
      <c r="BV506" s="185"/>
      <c r="BW506" s="185"/>
      <c r="BX506" s="185"/>
      <c r="BY506" s="185"/>
      <c r="BZ506" s="185"/>
      <c r="CA506" s="185"/>
      <c r="CB506" s="185"/>
      <c r="CC506" s="185"/>
      <c r="CD506" s="185"/>
      <c r="CE506" s="185"/>
      <c r="CF506" s="185"/>
      <c r="CG506" s="185"/>
      <c r="CH506" s="185"/>
      <c r="CI506" s="185"/>
      <c r="CJ506" s="185"/>
      <c r="CK506" s="360"/>
      <c r="CL506" s="360"/>
      <c r="CM506" s="185"/>
      <c r="CN506" s="185"/>
      <c r="CO506" s="185"/>
      <c r="CP506" s="185"/>
      <c r="CQ506" s="185"/>
      <c r="CR506" s="185"/>
      <c r="CS506" s="185"/>
      <c r="CT506" s="185"/>
      <c r="CU506" s="185"/>
      <c r="CV506" s="185"/>
      <c r="CW506" s="185"/>
      <c r="CX506" s="361"/>
      <c r="CY506" s="185"/>
      <c r="CZ506" s="185"/>
      <c r="DA506" s="185"/>
      <c r="DB506" s="185"/>
      <c r="DC506" s="185"/>
      <c r="DD506" s="185"/>
      <c r="DE506" s="185"/>
      <c r="DF506" s="185"/>
      <c r="DG506" s="185"/>
      <c r="DH506" s="185"/>
      <c r="DI506" s="361"/>
      <c r="DJ506" s="22" t="b">
        <v>1</v>
      </c>
      <c r="DK506" s="185"/>
      <c r="DL506" s="185"/>
      <c r="DM506" s="185"/>
      <c r="DN506" s="185"/>
      <c r="DO506" s="185"/>
      <c r="DP506" s="363"/>
      <c r="DQ506" s="193"/>
      <c r="DR506" s="57" t="str">
        <f t="shared" si="15"/>
        <v/>
      </c>
      <c r="DS506" s="193"/>
      <c r="DT506" s="185"/>
      <c r="DU506" s="1" t="s">
        <v>280</v>
      </c>
      <c r="DV506" s="203"/>
      <c r="DW506" s="185"/>
      <c r="DX506" s="185"/>
      <c r="DY506" s="203"/>
      <c r="DZ506" s="175"/>
      <c r="EA506" s="176"/>
      <c r="EB506" s="176"/>
      <c r="EC506" s="176"/>
      <c r="ED506" s="176"/>
      <c r="EE506" s="185"/>
      <c r="EF506" s="185"/>
      <c r="EG506" s="185"/>
      <c r="EH506" s="185"/>
      <c r="EI506" s="185"/>
      <c r="EJ506" s="185"/>
      <c r="EK506" s="185"/>
      <c r="EL506" s="185"/>
      <c r="EM506" s="185"/>
      <c r="EN506" s="185"/>
      <c r="EO506" s="185"/>
      <c r="EP506" s="185"/>
      <c r="EQ506" s="185"/>
      <c r="ER506" s="185"/>
      <c r="ES506" s="185"/>
    </row>
    <row r="507" spans="1:149" s="21" customFormat="1" ht="14.25" customHeight="1" x14ac:dyDescent="0.15">
      <c r="A507" s="185"/>
      <c r="B507" s="186"/>
      <c r="C507" s="40"/>
      <c r="D507" s="185"/>
      <c r="E507" s="185"/>
      <c r="F507" s="185"/>
      <c r="G507" s="185"/>
      <c r="H507" s="185"/>
      <c r="I507" s="185"/>
      <c r="J507" s="185"/>
      <c r="K507" s="185"/>
      <c r="L507" s="185"/>
      <c r="M507" s="185"/>
      <c r="N507" s="185"/>
      <c r="O507" s="185"/>
      <c r="P507" s="185"/>
      <c r="Q507" s="185"/>
      <c r="R507" s="185"/>
      <c r="S507" s="185"/>
      <c r="T507" s="185"/>
      <c r="U507" s="185"/>
      <c r="V507" s="185"/>
      <c r="W507" s="185"/>
      <c r="X507" s="185"/>
      <c r="Y507" s="185"/>
      <c r="Z507" s="185"/>
      <c r="AA507" s="185"/>
      <c r="AB507" s="192">
        <v>66010103</v>
      </c>
      <c r="AC507" s="192" t="s">
        <v>857</v>
      </c>
      <c r="AD507" s="185" t="s">
        <v>333</v>
      </c>
      <c r="AE507" s="185" t="s">
        <v>291</v>
      </c>
      <c r="AF507" s="185" t="s">
        <v>314</v>
      </c>
      <c r="AG507" s="185"/>
      <c r="AH507" s="185"/>
      <c r="AI507" s="185"/>
      <c r="AJ507" s="185">
        <v>-1</v>
      </c>
      <c r="AK507" s="185"/>
      <c r="AL507" s="203"/>
      <c r="AM507" s="356"/>
      <c r="AN507" s="356"/>
      <c r="AO507" s="356"/>
      <c r="AP507" s="356"/>
      <c r="AQ507" s="356"/>
      <c r="AR507" s="356"/>
      <c r="AS507" s="185"/>
      <c r="AT507" s="185"/>
      <c r="AU507" s="203"/>
      <c r="AV507" s="203"/>
      <c r="AW507" s="203"/>
      <c r="AX507" s="203"/>
      <c r="AY507" s="203"/>
      <c r="AZ507" s="203"/>
      <c r="BA507" s="203"/>
      <c r="BB507" s="357"/>
      <c r="BC507" s="185"/>
      <c r="BD507" s="185"/>
      <c r="BE507" s="185"/>
      <c r="BF507" s="185"/>
      <c r="BG507" s="185"/>
      <c r="BH507" s="185"/>
      <c r="BI507" s="185"/>
      <c r="BJ507" s="185"/>
      <c r="BK507" s="185"/>
      <c r="BL507" s="185"/>
      <c r="BM507" s="185"/>
      <c r="BN507" s="185"/>
      <c r="BO507" s="185"/>
      <c r="BP507" s="185"/>
      <c r="BQ507" s="185"/>
      <c r="BR507" s="185"/>
      <c r="BS507" s="185"/>
      <c r="BT507" s="185"/>
      <c r="BU507" s="185"/>
      <c r="BV507" s="185"/>
      <c r="BW507" s="185"/>
      <c r="BX507" s="185"/>
      <c r="BY507" s="185"/>
      <c r="BZ507" s="185"/>
      <c r="CA507" s="185"/>
      <c r="CB507" s="185"/>
      <c r="CC507" s="185"/>
      <c r="CD507" s="185"/>
      <c r="CE507" s="185"/>
      <c r="CF507" s="185"/>
      <c r="CG507" s="185"/>
      <c r="CH507" s="185"/>
      <c r="CI507" s="185"/>
      <c r="CJ507" s="185"/>
      <c r="CK507" s="360"/>
      <c r="CL507" s="360"/>
      <c r="CM507" s="185"/>
      <c r="CN507" s="185"/>
      <c r="CO507" s="185"/>
      <c r="CP507" s="185"/>
      <c r="CQ507" s="185"/>
      <c r="CR507" s="185"/>
      <c r="CS507" s="185"/>
      <c r="CT507" s="185"/>
      <c r="CU507" s="185"/>
      <c r="CV507" s="185"/>
      <c r="CW507" s="185"/>
      <c r="CX507" s="185"/>
      <c r="CY507" s="185"/>
      <c r="CZ507" s="185"/>
      <c r="DA507" s="185"/>
      <c r="DB507" s="185"/>
      <c r="DC507" s="185"/>
      <c r="DD507" s="185"/>
      <c r="DE507" s="185"/>
      <c r="DF507" s="185"/>
      <c r="DG507" s="185"/>
      <c r="DH507" s="185"/>
      <c r="DI507" s="185"/>
      <c r="DJ507" s="22" t="b">
        <v>1</v>
      </c>
      <c r="DK507" s="185"/>
      <c r="DL507" s="185"/>
      <c r="DM507" s="185"/>
      <c r="DN507" s="185"/>
      <c r="DO507" s="185"/>
      <c r="DP507" s="363"/>
      <c r="DQ507" s="193"/>
      <c r="DR507" s="57" t="str">
        <f t="shared" si="15"/>
        <v/>
      </c>
      <c r="DS507" s="193"/>
      <c r="DT507" s="185"/>
      <c r="DU507" s="1" t="s">
        <v>280</v>
      </c>
      <c r="DV507" s="203"/>
      <c r="DW507" s="185"/>
      <c r="DX507" s="185"/>
      <c r="DY507" s="203"/>
      <c r="DZ507" s="185"/>
      <c r="EA507" s="185"/>
      <c r="EB507" s="185"/>
      <c r="EC507" s="185"/>
      <c r="ED507" s="185"/>
      <c r="EE507" s="185"/>
      <c r="EF507" s="185"/>
      <c r="EG507" s="185"/>
      <c r="EH507" s="185"/>
      <c r="EI507" s="185"/>
      <c r="EJ507" s="185"/>
      <c r="EK507" s="185"/>
      <c r="EL507" s="185"/>
      <c r="EM507" s="185"/>
      <c r="EN507" s="185"/>
      <c r="EO507" s="185"/>
      <c r="EP507" s="185"/>
      <c r="EQ507" s="185"/>
      <c r="ER507" s="185"/>
      <c r="ES507" s="185"/>
    </row>
    <row r="508" spans="1:149" s="21" customFormat="1" ht="50.45" customHeight="1" x14ac:dyDescent="0.15">
      <c r="A508" s="185">
        <v>661801</v>
      </c>
      <c r="B508" s="186" t="s">
        <v>942</v>
      </c>
      <c r="C508" s="40" t="s">
        <v>943</v>
      </c>
      <c r="D508" s="185" t="s">
        <v>944</v>
      </c>
      <c r="E508" s="185"/>
      <c r="F508" s="185"/>
      <c r="G508" s="185"/>
      <c r="H508" s="185">
        <v>0</v>
      </c>
      <c r="I508" s="185"/>
      <c r="J508" s="185"/>
      <c r="K508" s="185"/>
      <c r="L508" s="185">
        <v>0</v>
      </c>
      <c r="M508" s="185"/>
      <c r="N508" s="185"/>
      <c r="O508" s="185"/>
      <c r="P508" s="185" t="s">
        <v>268</v>
      </c>
      <c r="Q508" s="185" t="s">
        <v>269</v>
      </c>
      <c r="R508" s="185"/>
      <c r="S508" s="185"/>
      <c r="T508" s="185"/>
      <c r="U508" s="185"/>
      <c r="V508" s="185"/>
      <c r="W508" s="185"/>
      <c r="X508" s="185">
        <v>1</v>
      </c>
      <c r="Y508" s="185">
        <v>0</v>
      </c>
      <c r="Z508" s="185">
        <v>0</v>
      </c>
      <c r="AA508" s="185"/>
      <c r="AB508" s="185">
        <v>3001</v>
      </c>
      <c r="AC508" s="193" t="s">
        <v>337</v>
      </c>
      <c r="AD508" s="185"/>
      <c r="AE508" s="10" t="s">
        <v>129</v>
      </c>
      <c r="AF508" s="10" t="s">
        <v>314</v>
      </c>
      <c r="AG508" s="185"/>
      <c r="AH508" s="185"/>
      <c r="AI508" s="185"/>
      <c r="AJ508" s="185"/>
      <c r="AK508" s="185"/>
      <c r="AL508" s="203"/>
      <c r="AM508" s="203"/>
      <c r="AN508" s="203"/>
      <c r="AO508" s="203"/>
      <c r="AP508" s="203"/>
      <c r="AQ508" s="203"/>
      <c r="AR508" s="203"/>
      <c r="AS508" s="185"/>
      <c r="AT508" s="185"/>
      <c r="AU508" s="203"/>
      <c r="AV508" s="203"/>
      <c r="AW508" s="203"/>
      <c r="AX508" s="203"/>
      <c r="AY508" s="203"/>
      <c r="AZ508" s="203"/>
      <c r="BA508" s="203" t="s">
        <v>270</v>
      </c>
      <c r="BB508" s="357">
        <v>65</v>
      </c>
      <c r="BC508" s="185"/>
      <c r="BD508" s="185"/>
      <c r="BE508" s="185"/>
      <c r="BF508" s="185"/>
      <c r="BG508" s="185"/>
      <c r="BH508" s="185"/>
      <c r="BI508" s="185"/>
      <c r="BJ508" s="185"/>
      <c r="BK508" s="185"/>
      <c r="BL508" s="185"/>
      <c r="BM508" s="185"/>
      <c r="BN508" s="185"/>
      <c r="BO508" s="185"/>
      <c r="BP508" s="185"/>
      <c r="BQ508" s="185"/>
      <c r="BR508" s="185"/>
      <c r="BS508" s="185"/>
      <c r="BT508" s="185"/>
      <c r="BU508" s="185"/>
      <c r="BV508" s="185"/>
      <c r="BW508" s="185"/>
      <c r="BX508" s="185"/>
      <c r="BY508" s="185"/>
      <c r="BZ508" s="185"/>
      <c r="CA508" s="185"/>
      <c r="CB508" s="185"/>
      <c r="CC508" s="185"/>
      <c r="CD508" s="185"/>
      <c r="CE508" s="185"/>
      <c r="CF508" s="185" t="s">
        <v>271</v>
      </c>
      <c r="CG508" s="185"/>
      <c r="CH508" s="185"/>
      <c r="CI508" s="185"/>
      <c r="CJ508" s="22" t="s">
        <v>3</v>
      </c>
      <c r="CK508" s="368" t="s">
        <v>486</v>
      </c>
      <c r="CL508" s="368"/>
      <c r="CM508" s="22">
        <v>999</v>
      </c>
      <c r="CN508" s="185">
        <v>0</v>
      </c>
      <c r="CO508" s="185">
        <v>0</v>
      </c>
      <c r="CP508" s="185">
        <v>0</v>
      </c>
      <c r="CQ508" s="185">
        <v>0</v>
      </c>
      <c r="CR508" s="185"/>
      <c r="CS508" s="185">
        <v>20</v>
      </c>
      <c r="CT508" s="185">
        <v>10</v>
      </c>
      <c r="CU508" s="185">
        <v>24</v>
      </c>
      <c r="CV508" s="185" t="s">
        <v>945</v>
      </c>
      <c r="CW508" s="185" t="b">
        <v>1</v>
      </c>
      <c r="CX508" s="185" t="s">
        <v>273</v>
      </c>
      <c r="CY508" s="185"/>
      <c r="CZ508" s="185"/>
      <c r="DA508" s="185"/>
      <c r="DB508" s="185">
        <v>170501</v>
      </c>
      <c r="DC508" s="185" t="b">
        <v>1</v>
      </c>
      <c r="DD508" s="185" t="s">
        <v>274</v>
      </c>
      <c r="DE508" s="185" t="s">
        <v>275</v>
      </c>
      <c r="DF508" s="185" t="s">
        <v>276</v>
      </c>
      <c r="DG508" s="185" t="s">
        <v>703</v>
      </c>
      <c r="DH508" s="185">
        <v>4</v>
      </c>
      <c r="DI508" s="185" t="b">
        <v>0</v>
      </c>
      <c r="DJ508" s="22" t="b">
        <v>1</v>
      </c>
      <c r="DK508" s="185"/>
      <c r="DL508" s="185"/>
      <c r="DM508" s="185"/>
      <c r="DN508" s="23"/>
      <c r="DO508" s="23"/>
      <c r="DP508" s="363" t="s">
        <v>475</v>
      </c>
      <c r="DQ508" s="193" t="s">
        <v>854</v>
      </c>
      <c r="DR508" s="57" t="e">
        <f t="shared" si="15"/>
        <v>#VALUE!</v>
      </c>
      <c r="DS508" s="193" t="s">
        <v>837</v>
      </c>
      <c r="DT508" s="185"/>
      <c r="DU508" s="1" t="s">
        <v>280</v>
      </c>
      <c r="DV508" s="203"/>
      <c r="DW508" s="185"/>
      <c r="DX508" s="185"/>
      <c r="DY508" s="23"/>
      <c r="DZ508" s="185">
        <v>1</v>
      </c>
      <c r="EA508" s="364">
        <v>-1</v>
      </c>
      <c r="EB508" s="364">
        <v>4.1666666666666699E-2</v>
      </c>
      <c r="EC508" s="364">
        <v>8.3333333333333301E-2</v>
      </c>
      <c r="ED508" s="364">
        <v>8.3333333333333301E-2</v>
      </c>
      <c r="EE508" s="185" t="s">
        <v>284</v>
      </c>
      <c r="EF508" s="185" t="s">
        <v>326</v>
      </c>
      <c r="EG508" s="185" t="e">
        <v>#VALUE!</v>
      </c>
      <c r="EH508" s="185" t="s">
        <v>285</v>
      </c>
      <c r="EI508" s="185" t="s">
        <v>327</v>
      </c>
      <c r="EJ508" s="185" t="e">
        <v>#VALUE!</v>
      </c>
      <c r="EK508" s="185" t="s">
        <v>286</v>
      </c>
      <c r="EL508" s="185" t="s">
        <v>328</v>
      </c>
      <c r="EM508" s="185" t="e">
        <v>#VALUE!</v>
      </c>
      <c r="EN508" s="185" t="s">
        <v>287</v>
      </c>
      <c r="EO508" s="185" t="s">
        <v>328</v>
      </c>
      <c r="EP508" s="185" t="e">
        <v>#VALUE!</v>
      </c>
      <c r="EQ508" s="185"/>
      <c r="ER508" s="185"/>
      <c r="ES508" s="185"/>
    </row>
    <row r="509" spans="1:149" s="21" customFormat="1" ht="14.25" customHeight="1" x14ac:dyDescent="0.15">
      <c r="A509" s="185"/>
      <c r="B509" s="186"/>
      <c r="C509" s="40"/>
      <c r="D509" s="185"/>
      <c r="E509" s="185"/>
      <c r="F509" s="185"/>
      <c r="G509" s="185"/>
      <c r="H509" s="185"/>
      <c r="I509" s="185"/>
      <c r="J509" s="185"/>
      <c r="K509" s="185"/>
      <c r="L509" s="185"/>
      <c r="M509" s="185"/>
      <c r="N509" s="185"/>
      <c r="O509" s="185"/>
      <c r="P509" s="185"/>
      <c r="Q509" s="185"/>
      <c r="R509" s="185"/>
      <c r="S509" s="185"/>
      <c r="T509" s="185"/>
      <c r="U509" s="185"/>
      <c r="V509" s="185"/>
      <c r="W509" s="185"/>
      <c r="X509" s="185"/>
      <c r="Y509" s="185"/>
      <c r="Z509" s="185"/>
      <c r="AA509" s="185"/>
      <c r="AB509" s="192">
        <v>66010701</v>
      </c>
      <c r="AC509" s="192" t="s">
        <v>896</v>
      </c>
      <c r="AD509" s="185"/>
      <c r="AE509" s="22" t="s">
        <v>129</v>
      </c>
      <c r="AF509" s="185" t="s">
        <v>394</v>
      </c>
      <c r="AG509" s="185"/>
      <c r="AH509" s="185"/>
      <c r="AI509" s="185"/>
      <c r="AJ509" s="185">
        <v>6</v>
      </c>
      <c r="AK509" s="185"/>
      <c r="AL509" s="203"/>
      <c r="AM509" s="203"/>
      <c r="AN509" s="203"/>
      <c r="AO509" s="203"/>
      <c r="AP509" s="203"/>
      <c r="AQ509" s="203"/>
      <c r="AR509" s="203"/>
      <c r="AS509" s="185"/>
      <c r="AT509" s="185"/>
      <c r="AU509" s="203"/>
      <c r="AV509" s="203"/>
      <c r="AW509" s="203"/>
      <c r="AX509" s="203"/>
      <c r="AY509" s="203"/>
      <c r="AZ509" s="203"/>
      <c r="BA509" s="203" t="s">
        <v>897</v>
      </c>
      <c r="BB509" s="358">
        <v>100</v>
      </c>
      <c r="BC509" s="185"/>
      <c r="BD509" s="185"/>
      <c r="BE509" s="185"/>
      <c r="BF509" s="185"/>
      <c r="BG509" s="185"/>
      <c r="BH509" s="185"/>
      <c r="BI509" s="185"/>
      <c r="BJ509" s="185"/>
      <c r="BK509" s="185"/>
      <c r="BL509" s="185"/>
      <c r="BM509" s="185"/>
      <c r="BN509" s="185"/>
      <c r="BO509" s="185"/>
      <c r="BP509" s="185"/>
      <c r="BQ509" s="185"/>
      <c r="BR509" s="185"/>
      <c r="BS509" s="185"/>
      <c r="BT509" s="185"/>
      <c r="BU509" s="185"/>
      <c r="BV509" s="185"/>
      <c r="BW509" s="185"/>
      <c r="BX509" s="185"/>
      <c r="BY509" s="185"/>
      <c r="BZ509" s="185"/>
      <c r="CA509" s="185"/>
      <c r="CB509" s="185"/>
      <c r="CC509" s="185"/>
      <c r="CD509" s="185"/>
      <c r="CE509" s="185"/>
      <c r="CF509" s="185"/>
      <c r="CG509" s="185"/>
      <c r="CH509" s="185"/>
      <c r="CI509" s="185"/>
      <c r="CJ509" s="185"/>
      <c r="CK509" s="359"/>
      <c r="CL509" s="359"/>
      <c r="CM509" s="22"/>
      <c r="CN509" s="185"/>
      <c r="CO509" s="185"/>
      <c r="CP509" s="185"/>
      <c r="CQ509" s="185"/>
      <c r="CR509" s="185"/>
      <c r="CS509" s="185"/>
      <c r="CT509" s="185"/>
      <c r="CU509" s="185"/>
      <c r="CV509" s="185"/>
      <c r="CW509" s="185"/>
      <c r="CX509" s="185"/>
      <c r="CY509" s="185"/>
      <c r="CZ509" s="185"/>
      <c r="DA509" s="185"/>
      <c r="DB509" s="185"/>
      <c r="DC509" s="185"/>
      <c r="DD509" s="185"/>
      <c r="DE509" s="185"/>
      <c r="DF509" s="185"/>
      <c r="DG509" s="185"/>
      <c r="DH509" s="185"/>
      <c r="DI509" s="185"/>
      <c r="DJ509" s="22"/>
      <c r="DK509" s="185"/>
      <c r="DL509" s="185"/>
      <c r="DM509" s="185"/>
      <c r="DN509" s="23"/>
      <c r="DO509" s="23"/>
      <c r="DP509" s="363"/>
      <c r="DQ509" s="193"/>
      <c r="DR509" s="57" t="str">
        <f t="shared" si="15"/>
        <v/>
      </c>
      <c r="DS509" s="193"/>
      <c r="DT509" s="185"/>
      <c r="DU509" s="1" t="s">
        <v>280</v>
      </c>
      <c r="DV509" s="203"/>
      <c r="DW509" s="185"/>
      <c r="DX509" s="185"/>
      <c r="DY509" s="23"/>
      <c r="DZ509" s="185"/>
      <c r="EA509" s="364"/>
      <c r="EB509" s="364"/>
      <c r="EC509" s="364"/>
      <c r="ED509" s="364"/>
      <c r="EE509" s="185"/>
      <c r="EF509" s="185"/>
      <c r="EG509" s="185"/>
      <c r="EH509" s="185"/>
      <c r="EI509" s="185"/>
      <c r="EJ509" s="185"/>
      <c r="EK509" s="185"/>
      <c r="EL509" s="185"/>
      <c r="EM509" s="185"/>
      <c r="EN509" s="185"/>
      <c r="EO509" s="185"/>
      <c r="EP509" s="185"/>
      <c r="EQ509" s="185"/>
      <c r="ER509" s="185"/>
      <c r="ES509" s="185"/>
    </row>
    <row r="510" spans="1:149" s="21" customFormat="1" ht="14.25" customHeight="1" x14ac:dyDescent="0.15">
      <c r="A510" s="185"/>
      <c r="B510" s="186"/>
      <c r="C510" s="40"/>
      <c r="D510" s="185"/>
      <c r="E510" s="185"/>
      <c r="F510" s="185"/>
      <c r="G510" s="185"/>
      <c r="H510" s="185"/>
      <c r="I510" s="185"/>
      <c r="J510" s="185"/>
      <c r="K510" s="185"/>
      <c r="L510" s="185"/>
      <c r="M510" s="185"/>
      <c r="N510" s="185"/>
      <c r="O510" s="185"/>
      <c r="P510" s="185"/>
      <c r="Q510" s="185"/>
      <c r="R510" s="185"/>
      <c r="S510" s="185"/>
      <c r="T510" s="185"/>
      <c r="U510" s="185"/>
      <c r="V510" s="185"/>
      <c r="W510" s="185"/>
      <c r="X510" s="185"/>
      <c r="Y510" s="185"/>
      <c r="Z510" s="185"/>
      <c r="AA510" s="185"/>
      <c r="AB510" s="192">
        <v>66010102</v>
      </c>
      <c r="AC510" s="192" t="s">
        <v>856</v>
      </c>
      <c r="AD510" s="185" t="s">
        <v>330</v>
      </c>
      <c r="AE510" s="185" t="s">
        <v>291</v>
      </c>
      <c r="AF510" s="185" t="s">
        <v>314</v>
      </c>
      <c r="AG510" s="185"/>
      <c r="AH510" s="185"/>
      <c r="AI510" s="185"/>
      <c r="AJ510" s="185"/>
      <c r="AK510" s="185"/>
      <c r="AL510" s="203"/>
      <c r="AM510" s="203"/>
      <c r="AN510" s="203"/>
      <c r="AO510" s="203"/>
      <c r="AP510" s="203"/>
      <c r="AQ510" s="203"/>
      <c r="AR510" s="203"/>
      <c r="AS510" s="185"/>
      <c r="AT510" s="185"/>
      <c r="AU510" s="203"/>
      <c r="AV510" s="203"/>
      <c r="AW510" s="203"/>
      <c r="AX510" s="203"/>
      <c r="AY510" s="203"/>
      <c r="AZ510" s="203"/>
      <c r="BA510" s="203" t="s">
        <v>331</v>
      </c>
      <c r="BB510" s="358">
        <v>0.23</v>
      </c>
      <c r="BC510" s="185"/>
      <c r="BD510" s="185"/>
      <c r="BE510" s="185"/>
      <c r="BF510" s="185"/>
      <c r="BG510" s="185"/>
      <c r="BH510" s="185"/>
      <c r="BI510" s="185"/>
      <c r="BJ510" s="185"/>
      <c r="BK510" s="185"/>
      <c r="BL510" s="185"/>
      <c r="BM510" s="185"/>
      <c r="BN510" s="185"/>
      <c r="BO510" s="185"/>
      <c r="BP510" s="185"/>
      <c r="BQ510" s="185"/>
      <c r="BR510" s="185"/>
      <c r="BS510" s="185"/>
      <c r="BT510" s="185"/>
      <c r="BU510" s="185"/>
      <c r="BV510" s="185"/>
      <c r="BW510" s="185"/>
      <c r="BX510" s="185"/>
      <c r="BY510" s="185"/>
      <c r="BZ510" s="185"/>
      <c r="CA510" s="185"/>
      <c r="CB510" s="185"/>
      <c r="CC510" s="185"/>
      <c r="CD510" s="185"/>
      <c r="CE510" s="185"/>
      <c r="CF510" s="185"/>
      <c r="CG510" s="185"/>
      <c r="CH510" s="185"/>
      <c r="CI510" s="185"/>
      <c r="CJ510" s="185"/>
      <c r="CK510" s="360"/>
      <c r="CL510" s="360"/>
      <c r="CM510" s="185"/>
      <c r="CN510" s="185"/>
      <c r="CO510" s="185"/>
      <c r="CP510" s="185"/>
      <c r="CQ510" s="185"/>
      <c r="CR510" s="185"/>
      <c r="CS510" s="185"/>
      <c r="CT510" s="185"/>
      <c r="CU510" s="185"/>
      <c r="CV510" s="185"/>
      <c r="CW510" s="185"/>
      <c r="CX510" s="361"/>
      <c r="CY510" s="185"/>
      <c r="CZ510" s="185"/>
      <c r="DA510" s="185"/>
      <c r="DB510" s="185"/>
      <c r="DC510" s="185"/>
      <c r="DD510" s="185"/>
      <c r="DE510" s="185"/>
      <c r="DF510" s="185"/>
      <c r="DG510" s="185"/>
      <c r="DH510" s="185"/>
      <c r="DI510" s="361"/>
      <c r="DJ510" s="22" t="b">
        <v>1</v>
      </c>
      <c r="DK510" s="185"/>
      <c r="DL510" s="185"/>
      <c r="DM510" s="185"/>
      <c r="DN510" s="185"/>
      <c r="DO510" s="185"/>
      <c r="DP510" s="363"/>
      <c r="DQ510" s="193"/>
      <c r="DR510" s="57" t="str">
        <f t="shared" si="15"/>
        <v/>
      </c>
      <c r="DS510" s="193"/>
      <c r="DT510" s="185"/>
      <c r="DU510" s="1" t="s">
        <v>280</v>
      </c>
      <c r="DV510" s="203"/>
      <c r="DW510" s="185"/>
      <c r="DX510" s="185"/>
      <c r="DY510" s="203"/>
      <c r="DZ510" s="175"/>
      <c r="EA510" s="176"/>
      <c r="EB510" s="176"/>
      <c r="EC510" s="176"/>
      <c r="ED510" s="176"/>
      <c r="EE510" s="185"/>
      <c r="EF510" s="185"/>
      <c r="EG510" s="185"/>
      <c r="EH510" s="185"/>
      <c r="EI510" s="185"/>
      <c r="EJ510" s="185"/>
      <c r="EK510" s="185"/>
      <c r="EL510" s="185"/>
      <c r="EM510" s="185"/>
      <c r="EN510" s="185"/>
      <c r="EO510" s="185"/>
      <c r="EP510" s="185"/>
      <c r="EQ510" s="185"/>
      <c r="ER510" s="185"/>
      <c r="ES510" s="185"/>
    </row>
    <row r="511" spans="1:149" s="21" customFormat="1" ht="14.25" customHeight="1" x14ac:dyDescent="0.15">
      <c r="A511" s="185"/>
      <c r="B511" s="186"/>
      <c r="C511" s="40"/>
      <c r="D511" s="185"/>
      <c r="E511" s="185"/>
      <c r="F511" s="185"/>
      <c r="G511" s="185"/>
      <c r="H511" s="185"/>
      <c r="I511" s="185"/>
      <c r="J511" s="185"/>
      <c r="K511" s="185"/>
      <c r="L511" s="185"/>
      <c r="M511" s="185"/>
      <c r="N511" s="185"/>
      <c r="O511" s="185"/>
      <c r="P511" s="185"/>
      <c r="Q511" s="185"/>
      <c r="R511" s="185"/>
      <c r="S511" s="185"/>
      <c r="T511" s="185"/>
      <c r="U511" s="185"/>
      <c r="V511" s="185"/>
      <c r="W511" s="185"/>
      <c r="X511" s="185"/>
      <c r="Y511" s="185"/>
      <c r="Z511" s="185"/>
      <c r="AA511" s="185"/>
      <c r="AB511" s="192">
        <v>66010103</v>
      </c>
      <c r="AC511" s="192" t="s">
        <v>857</v>
      </c>
      <c r="AD511" s="185" t="s">
        <v>333</v>
      </c>
      <c r="AE511" s="185" t="s">
        <v>291</v>
      </c>
      <c r="AF511" s="185" t="s">
        <v>314</v>
      </c>
      <c r="AG511" s="185"/>
      <c r="AH511" s="185"/>
      <c r="AI511" s="185"/>
      <c r="AJ511" s="185">
        <v>-1</v>
      </c>
      <c r="AK511" s="185"/>
      <c r="AL511" s="203"/>
      <c r="AM511" s="356"/>
      <c r="AN511" s="356"/>
      <c r="AO511" s="356"/>
      <c r="AP511" s="356"/>
      <c r="AQ511" s="356"/>
      <c r="AR511" s="356"/>
      <c r="AS511" s="185"/>
      <c r="AT511" s="185"/>
      <c r="AU511" s="203"/>
      <c r="AV511" s="203"/>
      <c r="AW511" s="203"/>
      <c r="AX511" s="203"/>
      <c r="AY511" s="203"/>
      <c r="AZ511" s="203"/>
      <c r="BA511" s="203"/>
      <c r="BB511" s="357"/>
      <c r="BC511" s="185"/>
      <c r="BD511" s="185"/>
      <c r="BE511" s="185"/>
      <c r="BF511" s="185"/>
      <c r="BG511" s="185"/>
      <c r="BH511" s="185"/>
      <c r="BI511" s="185"/>
      <c r="BJ511" s="185"/>
      <c r="BK511" s="185"/>
      <c r="BL511" s="185"/>
      <c r="BM511" s="185"/>
      <c r="BN511" s="185"/>
      <c r="BO511" s="185"/>
      <c r="BP511" s="185"/>
      <c r="BQ511" s="185"/>
      <c r="BR511" s="185"/>
      <c r="BS511" s="185"/>
      <c r="BT511" s="185"/>
      <c r="BU511" s="185"/>
      <c r="BV511" s="185"/>
      <c r="BW511" s="185"/>
      <c r="BX511" s="185"/>
      <c r="BY511" s="185"/>
      <c r="BZ511" s="185"/>
      <c r="CA511" s="185"/>
      <c r="CB511" s="185"/>
      <c r="CC511" s="185"/>
      <c r="CD511" s="185"/>
      <c r="CE511" s="185"/>
      <c r="CF511" s="185"/>
      <c r="CG511" s="185"/>
      <c r="CH511" s="185"/>
      <c r="CI511" s="185"/>
      <c r="CJ511" s="185"/>
      <c r="CK511" s="360"/>
      <c r="CL511" s="360"/>
      <c r="CM511" s="185"/>
      <c r="CN511" s="185"/>
      <c r="CO511" s="185"/>
      <c r="CP511" s="185"/>
      <c r="CQ511" s="185"/>
      <c r="CR511" s="185"/>
      <c r="CS511" s="185"/>
      <c r="CT511" s="185"/>
      <c r="CU511" s="185"/>
      <c r="CV511" s="185"/>
      <c r="CW511" s="185"/>
      <c r="CX511" s="185"/>
      <c r="CY511" s="185"/>
      <c r="CZ511" s="185"/>
      <c r="DA511" s="185"/>
      <c r="DB511" s="185"/>
      <c r="DC511" s="185"/>
      <c r="DD511" s="185"/>
      <c r="DE511" s="185"/>
      <c r="DF511" s="185"/>
      <c r="DG511" s="185"/>
      <c r="DH511" s="185"/>
      <c r="DI511" s="185"/>
      <c r="DJ511" s="22" t="b">
        <v>1</v>
      </c>
      <c r="DK511" s="185"/>
      <c r="DL511" s="185"/>
      <c r="DM511" s="185"/>
      <c r="DN511" s="185"/>
      <c r="DO511" s="185"/>
      <c r="DP511" s="363"/>
      <c r="DQ511" s="193"/>
      <c r="DR511" s="57" t="str">
        <f t="shared" si="15"/>
        <v/>
      </c>
      <c r="DS511" s="193"/>
      <c r="DT511" s="185"/>
      <c r="DU511" s="1" t="s">
        <v>280</v>
      </c>
      <c r="DV511" s="203"/>
      <c r="DW511" s="185"/>
      <c r="DX511" s="185"/>
      <c r="DY511" s="203"/>
      <c r="DZ511" s="185"/>
      <c r="EA511" s="185"/>
      <c r="EB511" s="185"/>
      <c r="EC511" s="185"/>
      <c r="ED511" s="185"/>
      <c r="EE511" s="185"/>
      <c r="EF511" s="185"/>
      <c r="EG511" s="185"/>
      <c r="EH511" s="185"/>
      <c r="EI511" s="185"/>
      <c r="EJ511" s="185"/>
      <c r="EK511" s="185"/>
      <c r="EL511" s="185"/>
      <c r="EM511" s="185"/>
      <c r="EN511" s="185"/>
      <c r="EO511" s="185"/>
      <c r="EP511" s="185"/>
      <c r="EQ511" s="185"/>
      <c r="ER511" s="185"/>
      <c r="ES511" s="185"/>
    </row>
    <row r="512" spans="1:149" s="21" customFormat="1" ht="14.25" customHeight="1" x14ac:dyDescent="0.15">
      <c r="A512" s="185">
        <v>661501</v>
      </c>
      <c r="B512" s="186" t="s">
        <v>946</v>
      </c>
      <c r="C512" s="40" t="s">
        <v>947</v>
      </c>
      <c r="D512" s="185" t="s">
        <v>948</v>
      </c>
      <c r="E512" s="185"/>
      <c r="F512" s="185"/>
      <c r="G512" s="185"/>
      <c r="H512" s="185">
        <v>0</v>
      </c>
      <c r="I512" s="185"/>
      <c r="J512" s="185"/>
      <c r="K512" s="185"/>
      <c r="L512" s="185">
        <v>0</v>
      </c>
      <c r="M512" s="185"/>
      <c r="N512" s="185"/>
      <c r="O512" s="185"/>
      <c r="P512" s="185" t="s">
        <v>268</v>
      </c>
      <c r="Q512" s="185" t="s">
        <v>269</v>
      </c>
      <c r="R512" s="185"/>
      <c r="S512" s="185"/>
      <c r="T512" s="185"/>
      <c r="U512" s="185"/>
      <c r="V512" s="185"/>
      <c r="W512" s="185"/>
      <c r="X512" s="185">
        <v>1</v>
      </c>
      <c r="Y512" s="185">
        <v>0</v>
      </c>
      <c r="Z512" s="185">
        <v>0</v>
      </c>
      <c r="AA512" s="185"/>
      <c r="AB512" s="185">
        <v>3001</v>
      </c>
      <c r="AC512" s="193" t="s">
        <v>337</v>
      </c>
      <c r="AD512" s="185"/>
      <c r="AE512" s="10" t="s">
        <v>129</v>
      </c>
      <c r="AF512" s="10" t="s">
        <v>314</v>
      </c>
      <c r="AG512" s="185"/>
      <c r="AH512" s="185"/>
      <c r="AI512" s="185"/>
      <c r="AJ512" s="185"/>
      <c r="AK512" s="185"/>
      <c r="AL512" s="203"/>
      <c r="AM512" s="203"/>
      <c r="AN512" s="203"/>
      <c r="AO512" s="203"/>
      <c r="AP512" s="203"/>
      <c r="AQ512" s="203"/>
      <c r="AR512" s="203"/>
      <c r="AS512" s="185"/>
      <c r="AT512" s="185"/>
      <c r="AU512" s="203"/>
      <c r="AV512" s="203"/>
      <c r="AW512" s="203"/>
      <c r="AX512" s="203"/>
      <c r="AY512" s="203"/>
      <c r="AZ512" s="203"/>
      <c r="BA512" s="203" t="s">
        <v>270</v>
      </c>
      <c r="BB512" s="357">
        <v>65</v>
      </c>
      <c r="BC512" s="185"/>
      <c r="BD512" s="185"/>
      <c r="BE512" s="185"/>
      <c r="BF512" s="185"/>
      <c r="BG512" s="185"/>
      <c r="BH512" s="185"/>
      <c r="BI512" s="185"/>
      <c r="BJ512" s="185"/>
      <c r="BK512" s="185"/>
      <c r="BL512" s="185"/>
      <c r="BM512" s="185"/>
      <c r="BN512" s="185"/>
      <c r="BO512" s="185"/>
      <c r="BP512" s="185"/>
      <c r="BQ512" s="185"/>
      <c r="BR512" s="185"/>
      <c r="BS512" s="185"/>
      <c r="BT512" s="185"/>
      <c r="BU512" s="185"/>
      <c r="BV512" s="185"/>
      <c r="BW512" s="185"/>
      <c r="BX512" s="185"/>
      <c r="BY512" s="185"/>
      <c r="BZ512" s="185"/>
      <c r="CA512" s="185"/>
      <c r="CB512" s="185"/>
      <c r="CC512" s="185"/>
      <c r="CD512" s="185"/>
      <c r="CE512" s="185"/>
      <c r="CF512" s="185" t="s">
        <v>271</v>
      </c>
      <c r="CG512" s="185"/>
      <c r="CH512" s="185"/>
      <c r="CI512" s="23"/>
      <c r="CJ512" s="23" t="s">
        <v>2</v>
      </c>
      <c r="CK512" s="370" t="s">
        <v>883</v>
      </c>
      <c r="CL512" s="370"/>
      <c r="CM512" s="22">
        <v>999</v>
      </c>
      <c r="CN512" s="185">
        <v>0</v>
      </c>
      <c r="CO512" s="185">
        <v>0</v>
      </c>
      <c r="CP512" s="185">
        <v>0</v>
      </c>
      <c r="CQ512" s="185">
        <v>0</v>
      </c>
      <c r="CR512" s="185"/>
      <c r="CS512" s="185">
        <v>20</v>
      </c>
      <c r="CT512" s="185">
        <v>10</v>
      </c>
      <c r="CU512" s="185">
        <v>24</v>
      </c>
      <c r="CV512" s="185" t="s">
        <v>949</v>
      </c>
      <c r="CW512" s="185" t="b">
        <v>1</v>
      </c>
      <c r="CX512" s="185" t="s">
        <v>273</v>
      </c>
      <c r="CY512" s="185"/>
      <c r="CZ512" s="185"/>
      <c r="DA512" s="185"/>
      <c r="DB512" s="185">
        <v>170501</v>
      </c>
      <c r="DC512" s="185" t="b">
        <v>1</v>
      </c>
      <c r="DD512" s="185" t="s">
        <v>274</v>
      </c>
      <c r="DE512" s="185" t="s">
        <v>928</v>
      </c>
      <c r="DF512" s="185" t="s">
        <v>276</v>
      </c>
      <c r="DG512" s="185" t="s">
        <v>703</v>
      </c>
      <c r="DH512" s="185">
        <v>4</v>
      </c>
      <c r="DI512" s="185" t="b">
        <v>0</v>
      </c>
      <c r="DJ512" s="22" t="b">
        <v>1</v>
      </c>
      <c r="DK512" s="185"/>
      <c r="DL512" s="185"/>
      <c r="DM512" s="185"/>
      <c r="DN512" s="23"/>
      <c r="DO512" s="23"/>
      <c r="DP512" s="363" t="s">
        <v>475</v>
      </c>
      <c r="DQ512" s="193" t="s">
        <v>854</v>
      </c>
      <c r="DR512" s="57" t="e">
        <f t="shared" si="15"/>
        <v>#VALUE!</v>
      </c>
      <c r="DS512" s="193" t="s">
        <v>837</v>
      </c>
      <c r="DT512" s="185"/>
      <c r="DU512" s="1" t="s">
        <v>280</v>
      </c>
      <c r="DV512" s="203"/>
      <c r="DW512" s="185"/>
      <c r="DX512" s="185"/>
      <c r="DY512" s="23"/>
      <c r="DZ512" s="185">
        <v>1</v>
      </c>
      <c r="EA512" s="364">
        <v>-1</v>
      </c>
      <c r="EB512" s="364">
        <v>4.1666666666666699E-2</v>
      </c>
      <c r="EC512" s="364">
        <v>8.3333333333333301E-2</v>
      </c>
      <c r="ED512" s="364">
        <v>8.3333333333333301E-2</v>
      </c>
      <c r="EE512" s="185" t="s">
        <v>284</v>
      </c>
      <c r="EF512" s="185" t="s">
        <v>326</v>
      </c>
      <c r="EG512" s="185" t="e">
        <v>#VALUE!</v>
      </c>
      <c r="EH512" s="185" t="s">
        <v>285</v>
      </c>
      <c r="EI512" s="185" t="s">
        <v>327</v>
      </c>
      <c r="EJ512" s="185" t="e">
        <v>#VALUE!</v>
      </c>
      <c r="EK512" s="185" t="s">
        <v>286</v>
      </c>
      <c r="EL512" s="185" t="s">
        <v>328</v>
      </c>
      <c r="EM512" s="185" t="e">
        <v>#VALUE!</v>
      </c>
      <c r="EN512" s="185" t="s">
        <v>287</v>
      </c>
      <c r="EO512" s="185" t="s">
        <v>328</v>
      </c>
      <c r="EP512" s="185" t="e">
        <v>#VALUE!</v>
      </c>
      <c r="EQ512" s="185"/>
      <c r="ER512" s="185"/>
      <c r="ES512" s="185"/>
    </row>
    <row r="513" spans="1:149" s="21" customFormat="1" ht="14.25" customHeight="1" x14ac:dyDescent="0.15">
      <c r="A513" s="185"/>
      <c r="B513" s="186"/>
      <c r="C513" s="40"/>
      <c r="D513" s="185"/>
      <c r="E513" s="185"/>
      <c r="F513" s="185"/>
      <c r="G513" s="185"/>
      <c r="H513" s="185"/>
      <c r="I513" s="185"/>
      <c r="J513" s="185"/>
      <c r="K513" s="185"/>
      <c r="L513" s="185"/>
      <c r="M513" s="185"/>
      <c r="N513" s="185"/>
      <c r="O513" s="185"/>
      <c r="P513" s="185"/>
      <c r="Q513" s="185"/>
      <c r="R513" s="185"/>
      <c r="S513" s="185"/>
      <c r="T513" s="185"/>
      <c r="U513" s="185"/>
      <c r="V513" s="185"/>
      <c r="W513" s="185"/>
      <c r="X513" s="185"/>
      <c r="Y513" s="185"/>
      <c r="Z513" s="185"/>
      <c r="AA513" s="185"/>
      <c r="AB513" s="192">
        <v>66011201</v>
      </c>
      <c r="AC513" s="17" t="s">
        <v>929</v>
      </c>
      <c r="AD513" s="185"/>
      <c r="AE513" s="185" t="s">
        <v>291</v>
      </c>
      <c r="AF513" s="185" t="s">
        <v>314</v>
      </c>
      <c r="AG513" s="185"/>
      <c r="AH513" s="185"/>
      <c r="AI513" s="185"/>
      <c r="AJ513" s="185">
        <v>6</v>
      </c>
      <c r="AK513" s="185"/>
      <c r="AL513" s="203"/>
      <c r="AM513" s="203"/>
      <c r="AN513" s="203"/>
      <c r="AO513" s="203"/>
      <c r="AP513" s="203"/>
      <c r="AQ513" s="203"/>
      <c r="AR513" s="203"/>
      <c r="AS513" s="185"/>
      <c r="AT513" s="185"/>
      <c r="AU513" s="203"/>
      <c r="AV513" s="203"/>
      <c r="AW513" s="203"/>
      <c r="AX513" s="203"/>
      <c r="AY513" s="203"/>
      <c r="AZ513" s="203"/>
      <c r="BA513" s="203" t="s">
        <v>270</v>
      </c>
      <c r="BB513" s="358">
        <v>1</v>
      </c>
      <c r="BC513" s="185"/>
      <c r="BD513" s="185"/>
      <c r="BE513" s="185"/>
      <c r="BF513" s="185"/>
      <c r="BG513" s="185"/>
      <c r="BH513" s="185"/>
      <c r="BI513" s="185"/>
      <c r="BJ513" s="185"/>
      <c r="BK513" s="185"/>
      <c r="BL513" s="185"/>
      <c r="BM513" s="185"/>
      <c r="BN513" s="185"/>
      <c r="BO513" s="185"/>
      <c r="BP513" s="185"/>
      <c r="BQ513" s="185"/>
      <c r="BR513" s="185"/>
      <c r="BS513" s="185"/>
      <c r="BT513" s="185"/>
      <c r="BU513" s="185"/>
      <c r="BV513" s="185"/>
      <c r="BW513" s="185"/>
      <c r="BX513" s="185"/>
      <c r="BY513" s="185"/>
      <c r="BZ513" s="185"/>
      <c r="CA513" s="185"/>
      <c r="CB513" s="185"/>
      <c r="CC513" s="185"/>
      <c r="CD513" s="185"/>
      <c r="CE513" s="185"/>
      <c r="CF513" s="185"/>
      <c r="CG513" s="185"/>
      <c r="CH513" s="185"/>
      <c r="CI513" s="185"/>
      <c r="CJ513" s="185"/>
      <c r="CK513" s="359"/>
      <c r="CL513" s="359"/>
      <c r="CM513" s="22"/>
      <c r="CN513" s="185"/>
      <c r="CO513" s="185"/>
      <c r="CP513" s="185"/>
      <c r="CQ513" s="185"/>
      <c r="CR513" s="185"/>
      <c r="CS513" s="185"/>
      <c r="CT513" s="185"/>
      <c r="CU513" s="185"/>
      <c r="CV513" s="185"/>
      <c r="CW513" s="185"/>
      <c r="CX513" s="185"/>
      <c r="CY513" s="185"/>
      <c r="CZ513" s="185"/>
      <c r="DA513" s="185"/>
      <c r="DB513" s="185"/>
      <c r="DC513" s="185"/>
      <c r="DD513" s="185"/>
      <c r="DE513" s="185"/>
      <c r="DF513" s="185"/>
      <c r="DG513" s="185"/>
      <c r="DH513" s="185"/>
      <c r="DI513" s="185"/>
      <c r="DJ513" s="22"/>
      <c r="DK513" s="185"/>
      <c r="DL513" s="185"/>
      <c r="DM513" s="185"/>
      <c r="DN513" s="23"/>
      <c r="DO513" s="23"/>
      <c r="DP513" s="363"/>
      <c r="DQ513" s="193"/>
      <c r="DR513" s="57" t="str">
        <f t="shared" si="15"/>
        <v/>
      </c>
      <c r="DS513" s="193"/>
      <c r="DT513" s="185"/>
      <c r="DU513" s="1" t="s">
        <v>280</v>
      </c>
      <c r="DV513" s="203"/>
      <c r="DW513" s="185"/>
      <c r="DX513" s="185"/>
      <c r="DY513" s="23"/>
      <c r="DZ513" s="185"/>
      <c r="EA513" s="364"/>
      <c r="EB513" s="364"/>
      <c r="EC513" s="364"/>
      <c r="ED513" s="364"/>
      <c r="EE513" s="185"/>
      <c r="EF513" s="185"/>
      <c r="EG513" s="185"/>
      <c r="EH513" s="185"/>
      <c r="EI513" s="185"/>
      <c r="EJ513" s="185"/>
      <c r="EK513" s="185"/>
      <c r="EL513" s="185"/>
      <c r="EM513" s="185"/>
      <c r="EN513" s="185"/>
      <c r="EO513" s="185"/>
      <c r="EP513" s="185"/>
      <c r="EQ513" s="185"/>
      <c r="ER513" s="185"/>
      <c r="ES513" s="185"/>
    </row>
    <row r="514" spans="1:149" s="21" customFormat="1" ht="14.25" customHeight="1" x14ac:dyDescent="0.15">
      <c r="A514" s="185"/>
      <c r="B514" s="186"/>
      <c r="C514" s="40"/>
      <c r="D514" s="185"/>
      <c r="E514" s="185"/>
      <c r="F514" s="185"/>
      <c r="G514" s="185"/>
      <c r="H514" s="185"/>
      <c r="I514" s="185"/>
      <c r="J514" s="185"/>
      <c r="K514" s="185"/>
      <c r="L514" s="185"/>
      <c r="M514" s="185"/>
      <c r="N514" s="185"/>
      <c r="O514" s="185"/>
      <c r="P514" s="185"/>
      <c r="Q514" s="185"/>
      <c r="R514" s="185"/>
      <c r="S514" s="185"/>
      <c r="T514" s="185"/>
      <c r="U514" s="185"/>
      <c r="V514" s="185"/>
      <c r="W514" s="185"/>
      <c r="X514" s="185"/>
      <c r="Y514" s="185"/>
      <c r="Z514" s="185"/>
      <c r="AA514" s="185"/>
      <c r="AB514" s="192">
        <v>66010102</v>
      </c>
      <c r="AC514" s="192" t="s">
        <v>856</v>
      </c>
      <c r="AD514" s="185" t="s">
        <v>330</v>
      </c>
      <c r="AE514" s="185" t="s">
        <v>291</v>
      </c>
      <c r="AF514" s="185" t="s">
        <v>314</v>
      </c>
      <c r="AG514" s="185"/>
      <c r="AH514" s="185"/>
      <c r="AI514" s="185"/>
      <c r="AJ514" s="185"/>
      <c r="AK514" s="185"/>
      <c r="AL514" s="203"/>
      <c r="AM514" s="203"/>
      <c r="AN514" s="203"/>
      <c r="AO514" s="203"/>
      <c r="AP514" s="203"/>
      <c r="AQ514" s="203"/>
      <c r="AR514" s="203"/>
      <c r="AS514" s="185"/>
      <c r="AT514" s="185"/>
      <c r="AU514" s="203"/>
      <c r="AV514" s="203"/>
      <c r="AW514" s="203"/>
      <c r="AX514" s="203"/>
      <c r="AY514" s="203"/>
      <c r="AZ514" s="203"/>
      <c r="BA514" s="203" t="s">
        <v>331</v>
      </c>
      <c r="BB514" s="358">
        <v>0.23</v>
      </c>
      <c r="BC514" s="185"/>
      <c r="BD514" s="185"/>
      <c r="BE514" s="185"/>
      <c r="BF514" s="185"/>
      <c r="BG514" s="185"/>
      <c r="BH514" s="185"/>
      <c r="BI514" s="185"/>
      <c r="BJ514" s="185"/>
      <c r="BK514" s="185"/>
      <c r="BL514" s="185"/>
      <c r="BM514" s="185"/>
      <c r="BN514" s="185"/>
      <c r="BO514" s="185"/>
      <c r="BP514" s="185"/>
      <c r="BQ514" s="185"/>
      <c r="BR514" s="185"/>
      <c r="BS514" s="185"/>
      <c r="BT514" s="185"/>
      <c r="BU514" s="185"/>
      <c r="BV514" s="185"/>
      <c r="BW514" s="185"/>
      <c r="BX514" s="185"/>
      <c r="BY514" s="185"/>
      <c r="BZ514" s="185"/>
      <c r="CA514" s="185"/>
      <c r="CB514" s="185"/>
      <c r="CC514" s="185"/>
      <c r="CD514" s="185"/>
      <c r="CE514" s="185"/>
      <c r="CF514" s="185"/>
      <c r="CG514" s="185"/>
      <c r="CH514" s="185"/>
      <c r="CI514" s="185"/>
      <c r="CJ514" s="185"/>
      <c r="CK514" s="360"/>
      <c r="CL514" s="360"/>
      <c r="CM514" s="185"/>
      <c r="CN514" s="185"/>
      <c r="CO514" s="185"/>
      <c r="CP514" s="185"/>
      <c r="CQ514" s="185"/>
      <c r="CR514" s="185"/>
      <c r="CS514" s="185"/>
      <c r="CT514" s="185"/>
      <c r="CU514" s="185"/>
      <c r="CV514" s="185"/>
      <c r="CW514" s="185"/>
      <c r="CX514" s="361"/>
      <c r="CY514" s="185"/>
      <c r="CZ514" s="185"/>
      <c r="DA514" s="185"/>
      <c r="DB514" s="185"/>
      <c r="DC514" s="185"/>
      <c r="DD514" s="185"/>
      <c r="DE514" s="185"/>
      <c r="DF514" s="185"/>
      <c r="DG514" s="185"/>
      <c r="DH514" s="185"/>
      <c r="DI514" s="361"/>
      <c r="DJ514" s="22" t="b">
        <v>1</v>
      </c>
      <c r="DK514" s="185"/>
      <c r="DL514" s="185"/>
      <c r="DM514" s="185"/>
      <c r="DN514" s="185"/>
      <c r="DO514" s="185"/>
      <c r="DP514" s="363"/>
      <c r="DQ514" s="193"/>
      <c r="DR514" s="57" t="str">
        <f t="shared" si="15"/>
        <v/>
      </c>
      <c r="DS514" s="193"/>
      <c r="DT514" s="185"/>
      <c r="DU514" s="1" t="s">
        <v>280</v>
      </c>
      <c r="DV514" s="203"/>
      <c r="DW514" s="185"/>
      <c r="DX514" s="185"/>
      <c r="DY514" s="203"/>
      <c r="DZ514" s="175"/>
      <c r="EA514" s="176"/>
      <c r="EB514" s="176"/>
      <c r="EC514" s="176"/>
      <c r="ED514" s="176"/>
      <c r="EE514" s="185"/>
      <c r="EF514" s="185"/>
      <c r="EG514" s="185"/>
      <c r="EH514" s="185"/>
      <c r="EI514" s="185"/>
      <c r="EJ514" s="185"/>
      <c r="EK514" s="185"/>
      <c r="EL514" s="185"/>
      <c r="EM514" s="185"/>
      <c r="EN514" s="185"/>
      <c r="EO514" s="185"/>
      <c r="EP514" s="185"/>
      <c r="EQ514" s="185"/>
      <c r="ER514" s="185"/>
      <c r="ES514" s="185"/>
    </row>
    <row r="515" spans="1:149" s="21" customFormat="1" ht="14.25" customHeight="1" x14ac:dyDescent="0.15">
      <c r="A515" s="185"/>
      <c r="B515" s="186"/>
      <c r="C515" s="40"/>
      <c r="D515" s="185"/>
      <c r="E515" s="185"/>
      <c r="F515" s="185"/>
      <c r="G515" s="185"/>
      <c r="H515" s="185"/>
      <c r="I515" s="185"/>
      <c r="J515" s="185"/>
      <c r="K515" s="185"/>
      <c r="L515" s="185"/>
      <c r="M515" s="185"/>
      <c r="N515" s="185"/>
      <c r="O515" s="185"/>
      <c r="P515" s="185"/>
      <c r="Q515" s="185"/>
      <c r="R515" s="185"/>
      <c r="S515" s="185"/>
      <c r="T515" s="185"/>
      <c r="U515" s="185"/>
      <c r="V515" s="185"/>
      <c r="W515" s="185"/>
      <c r="X515" s="185"/>
      <c r="Y515" s="185"/>
      <c r="Z515" s="185"/>
      <c r="AA515" s="185"/>
      <c r="AB515" s="192">
        <v>66010103</v>
      </c>
      <c r="AC515" s="192" t="s">
        <v>857</v>
      </c>
      <c r="AD515" s="185" t="s">
        <v>333</v>
      </c>
      <c r="AE515" s="185" t="s">
        <v>291</v>
      </c>
      <c r="AF515" s="185" t="s">
        <v>314</v>
      </c>
      <c r="AG515" s="185"/>
      <c r="AH515" s="185"/>
      <c r="AI515" s="185"/>
      <c r="AJ515" s="185">
        <v>-1</v>
      </c>
      <c r="AK515" s="185"/>
      <c r="AL515" s="203"/>
      <c r="AM515" s="356"/>
      <c r="AN515" s="356"/>
      <c r="AO515" s="356"/>
      <c r="AP515" s="356"/>
      <c r="AQ515" s="356"/>
      <c r="AR515" s="356"/>
      <c r="AS515" s="185"/>
      <c r="AT515" s="185"/>
      <c r="AU515" s="203"/>
      <c r="AV515" s="203"/>
      <c r="AW515" s="203"/>
      <c r="AX515" s="203"/>
      <c r="AY515" s="203"/>
      <c r="AZ515" s="203"/>
      <c r="BA515" s="203"/>
      <c r="BB515" s="357"/>
      <c r="BC515" s="185"/>
      <c r="BD515" s="185"/>
      <c r="BE515" s="185"/>
      <c r="BF515" s="185"/>
      <c r="BG515" s="185"/>
      <c r="BH515" s="185"/>
      <c r="BI515" s="185"/>
      <c r="BJ515" s="185"/>
      <c r="BK515" s="185"/>
      <c r="BL515" s="185"/>
      <c r="BM515" s="185"/>
      <c r="BN515" s="185"/>
      <c r="BO515" s="185"/>
      <c r="BP515" s="185"/>
      <c r="BQ515" s="185"/>
      <c r="BR515" s="185"/>
      <c r="BS515" s="185"/>
      <c r="BT515" s="185"/>
      <c r="BU515" s="185"/>
      <c r="BV515" s="185"/>
      <c r="BW515" s="185"/>
      <c r="BX515" s="185"/>
      <c r="BY515" s="185"/>
      <c r="BZ515" s="185"/>
      <c r="CA515" s="185"/>
      <c r="CB515" s="185"/>
      <c r="CC515" s="185"/>
      <c r="CD515" s="185"/>
      <c r="CE515" s="185"/>
      <c r="CF515" s="185"/>
      <c r="CG515" s="185"/>
      <c r="CH515" s="185"/>
      <c r="CI515" s="185"/>
      <c r="CJ515" s="185"/>
      <c r="CK515" s="360"/>
      <c r="CL515" s="360"/>
      <c r="CM515" s="185"/>
      <c r="CN515" s="185"/>
      <c r="CO515" s="185"/>
      <c r="CP515" s="185"/>
      <c r="CQ515" s="185"/>
      <c r="CR515" s="185"/>
      <c r="CS515" s="185"/>
      <c r="CT515" s="185"/>
      <c r="CU515" s="185"/>
      <c r="CV515" s="185"/>
      <c r="CW515" s="185"/>
      <c r="CX515" s="185"/>
      <c r="CY515" s="185"/>
      <c r="CZ515" s="185"/>
      <c r="DA515" s="185"/>
      <c r="DB515" s="185"/>
      <c r="DC515" s="185"/>
      <c r="DD515" s="185"/>
      <c r="DE515" s="185"/>
      <c r="DF515" s="185"/>
      <c r="DG515" s="185"/>
      <c r="DH515" s="185"/>
      <c r="DI515" s="185"/>
      <c r="DJ515" s="22" t="b">
        <v>1</v>
      </c>
      <c r="DK515" s="185"/>
      <c r="DL515" s="185"/>
      <c r="DM515" s="185"/>
      <c r="DN515" s="185"/>
      <c r="DO515" s="185"/>
      <c r="DP515" s="363"/>
      <c r="DQ515" s="193"/>
      <c r="DR515" s="57" t="str">
        <f t="shared" si="15"/>
        <v/>
      </c>
      <c r="DS515" s="193"/>
      <c r="DT515" s="185"/>
      <c r="DU515" s="1" t="s">
        <v>280</v>
      </c>
      <c r="DV515" s="203"/>
      <c r="DW515" s="185"/>
      <c r="DX515" s="185"/>
      <c r="DY515" s="203"/>
      <c r="DZ515" s="185"/>
      <c r="EA515" s="185"/>
      <c r="EB515" s="185"/>
      <c r="EC515" s="185"/>
      <c r="ED515" s="185"/>
      <c r="EE515" s="185"/>
      <c r="EF515" s="185"/>
      <c r="EG515" s="185"/>
      <c r="EH515" s="185"/>
      <c r="EI515" s="185"/>
      <c r="EJ515" s="185"/>
      <c r="EK515" s="185"/>
      <c r="EL515" s="185"/>
      <c r="EM515" s="185"/>
      <c r="EN515" s="185"/>
      <c r="EO515" s="185"/>
      <c r="EP515" s="185"/>
      <c r="EQ515" s="185"/>
      <c r="ER515" s="185"/>
      <c r="ES515" s="185"/>
    </row>
    <row r="516" spans="1:149" s="21" customFormat="1" ht="83.1" customHeight="1" x14ac:dyDescent="0.15">
      <c r="A516" s="185">
        <v>661701</v>
      </c>
      <c r="B516" s="186" t="s">
        <v>950</v>
      </c>
      <c r="C516" s="40" t="s">
        <v>951</v>
      </c>
      <c r="D516" s="185" t="s">
        <v>952</v>
      </c>
      <c r="E516" s="185"/>
      <c r="F516" s="185"/>
      <c r="G516" s="185"/>
      <c r="H516" s="185">
        <v>0</v>
      </c>
      <c r="I516" s="185"/>
      <c r="J516" s="185"/>
      <c r="K516" s="185"/>
      <c r="L516" s="185">
        <v>0</v>
      </c>
      <c r="M516" s="185"/>
      <c r="N516" s="185"/>
      <c r="O516" s="185"/>
      <c r="P516" s="185" t="s">
        <v>268</v>
      </c>
      <c r="Q516" s="185" t="s">
        <v>269</v>
      </c>
      <c r="R516" s="185"/>
      <c r="S516" s="185"/>
      <c r="T516" s="185"/>
      <c r="U516" s="185"/>
      <c r="V516" s="185"/>
      <c r="W516" s="185"/>
      <c r="X516" s="185">
        <v>1</v>
      </c>
      <c r="Y516" s="185">
        <v>0</v>
      </c>
      <c r="Z516" s="185">
        <v>0</v>
      </c>
      <c r="AA516" s="185"/>
      <c r="AB516" s="185">
        <v>3001</v>
      </c>
      <c r="AC516" s="193" t="s">
        <v>337</v>
      </c>
      <c r="AD516" s="185"/>
      <c r="AE516" s="10" t="s">
        <v>129</v>
      </c>
      <c r="AF516" s="10" t="s">
        <v>314</v>
      </c>
      <c r="AG516" s="185"/>
      <c r="AH516" s="185"/>
      <c r="AI516" s="185"/>
      <c r="AJ516" s="185"/>
      <c r="AK516" s="185"/>
      <c r="AL516" s="203"/>
      <c r="AM516" s="203"/>
      <c r="AN516" s="203"/>
      <c r="AO516" s="203"/>
      <c r="AP516" s="203"/>
      <c r="AQ516" s="203"/>
      <c r="AR516" s="203"/>
      <c r="AS516" s="185"/>
      <c r="AT516" s="185"/>
      <c r="AU516" s="203"/>
      <c r="AV516" s="203"/>
      <c r="AW516" s="203"/>
      <c r="AX516" s="203"/>
      <c r="AY516" s="203"/>
      <c r="AZ516" s="203"/>
      <c r="BA516" s="203" t="s">
        <v>270</v>
      </c>
      <c r="BB516" s="357">
        <v>65</v>
      </c>
      <c r="BC516" s="185"/>
      <c r="BD516" s="185"/>
      <c r="BE516" s="185"/>
      <c r="BF516" s="185"/>
      <c r="BG516" s="185"/>
      <c r="BH516" s="185"/>
      <c r="BI516" s="185"/>
      <c r="BJ516" s="185"/>
      <c r="BK516" s="185"/>
      <c r="BL516" s="185"/>
      <c r="BM516" s="185"/>
      <c r="BN516" s="185"/>
      <c r="BO516" s="185"/>
      <c r="BP516" s="185"/>
      <c r="BQ516" s="185"/>
      <c r="BR516" s="185"/>
      <c r="BS516" s="185"/>
      <c r="BT516" s="185"/>
      <c r="BU516" s="185"/>
      <c r="BV516" s="185"/>
      <c r="BW516" s="185"/>
      <c r="BX516" s="185"/>
      <c r="BY516" s="185"/>
      <c r="BZ516" s="185"/>
      <c r="CA516" s="185"/>
      <c r="CB516" s="185"/>
      <c r="CC516" s="185"/>
      <c r="CD516" s="185"/>
      <c r="CE516" s="185"/>
      <c r="CF516" s="185" t="s">
        <v>271</v>
      </c>
      <c r="CG516" s="185"/>
      <c r="CH516" s="185"/>
      <c r="CI516" s="185"/>
      <c r="CJ516" s="185" t="s">
        <v>1</v>
      </c>
      <c r="CK516" s="359" t="s">
        <v>464</v>
      </c>
      <c r="CL516" s="359"/>
      <c r="CM516" s="22">
        <v>999</v>
      </c>
      <c r="CN516" s="185">
        <v>0</v>
      </c>
      <c r="CO516" s="185">
        <v>0</v>
      </c>
      <c r="CP516" s="185">
        <v>0</v>
      </c>
      <c r="CQ516" s="185">
        <v>0</v>
      </c>
      <c r="CR516" s="185"/>
      <c r="CS516" s="185">
        <v>20</v>
      </c>
      <c r="CT516" s="185">
        <v>10</v>
      </c>
      <c r="CU516" s="185">
        <v>24</v>
      </c>
      <c r="CV516" s="16" t="s">
        <v>953</v>
      </c>
      <c r="CW516" s="185" t="b">
        <v>1</v>
      </c>
      <c r="CX516" s="185" t="s">
        <v>273</v>
      </c>
      <c r="CY516" s="185"/>
      <c r="CZ516" s="185"/>
      <c r="DA516" s="185"/>
      <c r="DB516" s="185">
        <v>170501</v>
      </c>
      <c r="DC516" s="185" t="b">
        <v>1</v>
      </c>
      <c r="DD516" s="185" t="s">
        <v>274</v>
      </c>
      <c r="DE516" s="185" t="s">
        <v>666</v>
      </c>
      <c r="DF516" s="185" t="s">
        <v>276</v>
      </c>
      <c r="DG516" s="185" t="s">
        <v>322</v>
      </c>
      <c r="DH516" s="185">
        <v>4</v>
      </c>
      <c r="DI516" s="185" t="b">
        <v>0</v>
      </c>
      <c r="DJ516" s="22" t="b">
        <v>1</v>
      </c>
      <c r="DK516" s="185"/>
      <c r="DL516" s="185"/>
      <c r="DM516" s="185"/>
      <c r="DN516" s="23"/>
      <c r="DO516" s="23"/>
      <c r="DP516" s="363" t="s">
        <v>475</v>
      </c>
      <c r="DQ516" s="193" t="s">
        <v>854</v>
      </c>
      <c r="DR516" s="57" t="e">
        <f t="shared" si="15"/>
        <v>#VALUE!</v>
      </c>
      <c r="DS516" s="193" t="s">
        <v>837</v>
      </c>
      <c r="DT516" s="185"/>
      <c r="DU516" s="1" t="s">
        <v>280</v>
      </c>
      <c r="DV516" s="203"/>
      <c r="DW516" s="185"/>
      <c r="DX516" s="185"/>
      <c r="DY516" s="23"/>
      <c r="DZ516" s="185">
        <v>1</v>
      </c>
      <c r="EA516" s="364">
        <v>-1</v>
      </c>
      <c r="EB516" s="364">
        <v>4.1666666666666699E-2</v>
      </c>
      <c r="EC516" s="364">
        <v>8.3333333333333301E-2</v>
      </c>
      <c r="ED516" s="364">
        <v>8.3333333333333301E-2</v>
      </c>
      <c r="EE516" s="185" t="s">
        <v>284</v>
      </c>
      <c r="EF516" s="185" t="s">
        <v>326</v>
      </c>
      <c r="EG516" s="185" t="e">
        <v>#VALUE!</v>
      </c>
      <c r="EH516" s="185" t="s">
        <v>285</v>
      </c>
      <c r="EI516" s="185" t="s">
        <v>327</v>
      </c>
      <c r="EJ516" s="185" t="e">
        <v>#VALUE!</v>
      </c>
      <c r="EK516" s="185" t="s">
        <v>286</v>
      </c>
      <c r="EL516" s="185" t="s">
        <v>328</v>
      </c>
      <c r="EM516" s="185" t="e">
        <v>#VALUE!</v>
      </c>
      <c r="EN516" s="185" t="s">
        <v>287</v>
      </c>
      <c r="EO516" s="185" t="s">
        <v>328</v>
      </c>
      <c r="EP516" s="185" t="e">
        <v>#VALUE!</v>
      </c>
      <c r="EQ516" s="185"/>
      <c r="ER516" s="185"/>
      <c r="ES516" s="185"/>
    </row>
    <row r="517" spans="1:149" s="21" customFormat="1" ht="14.25" customHeight="1" x14ac:dyDescent="0.15">
      <c r="A517" s="185"/>
      <c r="B517" s="186"/>
      <c r="C517" s="40"/>
      <c r="D517" s="185"/>
      <c r="E517" s="185"/>
      <c r="F517" s="185"/>
      <c r="G517" s="185"/>
      <c r="H517" s="185"/>
      <c r="I517" s="185"/>
      <c r="J517" s="185"/>
      <c r="K517" s="185"/>
      <c r="L517" s="185"/>
      <c r="M517" s="185"/>
      <c r="N517" s="185"/>
      <c r="O517" s="185"/>
      <c r="P517" s="185"/>
      <c r="Q517" s="185"/>
      <c r="R517" s="185"/>
      <c r="S517" s="185"/>
      <c r="T517" s="185"/>
      <c r="U517" s="185"/>
      <c r="V517" s="185"/>
      <c r="W517" s="185"/>
      <c r="X517" s="185"/>
      <c r="Y517" s="185"/>
      <c r="Z517" s="185"/>
      <c r="AA517" s="185"/>
      <c r="AB517" s="192">
        <v>66010101</v>
      </c>
      <c r="AC517" s="192" t="s">
        <v>855</v>
      </c>
      <c r="AD517" s="185"/>
      <c r="AE517" s="10" t="s">
        <v>129</v>
      </c>
      <c r="AF517" s="10" t="s">
        <v>314</v>
      </c>
      <c r="AG517" s="185"/>
      <c r="AH517" s="185"/>
      <c r="AI517" s="185"/>
      <c r="AJ517" s="185">
        <v>6</v>
      </c>
      <c r="AK517" s="185"/>
      <c r="AL517" s="203"/>
      <c r="AM517" s="203"/>
      <c r="AN517" s="203"/>
      <c r="AO517" s="203"/>
      <c r="AP517" s="203"/>
      <c r="AQ517" s="203"/>
      <c r="AR517" s="203"/>
      <c r="AS517" s="185"/>
      <c r="AT517" s="185"/>
      <c r="AU517" s="203"/>
      <c r="AV517" s="203"/>
      <c r="AW517" s="203"/>
      <c r="AX517" s="203"/>
      <c r="AY517" s="203"/>
      <c r="AZ517" s="203"/>
      <c r="BA517" s="203" t="s">
        <v>331</v>
      </c>
      <c r="BB517" s="358">
        <v>0.23</v>
      </c>
      <c r="BC517" s="185"/>
      <c r="BD517" s="185"/>
      <c r="BE517" s="185"/>
      <c r="BF517" s="185"/>
      <c r="BG517" s="185"/>
      <c r="BH517" s="185"/>
      <c r="BI517" s="185"/>
      <c r="BJ517" s="185"/>
      <c r="BK517" s="185"/>
      <c r="BL517" s="185"/>
      <c r="BM517" s="185"/>
      <c r="BN517" s="185"/>
      <c r="BO517" s="185"/>
      <c r="BP517" s="185"/>
      <c r="BQ517" s="185"/>
      <c r="BR517" s="185"/>
      <c r="BS517" s="185"/>
      <c r="BT517" s="185"/>
      <c r="BU517" s="185"/>
      <c r="BV517" s="185"/>
      <c r="BW517" s="185"/>
      <c r="BX517" s="185"/>
      <c r="BY517" s="185"/>
      <c r="BZ517" s="185"/>
      <c r="CA517" s="185"/>
      <c r="CB517" s="185"/>
      <c r="CC517" s="185"/>
      <c r="CD517" s="185"/>
      <c r="CE517" s="185"/>
      <c r="CF517" s="185"/>
      <c r="CG517" s="185"/>
      <c r="CH517" s="185"/>
      <c r="CI517" s="185"/>
      <c r="CJ517" s="185"/>
      <c r="CK517" s="193"/>
      <c r="CL517" s="193"/>
      <c r="CM517" s="22"/>
      <c r="CN517" s="185"/>
      <c r="CO517" s="185"/>
      <c r="CP517" s="185"/>
      <c r="CQ517" s="185"/>
      <c r="CR517" s="185"/>
      <c r="CS517" s="185"/>
      <c r="CT517" s="185"/>
      <c r="CU517" s="185"/>
      <c r="CV517" s="185"/>
      <c r="CW517" s="185"/>
      <c r="CX517" s="185"/>
      <c r="CY517" s="185"/>
      <c r="CZ517" s="185"/>
      <c r="DA517" s="185"/>
      <c r="DB517" s="185"/>
      <c r="DC517" s="185"/>
      <c r="DD517" s="185"/>
      <c r="DE517" s="185"/>
      <c r="DF517" s="185"/>
      <c r="DG517" s="185"/>
      <c r="DH517" s="185"/>
      <c r="DI517" s="185"/>
      <c r="DJ517" s="22"/>
      <c r="DK517" s="185"/>
      <c r="DL517" s="185"/>
      <c r="DM517" s="185"/>
      <c r="DN517" s="23"/>
      <c r="DO517" s="23"/>
      <c r="DP517" s="363"/>
      <c r="DQ517" s="193"/>
      <c r="DR517" s="57" t="str">
        <f t="shared" si="15"/>
        <v/>
      </c>
      <c r="DS517" s="193"/>
      <c r="DT517" s="185"/>
      <c r="DU517" s="1" t="s">
        <v>280</v>
      </c>
      <c r="DV517" s="203"/>
      <c r="DW517" s="185"/>
      <c r="DX517" s="185"/>
      <c r="DY517" s="23"/>
      <c r="DZ517" s="185"/>
      <c r="EA517" s="364"/>
      <c r="EB517" s="364"/>
      <c r="EC517" s="364"/>
      <c r="ED517" s="364"/>
      <c r="EE517" s="185"/>
      <c r="EF517" s="185"/>
      <c r="EG517" s="185"/>
      <c r="EH517" s="185"/>
      <c r="EI517" s="185"/>
      <c r="EJ517" s="185"/>
      <c r="EK517" s="185"/>
      <c r="EL517" s="185"/>
      <c r="EM517" s="185"/>
      <c r="EN517" s="185"/>
      <c r="EO517" s="185"/>
      <c r="EP517" s="185"/>
      <c r="EQ517" s="185"/>
      <c r="ER517" s="185"/>
      <c r="ES517" s="185"/>
    </row>
    <row r="518" spans="1:149" s="21" customFormat="1" ht="14.25" customHeight="1" x14ac:dyDescent="0.15">
      <c r="A518" s="185"/>
      <c r="B518" s="186"/>
      <c r="C518" s="40"/>
      <c r="D518" s="185"/>
      <c r="E518" s="185"/>
      <c r="F518" s="185"/>
      <c r="G518" s="185"/>
      <c r="H518" s="185"/>
      <c r="I518" s="185"/>
      <c r="J518" s="185"/>
      <c r="K518" s="185"/>
      <c r="L518" s="185"/>
      <c r="M518" s="185"/>
      <c r="N518" s="185"/>
      <c r="O518" s="185"/>
      <c r="P518" s="185"/>
      <c r="Q518" s="185"/>
      <c r="R518" s="185"/>
      <c r="S518" s="185"/>
      <c r="T518" s="185"/>
      <c r="U518" s="185"/>
      <c r="V518" s="185"/>
      <c r="W518" s="185"/>
      <c r="X518" s="185"/>
      <c r="Y518" s="185"/>
      <c r="Z518" s="185"/>
      <c r="AA518" s="185"/>
      <c r="AB518" s="192">
        <v>66010102</v>
      </c>
      <c r="AC518" s="192" t="s">
        <v>856</v>
      </c>
      <c r="AD518" s="185" t="s">
        <v>330</v>
      </c>
      <c r="AE518" s="185" t="s">
        <v>291</v>
      </c>
      <c r="AF518" s="185" t="s">
        <v>314</v>
      </c>
      <c r="AG518" s="185"/>
      <c r="AH518" s="185"/>
      <c r="AI518" s="185"/>
      <c r="AJ518" s="185"/>
      <c r="AK518" s="185"/>
      <c r="AL518" s="203"/>
      <c r="AM518" s="203"/>
      <c r="AN518" s="203"/>
      <c r="AO518" s="203"/>
      <c r="AP518" s="203"/>
      <c r="AQ518" s="203"/>
      <c r="AR518" s="203"/>
      <c r="AS518" s="185"/>
      <c r="AT518" s="185"/>
      <c r="AU518" s="203"/>
      <c r="AV518" s="203"/>
      <c r="AW518" s="203"/>
      <c r="AX518" s="203"/>
      <c r="AY518" s="203"/>
      <c r="AZ518" s="203"/>
      <c r="BA518" s="203" t="s">
        <v>331</v>
      </c>
      <c r="BB518" s="358">
        <v>0.23</v>
      </c>
      <c r="BC518" s="185"/>
      <c r="BD518" s="185"/>
      <c r="BE518" s="185"/>
      <c r="BF518" s="185"/>
      <c r="BG518" s="185"/>
      <c r="BH518" s="185"/>
      <c r="BI518" s="185"/>
      <c r="BJ518" s="185"/>
      <c r="BK518" s="185"/>
      <c r="BL518" s="185"/>
      <c r="BM518" s="185"/>
      <c r="BN518" s="185"/>
      <c r="BO518" s="185"/>
      <c r="BP518" s="185"/>
      <c r="BQ518" s="185"/>
      <c r="BR518" s="185"/>
      <c r="BS518" s="185"/>
      <c r="BT518" s="185"/>
      <c r="BU518" s="185"/>
      <c r="BV518" s="185"/>
      <c r="BW518" s="185"/>
      <c r="BX518" s="185"/>
      <c r="BY518" s="185"/>
      <c r="BZ518" s="185"/>
      <c r="CA518" s="185"/>
      <c r="CB518" s="185"/>
      <c r="CC518" s="185"/>
      <c r="CD518" s="185"/>
      <c r="CE518" s="185"/>
      <c r="CF518" s="185"/>
      <c r="CG518" s="185"/>
      <c r="CH518" s="185"/>
      <c r="CI518" s="185"/>
      <c r="CJ518" s="185"/>
      <c r="CK518" s="185"/>
      <c r="CL518" s="185"/>
      <c r="CM518" s="185"/>
      <c r="CN518" s="185"/>
      <c r="CO518" s="185"/>
      <c r="CP518" s="185"/>
      <c r="CQ518" s="185"/>
      <c r="CR518" s="185"/>
      <c r="CS518" s="185"/>
      <c r="CT518" s="185"/>
      <c r="CU518" s="185"/>
      <c r="CV518" s="185"/>
      <c r="CW518" s="185"/>
      <c r="CX518" s="361"/>
      <c r="CY518" s="185"/>
      <c r="CZ518" s="185"/>
      <c r="DA518" s="185"/>
      <c r="DB518" s="185"/>
      <c r="DC518" s="185"/>
      <c r="DD518" s="185"/>
      <c r="DE518" s="185"/>
      <c r="DF518" s="185"/>
      <c r="DG518" s="185"/>
      <c r="DH518" s="185"/>
      <c r="DI518" s="361"/>
      <c r="DJ518" s="22" t="b">
        <v>1</v>
      </c>
      <c r="DK518" s="185"/>
      <c r="DL518" s="185"/>
      <c r="DM518" s="185"/>
      <c r="DN518" s="185"/>
      <c r="DO518" s="185"/>
      <c r="DP518" s="363"/>
      <c r="DQ518" s="193"/>
      <c r="DR518" s="57" t="str">
        <f t="shared" si="15"/>
        <v/>
      </c>
      <c r="DS518" s="193"/>
      <c r="DT518" s="185"/>
      <c r="DU518" s="1" t="s">
        <v>280</v>
      </c>
      <c r="DV518" s="203"/>
      <c r="DW518" s="185"/>
      <c r="DX518" s="185"/>
      <c r="DY518" s="203"/>
      <c r="DZ518" s="175"/>
      <c r="EA518" s="176"/>
      <c r="EB518" s="176"/>
      <c r="EC518" s="176"/>
      <c r="ED518" s="176"/>
      <c r="EE518" s="185"/>
      <c r="EF518" s="185"/>
      <c r="EG518" s="185"/>
      <c r="EH518" s="185"/>
      <c r="EI518" s="185"/>
      <c r="EJ518" s="185"/>
      <c r="EK518" s="185"/>
      <c r="EL518" s="185"/>
      <c r="EM518" s="185"/>
      <c r="EN518" s="185"/>
      <c r="EO518" s="185"/>
      <c r="EP518" s="185"/>
      <c r="EQ518" s="185"/>
      <c r="ER518" s="185"/>
      <c r="ES518" s="185"/>
    </row>
    <row r="519" spans="1:149" s="21" customFormat="1" ht="14.25" customHeight="1" x14ac:dyDescent="0.15">
      <c r="A519" s="185"/>
      <c r="B519" s="186"/>
      <c r="C519" s="40"/>
      <c r="D519" s="185"/>
      <c r="E519" s="185"/>
      <c r="F519" s="185"/>
      <c r="G519" s="185"/>
      <c r="H519" s="185"/>
      <c r="I519" s="185"/>
      <c r="J519" s="185"/>
      <c r="K519" s="185"/>
      <c r="L519" s="185"/>
      <c r="M519" s="185"/>
      <c r="N519" s="185"/>
      <c r="O519" s="185"/>
      <c r="P519" s="185"/>
      <c r="Q519" s="185"/>
      <c r="R519" s="185"/>
      <c r="S519" s="185"/>
      <c r="T519" s="185"/>
      <c r="U519" s="185"/>
      <c r="V519" s="185"/>
      <c r="W519" s="185"/>
      <c r="X519" s="185"/>
      <c r="Y519" s="185"/>
      <c r="Z519" s="185"/>
      <c r="AA519" s="185"/>
      <c r="AB519" s="192">
        <v>66010103</v>
      </c>
      <c r="AC519" s="192" t="s">
        <v>857</v>
      </c>
      <c r="AD519" s="185" t="s">
        <v>333</v>
      </c>
      <c r="AE519" s="185" t="s">
        <v>291</v>
      </c>
      <c r="AF519" s="185" t="s">
        <v>314</v>
      </c>
      <c r="AG519" s="185"/>
      <c r="AH519" s="185"/>
      <c r="AI519" s="185"/>
      <c r="AJ519" s="185">
        <v>-1</v>
      </c>
      <c r="AK519" s="185"/>
      <c r="AL519" s="203"/>
      <c r="AM519" s="356"/>
      <c r="AN519" s="356"/>
      <c r="AO519" s="356"/>
      <c r="AP519" s="356"/>
      <c r="AQ519" s="356"/>
      <c r="AR519" s="356"/>
      <c r="AS519" s="185"/>
      <c r="AT519" s="185"/>
      <c r="AU519" s="203"/>
      <c r="AV519" s="203"/>
      <c r="AW519" s="203"/>
      <c r="AX519" s="203"/>
      <c r="AY519" s="203"/>
      <c r="AZ519" s="203"/>
      <c r="BA519" s="203"/>
      <c r="BB519" s="357"/>
      <c r="BC519" s="185"/>
      <c r="BD519" s="185"/>
      <c r="BE519" s="185"/>
      <c r="BF519" s="185"/>
      <c r="BG519" s="185"/>
      <c r="BH519" s="185"/>
      <c r="BI519" s="185"/>
      <c r="BJ519" s="185"/>
      <c r="BK519" s="185"/>
      <c r="BL519" s="185"/>
      <c r="BM519" s="185"/>
      <c r="BN519" s="185"/>
      <c r="BO519" s="185"/>
      <c r="BP519" s="185"/>
      <c r="BQ519" s="185"/>
      <c r="BR519" s="185"/>
      <c r="BS519" s="185"/>
      <c r="BT519" s="185"/>
      <c r="BU519" s="185"/>
      <c r="BV519" s="185"/>
      <c r="BW519" s="185"/>
      <c r="BX519" s="185"/>
      <c r="BY519" s="185"/>
      <c r="BZ519" s="185"/>
      <c r="CA519" s="185"/>
      <c r="CB519" s="185"/>
      <c r="CC519" s="185"/>
      <c r="CD519" s="185"/>
      <c r="CE519" s="185"/>
      <c r="CF519" s="185"/>
      <c r="CG519" s="185"/>
      <c r="CH519" s="185"/>
      <c r="CI519" s="185"/>
      <c r="CJ519" s="185"/>
      <c r="CK519" s="185"/>
      <c r="CL519" s="185"/>
      <c r="CM519" s="185"/>
      <c r="CN519" s="185"/>
      <c r="CO519" s="185"/>
      <c r="CP519" s="185"/>
      <c r="CQ519" s="185"/>
      <c r="CR519" s="185"/>
      <c r="CS519" s="185"/>
      <c r="CT519" s="185"/>
      <c r="CU519" s="185"/>
      <c r="CV519" s="185"/>
      <c r="CW519" s="185"/>
      <c r="CX519" s="185"/>
      <c r="CY519" s="185"/>
      <c r="CZ519" s="185"/>
      <c r="DA519" s="185"/>
      <c r="DB519" s="185"/>
      <c r="DC519" s="185"/>
      <c r="DD519" s="185"/>
      <c r="DE519" s="185"/>
      <c r="DF519" s="185"/>
      <c r="DG519" s="185"/>
      <c r="DH519" s="185"/>
      <c r="DI519" s="185"/>
      <c r="DJ519" s="22" t="b">
        <v>1</v>
      </c>
      <c r="DK519" s="185"/>
      <c r="DL519" s="185"/>
      <c r="DM519" s="185"/>
      <c r="DN519" s="185"/>
      <c r="DO519" s="185"/>
      <c r="DP519" s="363"/>
      <c r="DQ519" s="193"/>
      <c r="DR519" s="57" t="str">
        <f t="shared" si="15"/>
        <v/>
      </c>
      <c r="DS519" s="193"/>
      <c r="DT519" s="185"/>
      <c r="DU519" s="1" t="s">
        <v>280</v>
      </c>
      <c r="DV519" s="203"/>
      <c r="DW519" s="185"/>
      <c r="DX519" s="185"/>
      <c r="DY519" s="203"/>
      <c r="DZ519" s="185"/>
      <c r="EA519" s="185"/>
      <c r="EB519" s="185"/>
      <c r="EC519" s="185"/>
      <c r="ED519" s="185"/>
      <c r="EE519" s="185"/>
      <c r="EF519" s="185"/>
      <c r="EG519" s="185"/>
      <c r="EH519" s="185"/>
      <c r="EI519" s="185"/>
      <c r="EJ519" s="185"/>
      <c r="EK519" s="185"/>
      <c r="EL519" s="185"/>
      <c r="EM519" s="185"/>
      <c r="EN519" s="185"/>
      <c r="EO519" s="185"/>
      <c r="EP519" s="185"/>
      <c r="EQ519" s="185"/>
      <c r="ER519" s="185"/>
      <c r="ES519" s="185"/>
    </row>
    <row r="520" spans="1:149" s="21" customFormat="1" ht="14.25" customHeight="1" x14ac:dyDescent="0.15">
      <c r="A520" s="185"/>
      <c r="B520" s="186"/>
      <c r="C520" s="40"/>
      <c r="D520" s="185"/>
      <c r="E520" s="185"/>
      <c r="F520" s="185"/>
      <c r="G520" s="185"/>
      <c r="H520" s="185"/>
      <c r="I520" s="185"/>
      <c r="J520" s="185"/>
      <c r="K520" s="185"/>
      <c r="L520" s="185"/>
      <c r="M520" s="185"/>
      <c r="N520" s="185"/>
      <c r="O520" s="185"/>
      <c r="P520" s="185"/>
      <c r="Q520" s="185"/>
      <c r="R520" s="185"/>
      <c r="S520" s="185"/>
      <c r="T520" s="185"/>
      <c r="U520" s="185"/>
      <c r="V520" s="185"/>
      <c r="W520" s="185"/>
      <c r="X520" s="185"/>
      <c r="Y520" s="185"/>
      <c r="Z520" s="185"/>
      <c r="AA520" s="185"/>
      <c r="AB520" s="192"/>
      <c r="AC520" s="192"/>
      <c r="AD520" s="185"/>
      <c r="AE520" s="185"/>
      <c r="AF520" s="185"/>
      <c r="AG520" s="185"/>
      <c r="AH520" s="185"/>
      <c r="AI520" s="185"/>
      <c r="AJ520" s="185"/>
      <c r="AK520" s="185"/>
      <c r="AL520" s="203"/>
      <c r="AM520" s="356"/>
      <c r="AN520" s="356"/>
      <c r="AO520" s="356"/>
      <c r="AP520" s="356"/>
      <c r="AQ520" s="356"/>
      <c r="AR520" s="356"/>
      <c r="AS520" s="185"/>
      <c r="AT520" s="185"/>
      <c r="AU520" s="203"/>
      <c r="AV520" s="203"/>
      <c r="AW520" s="203"/>
      <c r="AX520" s="203"/>
      <c r="AY520" s="203"/>
      <c r="AZ520" s="203"/>
      <c r="BA520" s="203"/>
      <c r="BB520" s="357"/>
      <c r="BC520" s="185"/>
      <c r="BD520" s="185"/>
      <c r="BE520" s="185"/>
      <c r="BF520" s="185"/>
      <c r="BG520" s="185"/>
      <c r="BH520" s="185"/>
      <c r="BI520" s="185"/>
      <c r="BJ520" s="185"/>
      <c r="BK520" s="185"/>
      <c r="BL520" s="185"/>
      <c r="BM520" s="185"/>
      <c r="BN520" s="185"/>
      <c r="BO520" s="185"/>
      <c r="BP520" s="185"/>
      <c r="BQ520" s="185"/>
      <c r="BR520" s="185"/>
      <c r="BS520" s="185"/>
      <c r="BT520" s="185"/>
      <c r="BU520" s="185"/>
      <c r="BV520" s="185"/>
      <c r="BW520" s="185"/>
      <c r="BX520" s="185"/>
      <c r="BY520" s="185"/>
      <c r="BZ520" s="185"/>
      <c r="CA520" s="185"/>
      <c r="CB520" s="185"/>
      <c r="CC520" s="185"/>
      <c r="CD520" s="185"/>
      <c r="CE520" s="185"/>
      <c r="CF520" s="185"/>
      <c r="CG520" s="185"/>
      <c r="CH520" s="185"/>
      <c r="CI520" s="185"/>
      <c r="CJ520" s="185"/>
      <c r="CK520" s="185"/>
      <c r="CL520" s="185"/>
      <c r="CM520" s="185"/>
      <c r="CN520" s="185"/>
      <c r="CO520" s="185"/>
      <c r="CP520" s="185"/>
      <c r="CQ520" s="185"/>
      <c r="CR520" s="185"/>
      <c r="CS520" s="185"/>
      <c r="CT520" s="185"/>
      <c r="CU520" s="185"/>
      <c r="CV520" s="185"/>
      <c r="CW520" s="185"/>
      <c r="CX520" s="185"/>
      <c r="CY520" s="185"/>
      <c r="CZ520" s="185"/>
      <c r="DA520" s="185"/>
      <c r="DB520" s="185"/>
      <c r="DC520" s="185"/>
      <c r="DD520" s="185"/>
      <c r="DE520" s="185"/>
      <c r="DF520" s="185"/>
      <c r="DG520" s="185"/>
      <c r="DH520" s="185"/>
      <c r="DI520" s="185"/>
      <c r="DJ520" s="22"/>
      <c r="DK520" s="185"/>
      <c r="DL520" s="185"/>
      <c r="DM520" s="185"/>
      <c r="DN520" s="185"/>
      <c r="DO520" s="185"/>
      <c r="DP520" s="363"/>
      <c r="DQ520" s="193"/>
      <c r="DR520" s="57" t="str">
        <f t="shared" ref="DR520:DR583" si="16">IF(DZ520="","",IF(DZ520=1,EG520,IF(DZ520=2,EJ520,IF(DZ520=3,EM520,IF(DZ520=4,EP520,IF(DZ520=0,DS520,"【参数配置有误】"&amp;DS520))))))</f>
        <v/>
      </c>
      <c r="DS520" s="193"/>
      <c r="DT520" s="185"/>
      <c r="DU520" s="1" t="s">
        <v>280</v>
      </c>
      <c r="DV520" s="203"/>
      <c r="DW520" s="185"/>
      <c r="DX520" s="185"/>
      <c r="DY520" s="203"/>
      <c r="DZ520" s="185"/>
      <c r="EA520" s="185"/>
      <c r="EB520" s="185"/>
      <c r="EC520" s="185"/>
      <c r="ED520" s="185"/>
      <c r="EE520" s="185"/>
      <c r="EF520" s="185"/>
      <c r="EG520" s="185"/>
      <c r="EH520" s="185"/>
      <c r="EI520" s="185"/>
      <c r="EJ520" s="185"/>
      <c r="EK520" s="185"/>
      <c r="EL520" s="185"/>
      <c r="EM520" s="185"/>
      <c r="EN520" s="185"/>
      <c r="EO520" s="185"/>
      <c r="EP520" s="185"/>
      <c r="EQ520" s="185"/>
      <c r="ER520" s="185"/>
      <c r="ES520" s="185"/>
    </row>
    <row r="521" spans="1:149" s="21" customFormat="1" ht="14.25" customHeight="1" x14ac:dyDescent="0.15">
      <c r="A521" s="185"/>
      <c r="B521" s="186"/>
      <c r="C521" s="40"/>
      <c r="D521" s="185"/>
      <c r="E521" s="185"/>
      <c r="F521" s="185"/>
      <c r="G521" s="185"/>
      <c r="H521" s="185"/>
      <c r="I521" s="185"/>
      <c r="J521" s="185"/>
      <c r="K521" s="185"/>
      <c r="L521" s="185"/>
      <c r="M521" s="185"/>
      <c r="N521" s="185"/>
      <c r="O521" s="185"/>
      <c r="P521" s="185"/>
      <c r="Q521" s="185"/>
      <c r="R521" s="185"/>
      <c r="S521" s="185"/>
      <c r="T521" s="185"/>
      <c r="U521" s="185"/>
      <c r="V521" s="185"/>
      <c r="W521" s="185"/>
      <c r="X521" s="185"/>
      <c r="Y521" s="185"/>
      <c r="Z521" s="185"/>
      <c r="AA521" s="185"/>
      <c r="AB521" s="192"/>
      <c r="AC521" s="192"/>
      <c r="AD521" s="185"/>
      <c r="AE521" s="185"/>
      <c r="AF521" s="185"/>
      <c r="AG521" s="185"/>
      <c r="AH521" s="185"/>
      <c r="AI521" s="185"/>
      <c r="AJ521" s="185"/>
      <c r="AK521" s="185"/>
      <c r="AL521" s="203"/>
      <c r="AM521" s="356"/>
      <c r="AN521" s="356"/>
      <c r="AO521" s="356"/>
      <c r="AP521" s="356"/>
      <c r="AQ521" s="356"/>
      <c r="AR521" s="356"/>
      <c r="AS521" s="185"/>
      <c r="AT521" s="185"/>
      <c r="AU521" s="203"/>
      <c r="AV521" s="203"/>
      <c r="AW521" s="203"/>
      <c r="AX521" s="203"/>
      <c r="AY521" s="203"/>
      <c r="AZ521" s="203"/>
      <c r="BA521" s="203"/>
      <c r="BB521" s="357"/>
      <c r="BC521" s="185"/>
      <c r="BD521" s="185"/>
      <c r="BE521" s="185"/>
      <c r="BF521" s="185"/>
      <c r="BG521" s="185"/>
      <c r="BH521" s="185"/>
      <c r="BI521" s="185"/>
      <c r="BJ521" s="185"/>
      <c r="BK521" s="185"/>
      <c r="BL521" s="185"/>
      <c r="BM521" s="185"/>
      <c r="BN521" s="185"/>
      <c r="BO521" s="185"/>
      <c r="BP521" s="185"/>
      <c r="BQ521" s="185"/>
      <c r="BR521" s="185"/>
      <c r="BS521" s="185"/>
      <c r="BT521" s="185"/>
      <c r="BU521" s="185"/>
      <c r="BV521" s="185"/>
      <c r="BW521" s="185"/>
      <c r="BX521" s="185"/>
      <c r="BY521" s="185"/>
      <c r="BZ521" s="185"/>
      <c r="CA521" s="185"/>
      <c r="CB521" s="185"/>
      <c r="CC521" s="185"/>
      <c r="CD521" s="185"/>
      <c r="CE521" s="185"/>
      <c r="CF521" s="185"/>
      <c r="CG521" s="185"/>
      <c r="CH521" s="185"/>
      <c r="CI521" s="185"/>
      <c r="CJ521" s="185"/>
      <c r="CK521" s="185"/>
      <c r="CL521" s="185"/>
      <c r="CM521" s="185"/>
      <c r="CN521" s="185"/>
      <c r="CO521" s="185"/>
      <c r="CP521" s="185"/>
      <c r="CQ521" s="185"/>
      <c r="CR521" s="185"/>
      <c r="CS521" s="185"/>
      <c r="CT521" s="185"/>
      <c r="CU521" s="185"/>
      <c r="CV521" s="185"/>
      <c r="CW521" s="185"/>
      <c r="CX521" s="185"/>
      <c r="CY521" s="185"/>
      <c r="CZ521" s="185"/>
      <c r="DA521" s="185"/>
      <c r="DB521" s="185"/>
      <c r="DC521" s="185"/>
      <c r="DD521" s="185"/>
      <c r="DE521" s="185"/>
      <c r="DF521" s="185"/>
      <c r="DG521" s="185"/>
      <c r="DH521" s="185"/>
      <c r="DI521" s="185"/>
      <c r="DJ521" s="22"/>
      <c r="DK521" s="185"/>
      <c r="DL521" s="185"/>
      <c r="DM521" s="185"/>
      <c r="DN521" s="185"/>
      <c r="DO521" s="185"/>
      <c r="DP521" s="363"/>
      <c r="DQ521" s="193"/>
      <c r="DR521" s="57" t="str">
        <f t="shared" si="16"/>
        <v/>
      </c>
      <c r="DS521" s="193"/>
      <c r="DT521" s="185"/>
      <c r="DU521" s="1" t="s">
        <v>280</v>
      </c>
      <c r="DV521" s="203"/>
      <c r="DW521" s="185"/>
      <c r="DX521" s="185"/>
      <c r="DY521" s="203"/>
      <c r="DZ521" s="185"/>
      <c r="EA521" s="185"/>
      <c r="EB521" s="185"/>
      <c r="EC521" s="185"/>
      <c r="ED521" s="185"/>
      <c r="EE521" s="185"/>
      <c r="EF521" s="185"/>
      <c r="EG521" s="185"/>
      <c r="EH521" s="185"/>
      <c r="EI521" s="185"/>
      <c r="EJ521" s="185"/>
      <c r="EK521" s="185"/>
      <c r="EL521" s="185"/>
      <c r="EM521" s="185"/>
      <c r="EN521" s="185"/>
      <c r="EO521" s="185"/>
      <c r="EP521" s="185"/>
      <c r="EQ521" s="185"/>
      <c r="ER521" s="185"/>
      <c r="ES521" s="185"/>
    </row>
    <row r="522" spans="1:149" s="21" customFormat="1" ht="14.25" customHeight="1" x14ac:dyDescent="0.15">
      <c r="A522" s="185"/>
      <c r="B522" s="186"/>
      <c r="C522" s="40"/>
      <c r="D522" s="185"/>
      <c r="E522" s="185"/>
      <c r="F522" s="185"/>
      <c r="G522" s="185"/>
      <c r="H522" s="185"/>
      <c r="I522" s="185"/>
      <c r="J522" s="185"/>
      <c r="K522" s="185"/>
      <c r="L522" s="185"/>
      <c r="M522" s="185"/>
      <c r="N522" s="185"/>
      <c r="O522" s="185"/>
      <c r="P522" s="185"/>
      <c r="Q522" s="185"/>
      <c r="R522" s="185"/>
      <c r="S522" s="185"/>
      <c r="T522" s="185"/>
      <c r="U522" s="185"/>
      <c r="V522" s="185"/>
      <c r="W522" s="185"/>
      <c r="X522" s="185"/>
      <c r="Y522" s="185"/>
      <c r="Z522" s="185"/>
      <c r="AA522" s="185"/>
      <c r="AB522" s="192"/>
      <c r="AC522" s="192"/>
      <c r="AD522" s="185"/>
      <c r="AE522" s="185"/>
      <c r="AF522" s="185"/>
      <c r="AG522" s="185"/>
      <c r="AH522" s="185"/>
      <c r="AI522" s="185"/>
      <c r="AJ522" s="185"/>
      <c r="AK522" s="185"/>
      <c r="AL522" s="203"/>
      <c r="AM522" s="356"/>
      <c r="AN522" s="356"/>
      <c r="AO522" s="356"/>
      <c r="AP522" s="356"/>
      <c r="AQ522" s="356"/>
      <c r="AR522" s="356"/>
      <c r="AS522" s="185"/>
      <c r="AT522" s="185"/>
      <c r="AU522" s="203"/>
      <c r="AV522" s="203"/>
      <c r="AW522" s="203"/>
      <c r="AX522" s="203"/>
      <c r="AY522" s="203"/>
      <c r="AZ522" s="203"/>
      <c r="BA522" s="203"/>
      <c r="BB522" s="357"/>
      <c r="BC522" s="185"/>
      <c r="BD522" s="185"/>
      <c r="BE522" s="185"/>
      <c r="BF522" s="185"/>
      <c r="BG522" s="185"/>
      <c r="BH522" s="185"/>
      <c r="BI522" s="185"/>
      <c r="BJ522" s="185"/>
      <c r="BK522" s="185"/>
      <c r="BL522" s="185"/>
      <c r="BM522" s="185"/>
      <c r="BN522" s="185"/>
      <c r="BO522" s="185"/>
      <c r="BP522" s="185"/>
      <c r="BQ522" s="185"/>
      <c r="BR522" s="185"/>
      <c r="BS522" s="185"/>
      <c r="BT522" s="185"/>
      <c r="BU522" s="185"/>
      <c r="BV522" s="185"/>
      <c r="BW522" s="185"/>
      <c r="BX522" s="185"/>
      <c r="BY522" s="185"/>
      <c r="BZ522" s="185"/>
      <c r="CA522" s="185"/>
      <c r="CB522" s="185"/>
      <c r="CC522" s="185"/>
      <c r="CD522" s="185"/>
      <c r="CE522" s="185"/>
      <c r="CF522" s="185"/>
      <c r="CG522" s="185"/>
      <c r="CH522" s="185"/>
      <c r="CI522" s="185"/>
      <c r="CJ522" s="185"/>
      <c r="CK522" s="185"/>
      <c r="CL522" s="185"/>
      <c r="CM522" s="185"/>
      <c r="CN522" s="185"/>
      <c r="CO522" s="185"/>
      <c r="CP522" s="185"/>
      <c r="CQ522" s="185"/>
      <c r="CR522" s="185"/>
      <c r="CS522" s="185"/>
      <c r="CT522" s="185"/>
      <c r="CU522" s="185"/>
      <c r="CV522" s="185"/>
      <c r="CW522" s="185"/>
      <c r="CX522" s="185"/>
      <c r="CY522" s="185"/>
      <c r="CZ522" s="185"/>
      <c r="DA522" s="185"/>
      <c r="DB522" s="185"/>
      <c r="DC522" s="185"/>
      <c r="DD522" s="185"/>
      <c r="DE522" s="185"/>
      <c r="DF522" s="185"/>
      <c r="DG522" s="185"/>
      <c r="DH522" s="185"/>
      <c r="DI522" s="185"/>
      <c r="DJ522" s="22"/>
      <c r="DK522" s="185"/>
      <c r="DL522" s="185"/>
      <c r="DM522" s="185"/>
      <c r="DN522" s="185"/>
      <c r="DO522" s="185"/>
      <c r="DP522" s="363"/>
      <c r="DQ522" s="193"/>
      <c r="DR522" s="57" t="str">
        <f t="shared" si="16"/>
        <v/>
      </c>
      <c r="DS522" s="193"/>
      <c r="DT522" s="185"/>
      <c r="DU522" s="1" t="s">
        <v>280</v>
      </c>
      <c r="DV522" s="203"/>
      <c r="DW522" s="185"/>
      <c r="DX522" s="185"/>
      <c r="DY522" s="203"/>
      <c r="DZ522" s="185"/>
      <c r="EA522" s="185"/>
      <c r="EB522" s="185"/>
      <c r="EC522" s="185"/>
      <c r="ED522" s="185"/>
      <c r="EE522" s="185"/>
      <c r="EF522" s="185"/>
      <c r="EG522" s="185"/>
      <c r="EH522" s="185"/>
      <c r="EI522" s="185"/>
      <c r="EJ522" s="185"/>
      <c r="EK522" s="185"/>
      <c r="EL522" s="185"/>
      <c r="EM522" s="185"/>
      <c r="EN522" s="185"/>
      <c r="EO522" s="185"/>
      <c r="EP522" s="185"/>
      <c r="EQ522" s="185"/>
      <c r="ER522" s="185"/>
      <c r="ES522" s="185"/>
    </row>
    <row r="523" spans="1:149" s="21" customFormat="1" ht="14.25" customHeight="1" x14ac:dyDescent="0.15">
      <c r="A523" s="185"/>
      <c r="B523" s="186"/>
      <c r="C523" s="40"/>
      <c r="D523" s="185"/>
      <c r="E523" s="185"/>
      <c r="F523" s="185"/>
      <c r="G523" s="185"/>
      <c r="H523" s="185"/>
      <c r="I523" s="185"/>
      <c r="J523" s="185"/>
      <c r="K523" s="185"/>
      <c r="L523" s="185"/>
      <c r="M523" s="185"/>
      <c r="N523" s="185"/>
      <c r="O523" s="185"/>
      <c r="P523" s="185"/>
      <c r="Q523" s="185"/>
      <c r="R523" s="185"/>
      <c r="S523" s="185"/>
      <c r="T523" s="185"/>
      <c r="U523" s="185"/>
      <c r="V523" s="185"/>
      <c r="W523" s="185"/>
      <c r="X523" s="185"/>
      <c r="Y523" s="185"/>
      <c r="Z523" s="185"/>
      <c r="AA523" s="185"/>
      <c r="AB523" s="192"/>
      <c r="AC523" s="192"/>
      <c r="AD523" s="185"/>
      <c r="AE523" s="185"/>
      <c r="AF523" s="185"/>
      <c r="AG523" s="185"/>
      <c r="AH523" s="185"/>
      <c r="AI523" s="185"/>
      <c r="AJ523" s="185"/>
      <c r="AK523" s="185"/>
      <c r="AL523" s="203"/>
      <c r="AM523" s="356"/>
      <c r="AN523" s="356"/>
      <c r="AO523" s="356"/>
      <c r="AP523" s="356"/>
      <c r="AQ523" s="356"/>
      <c r="AR523" s="356"/>
      <c r="AS523" s="185"/>
      <c r="AT523" s="185"/>
      <c r="AU523" s="203"/>
      <c r="AV523" s="203"/>
      <c r="AW523" s="203"/>
      <c r="AX523" s="203"/>
      <c r="AY523" s="203"/>
      <c r="AZ523" s="203"/>
      <c r="BA523" s="203"/>
      <c r="BB523" s="357"/>
      <c r="BC523" s="185"/>
      <c r="BD523" s="185"/>
      <c r="BE523" s="185"/>
      <c r="BF523" s="185"/>
      <c r="BG523" s="185"/>
      <c r="BH523" s="185"/>
      <c r="BI523" s="185"/>
      <c r="BJ523" s="185"/>
      <c r="BK523" s="185"/>
      <c r="BL523" s="185"/>
      <c r="BM523" s="185"/>
      <c r="BN523" s="185"/>
      <c r="BO523" s="185"/>
      <c r="BP523" s="185"/>
      <c r="BQ523" s="185"/>
      <c r="BR523" s="185"/>
      <c r="BS523" s="185"/>
      <c r="BT523" s="185"/>
      <c r="BU523" s="185"/>
      <c r="BV523" s="185"/>
      <c r="BW523" s="185"/>
      <c r="BX523" s="185"/>
      <c r="BY523" s="185"/>
      <c r="BZ523" s="185"/>
      <c r="CA523" s="185"/>
      <c r="CB523" s="185"/>
      <c r="CC523" s="185"/>
      <c r="CD523" s="185"/>
      <c r="CE523" s="185"/>
      <c r="CF523" s="185"/>
      <c r="CG523" s="185"/>
      <c r="CH523" s="185"/>
      <c r="CI523" s="185"/>
      <c r="CJ523" s="185"/>
      <c r="CK523" s="185"/>
      <c r="CL523" s="185"/>
      <c r="CM523" s="185"/>
      <c r="CN523" s="185"/>
      <c r="CO523" s="185"/>
      <c r="CP523" s="185"/>
      <c r="CQ523" s="185"/>
      <c r="CR523" s="185"/>
      <c r="CS523" s="185"/>
      <c r="CT523" s="185"/>
      <c r="CU523" s="185"/>
      <c r="CV523" s="185"/>
      <c r="CW523" s="185"/>
      <c r="CX523" s="185"/>
      <c r="CY523" s="185"/>
      <c r="CZ523" s="185"/>
      <c r="DA523" s="185"/>
      <c r="DB523" s="185"/>
      <c r="DC523" s="185"/>
      <c r="DD523" s="185"/>
      <c r="DE523" s="185"/>
      <c r="DF523" s="185"/>
      <c r="DG523" s="185"/>
      <c r="DH523" s="185"/>
      <c r="DI523" s="185"/>
      <c r="DJ523" s="22"/>
      <c r="DK523" s="185"/>
      <c r="DL523" s="185"/>
      <c r="DM523" s="185"/>
      <c r="DN523" s="185"/>
      <c r="DO523" s="185"/>
      <c r="DP523" s="363"/>
      <c r="DQ523" s="193"/>
      <c r="DR523" s="57" t="str">
        <f t="shared" si="16"/>
        <v/>
      </c>
      <c r="DS523" s="193"/>
      <c r="DT523" s="185"/>
      <c r="DU523" s="1" t="s">
        <v>280</v>
      </c>
      <c r="DV523" s="203"/>
      <c r="DW523" s="185"/>
      <c r="DX523" s="185"/>
      <c r="DY523" s="203"/>
      <c r="DZ523" s="185"/>
      <c r="EA523" s="185"/>
      <c r="EB523" s="185"/>
      <c r="EC523" s="185"/>
      <c r="ED523" s="185"/>
      <c r="EE523" s="185"/>
      <c r="EF523" s="185"/>
      <c r="EG523" s="185"/>
      <c r="EH523" s="185"/>
      <c r="EI523" s="185"/>
      <c r="EJ523" s="185"/>
      <c r="EK523" s="185"/>
      <c r="EL523" s="185"/>
      <c r="EM523" s="185"/>
      <c r="EN523" s="185"/>
      <c r="EO523" s="185"/>
      <c r="EP523" s="185"/>
      <c r="EQ523" s="185"/>
      <c r="ER523" s="185"/>
      <c r="ES523" s="185"/>
    </row>
    <row r="524" spans="1:149" s="21" customFormat="1" ht="14.25" customHeight="1" x14ac:dyDescent="0.15">
      <c r="A524" s="185"/>
      <c r="B524" s="186"/>
      <c r="C524" s="40"/>
      <c r="D524" s="185"/>
      <c r="E524" s="185"/>
      <c r="F524" s="185"/>
      <c r="G524" s="185"/>
      <c r="H524" s="185"/>
      <c r="I524" s="185"/>
      <c r="J524" s="185"/>
      <c r="K524" s="185"/>
      <c r="L524" s="185"/>
      <c r="M524" s="185"/>
      <c r="N524" s="185"/>
      <c r="O524" s="185"/>
      <c r="P524" s="185"/>
      <c r="Q524" s="185"/>
      <c r="R524" s="185"/>
      <c r="S524" s="185"/>
      <c r="T524" s="185"/>
      <c r="U524" s="185"/>
      <c r="V524" s="185"/>
      <c r="W524" s="185"/>
      <c r="X524" s="185"/>
      <c r="Y524" s="185"/>
      <c r="Z524" s="185"/>
      <c r="AA524" s="185"/>
      <c r="AB524" s="192"/>
      <c r="AC524" s="192"/>
      <c r="AD524" s="185"/>
      <c r="AE524" s="185"/>
      <c r="AF524" s="185"/>
      <c r="AG524" s="185"/>
      <c r="AH524" s="185"/>
      <c r="AI524" s="185"/>
      <c r="AJ524" s="185"/>
      <c r="AK524" s="185"/>
      <c r="AL524" s="203"/>
      <c r="AM524" s="356"/>
      <c r="AN524" s="356"/>
      <c r="AO524" s="356"/>
      <c r="AP524" s="356"/>
      <c r="AQ524" s="356"/>
      <c r="AR524" s="356"/>
      <c r="AS524" s="185"/>
      <c r="AT524" s="185"/>
      <c r="AU524" s="203"/>
      <c r="AV524" s="203"/>
      <c r="AW524" s="203"/>
      <c r="AX524" s="203"/>
      <c r="AY524" s="203"/>
      <c r="AZ524" s="203"/>
      <c r="BA524" s="203"/>
      <c r="BB524" s="357"/>
      <c r="BC524" s="185"/>
      <c r="BD524" s="185"/>
      <c r="BE524" s="185"/>
      <c r="BF524" s="185"/>
      <c r="BG524" s="185"/>
      <c r="BH524" s="185"/>
      <c r="BI524" s="185"/>
      <c r="BJ524" s="185"/>
      <c r="BK524" s="185"/>
      <c r="BL524" s="185"/>
      <c r="BM524" s="185"/>
      <c r="BN524" s="185"/>
      <c r="BO524" s="185"/>
      <c r="BP524" s="185"/>
      <c r="BQ524" s="185"/>
      <c r="BR524" s="185"/>
      <c r="BS524" s="185"/>
      <c r="BT524" s="185"/>
      <c r="BU524" s="185"/>
      <c r="BV524" s="185"/>
      <c r="BW524" s="185"/>
      <c r="BX524" s="185"/>
      <c r="BY524" s="185"/>
      <c r="BZ524" s="185"/>
      <c r="CA524" s="185"/>
      <c r="CB524" s="185"/>
      <c r="CC524" s="185"/>
      <c r="CD524" s="185"/>
      <c r="CE524" s="185"/>
      <c r="CF524" s="185"/>
      <c r="CG524" s="185"/>
      <c r="CH524" s="185"/>
      <c r="CI524" s="185"/>
      <c r="CJ524" s="185"/>
      <c r="CK524" s="185"/>
      <c r="CL524" s="185"/>
      <c r="CM524" s="185"/>
      <c r="CN524" s="185"/>
      <c r="CO524" s="185"/>
      <c r="CP524" s="185"/>
      <c r="CQ524" s="185"/>
      <c r="CR524" s="185"/>
      <c r="CS524" s="185"/>
      <c r="CT524" s="185"/>
      <c r="CU524" s="185"/>
      <c r="CV524" s="185"/>
      <c r="CW524" s="185"/>
      <c r="CX524" s="185"/>
      <c r="CY524" s="185"/>
      <c r="CZ524" s="185"/>
      <c r="DA524" s="185"/>
      <c r="DB524" s="185"/>
      <c r="DC524" s="185"/>
      <c r="DD524" s="185"/>
      <c r="DE524" s="185"/>
      <c r="DF524" s="185"/>
      <c r="DG524" s="185"/>
      <c r="DH524" s="185"/>
      <c r="DI524" s="185"/>
      <c r="DJ524" s="22"/>
      <c r="DK524" s="185"/>
      <c r="DL524" s="185"/>
      <c r="DM524" s="185"/>
      <c r="DN524" s="185"/>
      <c r="DO524" s="185"/>
      <c r="DP524" s="363"/>
      <c r="DQ524" s="193"/>
      <c r="DR524" s="57" t="str">
        <f t="shared" si="16"/>
        <v/>
      </c>
      <c r="DS524" s="193"/>
      <c r="DT524" s="185"/>
      <c r="DU524" s="1" t="s">
        <v>280</v>
      </c>
      <c r="DV524" s="203"/>
      <c r="DW524" s="185"/>
      <c r="DX524" s="185"/>
      <c r="DY524" s="203"/>
      <c r="DZ524" s="185"/>
      <c r="EA524" s="185"/>
      <c r="EB524" s="185"/>
      <c r="EC524" s="185"/>
      <c r="ED524" s="185"/>
      <c r="EE524" s="185"/>
      <c r="EF524" s="185"/>
      <c r="EG524" s="185"/>
      <c r="EH524" s="185"/>
      <c r="EI524" s="185"/>
      <c r="EJ524" s="185"/>
      <c r="EK524" s="185"/>
      <c r="EL524" s="185"/>
      <c r="EM524" s="185"/>
      <c r="EN524" s="185"/>
      <c r="EO524" s="185"/>
      <c r="EP524" s="185"/>
      <c r="EQ524" s="185"/>
      <c r="ER524" s="185"/>
      <c r="ES524" s="185"/>
    </row>
    <row r="525" spans="1:149" s="8" customFormat="1" ht="14.25" customHeight="1" x14ac:dyDescent="0.15">
      <c r="A525" s="16"/>
      <c r="B525" s="125"/>
      <c r="C525" s="40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40"/>
      <c r="AC525" s="141"/>
      <c r="AD525" s="16"/>
      <c r="AE525" s="16"/>
      <c r="AF525" s="16"/>
      <c r="AG525" s="16"/>
      <c r="AH525" s="16"/>
      <c r="AI525" s="16"/>
      <c r="AJ525" s="141"/>
      <c r="AK525" s="141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41"/>
      <c r="BB525" s="367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"/>
      <c r="DK525" s="16"/>
      <c r="DL525" s="16"/>
      <c r="DM525" s="16"/>
      <c r="DN525" s="16"/>
      <c r="DO525" s="16"/>
      <c r="DP525" s="96"/>
      <c r="DQ525" s="16"/>
      <c r="DR525" s="57" t="str">
        <f t="shared" si="16"/>
        <v/>
      </c>
      <c r="DS525" s="16"/>
      <c r="DT525" s="16"/>
      <c r="DU525" s="1" t="s">
        <v>280</v>
      </c>
      <c r="DV525" s="148"/>
      <c r="DW525" s="16"/>
      <c r="DX525" s="16"/>
      <c r="DY525" s="148"/>
      <c r="DZ525" s="16"/>
      <c r="EA525" s="148"/>
      <c r="EB525" s="148"/>
      <c r="EC525" s="148"/>
      <c r="ED525" s="148"/>
      <c r="EE525" s="16"/>
      <c r="EF525" s="16"/>
      <c r="EG525" s="16"/>
      <c r="EH525" s="16"/>
      <c r="EI525" s="16"/>
      <c r="EJ525" s="16"/>
      <c r="EK525" s="16"/>
      <c r="EL525" s="16"/>
      <c r="EM525" s="16"/>
      <c r="EN525" s="16"/>
      <c r="EO525" s="16"/>
      <c r="EP525" s="16"/>
      <c r="EQ525" s="16"/>
      <c r="ER525" s="16"/>
      <c r="ES525" s="16"/>
    </row>
    <row r="526" spans="1:149" s="23" customFormat="1" x14ac:dyDescent="0.15">
      <c r="A526" s="23">
        <v>660100</v>
      </c>
      <c r="B526" s="378" t="s">
        <v>954</v>
      </c>
      <c r="C526" s="40" t="s">
        <v>955</v>
      </c>
      <c r="D526" s="23" t="s">
        <v>956</v>
      </c>
      <c r="E526" s="23">
        <v>660100</v>
      </c>
      <c r="H526" s="379">
        <v>1</v>
      </c>
      <c r="L526" s="23">
        <v>0</v>
      </c>
      <c r="Q526" s="23" t="s">
        <v>431</v>
      </c>
      <c r="W526" s="23" t="b">
        <v>1</v>
      </c>
      <c r="X526" s="23">
        <v>1</v>
      </c>
      <c r="Y526" s="23">
        <v>0</v>
      </c>
      <c r="Z526" s="23">
        <v>0</v>
      </c>
      <c r="AB526" s="353">
        <v>66030001</v>
      </c>
      <c r="AC526" s="17" t="s">
        <v>815</v>
      </c>
      <c r="AD526" s="17"/>
      <c r="AE526" s="380" t="s">
        <v>291</v>
      </c>
      <c r="AF526" s="22" t="s">
        <v>437</v>
      </c>
      <c r="AG526" s="380"/>
      <c r="AH526" s="380"/>
      <c r="AI526" s="380"/>
      <c r="AJ526" s="380">
        <v>-1</v>
      </c>
      <c r="AK526" s="380"/>
      <c r="AL526" s="382"/>
      <c r="AM526" s="382"/>
      <c r="AN526" s="382"/>
      <c r="AO526" s="382"/>
      <c r="AP526" s="382"/>
      <c r="AQ526" s="382"/>
      <c r="AR526" s="382"/>
      <c r="AU526" s="382"/>
      <c r="AV526" s="382"/>
      <c r="AW526" s="382"/>
      <c r="AX526" s="382"/>
      <c r="AY526" s="382"/>
      <c r="AZ526" s="382"/>
      <c r="BA526" s="383"/>
      <c r="BB526" s="384"/>
      <c r="BC526" s="384"/>
      <c r="BD526" s="384"/>
      <c r="BE526" s="384"/>
      <c r="BF526" s="384"/>
      <c r="BG526" s="384"/>
      <c r="BH526" s="384"/>
      <c r="BI526" s="384"/>
      <c r="BJ526" s="385"/>
      <c r="BK526" s="385"/>
      <c r="BL526" s="385"/>
      <c r="BM526" s="385"/>
      <c r="BN526" s="385"/>
      <c r="BO526" s="385"/>
      <c r="BP526" s="385"/>
      <c r="BQ526" s="385"/>
      <c r="BR526" s="385"/>
      <c r="BS526" s="385"/>
      <c r="BT526" s="385"/>
      <c r="BU526" s="385"/>
      <c r="BV526" s="385"/>
      <c r="BW526" s="385"/>
      <c r="BX526" s="385"/>
      <c r="BY526" s="385"/>
      <c r="BZ526" s="385"/>
      <c r="CA526" s="385"/>
      <c r="CB526" s="385"/>
      <c r="CC526" s="385"/>
      <c r="CD526" s="385"/>
      <c r="CE526" s="385"/>
      <c r="CX526" s="387" t="s">
        <v>273</v>
      </c>
      <c r="DD526" s="362" t="s">
        <v>274</v>
      </c>
      <c r="DE526" s="23" t="s">
        <v>957</v>
      </c>
      <c r="DJ526" s="22" t="b">
        <v>1</v>
      </c>
      <c r="DK526" s="388" t="s">
        <v>958</v>
      </c>
      <c r="DL526" s="388"/>
      <c r="DM526" s="388"/>
      <c r="DN526" s="388"/>
      <c r="DO526" s="388"/>
      <c r="DP526" s="389"/>
      <c r="DQ526" s="388" t="s">
        <v>958</v>
      </c>
      <c r="DR526" s="57" t="str">
        <f t="shared" si="16"/>
        <v/>
      </c>
      <c r="DS526" s="388" t="s">
        <v>959</v>
      </c>
      <c r="DU526" s="1" t="s">
        <v>280</v>
      </c>
      <c r="DV526" s="390"/>
      <c r="EA526" s="390"/>
      <c r="EB526" s="390"/>
      <c r="EC526" s="390"/>
      <c r="ED526" s="390"/>
    </row>
    <row r="527" spans="1:149" s="23" customFormat="1" ht="49.5" customHeight="1" x14ac:dyDescent="0.15">
      <c r="B527" s="378"/>
      <c r="C527" s="40"/>
      <c r="AB527" s="353">
        <v>66030002</v>
      </c>
      <c r="AC527" s="17" t="s">
        <v>819</v>
      </c>
      <c r="AD527" s="380" t="s">
        <v>330</v>
      </c>
      <c r="AE527" s="380" t="s">
        <v>820</v>
      </c>
      <c r="AF527" s="380" t="s">
        <v>314</v>
      </c>
      <c r="AG527" s="380"/>
      <c r="AH527" s="380"/>
      <c r="AI527" s="380"/>
      <c r="AJ527" s="380"/>
      <c r="AK527" s="380"/>
      <c r="AL527" s="382"/>
      <c r="AM527" s="382"/>
      <c r="AN527" s="382"/>
      <c r="AO527" s="382"/>
      <c r="AP527" s="382"/>
      <c r="AQ527" s="382"/>
      <c r="AR527" s="382"/>
      <c r="AU527" s="382"/>
      <c r="AV527" s="382"/>
      <c r="AW527" s="382"/>
      <c r="AX527" s="382"/>
      <c r="AY527" s="382"/>
      <c r="AZ527" s="382"/>
      <c r="BA527" s="383"/>
      <c r="BB527" s="384"/>
      <c r="BC527" s="384"/>
      <c r="BD527" s="384"/>
      <c r="BE527" s="384"/>
      <c r="BF527" s="384"/>
      <c r="BG527" s="384"/>
      <c r="BH527" s="384"/>
      <c r="BI527" s="384"/>
      <c r="BJ527" s="385"/>
      <c r="BK527" s="385"/>
      <c r="BL527" s="385"/>
      <c r="BM527" s="385"/>
      <c r="BN527" s="385"/>
      <c r="BO527" s="385"/>
      <c r="BP527" s="385"/>
      <c r="BQ527" s="385"/>
      <c r="BR527" s="385"/>
      <c r="BS527" s="385"/>
      <c r="BT527" s="385"/>
      <c r="BU527" s="385"/>
      <c r="BV527" s="385"/>
      <c r="BW527" s="385"/>
      <c r="BX527" s="385"/>
      <c r="BY527" s="385"/>
      <c r="BZ527" s="385"/>
      <c r="CA527" s="385"/>
      <c r="CB527" s="23" t="s">
        <v>1</v>
      </c>
      <c r="CC527" s="386" t="s">
        <v>464</v>
      </c>
      <c r="CD527" s="386">
        <v>999</v>
      </c>
      <c r="CE527" s="386" t="s">
        <v>675</v>
      </c>
      <c r="DJ527" s="22" t="b">
        <v>1</v>
      </c>
      <c r="DK527" s="388"/>
      <c r="DL527" s="388"/>
      <c r="DM527" s="388"/>
      <c r="DN527" s="388"/>
      <c r="DO527" s="388"/>
      <c r="DP527" s="389"/>
      <c r="DQ527" s="388"/>
      <c r="DR527" s="57" t="str">
        <f t="shared" si="16"/>
        <v/>
      </c>
      <c r="DS527" s="388"/>
      <c r="DU527" s="1" t="s">
        <v>280</v>
      </c>
      <c r="DV527" s="390"/>
      <c r="EA527" s="390"/>
      <c r="EB527" s="390"/>
      <c r="EC527" s="390"/>
      <c r="ED527" s="390"/>
    </row>
    <row r="528" spans="1:149" s="23" customFormat="1" x14ac:dyDescent="0.15">
      <c r="B528" s="378"/>
      <c r="C528" s="40"/>
      <c r="AB528" s="353">
        <v>66030003</v>
      </c>
      <c r="AC528" s="381" t="s">
        <v>960</v>
      </c>
      <c r="AD528" s="380" t="s">
        <v>330</v>
      </c>
      <c r="AE528" s="380" t="s">
        <v>811</v>
      </c>
      <c r="AF528" s="380" t="s">
        <v>314</v>
      </c>
      <c r="AG528" s="380"/>
      <c r="AH528" s="380"/>
      <c r="AI528" s="380"/>
      <c r="AJ528" s="380">
        <v>2</v>
      </c>
      <c r="AK528" s="380"/>
      <c r="AL528" s="382"/>
      <c r="AM528" s="382"/>
      <c r="AN528" s="382"/>
      <c r="AO528" s="382"/>
      <c r="AP528" s="382"/>
      <c r="AQ528" s="382"/>
      <c r="AR528" s="382"/>
      <c r="AU528" s="382"/>
      <c r="AV528" s="382"/>
      <c r="AW528" s="382"/>
      <c r="AX528" s="382"/>
      <c r="AY528" s="382"/>
      <c r="AZ528" s="382"/>
      <c r="BA528" s="383" t="s">
        <v>270</v>
      </c>
      <c r="BB528" s="384">
        <v>0.15</v>
      </c>
      <c r="BC528" s="384"/>
      <c r="BD528" s="384"/>
      <c r="BE528" s="384"/>
      <c r="BF528" s="384"/>
      <c r="BG528" s="384"/>
      <c r="BH528" s="384"/>
      <c r="BI528" s="384"/>
      <c r="BJ528" s="385"/>
      <c r="BK528" s="385"/>
      <c r="BL528" s="385"/>
      <c r="BM528" s="385"/>
      <c r="BN528" s="385"/>
      <c r="BO528" s="385"/>
      <c r="BP528" s="385"/>
      <c r="BQ528" s="385"/>
      <c r="BR528" s="385"/>
      <c r="BS528" s="385"/>
      <c r="BT528" s="385"/>
      <c r="BU528" s="385"/>
      <c r="BV528" s="385"/>
      <c r="BW528" s="385"/>
      <c r="BX528" s="385"/>
      <c r="BY528" s="385"/>
      <c r="BZ528" s="385"/>
      <c r="CA528" s="385"/>
      <c r="CB528" s="385"/>
      <c r="CC528" s="385"/>
      <c r="CD528" s="385"/>
      <c r="CE528" s="385"/>
      <c r="DJ528" s="22" t="b">
        <v>1</v>
      </c>
      <c r="DK528" s="388"/>
      <c r="DL528" s="388"/>
      <c r="DM528" s="388"/>
      <c r="DN528" s="388"/>
      <c r="DO528" s="388"/>
      <c r="DP528" s="389"/>
      <c r="DQ528" s="388"/>
      <c r="DR528" s="57" t="str">
        <f t="shared" si="16"/>
        <v/>
      </c>
      <c r="DS528" s="388"/>
      <c r="DU528" s="1" t="s">
        <v>280</v>
      </c>
      <c r="DV528" s="390"/>
      <c r="EA528" s="390"/>
      <c r="EB528" s="390"/>
      <c r="EC528" s="390"/>
      <c r="ED528" s="390"/>
    </row>
    <row r="529" spans="1:134" s="23" customFormat="1" x14ac:dyDescent="0.15">
      <c r="A529" s="23">
        <v>660110</v>
      </c>
      <c r="B529" s="378" t="s">
        <v>954</v>
      </c>
      <c r="C529" s="40" t="s">
        <v>955</v>
      </c>
      <c r="D529" s="23" t="s">
        <v>961</v>
      </c>
      <c r="E529" s="23">
        <v>660100</v>
      </c>
      <c r="H529" s="379">
        <v>1</v>
      </c>
      <c r="L529" s="23">
        <v>0</v>
      </c>
      <c r="Q529" s="23" t="s">
        <v>431</v>
      </c>
      <c r="W529" s="23" t="b">
        <v>1</v>
      </c>
      <c r="X529" s="23">
        <v>1</v>
      </c>
      <c r="Y529" s="23">
        <v>0</v>
      </c>
      <c r="Z529" s="23">
        <v>0</v>
      </c>
      <c r="AB529" s="353">
        <v>66010001</v>
      </c>
      <c r="AC529" s="17" t="s">
        <v>815</v>
      </c>
      <c r="AD529" s="17"/>
      <c r="AE529" s="380" t="s">
        <v>291</v>
      </c>
      <c r="AF529" s="22" t="s">
        <v>437</v>
      </c>
      <c r="AG529" s="380"/>
      <c r="AH529" s="380"/>
      <c r="AI529" s="380"/>
      <c r="AJ529" s="380">
        <v>-1</v>
      </c>
      <c r="AK529" s="380"/>
      <c r="AL529" s="382"/>
      <c r="AM529" s="382"/>
      <c r="AN529" s="382"/>
      <c r="AO529" s="382"/>
      <c r="AP529" s="382"/>
      <c r="AQ529" s="382"/>
      <c r="AR529" s="382"/>
      <c r="AU529" s="382"/>
      <c r="AV529" s="382"/>
      <c r="AW529" s="382"/>
      <c r="AX529" s="382"/>
      <c r="AY529" s="382"/>
      <c r="AZ529" s="382"/>
      <c r="BA529" s="383"/>
      <c r="BB529" s="384"/>
      <c r="BC529" s="384"/>
      <c r="BD529" s="384"/>
      <c r="BE529" s="384"/>
      <c r="BF529" s="384"/>
      <c r="BG529" s="384"/>
      <c r="BH529" s="384"/>
      <c r="BI529" s="384"/>
      <c r="BJ529" s="385"/>
      <c r="BK529" s="385"/>
      <c r="BL529" s="385"/>
      <c r="BM529" s="385"/>
      <c r="BN529" s="385"/>
      <c r="BO529" s="385"/>
      <c r="BP529" s="385"/>
      <c r="BQ529" s="385"/>
      <c r="BR529" s="385"/>
      <c r="BS529" s="385"/>
      <c r="BT529" s="385"/>
      <c r="BU529" s="385"/>
      <c r="BV529" s="385"/>
      <c r="BW529" s="385"/>
      <c r="BX529" s="385"/>
      <c r="BY529" s="385"/>
      <c r="BZ529" s="385"/>
      <c r="CA529" s="385"/>
      <c r="CB529" s="385"/>
      <c r="CC529" s="385"/>
      <c r="CD529" s="385"/>
      <c r="CE529" s="385"/>
      <c r="CX529" s="387" t="s">
        <v>273</v>
      </c>
      <c r="DD529" s="362" t="s">
        <v>274</v>
      </c>
      <c r="DE529" s="23" t="s">
        <v>962</v>
      </c>
      <c r="DJ529" s="22" t="b">
        <v>1</v>
      </c>
      <c r="DK529" s="388" t="s">
        <v>963</v>
      </c>
      <c r="DL529" s="388"/>
      <c r="DM529" s="388"/>
      <c r="DN529" s="388"/>
      <c r="DO529" s="388"/>
      <c r="DP529" s="389"/>
      <c r="DQ529" s="388" t="s">
        <v>963</v>
      </c>
      <c r="DR529" s="57" t="str">
        <f t="shared" si="16"/>
        <v/>
      </c>
      <c r="DS529" s="388" t="s">
        <v>964</v>
      </c>
      <c r="DU529" s="1" t="s">
        <v>280</v>
      </c>
      <c r="DV529" s="390"/>
      <c r="EA529" s="390"/>
      <c r="EB529" s="390"/>
      <c r="EC529" s="390"/>
      <c r="ED529" s="390"/>
    </row>
    <row r="530" spans="1:134" s="23" customFormat="1" ht="49.5" customHeight="1" x14ac:dyDescent="0.15">
      <c r="B530" s="378"/>
      <c r="C530" s="40"/>
      <c r="AB530" s="353">
        <v>66010002</v>
      </c>
      <c r="AC530" s="17" t="s">
        <v>819</v>
      </c>
      <c r="AD530" s="380" t="s">
        <v>330</v>
      </c>
      <c r="AE530" s="380" t="s">
        <v>820</v>
      </c>
      <c r="AF530" s="380" t="s">
        <v>314</v>
      </c>
      <c r="AG530" s="380"/>
      <c r="AH530" s="380"/>
      <c r="AI530" s="380"/>
      <c r="AJ530" s="380"/>
      <c r="AK530" s="380"/>
      <c r="AL530" s="382"/>
      <c r="AM530" s="382"/>
      <c r="AN530" s="382"/>
      <c r="AO530" s="382"/>
      <c r="AP530" s="382"/>
      <c r="AQ530" s="382"/>
      <c r="AR530" s="382"/>
      <c r="AU530" s="382"/>
      <c r="AV530" s="382"/>
      <c r="AW530" s="382"/>
      <c r="AX530" s="382"/>
      <c r="AY530" s="382"/>
      <c r="AZ530" s="382"/>
      <c r="BA530" s="383"/>
      <c r="BB530" s="384"/>
      <c r="BC530" s="384"/>
      <c r="BD530" s="384"/>
      <c r="BE530" s="384"/>
      <c r="BF530" s="384"/>
      <c r="BG530" s="384"/>
      <c r="BH530" s="384"/>
      <c r="BI530" s="384"/>
      <c r="BJ530" s="385"/>
      <c r="BK530" s="385"/>
      <c r="BL530" s="385"/>
      <c r="BM530" s="385"/>
      <c r="BN530" s="385"/>
      <c r="BO530" s="385"/>
      <c r="BP530" s="385"/>
      <c r="BQ530" s="385"/>
      <c r="BR530" s="385"/>
      <c r="BS530" s="385"/>
      <c r="BT530" s="385"/>
      <c r="BU530" s="385"/>
      <c r="BV530" s="385"/>
      <c r="BW530" s="385"/>
      <c r="BX530" s="385"/>
      <c r="BY530" s="385"/>
      <c r="BZ530" s="385"/>
      <c r="CA530" s="385"/>
      <c r="CB530" s="23" t="s">
        <v>1</v>
      </c>
      <c r="CC530" s="386" t="s">
        <v>464</v>
      </c>
      <c r="CD530" s="386">
        <v>999</v>
      </c>
      <c r="CE530" s="386" t="s">
        <v>675</v>
      </c>
      <c r="DJ530" s="22" t="b">
        <v>1</v>
      </c>
      <c r="DK530" s="388"/>
      <c r="DL530" s="388"/>
      <c r="DM530" s="388"/>
      <c r="DN530" s="388"/>
      <c r="DO530" s="388"/>
      <c r="DP530" s="389"/>
      <c r="DQ530" s="388"/>
      <c r="DR530" s="57" t="str">
        <f t="shared" si="16"/>
        <v/>
      </c>
      <c r="DS530" s="388"/>
      <c r="DU530" s="1" t="s">
        <v>280</v>
      </c>
      <c r="DV530" s="390"/>
      <c r="EA530" s="390"/>
      <c r="EB530" s="390"/>
      <c r="EC530" s="390"/>
      <c r="ED530" s="390"/>
    </row>
    <row r="531" spans="1:134" s="23" customFormat="1" x14ac:dyDescent="0.15">
      <c r="B531" s="378"/>
      <c r="C531" s="40"/>
      <c r="AB531" s="353">
        <v>66010003</v>
      </c>
      <c r="AC531" s="381" t="s">
        <v>965</v>
      </c>
      <c r="AD531" s="380" t="s">
        <v>330</v>
      </c>
      <c r="AE531" s="380" t="s">
        <v>811</v>
      </c>
      <c r="AF531" s="380" t="s">
        <v>314</v>
      </c>
      <c r="AG531" s="380"/>
      <c r="AH531" s="380"/>
      <c r="AI531" s="380"/>
      <c r="AJ531" s="380">
        <v>2</v>
      </c>
      <c r="AK531" s="380"/>
      <c r="AL531" s="382"/>
      <c r="AM531" s="382"/>
      <c r="AN531" s="382"/>
      <c r="AO531" s="382"/>
      <c r="AP531" s="382"/>
      <c r="AQ531" s="382"/>
      <c r="AR531" s="382"/>
      <c r="AU531" s="382"/>
      <c r="AV531" s="382"/>
      <c r="AW531" s="382"/>
      <c r="AX531" s="382"/>
      <c r="AY531" s="382"/>
      <c r="AZ531" s="382"/>
      <c r="BA531" s="383" t="s">
        <v>270</v>
      </c>
      <c r="BB531" s="384">
        <v>0.15</v>
      </c>
      <c r="BC531" s="384"/>
      <c r="BD531" s="384"/>
      <c r="BE531" s="384"/>
      <c r="BF531" s="384"/>
      <c r="BG531" s="384"/>
      <c r="BH531" s="384"/>
      <c r="BI531" s="384"/>
      <c r="BJ531" s="385"/>
      <c r="BK531" s="385"/>
      <c r="BL531" s="385"/>
      <c r="BM531" s="385"/>
      <c r="BN531" s="385"/>
      <c r="BO531" s="385"/>
      <c r="BP531" s="385"/>
      <c r="BQ531" s="385"/>
      <c r="BR531" s="385"/>
      <c r="BS531" s="385"/>
      <c r="BT531" s="385"/>
      <c r="BU531" s="385"/>
      <c r="BV531" s="385"/>
      <c r="BW531" s="385"/>
      <c r="BX531" s="385"/>
      <c r="BY531" s="385"/>
      <c r="BZ531" s="385"/>
      <c r="CA531" s="385"/>
      <c r="CB531" s="385"/>
      <c r="CC531" s="385"/>
      <c r="CD531" s="385"/>
      <c r="CE531" s="385"/>
      <c r="DJ531" s="22" t="b">
        <v>1</v>
      </c>
      <c r="DK531" s="388"/>
      <c r="DL531" s="388"/>
      <c r="DM531" s="388"/>
      <c r="DN531" s="388"/>
      <c r="DO531" s="388"/>
      <c r="DP531" s="389"/>
      <c r="DQ531" s="388"/>
      <c r="DR531" s="57" t="str">
        <f t="shared" si="16"/>
        <v/>
      </c>
      <c r="DS531" s="388"/>
      <c r="DU531" s="1" t="s">
        <v>280</v>
      </c>
      <c r="DV531" s="390"/>
      <c r="EA531" s="390"/>
      <c r="EB531" s="390"/>
      <c r="EC531" s="390"/>
      <c r="ED531" s="390"/>
    </row>
    <row r="532" spans="1:134" s="23" customFormat="1" x14ac:dyDescent="0.15">
      <c r="A532" s="23">
        <v>660120</v>
      </c>
      <c r="B532" s="378" t="s">
        <v>954</v>
      </c>
      <c r="C532" s="40" t="s">
        <v>955</v>
      </c>
      <c r="D532" s="23" t="s">
        <v>966</v>
      </c>
      <c r="E532" s="23">
        <v>660100</v>
      </c>
      <c r="H532" s="379">
        <v>1</v>
      </c>
      <c r="L532" s="23">
        <v>0</v>
      </c>
      <c r="Q532" s="23" t="s">
        <v>431</v>
      </c>
      <c r="W532" s="23" t="b">
        <v>1</v>
      </c>
      <c r="X532" s="23">
        <v>1</v>
      </c>
      <c r="Y532" s="23">
        <v>0</v>
      </c>
      <c r="Z532" s="23">
        <v>0</v>
      </c>
      <c r="AB532" s="353">
        <v>66110001</v>
      </c>
      <c r="AC532" s="17" t="s">
        <v>815</v>
      </c>
      <c r="AD532" s="17"/>
      <c r="AE532" s="380" t="s">
        <v>291</v>
      </c>
      <c r="AF532" s="22" t="s">
        <v>437</v>
      </c>
      <c r="AG532" s="380"/>
      <c r="AH532" s="380"/>
      <c r="AI532" s="380"/>
      <c r="AJ532" s="380">
        <v>-1</v>
      </c>
      <c r="AK532" s="380"/>
      <c r="AL532" s="382"/>
      <c r="AM532" s="382"/>
      <c r="AN532" s="382"/>
      <c r="AO532" s="382"/>
      <c r="AP532" s="382"/>
      <c r="AQ532" s="382"/>
      <c r="AR532" s="382"/>
      <c r="AU532" s="382"/>
      <c r="AV532" s="382"/>
      <c r="AW532" s="382"/>
      <c r="AX532" s="382"/>
      <c r="AY532" s="382"/>
      <c r="AZ532" s="382"/>
      <c r="BA532" s="383"/>
      <c r="BB532" s="384"/>
      <c r="BC532" s="384"/>
      <c r="BD532" s="384"/>
      <c r="BE532" s="384"/>
      <c r="BF532" s="384"/>
      <c r="BG532" s="384"/>
      <c r="BH532" s="384"/>
      <c r="BI532" s="384"/>
      <c r="BJ532" s="385"/>
      <c r="BK532" s="385"/>
      <c r="BL532" s="385"/>
      <c r="BM532" s="385"/>
      <c r="BN532" s="385"/>
      <c r="BO532" s="385"/>
      <c r="BP532" s="385"/>
      <c r="BQ532" s="385"/>
      <c r="BR532" s="385"/>
      <c r="BS532" s="385"/>
      <c r="BT532" s="385"/>
      <c r="BU532" s="385"/>
      <c r="BV532" s="385"/>
      <c r="BW532" s="385"/>
      <c r="BX532" s="385"/>
      <c r="BY532" s="385"/>
      <c r="BZ532" s="385"/>
      <c r="CA532" s="385"/>
      <c r="CB532" s="385"/>
      <c r="CC532" s="385"/>
      <c r="CD532" s="385"/>
      <c r="CE532" s="385"/>
      <c r="CX532" s="387" t="s">
        <v>273</v>
      </c>
      <c r="DD532" s="362" t="s">
        <v>274</v>
      </c>
      <c r="DE532" s="23" t="s">
        <v>967</v>
      </c>
      <c r="DJ532" s="22" t="b">
        <v>1</v>
      </c>
      <c r="DK532" s="388" t="s">
        <v>968</v>
      </c>
      <c r="DL532" s="388"/>
      <c r="DM532" s="388"/>
      <c r="DN532" s="388"/>
      <c r="DO532" s="388"/>
      <c r="DP532" s="389"/>
      <c r="DQ532" s="388" t="s">
        <v>968</v>
      </c>
      <c r="DR532" s="57" t="str">
        <f t="shared" si="16"/>
        <v/>
      </c>
      <c r="DS532" s="388" t="s">
        <v>969</v>
      </c>
      <c r="DU532" s="1" t="s">
        <v>280</v>
      </c>
      <c r="DV532" s="390"/>
      <c r="EA532" s="390"/>
      <c r="EB532" s="390"/>
      <c r="EC532" s="390"/>
      <c r="ED532" s="390"/>
    </row>
    <row r="533" spans="1:134" s="23" customFormat="1" ht="49.5" customHeight="1" x14ac:dyDescent="0.15">
      <c r="B533" s="378"/>
      <c r="C533" s="40"/>
      <c r="AB533" s="353">
        <v>66110002</v>
      </c>
      <c r="AC533" s="17" t="s">
        <v>819</v>
      </c>
      <c r="AD533" s="380" t="s">
        <v>330</v>
      </c>
      <c r="AE533" s="380" t="s">
        <v>820</v>
      </c>
      <c r="AF533" s="380" t="s">
        <v>314</v>
      </c>
      <c r="AG533" s="380"/>
      <c r="AH533" s="380"/>
      <c r="AI533" s="380"/>
      <c r="AJ533" s="380"/>
      <c r="AK533" s="380"/>
      <c r="AL533" s="382"/>
      <c r="AM533" s="382"/>
      <c r="AN533" s="382"/>
      <c r="AO533" s="382"/>
      <c r="AP533" s="382"/>
      <c r="AQ533" s="382"/>
      <c r="AR533" s="382"/>
      <c r="AU533" s="382"/>
      <c r="AV533" s="382"/>
      <c r="AW533" s="382"/>
      <c r="AX533" s="382"/>
      <c r="AY533" s="382"/>
      <c r="AZ533" s="382"/>
      <c r="BA533" s="383"/>
      <c r="BB533" s="384"/>
      <c r="BC533" s="384"/>
      <c r="BD533" s="384"/>
      <c r="BE533" s="384"/>
      <c r="BF533" s="384"/>
      <c r="BG533" s="384"/>
      <c r="BH533" s="384"/>
      <c r="BI533" s="384"/>
      <c r="BJ533" s="385"/>
      <c r="BK533" s="385"/>
      <c r="BL533" s="385"/>
      <c r="BM533" s="385"/>
      <c r="BN533" s="385"/>
      <c r="BO533" s="385"/>
      <c r="BP533" s="385"/>
      <c r="BQ533" s="385"/>
      <c r="BR533" s="385"/>
      <c r="BS533" s="385"/>
      <c r="BT533" s="385"/>
      <c r="BU533" s="385"/>
      <c r="BV533" s="385"/>
      <c r="BW533" s="385"/>
      <c r="BX533" s="385"/>
      <c r="BY533" s="385"/>
      <c r="BZ533" s="385"/>
      <c r="CA533" s="385"/>
      <c r="CB533" s="23" t="s">
        <v>1</v>
      </c>
      <c r="CC533" s="386" t="s">
        <v>464</v>
      </c>
      <c r="CD533" s="386">
        <v>999</v>
      </c>
      <c r="CE533" s="386" t="s">
        <v>675</v>
      </c>
      <c r="DJ533" s="22" t="b">
        <v>1</v>
      </c>
      <c r="DK533" s="388"/>
      <c r="DL533" s="388"/>
      <c r="DM533" s="388"/>
      <c r="DN533" s="388"/>
      <c r="DO533" s="388"/>
      <c r="DP533" s="389"/>
      <c r="DQ533" s="388"/>
      <c r="DR533" s="57" t="str">
        <f t="shared" si="16"/>
        <v/>
      </c>
      <c r="DS533" s="388"/>
      <c r="DU533" s="1" t="s">
        <v>280</v>
      </c>
      <c r="DV533" s="390"/>
      <c r="EA533" s="390"/>
      <c r="EB533" s="390"/>
      <c r="EC533" s="390"/>
      <c r="ED533" s="390"/>
    </row>
    <row r="534" spans="1:134" s="23" customFormat="1" x14ac:dyDescent="0.15">
      <c r="B534" s="378"/>
      <c r="C534" s="40"/>
      <c r="AB534" s="353">
        <v>66110003</v>
      </c>
      <c r="AC534" s="381" t="s">
        <v>970</v>
      </c>
      <c r="AD534" s="380" t="s">
        <v>330</v>
      </c>
      <c r="AE534" s="380" t="s">
        <v>811</v>
      </c>
      <c r="AF534" s="380" t="s">
        <v>314</v>
      </c>
      <c r="AG534" s="380"/>
      <c r="AH534" s="380"/>
      <c r="AI534" s="380"/>
      <c r="AJ534" s="380">
        <v>2</v>
      </c>
      <c r="AK534" s="380"/>
      <c r="AL534" s="382"/>
      <c r="AM534" s="382"/>
      <c r="AN534" s="382"/>
      <c r="AO534" s="382"/>
      <c r="AP534" s="382"/>
      <c r="AQ534" s="382"/>
      <c r="AR534" s="382"/>
      <c r="AU534" s="382"/>
      <c r="AV534" s="382"/>
      <c r="AW534" s="382"/>
      <c r="AX534" s="382"/>
      <c r="AY534" s="382"/>
      <c r="AZ534" s="382"/>
      <c r="BA534" s="383" t="s">
        <v>270</v>
      </c>
      <c r="BB534" s="384">
        <v>0.15</v>
      </c>
      <c r="BC534" s="384"/>
      <c r="BD534" s="384"/>
      <c r="BE534" s="384"/>
      <c r="BF534" s="384"/>
      <c r="BG534" s="384"/>
      <c r="BH534" s="384"/>
      <c r="BI534" s="384"/>
      <c r="BJ534" s="385"/>
      <c r="BK534" s="385"/>
      <c r="BL534" s="385"/>
      <c r="BM534" s="385"/>
      <c r="BN534" s="385"/>
      <c r="BO534" s="385"/>
      <c r="BP534" s="385"/>
      <c r="BQ534" s="385"/>
      <c r="BR534" s="385"/>
      <c r="BS534" s="385"/>
      <c r="BT534" s="385"/>
      <c r="BU534" s="385"/>
      <c r="BV534" s="385"/>
      <c r="BW534" s="385"/>
      <c r="BX534" s="385"/>
      <c r="BY534" s="385"/>
      <c r="BZ534" s="385"/>
      <c r="CA534" s="385"/>
      <c r="CB534" s="385"/>
      <c r="CC534" s="385"/>
      <c r="CD534" s="385"/>
      <c r="CE534" s="385"/>
      <c r="DJ534" s="22" t="b">
        <v>1</v>
      </c>
      <c r="DK534" s="388"/>
      <c r="DL534" s="388"/>
      <c r="DM534" s="388"/>
      <c r="DN534" s="388"/>
      <c r="DO534" s="388"/>
      <c r="DP534" s="389"/>
      <c r="DQ534" s="388"/>
      <c r="DR534" s="57" t="str">
        <f t="shared" si="16"/>
        <v/>
      </c>
      <c r="DS534" s="388"/>
      <c r="DU534" s="1" t="s">
        <v>280</v>
      </c>
      <c r="DV534" s="390"/>
      <c r="EA534" s="390"/>
      <c r="EB534" s="390"/>
      <c r="EC534" s="390"/>
      <c r="ED534" s="390"/>
    </row>
    <row r="535" spans="1:134" s="23" customFormat="1" x14ac:dyDescent="0.15">
      <c r="A535" s="23">
        <v>660130</v>
      </c>
      <c r="B535" s="378" t="s">
        <v>954</v>
      </c>
      <c r="C535" s="40" t="s">
        <v>955</v>
      </c>
      <c r="D535" s="23" t="s">
        <v>971</v>
      </c>
      <c r="E535" s="23">
        <v>660100</v>
      </c>
      <c r="H535" s="379">
        <v>1</v>
      </c>
      <c r="L535" s="23">
        <v>0</v>
      </c>
      <c r="Q535" s="23" t="s">
        <v>431</v>
      </c>
      <c r="W535" s="23" t="b">
        <v>1</v>
      </c>
      <c r="X535" s="23">
        <v>1</v>
      </c>
      <c r="Y535" s="23">
        <v>0</v>
      </c>
      <c r="Z535" s="23">
        <v>0</v>
      </c>
      <c r="AB535" s="353">
        <v>66060001</v>
      </c>
      <c r="AC535" s="17" t="s">
        <v>815</v>
      </c>
      <c r="AD535" s="17"/>
      <c r="AE535" s="380" t="s">
        <v>291</v>
      </c>
      <c r="AF535" s="22" t="s">
        <v>437</v>
      </c>
      <c r="AG535" s="380"/>
      <c r="AH535" s="380"/>
      <c r="AI535" s="380"/>
      <c r="AJ535" s="380">
        <v>-1</v>
      </c>
      <c r="AK535" s="380"/>
      <c r="AL535" s="382"/>
      <c r="AM535" s="382"/>
      <c r="AN535" s="382"/>
      <c r="AO535" s="382"/>
      <c r="AP535" s="382"/>
      <c r="AQ535" s="382"/>
      <c r="AR535" s="382"/>
      <c r="AU535" s="382"/>
      <c r="AV535" s="382"/>
      <c r="AW535" s="382"/>
      <c r="AX535" s="382"/>
      <c r="AY535" s="382"/>
      <c r="AZ535" s="382"/>
      <c r="BA535" s="383"/>
      <c r="BB535" s="384"/>
      <c r="BC535" s="384"/>
      <c r="BD535" s="384"/>
      <c r="BE535" s="384"/>
      <c r="BF535" s="384"/>
      <c r="BG535" s="384"/>
      <c r="BH535" s="384"/>
      <c r="BI535" s="384"/>
      <c r="BJ535" s="385"/>
      <c r="BK535" s="385"/>
      <c r="BL535" s="385"/>
      <c r="BM535" s="385"/>
      <c r="BN535" s="385"/>
      <c r="BO535" s="385"/>
      <c r="BP535" s="385"/>
      <c r="BQ535" s="385"/>
      <c r="BR535" s="385"/>
      <c r="BS535" s="385"/>
      <c r="BT535" s="385"/>
      <c r="BU535" s="385"/>
      <c r="BV535" s="385"/>
      <c r="BW535" s="385"/>
      <c r="BX535" s="385"/>
      <c r="BY535" s="385"/>
      <c r="BZ535" s="385"/>
      <c r="CA535" s="385"/>
      <c r="CB535" s="385"/>
      <c r="CC535" s="385"/>
      <c r="CD535" s="385"/>
      <c r="CE535" s="385"/>
      <c r="CX535" s="387" t="s">
        <v>273</v>
      </c>
      <c r="DD535" s="362" t="s">
        <v>274</v>
      </c>
      <c r="DE535" s="23" t="s">
        <v>972</v>
      </c>
      <c r="DJ535" s="22" t="b">
        <v>1</v>
      </c>
      <c r="DK535" s="388" t="s">
        <v>973</v>
      </c>
      <c r="DL535" s="388"/>
      <c r="DM535" s="388"/>
      <c r="DN535" s="388"/>
      <c r="DO535" s="388"/>
      <c r="DP535" s="389"/>
      <c r="DQ535" s="388" t="s">
        <v>973</v>
      </c>
      <c r="DR535" s="57" t="str">
        <f t="shared" si="16"/>
        <v/>
      </c>
      <c r="DS535" s="388" t="s">
        <v>974</v>
      </c>
      <c r="DU535" s="1" t="s">
        <v>280</v>
      </c>
      <c r="DV535" s="390"/>
      <c r="EA535" s="390"/>
      <c r="EB535" s="390"/>
      <c r="EC535" s="390"/>
      <c r="ED535" s="390"/>
    </row>
    <row r="536" spans="1:134" s="23" customFormat="1" ht="49.5" customHeight="1" x14ac:dyDescent="0.15">
      <c r="B536" s="378"/>
      <c r="C536" s="40"/>
      <c r="AB536" s="353">
        <v>66060002</v>
      </c>
      <c r="AC536" s="17" t="s">
        <v>819</v>
      </c>
      <c r="AD536" s="380" t="s">
        <v>330</v>
      </c>
      <c r="AE536" s="380" t="s">
        <v>820</v>
      </c>
      <c r="AF536" s="380" t="s">
        <v>314</v>
      </c>
      <c r="AG536" s="380"/>
      <c r="AH536" s="380"/>
      <c r="AI536" s="380"/>
      <c r="AJ536" s="380"/>
      <c r="AK536" s="380"/>
      <c r="AL536" s="382"/>
      <c r="AM536" s="382"/>
      <c r="AN536" s="382"/>
      <c r="AO536" s="382"/>
      <c r="AP536" s="382"/>
      <c r="AQ536" s="382"/>
      <c r="AR536" s="382"/>
      <c r="AU536" s="382"/>
      <c r="AV536" s="382"/>
      <c r="AW536" s="382"/>
      <c r="AX536" s="382"/>
      <c r="AY536" s="382"/>
      <c r="AZ536" s="382"/>
      <c r="BA536" s="383"/>
      <c r="BB536" s="384"/>
      <c r="BC536" s="384"/>
      <c r="BD536" s="384"/>
      <c r="BE536" s="384"/>
      <c r="BF536" s="384"/>
      <c r="BG536" s="384"/>
      <c r="BH536" s="384"/>
      <c r="BI536" s="384"/>
      <c r="BJ536" s="385"/>
      <c r="BK536" s="385"/>
      <c r="BL536" s="385"/>
      <c r="BM536" s="385"/>
      <c r="BN536" s="385"/>
      <c r="BO536" s="385"/>
      <c r="BP536" s="385"/>
      <c r="BQ536" s="385"/>
      <c r="BR536" s="385"/>
      <c r="BS536" s="385"/>
      <c r="BT536" s="385"/>
      <c r="BU536" s="385"/>
      <c r="BV536" s="385"/>
      <c r="BW536" s="385"/>
      <c r="BX536" s="385"/>
      <c r="BY536" s="385"/>
      <c r="BZ536" s="385"/>
      <c r="CA536" s="385"/>
      <c r="CB536" s="23" t="s">
        <v>1</v>
      </c>
      <c r="CC536" s="386" t="s">
        <v>464</v>
      </c>
      <c r="CD536" s="386">
        <v>999</v>
      </c>
      <c r="CE536" s="386" t="s">
        <v>675</v>
      </c>
      <c r="DJ536" s="22" t="b">
        <v>1</v>
      </c>
      <c r="DK536" s="388"/>
      <c r="DL536" s="388"/>
      <c r="DM536" s="388"/>
      <c r="DN536" s="388"/>
      <c r="DO536" s="388"/>
      <c r="DP536" s="389"/>
      <c r="DQ536" s="388"/>
      <c r="DR536" s="57" t="str">
        <f t="shared" si="16"/>
        <v/>
      </c>
      <c r="DS536" s="388"/>
      <c r="DU536" s="1" t="s">
        <v>280</v>
      </c>
      <c r="DV536" s="390"/>
      <c r="EA536" s="390"/>
      <c r="EB536" s="390"/>
      <c r="EC536" s="390"/>
      <c r="ED536" s="390"/>
    </row>
    <row r="537" spans="1:134" s="23" customFormat="1" x14ac:dyDescent="0.15">
      <c r="B537" s="378"/>
      <c r="C537" s="40"/>
      <c r="AB537" s="353">
        <v>66060003</v>
      </c>
      <c r="AC537" s="381" t="s">
        <v>975</v>
      </c>
      <c r="AD537" s="380" t="s">
        <v>330</v>
      </c>
      <c r="AE537" s="380" t="s">
        <v>811</v>
      </c>
      <c r="AF537" s="380" t="s">
        <v>314</v>
      </c>
      <c r="AG537" s="380"/>
      <c r="AH537" s="380"/>
      <c r="AI537" s="380"/>
      <c r="AJ537" s="380">
        <v>2</v>
      </c>
      <c r="AK537" s="380"/>
      <c r="AL537" s="382"/>
      <c r="AM537" s="382"/>
      <c r="AN537" s="382"/>
      <c r="AO537" s="382"/>
      <c r="AP537" s="382"/>
      <c r="AQ537" s="382"/>
      <c r="AR537" s="382"/>
      <c r="AU537" s="382"/>
      <c r="AV537" s="382"/>
      <c r="AW537" s="382"/>
      <c r="AX537" s="382"/>
      <c r="AY537" s="382"/>
      <c r="AZ537" s="382"/>
      <c r="BA537" s="383" t="s">
        <v>270</v>
      </c>
      <c r="BB537" s="384">
        <v>0.15</v>
      </c>
      <c r="BC537" s="384"/>
      <c r="BD537" s="384"/>
      <c r="BE537" s="384"/>
      <c r="BF537" s="384"/>
      <c r="BG537" s="384"/>
      <c r="BH537" s="384"/>
      <c r="BI537" s="384"/>
      <c r="BJ537" s="385"/>
      <c r="BK537" s="385"/>
      <c r="BL537" s="385"/>
      <c r="BM537" s="385"/>
      <c r="BN537" s="385"/>
      <c r="BO537" s="385"/>
      <c r="BP537" s="385"/>
      <c r="BQ537" s="385"/>
      <c r="BR537" s="385"/>
      <c r="BS537" s="385"/>
      <c r="BT537" s="385"/>
      <c r="BU537" s="385"/>
      <c r="BV537" s="385"/>
      <c r="BW537" s="385"/>
      <c r="BX537" s="385"/>
      <c r="BY537" s="385"/>
      <c r="BZ537" s="385"/>
      <c r="CA537" s="385"/>
      <c r="CB537" s="385"/>
      <c r="CC537" s="385"/>
      <c r="CD537" s="385"/>
      <c r="CE537" s="385"/>
      <c r="DJ537" s="22" t="b">
        <v>1</v>
      </c>
      <c r="DK537" s="388"/>
      <c r="DL537" s="388"/>
      <c r="DM537" s="388"/>
      <c r="DN537" s="388"/>
      <c r="DO537" s="388"/>
      <c r="DP537" s="389"/>
      <c r="DQ537" s="388"/>
      <c r="DR537" s="57" t="str">
        <f t="shared" si="16"/>
        <v/>
      </c>
      <c r="DS537" s="388"/>
      <c r="DU537" s="1" t="s">
        <v>280</v>
      </c>
      <c r="DV537" s="390"/>
      <c r="EA537" s="390"/>
      <c r="EB537" s="390"/>
      <c r="EC537" s="390"/>
      <c r="ED537" s="390"/>
    </row>
    <row r="538" spans="1:134" s="23" customFormat="1" x14ac:dyDescent="0.15">
      <c r="A538" s="23">
        <v>660200</v>
      </c>
      <c r="B538" s="378" t="s">
        <v>976</v>
      </c>
      <c r="C538" s="40" t="s">
        <v>977</v>
      </c>
      <c r="D538" s="23" t="s">
        <v>956</v>
      </c>
      <c r="E538" s="23">
        <v>660200</v>
      </c>
      <c r="H538" s="379">
        <v>1</v>
      </c>
      <c r="L538" s="23">
        <v>0</v>
      </c>
      <c r="Q538" s="23" t="s">
        <v>431</v>
      </c>
      <c r="W538" s="23" t="b">
        <v>1</v>
      </c>
      <c r="X538" s="23">
        <v>1</v>
      </c>
      <c r="Y538" s="23">
        <v>0</v>
      </c>
      <c r="Z538" s="23">
        <v>0</v>
      </c>
      <c r="AB538" s="353">
        <v>66100001</v>
      </c>
      <c r="AC538" s="17" t="s">
        <v>815</v>
      </c>
      <c r="AD538" s="17"/>
      <c r="AE538" s="380" t="s">
        <v>291</v>
      </c>
      <c r="AF538" s="22" t="s">
        <v>437</v>
      </c>
      <c r="AG538" s="380"/>
      <c r="AH538" s="380"/>
      <c r="AI538" s="380"/>
      <c r="AJ538" s="380">
        <v>-1</v>
      </c>
      <c r="AK538" s="380"/>
      <c r="AL538" s="382"/>
      <c r="AM538" s="382"/>
      <c r="AN538" s="382"/>
      <c r="AO538" s="382"/>
      <c r="AP538" s="382"/>
      <c r="AQ538" s="382"/>
      <c r="AR538" s="382"/>
      <c r="AU538" s="382"/>
      <c r="AV538" s="382"/>
      <c r="AW538" s="382"/>
      <c r="AX538" s="382"/>
      <c r="AY538" s="382"/>
      <c r="AZ538" s="382"/>
      <c r="BA538" s="383"/>
      <c r="BB538" s="384"/>
      <c r="BC538" s="384"/>
      <c r="BD538" s="384"/>
      <c r="BE538" s="384"/>
      <c r="BF538" s="384"/>
      <c r="BG538" s="384"/>
      <c r="BH538" s="384"/>
      <c r="BI538" s="384"/>
      <c r="BJ538" s="385"/>
      <c r="BK538" s="385"/>
      <c r="BL538" s="385"/>
      <c r="BM538" s="385"/>
      <c r="BN538" s="385"/>
      <c r="BO538" s="385"/>
      <c r="BP538" s="385"/>
      <c r="BQ538" s="385"/>
      <c r="BR538" s="385"/>
      <c r="BS538" s="385"/>
      <c r="BT538" s="385"/>
      <c r="BU538" s="385"/>
      <c r="BV538" s="385"/>
      <c r="BW538" s="385"/>
      <c r="BX538" s="385"/>
      <c r="BY538" s="385"/>
      <c r="BZ538" s="385"/>
      <c r="CA538" s="385"/>
      <c r="CB538" s="385"/>
      <c r="CC538" s="385"/>
      <c r="CD538" s="385"/>
      <c r="CE538" s="385"/>
      <c r="CX538" s="387" t="s">
        <v>273</v>
      </c>
      <c r="DD538" s="362" t="s">
        <v>274</v>
      </c>
      <c r="DE538" s="23" t="s">
        <v>978</v>
      </c>
      <c r="DJ538" s="22" t="b">
        <v>1</v>
      </c>
      <c r="DK538" s="388" t="s">
        <v>979</v>
      </c>
      <c r="DL538" s="388"/>
      <c r="DM538" s="388"/>
      <c r="DN538" s="388"/>
      <c r="DO538" s="388"/>
      <c r="DP538" s="389"/>
      <c r="DQ538" s="388" t="s">
        <v>979</v>
      </c>
      <c r="DR538" s="57" t="str">
        <f t="shared" si="16"/>
        <v/>
      </c>
      <c r="DS538" s="388" t="s">
        <v>980</v>
      </c>
      <c r="DU538" s="1" t="s">
        <v>280</v>
      </c>
      <c r="DV538" s="390"/>
      <c r="EA538" s="390"/>
      <c r="EB538" s="390"/>
      <c r="EC538" s="390"/>
      <c r="ED538" s="390"/>
    </row>
    <row r="539" spans="1:134" s="23" customFormat="1" ht="49.5" customHeight="1" x14ac:dyDescent="0.15">
      <c r="B539" s="378"/>
      <c r="C539" s="40"/>
      <c r="AB539" s="353">
        <v>66100002</v>
      </c>
      <c r="AC539" s="17" t="s">
        <v>819</v>
      </c>
      <c r="AD539" s="380" t="s">
        <v>330</v>
      </c>
      <c r="AE539" s="380" t="s">
        <v>820</v>
      </c>
      <c r="AF539" s="380" t="s">
        <v>314</v>
      </c>
      <c r="AG539" s="380"/>
      <c r="AH539" s="380"/>
      <c r="AI539" s="380"/>
      <c r="AJ539" s="380"/>
      <c r="AK539" s="380"/>
      <c r="AL539" s="382"/>
      <c r="AM539" s="382"/>
      <c r="AN539" s="382"/>
      <c r="AO539" s="382"/>
      <c r="AP539" s="382"/>
      <c r="AQ539" s="382"/>
      <c r="AR539" s="382"/>
      <c r="AU539" s="382"/>
      <c r="AV539" s="382"/>
      <c r="AW539" s="382"/>
      <c r="AX539" s="382"/>
      <c r="AY539" s="382"/>
      <c r="AZ539" s="382"/>
      <c r="BA539" s="383"/>
      <c r="BB539" s="384"/>
      <c r="BC539" s="384"/>
      <c r="BD539" s="384"/>
      <c r="BE539" s="384"/>
      <c r="BF539" s="384"/>
      <c r="BG539" s="384"/>
      <c r="BH539" s="384"/>
      <c r="BI539" s="384"/>
      <c r="BJ539" s="385"/>
      <c r="BK539" s="385"/>
      <c r="BL539" s="385"/>
      <c r="BM539" s="385"/>
      <c r="BN539" s="385"/>
      <c r="BO539" s="385"/>
      <c r="BP539" s="385"/>
      <c r="BQ539" s="385"/>
      <c r="BR539" s="385"/>
      <c r="BS539" s="385"/>
      <c r="BT539" s="385"/>
      <c r="BU539" s="385"/>
      <c r="BV539" s="385"/>
      <c r="BW539" s="385"/>
      <c r="BX539" s="385"/>
      <c r="BY539" s="385"/>
      <c r="BZ539" s="385"/>
      <c r="CA539" s="385"/>
      <c r="CB539" s="23" t="s">
        <v>1</v>
      </c>
      <c r="CC539" s="386" t="s">
        <v>464</v>
      </c>
      <c r="CD539" s="386">
        <v>999</v>
      </c>
      <c r="CE539" s="386" t="s">
        <v>675</v>
      </c>
      <c r="DJ539" s="22" t="b">
        <v>1</v>
      </c>
      <c r="DK539" s="388"/>
      <c r="DL539" s="388"/>
      <c r="DM539" s="388"/>
      <c r="DN539" s="388"/>
      <c r="DO539" s="388"/>
      <c r="DP539" s="389"/>
      <c r="DQ539" s="388"/>
      <c r="DR539" s="57" t="str">
        <f t="shared" si="16"/>
        <v/>
      </c>
      <c r="DS539" s="388"/>
      <c r="DU539" s="1" t="s">
        <v>280</v>
      </c>
      <c r="DV539" s="390"/>
      <c r="EA539" s="390"/>
      <c r="EB539" s="390"/>
      <c r="EC539" s="390"/>
      <c r="ED539" s="390"/>
    </row>
    <row r="540" spans="1:134" s="23" customFormat="1" x14ac:dyDescent="0.15">
      <c r="B540" s="378"/>
      <c r="C540" s="40"/>
      <c r="AB540" s="353">
        <v>66100003</v>
      </c>
      <c r="AC540" s="135" t="s">
        <v>981</v>
      </c>
      <c r="AD540" s="380" t="s">
        <v>330</v>
      </c>
      <c r="AE540" s="380" t="s">
        <v>811</v>
      </c>
      <c r="AF540" s="380" t="s">
        <v>314</v>
      </c>
      <c r="AG540" s="380"/>
      <c r="AH540" s="380"/>
      <c r="AI540" s="380"/>
      <c r="AJ540" s="380">
        <v>2</v>
      </c>
      <c r="AK540" s="380"/>
      <c r="AL540" s="382"/>
      <c r="AM540" s="382"/>
      <c r="AN540" s="382"/>
      <c r="AO540" s="382"/>
      <c r="AP540" s="382"/>
      <c r="AQ540" s="382"/>
      <c r="AR540" s="382"/>
      <c r="AU540" s="382"/>
      <c r="AV540" s="382"/>
      <c r="AW540" s="382"/>
      <c r="AX540" s="382"/>
      <c r="AY540" s="382"/>
      <c r="AZ540" s="382"/>
      <c r="BA540" s="383" t="s">
        <v>270</v>
      </c>
      <c r="BB540" s="384">
        <v>0.15</v>
      </c>
      <c r="BC540" s="384"/>
      <c r="BD540" s="384"/>
      <c r="BE540" s="384"/>
      <c r="BF540" s="384"/>
      <c r="BG540" s="384"/>
      <c r="BH540" s="384"/>
      <c r="BI540" s="384"/>
      <c r="BJ540" s="385"/>
      <c r="BK540" s="385"/>
      <c r="BL540" s="385"/>
      <c r="BM540" s="385"/>
      <c r="BN540" s="385"/>
      <c r="BO540" s="385"/>
      <c r="BP540" s="385"/>
      <c r="BQ540" s="385"/>
      <c r="BR540" s="385"/>
      <c r="BS540" s="385"/>
      <c r="BT540" s="385"/>
      <c r="BU540" s="385"/>
      <c r="BV540" s="385"/>
      <c r="BW540" s="385"/>
      <c r="BX540" s="385"/>
      <c r="BY540" s="385"/>
      <c r="BZ540" s="385"/>
      <c r="CA540" s="385"/>
      <c r="CB540" s="385"/>
      <c r="CC540" s="385"/>
      <c r="CD540" s="385"/>
      <c r="CE540" s="385"/>
      <c r="DJ540" s="22" t="b">
        <v>1</v>
      </c>
      <c r="DK540" s="388"/>
      <c r="DL540" s="388"/>
      <c r="DM540" s="388"/>
      <c r="DN540" s="388"/>
      <c r="DO540" s="388"/>
      <c r="DP540" s="389"/>
      <c r="DQ540" s="388"/>
      <c r="DR540" s="57" t="str">
        <f t="shared" si="16"/>
        <v/>
      </c>
      <c r="DS540" s="388"/>
      <c r="DU540" s="1" t="s">
        <v>280</v>
      </c>
      <c r="DV540" s="390"/>
      <c r="EA540" s="390"/>
      <c r="EB540" s="390"/>
      <c r="EC540" s="390"/>
      <c r="ED540" s="390"/>
    </row>
    <row r="541" spans="1:134" s="23" customFormat="1" x14ac:dyDescent="0.15">
      <c r="A541" s="23">
        <v>660210</v>
      </c>
      <c r="B541" s="378" t="s">
        <v>976</v>
      </c>
      <c r="C541" s="40" t="s">
        <v>977</v>
      </c>
      <c r="D541" s="23" t="s">
        <v>961</v>
      </c>
      <c r="E541" s="23">
        <v>660200</v>
      </c>
      <c r="H541" s="379">
        <v>1</v>
      </c>
      <c r="L541" s="23">
        <v>0</v>
      </c>
      <c r="Q541" s="23" t="s">
        <v>431</v>
      </c>
      <c r="W541" s="23" t="b">
        <v>1</v>
      </c>
      <c r="X541" s="23">
        <v>1</v>
      </c>
      <c r="Y541" s="23">
        <v>0</v>
      </c>
      <c r="Z541" s="23">
        <v>0</v>
      </c>
      <c r="AB541" s="353">
        <v>66120001</v>
      </c>
      <c r="AC541" s="17" t="s">
        <v>815</v>
      </c>
      <c r="AD541" s="17"/>
      <c r="AE541" s="380" t="s">
        <v>291</v>
      </c>
      <c r="AF541" s="22" t="s">
        <v>437</v>
      </c>
      <c r="AG541" s="380"/>
      <c r="AH541" s="380"/>
      <c r="AI541" s="380"/>
      <c r="AJ541" s="380">
        <v>-1</v>
      </c>
      <c r="AK541" s="380"/>
      <c r="AL541" s="382"/>
      <c r="AM541" s="382"/>
      <c r="AN541" s="382"/>
      <c r="AO541" s="382"/>
      <c r="AP541" s="382"/>
      <c r="AQ541" s="382"/>
      <c r="AR541" s="382"/>
      <c r="AU541" s="382"/>
      <c r="AV541" s="382"/>
      <c r="AW541" s="382"/>
      <c r="AX541" s="382"/>
      <c r="AY541" s="382"/>
      <c r="AZ541" s="382"/>
      <c r="BA541" s="383"/>
      <c r="BB541" s="384"/>
      <c r="BC541" s="384"/>
      <c r="BD541" s="384"/>
      <c r="BE541" s="384"/>
      <c r="BF541" s="384"/>
      <c r="BG541" s="384"/>
      <c r="BH541" s="384"/>
      <c r="BI541" s="384"/>
      <c r="BJ541" s="385"/>
      <c r="BK541" s="385"/>
      <c r="BL541" s="385"/>
      <c r="BM541" s="385"/>
      <c r="BN541" s="385"/>
      <c r="BO541" s="385"/>
      <c r="BP541" s="385"/>
      <c r="BQ541" s="385"/>
      <c r="BR541" s="385"/>
      <c r="BS541" s="385"/>
      <c r="BT541" s="385"/>
      <c r="BU541" s="385"/>
      <c r="BV541" s="385"/>
      <c r="BW541" s="385"/>
      <c r="BX541" s="385"/>
      <c r="BY541" s="385"/>
      <c r="BZ541" s="385"/>
      <c r="CA541" s="385"/>
      <c r="CB541" s="385"/>
      <c r="CC541" s="385"/>
      <c r="CD541" s="385"/>
      <c r="CE541" s="385"/>
      <c r="CX541" s="387" t="s">
        <v>273</v>
      </c>
      <c r="DD541" s="362" t="s">
        <v>274</v>
      </c>
      <c r="DE541" s="23" t="s">
        <v>982</v>
      </c>
      <c r="DJ541" s="22" t="b">
        <v>1</v>
      </c>
      <c r="DK541" s="388" t="s">
        <v>983</v>
      </c>
      <c r="DL541" s="388"/>
      <c r="DM541" s="388"/>
      <c r="DN541" s="388"/>
      <c r="DO541" s="388"/>
      <c r="DP541" s="389"/>
      <c r="DQ541" s="388" t="s">
        <v>983</v>
      </c>
      <c r="DR541" s="57" t="str">
        <f t="shared" si="16"/>
        <v/>
      </c>
      <c r="DS541" s="388" t="s">
        <v>984</v>
      </c>
      <c r="DU541" s="1" t="s">
        <v>280</v>
      </c>
      <c r="DV541" s="390"/>
      <c r="EA541" s="390"/>
      <c r="EB541" s="390"/>
      <c r="EC541" s="390"/>
      <c r="ED541" s="390"/>
    </row>
    <row r="542" spans="1:134" s="23" customFormat="1" ht="49.5" customHeight="1" x14ac:dyDescent="0.15">
      <c r="B542" s="378"/>
      <c r="C542" s="40"/>
      <c r="AB542" s="353">
        <v>66120002</v>
      </c>
      <c r="AC542" s="17" t="s">
        <v>819</v>
      </c>
      <c r="AD542" s="380" t="s">
        <v>330</v>
      </c>
      <c r="AE542" s="380" t="s">
        <v>820</v>
      </c>
      <c r="AF542" s="380" t="s">
        <v>314</v>
      </c>
      <c r="AG542" s="380"/>
      <c r="AH542" s="380"/>
      <c r="AI542" s="380"/>
      <c r="AJ542" s="380"/>
      <c r="AK542" s="380"/>
      <c r="AL542" s="382"/>
      <c r="AM542" s="382"/>
      <c r="AN542" s="382"/>
      <c r="AO542" s="382"/>
      <c r="AP542" s="382"/>
      <c r="AQ542" s="382"/>
      <c r="AR542" s="382"/>
      <c r="AU542" s="382"/>
      <c r="AV542" s="382"/>
      <c r="AW542" s="382"/>
      <c r="AX542" s="382"/>
      <c r="AY542" s="382"/>
      <c r="AZ542" s="382"/>
      <c r="BA542" s="383"/>
      <c r="BB542" s="384"/>
      <c r="BC542" s="384"/>
      <c r="BD542" s="384"/>
      <c r="BE542" s="384"/>
      <c r="BF542" s="384"/>
      <c r="BG542" s="384"/>
      <c r="BH542" s="384"/>
      <c r="BI542" s="384"/>
      <c r="BJ542" s="385"/>
      <c r="BK542" s="385"/>
      <c r="BL542" s="385"/>
      <c r="BM542" s="385"/>
      <c r="BN542" s="385"/>
      <c r="BO542" s="385"/>
      <c r="BP542" s="385"/>
      <c r="BQ542" s="385"/>
      <c r="BR542" s="385"/>
      <c r="BS542" s="385"/>
      <c r="BT542" s="385"/>
      <c r="BU542" s="385"/>
      <c r="BV542" s="385"/>
      <c r="BW542" s="385"/>
      <c r="BX542" s="385"/>
      <c r="BY542" s="385"/>
      <c r="BZ542" s="385"/>
      <c r="CA542" s="385"/>
      <c r="CB542" s="23" t="s">
        <v>1</v>
      </c>
      <c r="CC542" s="386" t="s">
        <v>464</v>
      </c>
      <c r="CD542" s="386">
        <v>999</v>
      </c>
      <c r="CE542" s="386" t="s">
        <v>675</v>
      </c>
      <c r="DJ542" s="22" t="b">
        <v>1</v>
      </c>
      <c r="DK542" s="388"/>
      <c r="DL542" s="388"/>
      <c r="DM542" s="388"/>
      <c r="DN542" s="388"/>
      <c r="DO542" s="388"/>
      <c r="DP542" s="389"/>
      <c r="DQ542" s="388"/>
      <c r="DR542" s="57" t="str">
        <f t="shared" si="16"/>
        <v/>
      </c>
      <c r="DS542" s="388"/>
      <c r="DU542" s="1" t="s">
        <v>280</v>
      </c>
      <c r="DV542" s="390"/>
      <c r="EA542" s="390"/>
      <c r="EB542" s="390"/>
      <c r="EC542" s="390"/>
      <c r="ED542" s="390"/>
    </row>
    <row r="543" spans="1:134" s="23" customFormat="1" x14ac:dyDescent="0.15">
      <c r="B543" s="378"/>
      <c r="C543" s="40"/>
      <c r="AB543" s="353">
        <v>66120003</v>
      </c>
      <c r="AC543" s="135" t="s">
        <v>985</v>
      </c>
      <c r="AD543" s="380" t="s">
        <v>330</v>
      </c>
      <c r="AE543" s="380" t="s">
        <v>811</v>
      </c>
      <c r="AF543" s="380" t="s">
        <v>314</v>
      </c>
      <c r="AG543" s="380"/>
      <c r="AH543" s="380"/>
      <c r="AI543" s="380"/>
      <c r="AJ543" s="380">
        <v>2</v>
      </c>
      <c r="AK543" s="380"/>
      <c r="AL543" s="382"/>
      <c r="AM543" s="382"/>
      <c r="AN543" s="382"/>
      <c r="AO543" s="382"/>
      <c r="AP543" s="382"/>
      <c r="AQ543" s="382"/>
      <c r="AR543" s="382"/>
      <c r="AU543" s="382"/>
      <c r="AV543" s="382"/>
      <c r="AW543" s="382"/>
      <c r="AX543" s="382"/>
      <c r="AY543" s="382"/>
      <c r="AZ543" s="382"/>
      <c r="BA543" s="383" t="s">
        <v>270</v>
      </c>
      <c r="BB543" s="384">
        <v>0.15</v>
      </c>
      <c r="BC543" s="384"/>
      <c r="BD543" s="384"/>
      <c r="BE543" s="384"/>
      <c r="BF543" s="384"/>
      <c r="BG543" s="384"/>
      <c r="BH543" s="384"/>
      <c r="BI543" s="384"/>
      <c r="BJ543" s="385"/>
      <c r="BK543" s="385"/>
      <c r="BL543" s="385"/>
      <c r="BM543" s="385"/>
      <c r="BN543" s="385"/>
      <c r="BO543" s="385"/>
      <c r="BP543" s="385"/>
      <c r="BQ543" s="385"/>
      <c r="BR543" s="385"/>
      <c r="BS543" s="385"/>
      <c r="BT543" s="385"/>
      <c r="BU543" s="385"/>
      <c r="BV543" s="385"/>
      <c r="BW543" s="385"/>
      <c r="BX543" s="385"/>
      <c r="BY543" s="385"/>
      <c r="BZ543" s="385"/>
      <c r="CA543" s="385"/>
      <c r="CB543" s="385"/>
      <c r="CC543" s="385"/>
      <c r="CD543" s="385"/>
      <c r="CE543" s="385"/>
      <c r="DJ543" s="22" t="b">
        <v>1</v>
      </c>
      <c r="DK543" s="388"/>
      <c r="DL543" s="388"/>
      <c r="DM543" s="388"/>
      <c r="DN543" s="388"/>
      <c r="DO543" s="388"/>
      <c r="DP543" s="389"/>
      <c r="DQ543" s="388"/>
      <c r="DR543" s="57" t="str">
        <f t="shared" si="16"/>
        <v/>
      </c>
      <c r="DS543" s="388"/>
      <c r="DU543" s="1" t="s">
        <v>280</v>
      </c>
      <c r="DV543" s="390"/>
      <c r="EA543" s="390"/>
      <c r="EB543" s="390"/>
      <c r="EC543" s="390"/>
      <c r="ED543" s="390"/>
    </row>
    <row r="544" spans="1:134" s="23" customFormat="1" x14ac:dyDescent="0.15">
      <c r="A544" s="23">
        <v>660220</v>
      </c>
      <c r="B544" s="378" t="s">
        <v>976</v>
      </c>
      <c r="C544" s="40" t="s">
        <v>977</v>
      </c>
      <c r="D544" s="23" t="s">
        <v>966</v>
      </c>
      <c r="E544" s="23">
        <v>660200</v>
      </c>
      <c r="H544" s="379">
        <v>1</v>
      </c>
      <c r="L544" s="23">
        <v>0</v>
      </c>
      <c r="Q544" s="23" t="s">
        <v>431</v>
      </c>
      <c r="W544" s="23" t="b">
        <v>1</v>
      </c>
      <c r="X544" s="23">
        <v>1</v>
      </c>
      <c r="Y544" s="23">
        <v>0</v>
      </c>
      <c r="Z544" s="23">
        <v>0</v>
      </c>
      <c r="AB544" s="353">
        <v>66040001</v>
      </c>
      <c r="AC544" s="17" t="s">
        <v>815</v>
      </c>
      <c r="AD544" s="17"/>
      <c r="AE544" s="380" t="s">
        <v>291</v>
      </c>
      <c r="AF544" s="22" t="s">
        <v>437</v>
      </c>
      <c r="AG544" s="380"/>
      <c r="AH544" s="380"/>
      <c r="AI544" s="380"/>
      <c r="AJ544" s="380">
        <v>-1</v>
      </c>
      <c r="AK544" s="380"/>
      <c r="AL544" s="382"/>
      <c r="AM544" s="382"/>
      <c r="AN544" s="382"/>
      <c r="AO544" s="382"/>
      <c r="AP544" s="382"/>
      <c r="AQ544" s="382"/>
      <c r="AR544" s="382"/>
      <c r="AU544" s="382"/>
      <c r="AV544" s="382"/>
      <c r="AW544" s="382"/>
      <c r="AX544" s="382"/>
      <c r="AY544" s="382"/>
      <c r="AZ544" s="382"/>
      <c r="BA544" s="383"/>
      <c r="BB544" s="384"/>
      <c r="BC544" s="384"/>
      <c r="BD544" s="384"/>
      <c r="BE544" s="384"/>
      <c r="BF544" s="384"/>
      <c r="BG544" s="384"/>
      <c r="BH544" s="384"/>
      <c r="BI544" s="384"/>
      <c r="BJ544" s="385"/>
      <c r="BK544" s="385"/>
      <c r="BL544" s="385"/>
      <c r="BM544" s="385"/>
      <c r="BN544" s="385"/>
      <c r="BO544" s="385"/>
      <c r="BP544" s="385"/>
      <c r="BQ544" s="385"/>
      <c r="BR544" s="385"/>
      <c r="BS544" s="385"/>
      <c r="BT544" s="385"/>
      <c r="BU544" s="385"/>
      <c r="BV544" s="385"/>
      <c r="BW544" s="385"/>
      <c r="BX544" s="385"/>
      <c r="BY544" s="385"/>
      <c r="BZ544" s="385"/>
      <c r="CA544" s="385"/>
      <c r="CB544" s="385"/>
      <c r="CC544" s="385"/>
      <c r="CD544" s="385"/>
      <c r="CE544" s="385"/>
      <c r="CX544" s="387" t="s">
        <v>273</v>
      </c>
      <c r="DD544" s="362" t="s">
        <v>274</v>
      </c>
      <c r="DE544" s="23" t="s">
        <v>986</v>
      </c>
      <c r="DJ544" s="22" t="b">
        <v>1</v>
      </c>
      <c r="DK544" s="388" t="s">
        <v>987</v>
      </c>
      <c r="DL544" s="388"/>
      <c r="DM544" s="388"/>
      <c r="DN544" s="388"/>
      <c r="DO544" s="388"/>
      <c r="DP544" s="389"/>
      <c r="DQ544" s="388" t="s">
        <v>987</v>
      </c>
      <c r="DR544" s="57" t="str">
        <f t="shared" si="16"/>
        <v/>
      </c>
      <c r="DS544" s="388" t="s">
        <v>988</v>
      </c>
      <c r="DU544" s="1" t="s">
        <v>280</v>
      </c>
      <c r="DV544" s="390"/>
      <c r="EA544" s="390"/>
      <c r="EB544" s="390"/>
      <c r="EC544" s="390"/>
      <c r="ED544" s="390"/>
    </row>
    <row r="545" spans="1:134" s="23" customFormat="1" ht="49.5" customHeight="1" x14ac:dyDescent="0.15">
      <c r="B545" s="378"/>
      <c r="C545" s="40"/>
      <c r="AB545" s="353">
        <v>66040002</v>
      </c>
      <c r="AC545" s="17" t="s">
        <v>819</v>
      </c>
      <c r="AD545" s="380" t="s">
        <v>330</v>
      </c>
      <c r="AE545" s="380" t="s">
        <v>820</v>
      </c>
      <c r="AF545" s="380" t="s">
        <v>314</v>
      </c>
      <c r="AG545" s="380"/>
      <c r="AH545" s="380"/>
      <c r="AI545" s="380"/>
      <c r="AJ545" s="380"/>
      <c r="AK545" s="380"/>
      <c r="AL545" s="382"/>
      <c r="AM545" s="382"/>
      <c r="AN545" s="382"/>
      <c r="AO545" s="382"/>
      <c r="AP545" s="382"/>
      <c r="AQ545" s="382"/>
      <c r="AR545" s="382"/>
      <c r="AU545" s="382"/>
      <c r="AV545" s="382"/>
      <c r="AW545" s="382"/>
      <c r="AX545" s="382"/>
      <c r="AY545" s="382"/>
      <c r="AZ545" s="382"/>
      <c r="BA545" s="383"/>
      <c r="BB545" s="384"/>
      <c r="BC545" s="384"/>
      <c r="BD545" s="384"/>
      <c r="BE545" s="384"/>
      <c r="BF545" s="384"/>
      <c r="BG545" s="384"/>
      <c r="BH545" s="384"/>
      <c r="BI545" s="384"/>
      <c r="BJ545" s="385"/>
      <c r="BK545" s="385"/>
      <c r="BL545" s="385"/>
      <c r="BM545" s="385"/>
      <c r="BN545" s="385"/>
      <c r="BO545" s="385"/>
      <c r="BP545" s="385"/>
      <c r="BQ545" s="385"/>
      <c r="BR545" s="385"/>
      <c r="BS545" s="385"/>
      <c r="BT545" s="385"/>
      <c r="BU545" s="385"/>
      <c r="BV545" s="385"/>
      <c r="BW545" s="385"/>
      <c r="BX545" s="385"/>
      <c r="BY545" s="385"/>
      <c r="BZ545" s="385"/>
      <c r="CA545" s="385"/>
      <c r="CB545" s="23" t="s">
        <v>1</v>
      </c>
      <c r="CC545" s="386" t="s">
        <v>464</v>
      </c>
      <c r="CD545" s="386">
        <v>999</v>
      </c>
      <c r="CE545" s="386" t="s">
        <v>675</v>
      </c>
      <c r="DJ545" s="22" t="b">
        <v>1</v>
      </c>
      <c r="DK545" s="388"/>
      <c r="DL545" s="388"/>
      <c r="DM545" s="388"/>
      <c r="DN545" s="388"/>
      <c r="DO545" s="388"/>
      <c r="DP545" s="389"/>
      <c r="DQ545" s="388"/>
      <c r="DR545" s="57" t="str">
        <f t="shared" si="16"/>
        <v/>
      </c>
      <c r="DS545" s="388"/>
      <c r="DU545" s="1" t="s">
        <v>280</v>
      </c>
      <c r="DV545" s="390"/>
      <c r="EA545" s="390"/>
      <c r="EB545" s="390"/>
      <c r="EC545" s="390"/>
      <c r="ED545" s="390"/>
    </row>
    <row r="546" spans="1:134" s="23" customFormat="1" x14ac:dyDescent="0.15">
      <c r="B546" s="378"/>
      <c r="C546" s="40"/>
      <c r="AB546" s="353">
        <v>66040003</v>
      </c>
      <c r="AC546" s="135" t="s">
        <v>989</v>
      </c>
      <c r="AD546" s="380" t="s">
        <v>330</v>
      </c>
      <c r="AE546" s="380" t="s">
        <v>811</v>
      </c>
      <c r="AF546" s="380" t="s">
        <v>314</v>
      </c>
      <c r="AG546" s="380"/>
      <c r="AH546" s="380"/>
      <c r="AI546" s="380"/>
      <c r="AJ546" s="380">
        <v>2</v>
      </c>
      <c r="AK546" s="380"/>
      <c r="AL546" s="382"/>
      <c r="AM546" s="382"/>
      <c r="AN546" s="382"/>
      <c r="AO546" s="382"/>
      <c r="AP546" s="382"/>
      <c r="AQ546" s="382"/>
      <c r="AR546" s="382"/>
      <c r="AU546" s="382"/>
      <c r="AV546" s="382"/>
      <c r="AW546" s="382"/>
      <c r="AX546" s="382"/>
      <c r="AY546" s="382"/>
      <c r="AZ546" s="382"/>
      <c r="BA546" s="383" t="s">
        <v>270</v>
      </c>
      <c r="BB546" s="384">
        <v>0.15</v>
      </c>
      <c r="BC546" s="384"/>
      <c r="BD546" s="384"/>
      <c r="BE546" s="384"/>
      <c r="BF546" s="384"/>
      <c r="BG546" s="384"/>
      <c r="BH546" s="384"/>
      <c r="BI546" s="384"/>
      <c r="BJ546" s="385"/>
      <c r="BK546" s="385"/>
      <c r="BL546" s="385"/>
      <c r="BM546" s="385"/>
      <c r="BN546" s="385"/>
      <c r="BO546" s="385"/>
      <c r="BP546" s="385"/>
      <c r="BQ546" s="385"/>
      <c r="BR546" s="385"/>
      <c r="BS546" s="385"/>
      <c r="BT546" s="385"/>
      <c r="BU546" s="385"/>
      <c r="BV546" s="385"/>
      <c r="BW546" s="385"/>
      <c r="BX546" s="385"/>
      <c r="BY546" s="385"/>
      <c r="BZ546" s="385"/>
      <c r="CA546" s="385"/>
      <c r="CB546" s="385"/>
      <c r="CC546" s="385"/>
      <c r="CD546" s="385"/>
      <c r="CE546" s="385"/>
      <c r="DJ546" s="22" t="b">
        <v>1</v>
      </c>
      <c r="DK546" s="388"/>
      <c r="DL546" s="388"/>
      <c r="DM546" s="388"/>
      <c r="DN546" s="388"/>
      <c r="DO546" s="388"/>
      <c r="DP546" s="389"/>
      <c r="DQ546" s="388"/>
      <c r="DR546" s="57" t="str">
        <f t="shared" si="16"/>
        <v/>
      </c>
      <c r="DS546" s="388"/>
      <c r="DU546" s="1" t="s">
        <v>280</v>
      </c>
      <c r="DV546" s="390"/>
      <c r="EA546" s="390"/>
      <c r="EB546" s="390"/>
      <c r="EC546" s="390"/>
      <c r="ED546" s="390"/>
    </row>
    <row r="547" spans="1:134" s="23" customFormat="1" x14ac:dyDescent="0.15">
      <c r="A547" s="23">
        <v>660230</v>
      </c>
      <c r="B547" s="378" t="s">
        <v>976</v>
      </c>
      <c r="C547" s="40" t="s">
        <v>977</v>
      </c>
      <c r="D547" s="23" t="s">
        <v>971</v>
      </c>
      <c r="E547" s="23">
        <v>660200</v>
      </c>
      <c r="H547" s="379">
        <v>1</v>
      </c>
      <c r="L547" s="23">
        <v>0</v>
      </c>
      <c r="Q547" s="23" t="s">
        <v>431</v>
      </c>
      <c r="W547" s="23" t="b">
        <v>1</v>
      </c>
      <c r="X547" s="23">
        <v>1</v>
      </c>
      <c r="Y547" s="23">
        <v>0</v>
      </c>
      <c r="Z547" s="23">
        <v>0</v>
      </c>
      <c r="AB547" s="353">
        <v>66020001</v>
      </c>
      <c r="AC547" s="17" t="s">
        <v>815</v>
      </c>
      <c r="AD547" s="17"/>
      <c r="AE547" s="380" t="s">
        <v>291</v>
      </c>
      <c r="AF547" s="22" t="s">
        <v>437</v>
      </c>
      <c r="AG547" s="380"/>
      <c r="AH547" s="380"/>
      <c r="AI547" s="380"/>
      <c r="AJ547" s="380">
        <v>-1</v>
      </c>
      <c r="AK547" s="380"/>
      <c r="AL547" s="382"/>
      <c r="AM547" s="382"/>
      <c r="AN547" s="382"/>
      <c r="AO547" s="382"/>
      <c r="AP547" s="382"/>
      <c r="AQ547" s="382"/>
      <c r="AR547" s="382"/>
      <c r="AU547" s="382"/>
      <c r="AV547" s="382"/>
      <c r="AW547" s="382"/>
      <c r="AX547" s="382"/>
      <c r="AY547" s="382"/>
      <c r="AZ547" s="382"/>
      <c r="BA547" s="383"/>
      <c r="BB547" s="384"/>
      <c r="BC547" s="384"/>
      <c r="BD547" s="384"/>
      <c r="BE547" s="384"/>
      <c r="BF547" s="384"/>
      <c r="BG547" s="384"/>
      <c r="BH547" s="384"/>
      <c r="BI547" s="384"/>
      <c r="BJ547" s="385"/>
      <c r="BK547" s="385"/>
      <c r="BL547" s="385"/>
      <c r="BM547" s="385"/>
      <c r="BN547" s="385"/>
      <c r="BO547" s="385"/>
      <c r="BP547" s="385"/>
      <c r="BQ547" s="385"/>
      <c r="BR547" s="385"/>
      <c r="BS547" s="385"/>
      <c r="BT547" s="385"/>
      <c r="BU547" s="385"/>
      <c r="BV547" s="385"/>
      <c r="BW547" s="385"/>
      <c r="BX547" s="385"/>
      <c r="BY547" s="385"/>
      <c r="BZ547" s="385"/>
      <c r="CA547" s="385"/>
      <c r="CB547" s="385"/>
      <c r="CC547" s="385"/>
      <c r="CD547" s="385"/>
      <c r="CE547" s="385"/>
      <c r="CX547" s="387" t="s">
        <v>273</v>
      </c>
      <c r="DD547" s="362" t="s">
        <v>274</v>
      </c>
      <c r="DE547" s="23" t="s">
        <v>990</v>
      </c>
      <c r="DJ547" s="22" t="b">
        <v>1</v>
      </c>
      <c r="DK547" s="388" t="s">
        <v>991</v>
      </c>
      <c r="DL547" s="388"/>
      <c r="DM547" s="388"/>
      <c r="DN547" s="388"/>
      <c r="DO547" s="388"/>
      <c r="DP547" s="389"/>
      <c r="DQ547" s="388" t="s">
        <v>991</v>
      </c>
      <c r="DR547" s="57" t="str">
        <f t="shared" si="16"/>
        <v/>
      </c>
      <c r="DS547" s="388" t="s">
        <v>992</v>
      </c>
      <c r="DU547" s="1" t="s">
        <v>280</v>
      </c>
      <c r="DV547" s="390"/>
      <c r="EA547" s="390"/>
      <c r="EB547" s="390"/>
      <c r="EC547" s="390"/>
      <c r="ED547" s="390"/>
    </row>
    <row r="548" spans="1:134" s="23" customFormat="1" ht="49.5" customHeight="1" x14ac:dyDescent="0.15">
      <c r="B548" s="378"/>
      <c r="C548" s="40"/>
      <c r="AB548" s="353">
        <v>66020002</v>
      </c>
      <c r="AC548" s="17" t="s">
        <v>819</v>
      </c>
      <c r="AD548" s="380" t="s">
        <v>330</v>
      </c>
      <c r="AE548" s="380" t="s">
        <v>820</v>
      </c>
      <c r="AF548" s="380" t="s">
        <v>314</v>
      </c>
      <c r="AG548" s="380"/>
      <c r="AH548" s="380"/>
      <c r="AI548" s="380"/>
      <c r="AJ548" s="380"/>
      <c r="AK548" s="380"/>
      <c r="AL548" s="382"/>
      <c r="AM548" s="382"/>
      <c r="AN548" s="382"/>
      <c r="AO548" s="382"/>
      <c r="AP548" s="382"/>
      <c r="AQ548" s="382"/>
      <c r="AR548" s="382"/>
      <c r="AU548" s="382"/>
      <c r="AV548" s="382"/>
      <c r="AW548" s="382"/>
      <c r="AX548" s="382"/>
      <c r="AY548" s="382"/>
      <c r="AZ548" s="382"/>
      <c r="BA548" s="383"/>
      <c r="BB548" s="384"/>
      <c r="BC548" s="384"/>
      <c r="BD548" s="384"/>
      <c r="BE548" s="384"/>
      <c r="BF548" s="384"/>
      <c r="BG548" s="384"/>
      <c r="BH548" s="384"/>
      <c r="BI548" s="384"/>
      <c r="BJ548" s="385"/>
      <c r="BK548" s="385"/>
      <c r="BL548" s="385"/>
      <c r="BM548" s="385"/>
      <c r="BN548" s="385"/>
      <c r="BO548" s="385"/>
      <c r="BP548" s="385"/>
      <c r="BQ548" s="385"/>
      <c r="BR548" s="385"/>
      <c r="BS548" s="385"/>
      <c r="BT548" s="385"/>
      <c r="BU548" s="385"/>
      <c r="BV548" s="385"/>
      <c r="BW548" s="385"/>
      <c r="BX548" s="385"/>
      <c r="BY548" s="385"/>
      <c r="BZ548" s="385"/>
      <c r="CA548" s="385"/>
      <c r="CB548" s="23" t="s">
        <v>1</v>
      </c>
      <c r="CC548" s="386" t="s">
        <v>464</v>
      </c>
      <c r="CD548" s="386">
        <v>999</v>
      </c>
      <c r="CE548" s="386" t="s">
        <v>675</v>
      </c>
      <c r="DJ548" s="22" t="b">
        <v>1</v>
      </c>
      <c r="DK548" s="388"/>
      <c r="DL548" s="388"/>
      <c r="DM548" s="388"/>
      <c r="DN548" s="388"/>
      <c r="DO548" s="388"/>
      <c r="DP548" s="389"/>
      <c r="DQ548" s="388"/>
      <c r="DR548" s="57" t="str">
        <f t="shared" si="16"/>
        <v/>
      </c>
      <c r="DS548" s="388"/>
      <c r="DU548" s="1" t="s">
        <v>280</v>
      </c>
      <c r="DV548" s="390"/>
      <c r="EA548" s="390"/>
      <c r="EB548" s="390"/>
      <c r="EC548" s="390"/>
      <c r="ED548" s="390"/>
    </row>
    <row r="549" spans="1:134" s="23" customFormat="1" x14ac:dyDescent="0.15">
      <c r="B549" s="378"/>
      <c r="C549" s="40"/>
      <c r="AB549" s="353">
        <v>66020003</v>
      </c>
      <c r="AC549" s="135" t="s">
        <v>993</v>
      </c>
      <c r="AD549" s="380" t="s">
        <v>330</v>
      </c>
      <c r="AE549" s="380" t="s">
        <v>811</v>
      </c>
      <c r="AF549" s="380" t="s">
        <v>314</v>
      </c>
      <c r="AG549" s="380"/>
      <c r="AH549" s="380"/>
      <c r="AI549" s="380"/>
      <c r="AJ549" s="380">
        <v>2</v>
      </c>
      <c r="AK549" s="380"/>
      <c r="AL549" s="382"/>
      <c r="AM549" s="382"/>
      <c r="AN549" s="382"/>
      <c r="AO549" s="382"/>
      <c r="AP549" s="382"/>
      <c r="AQ549" s="382"/>
      <c r="AR549" s="382"/>
      <c r="AU549" s="382"/>
      <c r="AV549" s="382"/>
      <c r="AW549" s="382"/>
      <c r="AX549" s="382"/>
      <c r="AY549" s="382"/>
      <c r="AZ549" s="382"/>
      <c r="BA549" s="383" t="s">
        <v>270</v>
      </c>
      <c r="BB549" s="384">
        <v>0.15</v>
      </c>
      <c r="BC549" s="384"/>
      <c r="BD549" s="384"/>
      <c r="BE549" s="384"/>
      <c r="BF549" s="384"/>
      <c r="BG549" s="384"/>
      <c r="BH549" s="384"/>
      <c r="BI549" s="384"/>
      <c r="BJ549" s="385"/>
      <c r="BK549" s="385"/>
      <c r="BL549" s="385"/>
      <c r="BM549" s="385"/>
      <c r="BN549" s="385"/>
      <c r="BO549" s="385"/>
      <c r="BP549" s="385"/>
      <c r="BQ549" s="385"/>
      <c r="BR549" s="385"/>
      <c r="BS549" s="385"/>
      <c r="BT549" s="385"/>
      <c r="BU549" s="385"/>
      <c r="BV549" s="385"/>
      <c r="BW549" s="385"/>
      <c r="BX549" s="385"/>
      <c r="BY549" s="385"/>
      <c r="BZ549" s="385"/>
      <c r="CA549" s="385"/>
      <c r="CB549" s="385"/>
      <c r="CC549" s="385"/>
      <c r="CD549" s="385"/>
      <c r="CE549" s="385"/>
      <c r="DJ549" s="22" t="b">
        <v>1</v>
      </c>
      <c r="DK549" s="388"/>
      <c r="DL549" s="388"/>
      <c r="DM549" s="388"/>
      <c r="DN549" s="388"/>
      <c r="DO549" s="388"/>
      <c r="DP549" s="389"/>
      <c r="DQ549" s="388"/>
      <c r="DR549" s="57" t="str">
        <f t="shared" si="16"/>
        <v/>
      </c>
      <c r="DS549" s="388"/>
      <c r="DU549" s="1" t="s">
        <v>280</v>
      </c>
      <c r="DV549" s="390"/>
      <c r="EA549" s="390"/>
      <c r="EB549" s="390"/>
      <c r="EC549" s="390"/>
      <c r="ED549" s="390"/>
    </row>
    <row r="550" spans="1:134" s="23" customFormat="1" x14ac:dyDescent="0.15">
      <c r="A550" s="23">
        <v>660300</v>
      </c>
      <c r="B550" s="378" t="s">
        <v>994</v>
      </c>
      <c r="C550" s="40" t="s">
        <v>995</v>
      </c>
      <c r="D550" s="23" t="s">
        <v>956</v>
      </c>
      <c r="E550" s="23">
        <v>660100</v>
      </c>
      <c r="H550" s="379">
        <v>1</v>
      </c>
      <c r="L550" s="23">
        <v>0</v>
      </c>
      <c r="Q550" s="23" t="s">
        <v>431</v>
      </c>
      <c r="W550" s="23" t="b">
        <v>1</v>
      </c>
      <c r="X550" s="23">
        <v>1</v>
      </c>
      <c r="Y550" s="23">
        <v>0</v>
      </c>
      <c r="Z550" s="23">
        <v>0</v>
      </c>
      <c r="AB550" s="353">
        <v>66100001</v>
      </c>
      <c r="AC550" s="17" t="s">
        <v>815</v>
      </c>
      <c r="AD550" s="17"/>
      <c r="AE550" s="380" t="s">
        <v>291</v>
      </c>
      <c r="AF550" s="22" t="s">
        <v>437</v>
      </c>
      <c r="AG550" s="380"/>
      <c r="AH550" s="380"/>
      <c r="AI550" s="380"/>
      <c r="AJ550" s="380">
        <v>-1</v>
      </c>
      <c r="AK550" s="380"/>
      <c r="AL550" s="382"/>
      <c r="AM550" s="382"/>
      <c r="AN550" s="382"/>
      <c r="AO550" s="382"/>
      <c r="AP550" s="382"/>
      <c r="AQ550" s="382"/>
      <c r="AR550" s="382"/>
      <c r="AU550" s="382"/>
      <c r="AV550" s="382"/>
      <c r="AW550" s="382"/>
      <c r="AX550" s="382"/>
      <c r="AY550" s="382"/>
      <c r="AZ550" s="382"/>
      <c r="BA550" s="383"/>
      <c r="BB550" s="384"/>
      <c r="BC550" s="384"/>
      <c r="BD550" s="384"/>
      <c r="BE550" s="384"/>
      <c r="BF550" s="384"/>
      <c r="BG550" s="384"/>
      <c r="BH550" s="384"/>
      <c r="BI550" s="384"/>
      <c r="BJ550" s="385"/>
      <c r="BK550" s="385"/>
      <c r="BL550" s="385"/>
      <c r="BM550" s="385"/>
      <c r="BN550" s="385"/>
      <c r="BO550" s="385"/>
      <c r="BP550" s="385"/>
      <c r="BQ550" s="385"/>
      <c r="BR550" s="385"/>
      <c r="BS550" s="385"/>
      <c r="BT550" s="385"/>
      <c r="BU550" s="385"/>
      <c r="BV550" s="385"/>
      <c r="BW550" s="385"/>
      <c r="BX550" s="385"/>
      <c r="BY550" s="385"/>
      <c r="BZ550" s="385"/>
      <c r="CA550" s="385"/>
      <c r="CB550" s="385"/>
      <c r="CC550" s="385"/>
      <c r="CD550" s="385"/>
      <c r="CE550" s="385"/>
      <c r="CX550" s="387" t="s">
        <v>273</v>
      </c>
      <c r="DD550" s="362" t="s">
        <v>274</v>
      </c>
      <c r="DE550" s="23" t="s">
        <v>957</v>
      </c>
      <c r="DJ550" s="22" t="b">
        <v>1</v>
      </c>
      <c r="DK550" s="388" t="s">
        <v>979</v>
      </c>
      <c r="DL550" s="388"/>
      <c r="DM550" s="388"/>
      <c r="DN550" s="388"/>
      <c r="DO550" s="388"/>
      <c r="DP550" s="389"/>
      <c r="DQ550" s="388" t="s">
        <v>979</v>
      </c>
      <c r="DR550" s="57" t="str">
        <f t="shared" si="16"/>
        <v/>
      </c>
      <c r="DS550" s="388" t="s">
        <v>980</v>
      </c>
      <c r="DU550" s="1" t="s">
        <v>280</v>
      </c>
      <c r="DV550" s="390"/>
      <c r="EA550" s="390"/>
      <c r="EB550" s="390"/>
      <c r="EC550" s="390"/>
      <c r="ED550" s="390"/>
    </row>
    <row r="551" spans="1:134" s="23" customFormat="1" ht="49.5" customHeight="1" x14ac:dyDescent="0.15">
      <c r="B551" s="378"/>
      <c r="C551" s="40"/>
      <c r="AB551" s="353">
        <v>66100002</v>
      </c>
      <c r="AC551" s="17" t="s">
        <v>819</v>
      </c>
      <c r="AD551" s="380" t="s">
        <v>330</v>
      </c>
      <c r="AE551" s="380" t="s">
        <v>820</v>
      </c>
      <c r="AF551" s="380" t="s">
        <v>314</v>
      </c>
      <c r="AG551" s="380"/>
      <c r="AH551" s="380"/>
      <c r="AI551" s="380"/>
      <c r="AJ551" s="380"/>
      <c r="AK551" s="380"/>
      <c r="AL551" s="382"/>
      <c r="AM551" s="382"/>
      <c r="AN551" s="382"/>
      <c r="AO551" s="382"/>
      <c r="AP551" s="382"/>
      <c r="AQ551" s="382"/>
      <c r="AR551" s="382"/>
      <c r="AU551" s="382"/>
      <c r="AV551" s="382"/>
      <c r="AW551" s="382"/>
      <c r="AX551" s="382"/>
      <c r="AY551" s="382"/>
      <c r="AZ551" s="382"/>
      <c r="BA551" s="383"/>
      <c r="BB551" s="384"/>
      <c r="BC551" s="384"/>
      <c r="BD551" s="384"/>
      <c r="BE551" s="384"/>
      <c r="BF551" s="384"/>
      <c r="BG551" s="384"/>
      <c r="BH551" s="384"/>
      <c r="BI551" s="384"/>
      <c r="BJ551" s="385"/>
      <c r="BK551" s="385"/>
      <c r="BL551" s="385"/>
      <c r="BM551" s="385"/>
      <c r="BN551" s="385"/>
      <c r="BO551" s="385"/>
      <c r="BP551" s="385"/>
      <c r="BQ551" s="385"/>
      <c r="BR551" s="385"/>
      <c r="BS551" s="385"/>
      <c r="BT551" s="385"/>
      <c r="BU551" s="385"/>
      <c r="BV551" s="385"/>
      <c r="BW551" s="385"/>
      <c r="BX551" s="385"/>
      <c r="BY551" s="385"/>
      <c r="BZ551" s="385"/>
      <c r="CA551" s="385"/>
      <c r="CB551" s="23" t="s">
        <v>1</v>
      </c>
      <c r="CC551" s="386" t="s">
        <v>464</v>
      </c>
      <c r="CD551" s="386">
        <v>999</v>
      </c>
      <c r="CE551" s="386" t="s">
        <v>675</v>
      </c>
      <c r="DJ551" s="22" t="b">
        <v>1</v>
      </c>
      <c r="DK551" s="388"/>
      <c r="DL551" s="388"/>
      <c r="DM551" s="388"/>
      <c r="DN551" s="388"/>
      <c r="DO551" s="388"/>
      <c r="DP551" s="389"/>
      <c r="DQ551" s="388"/>
      <c r="DR551" s="57" t="str">
        <f t="shared" si="16"/>
        <v/>
      </c>
      <c r="DS551" s="388"/>
      <c r="DU551" s="1" t="s">
        <v>280</v>
      </c>
      <c r="DV551" s="390"/>
      <c r="EA551" s="390"/>
      <c r="EB551" s="390"/>
      <c r="EC551" s="390"/>
      <c r="ED551" s="390"/>
    </row>
    <row r="552" spans="1:134" s="23" customFormat="1" x14ac:dyDescent="0.15">
      <c r="B552" s="378"/>
      <c r="C552" s="40"/>
      <c r="AB552" s="353">
        <v>66100003</v>
      </c>
      <c r="AC552" s="135" t="s">
        <v>981</v>
      </c>
      <c r="AD552" s="380" t="s">
        <v>330</v>
      </c>
      <c r="AE552" s="380" t="s">
        <v>811</v>
      </c>
      <c r="AF552" s="380" t="s">
        <v>314</v>
      </c>
      <c r="AG552" s="380"/>
      <c r="AH552" s="380"/>
      <c r="AI552" s="380"/>
      <c r="AJ552" s="380">
        <v>2</v>
      </c>
      <c r="AK552" s="380"/>
      <c r="AL552" s="382"/>
      <c r="AM552" s="382"/>
      <c r="AN552" s="382"/>
      <c r="AO552" s="382"/>
      <c r="AP552" s="382"/>
      <c r="AQ552" s="382"/>
      <c r="AR552" s="382"/>
      <c r="AU552" s="382"/>
      <c r="AV552" s="382"/>
      <c r="AW552" s="382"/>
      <c r="AX552" s="382"/>
      <c r="AY552" s="382"/>
      <c r="AZ552" s="382"/>
      <c r="BA552" s="383" t="s">
        <v>270</v>
      </c>
      <c r="BB552" s="384">
        <v>0.15</v>
      </c>
      <c r="BC552" s="384"/>
      <c r="BD552" s="384"/>
      <c r="BE552" s="384"/>
      <c r="BF552" s="384"/>
      <c r="BG552" s="384"/>
      <c r="BH552" s="384"/>
      <c r="BI552" s="384"/>
      <c r="BJ552" s="385"/>
      <c r="BK552" s="385"/>
      <c r="BL552" s="385"/>
      <c r="BM552" s="385"/>
      <c r="BN552" s="385"/>
      <c r="BO552" s="385"/>
      <c r="BP552" s="385"/>
      <c r="BQ552" s="385"/>
      <c r="BR552" s="385"/>
      <c r="BS552" s="385"/>
      <c r="BT552" s="385"/>
      <c r="BU552" s="385"/>
      <c r="BV552" s="385"/>
      <c r="BW552" s="385"/>
      <c r="BX552" s="385"/>
      <c r="BY552" s="385"/>
      <c r="BZ552" s="385"/>
      <c r="CA552" s="385"/>
      <c r="CB552" s="385"/>
      <c r="CC552" s="385"/>
      <c r="CD552" s="385"/>
      <c r="CE552" s="385"/>
      <c r="DJ552" s="22" t="b">
        <v>1</v>
      </c>
      <c r="DK552" s="388"/>
      <c r="DL552" s="388"/>
      <c r="DM552" s="388"/>
      <c r="DN552" s="388"/>
      <c r="DO552" s="388"/>
      <c r="DP552" s="389"/>
      <c r="DQ552" s="388"/>
      <c r="DR552" s="57" t="str">
        <f t="shared" si="16"/>
        <v/>
      </c>
      <c r="DS552" s="388"/>
      <c r="DU552" s="1" t="s">
        <v>280</v>
      </c>
      <c r="DV552" s="390"/>
      <c r="EA552" s="390"/>
      <c r="EB552" s="390"/>
      <c r="EC552" s="390"/>
      <c r="ED552" s="390"/>
    </row>
    <row r="553" spans="1:134" s="23" customFormat="1" x14ac:dyDescent="0.15">
      <c r="A553" s="23">
        <v>660310</v>
      </c>
      <c r="B553" s="378" t="s">
        <v>994</v>
      </c>
      <c r="C553" s="40" t="s">
        <v>995</v>
      </c>
      <c r="D553" s="23" t="s">
        <v>961</v>
      </c>
      <c r="E553" s="23">
        <v>660100</v>
      </c>
      <c r="H553" s="379">
        <v>1</v>
      </c>
      <c r="L553" s="23">
        <v>0</v>
      </c>
      <c r="Q553" s="23" t="s">
        <v>431</v>
      </c>
      <c r="W553" s="23" t="b">
        <v>1</v>
      </c>
      <c r="X553" s="23">
        <v>1</v>
      </c>
      <c r="Y553" s="23">
        <v>0</v>
      </c>
      <c r="Z553" s="23">
        <v>0</v>
      </c>
      <c r="AB553" s="353">
        <v>66120001</v>
      </c>
      <c r="AC553" s="17" t="s">
        <v>815</v>
      </c>
      <c r="AD553" s="17"/>
      <c r="AE553" s="380" t="s">
        <v>291</v>
      </c>
      <c r="AF553" s="22" t="s">
        <v>437</v>
      </c>
      <c r="AG553" s="380"/>
      <c r="AH553" s="380"/>
      <c r="AI553" s="380"/>
      <c r="AJ553" s="380">
        <v>-1</v>
      </c>
      <c r="AK553" s="380"/>
      <c r="AL553" s="382"/>
      <c r="AM553" s="382"/>
      <c r="AN553" s="382"/>
      <c r="AO553" s="382"/>
      <c r="AP553" s="382"/>
      <c r="AQ553" s="382"/>
      <c r="AR553" s="382"/>
      <c r="AU553" s="382"/>
      <c r="AV553" s="382"/>
      <c r="AW553" s="382"/>
      <c r="AX553" s="382"/>
      <c r="AY553" s="382"/>
      <c r="AZ553" s="382"/>
      <c r="BA553" s="383"/>
      <c r="BB553" s="384"/>
      <c r="BC553" s="384"/>
      <c r="BD553" s="384"/>
      <c r="BE553" s="384"/>
      <c r="BF553" s="384"/>
      <c r="BG553" s="384"/>
      <c r="BH553" s="384"/>
      <c r="BI553" s="384"/>
      <c r="BJ553" s="385"/>
      <c r="BK553" s="385"/>
      <c r="BL553" s="385"/>
      <c r="BM553" s="385"/>
      <c r="BN553" s="385"/>
      <c r="BO553" s="385"/>
      <c r="BP553" s="385"/>
      <c r="BQ553" s="385"/>
      <c r="BR553" s="385"/>
      <c r="BS553" s="385"/>
      <c r="BT553" s="385"/>
      <c r="BU553" s="385"/>
      <c r="BV553" s="385"/>
      <c r="BW553" s="385"/>
      <c r="BX553" s="385"/>
      <c r="BY553" s="385"/>
      <c r="BZ553" s="385"/>
      <c r="CA553" s="385"/>
      <c r="CB553" s="385"/>
      <c r="CC553" s="385"/>
      <c r="CD553" s="385"/>
      <c r="CE553" s="385"/>
      <c r="CX553" s="387" t="s">
        <v>273</v>
      </c>
      <c r="DD553" s="362" t="s">
        <v>274</v>
      </c>
      <c r="DE553" s="23" t="s">
        <v>962</v>
      </c>
      <c r="DJ553" s="22" t="b">
        <v>1</v>
      </c>
      <c r="DK553" s="388" t="s">
        <v>983</v>
      </c>
      <c r="DL553" s="388"/>
      <c r="DM553" s="388"/>
      <c r="DN553" s="388"/>
      <c r="DO553" s="388"/>
      <c r="DP553" s="389"/>
      <c r="DQ553" s="388" t="s">
        <v>983</v>
      </c>
      <c r="DR553" s="57" t="str">
        <f t="shared" si="16"/>
        <v/>
      </c>
      <c r="DS553" s="388" t="s">
        <v>984</v>
      </c>
      <c r="DU553" s="1" t="s">
        <v>280</v>
      </c>
      <c r="DV553" s="390"/>
      <c r="EA553" s="390"/>
      <c r="EB553" s="390"/>
      <c r="EC553" s="390"/>
      <c r="ED553" s="390"/>
    </row>
    <row r="554" spans="1:134" s="23" customFormat="1" ht="49.5" customHeight="1" x14ac:dyDescent="0.15">
      <c r="B554" s="378"/>
      <c r="C554" s="40"/>
      <c r="AB554" s="353">
        <v>66120002</v>
      </c>
      <c r="AC554" s="17" t="s">
        <v>819</v>
      </c>
      <c r="AD554" s="380" t="s">
        <v>330</v>
      </c>
      <c r="AE554" s="380" t="s">
        <v>820</v>
      </c>
      <c r="AF554" s="380" t="s">
        <v>314</v>
      </c>
      <c r="AG554" s="380"/>
      <c r="AH554" s="380"/>
      <c r="AI554" s="380"/>
      <c r="AJ554" s="380"/>
      <c r="AK554" s="380"/>
      <c r="AL554" s="382"/>
      <c r="AM554" s="382"/>
      <c r="AN554" s="382"/>
      <c r="AO554" s="382"/>
      <c r="AP554" s="382"/>
      <c r="AQ554" s="382"/>
      <c r="AR554" s="382"/>
      <c r="AU554" s="382"/>
      <c r="AV554" s="382"/>
      <c r="AW554" s="382"/>
      <c r="AX554" s="382"/>
      <c r="AY554" s="382"/>
      <c r="AZ554" s="382"/>
      <c r="BA554" s="383"/>
      <c r="BB554" s="384"/>
      <c r="BC554" s="384"/>
      <c r="BD554" s="384"/>
      <c r="BE554" s="384"/>
      <c r="BF554" s="384"/>
      <c r="BG554" s="384"/>
      <c r="BH554" s="384"/>
      <c r="BI554" s="384"/>
      <c r="BJ554" s="385"/>
      <c r="BK554" s="385"/>
      <c r="BL554" s="385"/>
      <c r="BM554" s="385"/>
      <c r="BN554" s="385"/>
      <c r="BO554" s="385"/>
      <c r="BP554" s="385"/>
      <c r="BQ554" s="385"/>
      <c r="BR554" s="385"/>
      <c r="BS554" s="385"/>
      <c r="BT554" s="385"/>
      <c r="BU554" s="385"/>
      <c r="BV554" s="385"/>
      <c r="BW554" s="385"/>
      <c r="BX554" s="385"/>
      <c r="BY554" s="385"/>
      <c r="BZ554" s="385"/>
      <c r="CA554" s="385"/>
      <c r="CB554" s="23" t="s">
        <v>1</v>
      </c>
      <c r="CC554" s="386" t="s">
        <v>464</v>
      </c>
      <c r="CD554" s="386">
        <v>999</v>
      </c>
      <c r="CE554" s="386" t="s">
        <v>675</v>
      </c>
      <c r="DJ554" s="22" t="b">
        <v>1</v>
      </c>
      <c r="DK554" s="388"/>
      <c r="DL554" s="388"/>
      <c r="DM554" s="388"/>
      <c r="DN554" s="388"/>
      <c r="DO554" s="388"/>
      <c r="DP554" s="389"/>
      <c r="DQ554" s="388"/>
      <c r="DR554" s="57" t="str">
        <f t="shared" si="16"/>
        <v/>
      </c>
      <c r="DS554" s="388"/>
      <c r="DU554" s="1" t="s">
        <v>280</v>
      </c>
      <c r="DV554" s="390"/>
      <c r="EA554" s="390"/>
      <c r="EB554" s="390"/>
      <c r="EC554" s="390"/>
      <c r="ED554" s="390"/>
    </row>
    <row r="555" spans="1:134" s="23" customFormat="1" x14ac:dyDescent="0.15">
      <c r="B555" s="378"/>
      <c r="C555" s="40"/>
      <c r="AB555" s="353">
        <v>66120003</v>
      </c>
      <c r="AC555" s="135" t="s">
        <v>985</v>
      </c>
      <c r="AD555" s="380" t="s">
        <v>330</v>
      </c>
      <c r="AE555" s="380" t="s">
        <v>811</v>
      </c>
      <c r="AF555" s="380" t="s">
        <v>314</v>
      </c>
      <c r="AG555" s="380"/>
      <c r="AH555" s="380"/>
      <c r="AI555" s="380"/>
      <c r="AJ555" s="380">
        <v>2</v>
      </c>
      <c r="AK555" s="380"/>
      <c r="AL555" s="382"/>
      <c r="AM555" s="382"/>
      <c r="AN555" s="382"/>
      <c r="AO555" s="382"/>
      <c r="AP555" s="382"/>
      <c r="AQ555" s="382"/>
      <c r="AR555" s="382"/>
      <c r="AU555" s="382"/>
      <c r="AV555" s="382"/>
      <c r="AW555" s="382"/>
      <c r="AX555" s="382"/>
      <c r="AY555" s="382"/>
      <c r="AZ555" s="382"/>
      <c r="BA555" s="383" t="s">
        <v>270</v>
      </c>
      <c r="BB555" s="384">
        <v>0.15</v>
      </c>
      <c r="BC555" s="384"/>
      <c r="BD555" s="384"/>
      <c r="BE555" s="384"/>
      <c r="BF555" s="384"/>
      <c r="BG555" s="384"/>
      <c r="BH555" s="384"/>
      <c r="BI555" s="384"/>
      <c r="BJ555" s="385"/>
      <c r="BK555" s="385"/>
      <c r="BL555" s="385"/>
      <c r="BM555" s="385"/>
      <c r="BN555" s="385"/>
      <c r="BO555" s="385"/>
      <c r="BP555" s="385"/>
      <c r="BQ555" s="385"/>
      <c r="BR555" s="385"/>
      <c r="BS555" s="385"/>
      <c r="BT555" s="385"/>
      <c r="BU555" s="385"/>
      <c r="BV555" s="385"/>
      <c r="BW555" s="385"/>
      <c r="BX555" s="385"/>
      <c r="BY555" s="385"/>
      <c r="BZ555" s="385"/>
      <c r="CA555" s="385"/>
      <c r="CB555" s="385"/>
      <c r="CC555" s="385"/>
      <c r="CD555" s="385"/>
      <c r="CE555" s="385"/>
      <c r="DJ555" s="22" t="b">
        <v>1</v>
      </c>
      <c r="DK555" s="388"/>
      <c r="DL555" s="388"/>
      <c r="DM555" s="388"/>
      <c r="DN555" s="388"/>
      <c r="DO555" s="388"/>
      <c r="DP555" s="389"/>
      <c r="DQ555" s="388"/>
      <c r="DR555" s="57" t="str">
        <f t="shared" si="16"/>
        <v/>
      </c>
      <c r="DS555" s="388"/>
      <c r="DU555" s="1" t="s">
        <v>280</v>
      </c>
      <c r="DV555" s="390"/>
      <c r="EA555" s="390"/>
      <c r="EB555" s="390"/>
      <c r="EC555" s="390"/>
      <c r="ED555" s="390"/>
    </row>
    <row r="556" spans="1:134" s="23" customFormat="1" x14ac:dyDescent="0.15">
      <c r="A556" s="23">
        <v>660320</v>
      </c>
      <c r="B556" s="378" t="s">
        <v>994</v>
      </c>
      <c r="C556" s="40" t="s">
        <v>995</v>
      </c>
      <c r="D556" s="23" t="s">
        <v>966</v>
      </c>
      <c r="E556" s="23">
        <v>660100</v>
      </c>
      <c r="H556" s="379">
        <v>1</v>
      </c>
      <c r="L556" s="23">
        <v>0</v>
      </c>
      <c r="Q556" s="23" t="s">
        <v>431</v>
      </c>
      <c r="W556" s="23" t="b">
        <v>1</v>
      </c>
      <c r="X556" s="23">
        <v>1</v>
      </c>
      <c r="Y556" s="23">
        <v>0</v>
      </c>
      <c r="Z556" s="23">
        <v>0</v>
      </c>
      <c r="AB556" s="353">
        <v>66040001</v>
      </c>
      <c r="AC556" s="17" t="s">
        <v>815</v>
      </c>
      <c r="AD556" s="17"/>
      <c r="AE556" s="380" t="s">
        <v>291</v>
      </c>
      <c r="AF556" s="22" t="s">
        <v>437</v>
      </c>
      <c r="AG556" s="380"/>
      <c r="AH556" s="380"/>
      <c r="AI556" s="380"/>
      <c r="AJ556" s="380">
        <v>-1</v>
      </c>
      <c r="AK556" s="380"/>
      <c r="AL556" s="382"/>
      <c r="AM556" s="382"/>
      <c r="AN556" s="382"/>
      <c r="AO556" s="382"/>
      <c r="AP556" s="382"/>
      <c r="AQ556" s="382"/>
      <c r="AR556" s="382"/>
      <c r="AU556" s="382"/>
      <c r="AV556" s="382"/>
      <c r="AW556" s="382"/>
      <c r="AX556" s="382"/>
      <c r="AY556" s="382"/>
      <c r="AZ556" s="382"/>
      <c r="BA556" s="383"/>
      <c r="BB556" s="384"/>
      <c r="BC556" s="384"/>
      <c r="BD556" s="384"/>
      <c r="BE556" s="384"/>
      <c r="BF556" s="384"/>
      <c r="BG556" s="384"/>
      <c r="BH556" s="384"/>
      <c r="BI556" s="384"/>
      <c r="BJ556" s="385"/>
      <c r="BK556" s="385"/>
      <c r="BL556" s="385"/>
      <c r="BM556" s="385"/>
      <c r="BN556" s="385"/>
      <c r="BO556" s="385"/>
      <c r="BP556" s="385"/>
      <c r="BQ556" s="385"/>
      <c r="BR556" s="385"/>
      <c r="BS556" s="385"/>
      <c r="BT556" s="385"/>
      <c r="BU556" s="385"/>
      <c r="BV556" s="385"/>
      <c r="BW556" s="385"/>
      <c r="BX556" s="385"/>
      <c r="BY556" s="385"/>
      <c r="BZ556" s="385"/>
      <c r="CA556" s="385"/>
      <c r="CB556" s="385"/>
      <c r="CC556" s="385"/>
      <c r="CD556" s="385"/>
      <c r="CE556" s="385"/>
      <c r="CX556" s="387" t="s">
        <v>273</v>
      </c>
      <c r="DD556" s="362" t="s">
        <v>274</v>
      </c>
      <c r="DE556" s="23" t="s">
        <v>967</v>
      </c>
      <c r="DJ556" s="22" t="b">
        <v>1</v>
      </c>
      <c r="DK556" s="388" t="s">
        <v>987</v>
      </c>
      <c r="DL556" s="388"/>
      <c r="DM556" s="388"/>
      <c r="DN556" s="388"/>
      <c r="DO556" s="388"/>
      <c r="DP556" s="389"/>
      <c r="DQ556" s="388" t="s">
        <v>987</v>
      </c>
      <c r="DR556" s="57" t="str">
        <f t="shared" si="16"/>
        <v/>
      </c>
      <c r="DS556" s="388" t="s">
        <v>988</v>
      </c>
      <c r="DU556" s="1" t="s">
        <v>280</v>
      </c>
      <c r="DV556" s="390"/>
      <c r="EA556" s="390"/>
      <c r="EB556" s="390"/>
      <c r="EC556" s="390"/>
      <c r="ED556" s="390"/>
    </row>
    <row r="557" spans="1:134" s="23" customFormat="1" ht="49.5" customHeight="1" x14ac:dyDescent="0.15">
      <c r="B557" s="378"/>
      <c r="C557" s="40"/>
      <c r="AB557" s="353">
        <v>66040002</v>
      </c>
      <c r="AC557" s="17" t="s">
        <v>819</v>
      </c>
      <c r="AD557" s="380" t="s">
        <v>330</v>
      </c>
      <c r="AE557" s="380" t="s">
        <v>820</v>
      </c>
      <c r="AF557" s="380" t="s">
        <v>314</v>
      </c>
      <c r="AG557" s="380"/>
      <c r="AH557" s="380"/>
      <c r="AI557" s="380"/>
      <c r="AJ557" s="380"/>
      <c r="AK557" s="380"/>
      <c r="AL557" s="382"/>
      <c r="AM557" s="382"/>
      <c r="AN557" s="382"/>
      <c r="AO557" s="382"/>
      <c r="AP557" s="382"/>
      <c r="AQ557" s="382"/>
      <c r="AR557" s="382"/>
      <c r="AU557" s="382"/>
      <c r="AV557" s="382"/>
      <c r="AW557" s="382"/>
      <c r="AX557" s="382"/>
      <c r="AY557" s="382"/>
      <c r="AZ557" s="382"/>
      <c r="BA557" s="383"/>
      <c r="BB557" s="384"/>
      <c r="BC557" s="384"/>
      <c r="BD557" s="384"/>
      <c r="BE557" s="384"/>
      <c r="BF557" s="384"/>
      <c r="BG557" s="384"/>
      <c r="BH557" s="384"/>
      <c r="BI557" s="384"/>
      <c r="BJ557" s="385"/>
      <c r="BK557" s="385"/>
      <c r="BL557" s="385"/>
      <c r="BM557" s="385"/>
      <c r="BN557" s="385"/>
      <c r="BO557" s="385"/>
      <c r="BP557" s="385"/>
      <c r="BQ557" s="385"/>
      <c r="BR557" s="385"/>
      <c r="BS557" s="385"/>
      <c r="BT557" s="385"/>
      <c r="BU557" s="385"/>
      <c r="BV557" s="385"/>
      <c r="BW557" s="385"/>
      <c r="BX557" s="385"/>
      <c r="BY557" s="385"/>
      <c r="BZ557" s="385"/>
      <c r="CA557" s="385"/>
      <c r="CB557" s="23" t="s">
        <v>1</v>
      </c>
      <c r="CC557" s="386" t="s">
        <v>464</v>
      </c>
      <c r="CD557" s="386">
        <v>999</v>
      </c>
      <c r="CE557" s="386" t="s">
        <v>675</v>
      </c>
      <c r="DJ557" s="22" t="b">
        <v>1</v>
      </c>
      <c r="DK557" s="388"/>
      <c r="DL557" s="388"/>
      <c r="DM557" s="388"/>
      <c r="DN557" s="388"/>
      <c r="DO557" s="388"/>
      <c r="DP557" s="389"/>
      <c r="DQ557" s="388"/>
      <c r="DR557" s="57" t="str">
        <f t="shared" si="16"/>
        <v/>
      </c>
      <c r="DS557" s="388"/>
      <c r="DU557" s="1" t="s">
        <v>280</v>
      </c>
      <c r="DV557" s="390"/>
      <c r="EA557" s="390"/>
      <c r="EB557" s="390"/>
      <c r="EC557" s="390"/>
      <c r="ED557" s="390"/>
    </row>
    <row r="558" spans="1:134" s="23" customFormat="1" x14ac:dyDescent="0.15">
      <c r="B558" s="378"/>
      <c r="C558" s="40"/>
      <c r="AB558" s="353">
        <v>66040003</v>
      </c>
      <c r="AC558" s="135" t="s">
        <v>989</v>
      </c>
      <c r="AD558" s="380" t="s">
        <v>330</v>
      </c>
      <c r="AE558" s="380" t="s">
        <v>811</v>
      </c>
      <c r="AF558" s="380" t="s">
        <v>314</v>
      </c>
      <c r="AG558" s="380"/>
      <c r="AH558" s="380"/>
      <c r="AI558" s="380"/>
      <c r="AJ558" s="380">
        <v>2</v>
      </c>
      <c r="AK558" s="380"/>
      <c r="AL558" s="382"/>
      <c r="AM558" s="382"/>
      <c r="AN558" s="382"/>
      <c r="AO558" s="382"/>
      <c r="AP558" s="382"/>
      <c r="AQ558" s="382"/>
      <c r="AR558" s="382"/>
      <c r="AU558" s="382"/>
      <c r="AV558" s="382"/>
      <c r="AW558" s="382"/>
      <c r="AX558" s="382"/>
      <c r="AY558" s="382"/>
      <c r="AZ558" s="382"/>
      <c r="BA558" s="383" t="s">
        <v>270</v>
      </c>
      <c r="BB558" s="384">
        <v>0.15</v>
      </c>
      <c r="BC558" s="384"/>
      <c r="BD558" s="384"/>
      <c r="BE558" s="384"/>
      <c r="BF558" s="384"/>
      <c r="BG558" s="384"/>
      <c r="BH558" s="384"/>
      <c r="BI558" s="384"/>
      <c r="BJ558" s="385"/>
      <c r="BK558" s="385"/>
      <c r="BL558" s="385"/>
      <c r="BM558" s="385"/>
      <c r="BN558" s="385"/>
      <c r="BO558" s="385"/>
      <c r="BP558" s="385"/>
      <c r="BQ558" s="385"/>
      <c r="BR558" s="385"/>
      <c r="BS558" s="385"/>
      <c r="BT558" s="385"/>
      <c r="BU558" s="385"/>
      <c r="BV558" s="385"/>
      <c r="BW558" s="385"/>
      <c r="BX558" s="385"/>
      <c r="BY558" s="385"/>
      <c r="BZ558" s="385"/>
      <c r="CA558" s="385"/>
      <c r="CB558" s="385"/>
      <c r="CC558" s="385"/>
      <c r="CD558" s="385"/>
      <c r="CE558" s="385"/>
      <c r="DJ558" s="22" t="b">
        <v>1</v>
      </c>
      <c r="DK558" s="388"/>
      <c r="DL558" s="388"/>
      <c r="DM558" s="388"/>
      <c r="DN558" s="388"/>
      <c r="DO558" s="388"/>
      <c r="DP558" s="389"/>
      <c r="DQ558" s="388"/>
      <c r="DR558" s="57" t="str">
        <f t="shared" si="16"/>
        <v/>
      </c>
      <c r="DS558" s="388"/>
      <c r="DU558" s="1" t="s">
        <v>280</v>
      </c>
      <c r="DV558" s="390"/>
      <c r="EA558" s="390"/>
      <c r="EB558" s="390"/>
      <c r="EC558" s="390"/>
      <c r="ED558" s="390"/>
    </row>
    <row r="559" spans="1:134" s="23" customFormat="1" x14ac:dyDescent="0.15">
      <c r="A559" s="23">
        <v>660330</v>
      </c>
      <c r="B559" s="378" t="s">
        <v>994</v>
      </c>
      <c r="C559" s="40" t="s">
        <v>995</v>
      </c>
      <c r="D559" s="23" t="s">
        <v>971</v>
      </c>
      <c r="E559" s="23">
        <v>660100</v>
      </c>
      <c r="H559" s="379">
        <v>1</v>
      </c>
      <c r="L559" s="23">
        <v>0</v>
      </c>
      <c r="Q559" s="23" t="s">
        <v>431</v>
      </c>
      <c r="W559" s="23" t="b">
        <v>1</v>
      </c>
      <c r="X559" s="23">
        <v>1</v>
      </c>
      <c r="Y559" s="23">
        <v>0</v>
      </c>
      <c r="Z559" s="23">
        <v>0</v>
      </c>
      <c r="AB559" s="353">
        <v>66020001</v>
      </c>
      <c r="AC559" s="17" t="s">
        <v>815</v>
      </c>
      <c r="AD559" s="17"/>
      <c r="AE559" s="380" t="s">
        <v>291</v>
      </c>
      <c r="AF559" s="22" t="s">
        <v>437</v>
      </c>
      <c r="AG559" s="380"/>
      <c r="AH559" s="380"/>
      <c r="AI559" s="380"/>
      <c r="AJ559" s="380">
        <v>-1</v>
      </c>
      <c r="AK559" s="380"/>
      <c r="AL559" s="382"/>
      <c r="AM559" s="382"/>
      <c r="AN559" s="382"/>
      <c r="AO559" s="382"/>
      <c r="AP559" s="382"/>
      <c r="AQ559" s="382"/>
      <c r="AR559" s="382"/>
      <c r="AU559" s="382"/>
      <c r="AV559" s="382"/>
      <c r="AW559" s="382"/>
      <c r="AX559" s="382"/>
      <c r="AY559" s="382"/>
      <c r="AZ559" s="382"/>
      <c r="BA559" s="383"/>
      <c r="BB559" s="384"/>
      <c r="BC559" s="384"/>
      <c r="BD559" s="384"/>
      <c r="BE559" s="384"/>
      <c r="BF559" s="384"/>
      <c r="BG559" s="384"/>
      <c r="BH559" s="384"/>
      <c r="BI559" s="384"/>
      <c r="BJ559" s="385"/>
      <c r="BK559" s="385"/>
      <c r="BL559" s="385"/>
      <c r="BM559" s="385"/>
      <c r="BN559" s="385"/>
      <c r="BO559" s="385"/>
      <c r="BP559" s="385"/>
      <c r="BQ559" s="385"/>
      <c r="BR559" s="385"/>
      <c r="BS559" s="385"/>
      <c r="BT559" s="385"/>
      <c r="BU559" s="385"/>
      <c r="BV559" s="385"/>
      <c r="BW559" s="385"/>
      <c r="BX559" s="385"/>
      <c r="BY559" s="385"/>
      <c r="BZ559" s="385"/>
      <c r="CA559" s="385"/>
      <c r="CB559" s="385"/>
      <c r="CC559" s="385"/>
      <c r="CD559" s="385"/>
      <c r="CE559" s="385"/>
      <c r="CX559" s="387" t="s">
        <v>273</v>
      </c>
      <c r="DD559" s="362" t="s">
        <v>274</v>
      </c>
      <c r="DE559" s="23" t="s">
        <v>972</v>
      </c>
      <c r="DJ559" s="22" t="b">
        <v>1</v>
      </c>
      <c r="DK559" s="388" t="s">
        <v>991</v>
      </c>
      <c r="DL559" s="388"/>
      <c r="DM559" s="388"/>
      <c r="DN559" s="388"/>
      <c r="DO559" s="388"/>
      <c r="DP559" s="389"/>
      <c r="DQ559" s="388" t="s">
        <v>991</v>
      </c>
      <c r="DR559" s="57" t="str">
        <f t="shared" si="16"/>
        <v/>
      </c>
      <c r="DS559" s="388" t="s">
        <v>992</v>
      </c>
      <c r="DU559" s="1" t="s">
        <v>280</v>
      </c>
      <c r="DV559" s="390"/>
      <c r="EA559" s="390"/>
      <c r="EB559" s="390"/>
      <c r="EC559" s="390"/>
      <c r="ED559" s="390"/>
    </row>
    <row r="560" spans="1:134" s="23" customFormat="1" ht="49.5" customHeight="1" x14ac:dyDescent="0.15">
      <c r="B560" s="378"/>
      <c r="C560" s="40"/>
      <c r="AB560" s="353">
        <v>66020002</v>
      </c>
      <c r="AC560" s="17" t="s">
        <v>819</v>
      </c>
      <c r="AD560" s="380" t="s">
        <v>330</v>
      </c>
      <c r="AE560" s="380" t="s">
        <v>820</v>
      </c>
      <c r="AF560" s="380" t="s">
        <v>314</v>
      </c>
      <c r="AG560" s="380"/>
      <c r="AH560" s="380"/>
      <c r="AI560" s="380"/>
      <c r="AJ560" s="380"/>
      <c r="AK560" s="380"/>
      <c r="AL560" s="382"/>
      <c r="AM560" s="382"/>
      <c r="AN560" s="382"/>
      <c r="AO560" s="382"/>
      <c r="AP560" s="382"/>
      <c r="AQ560" s="382"/>
      <c r="AR560" s="382"/>
      <c r="AU560" s="382"/>
      <c r="AV560" s="382"/>
      <c r="AW560" s="382"/>
      <c r="AX560" s="382"/>
      <c r="AY560" s="382"/>
      <c r="AZ560" s="382"/>
      <c r="BA560" s="383"/>
      <c r="BB560" s="384"/>
      <c r="BC560" s="384"/>
      <c r="BD560" s="384"/>
      <c r="BE560" s="384"/>
      <c r="BF560" s="384"/>
      <c r="BG560" s="384"/>
      <c r="BH560" s="384"/>
      <c r="BI560" s="384"/>
      <c r="BJ560" s="385"/>
      <c r="BK560" s="385"/>
      <c r="BL560" s="385"/>
      <c r="BM560" s="385"/>
      <c r="BN560" s="385"/>
      <c r="BO560" s="385"/>
      <c r="BP560" s="385"/>
      <c r="BQ560" s="385"/>
      <c r="BR560" s="385"/>
      <c r="BS560" s="385"/>
      <c r="BT560" s="385"/>
      <c r="BU560" s="385"/>
      <c r="BV560" s="385"/>
      <c r="BW560" s="385"/>
      <c r="BX560" s="385"/>
      <c r="BY560" s="385"/>
      <c r="BZ560" s="385"/>
      <c r="CA560" s="385"/>
      <c r="CB560" s="23" t="s">
        <v>1</v>
      </c>
      <c r="CC560" s="386" t="s">
        <v>464</v>
      </c>
      <c r="CD560" s="386">
        <v>999</v>
      </c>
      <c r="CE560" s="386" t="s">
        <v>675</v>
      </c>
      <c r="DJ560" s="22" t="b">
        <v>1</v>
      </c>
      <c r="DK560" s="388"/>
      <c r="DL560" s="388"/>
      <c r="DM560" s="388"/>
      <c r="DN560" s="388"/>
      <c r="DO560" s="388"/>
      <c r="DP560" s="389"/>
      <c r="DQ560" s="388"/>
      <c r="DR560" s="57" t="str">
        <f t="shared" si="16"/>
        <v/>
      </c>
      <c r="DS560" s="388"/>
      <c r="DU560" s="1" t="s">
        <v>280</v>
      </c>
      <c r="DV560" s="390"/>
      <c r="EA560" s="390"/>
      <c r="EB560" s="390"/>
      <c r="EC560" s="390"/>
      <c r="ED560" s="390"/>
    </row>
    <row r="561" spans="1:134" s="23" customFormat="1" x14ac:dyDescent="0.15">
      <c r="B561" s="378"/>
      <c r="C561" s="40"/>
      <c r="AB561" s="353">
        <v>66020003</v>
      </c>
      <c r="AC561" s="135" t="s">
        <v>993</v>
      </c>
      <c r="AD561" s="380" t="s">
        <v>330</v>
      </c>
      <c r="AE561" s="380" t="s">
        <v>811</v>
      </c>
      <c r="AF561" s="380" t="s">
        <v>314</v>
      </c>
      <c r="AG561" s="380"/>
      <c r="AH561" s="380"/>
      <c r="AI561" s="380"/>
      <c r="AJ561" s="380">
        <v>2</v>
      </c>
      <c r="AK561" s="380"/>
      <c r="AL561" s="382"/>
      <c r="AM561" s="382"/>
      <c r="AN561" s="382"/>
      <c r="AO561" s="382"/>
      <c r="AP561" s="382"/>
      <c r="AQ561" s="382"/>
      <c r="AR561" s="382"/>
      <c r="AU561" s="382"/>
      <c r="AV561" s="382"/>
      <c r="AW561" s="382"/>
      <c r="AX561" s="382"/>
      <c r="AY561" s="382"/>
      <c r="AZ561" s="382"/>
      <c r="BA561" s="383" t="s">
        <v>270</v>
      </c>
      <c r="BB561" s="384">
        <v>0.15</v>
      </c>
      <c r="BC561" s="384"/>
      <c r="BD561" s="384"/>
      <c r="BE561" s="384"/>
      <c r="BF561" s="384"/>
      <c r="BG561" s="384"/>
      <c r="BH561" s="384"/>
      <c r="BI561" s="384"/>
      <c r="BJ561" s="385"/>
      <c r="BK561" s="385"/>
      <c r="BL561" s="385"/>
      <c r="BM561" s="385"/>
      <c r="BN561" s="385"/>
      <c r="BO561" s="385"/>
      <c r="BP561" s="385"/>
      <c r="BQ561" s="385"/>
      <c r="BR561" s="385"/>
      <c r="BS561" s="385"/>
      <c r="BT561" s="385"/>
      <c r="BU561" s="385"/>
      <c r="BV561" s="385"/>
      <c r="BW561" s="385"/>
      <c r="BX561" s="385"/>
      <c r="BY561" s="385"/>
      <c r="BZ561" s="385"/>
      <c r="CA561" s="385"/>
      <c r="CB561" s="385"/>
      <c r="CC561" s="385"/>
      <c r="CD561" s="385"/>
      <c r="CE561" s="385"/>
      <c r="DJ561" s="22" t="b">
        <v>1</v>
      </c>
      <c r="DK561" s="388"/>
      <c r="DL561" s="388"/>
      <c r="DM561" s="388"/>
      <c r="DN561" s="388"/>
      <c r="DO561" s="388"/>
      <c r="DP561" s="389"/>
      <c r="DQ561" s="388"/>
      <c r="DR561" s="57" t="str">
        <f t="shared" si="16"/>
        <v/>
      </c>
      <c r="DS561" s="388"/>
      <c r="DU561" s="1" t="s">
        <v>280</v>
      </c>
      <c r="DV561" s="390"/>
      <c r="EA561" s="390"/>
      <c r="EB561" s="390"/>
      <c r="EC561" s="390"/>
      <c r="ED561" s="390"/>
    </row>
    <row r="562" spans="1:134" s="23" customFormat="1" x14ac:dyDescent="0.15">
      <c r="A562" s="23">
        <v>660400</v>
      </c>
      <c r="B562" s="378" t="s">
        <v>996</v>
      </c>
      <c r="C562" s="40" t="s">
        <v>997</v>
      </c>
      <c r="D562" s="23" t="s">
        <v>956</v>
      </c>
      <c r="E562" s="23">
        <v>660200</v>
      </c>
      <c r="H562" s="379">
        <v>1</v>
      </c>
      <c r="L562" s="23">
        <v>0</v>
      </c>
      <c r="Q562" s="23" t="s">
        <v>431</v>
      </c>
      <c r="W562" s="23" t="b">
        <v>1</v>
      </c>
      <c r="X562" s="23">
        <v>1</v>
      </c>
      <c r="Y562" s="23">
        <v>0</v>
      </c>
      <c r="Z562" s="23">
        <v>0</v>
      </c>
      <c r="AB562" s="353">
        <v>66030001</v>
      </c>
      <c r="AC562" s="17" t="s">
        <v>815</v>
      </c>
      <c r="AD562" s="17"/>
      <c r="AE562" s="380" t="s">
        <v>291</v>
      </c>
      <c r="AF562" s="22" t="s">
        <v>437</v>
      </c>
      <c r="AG562" s="380"/>
      <c r="AH562" s="380"/>
      <c r="AI562" s="380"/>
      <c r="AJ562" s="380">
        <v>-1</v>
      </c>
      <c r="AK562" s="380"/>
      <c r="AL562" s="382"/>
      <c r="AM562" s="382"/>
      <c r="AN562" s="382"/>
      <c r="AO562" s="382"/>
      <c r="AP562" s="382"/>
      <c r="AQ562" s="382"/>
      <c r="AR562" s="382"/>
      <c r="AU562" s="382"/>
      <c r="AV562" s="382"/>
      <c r="AW562" s="382"/>
      <c r="AX562" s="382"/>
      <c r="AY562" s="382"/>
      <c r="AZ562" s="382"/>
      <c r="BA562" s="383"/>
      <c r="BB562" s="384"/>
      <c r="BC562" s="384"/>
      <c r="BD562" s="384"/>
      <c r="BE562" s="384"/>
      <c r="BF562" s="384"/>
      <c r="BG562" s="384"/>
      <c r="BH562" s="384"/>
      <c r="BI562" s="384"/>
      <c r="BJ562" s="385"/>
      <c r="BK562" s="385"/>
      <c r="BL562" s="385"/>
      <c r="BM562" s="385"/>
      <c r="BN562" s="385"/>
      <c r="BO562" s="385"/>
      <c r="BP562" s="385"/>
      <c r="BQ562" s="385"/>
      <c r="BR562" s="385"/>
      <c r="BS562" s="385"/>
      <c r="BT562" s="385"/>
      <c r="BU562" s="385"/>
      <c r="BV562" s="385"/>
      <c r="BW562" s="385"/>
      <c r="BX562" s="385"/>
      <c r="BY562" s="385"/>
      <c r="BZ562" s="385"/>
      <c r="CA562" s="385"/>
      <c r="CB562" s="385"/>
      <c r="CC562" s="385"/>
      <c r="CD562" s="385"/>
      <c r="CE562" s="385"/>
      <c r="CX562" s="387" t="s">
        <v>273</v>
      </c>
      <c r="DD562" s="362" t="s">
        <v>274</v>
      </c>
      <c r="DE562" s="23" t="s">
        <v>978</v>
      </c>
      <c r="DJ562" s="22" t="b">
        <v>1</v>
      </c>
      <c r="DK562" s="388" t="s">
        <v>958</v>
      </c>
      <c r="DL562" s="388"/>
      <c r="DM562" s="388"/>
      <c r="DN562" s="388"/>
      <c r="DO562" s="388"/>
      <c r="DP562" s="389"/>
      <c r="DQ562" s="388" t="s">
        <v>958</v>
      </c>
      <c r="DR562" s="57" t="str">
        <f t="shared" si="16"/>
        <v/>
      </c>
      <c r="DS562" s="388" t="s">
        <v>959</v>
      </c>
      <c r="DU562" s="1" t="s">
        <v>280</v>
      </c>
      <c r="DV562" s="390"/>
      <c r="EA562" s="390"/>
      <c r="EB562" s="390"/>
      <c r="EC562" s="390"/>
      <c r="ED562" s="390"/>
    </row>
    <row r="563" spans="1:134" s="23" customFormat="1" ht="49.5" customHeight="1" x14ac:dyDescent="0.15">
      <c r="B563" s="378"/>
      <c r="C563" s="40"/>
      <c r="AB563" s="353">
        <v>66030002</v>
      </c>
      <c r="AC563" s="17" t="s">
        <v>819</v>
      </c>
      <c r="AD563" s="380" t="s">
        <v>330</v>
      </c>
      <c r="AE563" s="380" t="s">
        <v>820</v>
      </c>
      <c r="AF563" s="380" t="s">
        <v>314</v>
      </c>
      <c r="AG563" s="380"/>
      <c r="AH563" s="380"/>
      <c r="AI563" s="380"/>
      <c r="AJ563" s="380"/>
      <c r="AK563" s="380"/>
      <c r="AL563" s="382"/>
      <c r="AM563" s="382"/>
      <c r="AN563" s="382"/>
      <c r="AO563" s="382"/>
      <c r="AP563" s="382"/>
      <c r="AQ563" s="382"/>
      <c r="AR563" s="382"/>
      <c r="AU563" s="382"/>
      <c r="AV563" s="382"/>
      <c r="AW563" s="382"/>
      <c r="AX563" s="382"/>
      <c r="AY563" s="382"/>
      <c r="AZ563" s="382"/>
      <c r="BA563" s="383"/>
      <c r="BB563" s="384"/>
      <c r="BC563" s="384"/>
      <c r="BD563" s="384"/>
      <c r="BE563" s="384"/>
      <c r="BF563" s="384"/>
      <c r="BG563" s="384"/>
      <c r="BH563" s="384"/>
      <c r="BI563" s="384"/>
      <c r="BJ563" s="385"/>
      <c r="BK563" s="385"/>
      <c r="BL563" s="385"/>
      <c r="BM563" s="385"/>
      <c r="BN563" s="385"/>
      <c r="BO563" s="385"/>
      <c r="BP563" s="385"/>
      <c r="BQ563" s="385"/>
      <c r="BR563" s="385"/>
      <c r="BS563" s="385"/>
      <c r="BT563" s="385"/>
      <c r="BU563" s="385"/>
      <c r="BV563" s="385"/>
      <c r="BW563" s="385"/>
      <c r="BX563" s="385"/>
      <c r="BY563" s="385"/>
      <c r="BZ563" s="385"/>
      <c r="CA563" s="385"/>
      <c r="CB563" s="23" t="s">
        <v>1</v>
      </c>
      <c r="CC563" s="386" t="s">
        <v>464</v>
      </c>
      <c r="CD563" s="386">
        <v>999</v>
      </c>
      <c r="CE563" s="386" t="s">
        <v>675</v>
      </c>
      <c r="DJ563" s="22" t="b">
        <v>1</v>
      </c>
      <c r="DK563" s="388"/>
      <c r="DL563" s="388"/>
      <c r="DM563" s="388"/>
      <c r="DN563" s="388"/>
      <c r="DO563" s="388"/>
      <c r="DP563" s="389"/>
      <c r="DQ563" s="388"/>
      <c r="DR563" s="57" t="str">
        <f t="shared" si="16"/>
        <v/>
      </c>
      <c r="DS563" s="388"/>
      <c r="DU563" s="1" t="s">
        <v>280</v>
      </c>
      <c r="DV563" s="390"/>
      <c r="EA563" s="390"/>
      <c r="EB563" s="390"/>
      <c r="EC563" s="390"/>
      <c r="ED563" s="390"/>
    </row>
    <row r="564" spans="1:134" s="23" customFormat="1" x14ac:dyDescent="0.15">
      <c r="B564" s="378"/>
      <c r="C564" s="40"/>
      <c r="AB564" s="353">
        <v>66030003</v>
      </c>
      <c r="AC564" s="381" t="s">
        <v>960</v>
      </c>
      <c r="AD564" s="380" t="s">
        <v>330</v>
      </c>
      <c r="AE564" s="380" t="s">
        <v>811</v>
      </c>
      <c r="AF564" s="380" t="s">
        <v>314</v>
      </c>
      <c r="AG564" s="380"/>
      <c r="AH564" s="380"/>
      <c r="AI564" s="380"/>
      <c r="AJ564" s="380">
        <v>2</v>
      </c>
      <c r="AK564" s="380"/>
      <c r="AL564" s="382"/>
      <c r="AM564" s="382"/>
      <c r="AN564" s="382"/>
      <c r="AO564" s="382"/>
      <c r="AP564" s="382"/>
      <c r="AQ564" s="382"/>
      <c r="AR564" s="382"/>
      <c r="AU564" s="382"/>
      <c r="AV564" s="382"/>
      <c r="AW564" s="382"/>
      <c r="AX564" s="382"/>
      <c r="AY564" s="382"/>
      <c r="AZ564" s="382"/>
      <c r="BA564" s="383" t="s">
        <v>270</v>
      </c>
      <c r="BB564" s="384">
        <v>0.15</v>
      </c>
      <c r="BC564" s="384"/>
      <c r="BD564" s="384"/>
      <c r="BE564" s="384"/>
      <c r="BF564" s="384"/>
      <c r="BG564" s="384"/>
      <c r="BH564" s="384"/>
      <c r="BI564" s="384"/>
      <c r="BJ564" s="385"/>
      <c r="BK564" s="385"/>
      <c r="BL564" s="385"/>
      <c r="BM564" s="385"/>
      <c r="BN564" s="385"/>
      <c r="BO564" s="385"/>
      <c r="BP564" s="385"/>
      <c r="BQ564" s="385"/>
      <c r="BR564" s="385"/>
      <c r="BS564" s="385"/>
      <c r="BT564" s="385"/>
      <c r="BU564" s="385"/>
      <c r="BV564" s="385"/>
      <c r="BW564" s="385"/>
      <c r="BX564" s="385"/>
      <c r="BY564" s="385"/>
      <c r="BZ564" s="385"/>
      <c r="CA564" s="385"/>
      <c r="CB564" s="385"/>
      <c r="CC564" s="385"/>
      <c r="CD564" s="385"/>
      <c r="CE564" s="385"/>
      <c r="DJ564" s="22" t="b">
        <v>1</v>
      </c>
      <c r="DK564" s="388"/>
      <c r="DL564" s="388"/>
      <c r="DM564" s="388"/>
      <c r="DN564" s="388"/>
      <c r="DO564" s="388"/>
      <c r="DP564" s="389"/>
      <c r="DQ564" s="388"/>
      <c r="DR564" s="57" t="str">
        <f t="shared" si="16"/>
        <v/>
      </c>
      <c r="DS564" s="388"/>
      <c r="DU564" s="1" t="s">
        <v>280</v>
      </c>
      <c r="DV564" s="390"/>
      <c r="EA564" s="390"/>
      <c r="EB564" s="390"/>
      <c r="EC564" s="390"/>
      <c r="ED564" s="390"/>
    </row>
    <row r="565" spans="1:134" s="23" customFormat="1" x14ac:dyDescent="0.15">
      <c r="A565" s="23">
        <v>660410</v>
      </c>
      <c r="B565" s="378" t="s">
        <v>996</v>
      </c>
      <c r="C565" s="40" t="s">
        <v>997</v>
      </c>
      <c r="D565" s="23" t="s">
        <v>961</v>
      </c>
      <c r="E565" s="23">
        <v>660200</v>
      </c>
      <c r="H565" s="379">
        <v>1</v>
      </c>
      <c r="L565" s="23">
        <v>0</v>
      </c>
      <c r="Q565" s="23" t="s">
        <v>431</v>
      </c>
      <c r="W565" s="23" t="b">
        <v>1</v>
      </c>
      <c r="X565" s="23">
        <v>1</v>
      </c>
      <c r="Y565" s="23">
        <v>0</v>
      </c>
      <c r="Z565" s="23">
        <v>0</v>
      </c>
      <c r="AB565" s="353">
        <v>66010001</v>
      </c>
      <c r="AC565" s="17" t="s">
        <v>815</v>
      </c>
      <c r="AD565" s="17"/>
      <c r="AE565" s="380" t="s">
        <v>291</v>
      </c>
      <c r="AF565" s="22" t="s">
        <v>437</v>
      </c>
      <c r="AG565" s="380"/>
      <c r="AH565" s="380"/>
      <c r="AI565" s="380"/>
      <c r="AJ565" s="380">
        <v>-1</v>
      </c>
      <c r="AK565" s="380"/>
      <c r="AL565" s="382"/>
      <c r="AM565" s="382"/>
      <c r="AN565" s="382"/>
      <c r="AO565" s="382"/>
      <c r="AP565" s="382"/>
      <c r="AQ565" s="382"/>
      <c r="AR565" s="382"/>
      <c r="AU565" s="382"/>
      <c r="AV565" s="382"/>
      <c r="AW565" s="382"/>
      <c r="AX565" s="382"/>
      <c r="AY565" s="382"/>
      <c r="AZ565" s="382"/>
      <c r="BA565" s="383"/>
      <c r="BB565" s="384"/>
      <c r="BC565" s="384"/>
      <c r="BD565" s="384"/>
      <c r="BE565" s="384"/>
      <c r="BF565" s="384"/>
      <c r="BG565" s="384"/>
      <c r="BH565" s="384"/>
      <c r="BI565" s="384"/>
      <c r="BJ565" s="385"/>
      <c r="BK565" s="385"/>
      <c r="BL565" s="385"/>
      <c r="BM565" s="385"/>
      <c r="BN565" s="385"/>
      <c r="BO565" s="385"/>
      <c r="BP565" s="385"/>
      <c r="BQ565" s="385"/>
      <c r="BR565" s="385"/>
      <c r="BS565" s="385"/>
      <c r="BT565" s="385"/>
      <c r="BU565" s="385"/>
      <c r="BV565" s="385"/>
      <c r="BW565" s="385"/>
      <c r="BX565" s="385"/>
      <c r="BY565" s="385"/>
      <c r="BZ565" s="385"/>
      <c r="CA565" s="385"/>
      <c r="CB565" s="385"/>
      <c r="CC565" s="385"/>
      <c r="CD565" s="385"/>
      <c r="CE565" s="385"/>
      <c r="CX565" s="387" t="s">
        <v>273</v>
      </c>
      <c r="DD565" s="362" t="s">
        <v>274</v>
      </c>
      <c r="DE565" s="23" t="s">
        <v>982</v>
      </c>
      <c r="DJ565" s="22" t="b">
        <v>1</v>
      </c>
      <c r="DK565" s="388" t="s">
        <v>963</v>
      </c>
      <c r="DL565" s="388"/>
      <c r="DM565" s="388"/>
      <c r="DN565" s="388"/>
      <c r="DO565" s="388"/>
      <c r="DP565" s="389"/>
      <c r="DQ565" s="388" t="s">
        <v>963</v>
      </c>
      <c r="DR565" s="57" t="str">
        <f t="shared" si="16"/>
        <v/>
      </c>
      <c r="DS565" s="388" t="s">
        <v>964</v>
      </c>
      <c r="DU565" s="1" t="s">
        <v>280</v>
      </c>
      <c r="DV565" s="390"/>
      <c r="EA565" s="390"/>
      <c r="EB565" s="390"/>
      <c r="EC565" s="390"/>
      <c r="ED565" s="390"/>
    </row>
    <row r="566" spans="1:134" s="23" customFormat="1" ht="49.5" customHeight="1" x14ac:dyDescent="0.15">
      <c r="B566" s="378"/>
      <c r="C566" s="40"/>
      <c r="AB566" s="353">
        <v>66010002</v>
      </c>
      <c r="AC566" s="17" t="s">
        <v>819</v>
      </c>
      <c r="AD566" s="380" t="s">
        <v>330</v>
      </c>
      <c r="AE566" s="380" t="s">
        <v>820</v>
      </c>
      <c r="AF566" s="380" t="s">
        <v>314</v>
      </c>
      <c r="AG566" s="380"/>
      <c r="AH566" s="380"/>
      <c r="AI566" s="380"/>
      <c r="AJ566" s="380"/>
      <c r="AK566" s="380"/>
      <c r="AL566" s="382"/>
      <c r="AM566" s="382"/>
      <c r="AN566" s="382"/>
      <c r="AO566" s="382"/>
      <c r="AP566" s="382"/>
      <c r="AQ566" s="382"/>
      <c r="AR566" s="382"/>
      <c r="AU566" s="382"/>
      <c r="AV566" s="382"/>
      <c r="AW566" s="382"/>
      <c r="AX566" s="382"/>
      <c r="AY566" s="382"/>
      <c r="AZ566" s="382"/>
      <c r="BA566" s="383"/>
      <c r="BB566" s="384"/>
      <c r="BC566" s="384"/>
      <c r="BD566" s="384"/>
      <c r="BE566" s="384"/>
      <c r="BF566" s="384"/>
      <c r="BG566" s="384"/>
      <c r="BH566" s="384"/>
      <c r="BI566" s="384"/>
      <c r="BJ566" s="385"/>
      <c r="BK566" s="385"/>
      <c r="BL566" s="385"/>
      <c r="BM566" s="385"/>
      <c r="BN566" s="385"/>
      <c r="BO566" s="385"/>
      <c r="BP566" s="385"/>
      <c r="BQ566" s="385"/>
      <c r="BR566" s="385"/>
      <c r="BS566" s="385"/>
      <c r="BT566" s="385"/>
      <c r="BU566" s="385"/>
      <c r="BV566" s="385"/>
      <c r="BW566" s="385"/>
      <c r="BX566" s="385"/>
      <c r="BY566" s="385"/>
      <c r="BZ566" s="385"/>
      <c r="CA566" s="385"/>
      <c r="CB566" s="23" t="s">
        <v>1</v>
      </c>
      <c r="CC566" s="386" t="s">
        <v>464</v>
      </c>
      <c r="CD566" s="386">
        <v>999</v>
      </c>
      <c r="CE566" s="386" t="s">
        <v>675</v>
      </c>
      <c r="DJ566" s="22" t="b">
        <v>1</v>
      </c>
      <c r="DK566" s="388"/>
      <c r="DL566" s="388"/>
      <c r="DM566" s="388"/>
      <c r="DN566" s="388"/>
      <c r="DO566" s="388"/>
      <c r="DP566" s="389"/>
      <c r="DQ566" s="388"/>
      <c r="DR566" s="57" t="str">
        <f t="shared" si="16"/>
        <v/>
      </c>
      <c r="DS566" s="388"/>
      <c r="DU566" s="1" t="s">
        <v>280</v>
      </c>
      <c r="DV566" s="390"/>
      <c r="EA566" s="390"/>
      <c r="EB566" s="390"/>
      <c r="EC566" s="390"/>
      <c r="ED566" s="390"/>
    </row>
    <row r="567" spans="1:134" s="23" customFormat="1" x14ac:dyDescent="0.15">
      <c r="B567" s="378"/>
      <c r="C567" s="40"/>
      <c r="AB567" s="353">
        <v>66010003</v>
      </c>
      <c r="AC567" s="381" t="s">
        <v>965</v>
      </c>
      <c r="AD567" s="380" t="s">
        <v>330</v>
      </c>
      <c r="AE567" s="380" t="s">
        <v>811</v>
      </c>
      <c r="AF567" s="380" t="s">
        <v>314</v>
      </c>
      <c r="AG567" s="380"/>
      <c r="AH567" s="380"/>
      <c r="AI567" s="380"/>
      <c r="AJ567" s="380">
        <v>2</v>
      </c>
      <c r="AK567" s="380"/>
      <c r="AL567" s="382"/>
      <c r="AM567" s="382"/>
      <c r="AN567" s="382"/>
      <c r="AO567" s="382"/>
      <c r="AP567" s="382"/>
      <c r="AQ567" s="382"/>
      <c r="AR567" s="382"/>
      <c r="AU567" s="382"/>
      <c r="AV567" s="382"/>
      <c r="AW567" s="382"/>
      <c r="AX567" s="382"/>
      <c r="AY567" s="382"/>
      <c r="AZ567" s="382"/>
      <c r="BA567" s="383" t="s">
        <v>270</v>
      </c>
      <c r="BB567" s="384">
        <v>0.15</v>
      </c>
      <c r="BC567" s="384"/>
      <c r="BD567" s="384"/>
      <c r="BE567" s="384"/>
      <c r="BF567" s="384"/>
      <c r="BG567" s="384"/>
      <c r="BH567" s="384"/>
      <c r="BI567" s="384"/>
      <c r="BJ567" s="385"/>
      <c r="BK567" s="385"/>
      <c r="BL567" s="385"/>
      <c r="BM567" s="385"/>
      <c r="BN567" s="385"/>
      <c r="BO567" s="385"/>
      <c r="BP567" s="385"/>
      <c r="BQ567" s="385"/>
      <c r="BR567" s="385"/>
      <c r="BS567" s="385"/>
      <c r="BT567" s="385"/>
      <c r="BU567" s="385"/>
      <c r="BV567" s="385"/>
      <c r="BW567" s="385"/>
      <c r="BX567" s="385"/>
      <c r="BY567" s="385"/>
      <c r="BZ567" s="385"/>
      <c r="CA567" s="385"/>
      <c r="CB567" s="385"/>
      <c r="CC567" s="385"/>
      <c r="CD567" s="385"/>
      <c r="CE567" s="385"/>
      <c r="DJ567" s="22" t="b">
        <v>1</v>
      </c>
      <c r="DK567" s="388"/>
      <c r="DL567" s="388"/>
      <c r="DM567" s="388"/>
      <c r="DN567" s="388"/>
      <c r="DO567" s="388"/>
      <c r="DP567" s="389"/>
      <c r="DQ567" s="388"/>
      <c r="DR567" s="57" t="str">
        <f t="shared" si="16"/>
        <v/>
      </c>
      <c r="DS567" s="388"/>
      <c r="DU567" s="1" t="s">
        <v>280</v>
      </c>
      <c r="DV567" s="390"/>
      <c r="EA567" s="390"/>
      <c r="EB567" s="390"/>
      <c r="EC567" s="390"/>
      <c r="ED567" s="390"/>
    </row>
    <row r="568" spans="1:134" s="23" customFormat="1" x14ac:dyDescent="0.15">
      <c r="A568" s="23">
        <v>660420</v>
      </c>
      <c r="B568" s="378" t="s">
        <v>996</v>
      </c>
      <c r="C568" s="40" t="s">
        <v>997</v>
      </c>
      <c r="D568" s="23" t="s">
        <v>966</v>
      </c>
      <c r="E568" s="23">
        <v>660200</v>
      </c>
      <c r="H568" s="379">
        <v>1</v>
      </c>
      <c r="L568" s="23">
        <v>0</v>
      </c>
      <c r="Q568" s="23" t="s">
        <v>431</v>
      </c>
      <c r="W568" s="23" t="b">
        <v>1</v>
      </c>
      <c r="X568" s="23">
        <v>1</v>
      </c>
      <c r="Y568" s="23">
        <v>0</v>
      </c>
      <c r="Z568" s="23">
        <v>0</v>
      </c>
      <c r="AB568" s="353">
        <v>66110001</v>
      </c>
      <c r="AC568" s="17" t="s">
        <v>815</v>
      </c>
      <c r="AD568" s="17"/>
      <c r="AE568" s="380" t="s">
        <v>291</v>
      </c>
      <c r="AF568" s="22" t="s">
        <v>437</v>
      </c>
      <c r="AG568" s="380"/>
      <c r="AH568" s="380"/>
      <c r="AI568" s="380"/>
      <c r="AJ568" s="380">
        <v>-1</v>
      </c>
      <c r="AK568" s="380"/>
      <c r="AL568" s="382"/>
      <c r="AM568" s="382"/>
      <c r="AN568" s="382"/>
      <c r="AO568" s="382"/>
      <c r="AP568" s="382"/>
      <c r="AQ568" s="382"/>
      <c r="AR568" s="382"/>
      <c r="AU568" s="382"/>
      <c r="AV568" s="382"/>
      <c r="AW568" s="382"/>
      <c r="AX568" s="382"/>
      <c r="AY568" s="382"/>
      <c r="AZ568" s="382"/>
      <c r="BA568" s="383"/>
      <c r="BB568" s="384"/>
      <c r="BC568" s="384"/>
      <c r="BD568" s="384"/>
      <c r="BE568" s="384"/>
      <c r="BF568" s="384"/>
      <c r="BG568" s="384"/>
      <c r="BH568" s="384"/>
      <c r="BI568" s="384"/>
      <c r="BJ568" s="385"/>
      <c r="BK568" s="385"/>
      <c r="BL568" s="385"/>
      <c r="BM568" s="385"/>
      <c r="BN568" s="385"/>
      <c r="BO568" s="385"/>
      <c r="BP568" s="385"/>
      <c r="BQ568" s="385"/>
      <c r="BR568" s="385"/>
      <c r="BS568" s="385"/>
      <c r="BT568" s="385"/>
      <c r="BU568" s="385"/>
      <c r="BV568" s="385"/>
      <c r="BW568" s="385"/>
      <c r="BX568" s="385"/>
      <c r="BY568" s="385"/>
      <c r="BZ568" s="385"/>
      <c r="CA568" s="385"/>
      <c r="CB568" s="385"/>
      <c r="CC568" s="385"/>
      <c r="CD568" s="385"/>
      <c r="CE568" s="385"/>
      <c r="CX568" s="387" t="s">
        <v>273</v>
      </c>
      <c r="DD568" s="362" t="s">
        <v>274</v>
      </c>
      <c r="DE568" s="23" t="s">
        <v>986</v>
      </c>
      <c r="DJ568" s="22" t="b">
        <v>1</v>
      </c>
      <c r="DK568" s="388" t="s">
        <v>968</v>
      </c>
      <c r="DL568" s="388"/>
      <c r="DM568" s="388"/>
      <c r="DN568" s="388"/>
      <c r="DO568" s="388"/>
      <c r="DP568" s="389"/>
      <c r="DQ568" s="388" t="s">
        <v>968</v>
      </c>
      <c r="DR568" s="57" t="str">
        <f t="shared" si="16"/>
        <v/>
      </c>
      <c r="DS568" s="388" t="s">
        <v>969</v>
      </c>
      <c r="DU568" s="1" t="s">
        <v>280</v>
      </c>
      <c r="DV568" s="390"/>
      <c r="EA568" s="390"/>
      <c r="EB568" s="390"/>
      <c r="EC568" s="390"/>
      <c r="ED568" s="390"/>
    </row>
    <row r="569" spans="1:134" s="23" customFormat="1" ht="49.5" customHeight="1" x14ac:dyDescent="0.15">
      <c r="B569" s="378"/>
      <c r="C569" s="40"/>
      <c r="AB569" s="353">
        <v>66110002</v>
      </c>
      <c r="AC569" s="17" t="s">
        <v>819</v>
      </c>
      <c r="AD569" s="380" t="s">
        <v>330</v>
      </c>
      <c r="AE569" s="380" t="s">
        <v>820</v>
      </c>
      <c r="AF569" s="380" t="s">
        <v>314</v>
      </c>
      <c r="AG569" s="380"/>
      <c r="AH569" s="380"/>
      <c r="AI569" s="380"/>
      <c r="AJ569" s="380"/>
      <c r="AK569" s="380"/>
      <c r="AL569" s="382"/>
      <c r="AM569" s="382"/>
      <c r="AN569" s="382"/>
      <c r="AO569" s="382"/>
      <c r="AP569" s="382"/>
      <c r="AQ569" s="382"/>
      <c r="AR569" s="382"/>
      <c r="AU569" s="382"/>
      <c r="AV569" s="382"/>
      <c r="AW569" s="382"/>
      <c r="AX569" s="382"/>
      <c r="AY569" s="382"/>
      <c r="AZ569" s="382"/>
      <c r="BA569" s="383"/>
      <c r="BB569" s="384"/>
      <c r="BC569" s="384"/>
      <c r="BD569" s="384"/>
      <c r="BE569" s="384"/>
      <c r="BF569" s="384"/>
      <c r="BG569" s="384"/>
      <c r="BH569" s="384"/>
      <c r="BI569" s="384"/>
      <c r="BJ569" s="385"/>
      <c r="BK569" s="385"/>
      <c r="BL569" s="385"/>
      <c r="BM569" s="385"/>
      <c r="BN569" s="385"/>
      <c r="BO569" s="385"/>
      <c r="BP569" s="385"/>
      <c r="BQ569" s="385"/>
      <c r="BR569" s="385"/>
      <c r="BS569" s="385"/>
      <c r="BT569" s="385"/>
      <c r="BU569" s="385"/>
      <c r="BV569" s="385"/>
      <c r="BW569" s="385"/>
      <c r="BX569" s="385"/>
      <c r="BY569" s="385"/>
      <c r="BZ569" s="385"/>
      <c r="CA569" s="385"/>
      <c r="CB569" s="23" t="s">
        <v>1</v>
      </c>
      <c r="CC569" s="386" t="s">
        <v>464</v>
      </c>
      <c r="CD569" s="386">
        <v>999</v>
      </c>
      <c r="CE569" s="386" t="s">
        <v>675</v>
      </c>
      <c r="DJ569" s="22" t="b">
        <v>1</v>
      </c>
      <c r="DK569" s="388"/>
      <c r="DL569" s="388"/>
      <c r="DM569" s="388"/>
      <c r="DN569" s="388"/>
      <c r="DO569" s="388"/>
      <c r="DP569" s="389"/>
      <c r="DQ569" s="388"/>
      <c r="DR569" s="57" t="str">
        <f t="shared" si="16"/>
        <v/>
      </c>
      <c r="DS569" s="388"/>
      <c r="DU569" s="1" t="s">
        <v>280</v>
      </c>
      <c r="DV569" s="390"/>
      <c r="EA569" s="390"/>
      <c r="EB569" s="390"/>
      <c r="EC569" s="390"/>
      <c r="ED569" s="390"/>
    </row>
    <row r="570" spans="1:134" s="23" customFormat="1" x14ac:dyDescent="0.15">
      <c r="B570" s="378"/>
      <c r="C570" s="40"/>
      <c r="AB570" s="353">
        <v>66110003</v>
      </c>
      <c r="AC570" s="381" t="s">
        <v>970</v>
      </c>
      <c r="AD570" s="380" t="s">
        <v>330</v>
      </c>
      <c r="AE570" s="380" t="s">
        <v>811</v>
      </c>
      <c r="AF570" s="380" t="s">
        <v>314</v>
      </c>
      <c r="AG570" s="380"/>
      <c r="AH570" s="380"/>
      <c r="AI570" s="380"/>
      <c r="AJ570" s="380">
        <v>2</v>
      </c>
      <c r="AK570" s="380"/>
      <c r="AL570" s="382"/>
      <c r="AM570" s="382"/>
      <c r="AN570" s="382"/>
      <c r="AO570" s="382"/>
      <c r="AP570" s="382"/>
      <c r="AQ570" s="382"/>
      <c r="AR570" s="382"/>
      <c r="AU570" s="382"/>
      <c r="AV570" s="382"/>
      <c r="AW570" s="382"/>
      <c r="AX570" s="382"/>
      <c r="AY570" s="382"/>
      <c r="AZ570" s="382"/>
      <c r="BA570" s="383" t="s">
        <v>270</v>
      </c>
      <c r="BB570" s="384">
        <v>0.15</v>
      </c>
      <c r="BC570" s="384"/>
      <c r="BD570" s="384"/>
      <c r="BE570" s="384"/>
      <c r="BF570" s="384"/>
      <c r="BG570" s="384"/>
      <c r="BH570" s="384"/>
      <c r="BI570" s="384"/>
      <c r="BJ570" s="385"/>
      <c r="BK570" s="385"/>
      <c r="BL570" s="385"/>
      <c r="BM570" s="385"/>
      <c r="BN570" s="385"/>
      <c r="BO570" s="385"/>
      <c r="BP570" s="385"/>
      <c r="BQ570" s="385"/>
      <c r="BR570" s="385"/>
      <c r="BS570" s="385"/>
      <c r="BT570" s="385"/>
      <c r="BU570" s="385"/>
      <c r="BV570" s="385"/>
      <c r="BW570" s="385"/>
      <c r="BX570" s="385"/>
      <c r="BY570" s="385"/>
      <c r="BZ570" s="385"/>
      <c r="CA570" s="385"/>
      <c r="CB570" s="385"/>
      <c r="CC570" s="385"/>
      <c r="CD570" s="385"/>
      <c r="CE570" s="385"/>
      <c r="DJ570" s="22" t="b">
        <v>1</v>
      </c>
      <c r="DK570" s="388"/>
      <c r="DL570" s="388"/>
      <c r="DM570" s="388"/>
      <c r="DN570" s="388"/>
      <c r="DO570" s="388"/>
      <c r="DP570" s="389"/>
      <c r="DQ570" s="388"/>
      <c r="DR570" s="57" t="str">
        <f t="shared" si="16"/>
        <v/>
      </c>
      <c r="DS570" s="388"/>
      <c r="DU570" s="1" t="s">
        <v>280</v>
      </c>
      <c r="DV570" s="390"/>
      <c r="EA570" s="390"/>
      <c r="EB570" s="390"/>
      <c r="EC570" s="390"/>
      <c r="ED570" s="390"/>
    </row>
    <row r="571" spans="1:134" s="23" customFormat="1" x14ac:dyDescent="0.15">
      <c r="A571" s="23">
        <v>660430</v>
      </c>
      <c r="B571" s="378" t="s">
        <v>996</v>
      </c>
      <c r="C571" s="40" t="s">
        <v>997</v>
      </c>
      <c r="D571" s="23" t="s">
        <v>971</v>
      </c>
      <c r="E571" s="23">
        <v>660200</v>
      </c>
      <c r="H571" s="379">
        <v>1</v>
      </c>
      <c r="L571" s="23">
        <v>0</v>
      </c>
      <c r="Q571" s="23" t="s">
        <v>431</v>
      </c>
      <c r="W571" s="23" t="b">
        <v>1</v>
      </c>
      <c r="X571" s="23">
        <v>1</v>
      </c>
      <c r="Y571" s="23">
        <v>0</v>
      </c>
      <c r="Z571" s="23">
        <v>0</v>
      </c>
      <c r="AB571" s="353">
        <v>66060001</v>
      </c>
      <c r="AC571" s="17" t="s">
        <v>815</v>
      </c>
      <c r="AD571" s="17"/>
      <c r="AE571" s="380" t="s">
        <v>291</v>
      </c>
      <c r="AF571" s="22" t="s">
        <v>437</v>
      </c>
      <c r="AG571" s="380"/>
      <c r="AH571" s="380"/>
      <c r="AI571" s="380"/>
      <c r="AJ571" s="380">
        <v>-1</v>
      </c>
      <c r="AK571" s="380"/>
      <c r="AL571" s="382"/>
      <c r="AM571" s="382"/>
      <c r="AN571" s="382"/>
      <c r="AO571" s="382"/>
      <c r="AP571" s="382"/>
      <c r="AQ571" s="382"/>
      <c r="AR571" s="382"/>
      <c r="AU571" s="382"/>
      <c r="AV571" s="382"/>
      <c r="AW571" s="382"/>
      <c r="AX571" s="382"/>
      <c r="AY571" s="382"/>
      <c r="AZ571" s="382"/>
      <c r="BA571" s="383"/>
      <c r="BB571" s="384"/>
      <c r="BC571" s="384"/>
      <c r="BD571" s="384"/>
      <c r="BE571" s="384"/>
      <c r="BF571" s="384"/>
      <c r="BG571" s="384"/>
      <c r="BH571" s="384"/>
      <c r="BI571" s="384"/>
      <c r="BJ571" s="385"/>
      <c r="BK571" s="385"/>
      <c r="BL571" s="385"/>
      <c r="BM571" s="385"/>
      <c r="BN571" s="385"/>
      <c r="BO571" s="385"/>
      <c r="BP571" s="385"/>
      <c r="BQ571" s="385"/>
      <c r="BR571" s="385"/>
      <c r="BS571" s="385"/>
      <c r="BT571" s="385"/>
      <c r="BU571" s="385"/>
      <c r="BV571" s="385"/>
      <c r="BW571" s="385"/>
      <c r="BX571" s="385"/>
      <c r="BY571" s="385"/>
      <c r="BZ571" s="385"/>
      <c r="CA571" s="385"/>
      <c r="CB571" s="385"/>
      <c r="CC571" s="385"/>
      <c r="CD571" s="385"/>
      <c r="CE571" s="385"/>
      <c r="CX571" s="387" t="s">
        <v>273</v>
      </c>
      <c r="DD571" s="362" t="s">
        <v>274</v>
      </c>
      <c r="DE571" s="23" t="s">
        <v>990</v>
      </c>
      <c r="DJ571" s="22" t="b">
        <v>1</v>
      </c>
      <c r="DK571" s="388" t="s">
        <v>973</v>
      </c>
      <c r="DL571" s="388"/>
      <c r="DM571" s="388"/>
      <c r="DN571" s="388"/>
      <c r="DO571" s="388"/>
      <c r="DP571" s="389"/>
      <c r="DQ571" s="388" t="s">
        <v>973</v>
      </c>
      <c r="DR571" s="57" t="str">
        <f t="shared" si="16"/>
        <v/>
      </c>
      <c r="DS571" s="388" t="s">
        <v>974</v>
      </c>
      <c r="DU571" s="1" t="s">
        <v>280</v>
      </c>
      <c r="DV571" s="390"/>
      <c r="EA571" s="390"/>
      <c r="EB571" s="390"/>
      <c r="EC571" s="390"/>
      <c r="ED571" s="390"/>
    </row>
    <row r="572" spans="1:134" s="23" customFormat="1" ht="49.5" customHeight="1" x14ac:dyDescent="0.15">
      <c r="B572" s="378"/>
      <c r="C572" s="40"/>
      <c r="AB572" s="353">
        <v>66060002</v>
      </c>
      <c r="AC572" s="17" t="s">
        <v>819</v>
      </c>
      <c r="AD572" s="380" t="s">
        <v>330</v>
      </c>
      <c r="AE572" s="380" t="s">
        <v>820</v>
      </c>
      <c r="AF572" s="380" t="s">
        <v>314</v>
      </c>
      <c r="AG572" s="380"/>
      <c r="AH572" s="380"/>
      <c r="AI572" s="380"/>
      <c r="AJ572" s="380"/>
      <c r="AK572" s="380"/>
      <c r="AL572" s="382"/>
      <c r="AM572" s="382"/>
      <c r="AN572" s="382"/>
      <c r="AO572" s="382"/>
      <c r="AP572" s="382"/>
      <c r="AQ572" s="382"/>
      <c r="AR572" s="382"/>
      <c r="AU572" s="382"/>
      <c r="AV572" s="382"/>
      <c r="AW572" s="382"/>
      <c r="AX572" s="382"/>
      <c r="AY572" s="382"/>
      <c r="AZ572" s="382"/>
      <c r="BA572" s="383"/>
      <c r="BB572" s="384"/>
      <c r="BC572" s="384"/>
      <c r="BD572" s="384"/>
      <c r="BE572" s="384"/>
      <c r="BF572" s="384"/>
      <c r="BG572" s="384"/>
      <c r="BH572" s="384"/>
      <c r="BI572" s="384"/>
      <c r="BJ572" s="385"/>
      <c r="BK572" s="385"/>
      <c r="BL572" s="385"/>
      <c r="BM572" s="385"/>
      <c r="BN572" s="385"/>
      <c r="BO572" s="385"/>
      <c r="BP572" s="385"/>
      <c r="BQ572" s="385"/>
      <c r="BR572" s="385"/>
      <c r="BS572" s="385"/>
      <c r="BT572" s="385"/>
      <c r="BU572" s="385"/>
      <c r="BV572" s="385"/>
      <c r="BW572" s="385"/>
      <c r="BX572" s="385"/>
      <c r="BY572" s="385"/>
      <c r="BZ572" s="385"/>
      <c r="CA572" s="385"/>
      <c r="CB572" s="23" t="s">
        <v>1</v>
      </c>
      <c r="CC572" s="386" t="s">
        <v>464</v>
      </c>
      <c r="CD572" s="386">
        <v>999</v>
      </c>
      <c r="CE572" s="386" t="s">
        <v>675</v>
      </c>
      <c r="DJ572" s="22" t="b">
        <v>1</v>
      </c>
      <c r="DK572" s="388"/>
      <c r="DL572" s="388"/>
      <c r="DM572" s="388"/>
      <c r="DN572" s="388"/>
      <c r="DO572" s="388"/>
      <c r="DP572" s="389"/>
      <c r="DQ572" s="388"/>
      <c r="DR572" s="57" t="str">
        <f t="shared" si="16"/>
        <v/>
      </c>
      <c r="DS572" s="388"/>
      <c r="DU572" s="1" t="s">
        <v>280</v>
      </c>
      <c r="DV572" s="390"/>
      <c r="EA572" s="390"/>
      <c r="EB572" s="390"/>
      <c r="EC572" s="390"/>
      <c r="ED572" s="390"/>
    </row>
    <row r="573" spans="1:134" s="23" customFormat="1" x14ac:dyDescent="0.15">
      <c r="B573" s="378"/>
      <c r="C573" s="40"/>
      <c r="AB573" s="353">
        <v>66060003</v>
      </c>
      <c r="AC573" s="381" t="s">
        <v>975</v>
      </c>
      <c r="AD573" s="380" t="s">
        <v>330</v>
      </c>
      <c r="AE573" s="380" t="s">
        <v>811</v>
      </c>
      <c r="AF573" s="380" t="s">
        <v>314</v>
      </c>
      <c r="AG573" s="380"/>
      <c r="AH573" s="380"/>
      <c r="AI573" s="380"/>
      <c r="AJ573" s="380">
        <v>2</v>
      </c>
      <c r="AK573" s="380"/>
      <c r="AL573" s="382"/>
      <c r="AM573" s="382"/>
      <c r="AN573" s="382"/>
      <c r="AO573" s="382"/>
      <c r="AP573" s="382"/>
      <c r="AQ573" s="382"/>
      <c r="AR573" s="382"/>
      <c r="AU573" s="382"/>
      <c r="AV573" s="382"/>
      <c r="AW573" s="382"/>
      <c r="AX573" s="382"/>
      <c r="AY573" s="382"/>
      <c r="AZ573" s="382"/>
      <c r="BA573" s="383" t="s">
        <v>270</v>
      </c>
      <c r="BB573" s="384">
        <v>0.15</v>
      </c>
      <c r="BC573" s="384"/>
      <c r="BD573" s="384"/>
      <c r="BE573" s="384"/>
      <c r="BF573" s="384"/>
      <c r="BG573" s="384"/>
      <c r="BH573" s="384"/>
      <c r="BI573" s="384"/>
      <c r="BJ573" s="385"/>
      <c r="BK573" s="385"/>
      <c r="BL573" s="385"/>
      <c r="BM573" s="385"/>
      <c r="BN573" s="385"/>
      <c r="BO573" s="385"/>
      <c r="BP573" s="385"/>
      <c r="BQ573" s="385"/>
      <c r="BR573" s="385"/>
      <c r="BS573" s="385"/>
      <c r="BT573" s="385"/>
      <c r="BU573" s="385"/>
      <c r="BV573" s="385"/>
      <c r="BW573" s="385"/>
      <c r="BX573" s="385"/>
      <c r="BY573" s="385"/>
      <c r="BZ573" s="385"/>
      <c r="CA573" s="385"/>
      <c r="CB573" s="385"/>
      <c r="CC573" s="385"/>
      <c r="CD573" s="385"/>
      <c r="CE573" s="385"/>
      <c r="DJ573" s="22" t="b">
        <v>1</v>
      </c>
      <c r="DK573" s="388"/>
      <c r="DL573" s="388"/>
      <c r="DM573" s="388"/>
      <c r="DN573" s="388"/>
      <c r="DO573" s="388"/>
      <c r="DP573" s="389"/>
      <c r="DQ573" s="388"/>
      <c r="DR573" s="57" t="str">
        <f t="shared" si="16"/>
        <v/>
      </c>
      <c r="DS573" s="388"/>
      <c r="DU573" s="1" t="s">
        <v>280</v>
      </c>
      <c r="DV573" s="390"/>
      <c r="EA573" s="390"/>
      <c r="EB573" s="390"/>
      <c r="EC573" s="390"/>
      <c r="ED573" s="390"/>
    </row>
    <row r="574" spans="1:134" s="23" customFormat="1" x14ac:dyDescent="0.15">
      <c r="A574" s="23">
        <v>660500</v>
      </c>
      <c r="B574" s="378" t="s">
        <v>998</v>
      </c>
      <c r="C574" s="40" t="s">
        <v>999</v>
      </c>
      <c r="D574" s="23" t="s">
        <v>956</v>
      </c>
      <c r="E574" s="23">
        <v>660200</v>
      </c>
      <c r="H574" s="379">
        <v>1</v>
      </c>
      <c r="L574" s="23">
        <v>0</v>
      </c>
      <c r="Q574" s="23" t="s">
        <v>431</v>
      </c>
      <c r="W574" s="23" t="b">
        <v>1</v>
      </c>
      <c r="X574" s="23">
        <v>1</v>
      </c>
      <c r="Y574" s="23">
        <v>0</v>
      </c>
      <c r="Z574" s="23">
        <v>0</v>
      </c>
      <c r="AB574" s="353">
        <v>66030001</v>
      </c>
      <c r="AC574" s="17" t="s">
        <v>815</v>
      </c>
      <c r="AD574" s="17"/>
      <c r="AE574" s="380" t="s">
        <v>291</v>
      </c>
      <c r="AF574" s="22" t="s">
        <v>437</v>
      </c>
      <c r="AG574" s="380"/>
      <c r="AH574" s="380"/>
      <c r="AI574" s="380"/>
      <c r="AJ574" s="380">
        <v>-1</v>
      </c>
      <c r="AK574" s="380"/>
      <c r="AL574" s="382"/>
      <c r="AM574" s="382"/>
      <c r="AN574" s="382"/>
      <c r="AO574" s="382"/>
      <c r="AP574" s="382"/>
      <c r="AQ574" s="382"/>
      <c r="AR574" s="382"/>
      <c r="AU574" s="382"/>
      <c r="AV574" s="382"/>
      <c r="AW574" s="382"/>
      <c r="AX574" s="382"/>
      <c r="AY574" s="382"/>
      <c r="AZ574" s="382"/>
      <c r="BA574" s="383"/>
      <c r="BB574" s="384"/>
      <c r="BC574" s="384"/>
      <c r="BD574" s="384"/>
      <c r="BE574" s="384"/>
      <c r="BF574" s="384"/>
      <c r="BG574" s="384"/>
      <c r="BH574" s="384"/>
      <c r="BI574" s="384"/>
      <c r="BJ574" s="385"/>
      <c r="BK574" s="385"/>
      <c r="BL574" s="385"/>
      <c r="BM574" s="385"/>
      <c r="BN574" s="385"/>
      <c r="BO574" s="385"/>
      <c r="BP574" s="385"/>
      <c r="BQ574" s="385"/>
      <c r="BR574" s="385"/>
      <c r="BS574" s="385"/>
      <c r="BT574" s="385"/>
      <c r="BU574" s="385"/>
      <c r="BV574" s="385"/>
      <c r="BW574" s="385"/>
      <c r="BX574" s="385"/>
      <c r="BY574" s="385"/>
      <c r="BZ574" s="385"/>
      <c r="CA574" s="385"/>
      <c r="CB574" s="385"/>
      <c r="CC574" s="385"/>
      <c r="CD574" s="385"/>
      <c r="CE574" s="385"/>
      <c r="CX574" s="387" t="s">
        <v>273</v>
      </c>
      <c r="DD574" s="362" t="s">
        <v>274</v>
      </c>
      <c r="DE574" s="23" t="s">
        <v>957</v>
      </c>
      <c r="DJ574" s="22" t="b">
        <v>1</v>
      </c>
      <c r="DK574" s="388" t="s">
        <v>958</v>
      </c>
      <c r="DL574" s="388"/>
      <c r="DM574" s="388"/>
      <c r="DN574" s="388"/>
      <c r="DO574" s="388"/>
      <c r="DP574" s="389"/>
      <c r="DQ574" s="388" t="s">
        <v>958</v>
      </c>
      <c r="DR574" s="57" t="str">
        <f t="shared" si="16"/>
        <v/>
      </c>
      <c r="DS574" s="388" t="s">
        <v>959</v>
      </c>
      <c r="DU574" s="1" t="s">
        <v>280</v>
      </c>
      <c r="DV574" s="390"/>
      <c r="EA574" s="390"/>
      <c r="EB574" s="390"/>
      <c r="EC574" s="390"/>
      <c r="ED574" s="390"/>
    </row>
    <row r="575" spans="1:134" s="23" customFormat="1" ht="49.5" customHeight="1" x14ac:dyDescent="0.15">
      <c r="B575" s="378"/>
      <c r="C575" s="40"/>
      <c r="AB575" s="353">
        <v>66030002</v>
      </c>
      <c r="AC575" s="17" t="s">
        <v>819</v>
      </c>
      <c r="AD575" s="380" t="s">
        <v>330</v>
      </c>
      <c r="AE575" s="380" t="s">
        <v>820</v>
      </c>
      <c r="AF575" s="380" t="s">
        <v>314</v>
      </c>
      <c r="AG575" s="380"/>
      <c r="AH575" s="380"/>
      <c r="AI575" s="380"/>
      <c r="AJ575" s="380"/>
      <c r="AK575" s="380"/>
      <c r="AL575" s="382"/>
      <c r="AM575" s="382"/>
      <c r="AN575" s="382"/>
      <c r="AO575" s="382"/>
      <c r="AP575" s="382"/>
      <c r="AQ575" s="382"/>
      <c r="AR575" s="382"/>
      <c r="AU575" s="382"/>
      <c r="AV575" s="382"/>
      <c r="AW575" s="382"/>
      <c r="AX575" s="382"/>
      <c r="AY575" s="382"/>
      <c r="AZ575" s="382"/>
      <c r="BA575" s="383"/>
      <c r="BB575" s="384"/>
      <c r="BC575" s="384"/>
      <c r="BD575" s="384"/>
      <c r="BE575" s="384"/>
      <c r="BF575" s="384"/>
      <c r="BG575" s="384"/>
      <c r="BH575" s="384"/>
      <c r="BI575" s="384"/>
      <c r="BJ575" s="385"/>
      <c r="BK575" s="385"/>
      <c r="BL575" s="385"/>
      <c r="BM575" s="385"/>
      <c r="BN575" s="385"/>
      <c r="BO575" s="385"/>
      <c r="BP575" s="385"/>
      <c r="BQ575" s="385"/>
      <c r="BR575" s="385"/>
      <c r="BS575" s="385"/>
      <c r="BT575" s="385"/>
      <c r="BU575" s="385"/>
      <c r="BV575" s="385"/>
      <c r="BW575" s="385"/>
      <c r="BX575" s="385"/>
      <c r="BY575" s="385"/>
      <c r="BZ575" s="385"/>
      <c r="CA575" s="385"/>
      <c r="CB575" s="23" t="s">
        <v>1</v>
      </c>
      <c r="CC575" s="386" t="s">
        <v>464</v>
      </c>
      <c r="CD575" s="386">
        <v>999</v>
      </c>
      <c r="CE575" s="386" t="s">
        <v>675</v>
      </c>
      <c r="DJ575" s="22" t="b">
        <v>1</v>
      </c>
      <c r="DK575" s="388"/>
      <c r="DL575" s="388"/>
      <c r="DM575" s="388"/>
      <c r="DN575" s="388"/>
      <c r="DO575" s="388"/>
      <c r="DP575" s="389"/>
      <c r="DQ575" s="388"/>
      <c r="DR575" s="57" t="str">
        <f t="shared" si="16"/>
        <v/>
      </c>
      <c r="DS575" s="388"/>
      <c r="DU575" s="1" t="s">
        <v>280</v>
      </c>
      <c r="DV575" s="390"/>
      <c r="EA575" s="390"/>
      <c r="EB575" s="390"/>
      <c r="EC575" s="390"/>
      <c r="ED575" s="390"/>
    </row>
    <row r="576" spans="1:134" s="23" customFormat="1" x14ac:dyDescent="0.15">
      <c r="B576" s="378"/>
      <c r="C576" s="40"/>
      <c r="AB576" s="353">
        <v>66030003</v>
      </c>
      <c r="AC576" s="381" t="s">
        <v>960</v>
      </c>
      <c r="AD576" s="380" t="s">
        <v>330</v>
      </c>
      <c r="AE576" s="380" t="s">
        <v>811</v>
      </c>
      <c r="AF576" s="380" t="s">
        <v>314</v>
      </c>
      <c r="AG576" s="380"/>
      <c r="AH576" s="380"/>
      <c r="AI576" s="380"/>
      <c r="AJ576" s="380">
        <v>2</v>
      </c>
      <c r="AK576" s="380"/>
      <c r="AL576" s="382"/>
      <c r="AM576" s="382"/>
      <c r="AN576" s="382"/>
      <c r="AO576" s="382"/>
      <c r="AP576" s="382"/>
      <c r="AQ576" s="382"/>
      <c r="AR576" s="382"/>
      <c r="AU576" s="382"/>
      <c r="AV576" s="382"/>
      <c r="AW576" s="382"/>
      <c r="AX576" s="382"/>
      <c r="AY576" s="382"/>
      <c r="AZ576" s="382"/>
      <c r="BA576" s="383" t="s">
        <v>270</v>
      </c>
      <c r="BB576" s="384">
        <v>0.15</v>
      </c>
      <c r="BC576" s="384"/>
      <c r="BD576" s="384"/>
      <c r="BE576" s="384"/>
      <c r="BF576" s="384"/>
      <c r="BG576" s="384"/>
      <c r="BH576" s="384"/>
      <c r="BI576" s="384"/>
      <c r="BJ576" s="385"/>
      <c r="BK576" s="385"/>
      <c r="BL576" s="385"/>
      <c r="BM576" s="385"/>
      <c r="BN576" s="385"/>
      <c r="BO576" s="385"/>
      <c r="BP576" s="385"/>
      <c r="BQ576" s="385"/>
      <c r="BR576" s="385"/>
      <c r="BS576" s="385"/>
      <c r="BT576" s="385"/>
      <c r="BU576" s="385"/>
      <c r="BV576" s="385"/>
      <c r="BW576" s="385"/>
      <c r="BX576" s="385"/>
      <c r="BY576" s="385"/>
      <c r="BZ576" s="385"/>
      <c r="CA576" s="385"/>
      <c r="CB576" s="385"/>
      <c r="CC576" s="385"/>
      <c r="CD576" s="385"/>
      <c r="CE576" s="385"/>
      <c r="DJ576" s="22" t="b">
        <v>1</v>
      </c>
      <c r="DK576" s="388"/>
      <c r="DL576" s="388"/>
      <c r="DM576" s="388"/>
      <c r="DN576" s="388"/>
      <c r="DO576" s="388"/>
      <c r="DP576" s="389"/>
      <c r="DQ576" s="388"/>
      <c r="DR576" s="57" t="str">
        <f t="shared" si="16"/>
        <v/>
      </c>
      <c r="DS576" s="388"/>
      <c r="DU576" s="1" t="s">
        <v>280</v>
      </c>
      <c r="DV576" s="390"/>
      <c r="EA576" s="390"/>
      <c r="EB576" s="390"/>
      <c r="EC576" s="390"/>
      <c r="ED576" s="390"/>
    </row>
    <row r="577" spans="1:134" s="23" customFormat="1" x14ac:dyDescent="0.15">
      <c r="A577" s="23">
        <v>660510</v>
      </c>
      <c r="B577" s="378" t="s">
        <v>998</v>
      </c>
      <c r="C577" s="40" t="s">
        <v>999</v>
      </c>
      <c r="D577" s="23" t="s">
        <v>961</v>
      </c>
      <c r="E577" s="23">
        <v>660200</v>
      </c>
      <c r="H577" s="379">
        <v>1</v>
      </c>
      <c r="L577" s="23">
        <v>0</v>
      </c>
      <c r="Q577" s="23" t="s">
        <v>431</v>
      </c>
      <c r="W577" s="23" t="b">
        <v>1</v>
      </c>
      <c r="X577" s="23">
        <v>1</v>
      </c>
      <c r="Y577" s="23">
        <v>0</v>
      </c>
      <c r="Z577" s="23">
        <v>0</v>
      </c>
      <c r="AB577" s="353">
        <v>66010001</v>
      </c>
      <c r="AC577" s="17" t="s">
        <v>815</v>
      </c>
      <c r="AD577" s="17"/>
      <c r="AE577" s="380" t="s">
        <v>291</v>
      </c>
      <c r="AF577" s="22" t="s">
        <v>437</v>
      </c>
      <c r="AG577" s="380"/>
      <c r="AH577" s="380"/>
      <c r="AI577" s="380"/>
      <c r="AJ577" s="380">
        <v>-1</v>
      </c>
      <c r="AK577" s="380"/>
      <c r="AL577" s="382"/>
      <c r="AM577" s="382"/>
      <c r="AN577" s="382"/>
      <c r="AO577" s="382"/>
      <c r="AP577" s="382"/>
      <c r="AQ577" s="382"/>
      <c r="AR577" s="382"/>
      <c r="AU577" s="382"/>
      <c r="AV577" s="382"/>
      <c r="AW577" s="382"/>
      <c r="AX577" s="382"/>
      <c r="AY577" s="382"/>
      <c r="AZ577" s="382"/>
      <c r="BA577" s="383"/>
      <c r="BB577" s="384"/>
      <c r="BC577" s="384"/>
      <c r="BD577" s="384"/>
      <c r="BE577" s="384"/>
      <c r="BF577" s="384"/>
      <c r="BG577" s="384"/>
      <c r="BH577" s="384"/>
      <c r="BI577" s="384"/>
      <c r="BJ577" s="385"/>
      <c r="BK577" s="385"/>
      <c r="BL577" s="385"/>
      <c r="BM577" s="385"/>
      <c r="BN577" s="385"/>
      <c r="BO577" s="385"/>
      <c r="BP577" s="385"/>
      <c r="BQ577" s="385"/>
      <c r="BR577" s="385"/>
      <c r="BS577" s="385"/>
      <c r="BT577" s="385"/>
      <c r="BU577" s="385"/>
      <c r="BV577" s="385"/>
      <c r="BW577" s="385"/>
      <c r="BX577" s="385"/>
      <c r="BY577" s="385"/>
      <c r="BZ577" s="385"/>
      <c r="CA577" s="385"/>
      <c r="CB577" s="385"/>
      <c r="CC577" s="385"/>
      <c r="CD577" s="385"/>
      <c r="CE577" s="385"/>
      <c r="CX577" s="387" t="s">
        <v>273</v>
      </c>
      <c r="DD577" s="362" t="s">
        <v>274</v>
      </c>
      <c r="DE577" s="23" t="s">
        <v>962</v>
      </c>
      <c r="DJ577" s="22" t="b">
        <v>1</v>
      </c>
      <c r="DK577" s="388" t="s">
        <v>963</v>
      </c>
      <c r="DL577" s="388"/>
      <c r="DM577" s="388"/>
      <c r="DN577" s="388"/>
      <c r="DO577" s="388"/>
      <c r="DP577" s="389"/>
      <c r="DQ577" s="388" t="s">
        <v>963</v>
      </c>
      <c r="DR577" s="57" t="str">
        <f t="shared" si="16"/>
        <v/>
      </c>
      <c r="DS577" s="388" t="s">
        <v>964</v>
      </c>
      <c r="DU577" s="1" t="s">
        <v>280</v>
      </c>
      <c r="DV577" s="390"/>
      <c r="EA577" s="390"/>
      <c r="EB577" s="390"/>
      <c r="EC577" s="390"/>
      <c r="ED577" s="390"/>
    </row>
    <row r="578" spans="1:134" s="23" customFormat="1" ht="49.5" customHeight="1" x14ac:dyDescent="0.15">
      <c r="B578" s="378"/>
      <c r="C578" s="40"/>
      <c r="AB578" s="353">
        <v>66010002</v>
      </c>
      <c r="AC578" s="17" t="s">
        <v>819</v>
      </c>
      <c r="AD578" s="380" t="s">
        <v>330</v>
      </c>
      <c r="AE578" s="380" t="s">
        <v>820</v>
      </c>
      <c r="AF578" s="380" t="s">
        <v>314</v>
      </c>
      <c r="AG578" s="380"/>
      <c r="AH578" s="380"/>
      <c r="AI578" s="380"/>
      <c r="AJ578" s="380"/>
      <c r="AK578" s="380"/>
      <c r="AL578" s="382"/>
      <c r="AM578" s="382"/>
      <c r="AN578" s="382"/>
      <c r="AO578" s="382"/>
      <c r="AP578" s="382"/>
      <c r="AQ578" s="382"/>
      <c r="AR578" s="382"/>
      <c r="AU578" s="382"/>
      <c r="AV578" s="382"/>
      <c r="AW578" s="382"/>
      <c r="AX578" s="382"/>
      <c r="AY578" s="382"/>
      <c r="AZ578" s="382"/>
      <c r="BA578" s="383"/>
      <c r="BB578" s="384"/>
      <c r="BC578" s="384"/>
      <c r="BD578" s="384"/>
      <c r="BE578" s="384"/>
      <c r="BF578" s="384"/>
      <c r="BG578" s="384"/>
      <c r="BH578" s="384"/>
      <c r="BI578" s="384"/>
      <c r="BJ578" s="385"/>
      <c r="BK578" s="385"/>
      <c r="BL578" s="385"/>
      <c r="BM578" s="385"/>
      <c r="BN578" s="385"/>
      <c r="BO578" s="385"/>
      <c r="BP578" s="385"/>
      <c r="BQ578" s="385"/>
      <c r="BR578" s="385"/>
      <c r="BS578" s="385"/>
      <c r="BT578" s="385"/>
      <c r="BU578" s="385"/>
      <c r="BV578" s="385"/>
      <c r="BW578" s="385"/>
      <c r="BX578" s="385"/>
      <c r="BY578" s="385"/>
      <c r="BZ578" s="385"/>
      <c r="CA578" s="385"/>
      <c r="CB578" s="23" t="s">
        <v>1</v>
      </c>
      <c r="CC578" s="386" t="s">
        <v>464</v>
      </c>
      <c r="CD578" s="386">
        <v>999</v>
      </c>
      <c r="CE578" s="386" t="s">
        <v>675</v>
      </c>
      <c r="DJ578" s="22" t="b">
        <v>1</v>
      </c>
      <c r="DK578" s="388"/>
      <c r="DL578" s="388"/>
      <c r="DM578" s="388"/>
      <c r="DN578" s="388"/>
      <c r="DO578" s="388"/>
      <c r="DP578" s="389"/>
      <c r="DQ578" s="388"/>
      <c r="DR578" s="57" t="str">
        <f t="shared" si="16"/>
        <v/>
      </c>
      <c r="DS578" s="388"/>
      <c r="DU578" s="1" t="s">
        <v>280</v>
      </c>
      <c r="DV578" s="390"/>
      <c r="EA578" s="390"/>
      <c r="EB578" s="390"/>
      <c r="EC578" s="390"/>
      <c r="ED578" s="390"/>
    </row>
    <row r="579" spans="1:134" s="23" customFormat="1" x14ac:dyDescent="0.15">
      <c r="B579" s="378"/>
      <c r="C579" s="40"/>
      <c r="AB579" s="353">
        <v>66010003</v>
      </c>
      <c r="AC579" s="381" t="s">
        <v>965</v>
      </c>
      <c r="AD579" s="380" t="s">
        <v>330</v>
      </c>
      <c r="AE579" s="380" t="s">
        <v>811</v>
      </c>
      <c r="AF579" s="380" t="s">
        <v>314</v>
      </c>
      <c r="AG579" s="380"/>
      <c r="AH579" s="380"/>
      <c r="AI579" s="380"/>
      <c r="AJ579" s="380">
        <v>2</v>
      </c>
      <c r="AK579" s="380"/>
      <c r="AL579" s="382"/>
      <c r="AM579" s="382"/>
      <c r="AN579" s="382"/>
      <c r="AO579" s="382"/>
      <c r="AP579" s="382"/>
      <c r="AQ579" s="382"/>
      <c r="AR579" s="382"/>
      <c r="AU579" s="382"/>
      <c r="AV579" s="382"/>
      <c r="AW579" s="382"/>
      <c r="AX579" s="382"/>
      <c r="AY579" s="382"/>
      <c r="AZ579" s="382"/>
      <c r="BA579" s="383" t="s">
        <v>270</v>
      </c>
      <c r="BB579" s="384">
        <v>0.15</v>
      </c>
      <c r="BC579" s="384"/>
      <c r="BD579" s="384"/>
      <c r="BE579" s="384"/>
      <c r="BF579" s="384"/>
      <c r="BG579" s="384"/>
      <c r="BH579" s="384"/>
      <c r="BI579" s="384"/>
      <c r="BJ579" s="385"/>
      <c r="BK579" s="385"/>
      <c r="BL579" s="385"/>
      <c r="BM579" s="385"/>
      <c r="BN579" s="385"/>
      <c r="BO579" s="385"/>
      <c r="BP579" s="385"/>
      <c r="BQ579" s="385"/>
      <c r="BR579" s="385"/>
      <c r="BS579" s="385"/>
      <c r="BT579" s="385"/>
      <c r="BU579" s="385"/>
      <c r="BV579" s="385"/>
      <c r="BW579" s="385"/>
      <c r="BX579" s="385"/>
      <c r="BY579" s="385"/>
      <c r="BZ579" s="385"/>
      <c r="CA579" s="385"/>
      <c r="CB579" s="385"/>
      <c r="CC579" s="385"/>
      <c r="CD579" s="385"/>
      <c r="CE579" s="385"/>
      <c r="DJ579" s="22" t="b">
        <v>1</v>
      </c>
      <c r="DK579" s="388"/>
      <c r="DL579" s="388"/>
      <c r="DM579" s="388"/>
      <c r="DN579" s="388"/>
      <c r="DO579" s="388"/>
      <c r="DP579" s="389"/>
      <c r="DQ579" s="388"/>
      <c r="DR579" s="57" t="str">
        <f t="shared" si="16"/>
        <v/>
      </c>
      <c r="DS579" s="388"/>
      <c r="DU579" s="1" t="s">
        <v>280</v>
      </c>
      <c r="DV579" s="390"/>
      <c r="EA579" s="390"/>
      <c r="EB579" s="390"/>
      <c r="EC579" s="390"/>
      <c r="ED579" s="390"/>
    </row>
    <row r="580" spans="1:134" s="23" customFormat="1" x14ac:dyDescent="0.15">
      <c r="A580" s="23">
        <v>660520</v>
      </c>
      <c r="B580" s="378" t="s">
        <v>998</v>
      </c>
      <c r="C580" s="40" t="s">
        <v>999</v>
      </c>
      <c r="D580" s="23" t="s">
        <v>966</v>
      </c>
      <c r="E580" s="23">
        <v>660200</v>
      </c>
      <c r="H580" s="379">
        <v>1</v>
      </c>
      <c r="L580" s="23">
        <v>0</v>
      </c>
      <c r="Q580" s="23" t="s">
        <v>431</v>
      </c>
      <c r="W580" s="23" t="b">
        <v>1</v>
      </c>
      <c r="X580" s="23">
        <v>1</v>
      </c>
      <c r="Y580" s="23">
        <v>0</v>
      </c>
      <c r="Z580" s="23">
        <v>0</v>
      </c>
      <c r="AB580" s="353">
        <v>66110001</v>
      </c>
      <c r="AC580" s="17" t="s">
        <v>815</v>
      </c>
      <c r="AD580" s="17"/>
      <c r="AE580" s="380" t="s">
        <v>291</v>
      </c>
      <c r="AF580" s="22" t="s">
        <v>437</v>
      </c>
      <c r="AG580" s="380"/>
      <c r="AH580" s="380"/>
      <c r="AI580" s="380"/>
      <c r="AJ580" s="380">
        <v>-1</v>
      </c>
      <c r="AK580" s="380"/>
      <c r="AL580" s="382"/>
      <c r="AM580" s="382"/>
      <c r="AN580" s="382"/>
      <c r="AO580" s="382"/>
      <c r="AP580" s="382"/>
      <c r="AQ580" s="382"/>
      <c r="AR580" s="382"/>
      <c r="AU580" s="382"/>
      <c r="AV580" s="382"/>
      <c r="AW580" s="382"/>
      <c r="AX580" s="382"/>
      <c r="AY580" s="382"/>
      <c r="AZ580" s="382"/>
      <c r="BA580" s="383"/>
      <c r="BB580" s="384"/>
      <c r="BC580" s="384"/>
      <c r="BD580" s="384"/>
      <c r="BE580" s="384"/>
      <c r="BF580" s="384"/>
      <c r="BG580" s="384"/>
      <c r="BH580" s="384"/>
      <c r="BI580" s="384"/>
      <c r="BJ580" s="385"/>
      <c r="BK580" s="385"/>
      <c r="BL580" s="385"/>
      <c r="BM580" s="385"/>
      <c r="BN580" s="385"/>
      <c r="BO580" s="385"/>
      <c r="BP580" s="385"/>
      <c r="BQ580" s="385"/>
      <c r="BR580" s="385"/>
      <c r="BS580" s="385"/>
      <c r="BT580" s="385"/>
      <c r="BU580" s="385"/>
      <c r="BV580" s="385"/>
      <c r="BW580" s="385"/>
      <c r="BX580" s="385"/>
      <c r="BY580" s="385"/>
      <c r="BZ580" s="385"/>
      <c r="CA580" s="385"/>
      <c r="CB580" s="385"/>
      <c r="CC580" s="385"/>
      <c r="CD580" s="385"/>
      <c r="CE580" s="385"/>
      <c r="CX580" s="387" t="s">
        <v>273</v>
      </c>
      <c r="DD580" s="362" t="s">
        <v>274</v>
      </c>
      <c r="DE580" s="23" t="s">
        <v>967</v>
      </c>
      <c r="DJ580" s="22" t="b">
        <v>1</v>
      </c>
      <c r="DK580" s="388" t="s">
        <v>968</v>
      </c>
      <c r="DL580" s="388"/>
      <c r="DM580" s="388"/>
      <c r="DN580" s="388"/>
      <c r="DO580" s="388"/>
      <c r="DP580" s="389"/>
      <c r="DQ580" s="388" t="s">
        <v>968</v>
      </c>
      <c r="DR580" s="57" t="str">
        <f t="shared" si="16"/>
        <v/>
      </c>
      <c r="DS580" s="388" t="s">
        <v>969</v>
      </c>
      <c r="DU580" s="1" t="s">
        <v>280</v>
      </c>
      <c r="DV580" s="390"/>
      <c r="EA580" s="390"/>
      <c r="EB580" s="390"/>
      <c r="EC580" s="390"/>
      <c r="ED580" s="390"/>
    </row>
    <row r="581" spans="1:134" s="23" customFormat="1" ht="49.5" customHeight="1" x14ac:dyDescent="0.15">
      <c r="B581" s="378"/>
      <c r="C581" s="40"/>
      <c r="AB581" s="353">
        <v>66110002</v>
      </c>
      <c r="AC581" s="17" t="s">
        <v>819</v>
      </c>
      <c r="AD581" s="380" t="s">
        <v>330</v>
      </c>
      <c r="AE581" s="380" t="s">
        <v>820</v>
      </c>
      <c r="AF581" s="380" t="s">
        <v>314</v>
      </c>
      <c r="AG581" s="380"/>
      <c r="AH581" s="380"/>
      <c r="AI581" s="380"/>
      <c r="AJ581" s="380"/>
      <c r="AK581" s="380"/>
      <c r="AL581" s="382"/>
      <c r="AM581" s="382"/>
      <c r="AN581" s="382"/>
      <c r="AO581" s="382"/>
      <c r="AP581" s="382"/>
      <c r="AQ581" s="382"/>
      <c r="AR581" s="382"/>
      <c r="AU581" s="382"/>
      <c r="AV581" s="382"/>
      <c r="AW581" s="382"/>
      <c r="AX581" s="382"/>
      <c r="AY581" s="382"/>
      <c r="AZ581" s="382"/>
      <c r="BA581" s="383"/>
      <c r="BB581" s="384"/>
      <c r="BC581" s="384"/>
      <c r="BD581" s="384"/>
      <c r="BE581" s="384"/>
      <c r="BF581" s="384"/>
      <c r="BG581" s="384"/>
      <c r="BH581" s="384"/>
      <c r="BI581" s="384"/>
      <c r="BJ581" s="385"/>
      <c r="BK581" s="385"/>
      <c r="BL581" s="385"/>
      <c r="BM581" s="385"/>
      <c r="BN581" s="385"/>
      <c r="BO581" s="385"/>
      <c r="BP581" s="385"/>
      <c r="BQ581" s="385"/>
      <c r="BR581" s="385"/>
      <c r="BS581" s="385"/>
      <c r="BT581" s="385"/>
      <c r="BU581" s="385"/>
      <c r="BV581" s="385"/>
      <c r="BW581" s="385"/>
      <c r="BX581" s="385"/>
      <c r="BY581" s="385"/>
      <c r="BZ581" s="385"/>
      <c r="CA581" s="385"/>
      <c r="CB581" s="23" t="s">
        <v>1</v>
      </c>
      <c r="CC581" s="386" t="s">
        <v>464</v>
      </c>
      <c r="CD581" s="386">
        <v>999</v>
      </c>
      <c r="CE581" s="386" t="s">
        <v>675</v>
      </c>
      <c r="DJ581" s="22" t="b">
        <v>1</v>
      </c>
      <c r="DK581" s="388"/>
      <c r="DL581" s="388"/>
      <c r="DM581" s="388"/>
      <c r="DN581" s="388"/>
      <c r="DO581" s="388"/>
      <c r="DP581" s="389"/>
      <c r="DQ581" s="388"/>
      <c r="DR581" s="57" t="str">
        <f t="shared" si="16"/>
        <v/>
      </c>
      <c r="DS581" s="388"/>
      <c r="DU581" s="1" t="s">
        <v>280</v>
      </c>
      <c r="DV581" s="390"/>
      <c r="EA581" s="390"/>
      <c r="EB581" s="390"/>
      <c r="EC581" s="390"/>
      <c r="ED581" s="390"/>
    </row>
    <row r="582" spans="1:134" s="23" customFormat="1" x14ac:dyDescent="0.15">
      <c r="B582" s="378"/>
      <c r="C582" s="40"/>
      <c r="AB582" s="353">
        <v>66110003</v>
      </c>
      <c r="AC582" s="381" t="s">
        <v>970</v>
      </c>
      <c r="AD582" s="380" t="s">
        <v>330</v>
      </c>
      <c r="AE582" s="380" t="s">
        <v>811</v>
      </c>
      <c r="AF582" s="380" t="s">
        <v>314</v>
      </c>
      <c r="AG582" s="380"/>
      <c r="AH582" s="380"/>
      <c r="AI582" s="380"/>
      <c r="AJ582" s="380">
        <v>2</v>
      </c>
      <c r="AK582" s="380"/>
      <c r="AL582" s="382"/>
      <c r="AM582" s="382"/>
      <c r="AN582" s="382"/>
      <c r="AO582" s="382"/>
      <c r="AP582" s="382"/>
      <c r="AQ582" s="382"/>
      <c r="AR582" s="382"/>
      <c r="AU582" s="382"/>
      <c r="AV582" s="382"/>
      <c r="AW582" s="382"/>
      <c r="AX582" s="382"/>
      <c r="AY582" s="382"/>
      <c r="AZ582" s="382"/>
      <c r="BA582" s="383" t="s">
        <v>270</v>
      </c>
      <c r="BB582" s="384">
        <v>0.15</v>
      </c>
      <c r="BC582" s="384"/>
      <c r="BD582" s="384"/>
      <c r="BE582" s="384"/>
      <c r="BF582" s="384"/>
      <c r="BG582" s="384"/>
      <c r="BH582" s="384"/>
      <c r="BI582" s="384"/>
      <c r="BJ582" s="385"/>
      <c r="BK582" s="385"/>
      <c r="BL582" s="385"/>
      <c r="BM582" s="385"/>
      <c r="BN582" s="385"/>
      <c r="BO582" s="385"/>
      <c r="BP582" s="385"/>
      <c r="BQ582" s="385"/>
      <c r="BR582" s="385"/>
      <c r="BS582" s="385"/>
      <c r="BT582" s="385"/>
      <c r="BU582" s="385"/>
      <c r="BV582" s="385"/>
      <c r="BW582" s="385"/>
      <c r="BX582" s="385"/>
      <c r="BY582" s="385"/>
      <c r="BZ582" s="385"/>
      <c r="CA582" s="385"/>
      <c r="CB582" s="385"/>
      <c r="CC582" s="385"/>
      <c r="CD582" s="385"/>
      <c r="CE582" s="385"/>
      <c r="DJ582" s="22" t="b">
        <v>1</v>
      </c>
      <c r="DK582" s="388"/>
      <c r="DL582" s="388"/>
      <c r="DM582" s="388"/>
      <c r="DN582" s="388"/>
      <c r="DO582" s="388"/>
      <c r="DP582" s="389"/>
      <c r="DQ582" s="388"/>
      <c r="DR582" s="57" t="str">
        <f t="shared" si="16"/>
        <v/>
      </c>
      <c r="DS582" s="388"/>
      <c r="DU582" s="1" t="s">
        <v>280</v>
      </c>
      <c r="DV582" s="390"/>
      <c r="EA582" s="390"/>
      <c r="EB582" s="390"/>
      <c r="EC582" s="390"/>
      <c r="ED582" s="390"/>
    </row>
    <row r="583" spans="1:134" s="23" customFormat="1" x14ac:dyDescent="0.15">
      <c r="A583" s="23">
        <v>660530</v>
      </c>
      <c r="B583" s="378" t="s">
        <v>998</v>
      </c>
      <c r="C583" s="40" t="s">
        <v>999</v>
      </c>
      <c r="D583" s="23" t="s">
        <v>971</v>
      </c>
      <c r="E583" s="23">
        <v>660200</v>
      </c>
      <c r="H583" s="379">
        <v>1</v>
      </c>
      <c r="L583" s="23">
        <v>0</v>
      </c>
      <c r="Q583" s="23" t="s">
        <v>431</v>
      </c>
      <c r="W583" s="23" t="b">
        <v>1</v>
      </c>
      <c r="X583" s="23">
        <v>1</v>
      </c>
      <c r="Y583" s="23">
        <v>0</v>
      </c>
      <c r="Z583" s="23">
        <v>0</v>
      </c>
      <c r="AB583" s="353">
        <v>66060001</v>
      </c>
      <c r="AC583" s="17" t="s">
        <v>815</v>
      </c>
      <c r="AD583" s="17"/>
      <c r="AE583" s="380" t="s">
        <v>291</v>
      </c>
      <c r="AF583" s="22" t="s">
        <v>437</v>
      </c>
      <c r="AG583" s="380"/>
      <c r="AH583" s="380"/>
      <c r="AI583" s="380"/>
      <c r="AJ583" s="380">
        <v>-1</v>
      </c>
      <c r="AK583" s="380"/>
      <c r="AL583" s="382"/>
      <c r="AM583" s="382"/>
      <c r="AN583" s="382"/>
      <c r="AO583" s="382"/>
      <c r="AP583" s="382"/>
      <c r="AQ583" s="382"/>
      <c r="AR583" s="382"/>
      <c r="AU583" s="382"/>
      <c r="AV583" s="382"/>
      <c r="AW583" s="382"/>
      <c r="AX583" s="382"/>
      <c r="AY583" s="382"/>
      <c r="AZ583" s="382"/>
      <c r="BA583" s="383"/>
      <c r="BB583" s="384"/>
      <c r="BC583" s="384"/>
      <c r="BD583" s="384"/>
      <c r="BE583" s="384"/>
      <c r="BF583" s="384"/>
      <c r="BG583" s="384"/>
      <c r="BH583" s="384"/>
      <c r="BI583" s="384"/>
      <c r="BJ583" s="385"/>
      <c r="BK583" s="385"/>
      <c r="BL583" s="385"/>
      <c r="BM583" s="385"/>
      <c r="BN583" s="385"/>
      <c r="BO583" s="385"/>
      <c r="BP583" s="385"/>
      <c r="BQ583" s="385"/>
      <c r="BR583" s="385"/>
      <c r="BS583" s="385"/>
      <c r="BT583" s="385"/>
      <c r="BU583" s="385"/>
      <c r="BV583" s="385"/>
      <c r="BW583" s="385"/>
      <c r="BX583" s="385"/>
      <c r="BY583" s="385"/>
      <c r="BZ583" s="385"/>
      <c r="CA583" s="385"/>
      <c r="CB583" s="385"/>
      <c r="CC583" s="385"/>
      <c r="CD583" s="385"/>
      <c r="CE583" s="385"/>
      <c r="CX583" s="387" t="s">
        <v>273</v>
      </c>
      <c r="DD583" s="362" t="s">
        <v>274</v>
      </c>
      <c r="DE583" s="23" t="s">
        <v>972</v>
      </c>
      <c r="DJ583" s="22" t="b">
        <v>1</v>
      </c>
      <c r="DK583" s="388" t="s">
        <v>973</v>
      </c>
      <c r="DL583" s="388"/>
      <c r="DM583" s="388"/>
      <c r="DN583" s="388"/>
      <c r="DO583" s="388"/>
      <c r="DP583" s="389"/>
      <c r="DQ583" s="388" t="s">
        <v>973</v>
      </c>
      <c r="DR583" s="57" t="str">
        <f t="shared" si="16"/>
        <v/>
      </c>
      <c r="DS583" s="388" t="s">
        <v>974</v>
      </c>
      <c r="DU583" s="1" t="s">
        <v>280</v>
      </c>
      <c r="DV583" s="390"/>
      <c r="EA583" s="390"/>
      <c r="EB583" s="390"/>
      <c r="EC583" s="390"/>
      <c r="ED583" s="390"/>
    </row>
    <row r="584" spans="1:134" s="23" customFormat="1" ht="49.5" customHeight="1" x14ac:dyDescent="0.15">
      <c r="B584" s="378"/>
      <c r="C584" s="40"/>
      <c r="AB584" s="353">
        <v>66060002</v>
      </c>
      <c r="AC584" s="17" t="s">
        <v>819</v>
      </c>
      <c r="AD584" s="380" t="s">
        <v>330</v>
      </c>
      <c r="AE584" s="380" t="s">
        <v>820</v>
      </c>
      <c r="AF584" s="380" t="s">
        <v>314</v>
      </c>
      <c r="AG584" s="380"/>
      <c r="AH584" s="380"/>
      <c r="AI584" s="380"/>
      <c r="AJ584" s="380"/>
      <c r="AK584" s="380"/>
      <c r="AL584" s="382"/>
      <c r="AM584" s="382"/>
      <c r="AN584" s="382"/>
      <c r="AO584" s="382"/>
      <c r="AP584" s="382"/>
      <c r="AQ584" s="382"/>
      <c r="AR584" s="382"/>
      <c r="AU584" s="382"/>
      <c r="AV584" s="382"/>
      <c r="AW584" s="382"/>
      <c r="AX584" s="382"/>
      <c r="AY584" s="382"/>
      <c r="AZ584" s="382"/>
      <c r="BA584" s="383"/>
      <c r="BB584" s="384"/>
      <c r="BC584" s="384"/>
      <c r="BD584" s="384"/>
      <c r="BE584" s="384"/>
      <c r="BF584" s="384"/>
      <c r="BG584" s="384"/>
      <c r="BH584" s="384"/>
      <c r="BI584" s="384"/>
      <c r="BJ584" s="385"/>
      <c r="BK584" s="385"/>
      <c r="BL584" s="385"/>
      <c r="BM584" s="385"/>
      <c r="BN584" s="385"/>
      <c r="BO584" s="385"/>
      <c r="BP584" s="385"/>
      <c r="BQ584" s="385"/>
      <c r="BR584" s="385"/>
      <c r="BS584" s="385"/>
      <c r="BT584" s="385"/>
      <c r="BU584" s="385"/>
      <c r="BV584" s="385"/>
      <c r="BW584" s="385"/>
      <c r="BX584" s="385"/>
      <c r="BY584" s="385"/>
      <c r="BZ584" s="385"/>
      <c r="CA584" s="385"/>
      <c r="CB584" s="23" t="s">
        <v>1</v>
      </c>
      <c r="CC584" s="386" t="s">
        <v>464</v>
      </c>
      <c r="CD584" s="386">
        <v>999</v>
      </c>
      <c r="CE584" s="386" t="s">
        <v>675</v>
      </c>
      <c r="DJ584" s="22" t="b">
        <v>1</v>
      </c>
      <c r="DK584" s="388"/>
      <c r="DL584" s="388"/>
      <c r="DM584" s="388"/>
      <c r="DN584" s="388"/>
      <c r="DO584" s="388"/>
      <c r="DP584" s="389"/>
      <c r="DQ584" s="388"/>
      <c r="DR584" s="57" t="str">
        <f t="shared" ref="DR584:DR647" si="17">IF(DZ584="","",IF(DZ584=1,EG584,IF(DZ584=2,EJ584,IF(DZ584=3,EM584,IF(DZ584=4,EP584,IF(DZ584=0,DS584,"【参数配置有误】"&amp;DS584))))))</f>
        <v/>
      </c>
      <c r="DS584" s="388"/>
      <c r="DU584" s="1" t="s">
        <v>280</v>
      </c>
      <c r="DV584" s="390"/>
      <c r="EA584" s="390"/>
      <c r="EB584" s="390"/>
      <c r="EC584" s="390"/>
      <c r="ED584" s="390"/>
    </row>
    <row r="585" spans="1:134" s="23" customFormat="1" x14ac:dyDescent="0.15">
      <c r="B585" s="378"/>
      <c r="C585" s="40"/>
      <c r="AB585" s="353">
        <v>66060003</v>
      </c>
      <c r="AC585" s="381" t="s">
        <v>975</v>
      </c>
      <c r="AD585" s="380" t="s">
        <v>330</v>
      </c>
      <c r="AE585" s="380" t="s">
        <v>811</v>
      </c>
      <c r="AF585" s="380" t="s">
        <v>314</v>
      </c>
      <c r="AG585" s="380"/>
      <c r="AH585" s="380"/>
      <c r="AI585" s="380"/>
      <c r="AJ585" s="380">
        <v>2</v>
      </c>
      <c r="AK585" s="380"/>
      <c r="AL585" s="382"/>
      <c r="AM585" s="382"/>
      <c r="AN585" s="382"/>
      <c r="AO585" s="382"/>
      <c r="AP585" s="382"/>
      <c r="AQ585" s="382"/>
      <c r="AR585" s="382"/>
      <c r="AU585" s="382"/>
      <c r="AV585" s="382"/>
      <c r="AW585" s="382"/>
      <c r="AX585" s="382"/>
      <c r="AY585" s="382"/>
      <c r="AZ585" s="382"/>
      <c r="BA585" s="383" t="s">
        <v>270</v>
      </c>
      <c r="BB585" s="384">
        <v>0.15</v>
      </c>
      <c r="BC585" s="384"/>
      <c r="BD585" s="384"/>
      <c r="BE585" s="384"/>
      <c r="BF585" s="384"/>
      <c r="BG585" s="384"/>
      <c r="BH585" s="384"/>
      <c r="BI585" s="384"/>
      <c r="BJ585" s="385"/>
      <c r="BK585" s="385"/>
      <c r="BL585" s="385"/>
      <c r="BM585" s="385"/>
      <c r="BN585" s="385"/>
      <c r="BO585" s="385"/>
      <c r="BP585" s="385"/>
      <c r="BQ585" s="385"/>
      <c r="BR585" s="385"/>
      <c r="BS585" s="385"/>
      <c r="BT585" s="385"/>
      <c r="BU585" s="385"/>
      <c r="BV585" s="385"/>
      <c r="BW585" s="385"/>
      <c r="BX585" s="385"/>
      <c r="BY585" s="385"/>
      <c r="BZ585" s="385"/>
      <c r="CA585" s="385"/>
      <c r="CB585" s="385"/>
      <c r="CC585" s="385"/>
      <c r="CD585" s="385"/>
      <c r="CE585" s="385"/>
      <c r="DJ585" s="22" t="b">
        <v>1</v>
      </c>
      <c r="DK585" s="388"/>
      <c r="DL585" s="388"/>
      <c r="DM585" s="388"/>
      <c r="DN585" s="388"/>
      <c r="DO585" s="388"/>
      <c r="DP585" s="389"/>
      <c r="DQ585" s="388"/>
      <c r="DR585" s="57" t="str">
        <f t="shared" si="17"/>
        <v/>
      </c>
      <c r="DS585" s="388"/>
      <c r="DU585" s="1" t="s">
        <v>280</v>
      </c>
      <c r="DV585" s="390"/>
      <c r="EA585" s="390"/>
      <c r="EB585" s="390"/>
      <c r="EC585" s="390"/>
      <c r="ED585" s="390"/>
    </row>
    <row r="586" spans="1:134" s="23" customFormat="1" x14ac:dyDescent="0.15">
      <c r="A586" s="23">
        <v>660600</v>
      </c>
      <c r="B586" s="378" t="s">
        <v>1000</v>
      </c>
      <c r="C586" s="40" t="s">
        <v>1001</v>
      </c>
      <c r="D586" s="23" t="s">
        <v>956</v>
      </c>
      <c r="E586" s="23">
        <v>660100</v>
      </c>
      <c r="H586" s="379">
        <v>1</v>
      </c>
      <c r="L586" s="23">
        <v>0</v>
      </c>
      <c r="Q586" s="23" t="s">
        <v>431</v>
      </c>
      <c r="W586" s="23" t="b">
        <v>1</v>
      </c>
      <c r="X586" s="23">
        <v>1</v>
      </c>
      <c r="Y586" s="23">
        <v>0</v>
      </c>
      <c r="Z586" s="23">
        <v>0</v>
      </c>
      <c r="AB586" s="353">
        <v>66100001</v>
      </c>
      <c r="AC586" s="17" t="s">
        <v>815</v>
      </c>
      <c r="AD586" s="17"/>
      <c r="AE586" s="380" t="s">
        <v>291</v>
      </c>
      <c r="AF586" s="22" t="s">
        <v>437</v>
      </c>
      <c r="AG586" s="380"/>
      <c r="AH586" s="380"/>
      <c r="AI586" s="380"/>
      <c r="AJ586" s="380">
        <v>-1</v>
      </c>
      <c r="AK586" s="380"/>
      <c r="AL586" s="382"/>
      <c r="AM586" s="382"/>
      <c r="AN586" s="382"/>
      <c r="AO586" s="382"/>
      <c r="AP586" s="382"/>
      <c r="AQ586" s="382"/>
      <c r="AR586" s="382"/>
      <c r="AU586" s="382"/>
      <c r="AV586" s="382"/>
      <c r="AW586" s="382"/>
      <c r="AX586" s="382"/>
      <c r="AY586" s="382"/>
      <c r="AZ586" s="382"/>
      <c r="BA586" s="383"/>
      <c r="BB586" s="384"/>
      <c r="BC586" s="384"/>
      <c r="BD586" s="384"/>
      <c r="BE586" s="384"/>
      <c r="BF586" s="384"/>
      <c r="BG586" s="384"/>
      <c r="BH586" s="384"/>
      <c r="BI586" s="384"/>
      <c r="BJ586" s="385"/>
      <c r="BK586" s="385"/>
      <c r="BL586" s="385"/>
      <c r="BM586" s="385"/>
      <c r="BN586" s="385"/>
      <c r="BO586" s="385"/>
      <c r="BP586" s="385"/>
      <c r="BQ586" s="385"/>
      <c r="BR586" s="385"/>
      <c r="BS586" s="385"/>
      <c r="BT586" s="385"/>
      <c r="BU586" s="385"/>
      <c r="BV586" s="385"/>
      <c r="BW586" s="385"/>
      <c r="BX586" s="385"/>
      <c r="BY586" s="385"/>
      <c r="BZ586" s="385"/>
      <c r="CA586" s="385"/>
      <c r="CB586" s="385"/>
      <c r="CC586" s="385"/>
      <c r="CD586" s="385"/>
      <c r="CE586" s="385"/>
      <c r="CX586" s="387" t="s">
        <v>273</v>
      </c>
      <c r="DD586" s="362" t="s">
        <v>274</v>
      </c>
      <c r="DE586" s="23" t="s">
        <v>978</v>
      </c>
      <c r="DJ586" s="22" t="b">
        <v>1</v>
      </c>
      <c r="DK586" s="388" t="s">
        <v>979</v>
      </c>
      <c r="DL586" s="388"/>
      <c r="DM586" s="388"/>
      <c r="DN586" s="388"/>
      <c r="DO586" s="388"/>
      <c r="DP586" s="389"/>
      <c r="DQ586" s="388" t="s">
        <v>979</v>
      </c>
      <c r="DR586" s="57" t="str">
        <f t="shared" si="17"/>
        <v/>
      </c>
      <c r="DS586" s="388" t="s">
        <v>980</v>
      </c>
      <c r="DU586" s="1" t="s">
        <v>280</v>
      </c>
      <c r="DV586" s="390"/>
      <c r="EA586" s="390"/>
      <c r="EB586" s="390"/>
      <c r="EC586" s="390"/>
      <c r="ED586" s="390"/>
    </row>
    <row r="587" spans="1:134" s="23" customFormat="1" ht="49.5" customHeight="1" x14ac:dyDescent="0.15">
      <c r="B587" s="378"/>
      <c r="C587" s="40"/>
      <c r="AB587" s="353">
        <v>66100002</v>
      </c>
      <c r="AC587" s="17" t="s">
        <v>819</v>
      </c>
      <c r="AD587" s="380" t="s">
        <v>330</v>
      </c>
      <c r="AE587" s="380" t="s">
        <v>820</v>
      </c>
      <c r="AF587" s="380" t="s">
        <v>314</v>
      </c>
      <c r="AG587" s="380"/>
      <c r="AH587" s="380"/>
      <c r="AI587" s="380"/>
      <c r="AJ587" s="380"/>
      <c r="AK587" s="380"/>
      <c r="AL587" s="382"/>
      <c r="AM587" s="382"/>
      <c r="AN587" s="382"/>
      <c r="AO587" s="382"/>
      <c r="AP587" s="382"/>
      <c r="AQ587" s="382"/>
      <c r="AR587" s="382"/>
      <c r="AU587" s="382"/>
      <c r="AV587" s="382"/>
      <c r="AW587" s="382"/>
      <c r="AX587" s="382"/>
      <c r="AY587" s="382"/>
      <c r="AZ587" s="382"/>
      <c r="BA587" s="383"/>
      <c r="BB587" s="384"/>
      <c r="BC587" s="384"/>
      <c r="BD587" s="384"/>
      <c r="BE587" s="384"/>
      <c r="BF587" s="384"/>
      <c r="BG587" s="384"/>
      <c r="BH587" s="384"/>
      <c r="BI587" s="384"/>
      <c r="BJ587" s="385"/>
      <c r="BK587" s="385"/>
      <c r="BL587" s="385"/>
      <c r="BM587" s="385"/>
      <c r="BN587" s="385"/>
      <c r="BO587" s="385"/>
      <c r="BP587" s="385"/>
      <c r="BQ587" s="385"/>
      <c r="BR587" s="385"/>
      <c r="BS587" s="385"/>
      <c r="BT587" s="385"/>
      <c r="BU587" s="385"/>
      <c r="BV587" s="385"/>
      <c r="BW587" s="385"/>
      <c r="BX587" s="385"/>
      <c r="BY587" s="385"/>
      <c r="BZ587" s="385"/>
      <c r="CA587" s="385"/>
      <c r="CB587" s="23" t="s">
        <v>1</v>
      </c>
      <c r="CC587" s="386" t="s">
        <v>464</v>
      </c>
      <c r="CD587" s="386">
        <v>999</v>
      </c>
      <c r="CE587" s="386" t="s">
        <v>675</v>
      </c>
      <c r="DJ587" s="22" t="b">
        <v>1</v>
      </c>
      <c r="DK587" s="388"/>
      <c r="DL587" s="388"/>
      <c r="DM587" s="388"/>
      <c r="DN587" s="388"/>
      <c r="DO587" s="388"/>
      <c r="DP587" s="389"/>
      <c r="DQ587" s="388"/>
      <c r="DR587" s="57" t="str">
        <f t="shared" si="17"/>
        <v/>
      </c>
      <c r="DS587" s="388"/>
      <c r="DU587" s="1" t="s">
        <v>280</v>
      </c>
      <c r="DV587" s="390"/>
      <c r="EA587" s="390"/>
      <c r="EB587" s="390"/>
      <c r="EC587" s="390"/>
      <c r="ED587" s="390"/>
    </row>
    <row r="588" spans="1:134" s="23" customFormat="1" x14ac:dyDescent="0.15">
      <c r="B588" s="378"/>
      <c r="C588" s="40"/>
      <c r="AB588" s="353">
        <v>66100003</v>
      </c>
      <c r="AC588" s="135" t="s">
        <v>981</v>
      </c>
      <c r="AD588" s="380" t="s">
        <v>330</v>
      </c>
      <c r="AE588" s="380" t="s">
        <v>811</v>
      </c>
      <c r="AF588" s="380" t="s">
        <v>314</v>
      </c>
      <c r="AG588" s="380"/>
      <c r="AH588" s="380"/>
      <c r="AI588" s="380"/>
      <c r="AJ588" s="380">
        <v>2</v>
      </c>
      <c r="AK588" s="380"/>
      <c r="AL588" s="382"/>
      <c r="AM588" s="382"/>
      <c r="AN588" s="382"/>
      <c r="AO588" s="382"/>
      <c r="AP588" s="382"/>
      <c r="AQ588" s="382"/>
      <c r="AR588" s="382"/>
      <c r="AU588" s="382"/>
      <c r="AV588" s="382"/>
      <c r="AW588" s="382"/>
      <c r="AX588" s="382"/>
      <c r="AY588" s="382"/>
      <c r="AZ588" s="382"/>
      <c r="BA588" s="383" t="s">
        <v>270</v>
      </c>
      <c r="BB588" s="384">
        <v>0.15</v>
      </c>
      <c r="BC588" s="384"/>
      <c r="BD588" s="384"/>
      <c r="BE588" s="384"/>
      <c r="BF588" s="384"/>
      <c r="BG588" s="384"/>
      <c r="BH588" s="384"/>
      <c r="BI588" s="384"/>
      <c r="BJ588" s="385"/>
      <c r="BK588" s="385"/>
      <c r="BL588" s="385"/>
      <c r="BM588" s="385"/>
      <c r="BN588" s="385"/>
      <c r="BO588" s="385"/>
      <c r="BP588" s="385"/>
      <c r="BQ588" s="385"/>
      <c r="BR588" s="385"/>
      <c r="BS588" s="385"/>
      <c r="BT588" s="385"/>
      <c r="BU588" s="385"/>
      <c r="BV588" s="385"/>
      <c r="BW588" s="385"/>
      <c r="BX588" s="385"/>
      <c r="BY588" s="385"/>
      <c r="BZ588" s="385"/>
      <c r="CA588" s="385"/>
      <c r="CB588" s="385"/>
      <c r="CC588" s="385"/>
      <c r="CD588" s="385"/>
      <c r="CE588" s="385"/>
      <c r="DJ588" s="22" t="b">
        <v>1</v>
      </c>
      <c r="DK588" s="388"/>
      <c r="DL588" s="388"/>
      <c r="DM588" s="388"/>
      <c r="DN588" s="388"/>
      <c r="DO588" s="388"/>
      <c r="DP588" s="389"/>
      <c r="DQ588" s="388"/>
      <c r="DR588" s="57" t="str">
        <f t="shared" si="17"/>
        <v/>
      </c>
      <c r="DS588" s="388"/>
      <c r="DU588" s="1" t="s">
        <v>280</v>
      </c>
      <c r="DV588" s="390"/>
      <c r="EA588" s="390"/>
      <c r="EB588" s="390"/>
      <c r="EC588" s="390"/>
      <c r="ED588" s="390"/>
    </row>
    <row r="589" spans="1:134" s="23" customFormat="1" x14ac:dyDescent="0.15">
      <c r="A589" s="23">
        <v>660610</v>
      </c>
      <c r="B589" s="378" t="s">
        <v>1000</v>
      </c>
      <c r="C589" s="40" t="s">
        <v>1001</v>
      </c>
      <c r="D589" s="23" t="s">
        <v>961</v>
      </c>
      <c r="E589" s="23">
        <v>660100</v>
      </c>
      <c r="H589" s="379">
        <v>1</v>
      </c>
      <c r="L589" s="23">
        <v>0</v>
      </c>
      <c r="Q589" s="23" t="s">
        <v>431</v>
      </c>
      <c r="W589" s="23" t="b">
        <v>1</v>
      </c>
      <c r="X589" s="23">
        <v>1</v>
      </c>
      <c r="Y589" s="23">
        <v>0</v>
      </c>
      <c r="Z589" s="23">
        <v>0</v>
      </c>
      <c r="AB589" s="353">
        <v>66120001</v>
      </c>
      <c r="AC589" s="17" t="s">
        <v>815</v>
      </c>
      <c r="AD589" s="17"/>
      <c r="AE589" s="380" t="s">
        <v>291</v>
      </c>
      <c r="AF589" s="22" t="s">
        <v>437</v>
      </c>
      <c r="AG589" s="380"/>
      <c r="AH589" s="380"/>
      <c r="AI589" s="380"/>
      <c r="AJ589" s="380">
        <v>-1</v>
      </c>
      <c r="AK589" s="380"/>
      <c r="AL589" s="382"/>
      <c r="AM589" s="382"/>
      <c r="AN589" s="382"/>
      <c r="AO589" s="382"/>
      <c r="AP589" s="382"/>
      <c r="AQ589" s="382"/>
      <c r="AR589" s="382"/>
      <c r="AU589" s="382"/>
      <c r="AV589" s="382"/>
      <c r="AW589" s="382"/>
      <c r="AX589" s="382"/>
      <c r="AY589" s="382"/>
      <c r="AZ589" s="382"/>
      <c r="BA589" s="383"/>
      <c r="BB589" s="384"/>
      <c r="BC589" s="384"/>
      <c r="BD589" s="384"/>
      <c r="BE589" s="384"/>
      <c r="BF589" s="384"/>
      <c r="BG589" s="384"/>
      <c r="BH589" s="384"/>
      <c r="BI589" s="384"/>
      <c r="BJ589" s="385"/>
      <c r="BK589" s="385"/>
      <c r="BL589" s="385"/>
      <c r="BM589" s="385"/>
      <c r="BN589" s="385"/>
      <c r="BO589" s="385"/>
      <c r="BP589" s="385"/>
      <c r="BQ589" s="385"/>
      <c r="BR589" s="385"/>
      <c r="BS589" s="385"/>
      <c r="BT589" s="385"/>
      <c r="BU589" s="385"/>
      <c r="BV589" s="385"/>
      <c r="BW589" s="385"/>
      <c r="BX589" s="385"/>
      <c r="BY589" s="385"/>
      <c r="BZ589" s="385"/>
      <c r="CA589" s="385"/>
      <c r="CB589" s="385"/>
      <c r="CC589" s="385"/>
      <c r="CD589" s="385"/>
      <c r="CE589" s="385"/>
      <c r="CX589" s="387" t="s">
        <v>273</v>
      </c>
      <c r="DD589" s="362" t="s">
        <v>274</v>
      </c>
      <c r="DE589" s="23" t="s">
        <v>982</v>
      </c>
      <c r="DJ589" s="22" t="b">
        <v>1</v>
      </c>
      <c r="DK589" s="388" t="s">
        <v>983</v>
      </c>
      <c r="DL589" s="388"/>
      <c r="DM589" s="388"/>
      <c r="DN589" s="388"/>
      <c r="DO589" s="388"/>
      <c r="DP589" s="389"/>
      <c r="DQ589" s="388" t="s">
        <v>983</v>
      </c>
      <c r="DR589" s="57" t="str">
        <f t="shared" si="17"/>
        <v/>
      </c>
      <c r="DS589" s="388" t="s">
        <v>984</v>
      </c>
      <c r="DU589" s="1" t="s">
        <v>280</v>
      </c>
      <c r="DV589" s="390"/>
      <c r="EA589" s="390"/>
      <c r="EB589" s="390"/>
      <c r="EC589" s="390"/>
      <c r="ED589" s="390"/>
    </row>
    <row r="590" spans="1:134" s="23" customFormat="1" ht="49.5" customHeight="1" x14ac:dyDescent="0.15">
      <c r="B590" s="378"/>
      <c r="C590" s="40"/>
      <c r="AB590" s="353">
        <v>66120002</v>
      </c>
      <c r="AC590" s="17" t="s">
        <v>819</v>
      </c>
      <c r="AD590" s="380" t="s">
        <v>330</v>
      </c>
      <c r="AE590" s="380" t="s">
        <v>820</v>
      </c>
      <c r="AF590" s="380" t="s">
        <v>314</v>
      </c>
      <c r="AG590" s="380"/>
      <c r="AH590" s="380"/>
      <c r="AI590" s="380"/>
      <c r="AJ590" s="380"/>
      <c r="AK590" s="380"/>
      <c r="AL590" s="382"/>
      <c r="AM590" s="382"/>
      <c r="AN590" s="382"/>
      <c r="AO590" s="382"/>
      <c r="AP590" s="382"/>
      <c r="AQ590" s="382"/>
      <c r="AR590" s="382"/>
      <c r="AU590" s="382"/>
      <c r="AV590" s="382"/>
      <c r="AW590" s="382"/>
      <c r="AX590" s="382"/>
      <c r="AY590" s="382"/>
      <c r="AZ590" s="382"/>
      <c r="BA590" s="383"/>
      <c r="BB590" s="384"/>
      <c r="BC590" s="384"/>
      <c r="BD590" s="384"/>
      <c r="BE590" s="384"/>
      <c r="BF590" s="384"/>
      <c r="BG590" s="384"/>
      <c r="BH590" s="384"/>
      <c r="BI590" s="384"/>
      <c r="BJ590" s="385"/>
      <c r="BK590" s="385"/>
      <c r="BL590" s="385"/>
      <c r="BM590" s="385"/>
      <c r="BN590" s="385"/>
      <c r="BO590" s="385"/>
      <c r="BP590" s="385"/>
      <c r="BQ590" s="385"/>
      <c r="BR590" s="385"/>
      <c r="BS590" s="385"/>
      <c r="BT590" s="385"/>
      <c r="BU590" s="385"/>
      <c r="BV590" s="385"/>
      <c r="BW590" s="385"/>
      <c r="BX590" s="385"/>
      <c r="BY590" s="385"/>
      <c r="BZ590" s="385"/>
      <c r="CA590" s="385"/>
      <c r="CB590" s="23" t="s">
        <v>1</v>
      </c>
      <c r="CC590" s="386" t="s">
        <v>464</v>
      </c>
      <c r="CD590" s="386">
        <v>999</v>
      </c>
      <c r="CE590" s="386" t="s">
        <v>675</v>
      </c>
      <c r="DJ590" s="22" t="b">
        <v>1</v>
      </c>
      <c r="DK590" s="388"/>
      <c r="DL590" s="388"/>
      <c r="DM590" s="388"/>
      <c r="DN590" s="388"/>
      <c r="DO590" s="388"/>
      <c r="DP590" s="389"/>
      <c r="DQ590" s="388"/>
      <c r="DR590" s="57" t="str">
        <f t="shared" si="17"/>
        <v/>
      </c>
      <c r="DS590" s="388"/>
      <c r="DU590" s="1" t="s">
        <v>280</v>
      </c>
      <c r="DV590" s="390"/>
      <c r="EA590" s="390"/>
      <c r="EB590" s="390"/>
      <c r="EC590" s="390"/>
      <c r="ED590" s="390"/>
    </row>
    <row r="591" spans="1:134" s="23" customFormat="1" x14ac:dyDescent="0.15">
      <c r="B591" s="378"/>
      <c r="C591" s="40"/>
      <c r="AB591" s="353">
        <v>66120003</v>
      </c>
      <c r="AC591" s="135" t="s">
        <v>985</v>
      </c>
      <c r="AD591" s="380" t="s">
        <v>330</v>
      </c>
      <c r="AE591" s="380" t="s">
        <v>811</v>
      </c>
      <c r="AF591" s="380" t="s">
        <v>314</v>
      </c>
      <c r="AG591" s="380"/>
      <c r="AH591" s="380"/>
      <c r="AI591" s="380"/>
      <c r="AJ591" s="380">
        <v>2</v>
      </c>
      <c r="AK591" s="380"/>
      <c r="AL591" s="382"/>
      <c r="AM591" s="382"/>
      <c r="AN591" s="382"/>
      <c r="AO591" s="382"/>
      <c r="AP591" s="382"/>
      <c r="AQ591" s="382"/>
      <c r="AR591" s="382"/>
      <c r="AU591" s="382"/>
      <c r="AV591" s="382"/>
      <c r="AW591" s="382"/>
      <c r="AX591" s="382"/>
      <c r="AY591" s="382"/>
      <c r="AZ591" s="382"/>
      <c r="BA591" s="383" t="s">
        <v>270</v>
      </c>
      <c r="BB591" s="384">
        <v>0.15</v>
      </c>
      <c r="BC591" s="384"/>
      <c r="BD591" s="384"/>
      <c r="BE591" s="384"/>
      <c r="BF591" s="384"/>
      <c r="BG591" s="384"/>
      <c r="BH591" s="384"/>
      <c r="BI591" s="384"/>
      <c r="BJ591" s="385"/>
      <c r="BK591" s="385"/>
      <c r="BL591" s="385"/>
      <c r="BM591" s="385"/>
      <c r="BN591" s="385"/>
      <c r="BO591" s="385"/>
      <c r="BP591" s="385"/>
      <c r="BQ591" s="385"/>
      <c r="BR591" s="385"/>
      <c r="BS591" s="385"/>
      <c r="BT591" s="385"/>
      <c r="BU591" s="385"/>
      <c r="BV591" s="385"/>
      <c r="BW591" s="385"/>
      <c r="BX591" s="385"/>
      <c r="BY591" s="385"/>
      <c r="BZ591" s="385"/>
      <c r="CA591" s="385"/>
      <c r="CB591" s="385"/>
      <c r="CC591" s="385"/>
      <c r="CD591" s="385"/>
      <c r="CE591" s="385"/>
      <c r="DJ591" s="22" t="b">
        <v>1</v>
      </c>
      <c r="DK591" s="388"/>
      <c r="DL591" s="388"/>
      <c r="DM591" s="388"/>
      <c r="DN591" s="388"/>
      <c r="DO591" s="388"/>
      <c r="DP591" s="389"/>
      <c r="DQ591" s="388"/>
      <c r="DR591" s="57" t="str">
        <f t="shared" si="17"/>
        <v/>
      </c>
      <c r="DS591" s="388"/>
      <c r="DU591" s="1" t="s">
        <v>280</v>
      </c>
      <c r="DV591" s="390"/>
      <c r="EA591" s="390"/>
      <c r="EB591" s="390"/>
      <c r="EC591" s="390"/>
      <c r="ED591" s="390"/>
    </row>
    <row r="592" spans="1:134" s="23" customFormat="1" x14ac:dyDescent="0.15">
      <c r="A592" s="23">
        <v>660620</v>
      </c>
      <c r="B592" s="378" t="s">
        <v>1000</v>
      </c>
      <c r="C592" s="40" t="s">
        <v>1001</v>
      </c>
      <c r="D592" s="23" t="s">
        <v>966</v>
      </c>
      <c r="E592" s="23">
        <v>660100</v>
      </c>
      <c r="H592" s="379">
        <v>1</v>
      </c>
      <c r="L592" s="23">
        <v>0</v>
      </c>
      <c r="Q592" s="23" t="s">
        <v>431</v>
      </c>
      <c r="W592" s="23" t="b">
        <v>1</v>
      </c>
      <c r="X592" s="23">
        <v>1</v>
      </c>
      <c r="Y592" s="23">
        <v>0</v>
      </c>
      <c r="Z592" s="23">
        <v>0</v>
      </c>
      <c r="AB592" s="353">
        <v>66040001</v>
      </c>
      <c r="AC592" s="17" t="s">
        <v>815</v>
      </c>
      <c r="AD592" s="17"/>
      <c r="AE592" s="380" t="s">
        <v>291</v>
      </c>
      <c r="AF592" s="22" t="s">
        <v>437</v>
      </c>
      <c r="AG592" s="380"/>
      <c r="AH592" s="380"/>
      <c r="AI592" s="380"/>
      <c r="AJ592" s="380">
        <v>-1</v>
      </c>
      <c r="AK592" s="380"/>
      <c r="AL592" s="382"/>
      <c r="AM592" s="382"/>
      <c r="AN592" s="382"/>
      <c r="AO592" s="382"/>
      <c r="AP592" s="382"/>
      <c r="AQ592" s="382"/>
      <c r="AR592" s="382"/>
      <c r="AU592" s="382"/>
      <c r="AV592" s="382"/>
      <c r="AW592" s="382"/>
      <c r="AX592" s="382"/>
      <c r="AY592" s="382"/>
      <c r="AZ592" s="382"/>
      <c r="BA592" s="383"/>
      <c r="BB592" s="384"/>
      <c r="BC592" s="384"/>
      <c r="BD592" s="384"/>
      <c r="BE592" s="384"/>
      <c r="BF592" s="384"/>
      <c r="BG592" s="384"/>
      <c r="BH592" s="384"/>
      <c r="BI592" s="384"/>
      <c r="BJ592" s="385"/>
      <c r="BK592" s="385"/>
      <c r="BL592" s="385"/>
      <c r="BM592" s="385"/>
      <c r="BN592" s="385"/>
      <c r="BO592" s="385"/>
      <c r="BP592" s="385"/>
      <c r="BQ592" s="385"/>
      <c r="BR592" s="385"/>
      <c r="BS592" s="385"/>
      <c r="BT592" s="385"/>
      <c r="BU592" s="385"/>
      <c r="BV592" s="385"/>
      <c r="BW592" s="385"/>
      <c r="BX592" s="385"/>
      <c r="BY592" s="385"/>
      <c r="BZ592" s="385"/>
      <c r="CA592" s="385"/>
      <c r="CB592" s="385"/>
      <c r="CC592" s="385"/>
      <c r="CD592" s="385"/>
      <c r="CE592" s="385"/>
      <c r="CX592" s="387" t="s">
        <v>273</v>
      </c>
      <c r="DD592" s="362" t="s">
        <v>274</v>
      </c>
      <c r="DE592" s="23" t="s">
        <v>986</v>
      </c>
      <c r="DJ592" s="22" t="b">
        <v>1</v>
      </c>
      <c r="DK592" s="388" t="s">
        <v>987</v>
      </c>
      <c r="DL592" s="388"/>
      <c r="DM592" s="388"/>
      <c r="DN592" s="388"/>
      <c r="DO592" s="388"/>
      <c r="DP592" s="389"/>
      <c r="DQ592" s="388" t="s">
        <v>987</v>
      </c>
      <c r="DR592" s="57" t="str">
        <f t="shared" si="17"/>
        <v/>
      </c>
      <c r="DS592" s="388" t="s">
        <v>988</v>
      </c>
      <c r="DU592" s="1" t="s">
        <v>280</v>
      </c>
      <c r="DV592" s="390"/>
      <c r="EA592" s="390"/>
      <c r="EB592" s="390"/>
      <c r="EC592" s="390"/>
      <c r="ED592" s="390"/>
    </row>
    <row r="593" spans="1:134" s="23" customFormat="1" ht="49.5" customHeight="1" x14ac:dyDescent="0.15">
      <c r="B593" s="378"/>
      <c r="C593" s="40"/>
      <c r="AB593" s="353">
        <v>66040002</v>
      </c>
      <c r="AC593" s="17" t="s">
        <v>819</v>
      </c>
      <c r="AD593" s="380" t="s">
        <v>330</v>
      </c>
      <c r="AE593" s="380" t="s">
        <v>820</v>
      </c>
      <c r="AF593" s="380" t="s">
        <v>314</v>
      </c>
      <c r="AG593" s="380"/>
      <c r="AH593" s="380"/>
      <c r="AI593" s="380"/>
      <c r="AJ593" s="380"/>
      <c r="AK593" s="380"/>
      <c r="AL593" s="382"/>
      <c r="AM593" s="382"/>
      <c r="AN593" s="382"/>
      <c r="AO593" s="382"/>
      <c r="AP593" s="382"/>
      <c r="AQ593" s="382"/>
      <c r="AR593" s="382"/>
      <c r="AU593" s="382"/>
      <c r="AV593" s="382"/>
      <c r="AW593" s="382"/>
      <c r="AX593" s="382"/>
      <c r="AY593" s="382"/>
      <c r="AZ593" s="382"/>
      <c r="BA593" s="383"/>
      <c r="BB593" s="384"/>
      <c r="BC593" s="384"/>
      <c r="BD593" s="384"/>
      <c r="BE593" s="384"/>
      <c r="BF593" s="384"/>
      <c r="BG593" s="384"/>
      <c r="BH593" s="384"/>
      <c r="BI593" s="384"/>
      <c r="BJ593" s="385"/>
      <c r="BK593" s="385"/>
      <c r="BL593" s="385"/>
      <c r="BM593" s="385"/>
      <c r="BN593" s="385"/>
      <c r="BO593" s="385"/>
      <c r="BP593" s="385"/>
      <c r="BQ593" s="385"/>
      <c r="BR593" s="385"/>
      <c r="BS593" s="385"/>
      <c r="BT593" s="385"/>
      <c r="BU593" s="385"/>
      <c r="BV593" s="385"/>
      <c r="BW593" s="385"/>
      <c r="BX593" s="385"/>
      <c r="BY593" s="385"/>
      <c r="BZ593" s="385"/>
      <c r="CA593" s="385"/>
      <c r="CB593" s="23" t="s">
        <v>1</v>
      </c>
      <c r="CC593" s="386" t="s">
        <v>464</v>
      </c>
      <c r="CD593" s="386">
        <v>999</v>
      </c>
      <c r="CE593" s="386" t="s">
        <v>675</v>
      </c>
      <c r="DJ593" s="22" t="b">
        <v>1</v>
      </c>
      <c r="DK593" s="388"/>
      <c r="DL593" s="388"/>
      <c r="DM593" s="388"/>
      <c r="DN593" s="388"/>
      <c r="DO593" s="388"/>
      <c r="DP593" s="389"/>
      <c r="DQ593" s="388"/>
      <c r="DR593" s="57" t="str">
        <f t="shared" si="17"/>
        <v/>
      </c>
      <c r="DS593" s="388"/>
      <c r="DU593" s="1" t="s">
        <v>280</v>
      </c>
      <c r="DV593" s="390"/>
      <c r="EA593" s="390"/>
      <c r="EB593" s="390"/>
      <c r="EC593" s="390"/>
      <c r="ED593" s="390"/>
    </row>
    <row r="594" spans="1:134" s="23" customFormat="1" x14ac:dyDescent="0.15">
      <c r="B594" s="378"/>
      <c r="C594" s="40"/>
      <c r="AB594" s="353">
        <v>66040003</v>
      </c>
      <c r="AC594" s="135" t="s">
        <v>989</v>
      </c>
      <c r="AD594" s="380" t="s">
        <v>330</v>
      </c>
      <c r="AE594" s="380" t="s">
        <v>811</v>
      </c>
      <c r="AF594" s="380" t="s">
        <v>314</v>
      </c>
      <c r="AG594" s="380"/>
      <c r="AH594" s="380"/>
      <c r="AI594" s="380"/>
      <c r="AJ594" s="380">
        <v>2</v>
      </c>
      <c r="AK594" s="380"/>
      <c r="AL594" s="382"/>
      <c r="AM594" s="382"/>
      <c r="AN594" s="382"/>
      <c r="AO594" s="382"/>
      <c r="AP594" s="382"/>
      <c r="AQ594" s="382"/>
      <c r="AR594" s="382"/>
      <c r="AU594" s="382"/>
      <c r="AV594" s="382"/>
      <c r="AW594" s="382"/>
      <c r="AX594" s="382"/>
      <c r="AY594" s="382"/>
      <c r="AZ594" s="382"/>
      <c r="BA594" s="383" t="s">
        <v>270</v>
      </c>
      <c r="BB594" s="384">
        <v>0.15</v>
      </c>
      <c r="BC594" s="384"/>
      <c r="BD594" s="384"/>
      <c r="BE594" s="384"/>
      <c r="BF594" s="384"/>
      <c r="BG594" s="384"/>
      <c r="BH594" s="384"/>
      <c r="BI594" s="384"/>
      <c r="BJ594" s="385"/>
      <c r="BK594" s="385"/>
      <c r="BL594" s="385"/>
      <c r="BM594" s="385"/>
      <c r="BN594" s="385"/>
      <c r="BO594" s="385"/>
      <c r="BP594" s="385"/>
      <c r="BQ594" s="385"/>
      <c r="BR594" s="385"/>
      <c r="BS594" s="385"/>
      <c r="BT594" s="385"/>
      <c r="BU594" s="385"/>
      <c r="BV594" s="385"/>
      <c r="BW594" s="385"/>
      <c r="BX594" s="385"/>
      <c r="BY594" s="385"/>
      <c r="BZ594" s="385"/>
      <c r="CA594" s="385"/>
      <c r="CB594" s="385"/>
      <c r="CC594" s="385"/>
      <c r="CD594" s="385"/>
      <c r="CE594" s="385"/>
      <c r="DJ594" s="22" t="b">
        <v>1</v>
      </c>
      <c r="DK594" s="388"/>
      <c r="DL594" s="388"/>
      <c r="DM594" s="388"/>
      <c r="DN594" s="388"/>
      <c r="DO594" s="388"/>
      <c r="DP594" s="389"/>
      <c r="DQ594" s="388"/>
      <c r="DR594" s="57" t="str">
        <f t="shared" si="17"/>
        <v/>
      </c>
      <c r="DS594" s="388"/>
      <c r="DU594" s="1" t="s">
        <v>280</v>
      </c>
      <c r="DV594" s="390"/>
      <c r="EA594" s="390"/>
      <c r="EB594" s="390"/>
      <c r="EC594" s="390"/>
      <c r="ED594" s="390"/>
    </row>
    <row r="595" spans="1:134" s="23" customFormat="1" x14ac:dyDescent="0.15">
      <c r="A595" s="23">
        <v>660630</v>
      </c>
      <c r="B595" s="378" t="s">
        <v>1000</v>
      </c>
      <c r="C595" s="40" t="s">
        <v>1001</v>
      </c>
      <c r="D595" s="23" t="s">
        <v>971</v>
      </c>
      <c r="E595" s="23">
        <v>660100</v>
      </c>
      <c r="H595" s="379">
        <v>1</v>
      </c>
      <c r="L595" s="23">
        <v>0</v>
      </c>
      <c r="Q595" s="23" t="s">
        <v>431</v>
      </c>
      <c r="W595" s="23" t="b">
        <v>1</v>
      </c>
      <c r="X595" s="23">
        <v>1</v>
      </c>
      <c r="Y595" s="23">
        <v>0</v>
      </c>
      <c r="Z595" s="23">
        <v>0</v>
      </c>
      <c r="AB595" s="353">
        <v>66020001</v>
      </c>
      <c r="AC595" s="17" t="s">
        <v>815</v>
      </c>
      <c r="AD595" s="17"/>
      <c r="AE595" s="380" t="s">
        <v>291</v>
      </c>
      <c r="AF595" s="22" t="s">
        <v>437</v>
      </c>
      <c r="AG595" s="380"/>
      <c r="AH595" s="380"/>
      <c r="AI595" s="380"/>
      <c r="AJ595" s="380">
        <v>-1</v>
      </c>
      <c r="AK595" s="380"/>
      <c r="AL595" s="382"/>
      <c r="AM595" s="382"/>
      <c r="AN595" s="382"/>
      <c r="AO595" s="382"/>
      <c r="AP595" s="382"/>
      <c r="AQ595" s="382"/>
      <c r="AR595" s="382"/>
      <c r="AU595" s="382"/>
      <c r="AV595" s="382"/>
      <c r="AW595" s="382"/>
      <c r="AX595" s="382"/>
      <c r="AY595" s="382"/>
      <c r="AZ595" s="382"/>
      <c r="BA595" s="383"/>
      <c r="BB595" s="384"/>
      <c r="BC595" s="384"/>
      <c r="BD595" s="384"/>
      <c r="BE595" s="384"/>
      <c r="BF595" s="384"/>
      <c r="BG595" s="384"/>
      <c r="BH595" s="384"/>
      <c r="BI595" s="384"/>
      <c r="BJ595" s="385"/>
      <c r="BK595" s="385"/>
      <c r="BL595" s="385"/>
      <c r="BM595" s="385"/>
      <c r="BN595" s="385"/>
      <c r="BO595" s="385"/>
      <c r="BP595" s="385"/>
      <c r="BQ595" s="385"/>
      <c r="BR595" s="385"/>
      <c r="BS595" s="385"/>
      <c r="BT595" s="385"/>
      <c r="BU595" s="385"/>
      <c r="BV595" s="385"/>
      <c r="BW595" s="385"/>
      <c r="BX595" s="385"/>
      <c r="BY595" s="385"/>
      <c r="BZ595" s="385"/>
      <c r="CA595" s="385"/>
      <c r="CB595" s="385"/>
      <c r="CC595" s="385"/>
      <c r="CD595" s="385"/>
      <c r="CE595" s="385"/>
      <c r="CX595" s="387" t="s">
        <v>273</v>
      </c>
      <c r="DD595" s="362" t="s">
        <v>274</v>
      </c>
      <c r="DE595" s="23" t="s">
        <v>990</v>
      </c>
      <c r="DJ595" s="22" t="b">
        <v>1</v>
      </c>
      <c r="DK595" s="388" t="s">
        <v>991</v>
      </c>
      <c r="DL595" s="388"/>
      <c r="DM595" s="388"/>
      <c r="DN595" s="388"/>
      <c r="DO595" s="388"/>
      <c r="DP595" s="389"/>
      <c r="DQ595" s="388" t="s">
        <v>991</v>
      </c>
      <c r="DR595" s="57" t="str">
        <f t="shared" si="17"/>
        <v/>
      </c>
      <c r="DS595" s="388" t="s">
        <v>992</v>
      </c>
      <c r="DU595" s="1" t="s">
        <v>280</v>
      </c>
      <c r="DV595" s="390"/>
      <c r="EA595" s="390"/>
      <c r="EB595" s="390"/>
      <c r="EC595" s="390"/>
      <c r="ED595" s="390"/>
    </row>
    <row r="596" spans="1:134" s="23" customFormat="1" ht="49.5" customHeight="1" x14ac:dyDescent="0.15">
      <c r="B596" s="378"/>
      <c r="C596" s="40"/>
      <c r="AB596" s="353">
        <v>66020002</v>
      </c>
      <c r="AC596" s="17" t="s">
        <v>819</v>
      </c>
      <c r="AD596" s="380" t="s">
        <v>330</v>
      </c>
      <c r="AE596" s="380" t="s">
        <v>820</v>
      </c>
      <c r="AF596" s="380" t="s">
        <v>314</v>
      </c>
      <c r="AG596" s="380"/>
      <c r="AH596" s="380"/>
      <c r="AI596" s="380"/>
      <c r="AJ596" s="380"/>
      <c r="AK596" s="380"/>
      <c r="AL596" s="382"/>
      <c r="AM596" s="382"/>
      <c r="AN596" s="382"/>
      <c r="AO596" s="382"/>
      <c r="AP596" s="382"/>
      <c r="AQ596" s="382"/>
      <c r="AR596" s="382"/>
      <c r="AU596" s="382"/>
      <c r="AV596" s="382"/>
      <c r="AW596" s="382"/>
      <c r="AX596" s="382"/>
      <c r="AY596" s="382"/>
      <c r="AZ596" s="382"/>
      <c r="BA596" s="383"/>
      <c r="BB596" s="384"/>
      <c r="BC596" s="384"/>
      <c r="BD596" s="384"/>
      <c r="BE596" s="384"/>
      <c r="BF596" s="384"/>
      <c r="BG596" s="384"/>
      <c r="BH596" s="384"/>
      <c r="BI596" s="384"/>
      <c r="BJ596" s="385"/>
      <c r="BK596" s="385"/>
      <c r="BL596" s="385"/>
      <c r="BM596" s="385"/>
      <c r="BN596" s="385"/>
      <c r="BO596" s="385"/>
      <c r="BP596" s="385"/>
      <c r="BQ596" s="385"/>
      <c r="BR596" s="385"/>
      <c r="BS596" s="385"/>
      <c r="BT596" s="385"/>
      <c r="BU596" s="385"/>
      <c r="BV596" s="385"/>
      <c r="BW596" s="385"/>
      <c r="BX596" s="385"/>
      <c r="BY596" s="385"/>
      <c r="BZ596" s="385"/>
      <c r="CA596" s="385"/>
      <c r="CB596" s="23" t="s">
        <v>1</v>
      </c>
      <c r="CC596" s="386" t="s">
        <v>464</v>
      </c>
      <c r="CD596" s="386">
        <v>999</v>
      </c>
      <c r="CE596" s="386" t="s">
        <v>675</v>
      </c>
      <c r="DJ596" s="22" t="b">
        <v>1</v>
      </c>
      <c r="DK596" s="388"/>
      <c r="DL596" s="388"/>
      <c r="DM596" s="388"/>
      <c r="DN596" s="388"/>
      <c r="DO596" s="388"/>
      <c r="DP596" s="389"/>
      <c r="DQ596" s="388"/>
      <c r="DR596" s="57" t="str">
        <f t="shared" si="17"/>
        <v/>
      </c>
      <c r="DS596" s="388"/>
      <c r="DU596" s="1" t="s">
        <v>280</v>
      </c>
      <c r="DV596" s="390"/>
      <c r="EA596" s="390"/>
      <c r="EB596" s="390"/>
      <c r="EC596" s="390"/>
      <c r="ED596" s="390"/>
    </row>
    <row r="597" spans="1:134" s="23" customFormat="1" x14ac:dyDescent="0.15">
      <c r="B597" s="378"/>
      <c r="C597" s="40"/>
      <c r="AB597" s="353">
        <v>66020003</v>
      </c>
      <c r="AC597" s="135" t="s">
        <v>993</v>
      </c>
      <c r="AD597" s="380" t="s">
        <v>330</v>
      </c>
      <c r="AE597" s="380" t="s">
        <v>811</v>
      </c>
      <c r="AF597" s="380" t="s">
        <v>314</v>
      </c>
      <c r="AG597" s="380"/>
      <c r="AH597" s="380"/>
      <c r="AI597" s="380"/>
      <c r="AJ597" s="380">
        <v>2</v>
      </c>
      <c r="AK597" s="380"/>
      <c r="AL597" s="382"/>
      <c r="AM597" s="382"/>
      <c r="AN597" s="382"/>
      <c r="AO597" s="382"/>
      <c r="AP597" s="382"/>
      <c r="AQ597" s="382"/>
      <c r="AR597" s="382"/>
      <c r="AU597" s="382"/>
      <c r="AV597" s="382"/>
      <c r="AW597" s="382"/>
      <c r="AX597" s="382"/>
      <c r="AY597" s="382"/>
      <c r="AZ597" s="382"/>
      <c r="BA597" s="383" t="s">
        <v>270</v>
      </c>
      <c r="BB597" s="384">
        <v>0.15</v>
      </c>
      <c r="BC597" s="384"/>
      <c r="BD597" s="384"/>
      <c r="BE597" s="384"/>
      <c r="BF597" s="384"/>
      <c r="BG597" s="384"/>
      <c r="BH597" s="384"/>
      <c r="BI597" s="384"/>
      <c r="BJ597" s="385"/>
      <c r="BK597" s="385"/>
      <c r="BL597" s="385"/>
      <c r="BM597" s="385"/>
      <c r="BN597" s="385"/>
      <c r="BO597" s="385"/>
      <c r="BP597" s="385"/>
      <c r="BQ597" s="385"/>
      <c r="BR597" s="385"/>
      <c r="BS597" s="385"/>
      <c r="BT597" s="385"/>
      <c r="BU597" s="385"/>
      <c r="BV597" s="385"/>
      <c r="BW597" s="385"/>
      <c r="BX597" s="385"/>
      <c r="BY597" s="385"/>
      <c r="BZ597" s="385"/>
      <c r="CA597" s="385"/>
      <c r="CB597" s="385"/>
      <c r="CC597" s="385"/>
      <c r="CD597" s="385"/>
      <c r="CE597" s="385"/>
      <c r="DJ597" s="22" t="b">
        <v>1</v>
      </c>
      <c r="DK597" s="388"/>
      <c r="DL597" s="388"/>
      <c r="DM597" s="388"/>
      <c r="DN597" s="388"/>
      <c r="DO597" s="388"/>
      <c r="DP597" s="389"/>
      <c r="DQ597" s="388"/>
      <c r="DR597" s="57" t="str">
        <f t="shared" si="17"/>
        <v/>
      </c>
      <c r="DS597" s="388"/>
      <c r="DU597" s="1" t="s">
        <v>280</v>
      </c>
      <c r="DV597" s="390"/>
      <c r="EA597" s="390"/>
      <c r="EB597" s="390"/>
      <c r="EC597" s="390"/>
      <c r="ED597" s="390"/>
    </row>
    <row r="598" spans="1:134" s="23" customFormat="1" x14ac:dyDescent="0.15">
      <c r="A598" s="23">
        <v>660700</v>
      </c>
      <c r="B598" s="378" t="s">
        <v>1002</v>
      </c>
      <c r="C598" s="40" t="s">
        <v>1003</v>
      </c>
      <c r="D598" s="23" t="s">
        <v>956</v>
      </c>
      <c r="E598" s="23">
        <v>660100</v>
      </c>
      <c r="H598" s="379">
        <v>1</v>
      </c>
      <c r="L598" s="23">
        <v>0</v>
      </c>
      <c r="Q598" s="23" t="s">
        <v>431</v>
      </c>
      <c r="W598" s="23" t="b">
        <v>1</v>
      </c>
      <c r="X598" s="23">
        <v>1</v>
      </c>
      <c r="Y598" s="23">
        <v>0</v>
      </c>
      <c r="Z598" s="23">
        <v>0</v>
      </c>
      <c r="AB598" s="353">
        <v>66030001</v>
      </c>
      <c r="AC598" s="17" t="s">
        <v>815</v>
      </c>
      <c r="AD598" s="17"/>
      <c r="AE598" s="380" t="s">
        <v>291</v>
      </c>
      <c r="AF598" s="22" t="s">
        <v>437</v>
      </c>
      <c r="AG598" s="380"/>
      <c r="AH598" s="380"/>
      <c r="AI598" s="380"/>
      <c r="AJ598" s="380">
        <v>-1</v>
      </c>
      <c r="AK598" s="380"/>
      <c r="AL598" s="382"/>
      <c r="AM598" s="382"/>
      <c r="AN598" s="382"/>
      <c r="AO598" s="382"/>
      <c r="AP598" s="382"/>
      <c r="AQ598" s="382"/>
      <c r="AR598" s="382"/>
      <c r="AU598" s="382"/>
      <c r="AV598" s="382"/>
      <c r="AW598" s="382"/>
      <c r="AX598" s="382"/>
      <c r="AY598" s="382"/>
      <c r="AZ598" s="382"/>
      <c r="BA598" s="383"/>
      <c r="BB598" s="384"/>
      <c r="BC598" s="384"/>
      <c r="BD598" s="384"/>
      <c r="BE598" s="384"/>
      <c r="BF598" s="384"/>
      <c r="BG598" s="384"/>
      <c r="BH598" s="384"/>
      <c r="BI598" s="384"/>
      <c r="BJ598" s="385"/>
      <c r="BK598" s="385"/>
      <c r="BL598" s="385"/>
      <c r="BM598" s="385"/>
      <c r="BN598" s="385"/>
      <c r="BO598" s="385"/>
      <c r="BP598" s="385"/>
      <c r="BQ598" s="385"/>
      <c r="BR598" s="385"/>
      <c r="BS598" s="385"/>
      <c r="BT598" s="385"/>
      <c r="BU598" s="385"/>
      <c r="BV598" s="385"/>
      <c r="BW598" s="385"/>
      <c r="BX598" s="385"/>
      <c r="BY598" s="385"/>
      <c r="BZ598" s="385"/>
      <c r="CA598" s="385"/>
      <c r="CB598" s="385"/>
      <c r="CC598" s="385"/>
      <c r="CD598" s="385"/>
      <c r="CE598" s="385"/>
      <c r="CX598" s="387" t="s">
        <v>273</v>
      </c>
      <c r="DD598" s="362" t="s">
        <v>274</v>
      </c>
      <c r="DE598" s="23" t="s">
        <v>957</v>
      </c>
      <c r="DJ598" s="22" t="b">
        <v>1</v>
      </c>
      <c r="DK598" s="388" t="s">
        <v>958</v>
      </c>
      <c r="DL598" s="388"/>
      <c r="DM598" s="388"/>
      <c r="DN598" s="388"/>
      <c r="DO598" s="388"/>
      <c r="DP598" s="389"/>
      <c r="DQ598" s="388" t="s">
        <v>958</v>
      </c>
      <c r="DR598" s="57" t="str">
        <f t="shared" si="17"/>
        <v/>
      </c>
      <c r="DS598" s="388" t="s">
        <v>959</v>
      </c>
      <c r="DU598" s="1" t="s">
        <v>280</v>
      </c>
      <c r="DV598" s="390"/>
      <c r="EA598" s="390"/>
      <c r="EB598" s="390"/>
      <c r="EC598" s="390"/>
      <c r="ED598" s="390"/>
    </row>
    <row r="599" spans="1:134" s="23" customFormat="1" ht="49.5" customHeight="1" x14ac:dyDescent="0.15">
      <c r="B599" s="378"/>
      <c r="C599" s="40"/>
      <c r="AB599" s="353">
        <v>66030002</v>
      </c>
      <c r="AC599" s="17" t="s">
        <v>819</v>
      </c>
      <c r="AD599" s="380" t="s">
        <v>330</v>
      </c>
      <c r="AE599" s="380" t="s">
        <v>820</v>
      </c>
      <c r="AF599" s="380" t="s">
        <v>314</v>
      </c>
      <c r="AG599" s="380"/>
      <c r="AH599" s="380"/>
      <c r="AI599" s="380"/>
      <c r="AJ599" s="380"/>
      <c r="AK599" s="380"/>
      <c r="AL599" s="382"/>
      <c r="AM599" s="382"/>
      <c r="AN599" s="382"/>
      <c r="AO599" s="382"/>
      <c r="AP599" s="382"/>
      <c r="AQ599" s="382"/>
      <c r="AR599" s="382"/>
      <c r="AU599" s="382"/>
      <c r="AV599" s="382"/>
      <c r="AW599" s="382"/>
      <c r="AX599" s="382"/>
      <c r="AY599" s="382"/>
      <c r="AZ599" s="382"/>
      <c r="BA599" s="383"/>
      <c r="BB599" s="384"/>
      <c r="BC599" s="384"/>
      <c r="BD599" s="384"/>
      <c r="BE599" s="384"/>
      <c r="BF599" s="384"/>
      <c r="BG599" s="384"/>
      <c r="BH599" s="384"/>
      <c r="BI599" s="384"/>
      <c r="BJ599" s="385"/>
      <c r="BK599" s="385"/>
      <c r="BL599" s="385"/>
      <c r="BM599" s="385"/>
      <c r="BN599" s="385"/>
      <c r="BO599" s="385"/>
      <c r="BP599" s="385"/>
      <c r="BQ599" s="385"/>
      <c r="BR599" s="385"/>
      <c r="BS599" s="385"/>
      <c r="BT599" s="385"/>
      <c r="BU599" s="385"/>
      <c r="BV599" s="385"/>
      <c r="BW599" s="385"/>
      <c r="BX599" s="385"/>
      <c r="BY599" s="385"/>
      <c r="BZ599" s="385"/>
      <c r="CA599" s="385"/>
      <c r="CB599" s="23" t="s">
        <v>1</v>
      </c>
      <c r="CC599" s="386" t="s">
        <v>464</v>
      </c>
      <c r="CD599" s="386">
        <v>999</v>
      </c>
      <c r="CE599" s="386" t="s">
        <v>675</v>
      </c>
      <c r="DJ599" s="22" t="b">
        <v>1</v>
      </c>
      <c r="DK599" s="388"/>
      <c r="DL599" s="388"/>
      <c r="DM599" s="388"/>
      <c r="DN599" s="388"/>
      <c r="DO599" s="388"/>
      <c r="DP599" s="389"/>
      <c r="DQ599" s="388"/>
      <c r="DR599" s="57" t="str">
        <f t="shared" si="17"/>
        <v/>
      </c>
      <c r="DS599" s="388"/>
      <c r="DU599" s="1" t="s">
        <v>280</v>
      </c>
      <c r="DV599" s="390"/>
      <c r="EA599" s="390"/>
      <c r="EB599" s="390"/>
      <c r="EC599" s="390"/>
      <c r="ED599" s="390"/>
    </row>
    <row r="600" spans="1:134" s="23" customFormat="1" x14ac:dyDescent="0.15">
      <c r="B600" s="378"/>
      <c r="C600" s="40"/>
      <c r="AB600" s="353">
        <v>66030003</v>
      </c>
      <c r="AC600" s="381" t="s">
        <v>960</v>
      </c>
      <c r="AD600" s="380" t="s">
        <v>330</v>
      </c>
      <c r="AE600" s="380" t="s">
        <v>811</v>
      </c>
      <c r="AF600" s="380" t="s">
        <v>314</v>
      </c>
      <c r="AG600" s="380"/>
      <c r="AH600" s="380"/>
      <c r="AI600" s="380"/>
      <c r="AJ600" s="380">
        <v>2</v>
      </c>
      <c r="AK600" s="380"/>
      <c r="AL600" s="382"/>
      <c r="AM600" s="382"/>
      <c r="AN600" s="382"/>
      <c r="AO600" s="382"/>
      <c r="AP600" s="382"/>
      <c r="AQ600" s="382"/>
      <c r="AR600" s="382"/>
      <c r="AU600" s="382"/>
      <c r="AV600" s="382"/>
      <c r="AW600" s="382"/>
      <c r="AX600" s="382"/>
      <c r="AY600" s="382"/>
      <c r="AZ600" s="382"/>
      <c r="BA600" s="383" t="s">
        <v>270</v>
      </c>
      <c r="BB600" s="384">
        <v>0.15</v>
      </c>
      <c r="BC600" s="384"/>
      <c r="BD600" s="384"/>
      <c r="BE600" s="384"/>
      <c r="BF600" s="384"/>
      <c r="BG600" s="384"/>
      <c r="BH600" s="384"/>
      <c r="BI600" s="384"/>
      <c r="BJ600" s="385"/>
      <c r="BK600" s="385"/>
      <c r="BL600" s="385"/>
      <c r="BM600" s="385"/>
      <c r="BN600" s="385"/>
      <c r="BO600" s="385"/>
      <c r="BP600" s="385"/>
      <c r="BQ600" s="385"/>
      <c r="BR600" s="385"/>
      <c r="BS600" s="385"/>
      <c r="BT600" s="385"/>
      <c r="BU600" s="385"/>
      <c r="BV600" s="385"/>
      <c r="BW600" s="385"/>
      <c r="BX600" s="385"/>
      <c r="BY600" s="385"/>
      <c r="BZ600" s="385"/>
      <c r="CA600" s="385"/>
      <c r="CB600" s="385"/>
      <c r="CC600" s="385"/>
      <c r="CD600" s="385"/>
      <c r="CE600" s="385"/>
      <c r="DJ600" s="22" t="b">
        <v>1</v>
      </c>
      <c r="DK600" s="388"/>
      <c r="DL600" s="388"/>
      <c r="DM600" s="388"/>
      <c r="DN600" s="388"/>
      <c r="DO600" s="388"/>
      <c r="DP600" s="389"/>
      <c r="DQ600" s="388"/>
      <c r="DR600" s="57" t="str">
        <f t="shared" si="17"/>
        <v/>
      </c>
      <c r="DS600" s="388"/>
      <c r="DU600" s="1" t="s">
        <v>280</v>
      </c>
      <c r="DV600" s="390"/>
      <c r="EA600" s="390"/>
      <c r="EB600" s="390"/>
      <c r="EC600" s="390"/>
      <c r="ED600" s="390"/>
    </row>
    <row r="601" spans="1:134" s="23" customFormat="1" x14ac:dyDescent="0.15">
      <c r="A601" s="23">
        <v>660710</v>
      </c>
      <c r="B601" s="378" t="s">
        <v>1002</v>
      </c>
      <c r="C601" s="40" t="s">
        <v>1003</v>
      </c>
      <c r="D601" s="23" t="s">
        <v>961</v>
      </c>
      <c r="E601" s="23">
        <v>660100</v>
      </c>
      <c r="H601" s="379">
        <v>1</v>
      </c>
      <c r="L601" s="23">
        <v>0</v>
      </c>
      <c r="Q601" s="23" t="s">
        <v>431</v>
      </c>
      <c r="W601" s="23" t="b">
        <v>1</v>
      </c>
      <c r="X601" s="23">
        <v>1</v>
      </c>
      <c r="Y601" s="23">
        <v>0</v>
      </c>
      <c r="Z601" s="23">
        <v>0</v>
      </c>
      <c r="AB601" s="353">
        <v>66010001</v>
      </c>
      <c r="AC601" s="17" t="s">
        <v>815</v>
      </c>
      <c r="AD601" s="17"/>
      <c r="AE601" s="380" t="s">
        <v>291</v>
      </c>
      <c r="AF601" s="22" t="s">
        <v>437</v>
      </c>
      <c r="AG601" s="380"/>
      <c r="AH601" s="380"/>
      <c r="AI601" s="380"/>
      <c r="AJ601" s="380">
        <v>-1</v>
      </c>
      <c r="AK601" s="380"/>
      <c r="AL601" s="382"/>
      <c r="AM601" s="382"/>
      <c r="AN601" s="382"/>
      <c r="AO601" s="382"/>
      <c r="AP601" s="382"/>
      <c r="AQ601" s="382"/>
      <c r="AR601" s="382"/>
      <c r="AU601" s="382"/>
      <c r="AV601" s="382"/>
      <c r="AW601" s="382"/>
      <c r="AX601" s="382"/>
      <c r="AY601" s="382"/>
      <c r="AZ601" s="382"/>
      <c r="BA601" s="383"/>
      <c r="BB601" s="384"/>
      <c r="BC601" s="384"/>
      <c r="BD601" s="384"/>
      <c r="BE601" s="384"/>
      <c r="BF601" s="384"/>
      <c r="BG601" s="384"/>
      <c r="BH601" s="384"/>
      <c r="BI601" s="384"/>
      <c r="BJ601" s="385"/>
      <c r="BK601" s="385"/>
      <c r="BL601" s="385"/>
      <c r="BM601" s="385"/>
      <c r="BN601" s="385"/>
      <c r="BO601" s="385"/>
      <c r="BP601" s="385"/>
      <c r="BQ601" s="385"/>
      <c r="BR601" s="385"/>
      <c r="BS601" s="385"/>
      <c r="BT601" s="385"/>
      <c r="BU601" s="385"/>
      <c r="BV601" s="385"/>
      <c r="BW601" s="385"/>
      <c r="BX601" s="385"/>
      <c r="BY601" s="385"/>
      <c r="BZ601" s="385"/>
      <c r="CA601" s="385"/>
      <c r="CB601" s="385"/>
      <c r="CC601" s="385"/>
      <c r="CD601" s="385"/>
      <c r="CE601" s="385"/>
      <c r="CX601" s="387" t="s">
        <v>273</v>
      </c>
      <c r="DD601" s="362" t="s">
        <v>274</v>
      </c>
      <c r="DE601" s="23" t="s">
        <v>962</v>
      </c>
      <c r="DJ601" s="22" t="b">
        <v>1</v>
      </c>
      <c r="DK601" s="388" t="s">
        <v>963</v>
      </c>
      <c r="DL601" s="388"/>
      <c r="DM601" s="388"/>
      <c r="DN601" s="388"/>
      <c r="DO601" s="388"/>
      <c r="DP601" s="389"/>
      <c r="DQ601" s="388" t="s">
        <v>963</v>
      </c>
      <c r="DR601" s="57" t="str">
        <f t="shared" si="17"/>
        <v/>
      </c>
      <c r="DS601" s="388" t="s">
        <v>964</v>
      </c>
      <c r="DU601" s="1" t="s">
        <v>280</v>
      </c>
      <c r="DV601" s="390"/>
      <c r="EA601" s="390"/>
      <c r="EB601" s="390"/>
      <c r="EC601" s="390"/>
      <c r="ED601" s="390"/>
    </row>
    <row r="602" spans="1:134" s="23" customFormat="1" ht="49.5" customHeight="1" x14ac:dyDescent="0.15">
      <c r="B602" s="378"/>
      <c r="C602" s="40"/>
      <c r="AB602" s="353">
        <v>66010002</v>
      </c>
      <c r="AC602" s="17" t="s">
        <v>819</v>
      </c>
      <c r="AD602" s="380" t="s">
        <v>330</v>
      </c>
      <c r="AE602" s="380" t="s">
        <v>820</v>
      </c>
      <c r="AF602" s="380" t="s">
        <v>314</v>
      </c>
      <c r="AG602" s="380"/>
      <c r="AH602" s="380"/>
      <c r="AI602" s="380"/>
      <c r="AJ602" s="380"/>
      <c r="AK602" s="380"/>
      <c r="AL602" s="382"/>
      <c r="AM602" s="382"/>
      <c r="AN602" s="382"/>
      <c r="AO602" s="382"/>
      <c r="AP602" s="382"/>
      <c r="AQ602" s="382"/>
      <c r="AR602" s="382"/>
      <c r="AU602" s="382"/>
      <c r="AV602" s="382"/>
      <c r="AW602" s="382"/>
      <c r="AX602" s="382"/>
      <c r="AY602" s="382"/>
      <c r="AZ602" s="382"/>
      <c r="BA602" s="383"/>
      <c r="BB602" s="384"/>
      <c r="BC602" s="384"/>
      <c r="BD602" s="384"/>
      <c r="BE602" s="384"/>
      <c r="BF602" s="384"/>
      <c r="BG602" s="384"/>
      <c r="BH602" s="384"/>
      <c r="BI602" s="384"/>
      <c r="BJ602" s="385"/>
      <c r="BK602" s="385"/>
      <c r="BL602" s="385"/>
      <c r="BM602" s="385"/>
      <c r="BN602" s="385"/>
      <c r="BO602" s="385"/>
      <c r="BP602" s="385"/>
      <c r="BQ602" s="385"/>
      <c r="BR602" s="385"/>
      <c r="BS602" s="385"/>
      <c r="BT602" s="385"/>
      <c r="BU602" s="385"/>
      <c r="BV602" s="385"/>
      <c r="BW602" s="385"/>
      <c r="BX602" s="385"/>
      <c r="BY602" s="385"/>
      <c r="BZ602" s="385"/>
      <c r="CA602" s="385"/>
      <c r="CB602" s="23" t="s">
        <v>1</v>
      </c>
      <c r="CC602" s="386" t="s">
        <v>464</v>
      </c>
      <c r="CD602" s="386">
        <v>999</v>
      </c>
      <c r="CE602" s="386" t="s">
        <v>675</v>
      </c>
      <c r="DJ602" s="22" t="b">
        <v>1</v>
      </c>
      <c r="DK602" s="388"/>
      <c r="DL602" s="388"/>
      <c r="DM602" s="388"/>
      <c r="DN602" s="388"/>
      <c r="DO602" s="388"/>
      <c r="DP602" s="389"/>
      <c r="DQ602" s="388"/>
      <c r="DR602" s="57" t="str">
        <f t="shared" si="17"/>
        <v/>
      </c>
      <c r="DS602" s="388"/>
      <c r="DU602" s="1" t="s">
        <v>280</v>
      </c>
      <c r="DV602" s="390"/>
      <c r="EA602" s="390"/>
      <c r="EB602" s="390"/>
      <c r="EC602" s="390"/>
      <c r="ED602" s="390"/>
    </row>
    <row r="603" spans="1:134" s="23" customFormat="1" x14ac:dyDescent="0.15">
      <c r="B603" s="378"/>
      <c r="C603" s="40"/>
      <c r="AB603" s="353">
        <v>66010003</v>
      </c>
      <c r="AC603" s="381" t="s">
        <v>965</v>
      </c>
      <c r="AD603" s="380" t="s">
        <v>330</v>
      </c>
      <c r="AE603" s="380" t="s">
        <v>811</v>
      </c>
      <c r="AF603" s="380" t="s">
        <v>314</v>
      </c>
      <c r="AG603" s="380"/>
      <c r="AH603" s="380"/>
      <c r="AI603" s="380"/>
      <c r="AJ603" s="380">
        <v>2</v>
      </c>
      <c r="AK603" s="380"/>
      <c r="AL603" s="382"/>
      <c r="AM603" s="382"/>
      <c r="AN603" s="382"/>
      <c r="AO603" s="382"/>
      <c r="AP603" s="382"/>
      <c r="AQ603" s="382"/>
      <c r="AR603" s="382"/>
      <c r="AU603" s="382"/>
      <c r="AV603" s="382"/>
      <c r="AW603" s="382"/>
      <c r="AX603" s="382"/>
      <c r="AY603" s="382"/>
      <c r="AZ603" s="382"/>
      <c r="BA603" s="383" t="s">
        <v>270</v>
      </c>
      <c r="BB603" s="384">
        <v>0.15</v>
      </c>
      <c r="BC603" s="384"/>
      <c r="BD603" s="384"/>
      <c r="BE603" s="384"/>
      <c r="BF603" s="384"/>
      <c r="BG603" s="384"/>
      <c r="BH603" s="384"/>
      <c r="BI603" s="384"/>
      <c r="BJ603" s="385"/>
      <c r="BK603" s="385"/>
      <c r="BL603" s="385"/>
      <c r="BM603" s="385"/>
      <c r="BN603" s="385"/>
      <c r="BO603" s="385"/>
      <c r="BP603" s="385"/>
      <c r="BQ603" s="385"/>
      <c r="BR603" s="385"/>
      <c r="BS603" s="385"/>
      <c r="BT603" s="385"/>
      <c r="BU603" s="385"/>
      <c r="BV603" s="385"/>
      <c r="BW603" s="385"/>
      <c r="BX603" s="385"/>
      <c r="BY603" s="385"/>
      <c r="BZ603" s="385"/>
      <c r="CA603" s="385"/>
      <c r="CB603" s="385"/>
      <c r="CC603" s="385"/>
      <c r="CD603" s="385"/>
      <c r="CE603" s="385"/>
      <c r="DJ603" s="22" t="b">
        <v>1</v>
      </c>
      <c r="DK603" s="388"/>
      <c r="DL603" s="388"/>
      <c r="DM603" s="388"/>
      <c r="DN603" s="388"/>
      <c r="DO603" s="388"/>
      <c r="DP603" s="389"/>
      <c r="DQ603" s="388"/>
      <c r="DR603" s="57" t="str">
        <f t="shared" si="17"/>
        <v/>
      </c>
      <c r="DS603" s="388"/>
      <c r="DU603" s="1" t="s">
        <v>280</v>
      </c>
      <c r="DV603" s="390"/>
      <c r="EA603" s="390"/>
      <c r="EB603" s="390"/>
      <c r="EC603" s="390"/>
      <c r="ED603" s="390"/>
    </row>
    <row r="604" spans="1:134" s="23" customFormat="1" x14ac:dyDescent="0.15">
      <c r="A604" s="23">
        <v>660720</v>
      </c>
      <c r="B604" s="378" t="s">
        <v>1002</v>
      </c>
      <c r="C604" s="40" t="s">
        <v>1003</v>
      </c>
      <c r="D604" s="23" t="s">
        <v>966</v>
      </c>
      <c r="E604" s="23">
        <v>660100</v>
      </c>
      <c r="H604" s="379">
        <v>1</v>
      </c>
      <c r="L604" s="23">
        <v>0</v>
      </c>
      <c r="Q604" s="23" t="s">
        <v>431</v>
      </c>
      <c r="W604" s="23" t="b">
        <v>1</v>
      </c>
      <c r="X604" s="23">
        <v>1</v>
      </c>
      <c r="Y604" s="23">
        <v>0</v>
      </c>
      <c r="Z604" s="23">
        <v>0</v>
      </c>
      <c r="AB604" s="353">
        <v>66110001</v>
      </c>
      <c r="AC604" s="17" t="s">
        <v>815</v>
      </c>
      <c r="AD604" s="17"/>
      <c r="AE604" s="380" t="s">
        <v>291</v>
      </c>
      <c r="AF604" s="22" t="s">
        <v>437</v>
      </c>
      <c r="AG604" s="380"/>
      <c r="AH604" s="380"/>
      <c r="AI604" s="380"/>
      <c r="AJ604" s="380">
        <v>-1</v>
      </c>
      <c r="AK604" s="380"/>
      <c r="AL604" s="382"/>
      <c r="AM604" s="382"/>
      <c r="AN604" s="382"/>
      <c r="AO604" s="382"/>
      <c r="AP604" s="382"/>
      <c r="AQ604" s="382"/>
      <c r="AR604" s="382"/>
      <c r="AU604" s="382"/>
      <c r="AV604" s="382"/>
      <c r="AW604" s="382"/>
      <c r="AX604" s="382"/>
      <c r="AY604" s="382"/>
      <c r="AZ604" s="382"/>
      <c r="BA604" s="383"/>
      <c r="BB604" s="384"/>
      <c r="BC604" s="384"/>
      <c r="BD604" s="384"/>
      <c r="BE604" s="384"/>
      <c r="BF604" s="384"/>
      <c r="BG604" s="384"/>
      <c r="BH604" s="384"/>
      <c r="BI604" s="384"/>
      <c r="BJ604" s="385"/>
      <c r="BK604" s="385"/>
      <c r="BL604" s="385"/>
      <c r="BM604" s="385"/>
      <c r="BN604" s="385"/>
      <c r="BO604" s="385"/>
      <c r="BP604" s="385"/>
      <c r="BQ604" s="385"/>
      <c r="BR604" s="385"/>
      <c r="BS604" s="385"/>
      <c r="BT604" s="385"/>
      <c r="BU604" s="385"/>
      <c r="BV604" s="385"/>
      <c r="BW604" s="385"/>
      <c r="BX604" s="385"/>
      <c r="BY604" s="385"/>
      <c r="BZ604" s="385"/>
      <c r="CA604" s="385"/>
      <c r="CB604" s="385"/>
      <c r="CC604" s="385"/>
      <c r="CD604" s="385"/>
      <c r="CE604" s="385"/>
      <c r="CX604" s="387" t="s">
        <v>273</v>
      </c>
      <c r="DD604" s="362" t="s">
        <v>274</v>
      </c>
      <c r="DE604" s="23" t="s">
        <v>967</v>
      </c>
      <c r="DJ604" s="22" t="b">
        <v>1</v>
      </c>
      <c r="DK604" s="388" t="s">
        <v>968</v>
      </c>
      <c r="DL604" s="388"/>
      <c r="DM604" s="388"/>
      <c r="DN604" s="388"/>
      <c r="DO604" s="388"/>
      <c r="DP604" s="389"/>
      <c r="DQ604" s="388" t="s">
        <v>968</v>
      </c>
      <c r="DR604" s="57" t="str">
        <f t="shared" si="17"/>
        <v/>
      </c>
      <c r="DS604" s="388" t="s">
        <v>969</v>
      </c>
      <c r="DU604" s="1" t="s">
        <v>280</v>
      </c>
      <c r="DV604" s="390"/>
      <c r="EA604" s="390"/>
      <c r="EB604" s="390"/>
      <c r="EC604" s="390"/>
      <c r="ED604" s="390"/>
    </row>
    <row r="605" spans="1:134" s="23" customFormat="1" ht="49.5" customHeight="1" x14ac:dyDescent="0.15">
      <c r="B605" s="378"/>
      <c r="C605" s="40"/>
      <c r="AB605" s="353">
        <v>66110002</v>
      </c>
      <c r="AC605" s="17" t="s">
        <v>819</v>
      </c>
      <c r="AD605" s="380" t="s">
        <v>330</v>
      </c>
      <c r="AE605" s="380" t="s">
        <v>820</v>
      </c>
      <c r="AF605" s="380" t="s">
        <v>314</v>
      </c>
      <c r="AG605" s="380"/>
      <c r="AH605" s="380"/>
      <c r="AI605" s="380"/>
      <c r="AJ605" s="380"/>
      <c r="AK605" s="380"/>
      <c r="AL605" s="382"/>
      <c r="AM605" s="382"/>
      <c r="AN605" s="382"/>
      <c r="AO605" s="382"/>
      <c r="AP605" s="382"/>
      <c r="AQ605" s="382"/>
      <c r="AR605" s="382"/>
      <c r="AU605" s="382"/>
      <c r="AV605" s="382"/>
      <c r="AW605" s="382"/>
      <c r="AX605" s="382"/>
      <c r="AY605" s="382"/>
      <c r="AZ605" s="382"/>
      <c r="BA605" s="383"/>
      <c r="BB605" s="384"/>
      <c r="BC605" s="384"/>
      <c r="BD605" s="384"/>
      <c r="BE605" s="384"/>
      <c r="BF605" s="384"/>
      <c r="BG605" s="384"/>
      <c r="BH605" s="384"/>
      <c r="BI605" s="384"/>
      <c r="BJ605" s="385"/>
      <c r="BK605" s="385"/>
      <c r="BL605" s="385"/>
      <c r="BM605" s="385"/>
      <c r="BN605" s="385"/>
      <c r="BO605" s="385"/>
      <c r="BP605" s="385"/>
      <c r="BQ605" s="385"/>
      <c r="BR605" s="385"/>
      <c r="BS605" s="385"/>
      <c r="BT605" s="385"/>
      <c r="BU605" s="385"/>
      <c r="BV605" s="385"/>
      <c r="BW605" s="385"/>
      <c r="BX605" s="385"/>
      <c r="BY605" s="385"/>
      <c r="BZ605" s="385"/>
      <c r="CA605" s="385"/>
      <c r="CB605" s="23" t="s">
        <v>1</v>
      </c>
      <c r="CC605" s="386" t="s">
        <v>464</v>
      </c>
      <c r="CD605" s="386">
        <v>999</v>
      </c>
      <c r="CE605" s="386" t="s">
        <v>675</v>
      </c>
      <c r="DJ605" s="22" t="b">
        <v>1</v>
      </c>
      <c r="DK605" s="388"/>
      <c r="DL605" s="388"/>
      <c r="DM605" s="388"/>
      <c r="DN605" s="388"/>
      <c r="DO605" s="388"/>
      <c r="DP605" s="389"/>
      <c r="DQ605" s="388"/>
      <c r="DR605" s="57" t="str">
        <f t="shared" si="17"/>
        <v/>
      </c>
      <c r="DS605" s="388"/>
      <c r="DU605" s="1" t="s">
        <v>280</v>
      </c>
      <c r="DV605" s="390"/>
      <c r="EA605" s="390"/>
      <c r="EB605" s="390"/>
      <c r="EC605" s="390"/>
      <c r="ED605" s="390"/>
    </row>
    <row r="606" spans="1:134" s="23" customFormat="1" x14ac:dyDescent="0.15">
      <c r="B606" s="378"/>
      <c r="C606" s="40"/>
      <c r="AB606" s="353">
        <v>66110003</v>
      </c>
      <c r="AC606" s="381" t="s">
        <v>970</v>
      </c>
      <c r="AD606" s="380" t="s">
        <v>330</v>
      </c>
      <c r="AE606" s="380" t="s">
        <v>811</v>
      </c>
      <c r="AF606" s="380" t="s">
        <v>314</v>
      </c>
      <c r="AG606" s="380"/>
      <c r="AH606" s="380"/>
      <c r="AI606" s="380"/>
      <c r="AJ606" s="380">
        <v>2</v>
      </c>
      <c r="AK606" s="380"/>
      <c r="AL606" s="382"/>
      <c r="AM606" s="382"/>
      <c r="AN606" s="382"/>
      <c r="AO606" s="382"/>
      <c r="AP606" s="382"/>
      <c r="AQ606" s="382"/>
      <c r="AR606" s="382"/>
      <c r="AU606" s="382"/>
      <c r="AV606" s="382"/>
      <c r="AW606" s="382"/>
      <c r="AX606" s="382"/>
      <c r="AY606" s="382"/>
      <c r="AZ606" s="382"/>
      <c r="BA606" s="383" t="s">
        <v>270</v>
      </c>
      <c r="BB606" s="384">
        <v>0.15</v>
      </c>
      <c r="BC606" s="384"/>
      <c r="BD606" s="384"/>
      <c r="BE606" s="384"/>
      <c r="BF606" s="384"/>
      <c r="BG606" s="384"/>
      <c r="BH606" s="384"/>
      <c r="BI606" s="384"/>
      <c r="BJ606" s="385"/>
      <c r="BK606" s="385"/>
      <c r="BL606" s="385"/>
      <c r="BM606" s="385"/>
      <c r="BN606" s="385"/>
      <c r="BO606" s="385"/>
      <c r="BP606" s="385"/>
      <c r="BQ606" s="385"/>
      <c r="BR606" s="385"/>
      <c r="BS606" s="385"/>
      <c r="BT606" s="385"/>
      <c r="BU606" s="385"/>
      <c r="BV606" s="385"/>
      <c r="BW606" s="385"/>
      <c r="BX606" s="385"/>
      <c r="BY606" s="385"/>
      <c r="BZ606" s="385"/>
      <c r="CA606" s="385"/>
      <c r="CB606" s="385"/>
      <c r="CC606" s="385"/>
      <c r="CD606" s="385"/>
      <c r="CE606" s="385"/>
      <c r="DJ606" s="22" t="b">
        <v>1</v>
      </c>
      <c r="DK606" s="388"/>
      <c r="DL606" s="388"/>
      <c r="DM606" s="388"/>
      <c r="DN606" s="388"/>
      <c r="DO606" s="388"/>
      <c r="DP606" s="389"/>
      <c r="DQ606" s="388"/>
      <c r="DR606" s="57" t="str">
        <f t="shared" si="17"/>
        <v/>
      </c>
      <c r="DS606" s="388"/>
      <c r="DU606" s="1" t="s">
        <v>280</v>
      </c>
      <c r="DV606" s="390"/>
      <c r="EA606" s="390"/>
      <c r="EB606" s="390"/>
      <c r="EC606" s="390"/>
      <c r="ED606" s="390"/>
    </row>
    <row r="607" spans="1:134" s="23" customFormat="1" x14ac:dyDescent="0.15">
      <c r="A607" s="23">
        <v>660730</v>
      </c>
      <c r="B607" s="378" t="s">
        <v>1002</v>
      </c>
      <c r="C607" s="40" t="s">
        <v>1003</v>
      </c>
      <c r="D607" s="23" t="s">
        <v>971</v>
      </c>
      <c r="E607" s="23">
        <v>660100</v>
      </c>
      <c r="H607" s="379">
        <v>1</v>
      </c>
      <c r="L607" s="23">
        <v>0</v>
      </c>
      <c r="Q607" s="23" t="s">
        <v>431</v>
      </c>
      <c r="W607" s="23" t="b">
        <v>1</v>
      </c>
      <c r="X607" s="23">
        <v>1</v>
      </c>
      <c r="Y607" s="23">
        <v>0</v>
      </c>
      <c r="Z607" s="23">
        <v>0</v>
      </c>
      <c r="AB607" s="353">
        <v>66060001</v>
      </c>
      <c r="AC607" s="17" t="s">
        <v>815</v>
      </c>
      <c r="AD607" s="17"/>
      <c r="AE607" s="380" t="s">
        <v>291</v>
      </c>
      <c r="AF607" s="22" t="s">
        <v>437</v>
      </c>
      <c r="AG607" s="380"/>
      <c r="AH607" s="380"/>
      <c r="AI607" s="380"/>
      <c r="AJ607" s="380">
        <v>-1</v>
      </c>
      <c r="AK607" s="380"/>
      <c r="AL607" s="382"/>
      <c r="AM607" s="382"/>
      <c r="AN607" s="382"/>
      <c r="AO607" s="382"/>
      <c r="AP607" s="382"/>
      <c r="AQ607" s="382"/>
      <c r="AR607" s="382"/>
      <c r="AU607" s="382"/>
      <c r="AV607" s="382"/>
      <c r="AW607" s="382"/>
      <c r="AX607" s="382"/>
      <c r="AY607" s="382"/>
      <c r="AZ607" s="382"/>
      <c r="BA607" s="383"/>
      <c r="BB607" s="384"/>
      <c r="BC607" s="384"/>
      <c r="BD607" s="384"/>
      <c r="BE607" s="384"/>
      <c r="BF607" s="384"/>
      <c r="BG607" s="384"/>
      <c r="BH607" s="384"/>
      <c r="BI607" s="384"/>
      <c r="BJ607" s="385"/>
      <c r="BK607" s="385"/>
      <c r="BL607" s="385"/>
      <c r="BM607" s="385"/>
      <c r="BN607" s="385"/>
      <c r="BO607" s="385"/>
      <c r="BP607" s="385"/>
      <c r="BQ607" s="385"/>
      <c r="BR607" s="385"/>
      <c r="BS607" s="385"/>
      <c r="BT607" s="385"/>
      <c r="BU607" s="385"/>
      <c r="BV607" s="385"/>
      <c r="BW607" s="385"/>
      <c r="BX607" s="385"/>
      <c r="BY607" s="385"/>
      <c r="BZ607" s="385"/>
      <c r="CA607" s="385"/>
      <c r="CB607" s="385"/>
      <c r="CC607" s="385"/>
      <c r="CD607" s="385"/>
      <c r="CE607" s="385"/>
      <c r="CX607" s="387" t="s">
        <v>273</v>
      </c>
      <c r="DD607" s="362" t="s">
        <v>274</v>
      </c>
      <c r="DE607" s="23" t="s">
        <v>972</v>
      </c>
      <c r="DJ607" s="22" t="b">
        <v>1</v>
      </c>
      <c r="DK607" s="388" t="s">
        <v>973</v>
      </c>
      <c r="DL607" s="388"/>
      <c r="DM607" s="388"/>
      <c r="DN607" s="388"/>
      <c r="DO607" s="388"/>
      <c r="DP607" s="389"/>
      <c r="DQ607" s="388" t="s">
        <v>973</v>
      </c>
      <c r="DR607" s="57" t="str">
        <f t="shared" si="17"/>
        <v/>
      </c>
      <c r="DS607" s="388" t="s">
        <v>974</v>
      </c>
      <c r="DU607" s="1" t="s">
        <v>280</v>
      </c>
      <c r="DV607" s="390"/>
      <c r="EA607" s="390"/>
      <c r="EB607" s="390"/>
      <c r="EC607" s="390"/>
      <c r="ED607" s="390"/>
    </row>
    <row r="608" spans="1:134" s="23" customFormat="1" ht="49.5" customHeight="1" x14ac:dyDescent="0.15">
      <c r="B608" s="378"/>
      <c r="C608" s="40"/>
      <c r="AB608" s="353">
        <v>66060002</v>
      </c>
      <c r="AC608" s="17" t="s">
        <v>819</v>
      </c>
      <c r="AD608" s="380" t="s">
        <v>330</v>
      </c>
      <c r="AE608" s="380" t="s">
        <v>820</v>
      </c>
      <c r="AF608" s="380" t="s">
        <v>314</v>
      </c>
      <c r="AG608" s="380"/>
      <c r="AH608" s="380"/>
      <c r="AI608" s="380"/>
      <c r="AJ608" s="380"/>
      <c r="AK608" s="380"/>
      <c r="AL608" s="382"/>
      <c r="AM608" s="382"/>
      <c r="AN608" s="382"/>
      <c r="AO608" s="382"/>
      <c r="AP608" s="382"/>
      <c r="AQ608" s="382"/>
      <c r="AR608" s="382"/>
      <c r="AU608" s="382"/>
      <c r="AV608" s="382"/>
      <c r="AW608" s="382"/>
      <c r="AX608" s="382"/>
      <c r="AY608" s="382"/>
      <c r="AZ608" s="382"/>
      <c r="BA608" s="383"/>
      <c r="BB608" s="384"/>
      <c r="BC608" s="384"/>
      <c r="BD608" s="384"/>
      <c r="BE608" s="384"/>
      <c r="BF608" s="384"/>
      <c r="BG608" s="384"/>
      <c r="BH608" s="384"/>
      <c r="BI608" s="384"/>
      <c r="BJ608" s="385"/>
      <c r="BK608" s="385"/>
      <c r="BL608" s="385"/>
      <c r="BM608" s="385"/>
      <c r="BN608" s="385"/>
      <c r="BO608" s="385"/>
      <c r="BP608" s="385"/>
      <c r="BQ608" s="385"/>
      <c r="BR608" s="385"/>
      <c r="BS608" s="385"/>
      <c r="BT608" s="385"/>
      <c r="BU608" s="385"/>
      <c r="BV608" s="385"/>
      <c r="BW608" s="385"/>
      <c r="BX608" s="385"/>
      <c r="BY608" s="385"/>
      <c r="BZ608" s="385"/>
      <c r="CA608" s="385"/>
      <c r="CB608" s="23" t="s">
        <v>1</v>
      </c>
      <c r="CC608" s="386" t="s">
        <v>464</v>
      </c>
      <c r="CD608" s="386">
        <v>999</v>
      </c>
      <c r="CE608" s="386" t="s">
        <v>675</v>
      </c>
      <c r="DJ608" s="22" t="b">
        <v>1</v>
      </c>
      <c r="DK608" s="388"/>
      <c r="DL608" s="388"/>
      <c r="DM608" s="388"/>
      <c r="DN608" s="388"/>
      <c r="DO608" s="388"/>
      <c r="DP608" s="389"/>
      <c r="DQ608" s="388"/>
      <c r="DR608" s="57" t="str">
        <f t="shared" si="17"/>
        <v/>
      </c>
      <c r="DS608" s="388"/>
      <c r="DU608" s="1" t="s">
        <v>280</v>
      </c>
      <c r="DV608" s="390"/>
      <c r="EA608" s="390"/>
      <c r="EB608" s="390"/>
      <c r="EC608" s="390"/>
      <c r="ED608" s="390"/>
    </row>
    <row r="609" spans="1:134" s="23" customFormat="1" x14ac:dyDescent="0.15">
      <c r="B609" s="378"/>
      <c r="C609" s="40"/>
      <c r="AB609" s="353">
        <v>66060003</v>
      </c>
      <c r="AC609" s="381" t="s">
        <v>975</v>
      </c>
      <c r="AD609" s="380" t="s">
        <v>330</v>
      </c>
      <c r="AE609" s="380" t="s">
        <v>811</v>
      </c>
      <c r="AF609" s="380" t="s">
        <v>314</v>
      </c>
      <c r="AG609" s="380"/>
      <c r="AH609" s="380"/>
      <c r="AI609" s="380"/>
      <c r="AJ609" s="380">
        <v>2</v>
      </c>
      <c r="AK609" s="380"/>
      <c r="AL609" s="382"/>
      <c r="AM609" s="382"/>
      <c r="AN609" s="382"/>
      <c r="AO609" s="382"/>
      <c r="AP609" s="382"/>
      <c r="AQ609" s="382"/>
      <c r="AR609" s="382"/>
      <c r="AU609" s="382"/>
      <c r="AV609" s="382"/>
      <c r="AW609" s="382"/>
      <c r="AX609" s="382"/>
      <c r="AY609" s="382"/>
      <c r="AZ609" s="382"/>
      <c r="BA609" s="383" t="s">
        <v>270</v>
      </c>
      <c r="BB609" s="384">
        <v>0.15</v>
      </c>
      <c r="BC609" s="384"/>
      <c r="BD609" s="384"/>
      <c r="BE609" s="384"/>
      <c r="BF609" s="384"/>
      <c r="BG609" s="384"/>
      <c r="BH609" s="384"/>
      <c r="BI609" s="384"/>
      <c r="BJ609" s="385"/>
      <c r="BK609" s="385"/>
      <c r="BL609" s="385"/>
      <c r="BM609" s="385"/>
      <c r="BN609" s="385"/>
      <c r="BO609" s="385"/>
      <c r="BP609" s="385"/>
      <c r="BQ609" s="385"/>
      <c r="BR609" s="385"/>
      <c r="BS609" s="385"/>
      <c r="BT609" s="385"/>
      <c r="BU609" s="385"/>
      <c r="BV609" s="385"/>
      <c r="BW609" s="385"/>
      <c r="BX609" s="385"/>
      <c r="BY609" s="385"/>
      <c r="BZ609" s="385"/>
      <c r="CA609" s="385"/>
      <c r="CB609" s="385"/>
      <c r="CC609" s="385"/>
      <c r="CD609" s="385"/>
      <c r="CE609" s="385"/>
      <c r="DJ609" s="22" t="b">
        <v>1</v>
      </c>
      <c r="DK609" s="388"/>
      <c r="DL609" s="388"/>
      <c r="DM609" s="388"/>
      <c r="DN609" s="388"/>
      <c r="DO609" s="388"/>
      <c r="DP609" s="389"/>
      <c r="DQ609" s="388"/>
      <c r="DR609" s="57" t="str">
        <f t="shared" si="17"/>
        <v/>
      </c>
      <c r="DS609" s="388"/>
      <c r="DU609" s="1" t="s">
        <v>280</v>
      </c>
      <c r="DV609" s="390"/>
      <c r="EA609" s="390"/>
      <c r="EB609" s="390"/>
      <c r="EC609" s="390"/>
      <c r="ED609" s="390"/>
    </row>
    <row r="610" spans="1:134" s="23" customFormat="1" x14ac:dyDescent="0.15">
      <c r="A610" s="23">
        <v>660800</v>
      </c>
      <c r="B610" s="378" t="s">
        <v>1004</v>
      </c>
      <c r="C610" s="40" t="s">
        <v>1005</v>
      </c>
      <c r="D610" s="23" t="s">
        <v>956</v>
      </c>
      <c r="E610" s="23">
        <v>660200</v>
      </c>
      <c r="H610" s="379">
        <v>1</v>
      </c>
      <c r="L610" s="23">
        <v>0</v>
      </c>
      <c r="Q610" s="23" t="s">
        <v>431</v>
      </c>
      <c r="W610" s="23" t="b">
        <v>1</v>
      </c>
      <c r="X610" s="23">
        <v>1</v>
      </c>
      <c r="Y610" s="23">
        <v>0</v>
      </c>
      <c r="Z610" s="23">
        <v>0</v>
      </c>
      <c r="AB610" s="353">
        <v>66100001</v>
      </c>
      <c r="AC610" s="17" t="s">
        <v>815</v>
      </c>
      <c r="AD610" s="17"/>
      <c r="AE610" s="380" t="s">
        <v>291</v>
      </c>
      <c r="AF610" s="22" t="s">
        <v>437</v>
      </c>
      <c r="AG610" s="380"/>
      <c r="AH610" s="380"/>
      <c r="AI610" s="380"/>
      <c r="AJ610" s="380">
        <v>-1</v>
      </c>
      <c r="AK610" s="380"/>
      <c r="AL610" s="382"/>
      <c r="AM610" s="382"/>
      <c r="AN610" s="382"/>
      <c r="AO610" s="382"/>
      <c r="AP610" s="382"/>
      <c r="AQ610" s="382"/>
      <c r="AR610" s="382"/>
      <c r="AU610" s="382"/>
      <c r="AV610" s="382"/>
      <c r="AW610" s="382"/>
      <c r="AX610" s="382"/>
      <c r="AY610" s="382"/>
      <c r="AZ610" s="382"/>
      <c r="BA610" s="383"/>
      <c r="BB610" s="384"/>
      <c r="BC610" s="384"/>
      <c r="BD610" s="384"/>
      <c r="BE610" s="384"/>
      <c r="BF610" s="384"/>
      <c r="BG610" s="384"/>
      <c r="BH610" s="384"/>
      <c r="BI610" s="384"/>
      <c r="BJ610" s="385"/>
      <c r="BK610" s="385"/>
      <c r="BL610" s="385"/>
      <c r="BM610" s="385"/>
      <c r="BN610" s="385"/>
      <c r="BO610" s="385"/>
      <c r="BP610" s="385"/>
      <c r="BQ610" s="385"/>
      <c r="BR610" s="385"/>
      <c r="BS610" s="385"/>
      <c r="BT610" s="385"/>
      <c r="BU610" s="385"/>
      <c r="BV610" s="385"/>
      <c r="BW610" s="385"/>
      <c r="BX610" s="385"/>
      <c r="BY610" s="385"/>
      <c r="BZ610" s="385"/>
      <c r="CA610" s="385"/>
      <c r="CB610" s="385"/>
      <c r="CC610" s="385"/>
      <c r="CD610" s="385"/>
      <c r="CE610" s="385"/>
      <c r="CX610" s="387" t="s">
        <v>273</v>
      </c>
      <c r="DD610" s="362" t="s">
        <v>274</v>
      </c>
      <c r="DE610" s="23" t="s">
        <v>978</v>
      </c>
      <c r="DJ610" s="22" t="b">
        <v>1</v>
      </c>
      <c r="DK610" s="388" t="s">
        <v>979</v>
      </c>
      <c r="DL610" s="388"/>
      <c r="DM610" s="388"/>
      <c r="DN610" s="388"/>
      <c r="DO610" s="388"/>
      <c r="DP610" s="389"/>
      <c r="DQ610" s="388" t="s">
        <v>979</v>
      </c>
      <c r="DR610" s="57" t="str">
        <f t="shared" si="17"/>
        <v/>
      </c>
      <c r="DS610" s="388" t="s">
        <v>980</v>
      </c>
      <c r="DU610" s="1" t="s">
        <v>280</v>
      </c>
      <c r="DV610" s="390"/>
      <c r="EA610" s="390"/>
      <c r="EB610" s="390"/>
      <c r="EC610" s="390"/>
      <c r="ED610" s="390"/>
    </row>
    <row r="611" spans="1:134" s="23" customFormat="1" ht="49.5" customHeight="1" x14ac:dyDescent="0.15">
      <c r="B611" s="378"/>
      <c r="C611" s="40"/>
      <c r="AB611" s="353">
        <v>66100002</v>
      </c>
      <c r="AC611" s="17" t="s">
        <v>819</v>
      </c>
      <c r="AD611" s="380" t="s">
        <v>330</v>
      </c>
      <c r="AE611" s="380" t="s">
        <v>820</v>
      </c>
      <c r="AF611" s="380" t="s">
        <v>314</v>
      </c>
      <c r="AG611" s="380"/>
      <c r="AH611" s="380"/>
      <c r="AI611" s="380"/>
      <c r="AJ611" s="380"/>
      <c r="AK611" s="380"/>
      <c r="AL611" s="382"/>
      <c r="AM611" s="382"/>
      <c r="AN611" s="382"/>
      <c r="AO611" s="382"/>
      <c r="AP611" s="382"/>
      <c r="AQ611" s="382"/>
      <c r="AR611" s="382"/>
      <c r="AU611" s="382"/>
      <c r="AV611" s="382"/>
      <c r="AW611" s="382"/>
      <c r="AX611" s="382"/>
      <c r="AY611" s="382"/>
      <c r="AZ611" s="382"/>
      <c r="BA611" s="383"/>
      <c r="BB611" s="384"/>
      <c r="BC611" s="384"/>
      <c r="BD611" s="384"/>
      <c r="BE611" s="384"/>
      <c r="BF611" s="384"/>
      <c r="BG611" s="384"/>
      <c r="BH611" s="384"/>
      <c r="BI611" s="384"/>
      <c r="BJ611" s="385"/>
      <c r="BK611" s="385"/>
      <c r="BL611" s="385"/>
      <c r="BM611" s="385"/>
      <c r="BN611" s="385"/>
      <c r="BO611" s="385"/>
      <c r="BP611" s="385"/>
      <c r="BQ611" s="385"/>
      <c r="BR611" s="385"/>
      <c r="BS611" s="385"/>
      <c r="BT611" s="385"/>
      <c r="BU611" s="385"/>
      <c r="BV611" s="385"/>
      <c r="BW611" s="385"/>
      <c r="BX611" s="385"/>
      <c r="BY611" s="385"/>
      <c r="BZ611" s="385"/>
      <c r="CA611" s="385"/>
      <c r="CB611" s="23" t="s">
        <v>1</v>
      </c>
      <c r="CC611" s="386" t="s">
        <v>464</v>
      </c>
      <c r="CD611" s="386">
        <v>999</v>
      </c>
      <c r="CE611" s="386" t="s">
        <v>675</v>
      </c>
      <c r="DJ611" s="22" t="b">
        <v>1</v>
      </c>
      <c r="DK611" s="388"/>
      <c r="DL611" s="388"/>
      <c r="DM611" s="388"/>
      <c r="DN611" s="388"/>
      <c r="DO611" s="388"/>
      <c r="DP611" s="389"/>
      <c r="DQ611" s="388"/>
      <c r="DR611" s="57" t="str">
        <f t="shared" si="17"/>
        <v/>
      </c>
      <c r="DS611" s="388"/>
      <c r="DU611" s="1" t="s">
        <v>280</v>
      </c>
      <c r="DV611" s="390"/>
      <c r="EA611" s="390"/>
      <c r="EB611" s="390"/>
      <c r="EC611" s="390"/>
      <c r="ED611" s="390"/>
    </row>
    <row r="612" spans="1:134" s="23" customFormat="1" x14ac:dyDescent="0.15">
      <c r="B612" s="378"/>
      <c r="C612" s="40"/>
      <c r="AB612" s="353">
        <v>66100003</v>
      </c>
      <c r="AC612" s="135" t="s">
        <v>981</v>
      </c>
      <c r="AD612" s="380" t="s">
        <v>330</v>
      </c>
      <c r="AE612" s="380" t="s">
        <v>811</v>
      </c>
      <c r="AF612" s="380" t="s">
        <v>314</v>
      </c>
      <c r="AG612" s="380"/>
      <c r="AH612" s="380"/>
      <c r="AI612" s="380"/>
      <c r="AJ612" s="380">
        <v>2</v>
      </c>
      <c r="AK612" s="380"/>
      <c r="AL612" s="382"/>
      <c r="AM612" s="382"/>
      <c r="AN612" s="382"/>
      <c r="AO612" s="382"/>
      <c r="AP612" s="382"/>
      <c r="AQ612" s="382"/>
      <c r="AR612" s="382"/>
      <c r="AU612" s="382"/>
      <c r="AV612" s="382"/>
      <c r="AW612" s="382"/>
      <c r="AX612" s="382"/>
      <c r="AY612" s="382"/>
      <c r="AZ612" s="382"/>
      <c r="BA612" s="383" t="s">
        <v>270</v>
      </c>
      <c r="BB612" s="384">
        <v>0.15</v>
      </c>
      <c r="BC612" s="384"/>
      <c r="BD612" s="384"/>
      <c r="BE612" s="384"/>
      <c r="BF612" s="384"/>
      <c r="BG612" s="384"/>
      <c r="BH612" s="384"/>
      <c r="BI612" s="384"/>
      <c r="BJ612" s="385"/>
      <c r="BK612" s="385"/>
      <c r="BL612" s="385"/>
      <c r="BM612" s="385"/>
      <c r="BN612" s="385"/>
      <c r="BO612" s="385"/>
      <c r="BP612" s="385"/>
      <c r="BQ612" s="385"/>
      <c r="BR612" s="385"/>
      <c r="BS612" s="385"/>
      <c r="BT612" s="385"/>
      <c r="BU612" s="385"/>
      <c r="BV612" s="385"/>
      <c r="BW612" s="385"/>
      <c r="BX612" s="385"/>
      <c r="BY612" s="385"/>
      <c r="BZ612" s="385"/>
      <c r="CA612" s="385"/>
      <c r="CB612" s="385"/>
      <c r="CC612" s="385"/>
      <c r="CD612" s="385"/>
      <c r="CE612" s="385"/>
      <c r="DJ612" s="22" t="b">
        <v>1</v>
      </c>
      <c r="DK612" s="388"/>
      <c r="DL612" s="388"/>
      <c r="DM612" s="388"/>
      <c r="DN612" s="388"/>
      <c r="DO612" s="388"/>
      <c r="DP612" s="389"/>
      <c r="DQ612" s="388"/>
      <c r="DR612" s="57" t="str">
        <f t="shared" si="17"/>
        <v/>
      </c>
      <c r="DS612" s="388"/>
      <c r="DU612" s="1" t="s">
        <v>280</v>
      </c>
      <c r="DV612" s="390"/>
      <c r="EA612" s="390"/>
      <c r="EB612" s="390"/>
      <c r="EC612" s="390"/>
      <c r="ED612" s="390"/>
    </row>
    <row r="613" spans="1:134" s="23" customFormat="1" x14ac:dyDescent="0.15">
      <c r="A613" s="23">
        <v>660810</v>
      </c>
      <c r="B613" s="378" t="s">
        <v>1004</v>
      </c>
      <c r="C613" s="40" t="s">
        <v>1005</v>
      </c>
      <c r="D613" s="23" t="s">
        <v>961</v>
      </c>
      <c r="E613" s="23">
        <v>660200</v>
      </c>
      <c r="H613" s="379">
        <v>1</v>
      </c>
      <c r="L613" s="23">
        <v>0</v>
      </c>
      <c r="Q613" s="23" t="s">
        <v>431</v>
      </c>
      <c r="W613" s="23" t="b">
        <v>1</v>
      </c>
      <c r="X613" s="23">
        <v>1</v>
      </c>
      <c r="Y613" s="23">
        <v>0</v>
      </c>
      <c r="Z613" s="23">
        <v>0</v>
      </c>
      <c r="AB613" s="353">
        <v>66120001</v>
      </c>
      <c r="AC613" s="17" t="s">
        <v>815</v>
      </c>
      <c r="AD613" s="17"/>
      <c r="AE613" s="380" t="s">
        <v>291</v>
      </c>
      <c r="AF613" s="22" t="s">
        <v>437</v>
      </c>
      <c r="AG613" s="380"/>
      <c r="AH613" s="380"/>
      <c r="AI613" s="380"/>
      <c r="AJ613" s="380">
        <v>-1</v>
      </c>
      <c r="AK613" s="380"/>
      <c r="AL613" s="382"/>
      <c r="AM613" s="382"/>
      <c r="AN613" s="382"/>
      <c r="AO613" s="382"/>
      <c r="AP613" s="382"/>
      <c r="AQ613" s="382"/>
      <c r="AR613" s="382"/>
      <c r="AU613" s="382"/>
      <c r="AV613" s="382"/>
      <c r="AW613" s="382"/>
      <c r="AX613" s="382"/>
      <c r="AY613" s="382"/>
      <c r="AZ613" s="382"/>
      <c r="BA613" s="383"/>
      <c r="BB613" s="384"/>
      <c r="BC613" s="384"/>
      <c r="BD613" s="384"/>
      <c r="BE613" s="384"/>
      <c r="BF613" s="384"/>
      <c r="BG613" s="384"/>
      <c r="BH613" s="384"/>
      <c r="BI613" s="384"/>
      <c r="BJ613" s="385"/>
      <c r="BK613" s="385"/>
      <c r="BL613" s="385"/>
      <c r="BM613" s="385"/>
      <c r="BN613" s="385"/>
      <c r="BO613" s="385"/>
      <c r="BP613" s="385"/>
      <c r="BQ613" s="385"/>
      <c r="BR613" s="385"/>
      <c r="BS613" s="385"/>
      <c r="BT613" s="385"/>
      <c r="BU613" s="385"/>
      <c r="BV613" s="385"/>
      <c r="BW613" s="385"/>
      <c r="BX613" s="385"/>
      <c r="BY613" s="385"/>
      <c r="BZ613" s="385"/>
      <c r="CA613" s="385"/>
      <c r="CB613" s="385"/>
      <c r="CC613" s="385"/>
      <c r="CD613" s="385"/>
      <c r="CE613" s="385"/>
      <c r="CX613" s="387" t="s">
        <v>273</v>
      </c>
      <c r="DD613" s="362" t="s">
        <v>274</v>
      </c>
      <c r="DE613" s="23" t="s">
        <v>982</v>
      </c>
      <c r="DJ613" s="22" t="b">
        <v>1</v>
      </c>
      <c r="DK613" s="388" t="s">
        <v>983</v>
      </c>
      <c r="DL613" s="388"/>
      <c r="DM613" s="388"/>
      <c r="DN613" s="388"/>
      <c r="DO613" s="388"/>
      <c r="DP613" s="389"/>
      <c r="DQ613" s="388" t="s">
        <v>983</v>
      </c>
      <c r="DR613" s="57" t="str">
        <f t="shared" si="17"/>
        <v/>
      </c>
      <c r="DS613" s="388" t="s">
        <v>984</v>
      </c>
      <c r="DU613" s="1" t="s">
        <v>280</v>
      </c>
      <c r="DV613" s="390"/>
      <c r="EA613" s="390"/>
      <c r="EB613" s="390"/>
      <c r="EC613" s="390"/>
      <c r="ED613" s="390"/>
    </row>
    <row r="614" spans="1:134" s="23" customFormat="1" ht="49.5" customHeight="1" x14ac:dyDescent="0.15">
      <c r="B614" s="378"/>
      <c r="C614" s="40"/>
      <c r="AB614" s="353">
        <v>66120002</v>
      </c>
      <c r="AC614" s="17" t="s">
        <v>819</v>
      </c>
      <c r="AD614" s="380" t="s">
        <v>330</v>
      </c>
      <c r="AE614" s="380" t="s">
        <v>820</v>
      </c>
      <c r="AF614" s="380" t="s">
        <v>314</v>
      </c>
      <c r="AG614" s="380"/>
      <c r="AH614" s="380"/>
      <c r="AI614" s="380"/>
      <c r="AJ614" s="380"/>
      <c r="AK614" s="380"/>
      <c r="AL614" s="382"/>
      <c r="AM614" s="382"/>
      <c r="AN614" s="382"/>
      <c r="AO614" s="382"/>
      <c r="AP614" s="382"/>
      <c r="AQ614" s="382"/>
      <c r="AR614" s="382"/>
      <c r="AU614" s="382"/>
      <c r="AV614" s="382"/>
      <c r="AW614" s="382"/>
      <c r="AX614" s="382"/>
      <c r="AY614" s="382"/>
      <c r="AZ614" s="382"/>
      <c r="BA614" s="383"/>
      <c r="BB614" s="384"/>
      <c r="BC614" s="384"/>
      <c r="BD614" s="384"/>
      <c r="BE614" s="384"/>
      <c r="BF614" s="384"/>
      <c r="BG614" s="384"/>
      <c r="BH614" s="384"/>
      <c r="BI614" s="384"/>
      <c r="BJ614" s="385"/>
      <c r="BK614" s="385"/>
      <c r="BL614" s="385"/>
      <c r="BM614" s="385"/>
      <c r="BN614" s="385"/>
      <c r="BO614" s="385"/>
      <c r="BP614" s="385"/>
      <c r="BQ614" s="385"/>
      <c r="BR614" s="385"/>
      <c r="BS614" s="385"/>
      <c r="BT614" s="385"/>
      <c r="BU614" s="385"/>
      <c r="BV614" s="385"/>
      <c r="BW614" s="385"/>
      <c r="BX614" s="385"/>
      <c r="BY614" s="385"/>
      <c r="BZ614" s="385"/>
      <c r="CA614" s="385"/>
      <c r="CB614" s="23" t="s">
        <v>1</v>
      </c>
      <c r="CC614" s="386" t="s">
        <v>464</v>
      </c>
      <c r="CD614" s="386">
        <v>999</v>
      </c>
      <c r="CE614" s="386" t="s">
        <v>675</v>
      </c>
      <c r="DJ614" s="22" t="b">
        <v>1</v>
      </c>
      <c r="DK614" s="388"/>
      <c r="DL614" s="388"/>
      <c r="DM614" s="388"/>
      <c r="DN614" s="388"/>
      <c r="DO614" s="388"/>
      <c r="DP614" s="389"/>
      <c r="DQ614" s="388"/>
      <c r="DR614" s="57" t="str">
        <f t="shared" si="17"/>
        <v/>
      </c>
      <c r="DS614" s="388"/>
      <c r="DU614" s="1" t="s">
        <v>280</v>
      </c>
      <c r="DV614" s="390"/>
      <c r="EA614" s="390"/>
      <c r="EB614" s="390"/>
      <c r="EC614" s="390"/>
      <c r="ED614" s="390"/>
    </row>
    <row r="615" spans="1:134" s="23" customFormat="1" x14ac:dyDescent="0.15">
      <c r="B615" s="378"/>
      <c r="C615" s="40"/>
      <c r="AB615" s="353">
        <v>66120003</v>
      </c>
      <c r="AC615" s="135" t="s">
        <v>985</v>
      </c>
      <c r="AD615" s="380" t="s">
        <v>330</v>
      </c>
      <c r="AE615" s="380" t="s">
        <v>811</v>
      </c>
      <c r="AF615" s="380" t="s">
        <v>314</v>
      </c>
      <c r="AG615" s="380"/>
      <c r="AH615" s="380"/>
      <c r="AI615" s="380"/>
      <c r="AJ615" s="380">
        <v>2</v>
      </c>
      <c r="AK615" s="380"/>
      <c r="AL615" s="382"/>
      <c r="AM615" s="382"/>
      <c r="AN615" s="382"/>
      <c r="AO615" s="382"/>
      <c r="AP615" s="382"/>
      <c r="AQ615" s="382"/>
      <c r="AR615" s="382"/>
      <c r="AU615" s="382"/>
      <c r="AV615" s="382"/>
      <c r="AW615" s="382"/>
      <c r="AX615" s="382"/>
      <c r="AY615" s="382"/>
      <c r="AZ615" s="382"/>
      <c r="BA615" s="383" t="s">
        <v>270</v>
      </c>
      <c r="BB615" s="384">
        <v>0.15</v>
      </c>
      <c r="BC615" s="384"/>
      <c r="BD615" s="384"/>
      <c r="BE615" s="384"/>
      <c r="BF615" s="384"/>
      <c r="BG615" s="384"/>
      <c r="BH615" s="384"/>
      <c r="BI615" s="384"/>
      <c r="BJ615" s="385"/>
      <c r="BK615" s="385"/>
      <c r="BL615" s="385"/>
      <c r="BM615" s="385"/>
      <c r="BN615" s="385"/>
      <c r="BO615" s="385"/>
      <c r="BP615" s="385"/>
      <c r="BQ615" s="385"/>
      <c r="BR615" s="385"/>
      <c r="BS615" s="385"/>
      <c r="BT615" s="385"/>
      <c r="BU615" s="385"/>
      <c r="BV615" s="385"/>
      <c r="BW615" s="385"/>
      <c r="BX615" s="385"/>
      <c r="BY615" s="385"/>
      <c r="BZ615" s="385"/>
      <c r="CA615" s="385"/>
      <c r="CB615" s="385"/>
      <c r="CC615" s="385"/>
      <c r="CD615" s="385"/>
      <c r="CE615" s="385"/>
      <c r="DJ615" s="22" t="b">
        <v>1</v>
      </c>
      <c r="DK615" s="388"/>
      <c r="DL615" s="388"/>
      <c r="DM615" s="388"/>
      <c r="DN615" s="388"/>
      <c r="DO615" s="388"/>
      <c r="DP615" s="389"/>
      <c r="DQ615" s="388"/>
      <c r="DR615" s="57" t="str">
        <f t="shared" si="17"/>
        <v/>
      </c>
      <c r="DS615" s="388"/>
      <c r="DU615" s="1" t="s">
        <v>280</v>
      </c>
      <c r="DV615" s="390"/>
      <c r="EA615" s="390"/>
      <c r="EB615" s="390"/>
      <c r="EC615" s="390"/>
      <c r="ED615" s="390"/>
    </row>
    <row r="616" spans="1:134" s="23" customFormat="1" x14ac:dyDescent="0.15">
      <c r="A616" s="23">
        <v>660820</v>
      </c>
      <c r="B616" s="378" t="s">
        <v>1004</v>
      </c>
      <c r="C616" s="40" t="s">
        <v>1005</v>
      </c>
      <c r="D616" s="23" t="s">
        <v>966</v>
      </c>
      <c r="E616" s="23">
        <v>660200</v>
      </c>
      <c r="H616" s="379">
        <v>1</v>
      </c>
      <c r="L616" s="23">
        <v>0</v>
      </c>
      <c r="Q616" s="23" t="s">
        <v>431</v>
      </c>
      <c r="W616" s="23" t="b">
        <v>1</v>
      </c>
      <c r="X616" s="23">
        <v>1</v>
      </c>
      <c r="Y616" s="23">
        <v>0</v>
      </c>
      <c r="Z616" s="23">
        <v>0</v>
      </c>
      <c r="AB616" s="353">
        <v>66040001</v>
      </c>
      <c r="AC616" s="17" t="s">
        <v>815</v>
      </c>
      <c r="AD616" s="17"/>
      <c r="AE616" s="380" t="s">
        <v>291</v>
      </c>
      <c r="AF616" s="22" t="s">
        <v>437</v>
      </c>
      <c r="AG616" s="380"/>
      <c r="AH616" s="380"/>
      <c r="AI616" s="380"/>
      <c r="AJ616" s="380">
        <v>-1</v>
      </c>
      <c r="AK616" s="380"/>
      <c r="AL616" s="382"/>
      <c r="AM616" s="382"/>
      <c r="AN616" s="382"/>
      <c r="AO616" s="382"/>
      <c r="AP616" s="382"/>
      <c r="AQ616" s="382"/>
      <c r="AR616" s="382"/>
      <c r="AU616" s="382"/>
      <c r="AV616" s="382"/>
      <c r="AW616" s="382"/>
      <c r="AX616" s="382"/>
      <c r="AY616" s="382"/>
      <c r="AZ616" s="382"/>
      <c r="BA616" s="383"/>
      <c r="BB616" s="384"/>
      <c r="BC616" s="384"/>
      <c r="BD616" s="384"/>
      <c r="BE616" s="384"/>
      <c r="BF616" s="384"/>
      <c r="BG616" s="384"/>
      <c r="BH616" s="384"/>
      <c r="BI616" s="384"/>
      <c r="BJ616" s="385"/>
      <c r="BK616" s="385"/>
      <c r="BL616" s="385"/>
      <c r="BM616" s="385"/>
      <c r="BN616" s="385"/>
      <c r="BO616" s="385"/>
      <c r="BP616" s="385"/>
      <c r="BQ616" s="385"/>
      <c r="BR616" s="385"/>
      <c r="BS616" s="385"/>
      <c r="BT616" s="385"/>
      <c r="BU616" s="385"/>
      <c r="BV616" s="385"/>
      <c r="BW616" s="385"/>
      <c r="BX616" s="385"/>
      <c r="BY616" s="385"/>
      <c r="BZ616" s="385"/>
      <c r="CA616" s="385"/>
      <c r="CB616" s="385"/>
      <c r="CC616" s="385"/>
      <c r="CD616" s="385"/>
      <c r="CE616" s="385"/>
      <c r="CX616" s="387" t="s">
        <v>273</v>
      </c>
      <c r="DD616" s="362" t="s">
        <v>274</v>
      </c>
      <c r="DE616" s="23" t="s">
        <v>986</v>
      </c>
      <c r="DJ616" s="22" t="b">
        <v>1</v>
      </c>
      <c r="DK616" s="388" t="s">
        <v>987</v>
      </c>
      <c r="DL616" s="388"/>
      <c r="DM616" s="388"/>
      <c r="DN616" s="388"/>
      <c r="DO616" s="388"/>
      <c r="DP616" s="389"/>
      <c r="DQ616" s="388" t="s">
        <v>987</v>
      </c>
      <c r="DR616" s="57" t="str">
        <f t="shared" si="17"/>
        <v/>
      </c>
      <c r="DS616" s="388" t="s">
        <v>988</v>
      </c>
      <c r="DU616" s="1" t="s">
        <v>280</v>
      </c>
      <c r="DV616" s="390"/>
      <c r="EA616" s="390"/>
      <c r="EB616" s="390"/>
      <c r="EC616" s="390"/>
      <c r="ED616" s="390"/>
    </row>
    <row r="617" spans="1:134" s="23" customFormat="1" ht="49.5" customHeight="1" x14ac:dyDescent="0.15">
      <c r="B617" s="378"/>
      <c r="C617" s="40"/>
      <c r="AB617" s="353">
        <v>66040002</v>
      </c>
      <c r="AC617" s="17" t="s">
        <v>819</v>
      </c>
      <c r="AD617" s="380" t="s">
        <v>330</v>
      </c>
      <c r="AE617" s="380" t="s">
        <v>820</v>
      </c>
      <c r="AF617" s="380" t="s">
        <v>314</v>
      </c>
      <c r="AG617" s="380"/>
      <c r="AH617" s="380"/>
      <c r="AI617" s="380"/>
      <c r="AJ617" s="380"/>
      <c r="AK617" s="380"/>
      <c r="AL617" s="382"/>
      <c r="AM617" s="382"/>
      <c r="AN617" s="382"/>
      <c r="AO617" s="382"/>
      <c r="AP617" s="382"/>
      <c r="AQ617" s="382"/>
      <c r="AR617" s="382"/>
      <c r="AU617" s="382"/>
      <c r="AV617" s="382"/>
      <c r="AW617" s="382"/>
      <c r="AX617" s="382"/>
      <c r="AY617" s="382"/>
      <c r="AZ617" s="382"/>
      <c r="BA617" s="383"/>
      <c r="BB617" s="384"/>
      <c r="BC617" s="384"/>
      <c r="BD617" s="384"/>
      <c r="BE617" s="384"/>
      <c r="BF617" s="384"/>
      <c r="BG617" s="384"/>
      <c r="BH617" s="384"/>
      <c r="BI617" s="384"/>
      <c r="BJ617" s="385"/>
      <c r="BK617" s="385"/>
      <c r="BL617" s="385"/>
      <c r="BM617" s="385"/>
      <c r="BN617" s="385"/>
      <c r="BO617" s="385"/>
      <c r="BP617" s="385"/>
      <c r="BQ617" s="385"/>
      <c r="BR617" s="385"/>
      <c r="BS617" s="385"/>
      <c r="BT617" s="385"/>
      <c r="BU617" s="385"/>
      <c r="BV617" s="385"/>
      <c r="BW617" s="385"/>
      <c r="BX617" s="385"/>
      <c r="BY617" s="385"/>
      <c r="BZ617" s="385"/>
      <c r="CA617" s="385"/>
      <c r="CB617" s="23" t="s">
        <v>1</v>
      </c>
      <c r="CC617" s="386" t="s">
        <v>464</v>
      </c>
      <c r="CD617" s="386">
        <v>999</v>
      </c>
      <c r="CE617" s="386" t="s">
        <v>675</v>
      </c>
      <c r="DJ617" s="22" t="b">
        <v>1</v>
      </c>
      <c r="DK617" s="388"/>
      <c r="DL617" s="388"/>
      <c r="DM617" s="388"/>
      <c r="DN617" s="388"/>
      <c r="DO617" s="388"/>
      <c r="DP617" s="389"/>
      <c r="DQ617" s="388"/>
      <c r="DR617" s="57" t="str">
        <f t="shared" si="17"/>
        <v/>
      </c>
      <c r="DS617" s="388"/>
      <c r="DU617" s="1" t="s">
        <v>280</v>
      </c>
      <c r="DV617" s="390"/>
      <c r="EA617" s="390"/>
      <c r="EB617" s="390"/>
      <c r="EC617" s="390"/>
      <c r="ED617" s="390"/>
    </row>
    <row r="618" spans="1:134" s="23" customFormat="1" x14ac:dyDescent="0.15">
      <c r="B618" s="378"/>
      <c r="C618" s="40"/>
      <c r="AB618" s="353">
        <v>66040003</v>
      </c>
      <c r="AC618" s="135" t="s">
        <v>989</v>
      </c>
      <c r="AD618" s="380" t="s">
        <v>330</v>
      </c>
      <c r="AE618" s="380" t="s">
        <v>811</v>
      </c>
      <c r="AF618" s="380" t="s">
        <v>314</v>
      </c>
      <c r="AG618" s="380"/>
      <c r="AH618" s="380"/>
      <c r="AI618" s="380"/>
      <c r="AJ618" s="380">
        <v>2</v>
      </c>
      <c r="AK618" s="380"/>
      <c r="AL618" s="382"/>
      <c r="AM618" s="382"/>
      <c r="AN618" s="382"/>
      <c r="AO618" s="382"/>
      <c r="AP618" s="382"/>
      <c r="AQ618" s="382"/>
      <c r="AR618" s="382"/>
      <c r="AU618" s="382"/>
      <c r="AV618" s="382"/>
      <c r="AW618" s="382"/>
      <c r="AX618" s="382"/>
      <c r="AY618" s="382"/>
      <c r="AZ618" s="382"/>
      <c r="BA618" s="383" t="s">
        <v>270</v>
      </c>
      <c r="BB618" s="384">
        <v>0.15</v>
      </c>
      <c r="BC618" s="384"/>
      <c r="BD618" s="384"/>
      <c r="BE618" s="384"/>
      <c r="BF618" s="384"/>
      <c r="BG618" s="384"/>
      <c r="BH618" s="384"/>
      <c r="BI618" s="384"/>
      <c r="BJ618" s="385"/>
      <c r="BK618" s="385"/>
      <c r="BL618" s="385"/>
      <c r="BM618" s="385"/>
      <c r="BN618" s="385"/>
      <c r="BO618" s="385"/>
      <c r="BP618" s="385"/>
      <c r="BQ618" s="385"/>
      <c r="BR618" s="385"/>
      <c r="BS618" s="385"/>
      <c r="BT618" s="385"/>
      <c r="BU618" s="385"/>
      <c r="BV618" s="385"/>
      <c r="BW618" s="385"/>
      <c r="BX618" s="385"/>
      <c r="BY618" s="385"/>
      <c r="BZ618" s="385"/>
      <c r="CA618" s="385"/>
      <c r="CB618" s="385"/>
      <c r="CC618" s="385"/>
      <c r="CD618" s="385"/>
      <c r="CE618" s="385"/>
      <c r="DJ618" s="22" t="b">
        <v>1</v>
      </c>
      <c r="DK618" s="388"/>
      <c r="DL618" s="388"/>
      <c r="DM618" s="388"/>
      <c r="DN618" s="388"/>
      <c r="DO618" s="388"/>
      <c r="DP618" s="389"/>
      <c r="DQ618" s="388"/>
      <c r="DR618" s="57" t="str">
        <f t="shared" si="17"/>
        <v/>
      </c>
      <c r="DS618" s="388"/>
      <c r="DU618" s="1" t="s">
        <v>280</v>
      </c>
      <c r="DV618" s="390"/>
      <c r="EA618" s="390"/>
      <c r="EB618" s="390"/>
      <c r="EC618" s="390"/>
      <c r="ED618" s="390"/>
    </row>
    <row r="619" spans="1:134" s="23" customFormat="1" x14ac:dyDescent="0.15">
      <c r="A619" s="23">
        <v>660830</v>
      </c>
      <c r="B619" s="378" t="s">
        <v>1004</v>
      </c>
      <c r="C619" s="40" t="s">
        <v>1005</v>
      </c>
      <c r="D619" s="23" t="s">
        <v>971</v>
      </c>
      <c r="E619" s="23">
        <v>660200</v>
      </c>
      <c r="H619" s="379">
        <v>1</v>
      </c>
      <c r="L619" s="23">
        <v>0</v>
      </c>
      <c r="Q619" s="23" t="s">
        <v>431</v>
      </c>
      <c r="W619" s="23" t="b">
        <v>1</v>
      </c>
      <c r="X619" s="23">
        <v>1</v>
      </c>
      <c r="Y619" s="23">
        <v>0</v>
      </c>
      <c r="Z619" s="23">
        <v>0</v>
      </c>
      <c r="AB619" s="353">
        <v>66020001</v>
      </c>
      <c r="AC619" s="17" t="s">
        <v>815</v>
      </c>
      <c r="AD619" s="17"/>
      <c r="AE619" s="380" t="s">
        <v>291</v>
      </c>
      <c r="AF619" s="22" t="s">
        <v>437</v>
      </c>
      <c r="AG619" s="380"/>
      <c r="AH619" s="380"/>
      <c r="AI619" s="380"/>
      <c r="AJ619" s="380">
        <v>-1</v>
      </c>
      <c r="AK619" s="380"/>
      <c r="AL619" s="382"/>
      <c r="AM619" s="382"/>
      <c r="AN619" s="382"/>
      <c r="AO619" s="382"/>
      <c r="AP619" s="382"/>
      <c r="AQ619" s="382"/>
      <c r="AR619" s="382"/>
      <c r="AU619" s="382"/>
      <c r="AV619" s="382"/>
      <c r="AW619" s="382"/>
      <c r="AX619" s="382"/>
      <c r="AY619" s="382"/>
      <c r="AZ619" s="382"/>
      <c r="BA619" s="383"/>
      <c r="BB619" s="384"/>
      <c r="BC619" s="384"/>
      <c r="BD619" s="384"/>
      <c r="BE619" s="384"/>
      <c r="BF619" s="384"/>
      <c r="BG619" s="384"/>
      <c r="BH619" s="384"/>
      <c r="BI619" s="384"/>
      <c r="BJ619" s="385"/>
      <c r="BK619" s="385"/>
      <c r="BL619" s="385"/>
      <c r="BM619" s="385"/>
      <c r="BN619" s="385"/>
      <c r="BO619" s="385"/>
      <c r="BP619" s="385"/>
      <c r="BQ619" s="385"/>
      <c r="BR619" s="385"/>
      <c r="BS619" s="385"/>
      <c r="BT619" s="385"/>
      <c r="BU619" s="385"/>
      <c r="BV619" s="385"/>
      <c r="BW619" s="385"/>
      <c r="BX619" s="385"/>
      <c r="BY619" s="385"/>
      <c r="BZ619" s="385"/>
      <c r="CA619" s="385"/>
      <c r="CB619" s="385"/>
      <c r="CC619" s="385"/>
      <c r="CD619" s="385"/>
      <c r="CE619" s="385"/>
      <c r="CX619" s="387" t="s">
        <v>273</v>
      </c>
      <c r="DD619" s="362" t="s">
        <v>274</v>
      </c>
      <c r="DE619" s="23" t="s">
        <v>990</v>
      </c>
      <c r="DJ619" s="22" t="b">
        <v>1</v>
      </c>
      <c r="DK619" s="388" t="s">
        <v>991</v>
      </c>
      <c r="DL619" s="388"/>
      <c r="DM619" s="388"/>
      <c r="DN619" s="388"/>
      <c r="DO619" s="388"/>
      <c r="DP619" s="389"/>
      <c r="DQ619" s="388" t="s">
        <v>991</v>
      </c>
      <c r="DR619" s="57" t="str">
        <f t="shared" si="17"/>
        <v/>
      </c>
      <c r="DS619" s="388" t="s">
        <v>992</v>
      </c>
      <c r="DU619" s="1" t="s">
        <v>280</v>
      </c>
      <c r="DV619" s="390"/>
      <c r="EA619" s="390"/>
      <c r="EB619" s="390"/>
      <c r="EC619" s="390"/>
      <c r="ED619" s="390"/>
    </row>
    <row r="620" spans="1:134" s="23" customFormat="1" ht="49.5" customHeight="1" x14ac:dyDescent="0.15">
      <c r="B620" s="378"/>
      <c r="C620" s="40"/>
      <c r="AB620" s="353">
        <v>66020002</v>
      </c>
      <c r="AC620" s="17" t="s">
        <v>819</v>
      </c>
      <c r="AD620" s="380" t="s">
        <v>330</v>
      </c>
      <c r="AE620" s="380" t="s">
        <v>820</v>
      </c>
      <c r="AF620" s="380" t="s">
        <v>314</v>
      </c>
      <c r="AG620" s="380"/>
      <c r="AH620" s="380"/>
      <c r="AI620" s="380"/>
      <c r="AJ620" s="380"/>
      <c r="AK620" s="380"/>
      <c r="AL620" s="382"/>
      <c r="AM620" s="382"/>
      <c r="AN620" s="382"/>
      <c r="AO620" s="382"/>
      <c r="AP620" s="382"/>
      <c r="AQ620" s="382"/>
      <c r="AR620" s="382"/>
      <c r="AU620" s="382"/>
      <c r="AV620" s="382"/>
      <c r="AW620" s="382"/>
      <c r="AX620" s="382"/>
      <c r="AY620" s="382"/>
      <c r="AZ620" s="382"/>
      <c r="BA620" s="383"/>
      <c r="BB620" s="384"/>
      <c r="BC620" s="384"/>
      <c r="BD620" s="384"/>
      <c r="BE620" s="384"/>
      <c r="BF620" s="384"/>
      <c r="BG620" s="384"/>
      <c r="BH620" s="384"/>
      <c r="BI620" s="384"/>
      <c r="BJ620" s="385"/>
      <c r="BK620" s="385"/>
      <c r="BL620" s="385"/>
      <c r="BM620" s="385"/>
      <c r="BN620" s="385"/>
      <c r="BO620" s="385"/>
      <c r="BP620" s="385"/>
      <c r="BQ620" s="385"/>
      <c r="BR620" s="385"/>
      <c r="BS620" s="385"/>
      <c r="BT620" s="385"/>
      <c r="BU620" s="385"/>
      <c r="BV620" s="385"/>
      <c r="BW620" s="385"/>
      <c r="BX620" s="385"/>
      <c r="BY620" s="385"/>
      <c r="BZ620" s="385"/>
      <c r="CA620" s="385"/>
      <c r="CB620" s="23" t="s">
        <v>1</v>
      </c>
      <c r="CC620" s="386" t="s">
        <v>464</v>
      </c>
      <c r="CD620" s="386">
        <v>999</v>
      </c>
      <c r="CE620" s="386" t="s">
        <v>675</v>
      </c>
      <c r="DJ620" s="22" t="b">
        <v>1</v>
      </c>
      <c r="DK620" s="388"/>
      <c r="DL620" s="388"/>
      <c r="DM620" s="388"/>
      <c r="DN620" s="388"/>
      <c r="DO620" s="388"/>
      <c r="DP620" s="389"/>
      <c r="DQ620" s="388"/>
      <c r="DR620" s="57" t="str">
        <f t="shared" si="17"/>
        <v/>
      </c>
      <c r="DS620" s="388"/>
      <c r="DU620" s="1" t="s">
        <v>280</v>
      </c>
      <c r="DV620" s="390"/>
      <c r="EA620" s="390"/>
      <c r="EB620" s="390"/>
      <c r="EC620" s="390"/>
      <c r="ED620" s="390"/>
    </row>
    <row r="621" spans="1:134" s="23" customFormat="1" x14ac:dyDescent="0.15">
      <c r="B621" s="378"/>
      <c r="C621" s="40"/>
      <c r="AB621" s="353">
        <v>66020003</v>
      </c>
      <c r="AC621" s="135" t="s">
        <v>993</v>
      </c>
      <c r="AD621" s="380" t="s">
        <v>330</v>
      </c>
      <c r="AE621" s="380" t="s">
        <v>811</v>
      </c>
      <c r="AF621" s="380" t="s">
        <v>314</v>
      </c>
      <c r="AG621" s="380"/>
      <c r="AH621" s="380"/>
      <c r="AI621" s="380"/>
      <c r="AJ621" s="380">
        <v>2</v>
      </c>
      <c r="AK621" s="380"/>
      <c r="AL621" s="382"/>
      <c r="AM621" s="382"/>
      <c r="AN621" s="382"/>
      <c r="AO621" s="382"/>
      <c r="AP621" s="382"/>
      <c r="AQ621" s="382"/>
      <c r="AR621" s="382"/>
      <c r="AU621" s="382"/>
      <c r="AV621" s="382"/>
      <c r="AW621" s="382"/>
      <c r="AX621" s="382"/>
      <c r="AY621" s="382"/>
      <c r="AZ621" s="382"/>
      <c r="BA621" s="383" t="s">
        <v>270</v>
      </c>
      <c r="BB621" s="384">
        <v>0.15</v>
      </c>
      <c r="BC621" s="384"/>
      <c r="BD621" s="384"/>
      <c r="BE621" s="384"/>
      <c r="BF621" s="384"/>
      <c r="BG621" s="384"/>
      <c r="BH621" s="384"/>
      <c r="BI621" s="384"/>
      <c r="BJ621" s="385"/>
      <c r="BK621" s="385"/>
      <c r="BL621" s="385"/>
      <c r="BM621" s="385"/>
      <c r="BN621" s="385"/>
      <c r="BO621" s="385"/>
      <c r="BP621" s="385"/>
      <c r="BQ621" s="385"/>
      <c r="BR621" s="385"/>
      <c r="BS621" s="385"/>
      <c r="BT621" s="385"/>
      <c r="BU621" s="385"/>
      <c r="BV621" s="385"/>
      <c r="BW621" s="385"/>
      <c r="BX621" s="385"/>
      <c r="BY621" s="385"/>
      <c r="BZ621" s="385"/>
      <c r="CA621" s="385"/>
      <c r="CB621" s="385"/>
      <c r="CC621" s="385"/>
      <c r="CD621" s="385"/>
      <c r="CE621" s="385"/>
      <c r="DJ621" s="22" t="b">
        <v>1</v>
      </c>
      <c r="DK621" s="388"/>
      <c r="DL621" s="388"/>
      <c r="DM621" s="388"/>
      <c r="DN621" s="388"/>
      <c r="DO621" s="388"/>
      <c r="DP621" s="389"/>
      <c r="DQ621" s="388"/>
      <c r="DR621" s="57" t="str">
        <f t="shared" si="17"/>
        <v/>
      </c>
      <c r="DS621" s="388"/>
      <c r="DU621" s="1" t="s">
        <v>280</v>
      </c>
      <c r="DV621" s="390"/>
      <c r="EA621" s="390"/>
      <c r="EB621" s="390"/>
      <c r="EC621" s="390"/>
      <c r="ED621" s="390"/>
    </row>
    <row r="622" spans="1:134" s="23" customFormat="1" x14ac:dyDescent="0.15">
      <c r="A622" s="23">
        <v>660900</v>
      </c>
      <c r="B622" s="378" t="s">
        <v>1006</v>
      </c>
      <c r="C622" s="40" t="s">
        <v>1007</v>
      </c>
      <c r="D622" s="23" t="s">
        <v>956</v>
      </c>
      <c r="E622" s="23">
        <v>660100</v>
      </c>
      <c r="H622" s="379">
        <v>1</v>
      </c>
      <c r="L622" s="23">
        <v>0</v>
      </c>
      <c r="Q622" s="23" t="s">
        <v>431</v>
      </c>
      <c r="W622" s="23" t="b">
        <v>1</v>
      </c>
      <c r="X622" s="23">
        <v>1</v>
      </c>
      <c r="Y622" s="23">
        <v>0</v>
      </c>
      <c r="Z622" s="23">
        <v>0</v>
      </c>
      <c r="AB622" s="353">
        <v>66030001</v>
      </c>
      <c r="AC622" s="17" t="s">
        <v>815</v>
      </c>
      <c r="AD622" s="17"/>
      <c r="AE622" s="380" t="s">
        <v>291</v>
      </c>
      <c r="AF622" s="22" t="s">
        <v>437</v>
      </c>
      <c r="AG622" s="380"/>
      <c r="AH622" s="380"/>
      <c r="AI622" s="380"/>
      <c r="AJ622" s="380">
        <v>-1</v>
      </c>
      <c r="AK622" s="380"/>
      <c r="AL622" s="382"/>
      <c r="AM622" s="382"/>
      <c r="AN622" s="382"/>
      <c r="AO622" s="382"/>
      <c r="AP622" s="382"/>
      <c r="AQ622" s="382"/>
      <c r="AR622" s="382"/>
      <c r="AU622" s="382"/>
      <c r="AV622" s="382"/>
      <c r="AW622" s="382"/>
      <c r="AX622" s="382"/>
      <c r="AY622" s="382"/>
      <c r="AZ622" s="382"/>
      <c r="BA622" s="383"/>
      <c r="BB622" s="384"/>
      <c r="BC622" s="384"/>
      <c r="BD622" s="384"/>
      <c r="BE622" s="384"/>
      <c r="BF622" s="384"/>
      <c r="BG622" s="384"/>
      <c r="BH622" s="384"/>
      <c r="BI622" s="384"/>
      <c r="BJ622" s="385"/>
      <c r="BK622" s="385"/>
      <c r="BL622" s="385"/>
      <c r="BM622" s="385"/>
      <c r="BN622" s="385"/>
      <c r="BO622" s="385"/>
      <c r="BP622" s="385"/>
      <c r="BQ622" s="385"/>
      <c r="BR622" s="385"/>
      <c r="BS622" s="385"/>
      <c r="BT622" s="385"/>
      <c r="BU622" s="385"/>
      <c r="BV622" s="385"/>
      <c r="BW622" s="385"/>
      <c r="BX622" s="385"/>
      <c r="BY622" s="385"/>
      <c r="BZ622" s="385"/>
      <c r="CA622" s="385"/>
      <c r="CB622" s="385"/>
      <c r="CC622" s="385"/>
      <c r="CD622" s="385"/>
      <c r="CE622" s="385"/>
      <c r="CX622" s="387" t="s">
        <v>273</v>
      </c>
      <c r="DD622" s="362" t="s">
        <v>274</v>
      </c>
      <c r="DE622" s="23" t="s">
        <v>957</v>
      </c>
      <c r="DJ622" s="22" t="b">
        <v>1</v>
      </c>
      <c r="DK622" s="388" t="s">
        <v>958</v>
      </c>
      <c r="DL622" s="388"/>
      <c r="DM622" s="388"/>
      <c r="DN622" s="388"/>
      <c r="DO622" s="388"/>
      <c r="DP622" s="389"/>
      <c r="DQ622" s="388" t="s">
        <v>958</v>
      </c>
      <c r="DR622" s="57" t="str">
        <f t="shared" si="17"/>
        <v/>
      </c>
      <c r="DS622" s="388" t="s">
        <v>959</v>
      </c>
      <c r="DU622" s="1" t="s">
        <v>280</v>
      </c>
      <c r="DV622" s="390"/>
      <c r="EA622" s="390"/>
      <c r="EB622" s="390"/>
      <c r="EC622" s="390"/>
      <c r="ED622" s="390"/>
    </row>
    <row r="623" spans="1:134" s="23" customFormat="1" ht="49.5" customHeight="1" x14ac:dyDescent="0.15">
      <c r="B623" s="378"/>
      <c r="C623" s="40"/>
      <c r="AB623" s="353">
        <v>66030002</v>
      </c>
      <c r="AC623" s="17" t="s">
        <v>819</v>
      </c>
      <c r="AD623" s="380" t="s">
        <v>330</v>
      </c>
      <c r="AE623" s="380" t="s">
        <v>820</v>
      </c>
      <c r="AF623" s="380" t="s">
        <v>314</v>
      </c>
      <c r="AG623" s="380"/>
      <c r="AH623" s="380"/>
      <c r="AI623" s="380"/>
      <c r="AJ623" s="380"/>
      <c r="AK623" s="380"/>
      <c r="AL623" s="382"/>
      <c r="AM623" s="382"/>
      <c r="AN623" s="382"/>
      <c r="AO623" s="382"/>
      <c r="AP623" s="382"/>
      <c r="AQ623" s="382"/>
      <c r="AR623" s="382"/>
      <c r="AU623" s="382"/>
      <c r="AV623" s="382"/>
      <c r="AW623" s="382"/>
      <c r="AX623" s="382"/>
      <c r="AY623" s="382"/>
      <c r="AZ623" s="382"/>
      <c r="BA623" s="383"/>
      <c r="BB623" s="384"/>
      <c r="BC623" s="384"/>
      <c r="BD623" s="384"/>
      <c r="BE623" s="384"/>
      <c r="BF623" s="384"/>
      <c r="BG623" s="384"/>
      <c r="BH623" s="384"/>
      <c r="BI623" s="384"/>
      <c r="BJ623" s="385"/>
      <c r="BK623" s="385"/>
      <c r="BL623" s="385"/>
      <c r="BM623" s="385"/>
      <c r="BN623" s="385"/>
      <c r="BO623" s="385"/>
      <c r="BP623" s="385"/>
      <c r="BQ623" s="385"/>
      <c r="BR623" s="385"/>
      <c r="BS623" s="385"/>
      <c r="BT623" s="385"/>
      <c r="BU623" s="385"/>
      <c r="BV623" s="385"/>
      <c r="BW623" s="385"/>
      <c r="BX623" s="385"/>
      <c r="BY623" s="385"/>
      <c r="BZ623" s="385"/>
      <c r="CA623" s="385"/>
      <c r="CB623" s="23" t="s">
        <v>1</v>
      </c>
      <c r="CC623" s="386" t="s">
        <v>464</v>
      </c>
      <c r="CD623" s="386">
        <v>999</v>
      </c>
      <c r="CE623" s="386" t="s">
        <v>675</v>
      </c>
      <c r="DJ623" s="22" t="b">
        <v>1</v>
      </c>
      <c r="DK623" s="388"/>
      <c r="DL623" s="388"/>
      <c r="DM623" s="388"/>
      <c r="DN623" s="388"/>
      <c r="DO623" s="388"/>
      <c r="DP623" s="389"/>
      <c r="DQ623" s="388"/>
      <c r="DR623" s="57" t="str">
        <f t="shared" si="17"/>
        <v/>
      </c>
      <c r="DS623" s="388"/>
      <c r="DU623" s="1" t="s">
        <v>280</v>
      </c>
      <c r="DV623" s="390"/>
      <c r="EA623" s="390"/>
      <c r="EB623" s="390"/>
      <c r="EC623" s="390"/>
      <c r="ED623" s="390"/>
    </row>
    <row r="624" spans="1:134" s="23" customFormat="1" x14ac:dyDescent="0.15">
      <c r="B624" s="378"/>
      <c r="C624" s="40"/>
      <c r="AB624" s="353">
        <v>66030003</v>
      </c>
      <c r="AC624" s="381" t="s">
        <v>960</v>
      </c>
      <c r="AD624" s="380" t="s">
        <v>330</v>
      </c>
      <c r="AE624" s="380" t="s">
        <v>811</v>
      </c>
      <c r="AF624" s="380" t="s">
        <v>314</v>
      </c>
      <c r="AG624" s="380"/>
      <c r="AH624" s="380"/>
      <c r="AI624" s="380"/>
      <c r="AJ624" s="380">
        <v>2</v>
      </c>
      <c r="AK624" s="380"/>
      <c r="AL624" s="382"/>
      <c r="AM624" s="382"/>
      <c r="AN624" s="382"/>
      <c r="AO624" s="382"/>
      <c r="AP624" s="382"/>
      <c r="AQ624" s="382"/>
      <c r="AR624" s="382"/>
      <c r="AU624" s="382"/>
      <c r="AV624" s="382"/>
      <c r="AW624" s="382"/>
      <c r="AX624" s="382"/>
      <c r="AY624" s="382"/>
      <c r="AZ624" s="382"/>
      <c r="BA624" s="383" t="s">
        <v>270</v>
      </c>
      <c r="BB624" s="384">
        <v>0.15</v>
      </c>
      <c r="BC624" s="384"/>
      <c r="BD624" s="384"/>
      <c r="BE624" s="384"/>
      <c r="BF624" s="384"/>
      <c r="BG624" s="384"/>
      <c r="BH624" s="384"/>
      <c r="BI624" s="384"/>
      <c r="BJ624" s="385"/>
      <c r="BK624" s="385"/>
      <c r="BL624" s="385"/>
      <c r="BM624" s="385"/>
      <c r="BN624" s="385"/>
      <c r="BO624" s="385"/>
      <c r="BP624" s="385"/>
      <c r="BQ624" s="385"/>
      <c r="BR624" s="385"/>
      <c r="BS624" s="385"/>
      <c r="BT624" s="385"/>
      <c r="BU624" s="385"/>
      <c r="BV624" s="385"/>
      <c r="BW624" s="385"/>
      <c r="BX624" s="385"/>
      <c r="BY624" s="385"/>
      <c r="BZ624" s="385"/>
      <c r="CA624" s="385"/>
      <c r="CB624" s="385"/>
      <c r="CC624" s="385"/>
      <c r="CD624" s="385"/>
      <c r="CE624" s="385"/>
      <c r="DJ624" s="22" t="b">
        <v>1</v>
      </c>
      <c r="DK624" s="388"/>
      <c r="DL624" s="388"/>
      <c r="DM624" s="388"/>
      <c r="DN624" s="388"/>
      <c r="DO624" s="388"/>
      <c r="DP624" s="389"/>
      <c r="DQ624" s="388"/>
      <c r="DR624" s="57" t="str">
        <f t="shared" si="17"/>
        <v/>
      </c>
      <c r="DS624" s="388"/>
      <c r="DU624" s="1" t="s">
        <v>280</v>
      </c>
      <c r="DV624" s="390"/>
      <c r="EA624" s="390"/>
      <c r="EB624" s="390"/>
      <c r="EC624" s="390"/>
      <c r="ED624" s="390"/>
    </row>
    <row r="625" spans="1:134" s="23" customFormat="1" x14ac:dyDescent="0.15">
      <c r="A625" s="23">
        <v>660910</v>
      </c>
      <c r="B625" s="378" t="s">
        <v>1006</v>
      </c>
      <c r="C625" s="40" t="s">
        <v>1007</v>
      </c>
      <c r="D625" s="23" t="s">
        <v>961</v>
      </c>
      <c r="E625" s="23">
        <v>660100</v>
      </c>
      <c r="H625" s="379">
        <v>1</v>
      </c>
      <c r="L625" s="23">
        <v>0</v>
      </c>
      <c r="Q625" s="23" t="s">
        <v>431</v>
      </c>
      <c r="W625" s="23" t="b">
        <v>1</v>
      </c>
      <c r="X625" s="23">
        <v>1</v>
      </c>
      <c r="Y625" s="23">
        <v>0</v>
      </c>
      <c r="Z625" s="23">
        <v>0</v>
      </c>
      <c r="AB625" s="353">
        <v>66010001</v>
      </c>
      <c r="AC625" s="17" t="s">
        <v>815</v>
      </c>
      <c r="AD625" s="17"/>
      <c r="AE625" s="380" t="s">
        <v>291</v>
      </c>
      <c r="AF625" s="22" t="s">
        <v>437</v>
      </c>
      <c r="AG625" s="380"/>
      <c r="AH625" s="380"/>
      <c r="AI625" s="380"/>
      <c r="AJ625" s="380">
        <v>-1</v>
      </c>
      <c r="AK625" s="380"/>
      <c r="AL625" s="382"/>
      <c r="AM625" s="382"/>
      <c r="AN625" s="382"/>
      <c r="AO625" s="382"/>
      <c r="AP625" s="382"/>
      <c r="AQ625" s="382"/>
      <c r="AR625" s="382"/>
      <c r="AU625" s="382"/>
      <c r="AV625" s="382"/>
      <c r="AW625" s="382"/>
      <c r="AX625" s="382"/>
      <c r="AY625" s="382"/>
      <c r="AZ625" s="382"/>
      <c r="BA625" s="383"/>
      <c r="BB625" s="384"/>
      <c r="BC625" s="384"/>
      <c r="BD625" s="384"/>
      <c r="BE625" s="384"/>
      <c r="BF625" s="384"/>
      <c r="BG625" s="384"/>
      <c r="BH625" s="384"/>
      <c r="BI625" s="384"/>
      <c r="BJ625" s="385"/>
      <c r="BK625" s="385"/>
      <c r="BL625" s="385"/>
      <c r="BM625" s="385"/>
      <c r="BN625" s="385"/>
      <c r="BO625" s="385"/>
      <c r="BP625" s="385"/>
      <c r="BQ625" s="385"/>
      <c r="BR625" s="385"/>
      <c r="BS625" s="385"/>
      <c r="BT625" s="385"/>
      <c r="BU625" s="385"/>
      <c r="BV625" s="385"/>
      <c r="BW625" s="385"/>
      <c r="BX625" s="385"/>
      <c r="BY625" s="385"/>
      <c r="BZ625" s="385"/>
      <c r="CA625" s="385"/>
      <c r="CB625" s="385"/>
      <c r="CC625" s="385"/>
      <c r="CD625" s="385"/>
      <c r="CE625" s="385"/>
      <c r="CX625" s="387" t="s">
        <v>273</v>
      </c>
      <c r="DD625" s="362" t="s">
        <v>274</v>
      </c>
      <c r="DE625" s="23" t="s">
        <v>962</v>
      </c>
      <c r="DJ625" s="22" t="b">
        <v>1</v>
      </c>
      <c r="DK625" s="388" t="s">
        <v>963</v>
      </c>
      <c r="DL625" s="388"/>
      <c r="DM625" s="388"/>
      <c r="DN625" s="388"/>
      <c r="DO625" s="388"/>
      <c r="DP625" s="389"/>
      <c r="DQ625" s="388" t="s">
        <v>963</v>
      </c>
      <c r="DR625" s="57" t="str">
        <f t="shared" si="17"/>
        <v/>
      </c>
      <c r="DS625" s="388" t="s">
        <v>964</v>
      </c>
      <c r="DU625" s="1" t="s">
        <v>280</v>
      </c>
      <c r="DV625" s="390"/>
      <c r="EA625" s="390"/>
      <c r="EB625" s="390"/>
      <c r="EC625" s="390"/>
      <c r="ED625" s="390"/>
    </row>
    <row r="626" spans="1:134" s="23" customFormat="1" ht="49.5" customHeight="1" x14ac:dyDescent="0.15">
      <c r="B626" s="378"/>
      <c r="C626" s="40"/>
      <c r="AB626" s="353">
        <v>66010002</v>
      </c>
      <c r="AC626" s="17" t="s">
        <v>819</v>
      </c>
      <c r="AD626" s="380" t="s">
        <v>330</v>
      </c>
      <c r="AE626" s="380" t="s">
        <v>820</v>
      </c>
      <c r="AF626" s="380" t="s">
        <v>314</v>
      </c>
      <c r="AG626" s="380"/>
      <c r="AH626" s="380"/>
      <c r="AI626" s="380"/>
      <c r="AJ626" s="380"/>
      <c r="AK626" s="380"/>
      <c r="AL626" s="382"/>
      <c r="AM626" s="382"/>
      <c r="AN626" s="382"/>
      <c r="AO626" s="382"/>
      <c r="AP626" s="382"/>
      <c r="AQ626" s="382"/>
      <c r="AR626" s="382"/>
      <c r="AU626" s="382"/>
      <c r="AV626" s="382"/>
      <c r="AW626" s="382"/>
      <c r="AX626" s="382"/>
      <c r="AY626" s="382"/>
      <c r="AZ626" s="382"/>
      <c r="BA626" s="383"/>
      <c r="BB626" s="384"/>
      <c r="BC626" s="384"/>
      <c r="BD626" s="384"/>
      <c r="BE626" s="384"/>
      <c r="BF626" s="384"/>
      <c r="BG626" s="384"/>
      <c r="BH626" s="384"/>
      <c r="BI626" s="384"/>
      <c r="BJ626" s="385"/>
      <c r="BK626" s="385"/>
      <c r="BL626" s="385"/>
      <c r="BM626" s="385"/>
      <c r="BN626" s="385"/>
      <c r="BO626" s="385"/>
      <c r="BP626" s="385"/>
      <c r="BQ626" s="385"/>
      <c r="BR626" s="385"/>
      <c r="BS626" s="385"/>
      <c r="BT626" s="385"/>
      <c r="BU626" s="385"/>
      <c r="BV626" s="385"/>
      <c r="BW626" s="385"/>
      <c r="BX626" s="385"/>
      <c r="BY626" s="385"/>
      <c r="BZ626" s="385"/>
      <c r="CA626" s="385"/>
      <c r="CB626" s="23" t="s">
        <v>1</v>
      </c>
      <c r="CC626" s="386" t="s">
        <v>464</v>
      </c>
      <c r="CD626" s="386">
        <v>999</v>
      </c>
      <c r="CE626" s="386" t="s">
        <v>675</v>
      </c>
      <c r="DJ626" s="22" t="b">
        <v>1</v>
      </c>
      <c r="DK626" s="388"/>
      <c r="DL626" s="388"/>
      <c r="DM626" s="388"/>
      <c r="DN626" s="388"/>
      <c r="DO626" s="388"/>
      <c r="DP626" s="389"/>
      <c r="DQ626" s="388"/>
      <c r="DR626" s="57" t="str">
        <f t="shared" si="17"/>
        <v/>
      </c>
      <c r="DS626" s="388"/>
      <c r="DU626" s="1" t="s">
        <v>280</v>
      </c>
      <c r="DV626" s="390"/>
      <c r="EA626" s="390"/>
      <c r="EB626" s="390"/>
      <c r="EC626" s="390"/>
      <c r="ED626" s="390"/>
    </row>
    <row r="627" spans="1:134" s="23" customFormat="1" x14ac:dyDescent="0.15">
      <c r="B627" s="378"/>
      <c r="C627" s="40"/>
      <c r="AB627" s="353">
        <v>66010003</v>
      </c>
      <c r="AC627" s="381" t="s">
        <v>965</v>
      </c>
      <c r="AD627" s="380" t="s">
        <v>330</v>
      </c>
      <c r="AE627" s="380" t="s">
        <v>811</v>
      </c>
      <c r="AF627" s="380" t="s">
        <v>314</v>
      </c>
      <c r="AG627" s="380"/>
      <c r="AH627" s="380"/>
      <c r="AI627" s="380"/>
      <c r="AJ627" s="380">
        <v>2</v>
      </c>
      <c r="AK627" s="380"/>
      <c r="AL627" s="382"/>
      <c r="AM627" s="382"/>
      <c r="AN627" s="382"/>
      <c r="AO627" s="382"/>
      <c r="AP627" s="382"/>
      <c r="AQ627" s="382"/>
      <c r="AR627" s="382"/>
      <c r="AU627" s="382"/>
      <c r="AV627" s="382"/>
      <c r="AW627" s="382"/>
      <c r="AX627" s="382"/>
      <c r="AY627" s="382"/>
      <c r="AZ627" s="382"/>
      <c r="BA627" s="383" t="s">
        <v>270</v>
      </c>
      <c r="BB627" s="384">
        <v>0.15</v>
      </c>
      <c r="BC627" s="384"/>
      <c r="BD627" s="384"/>
      <c r="BE627" s="384"/>
      <c r="BF627" s="384"/>
      <c r="BG627" s="384"/>
      <c r="BH627" s="384"/>
      <c r="BI627" s="384"/>
      <c r="BJ627" s="385"/>
      <c r="BK627" s="385"/>
      <c r="BL627" s="385"/>
      <c r="BM627" s="385"/>
      <c r="BN627" s="385"/>
      <c r="BO627" s="385"/>
      <c r="BP627" s="385"/>
      <c r="BQ627" s="385"/>
      <c r="BR627" s="385"/>
      <c r="BS627" s="385"/>
      <c r="BT627" s="385"/>
      <c r="BU627" s="385"/>
      <c r="BV627" s="385"/>
      <c r="BW627" s="385"/>
      <c r="BX627" s="385"/>
      <c r="BY627" s="385"/>
      <c r="BZ627" s="385"/>
      <c r="CA627" s="385"/>
      <c r="CB627" s="385"/>
      <c r="CC627" s="385"/>
      <c r="CD627" s="385"/>
      <c r="CE627" s="385"/>
      <c r="DJ627" s="22" t="b">
        <v>1</v>
      </c>
      <c r="DK627" s="388"/>
      <c r="DL627" s="388"/>
      <c r="DM627" s="388"/>
      <c r="DN627" s="388"/>
      <c r="DO627" s="388"/>
      <c r="DP627" s="389"/>
      <c r="DQ627" s="388"/>
      <c r="DR627" s="57" t="str">
        <f t="shared" si="17"/>
        <v/>
      </c>
      <c r="DS627" s="388"/>
      <c r="DU627" s="1" t="s">
        <v>280</v>
      </c>
      <c r="DV627" s="390"/>
      <c r="EA627" s="390"/>
      <c r="EB627" s="390"/>
      <c r="EC627" s="390"/>
      <c r="ED627" s="390"/>
    </row>
    <row r="628" spans="1:134" s="23" customFormat="1" x14ac:dyDescent="0.15">
      <c r="A628" s="23">
        <v>660920</v>
      </c>
      <c r="B628" s="378" t="s">
        <v>1006</v>
      </c>
      <c r="C628" s="40" t="s">
        <v>1007</v>
      </c>
      <c r="D628" s="23" t="s">
        <v>966</v>
      </c>
      <c r="E628" s="23">
        <v>660100</v>
      </c>
      <c r="H628" s="379">
        <v>1</v>
      </c>
      <c r="L628" s="23">
        <v>0</v>
      </c>
      <c r="Q628" s="23" t="s">
        <v>431</v>
      </c>
      <c r="W628" s="23" t="b">
        <v>1</v>
      </c>
      <c r="X628" s="23">
        <v>1</v>
      </c>
      <c r="Y628" s="23">
        <v>0</v>
      </c>
      <c r="Z628" s="23">
        <v>0</v>
      </c>
      <c r="AB628" s="353">
        <v>66110001</v>
      </c>
      <c r="AC628" s="17" t="s">
        <v>815</v>
      </c>
      <c r="AD628" s="17"/>
      <c r="AE628" s="380" t="s">
        <v>291</v>
      </c>
      <c r="AF628" s="22" t="s">
        <v>437</v>
      </c>
      <c r="AG628" s="380"/>
      <c r="AH628" s="380"/>
      <c r="AI628" s="380"/>
      <c r="AJ628" s="380">
        <v>-1</v>
      </c>
      <c r="AK628" s="380"/>
      <c r="AL628" s="382"/>
      <c r="AM628" s="382"/>
      <c r="AN628" s="382"/>
      <c r="AO628" s="382"/>
      <c r="AP628" s="382"/>
      <c r="AQ628" s="382"/>
      <c r="AR628" s="382"/>
      <c r="AU628" s="382"/>
      <c r="AV628" s="382"/>
      <c r="AW628" s="382"/>
      <c r="AX628" s="382"/>
      <c r="AY628" s="382"/>
      <c r="AZ628" s="382"/>
      <c r="BA628" s="383"/>
      <c r="BB628" s="384"/>
      <c r="BC628" s="384"/>
      <c r="BD628" s="384"/>
      <c r="BE628" s="384"/>
      <c r="BF628" s="384"/>
      <c r="BG628" s="384"/>
      <c r="BH628" s="384"/>
      <c r="BI628" s="384"/>
      <c r="BJ628" s="385"/>
      <c r="BK628" s="385"/>
      <c r="BL628" s="385"/>
      <c r="BM628" s="385"/>
      <c r="BN628" s="385"/>
      <c r="BO628" s="385"/>
      <c r="BP628" s="385"/>
      <c r="BQ628" s="385"/>
      <c r="BR628" s="385"/>
      <c r="BS628" s="385"/>
      <c r="BT628" s="385"/>
      <c r="BU628" s="385"/>
      <c r="BV628" s="385"/>
      <c r="BW628" s="385"/>
      <c r="BX628" s="385"/>
      <c r="BY628" s="385"/>
      <c r="BZ628" s="385"/>
      <c r="CA628" s="385"/>
      <c r="CB628" s="385"/>
      <c r="CC628" s="385"/>
      <c r="CD628" s="385"/>
      <c r="CE628" s="385"/>
      <c r="CX628" s="387" t="s">
        <v>273</v>
      </c>
      <c r="DD628" s="362" t="s">
        <v>274</v>
      </c>
      <c r="DE628" s="23" t="s">
        <v>967</v>
      </c>
      <c r="DJ628" s="22" t="b">
        <v>1</v>
      </c>
      <c r="DK628" s="388" t="s">
        <v>968</v>
      </c>
      <c r="DL628" s="388"/>
      <c r="DM628" s="388"/>
      <c r="DN628" s="388"/>
      <c r="DO628" s="388"/>
      <c r="DP628" s="389"/>
      <c r="DQ628" s="388" t="s">
        <v>968</v>
      </c>
      <c r="DR628" s="57" t="str">
        <f t="shared" si="17"/>
        <v/>
      </c>
      <c r="DS628" s="388" t="s">
        <v>969</v>
      </c>
      <c r="DU628" s="1" t="s">
        <v>280</v>
      </c>
      <c r="DV628" s="390"/>
      <c r="EA628" s="390"/>
      <c r="EB628" s="390"/>
      <c r="EC628" s="390"/>
      <c r="ED628" s="390"/>
    </row>
    <row r="629" spans="1:134" s="23" customFormat="1" ht="49.5" customHeight="1" x14ac:dyDescent="0.15">
      <c r="B629" s="378"/>
      <c r="C629" s="40"/>
      <c r="AB629" s="353">
        <v>66110002</v>
      </c>
      <c r="AC629" s="17" t="s">
        <v>819</v>
      </c>
      <c r="AD629" s="380" t="s">
        <v>330</v>
      </c>
      <c r="AE629" s="380" t="s">
        <v>820</v>
      </c>
      <c r="AF629" s="380" t="s">
        <v>314</v>
      </c>
      <c r="AG629" s="380"/>
      <c r="AH629" s="380"/>
      <c r="AI629" s="380"/>
      <c r="AJ629" s="380"/>
      <c r="AK629" s="380"/>
      <c r="AL629" s="382"/>
      <c r="AM629" s="382"/>
      <c r="AN629" s="382"/>
      <c r="AO629" s="382"/>
      <c r="AP629" s="382"/>
      <c r="AQ629" s="382"/>
      <c r="AR629" s="382"/>
      <c r="AU629" s="382"/>
      <c r="AV629" s="382"/>
      <c r="AW629" s="382"/>
      <c r="AX629" s="382"/>
      <c r="AY629" s="382"/>
      <c r="AZ629" s="382"/>
      <c r="BA629" s="383"/>
      <c r="BB629" s="384"/>
      <c r="BC629" s="384"/>
      <c r="BD629" s="384"/>
      <c r="BE629" s="384"/>
      <c r="BF629" s="384"/>
      <c r="BG629" s="384"/>
      <c r="BH629" s="384"/>
      <c r="BI629" s="384"/>
      <c r="BJ629" s="385"/>
      <c r="BK629" s="385"/>
      <c r="BL629" s="385"/>
      <c r="BM629" s="385"/>
      <c r="BN629" s="385"/>
      <c r="BO629" s="385"/>
      <c r="BP629" s="385"/>
      <c r="BQ629" s="385"/>
      <c r="BR629" s="385"/>
      <c r="BS629" s="385"/>
      <c r="BT629" s="385"/>
      <c r="BU629" s="385"/>
      <c r="BV629" s="385"/>
      <c r="BW629" s="385"/>
      <c r="BX629" s="385"/>
      <c r="BY629" s="385"/>
      <c r="BZ629" s="385"/>
      <c r="CA629" s="385"/>
      <c r="CB629" s="23" t="s">
        <v>1</v>
      </c>
      <c r="CC629" s="386" t="s">
        <v>464</v>
      </c>
      <c r="CD629" s="386">
        <v>999</v>
      </c>
      <c r="CE629" s="386" t="s">
        <v>675</v>
      </c>
      <c r="DJ629" s="22" t="b">
        <v>1</v>
      </c>
      <c r="DK629" s="388"/>
      <c r="DL629" s="388"/>
      <c r="DM629" s="388"/>
      <c r="DN629" s="388"/>
      <c r="DO629" s="388"/>
      <c r="DP629" s="389"/>
      <c r="DQ629" s="388"/>
      <c r="DR629" s="57" t="str">
        <f t="shared" si="17"/>
        <v/>
      </c>
      <c r="DS629" s="388"/>
      <c r="DU629" s="1" t="s">
        <v>280</v>
      </c>
      <c r="DV629" s="390"/>
      <c r="EA629" s="390"/>
      <c r="EB629" s="390"/>
      <c r="EC629" s="390"/>
      <c r="ED629" s="390"/>
    </row>
    <row r="630" spans="1:134" s="23" customFormat="1" x14ac:dyDescent="0.15">
      <c r="B630" s="378"/>
      <c r="C630" s="40"/>
      <c r="AB630" s="353">
        <v>66110003</v>
      </c>
      <c r="AC630" s="381" t="s">
        <v>970</v>
      </c>
      <c r="AD630" s="380" t="s">
        <v>330</v>
      </c>
      <c r="AE630" s="380" t="s">
        <v>811</v>
      </c>
      <c r="AF630" s="380" t="s">
        <v>314</v>
      </c>
      <c r="AG630" s="380"/>
      <c r="AH630" s="380"/>
      <c r="AI630" s="380"/>
      <c r="AJ630" s="380">
        <v>2</v>
      </c>
      <c r="AK630" s="380"/>
      <c r="AL630" s="382"/>
      <c r="AM630" s="382"/>
      <c r="AN630" s="382"/>
      <c r="AO630" s="382"/>
      <c r="AP630" s="382"/>
      <c r="AQ630" s="382"/>
      <c r="AR630" s="382"/>
      <c r="AU630" s="382"/>
      <c r="AV630" s="382"/>
      <c r="AW630" s="382"/>
      <c r="AX630" s="382"/>
      <c r="AY630" s="382"/>
      <c r="AZ630" s="382"/>
      <c r="BA630" s="383" t="s">
        <v>270</v>
      </c>
      <c r="BB630" s="384">
        <v>0.15</v>
      </c>
      <c r="BC630" s="384"/>
      <c r="BD630" s="384"/>
      <c r="BE630" s="384"/>
      <c r="BF630" s="384"/>
      <c r="BG630" s="384"/>
      <c r="BH630" s="384"/>
      <c r="BI630" s="384"/>
      <c r="BJ630" s="385"/>
      <c r="BK630" s="385"/>
      <c r="BL630" s="385"/>
      <c r="BM630" s="385"/>
      <c r="BN630" s="385"/>
      <c r="BO630" s="385"/>
      <c r="BP630" s="385"/>
      <c r="BQ630" s="385"/>
      <c r="BR630" s="385"/>
      <c r="BS630" s="385"/>
      <c r="BT630" s="385"/>
      <c r="BU630" s="385"/>
      <c r="BV630" s="385"/>
      <c r="BW630" s="385"/>
      <c r="BX630" s="385"/>
      <c r="BY630" s="385"/>
      <c r="BZ630" s="385"/>
      <c r="CA630" s="385"/>
      <c r="CB630" s="385"/>
      <c r="CC630" s="385"/>
      <c r="CD630" s="385"/>
      <c r="CE630" s="385"/>
      <c r="DJ630" s="22" t="b">
        <v>1</v>
      </c>
      <c r="DK630" s="388"/>
      <c r="DL630" s="388"/>
      <c r="DM630" s="388"/>
      <c r="DN630" s="388"/>
      <c r="DO630" s="388"/>
      <c r="DP630" s="389"/>
      <c r="DQ630" s="388"/>
      <c r="DR630" s="57" t="str">
        <f t="shared" si="17"/>
        <v/>
      </c>
      <c r="DS630" s="388"/>
      <c r="DU630" s="1" t="s">
        <v>280</v>
      </c>
      <c r="DV630" s="390"/>
      <c r="EA630" s="390"/>
      <c r="EB630" s="390"/>
      <c r="EC630" s="390"/>
      <c r="ED630" s="390"/>
    </row>
    <row r="631" spans="1:134" s="23" customFormat="1" x14ac:dyDescent="0.15">
      <c r="A631" s="23">
        <v>660930</v>
      </c>
      <c r="B631" s="378" t="s">
        <v>1006</v>
      </c>
      <c r="C631" s="40" t="s">
        <v>1007</v>
      </c>
      <c r="D631" s="23" t="s">
        <v>971</v>
      </c>
      <c r="E631" s="23">
        <v>660100</v>
      </c>
      <c r="H631" s="379">
        <v>1</v>
      </c>
      <c r="L631" s="23">
        <v>0</v>
      </c>
      <c r="Q631" s="23" t="s">
        <v>431</v>
      </c>
      <c r="W631" s="23" t="b">
        <v>1</v>
      </c>
      <c r="X631" s="23">
        <v>1</v>
      </c>
      <c r="Y631" s="23">
        <v>0</v>
      </c>
      <c r="Z631" s="23">
        <v>0</v>
      </c>
      <c r="AB631" s="353">
        <v>66060001</v>
      </c>
      <c r="AC631" s="17" t="s">
        <v>815</v>
      </c>
      <c r="AD631" s="17"/>
      <c r="AE631" s="380" t="s">
        <v>291</v>
      </c>
      <c r="AF631" s="22" t="s">
        <v>437</v>
      </c>
      <c r="AG631" s="380"/>
      <c r="AH631" s="380"/>
      <c r="AI631" s="380"/>
      <c r="AJ631" s="380">
        <v>-1</v>
      </c>
      <c r="AK631" s="380"/>
      <c r="AL631" s="382"/>
      <c r="AM631" s="382"/>
      <c r="AN631" s="382"/>
      <c r="AO631" s="382"/>
      <c r="AP631" s="382"/>
      <c r="AQ631" s="382"/>
      <c r="AR631" s="382"/>
      <c r="AU631" s="382"/>
      <c r="AV631" s="382"/>
      <c r="AW631" s="382"/>
      <c r="AX631" s="382"/>
      <c r="AY631" s="382"/>
      <c r="AZ631" s="382"/>
      <c r="BA631" s="383"/>
      <c r="BB631" s="384"/>
      <c r="BC631" s="384"/>
      <c r="BD631" s="384"/>
      <c r="BE631" s="384"/>
      <c r="BF631" s="384"/>
      <c r="BG631" s="384"/>
      <c r="BH631" s="384"/>
      <c r="BI631" s="384"/>
      <c r="BJ631" s="385"/>
      <c r="BK631" s="385"/>
      <c r="BL631" s="385"/>
      <c r="BM631" s="385"/>
      <c r="BN631" s="385"/>
      <c r="BO631" s="385"/>
      <c r="BP631" s="385"/>
      <c r="BQ631" s="385"/>
      <c r="BR631" s="385"/>
      <c r="BS631" s="385"/>
      <c r="BT631" s="385"/>
      <c r="BU631" s="385"/>
      <c r="BV631" s="385"/>
      <c r="BW631" s="385"/>
      <c r="BX631" s="385"/>
      <c r="BY631" s="385"/>
      <c r="BZ631" s="385"/>
      <c r="CA631" s="385"/>
      <c r="CB631" s="385"/>
      <c r="CC631" s="385"/>
      <c r="CD631" s="385"/>
      <c r="CE631" s="385"/>
      <c r="CX631" s="387" t="s">
        <v>273</v>
      </c>
      <c r="DD631" s="362" t="s">
        <v>274</v>
      </c>
      <c r="DE631" s="23" t="s">
        <v>972</v>
      </c>
      <c r="DJ631" s="22" t="b">
        <v>1</v>
      </c>
      <c r="DK631" s="388" t="s">
        <v>973</v>
      </c>
      <c r="DL631" s="388"/>
      <c r="DM631" s="388"/>
      <c r="DN631" s="388"/>
      <c r="DO631" s="388"/>
      <c r="DP631" s="389"/>
      <c r="DQ631" s="388" t="s">
        <v>973</v>
      </c>
      <c r="DR631" s="57" t="str">
        <f t="shared" si="17"/>
        <v/>
      </c>
      <c r="DS631" s="388" t="s">
        <v>974</v>
      </c>
      <c r="DU631" s="1" t="s">
        <v>280</v>
      </c>
      <c r="DV631" s="390"/>
      <c r="EA631" s="390"/>
      <c r="EB631" s="390"/>
      <c r="EC631" s="390"/>
      <c r="ED631" s="390"/>
    </row>
    <row r="632" spans="1:134" s="23" customFormat="1" ht="49.5" customHeight="1" x14ac:dyDescent="0.15">
      <c r="B632" s="378"/>
      <c r="C632" s="40"/>
      <c r="AB632" s="353">
        <v>66060002</v>
      </c>
      <c r="AC632" s="17" t="s">
        <v>819</v>
      </c>
      <c r="AD632" s="380" t="s">
        <v>330</v>
      </c>
      <c r="AE632" s="380" t="s">
        <v>820</v>
      </c>
      <c r="AF632" s="380" t="s">
        <v>314</v>
      </c>
      <c r="AG632" s="380"/>
      <c r="AH632" s="380"/>
      <c r="AI632" s="380"/>
      <c r="AJ632" s="380"/>
      <c r="AK632" s="380"/>
      <c r="AL632" s="382"/>
      <c r="AM632" s="382"/>
      <c r="AN632" s="382"/>
      <c r="AO632" s="382"/>
      <c r="AP632" s="382"/>
      <c r="AQ632" s="382"/>
      <c r="AR632" s="382"/>
      <c r="AU632" s="382"/>
      <c r="AV632" s="382"/>
      <c r="AW632" s="382"/>
      <c r="AX632" s="382"/>
      <c r="AY632" s="382"/>
      <c r="AZ632" s="382"/>
      <c r="BA632" s="383"/>
      <c r="BB632" s="384"/>
      <c r="BC632" s="384"/>
      <c r="BD632" s="384"/>
      <c r="BE632" s="384"/>
      <c r="BF632" s="384"/>
      <c r="BG632" s="384"/>
      <c r="BH632" s="384"/>
      <c r="BI632" s="384"/>
      <c r="BJ632" s="385"/>
      <c r="BK632" s="385"/>
      <c r="BL632" s="385"/>
      <c r="BM632" s="385"/>
      <c r="BN632" s="385"/>
      <c r="BO632" s="385"/>
      <c r="BP632" s="385"/>
      <c r="BQ632" s="385"/>
      <c r="BR632" s="385"/>
      <c r="BS632" s="385"/>
      <c r="BT632" s="385"/>
      <c r="BU632" s="385"/>
      <c r="BV632" s="385"/>
      <c r="BW632" s="385"/>
      <c r="BX632" s="385"/>
      <c r="BY632" s="385"/>
      <c r="BZ632" s="385"/>
      <c r="CA632" s="385"/>
      <c r="CB632" s="23" t="s">
        <v>1</v>
      </c>
      <c r="CC632" s="386" t="s">
        <v>464</v>
      </c>
      <c r="CD632" s="386">
        <v>999</v>
      </c>
      <c r="CE632" s="386" t="s">
        <v>675</v>
      </c>
      <c r="DJ632" s="22" t="b">
        <v>1</v>
      </c>
      <c r="DK632" s="388"/>
      <c r="DL632" s="388"/>
      <c r="DM632" s="388"/>
      <c r="DN632" s="388"/>
      <c r="DO632" s="388"/>
      <c r="DP632" s="389"/>
      <c r="DQ632" s="388"/>
      <c r="DR632" s="57" t="str">
        <f t="shared" si="17"/>
        <v/>
      </c>
      <c r="DS632" s="388"/>
      <c r="DU632" s="1" t="s">
        <v>280</v>
      </c>
      <c r="DV632" s="390"/>
      <c r="EA632" s="390"/>
      <c r="EB632" s="390"/>
      <c r="EC632" s="390"/>
      <c r="ED632" s="390"/>
    </row>
    <row r="633" spans="1:134" s="23" customFormat="1" x14ac:dyDescent="0.15">
      <c r="B633" s="378"/>
      <c r="C633" s="40"/>
      <c r="AB633" s="353">
        <v>66060003</v>
      </c>
      <c r="AC633" s="381" t="s">
        <v>975</v>
      </c>
      <c r="AD633" s="380" t="s">
        <v>330</v>
      </c>
      <c r="AE633" s="380" t="s">
        <v>811</v>
      </c>
      <c r="AF633" s="380" t="s">
        <v>314</v>
      </c>
      <c r="AG633" s="380"/>
      <c r="AH633" s="380"/>
      <c r="AI633" s="380"/>
      <c r="AJ633" s="380">
        <v>2</v>
      </c>
      <c r="AK633" s="380"/>
      <c r="AL633" s="382"/>
      <c r="AM633" s="382"/>
      <c r="AN633" s="382"/>
      <c r="AO633" s="382"/>
      <c r="AP633" s="382"/>
      <c r="AQ633" s="382"/>
      <c r="AR633" s="382"/>
      <c r="AU633" s="382"/>
      <c r="AV633" s="382"/>
      <c r="AW633" s="382"/>
      <c r="AX633" s="382"/>
      <c r="AY633" s="382"/>
      <c r="AZ633" s="382"/>
      <c r="BA633" s="383" t="s">
        <v>270</v>
      </c>
      <c r="BB633" s="384">
        <v>0.15</v>
      </c>
      <c r="BC633" s="384"/>
      <c r="BD633" s="384"/>
      <c r="BE633" s="384"/>
      <c r="BF633" s="384"/>
      <c r="BG633" s="384"/>
      <c r="BH633" s="384"/>
      <c r="BI633" s="384"/>
      <c r="BJ633" s="385"/>
      <c r="BK633" s="385"/>
      <c r="BL633" s="385"/>
      <c r="BM633" s="385"/>
      <c r="BN633" s="385"/>
      <c r="BO633" s="385"/>
      <c r="BP633" s="385"/>
      <c r="BQ633" s="385"/>
      <c r="BR633" s="385"/>
      <c r="BS633" s="385"/>
      <c r="BT633" s="385"/>
      <c r="BU633" s="385"/>
      <c r="BV633" s="385"/>
      <c r="BW633" s="385"/>
      <c r="BX633" s="385"/>
      <c r="BY633" s="385"/>
      <c r="BZ633" s="385"/>
      <c r="CA633" s="385"/>
      <c r="CB633" s="385"/>
      <c r="CC633" s="385"/>
      <c r="CD633" s="385"/>
      <c r="CE633" s="385"/>
      <c r="DJ633" s="22" t="b">
        <v>1</v>
      </c>
      <c r="DK633" s="388"/>
      <c r="DL633" s="388"/>
      <c r="DM633" s="388"/>
      <c r="DN633" s="388"/>
      <c r="DO633" s="388"/>
      <c r="DP633" s="389"/>
      <c r="DQ633" s="388"/>
      <c r="DR633" s="57" t="str">
        <f t="shared" si="17"/>
        <v/>
      </c>
      <c r="DS633" s="388"/>
      <c r="DU633" s="1" t="s">
        <v>280</v>
      </c>
      <c r="DV633" s="390"/>
      <c r="EA633" s="390"/>
      <c r="EB633" s="390"/>
      <c r="EC633" s="390"/>
      <c r="ED633" s="390"/>
    </row>
    <row r="634" spans="1:134" s="23" customFormat="1" x14ac:dyDescent="0.15">
      <c r="A634" s="23">
        <v>661000</v>
      </c>
      <c r="B634" s="378" t="s">
        <v>1008</v>
      </c>
      <c r="C634" s="40" t="s">
        <v>1009</v>
      </c>
      <c r="D634" s="23" t="s">
        <v>956</v>
      </c>
      <c r="E634" s="23">
        <v>660200</v>
      </c>
      <c r="H634" s="379">
        <v>1</v>
      </c>
      <c r="L634" s="23">
        <v>0</v>
      </c>
      <c r="Q634" s="23" t="s">
        <v>431</v>
      </c>
      <c r="W634" s="23" t="b">
        <v>1</v>
      </c>
      <c r="X634" s="23">
        <v>1</v>
      </c>
      <c r="Y634" s="23">
        <v>0</v>
      </c>
      <c r="Z634" s="23">
        <v>0</v>
      </c>
      <c r="AB634" s="353">
        <v>66100001</v>
      </c>
      <c r="AC634" s="17" t="s">
        <v>815</v>
      </c>
      <c r="AD634" s="17"/>
      <c r="AE634" s="380" t="s">
        <v>291</v>
      </c>
      <c r="AF634" s="22" t="s">
        <v>437</v>
      </c>
      <c r="AG634" s="380"/>
      <c r="AH634" s="380"/>
      <c r="AI634" s="380"/>
      <c r="AJ634" s="380">
        <v>-1</v>
      </c>
      <c r="AK634" s="380"/>
      <c r="AL634" s="382"/>
      <c r="AM634" s="382"/>
      <c r="AN634" s="382"/>
      <c r="AO634" s="382"/>
      <c r="AP634" s="382"/>
      <c r="AQ634" s="382"/>
      <c r="AR634" s="382"/>
      <c r="AU634" s="382"/>
      <c r="AV634" s="382"/>
      <c r="AW634" s="382"/>
      <c r="AX634" s="382"/>
      <c r="AY634" s="382"/>
      <c r="AZ634" s="382"/>
      <c r="BA634" s="383"/>
      <c r="BB634" s="384"/>
      <c r="BC634" s="384"/>
      <c r="BD634" s="384"/>
      <c r="BE634" s="384"/>
      <c r="BF634" s="384"/>
      <c r="BG634" s="384"/>
      <c r="BH634" s="384"/>
      <c r="BI634" s="384"/>
      <c r="BJ634" s="385"/>
      <c r="BK634" s="385"/>
      <c r="BL634" s="385"/>
      <c r="BM634" s="385"/>
      <c r="BN634" s="385"/>
      <c r="BO634" s="385"/>
      <c r="BP634" s="385"/>
      <c r="BQ634" s="385"/>
      <c r="BR634" s="385"/>
      <c r="BS634" s="385"/>
      <c r="BT634" s="385"/>
      <c r="BU634" s="385"/>
      <c r="BV634" s="385"/>
      <c r="BW634" s="385"/>
      <c r="BX634" s="385"/>
      <c r="BY634" s="385"/>
      <c r="BZ634" s="385"/>
      <c r="CA634" s="385"/>
      <c r="CB634" s="385"/>
      <c r="CC634" s="385"/>
      <c r="CD634" s="385"/>
      <c r="CE634" s="385"/>
      <c r="CX634" s="387" t="s">
        <v>273</v>
      </c>
      <c r="DD634" s="362" t="s">
        <v>274</v>
      </c>
      <c r="DE634" s="23" t="s">
        <v>978</v>
      </c>
      <c r="DJ634" s="22" t="b">
        <v>1</v>
      </c>
      <c r="DK634" s="388" t="s">
        <v>979</v>
      </c>
      <c r="DL634" s="388"/>
      <c r="DM634" s="388"/>
      <c r="DN634" s="388"/>
      <c r="DO634" s="388"/>
      <c r="DP634" s="389"/>
      <c r="DQ634" s="388" t="s">
        <v>979</v>
      </c>
      <c r="DR634" s="57" t="str">
        <f t="shared" si="17"/>
        <v/>
      </c>
      <c r="DS634" s="388" t="s">
        <v>980</v>
      </c>
      <c r="DU634" s="1" t="s">
        <v>280</v>
      </c>
      <c r="DV634" s="390"/>
      <c r="EA634" s="390"/>
      <c r="EB634" s="390"/>
      <c r="EC634" s="390"/>
      <c r="ED634" s="390"/>
    </row>
    <row r="635" spans="1:134" s="23" customFormat="1" ht="49.5" customHeight="1" x14ac:dyDescent="0.15">
      <c r="B635" s="378"/>
      <c r="C635" s="40"/>
      <c r="AB635" s="353">
        <v>66100002</v>
      </c>
      <c r="AC635" s="17" t="s">
        <v>819</v>
      </c>
      <c r="AD635" s="380" t="s">
        <v>330</v>
      </c>
      <c r="AE635" s="380" t="s">
        <v>820</v>
      </c>
      <c r="AF635" s="380" t="s">
        <v>314</v>
      </c>
      <c r="AG635" s="380"/>
      <c r="AH635" s="380"/>
      <c r="AI635" s="380"/>
      <c r="AJ635" s="380"/>
      <c r="AK635" s="380"/>
      <c r="AL635" s="382"/>
      <c r="AM635" s="382"/>
      <c r="AN635" s="382"/>
      <c r="AO635" s="382"/>
      <c r="AP635" s="382"/>
      <c r="AQ635" s="382"/>
      <c r="AR635" s="382"/>
      <c r="AU635" s="382"/>
      <c r="AV635" s="382"/>
      <c r="AW635" s="382"/>
      <c r="AX635" s="382"/>
      <c r="AY635" s="382"/>
      <c r="AZ635" s="382"/>
      <c r="BA635" s="383"/>
      <c r="BB635" s="384"/>
      <c r="BC635" s="384"/>
      <c r="BD635" s="384"/>
      <c r="BE635" s="384"/>
      <c r="BF635" s="384"/>
      <c r="BG635" s="384"/>
      <c r="BH635" s="384"/>
      <c r="BI635" s="384"/>
      <c r="BJ635" s="385"/>
      <c r="BK635" s="385"/>
      <c r="BL635" s="385"/>
      <c r="BM635" s="385"/>
      <c r="BN635" s="385"/>
      <c r="BO635" s="385"/>
      <c r="BP635" s="385"/>
      <c r="BQ635" s="385"/>
      <c r="BR635" s="385"/>
      <c r="BS635" s="385"/>
      <c r="BT635" s="385"/>
      <c r="BU635" s="385"/>
      <c r="BV635" s="385"/>
      <c r="BW635" s="385"/>
      <c r="BX635" s="385"/>
      <c r="BY635" s="385"/>
      <c r="BZ635" s="385"/>
      <c r="CA635" s="385"/>
      <c r="CB635" s="23" t="s">
        <v>1</v>
      </c>
      <c r="CC635" s="386" t="s">
        <v>464</v>
      </c>
      <c r="CD635" s="386">
        <v>999</v>
      </c>
      <c r="CE635" s="386" t="s">
        <v>675</v>
      </c>
      <c r="DJ635" s="22" t="b">
        <v>1</v>
      </c>
      <c r="DK635" s="388"/>
      <c r="DL635" s="388"/>
      <c r="DM635" s="388"/>
      <c r="DN635" s="388"/>
      <c r="DO635" s="388"/>
      <c r="DP635" s="389"/>
      <c r="DQ635" s="388"/>
      <c r="DR635" s="57" t="str">
        <f t="shared" si="17"/>
        <v/>
      </c>
      <c r="DS635" s="388"/>
      <c r="DU635" s="1" t="s">
        <v>280</v>
      </c>
      <c r="DV635" s="390"/>
      <c r="EA635" s="390"/>
      <c r="EB635" s="390"/>
      <c r="EC635" s="390"/>
      <c r="ED635" s="390"/>
    </row>
    <row r="636" spans="1:134" s="23" customFormat="1" x14ac:dyDescent="0.15">
      <c r="B636" s="378"/>
      <c r="C636" s="40"/>
      <c r="AB636" s="353">
        <v>66100003</v>
      </c>
      <c r="AC636" s="135" t="s">
        <v>981</v>
      </c>
      <c r="AD636" s="380" t="s">
        <v>330</v>
      </c>
      <c r="AE636" s="380" t="s">
        <v>811</v>
      </c>
      <c r="AF636" s="380" t="s">
        <v>314</v>
      </c>
      <c r="AG636" s="380"/>
      <c r="AH636" s="380"/>
      <c r="AI636" s="380"/>
      <c r="AJ636" s="380">
        <v>2</v>
      </c>
      <c r="AK636" s="380"/>
      <c r="AL636" s="382"/>
      <c r="AM636" s="382"/>
      <c r="AN636" s="382"/>
      <c r="AO636" s="382"/>
      <c r="AP636" s="382"/>
      <c r="AQ636" s="382"/>
      <c r="AR636" s="382"/>
      <c r="AU636" s="382"/>
      <c r="AV636" s="382"/>
      <c r="AW636" s="382"/>
      <c r="AX636" s="382"/>
      <c r="AY636" s="382"/>
      <c r="AZ636" s="382"/>
      <c r="BA636" s="383" t="s">
        <v>270</v>
      </c>
      <c r="BB636" s="384">
        <v>0.15</v>
      </c>
      <c r="BC636" s="384"/>
      <c r="BD636" s="384"/>
      <c r="BE636" s="384"/>
      <c r="BF636" s="384"/>
      <c r="BG636" s="384"/>
      <c r="BH636" s="384"/>
      <c r="BI636" s="384"/>
      <c r="BJ636" s="385"/>
      <c r="BK636" s="385"/>
      <c r="BL636" s="385"/>
      <c r="BM636" s="385"/>
      <c r="BN636" s="385"/>
      <c r="BO636" s="385"/>
      <c r="BP636" s="385"/>
      <c r="BQ636" s="385"/>
      <c r="BR636" s="385"/>
      <c r="BS636" s="385"/>
      <c r="BT636" s="385"/>
      <c r="BU636" s="385"/>
      <c r="BV636" s="385"/>
      <c r="BW636" s="385"/>
      <c r="BX636" s="385"/>
      <c r="BY636" s="385"/>
      <c r="BZ636" s="385"/>
      <c r="CA636" s="385"/>
      <c r="CB636" s="385"/>
      <c r="CC636" s="385"/>
      <c r="CD636" s="385"/>
      <c r="CE636" s="385"/>
      <c r="DJ636" s="22" t="b">
        <v>1</v>
      </c>
      <c r="DK636" s="388"/>
      <c r="DL636" s="388"/>
      <c r="DM636" s="388"/>
      <c r="DN636" s="388"/>
      <c r="DO636" s="388"/>
      <c r="DP636" s="389"/>
      <c r="DQ636" s="388"/>
      <c r="DR636" s="57" t="str">
        <f t="shared" si="17"/>
        <v/>
      </c>
      <c r="DS636" s="388"/>
      <c r="DU636" s="1" t="s">
        <v>280</v>
      </c>
      <c r="DV636" s="390"/>
      <c r="EA636" s="390"/>
      <c r="EB636" s="390"/>
      <c r="EC636" s="390"/>
      <c r="ED636" s="390"/>
    </row>
    <row r="637" spans="1:134" s="23" customFormat="1" x14ac:dyDescent="0.15">
      <c r="A637" s="23">
        <v>661010</v>
      </c>
      <c r="B637" s="378" t="s">
        <v>1008</v>
      </c>
      <c r="C637" s="40" t="s">
        <v>1009</v>
      </c>
      <c r="D637" s="23" t="s">
        <v>961</v>
      </c>
      <c r="E637" s="23">
        <v>660200</v>
      </c>
      <c r="H637" s="379">
        <v>1</v>
      </c>
      <c r="L637" s="23">
        <v>0</v>
      </c>
      <c r="Q637" s="23" t="s">
        <v>431</v>
      </c>
      <c r="W637" s="23" t="b">
        <v>1</v>
      </c>
      <c r="X637" s="23">
        <v>1</v>
      </c>
      <c r="Y637" s="23">
        <v>0</v>
      </c>
      <c r="Z637" s="23">
        <v>0</v>
      </c>
      <c r="AB637" s="353">
        <v>66120001</v>
      </c>
      <c r="AC637" s="17" t="s">
        <v>815</v>
      </c>
      <c r="AD637" s="17"/>
      <c r="AE637" s="380" t="s">
        <v>291</v>
      </c>
      <c r="AF637" s="22" t="s">
        <v>437</v>
      </c>
      <c r="AG637" s="380"/>
      <c r="AH637" s="380"/>
      <c r="AI637" s="380"/>
      <c r="AJ637" s="380">
        <v>-1</v>
      </c>
      <c r="AK637" s="380"/>
      <c r="AL637" s="382"/>
      <c r="AM637" s="382"/>
      <c r="AN637" s="382"/>
      <c r="AO637" s="382"/>
      <c r="AP637" s="382"/>
      <c r="AQ637" s="382"/>
      <c r="AR637" s="382"/>
      <c r="AU637" s="382"/>
      <c r="AV637" s="382"/>
      <c r="AW637" s="382"/>
      <c r="AX637" s="382"/>
      <c r="AY637" s="382"/>
      <c r="AZ637" s="382"/>
      <c r="BA637" s="383"/>
      <c r="BB637" s="384"/>
      <c r="BC637" s="384"/>
      <c r="BD637" s="384"/>
      <c r="BE637" s="384"/>
      <c r="BF637" s="384"/>
      <c r="BG637" s="384"/>
      <c r="BH637" s="384"/>
      <c r="BI637" s="384"/>
      <c r="BJ637" s="385"/>
      <c r="BK637" s="385"/>
      <c r="BL637" s="385"/>
      <c r="BM637" s="385"/>
      <c r="BN637" s="385"/>
      <c r="BO637" s="385"/>
      <c r="BP637" s="385"/>
      <c r="BQ637" s="385"/>
      <c r="BR637" s="385"/>
      <c r="BS637" s="385"/>
      <c r="BT637" s="385"/>
      <c r="BU637" s="385"/>
      <c r="BV637" s="385"/>
      <c r="BW637" s="385"/>
      <c r="BX637" s="385"/>
      <c r="BY637" s="385"/>
      <c r="BZ637" s="385"/>
      <c r="CA637" s="385"/>
      <c r="CB637" s="385"/>
      <c r="CC637" s="385"/>
      <c r="CD637" s="385"/>
      <c r="CE637" s="385"/>
      <c r="CX637" s="387" t="s">
        <v>273</v>
      </c>
      <c r="DD637" s="362" t="s">
        <v>274</v>
      </c>
      <c r="DE637" s="23" t="s">
        <v>982</v>
      </c>
      <c r="DJ637" s="22" t="b">
        <v>1</v>
      </c>
      <c r="DK637" s="388" t="s">
        <v>983</v>
      </c>
      <c r="DL637" s="388"/>
      <c r="DM637" s="388"/>
      <c r="DN637" s="388"/>
      <c r="DO637" s="388"/>
      <c r="DP637" s="389"/>
      <c r="DQ637" s="388" t="s">
        <v>983</v>
      </c>
      <c r="DR637" s="57" t="str">
        <f t="shared" si="17"/>
        <v/>
      </c>
      <c r="DS637" s="388" t="s">
        <v>984</v>
      </c>
      <c r="DU637" s="1" t="s">
        <v>280</v>
      </c>
      <c r="DV637" s="390"/>
      <c r="EA637" s="390"/>
      <c r="EB637" s="390"/>
      <c r="EC637" s="390"/>
      <c r="ED637" s="390"/>
    </row>
    <row r="638" spans="1:134" s="23" customFormat="1" ht="49.5" customHeight="1" x14ac:dyDescent="0.15">
      <c r="B638" s="378"/>
      <c r="C638" s="40"/>
      <c r="AB638" s="353">
        <v>66120002</v>
      </c>
      <c r="AC638" s="17" t="s">
        <v>819</v>
      </c>
      <c r="AD638" s="380" t="s">
        <v>330</v>
      </c>
      <c r="AE638" s="380" t="s">
        <v>820</v>
      </c>
      <c r="AF638" s="380" t="s">
        <v>314</v>
      </c>
      <c r="AG638" s="380"/>
      <c r="AH638" s="380"/>
      <c r="AI638" s="380"/>
      <c r="AJ638" s="380"/>
      <c r="AK638" s="380"/>
      <c r="AL638" s="382"/>
      <c r="AM638" s="382"/>
      <c r="AN638" s="382"/>
      <c r="AO638" s="382"/>
      <c r="AP638" s="382"/>
      <c r="AQ638" s="382"/>
      <c r="AR638" s="382"/>
      <c r="AU638" s="382"/>
      <c r="AV638" s="382"/>
      <c r="AW638" s="382"/>
      <c r="AX638" s="382"/>
      <c r="AY638" s="382"/>
      <c r="AZ638" s="382"/>
      <c r="BA638" s="383"/>
      <c r="BB638" s="384"/>
      <c r="BC638" s="384"/>
      <c r="BD638" s="384"/>
      <c r="BE638" s="384"/>
      <c r="BF638" s="384"/>
      <c r="BG638" s="384"/>
      <c r="BH638" s="384"/>
      <c r="BI638" s="384"/>
      <c r="BJ638" s="385"/>
      <c r="BK638" s="385"/>
      <c r="BL638" s="385"/>
      <c r="BM638" s="385"/>
      <c r="BN638" s="385"/>
      <c r="BO638" s="385"/>
      <c r="BP638" s="385"/>
      <c r="BQ638" s="385"/>
      <c r="BR638" s="385"/>
      <c r="BS638" s="385"/>
      <c r="BT638" s="385"/>
      <c r="BU638" s="385"/>
      <c r="BV638" s="385"/>
      <c r="BW638" s="385"/>
      <c r="BX638" s="385"/>
      <c r="BY638" s="385"/>
      <c r="BZ638" s="385"/>
      <c r="CA638" s="385"/>
      <c r="CB638" s="23" t="s">
        <v>1</v>
      </c>
      <c r="CC638" s="386" t="s">
        <v>464</v>
      </c>
      <c r="CD638" s="386">
        <v>999</v>
      </c>
      <c r="CE638" s="386" t="s">
        <v>675</v>
      </c>
      <c r="DJ638" s="22" t="b">
        <v>1</v>
      </c>
      <c r="DK638" s="388"/>
      <c r="DL638" s="388"/>
      <c r="DM638" s="388"/>
      <c r="DN638" s="388"/>
      <c r="DO638" s="388"/>
      <c r="DP638" s="389"/>
      <c r="DQ638" s="388"/>
      <c r="DR638" s="57" t="str">
        <f t="shared" si="17"/>
        <v/>
      </c>
      <c r="DS638" s="388"/>
      <c r="DU638" s="1" t="s">
        <v>280</v>
      </c>
      <c r="DV638" s="390"/>
      <c r="EA638" s="390"/>
      <c r="EB638" s="390"/>
      <c r="EC638" s="390"/>
      <c r="ED638" s="390"/>
    </row>
    <row r="639" spans="1:134" s="23" customFormat="1" x14ac:dyDescent="0.15">
      <c r="B639" s="378"/>
      <c r="C639" s="40"/>
      <c r="AB639" s="353">
        <v>66120003</v>
      </c>
      <c r="AC639" s="135" t="s">
        <v>985</v>
      </c>
      <c r="AD639" s="380" t="s">
        <v>330</v>
      </c>
      <c r="AE639" s="380" t="s">
        <v>811</v>
      </c>
      <c r="AF639" s="380" t="s">
        <v>314</v>
      </c>
      <c r="AG639" s="380"/>
      <c r="AH639" s="380"/>
      <c r="AI639" s="380"/>
      <c r="AJ639" s="380">
        <v>2</v>
      </c>
      <c r="AK639" s="380"/>
      <c r="AL639" s="382"/>
      <c r="AM639" s="382"/>
      <c r="AN639" s="382"/>
      <c r="AO639" s="382"/>
      <c r="AP639" s="382"/>
      <c r="AQ639" s="382"/>
      <c r="AR639" s="382"/>
      <c r="AU639" s="382"/>
      <c r="AV639" s="382"/>
      <c r="AW639" s="382"/>
      <c r="AX639" s="382"/>
      <c r="AY639" s="382"/>
      <c r="AZ639" s="382"/>
      <c r="BA639" s="383" t="s">
        <v>270</v>
      </c>
      <c r="BB639" s="384">
        <v>0.15</v>
      </c>
      <c r="BC639" s="384"/>
      <c r="BD639" s="384"/>
      <c r="BE639" s="384"/>
      <c r="BF639" s="384"/>
      <c r="BG639" s="384"/>
      <c r="BH639" s="384"/>
      <c r="BI639" s="384"/>
      <c r="BJ639" s="385"/>
      <c r="BK639" s="385"/>
      <c r="BL639" s="385"/>
      <c r="BM639" s="385"/>
      <c r="BN639" s="385"/>
      <c r="BO639" s="385"/>
      <c r="BP639" s="385"/>
      <c r="BQ639" s="385"/>
      <c r="BR639" s="385"/>
      <c r="BS639" s="385"/>
      <c r="BT639" s="385"/>
      <c r="BU639" s="385"/>
      <c r="BV639" s="385"/>
      <c r="BW639" s="385"/>
      <c r="BX639" s="385"/>
      <c r="BY639" s="385"/>
      <c r="BZ639" s="385"/>
      <c r="CA639" s="385"/>
      <c r="CB639" s="385"/>
      <c r="CC639" s="385"/>
      <c r="CD639" s="385"/>
      <c r="CE639" s="385"/>
      <c r="DJ639" s="22" t="b">
        <v>1</v>
      </c>
      <c r="DK639" s="388"/>
      <c r="DL639" s="388"/>
      <c r="DM639" s="388"/>
      <c r="DN639" s="388"/>
      <c r="DO639" s="388"/>
      <c r="DP639" s="389"/>
      <c r="DQ639" s="388"/>
      <c r="DR639" s="57" t="str">
        <f t="shared" si="17"/>
        <v/>
      </c>
      <c r="DS639" s="388"/>
      <c r="DU639" s="1" t="s">
        <v>280</v>
      </c>
      <c r="DV639" s="390"/>
      <c r="EA639" s="390"/>
      <c r="EB639" s="390"/>
      <c r="EC639" s="390"/>
      <c r="ED639" s="390"/>
    </row>
    <row r="640" spans="1:134" s="23" customFormat="1" x14ac:dyDescent="0.15">
      <c r="A640" s="23">
        <v>661020</v>
      </c>
      <c r="B640" s="378" t="s">
        <v>1008</v>
      </c>
      <c r="C640" s="40" t="s">
        <v>1009</v>
      </c>
      <c r="D640" s="23" t="s">
        <v>966</v>
      </c>
      <c r="E640" s="23">
        <v>660200</v>
      </c>
      <c r="H640" s="379">
        <v>1</v>
      </c>
      <c r="L640" s="23">
        <v>0</v>
      </c>
      <c r="Q640" s="23" t="s">
        <v>431</v>
      </c>
      <c r="W640" s="23" t="b">
        <v>1</v>
      </c>
      <c r="X640" s="23">
        <v>1</v>
      </c>
      <c r="Y640" s="23">
        <v>0</v>
      </c>
      <c r="Z640" s="23">
        <v>0</v>
      </c>
      <c r="AB640" s="353">
        <v>66040001</v>
      </c>
      <c r="AC640" s="17" t="s">
        <v>815</v>
      </c>
      <c r="AD640" s="17"/>
      <c r="AE640" s="380" t="s">
        <v>291</v>
      </c>
      <c r="AF640" s="22" t="s">
        <v>437</v>
      </c>
      <c r="AG640" s="380"/>
      <c r="AH640" s="380"/>
      <c r="AI640" s="380"/>
      <c r="AJ640" s="380">
        <v>-1</v>
      </c>
      <c r="AK640" s="380"/>
      <c r="AL640" s="382"/>
      <c r="AM640" s="382"/>
      <c r="AN640" s="382"/>
      <c r="AO640" s="382"/>
      <c r="AP640" s="382"/>
      <c r="AQ640" s="382"/>
      <c r="AR640" s="382"/>
      <c r="AU640" s="382"/>
      <c r="AV640" s="382"/>
      <c r="AW640" s="382"/>
      <c r="AX640" s="382"/>
      <c r="AY640" s="382"/>
      <c r="AZ640" s="382"/>
      <c r="BA640" s="383"/>
      <c r="BB640" s="384"/>
      <c r="BC640" s="384"/>
      <c r="BD640" s="384"/>
      <c r="BE640" s="384"/>
      <c r="BF640" s="384"/>
      <c r="BG640" s="384"/>
      <c r="BH640" s="384"/>
      <c r="BI640" s="384"/>
      <c r="BJ640" s="385"/>
      <c r="BK640" s="385"/>
      <c r="BL640" s="385"/>
      <c r="BM640" s="385"/>
      <c r="BN640" s="385"/>
      <c r="BO640" s="385"/>
      <c r="BP640" s="385"/>
      <c r="BQ640" s="385"/>
      <c r="BR640" s="385"/>
      <c r="BS640" s="385"/>
      <c r="BT640" s="385"/>
      <c r="BU640" s="385"/>
      <c r="BV640" s="385"/>
      <c r="BW640" s="385"/>
      <c r="BX640" s="385"/>
      <c r="BY640" s="385"/>
      <c r="BZ640" s="385"/>
      <c r="CA640" s="385"/>
      <c r="CB640" s="385"/>
      <c r="CC640" s="385"/>
      <c r="CD640" s="385"/>
      <c r="CE640" s="385"/>
      <c r="CX640" s="387" t="s">
        <v>273</v>
      </c>
      <c r="DD640" s="362" t="s">
        <v>274</v>
      </c>
      <c r="DE640" s="23" t="s">
        <v>986</v>
      </c>
      <c r="DJ640" s="22" t="b">
        <v>1</v>
      </c>
      <c r="DK640" s="388" t="s">
        <v>987</v>
      </c>
      <c r="DL640" s="388"/>
      <c r="DM640" s="388"/>
      <c r="DN640" s="388"/>
      <c r="DO640" s="388"/>
      <c r="DP640" s="389"/>
      <c r="DQ640" s="388" t="s">
        <v>987</v>
      </c>
      <c r="DR640" s="57" t="str">
        <f t="shared" si="17"/>
        <v/>
      </c>
      <c r="DS640" s="388" t="s">
        <v>988</v>
      </c>
      <c r="DU640" s="1" t="s">
        <v>280</v>
      </c>
      <c r="DV640" s="390"/>
      <c r="EA640" s="390"/>
      <c r="EB640" s="390"/>
      <c r="EC640" s="390"/>
      <c r="ED640" s="390"/>
    </row>
    <row r="641" spans="1:134" s="23" customFormat="1" ht="49.5" customHeight="1" x14ac:dyDescent="0.15">
      <c r="B641" s="378"/>
      <c r="C641" s="40"/>
      <c r="AB641" s="353">
        <v>66040002</v>
      </c>
      <c r="AC641" s="17" t="s">
        <v>819</v>
      </c>
      <c r="AD641" s="380" t="s">
        <v>330</v>
      </c>
      <c r="AE641" s="380" t="s">
        <v>820</v>
      </c>
      <c r="AF641" s="380" t="s">
        <v>314</v>
      </c>
      <c r="AG641" s="380"/>
      <c r="AH641" s="380"/>
      <c r="AI641" s="380"/>
      <c r="AJ641" s="380"/>
      <c r="AK641" s="380"/>
      <c r="AL641" s="382"/>
      <c r="AM641" s="382"/>
      <c r="AN641" s="382"/>
      <c r="AO641" s="382"/>
      <c r="AP641" s="382"/>
      <c r="AQ641" s="382"/>
      <c r="AR641" s="382"/>
      <c r="AU641" s="382"/>
      <c r="AV641" s="382"/>
      <c r="AW641" s="382"/>
      <c r="AX641" s="382"/>
      <c r="AY641" s="382"/>
      <c r="AZ641" s="382"/>
      <c r="BA641" s="383"/>
      <c r="BB641" s="384"/>
      <c r="BC641" s="384"/>
      <c r="BD641" s="384"/>
      <c r="BE641" s="384"/>
      <c r="BF641" s="384"/>
      <c r="BG641" s="384"/>
      <c r="BH641" s="384"/>
      <c r="BI641" s="384"/>
      <c r="BJ641" s="385"/>
      <c r="BK641" s="385"/>
      <c r="BL641" s="385"/>
      <c r="BM641" s="385"/>
      <c r="BN641" s="385"/>
      <c r="BO641" s="385"/>
      <c r="BP641" s="385"/>
      <c r="BQ641" s="385"/>
      <c r="BR641" s="385"/>
      <c r="BS641" s="385"/>
      <c r="BT641" s="385"/>
      <c r="BU641" s="385"/>
      <c r="BV641" s="385"/>
      <c r="BW641" s="385"/>
      <c r="BX641" s="385"/>
      <c r="BY641" s="385"/>
      <c r="BZ641" s="385"/>
      <c r="CA641" s="385"/>
      <c r="CB641" s="23" t="s">
        <v>1</v>
      </c>
      <c r="CC641" s="386" t="s">
        <v>464</v>
      </c>
      <c r="CD641" s="386">
        <v>999</v>
      </c>
      <c r="CE641" s="386" t="s">
        <v>675</v>
      </c>
      <c r="DJ641" s="22" t="b">
        <v>1</v>
      </c>
      <c r="DK641" s="388"/>
      <c r="DL641" s="388"/>
      <c r="DM641" s="388"/>
      <c r="DN641" s="388"/>
      <c r="DO641" s="388"/>
      <c r="DP641" s="389"/>
      <c r="DQ641" s="388"/>
      <c r="DR641" s="57" t="str">
        <f t="shared" si="17"/>
        <v/>
      </c>
      <c r="DS641" s="388"/>
      <c r="DU641" s="1" t="s">
        <v>280</v>
      </c>
      <c r="DV641" s="390"/>
      <c r="EA641" s="390"/>
      <c r="EB641" s="390"/>
      <c r="EC641" s="390"/>
      <c r="ED641" s="390"/>
    </row>
    <row r="642" spans="1:134" s="23" customFormat="1" x14ac:dyDescent="0.15">
      <c r="B642" s="378"/>
      <c r="C642" s="40"/>
      <c r="AB642" s="353">
        <v>66040003</v>
      </c>
      <c r="AC642" s="135" t="s">
        <v>989</v>
      </c>
      <c r="AD642" s="380" t="s">
        <v>330</v>
      </c>
      <c r="AE642" s="380" t="s">
        <v>811</v>
      </c>
      <c r="AF642" s="380" t="s">
        <v>314</v>
      </c>
      <c r="AG642" s="380"/>
      <c r="AH642" s="380"/>
      <c r="AI642" s="380"/>
      <c r="AJ642" s="380">
        <v>2</v>
      </c>
      <c r="AK642" s="380"/>
      <c r="AL642" s="382"/>
      <c r="AM642" s="382"/>
      <c r="AN642" s="382"/>
      <c r="AO642" s="382"/>
      <c r="AP642" s="382"/>
      <c r="AQ642" s="382"/>
      <c r="AR642" s="382"/>
      <c r="AU642" s="382"/>
      <c r="AV642" s="382"/>
      <c r="AW642" s="382"/>
      <c r="AX642" s="382"/>
      <c r="AY642" s="382"/>
      <c r="AZ642" s="382"/>
      <c r="BA642" s="383" t="s">
        <v>270</v>
      </c>
      <c r="BB642" s="384">
        <v>0.15</v>
      </c>
      <c r="BC642" s="384"/>
      <c r="BD642" s="384"/>
      <c r="BE642" s="384"/>
      <c r="BF642" s="384"/>
      <c r="BG642" s="384"/>
      <c r="BH642" s="384"/>
      <c r="BI642" s="384"/>
      <c r="BJ642" s="385"/>
      <c r="BK642" s="385"/>
      <c r="BL642" s="385"/>
      <c r="BM642" s="385"/>
      <c r="BN642" s="385"/>
      <c r="BO642" s="385"/>
      <c r="BP642" s="385"/>
      <c r="BQ642" s="385"/>
      <c r="BR642" s="385"/>
      <c r="BS642" s="385"/>
      <c r="BT642" s="385"/>
      <c r="BU642" s="385"/>
      <c r="BV642" s="385"/>
      <c r="BW642" s="385"/>
      <c r="BX642" s="385"/>
      <c r="BY642" s="385"/>
      <c r="BZ642" s="385"/>
      <c r="CA642" s="385"/>
      <c r="CB642" s="385"/>
      <c r="CC642" s="385"/>
      <c r="CD642" s="385"/>
      <c r="CE642" s="385"/>
      <c r="DJ642" s="22" t="b">
        <v>1</v>
      </c>
      <c r="DK642" s="388"/>
      <c r="DL642" s="388"/>
      <c r="DM642" s="388"/>
      <c r="DN642" s="388"/>
      <c r="DO642" s="388"/>
      <c r="DP642" s="389"/>
      <c r="DQ642" s="388"/>
      <c r="DR642" s="57" t="str">
        <f t="shared" si="17"/>
        <v/>
      </c>
      <c r="DS642" s="388"/>
      <c r="DU642" s="1" t="s">
        <v>280</v>
      </c>
      <c r="DV642" s="390"/>
      <c r="EA642" s="390"/>
      <c r="EB642" s="390"/>
      <c r="EC642" s="390"/>
      <c r="ED642" s="390"/>
    </row>
    <row r="643" spans="1:134" s="23" customFormat="1" x14ac:dyDescent="0.15">
      <c r="A643" s="23">
        <v>661030</v>
      </c>
      <c r="B643" s="378" t="s">
        <v>1008</v>
      </c>
      <c r="C643" s="40" t="s">
        <v>1009</v>
      </c>
      <c r="D643" s="23" t="s">
        <v>971</v>
      </c>
      <c r="E643" s="23">
        <v>660200</v>
      </c>
      <c r="H643" s="379">
        <v>1</v>
      </c>
      <c r="L643" s="23">
        <v>0</v>
      </c>
      <c r="Q643" s="23" t="s">
        <v>431</v>
      </c>
      <c r="W643" s="23" t="b">
        <v>1</v>
      </c>
      <c r="X643" s="23">
        <v>1</v>
      </c>
      <c r="Y643" s="23">
        <v>0</v>
      </c>
      <c r="Z643" s="23">
        <v>0</v>
      </c>
      <c r="AB643" s="353">
        <v>66020001</v>
      </c>
      <c r="AC643" s="17" t="s">
        <v>815</v>
      </c>
      <c r="AD643" s="17"/>
      <c r="AE643" s="380" t="s">
        <v>291</v>
      </c>
      <c r="AF643" s="22" t="s">
        <v>437</v>
      </c>
      <c r="AG643" s="380"/>
      <c r="AH643" s="380"/>
      <c r="AI643" s="380"/>
      <c r="AJ643" s="380">
        <v>-1</v>
      </c>
      <c r="AK643" s="380"/>
      <c r="AL643" s="382"/>
      <c r="AM643" s="382"/>
      <c r="AN643" s="382"/>
      <c r="AO643" s="382"/>
      <c r="AP643" s="382"/>
      <c r="AQ643" s="382"/>
      <c r="AR643" s="382"/>
      <c r="AU643" s="382"/>
      <c r="AV643" s="382"/>
      <c r="AW643" s="382"/>
      <c r="AX643" s="382"/>
      <c r="AY643" s="382"/>
      <c r="AZ643" s="382"/>
      <c r="BA643" s="383"/>
      <c r="BB643" s="384"/>
      <c r="BC643" s="384"/>
      <c r="BD643" s="384"/>
      <c r="BE643" s="384"/>
      <c r="BF643" s="384"/>
      <c r="BG643" s="384"/>
      <c r="BH643" s="384"/>
      <c r="BI643" s="384"/>
      <c r="BJ643" s="385"/>
      <c r="BK643" s="385"/>
      <c r="BL643" s="385"/>
      <c r="BM643" s="385"/>
      <c r="BN643" s="385"/>
      <c r="BO643" s="385"/>
      <c r="BP643" s="385"/>
      <c r="BQ643" s="385"/>
      <c r="BR643" s="385"/>
      <c r="BS643" s="385"/>
      <c r="BT643" s="385"/>
      <c r="BU643" s="385"/>
      <c r="BV643" s="385"/>
      <c r="BW643" s="385"/>
      <c r="BX643" s="385"/>
      <c r="BY643" s="385"/>
      <c r="BZ643" s="385"/>
      <c r="CA643" s="385"/>
      <c r="CB643" s="385"/>
      <c r="CC643" s="385"/>
      <c r="CD643" s="385"/>
      <c r="CE643" s="385"/>
      <c r="CX643" s="387" t="s">
        <v>273</v>
      </c>
      <c r="DD643" s="362" t="s">
        <v>274</v>
      </c>
      <c r="DE643" s="23" t="s">
        <v>990</v>
      </c>
      <c r="DJ643" s="22" t="b">
        <v>1</v>
      </c>
      <c r="DK643" s="388" t="s">
        <v>991</v>
      </c>
      <c r="DL643" s="388"/>
      <c r="DM643" s="388"/>
      <c r="DN643" s="388"/>
      <c r="DO643" s="388"/>
      <c r="DP643" s="389"/>
      <c r="DQ643" s="388" t="s">
        <v>991</v>
      </c>
      <c r="DR643" s="57" t="str">
        <f t="shared" si="17"/>
        <v/>
      </c>
      <c r="DS643" s="388" t="s">
        <v>992</v>
      </c>
      <c r="DU643" s="1" t="s">
        <v>280</v>
      </c>
      <c r="DV643" s="390"/>
      <c r="EA643" s="390"/>
      <c r="EB643" s="390"/>
      <c r="EC643" s="390"/>
      <c r="ED643" s="390"/>
    </row>
    <row r="644" spans="1:134" s="23" customFormat="1" ht="49.5" customHeight="1" x14ac:dyDescent="0.15">
      <c r="B644" s="378"/>
      <c r="C644" s="40"/>
      <c r="AB644" s="353">
        <v>66020002</v>
      </c>
      <c r="AC644" s="17" t="s">
        <v>819</v>
      </c>
      <c r="AD644" s="380" t="s">
        <v>330</v>
      </c>
      <c r="AE644" s="380" t="s">
        <v>820</v>
      </c>
      <c r="AF644" s="380" t="s">
        <v>314</v>
      </c>
      <c r="AG644" s="380"/>
      <c r="AH644" s="380"/>
      <c r="AI644" s="380"/>
      <c r="AJ644" s="380"/>
      <c r="AK644" s="380"/>
      <c r="AL644" s="382"/>
      <c r="AM644" s="382"/>
      <c r="AN644" s="382"/>
      <c r="AO644" s="382"/>
      <c r="AP644" s="382"/>
      <c r="AQ644" s="382"/>
      <c r="AR644" s="382"/>
      <c r="AU644" s="382"/>
      <c r="AV644" s="382"/>
      <c r="AW644" s="382"/>
      <c r="AX644" s="382"/>
      <c r="AY644" s="382"/>
      <c r="AZ644" s="382"/>
      <c r="BA644" s="383"/>
      <c r="BB644" s="384"/>
      <c r="BC644" s="384"/>
      <c r="BD644" s="384"/>
      <c r="BE644" s="384"/>
      <c r="BF644" s="384"/>
      <c r="BG644" s="384"/>
      <c r="BH644" s="384"/>
      <c r="BI644" s="384"/>
      <c r="BJ644" s="385"/>
      <c r="BK644" s="385"/>
      <c r="BL644" s="385"/>
      <c r="BM644" s="385"/>
      <c r="BN644" s="385"/>
      <c r="BO644" s="385"/>
      <c r="BP644" s="385"/>
      <c r="BQ644" s="385"/>
      <c r="BR644" s="385"/>
      <c r="BS644" s="385"/>
      <c r="BT644" s="385"/>
      <c r="BU644" s="385"/>
      <c r="BV644" s="385"/>
      <c r="BW644" s="385"/>
      <c r="BX644" s="385"/>
      <c r="BY644" s="385"/>
      <c r="BZ644" s="385"/>
      <c r="CA644" s="385"/>
      <c r="CB644" s="23" t="s">
        <v>1</v>
      </c>
      <c r="CC644" s="386" t="s">
        <v>464</v>
      </c>
      <c r="CD644" s="386">
        <v>999</v>
      </c>
      <c r="CE644" s="386" t="s">
        <v>675</v>
      </c>
      <c r="DJ644" s="22" t="b">
        <v>1</v>
      </c>
      <c r="DK644" s="388"/>
      <c r="DL644" s="388"/>
      <c r="DM644" s="388"/>
      <c r="DN644" s="388"/>
      <c r="DO644" s="388"/>
      <c r="DP644" s="389"/>
      <c r="DQ644" s="388"/>
      <c r="DR644" s="57" t="str">
        <f t="shared" si="17"/>
        <v/>
      </c>
      <c r="DS644" s="388"/>
      <c r="DU644" s="1" t="s">
        <v>280</v>
      </c>
      <c r="DV644" s="390"/>
      <c r="EA644" s="390"/>
      <c r="EB644" s="390"/>
      <c r="EC644" s="390"/>
      <c r="ED644" s="390"/>
    </row>
    <row r="645" spans="1:134" s="23" customFormat="1" x14ac:dyDescent="0.15">
      <c r="B645" s="378"/>
      <c r="C645" s="40"/>
      <c r="AB645" s="353">
        <v>66020003</v>
      </c>
      <c r="AC645" s="135" t="s">
        <v>993</v>
      </c>
      <c r="AD645" s="380" t="s">
        <v>330</v>
      </c>
      <c r="AE645" s="380" t="s">
        <v>811</v>
      </c>
      <c r="AF645" s="380" t="s">
        <v>314</v>
      </c>
      <c r="AG645" s="380"/>
      <c r="AH645" s="380"/>
      <c r="AI645" s="380"/>
      <c r="AJ645" s="380">
        <v>2</v>
      </c>
      <c r="AK645" s="380"/>
      <c r="AL645" s="382"/>
      <c r="AM645" s="382"/>
      <c r="AN645" s="382"/>
      <c r="AO645" s="382"/>
      <c r="AP645" s="382"/>
      <c r="AQ645" s="382"/>
      <c r="AR645" s="382"/>
      <c r="AU645" s="382"/>
      <c r="AV645" s="382"/>
      <c r="AW645" s="382"/>
      <c r="AX645" s="382"/>
      <c r="AY645" s="382"/>
      <c r="AZ645" s="382"/>
      <c r="BA645" s="383" t="s">
        <v>270</v>
      </c>
      <c r="BB645" s="384">
        <v>0.15</v>
      </c>
      <c r="BC645" s="384"/>
      <c r="BD645" s="384"/>
      <c r="BE645" s="384"/>
      <c r="BF645" s="384"/>
      <c r="BG645" s="384"/>
      <c r="BH645" s="384"/>
      <c r="BI645" s="384"/>
      <c r="BJ645" s="385"/>
      <c r="BK645" s="385"/>
      <c r="BL645" s="385"/>
      <c r="BM645" s="385"/>
      <c r="BN645" s="385"/>
      <c r="BO645" s="385"/>
      <c r="BP645" s="385"/>
      <c r="BQ645" s="385"/>
      <c r="BR645" s="385"/>
      <c r="BS645" s="385"/>
      <c r="BT645" s="385"/>
      <c r="BU645" s="385"/>
      <c r="BV645" s="385"/>
      <c r="BW645" s="385"/>
      <c r="BX645" s="385"/>
      <c r="BY645" s="385"/>
      <c r="BZ645" s="385"/>
      <c r="CA645" s="385"/>
      <c r="CB645" s="385"/>
      <c r="CC645" s="385"/>
      <c r="CD645" s="385"/>
      <c r="CE645" s="385"/>
      <c r="DJ645" s="22" t="b">
        <v>1</v>
      </c>
      <c r="DK645" s="388"/>
      <c r="DL645" s="388"/>
      <c r="DM645" s="388"/>
      <c r="DN645" s="388"/>
      <c r="DO645" s="388"/>
      <c r="DP645" s="389"/>
      <c r="DQ645" s="388"/>
      <c r="DR645" s="57" t="str">
        <f t="shared" si="17"/>
        <v/>
      </c>
      <c r="DS645" s="388"/>
      <c r="DU645" s="1" t="s">
        <v>280</v>
      </c>
      <c r="DV645" s="390"/>
      <c r="EA645" s="390"/>
      <c r="EB645" s="390"/>
      <c r="EC645" s="390"/>
      <c r="ED645" s="390"/>
    </row>
    <row r="646" spans="1:134" s="23" customFormat="1" x14ac:dyDescent="0.15">
      <c r="A646" s="23">
        <v>661100</v>
      </c>
      <c r="B646" s="378" t="s">
        <v>1010</v>
      </c>
      <c r="C646" s="40" t="s">
        <v>1011</v>
      </c>
      <c r="D646" s="23" t="s">
        <v>956</v>
      </c>
      <c r="E646" s="23">
        <v>660100</v>
      </c>
      <c r="H646" s="379">
        <v>1</v>
      </c>
      <c r="L646" s="23">
        <v>0</v>
      </c>
      <c r="Q646" s="23" t="s">
        <v>431</v>
      </c>
      <c r="W646" s="23" t="b">
        <v>1</v>
      </c>
      <c r="X646" s="23">
        <v>1</v>
      </c>
      <c r="Y646" s="23">
        <v>0</v>
      </c>
      <c r="Z646" s="23">
        <v>0</v>
      </c>
      <c r="AB646" s="353">
        <v>66030001</v>
      </c>
      <c r="AC646" s="17" t="s">
        <v>815</v>
      </c>
      <c r="AD646" s="17"/>
      <c r="AE646" s="380" t="s">
        <v>291</v>
      </c>
      <c r="AF646" s="22" t="s">
        <v>437</v>
      </c>
      <c r="AG646" s="380"/>
      <c r="AH646" s="380"/>
      <c r="AI646" s="380"/>
      <c r="AJ646" s="380">
        <v>-1</v>
      </c>
      <c r="AK646" s="380"/>
      <c r="AL646" s="382"/>
      <c r="AM646" s="382"/>
      <c r="AN646" s="382"/>
      <c r="AO646" s="382"/>
      <c r="AP646" s="382"/>
      <c r="AQ646" s="382"/>
      <c r="AR646" s="382"/>
      <c r="AU646" s="382"/>
      <c r="AV646" s="382"/>
      <c r="AW646" s="382"/>
      <c r="AX646" s="382"/>
      <c r="AY646" s="382"/>
      <c r="AZ646" s="382"/>
      <c r="BA646" s="383"/>
      <c r="BB646" s="384"/>
      <c r="BC646" s="384"/>
      <c r="BD646" s="384"/>
      <c r="BE646" s="384"/>
      <c r="BF646" s="384"/>
      <c r="BG646" s="384"/>
      <c r="BH646" s="384"/>
      <c r="BI646" s="384"/>
      <c r="BJ646" s="385"/>
      <c r="BK646" s="385"/>
      <c r="BL646" s="385"/>
      <c r="BM646" s="385"/>
      <c r="BN646" s="385"/>
      <c r="BO646" s="385"/>
      <c r="BP646" s="385"/>
      <c r="BQ646" s="385"/>
      <c r="BR646" s="385"/>
      <c r="BS646" s="385"/>
      <c r="BT646" s="385"/>
      <c r="BU646" s="385"/>
      <c r="BV646" s="385"/>
      <c r="BW646" s="385"/>
      <c r="BX646" s="385"/>
      <c r="BY646" s="385"/>
      <c r="BZ646" s="385"/>
      <c r="CA646" s="385"/>
      <c r="CB646" s="385"/>
      <c r="CC646" s="385"/>
      <c r="CD646" s="385"/>
      <c r="CE646" s="385"/>
      <c r="CX646" s="387" t="s">
        <v>273</v>
      </c>
      <c r="DD646" s="362" t="s">
        <v>274</v>
      </c>
      <c r="DE646" s="23" t="s">
        <v>957</v>
      </c>
      <c r="DJ646" s="22" t="b">
        <v>1</v>
      </c>
      <c r="DK646" s="388" t="s">
        <v>958</v>
      </c>
      <c r="DL646" s="388"/>
      <c r="DM646" s="388"/>
      <c r="DN646" s="388"/>
      <c r="DO646" s="388"/>
      <c r="DP646" s="389"/>
      <c r="DQ646" s="388" t="s">
        <v>958</v>
      </c>
      <c r="DR646" s="57" t="str">
        <f t="shared" si="17"/>
        <v/>
      </c>
      <c r="DS646" s="388" t="s">
        <v>959</v>
      </c>
      <c r="DU646" s="1" t="s">
        <v>280</v>
      </c>
      <c r="DV646" s="390"/>
      <c r="EA646" s="390"/>
      <c r="EB646" s="390"/>
      <c r="EC646" s="390"/>
      <c r="ED646" s="390"/>
    </row>
    <row r="647" spans="1:134" s="23" customFormat="1" ht="49.5" customHeight="1" x14ac:dyDescent="0.15">
      <c r="B647" s="378"/>
      <c r="C647" s="40"/>
      <c r="AB647" s="353">
        <v>66030002</v>
      </c>
      <c r="AC647" s="17" t="s">
        <v>819</v>
      </c>
      <c r="AD647" s="380" t="s">
        <v>330</v>
      </c>
      <c r="AE647" s="380" t="s">
        <v>820</v>
      </c>
      <c r="AF647" s="380" t="s">
        <v>314</v>
      </c>
      <c r="AG647" s="380"/>
      <c r="AH647" s="380"/>
      <c r="AI647" s="380"/>
      <c r="AJ647" s="380"/>
      <c r="AK647" s="380"/>
      <c r="AL647" s="382"/>
      <c r="AM647" s="382"/>
      <c r="AN647" s="382"/>
      <c r="AO647" s="382"/>
      <c r="AP647" s="382"/>
      <c r="AQ647" s="382"/>
      <c r="AR647" s="382"/>
      <c r="AU647" s="382"/>
      <c r="AV647" s="382"/>
      <c r="AW647" s="382"/>
      <c r="AX647" s="382"/>
      <c r="AY647" s="382"/>
      <c r="AZ647" s="382"/>
      <c r="BA647" s="383"/>
      <c r="BB647" s="384"/>
      <c r="BC647" s="384"/>
      <c r="BD647" s="384"/>
      <c r="BE647" s="384"/>
      <c r="BF647" s="384"/>
      <c r="BG647" s="384"/>
      <c r="BH647" s="384"/>
      <c r="BI647" s="384"/>
      <c r="BJ647" s="385"/>
      <c r="BK647" s="385"/>
      <c r="BL647" s="385"/>
      <c r="BM647" s="385"/>
      <c r="BN647" s="385"/>
      <c r="BO647" s="385"/>
      <c r="BP647" s="385"/>
      <c r="BQ647" s="385"/>
      <c r="BR647" s="385"/>
      <c r="BS647" s="385"/>
      <c r="BT647" s="385"/>
      <c r="BU647" s="385"/>
      <c r="BV647" s="385"/>
      <c r="BW647" s="385"/>
      <c r="BX647" s="385"/>
      <c r="BY647" s="385"/>
      <c r="BZ647" s="385"/>
      <c r="CA647" s="385"/>
      <c r="CB647" s="23" t="s">
        <v>1</v>
      </c>
      <c r="CC647" s="386" t="s">
        <v>464</v>
      </c>
      <c r="CD647" s="386">
        <v>999</v>
      </c>
      <c r="CE647" s="386" t="s">
        <v>675</v>
      </c>
      <c r="DJ647" s="22" t="b">
        <v>1</v>
      </c>
      <c r="DK647" s="388"/>
      <c r="DL647" s="388"/>
      <c r="DM647" s="388"/>
      <c r="DN647" s="388"/>
      <c r="DO647" s="388"/>
      <c r="DP647" s="389"/>
      <c r="DQ647" s="388"/>
      <c r="DR647" s="57" t="str">
        <f t="shared" si="17"/>
        <v/>
      </c>
      <c r="DS647" s="388"/>
      <c r="DU647" s="1" t="s">
        <v>280</v>
      </c>
      <c r="DV647" s="390"/>
      <c r="EA647" s="390"/>
      <c r="EB647" s="390"/>
      <c r="EC647" s="390"/>
      <c r="ED647" s="390"/>
    </row>
    <row r="648" spans="1:134" s="23" customFormat="1" x14ac:dyDescent="0.15">
      <c r="B648" s="378"/>
      <c r="C648" s="40"/>
      <c r="AB648" s="353">
        <v>66030003</v>
      </c>
      <c r="AC648" s="381" t="s">
        <v>960</v>
      </c>
      <c r="AD648" s="380" t="s">
        <v>330</v>
      </c>
      <c r="AE648" s="380" t="s">
        <v>811</v>
      </c>
      <c r="AF648" s="380" t="s">
        <v>314</v>
      </c>
      <c r="AG648" s="380"/>
      <c r="AH648" s="380"/>
      <c r="AI648" s="380"/>
      <c r="AJ648" s="380">
        <v>2</v>
      </c>
      <c r="AK648" s="380"/>
      <c r="AL648" s="382"/>
      <c r="AM648" s="382"/>
      <c r="AN648" s="382"/>
      <c r="AO648" s="382"/>
      <c r="AP648" s="382"/>
      <c r="AQ648" s="382"/>
      <c r="AR648" s="382"/>
      <c r="AU648" s="382"/>
      <c r="AV648" s="382"/>
      <c r="AW648" s="382"/>
      <c r="AX648" s="382"/>
      <c r="AY648" s="382"/>
      <c r="AZ648" s="382"/>
      <c r="BA648" s="383" t="s">
        <v>270</v>
      </c>
      <c r="BB648" s="384">
        <v>0.15</v>
      </c>
      <c r="BC648" s="384"/>
      <c r="BD648" s="384"/>
      <c r="BE648" s="384"/>
      <c r="BF648" s="384"/>
      <c r="BG648" s="384"/>
      <c r="BH648" s="384"/>
      <c r="BI648" s="384"/>
      <c r="BJ648" s="385"/>
      <c r="BK648" s="385"/>
      <c r="BL648" s="385"/>
      <c r="BM648" s="385"/>
      <c r="BN648" s="385"/>
      <c r="BO648" s="385"/>
      <c r="BP648" s="385"/>
      <c r="BQ648" s="385"/>
      <c r="BR648" s="385"/>
      <c r="BS648" s="385"/>
      <c r="BT648" s="385"/>
      <c r="BU648" s="385"/>
      <c r="BV648" s="385"/>
      <c r="BW648" s="385"/>
      <c r="BX648" s="385"/>
      <c r="BY648" s="385"/>
      <c r="BZ648" s="385"/>
      <c r="CA648" s="385"/>
      <c r="CB648" s="385"/>
      <c r="CC648" s="385"/>
      <c r="CD648" s="385"/>
      <c r="CE648" s="385"/>
      <c r="DJ648" s="22" t="b">
        <v>1</v>
      </c>
      <c r="DK648" s="388"/>
      <c r="DL648" s="388"/>
      <c r="DM648" s="388"/>
      <c r="DN648" s="388"/>
      <c r="DO648" s="388"/>
      <c r="DP648" s="389"/>
      <c r="DQ648" s="388"/>
      <c r="DR648" s="57" t="str">
        <f t="shared" ref="DR648:DR697" si="18">IF(DZ648="","",IF(DZ648=1,EG648,IF(DZ648=2,EJ648,IF(DZ648=3,EM648,IF(DZ648=4,EP648,IF(DZ648=0,DS648,"【参数配置有误】"&amp;DS648))))))</f>
        <v/>
      </c>
      <c r="DS648" s="388"/>
      <c r="DU648" s="1" t="s">
        <v>280</v>
      </c>
      <c r="DV648" s="390"/>
      <c r="EA648" s="390"/>
      <c r="EB648" s="390"/>
      <c r="EC648" s="390"/>
      <c r="ED648" s="390"/>
    </row>
    <row r="649" spans="1:134" s="23" customFormat="1" x14ac:dyDescent="0.15">
      <c r="A649" s="23">
        <v>661110</v>
      </c>
      <c r="B649" s="378" t="s">
        <v>1010</v>
      </c>
      <c r="C649" s="40" t="s">
        <v>1011</v>
      </c>
      <c r="D649" s="23" t="s">
        <v>961</v>
      </c>
      <c r="E649" s="23">
        <v>660100</v>
      </c>
      <c r="H649" s="379">
        <v>1</v>
      </c>
      <c r="L649" s="23">
        <v>0</v>
      </c>
      <c r="Q649" s="23" t="s">
        <v>431</v>
      </c>
      <c r="W649" s="23" t="b">
        <v>1</v>
      </c>
      <c r="X649" s="23">
        <v>1</v>
      </c>
      <c r="Y649" s="23">
        <v>0</v>
      </c>
      <c r="Z649" s="23">
        <v>0</v>
      </c>
      <c r="AB649" s="353">
        <v>66010001</v>
      </c>
      <c r="AC649" s="17" t="s">
        <v>815</v>
      </c>
      <c r="AD649" s="17"/>
      <c r="AE649" s="380" t="s">
        <v>291</v>
      </c>
      <c r="AF649" s="22" t="s">
        <v>437</v>
      </c>
      <c r="AG649" s="380"/>
      <c r="AH649" s="380"/>
      <c r="AI649" s="380"/>
      <c r="AJ649" s="380">
        <v>-1</v>
      </c>
      <c r="AK649" s="380"/>
      <c r="AL649" s="382"/>
      <c r="AM649" s="382"/>
      <c r="AN649" s="382"/>
      <c r="AO649" s="382"/>
      <c r="AP649" s="382"/>
      <c r="AQ649" s="382"/>
      <c r="AR649" s="382"/>
      <c r="AU649" s="382"/>
      <c r="AV649" s="382"/>
      <c r="AW649" s="382"/>
      <c r="AX649" s="382"/>
      <c r="AY649" s="382"/>
      <c r="AZ649" s="382"/>
      <c r="BA649" s="383"/>
      <c r="BB649" s="384"/>
      <c r="BC649" s="384"/>
      <c r="BD649" s="384"/>
      <c r="BE649" s="384"/>
      <c r="BF649" s="384"/>
      <c r="BG649" s="384"/>
      <c r="BH649" s="384"/>
      <c r="BI649" s="384"/>
      <c r="BJ649" s="385"/>
      <c r="BK649" s="385"/>
      <c r="BL649" s="385"/>
      <c r="BM649" s="385"/>
      <c r="BN649" s="385"/>
      <c r="BO649" s="385"/>
      <c r="BP649" s="385"/>
      <c r="BQ649" s="385"/>
      <c r="BR649" s="385"/>
      <c r="BS649" s="385"/>
      <c r="BT649" s="385"/>
      <c r="BU649" s="385"/>
      <c r="BV649" s="385"/>
      <c r="BW649" s="385"/>
      <c r="BX649" s="385"/>
      <c r="BY649" s="385"/>
      <c r="BZ649" s="385"/>
      <c r="CA649" s="385"/>
      <c r="CB649" s="385"/>
      <c r="CC649" s="385"/>
      <c r="CD649" s="385"/>
      <c r="CE649" s="385"/>
      <c r="CX649" s="387" t="s">
        <v>273</v>
      </c>
      <c r="DD649" s="362" t="s">
        <v>274</v>
      </c>
      <c r="DE649" s="23" t="s">
        <v>962</v>
      </c>
      <c r="DJ649" s="22" t="b">
        <v>1</v>
      </c>
      <c r="DK649" s="388" t="s">
        <v>963</v>
      </c>
      <c r="DL649" s="388"/>
      <c r="DM649" s="388"/>
      <c r="DN649" s="388"/>
      <c r="DO649" s="388"/>
      <c r="DP649" s="389"/>
      <c r="DQ649" s="388" t="s">
        <v>963</v>
      </c>
      <c r="DR649" s="57" t="str">
        <f t="shared" si="18"/>
        <v/>
      </c>
      <c r="DS649" s="388" t="s">
        <v>964</v>
      </c>
      <c r="DU649" s="1" t="s">
        <v>280</v>
      </c>
      <c r="DV649" s="390"/>
      <c r="EA649" s="390"/>
      <c r="EB649" s="390"/>
      <c r="EC649" s="390"/>
      <c r="ED649" s="390"/>
    </row>
    <row r="650" spans="1:134" s="23" customFormat="1" ht="49.5" customHeight="1" x14ac:dyDescent="0.15">
      <c r="B650" s="378"/>
      <c r="C650" s="40"/>
      <c r="AB650" s="353">
        <v>66010002</v>
      </c>
      <c r="AC650" s="17" t="s">
        <v>819</v>
      </c>
      <c r="AD650" s="380" t="s">
        <v>330</v>
      </c>
      <c r="AE650" s="380" t="s">
        <v>820</v>
      </c>
      <c r="AF650" s="380" t="s">
        <v>314</v>
      </c>
      <c r="AG650" s="380"/>
      <c r="AH650" s="380"/>
      <c r="AI650" s="380"/>
      <c r="AJ650" s="380"/>
      <c r="AK650" s="380"/>
      <c r="AL650" s="382"/>
      <c r="AM650" s="382"/>
      <c r="AN650" s="382"/>
      <c r="AO650" s="382"/>
      <c r="AP650" s="382"/>
      <c r="AQ650" s="382"/>
      <c r="AR650" s="382"/>
      <c r="AU650" s="382"/>
      <c r="AV650" s="382"/>
      <c r="AW650" s="382"/>
      <c r="AX650" s="382"/>
      <c r="AY650" s="382"/>
      <c r="AZ650" s="382"/>
      <c r="BA650" s="383"/>
      <c r="BB650" s="384"/>
      <c r="BC650" s="384"/>
      <c r="BD650" s="384"/>
      <c r="BE650" s="384"/>
      <c r="BF650" s="384"/>
      <c r="BG650" s="384"/>
      <c r="BH650" s="384"/>
      <c r="BI650" s="384"/>
      <c r="BJ650" s="385"/>
      <c r="BK650" s="385"/>
      <c r="BL650" s="385"/>
      <c r="BM650" s="385"/>
      <c r="BN650" s="385"/>
      <c r="BO650" s="385"/>
      <c r="BP650" s="385"/>
      <c r="BQ650" s="385"/>
      <c r="BR650" s="385"/>
      <c r="BS650" s="385"/>
      <c r="BT650" s="385"/>
      <c r="BU650" s="385"/>
      <c r="BV650" s="385"/>
      <c r="BW650" s="385"/>
      <c r="BX650" s="385"/>
      <c r="BY650" s="385"/>
      <c r="BZ650" s="385"/>
      <c r="CA650" s="385"/>
      <c r="CB650" s="23" t="s">
        <v>1</v>
      </c>
      <c r="CC650" s="386" t="s">
        <v>464</v>
      </c>
      <c r="CD650" s="386">
        <v>999</v>
      </c>
      <c r="CE650" s="386" t="s">
        <v>675</v>
      </c>
      <c r="DJ650" s="22" t="b">
        <v>1</v>
      </c>
      <c r="DK650" s="388"/>
      <c r="DL650" s="388"/>
      <c r="DM650" s="388"/>
      <c r="DN650" s="388"/>
      <c r="DO650" s="388"/>
      <c r="DP650" s="389"/>
      <c r="DQ650" s="388"/>
      <c r="DR650" s="57" t="str">
        <f t="shared" si="18"/>
        <v/>
      </c>
      <c r="DS650" s="388"/>
      <c r="DU650" s="1" t="s">
        <v>280</v>
      </c>
      <c r="DV650" s="390"/>
      <c r="EA650" s="390"/>
      <c r="EB650" s="390"/>
      <c r="EC650" s="390"/>
      <c r="ED650" s="390"/>
    </row>
    <row r="651" spans="1:134" s="23" customFormat="1" x14ac:dyDescent="0.15">
      <c r="B651" s="378"/>
      <c r="C651" s="40"/>
      <c r="AB651" s="353">
        <v>66010003</v>
      </c>
      <c r="AC651" s="381" t="s">
        <v>965</v>
      </c>
      <c r="AD651" s="380" t="s">
        <v>330</v>
      </c>
      <c r="AE651" s="380" t="s">
        <v>811</v>
      </c>
      <c r="AF651" s="380" t="s">
        <v>314</v>
      </c>
      <c r="AG651" s="380"/>
      <c r="AH651" s="380"/>
      <c r="AI651" s="380"/>
      <c r="AJ651" s="380">
        <v>2</v>
      </c>
      <c r="AK651" s="380"/>
      <c r="AL651" s="382"/>
      <c r="AM651" s="382"/>
      <c r="AN651" s="382"/>
      <c r="AO651" s="382"/>
      <c r="AP651" s="382"/>
      <c r="AQ651" s="382"/>
      <c r="AR651" s="382"/>
      <c r="AU651" s="382"/>
      <c r="AV651" s="382"/>
      <c r="AW651" s="382"/>
      <c r="AX651" s="382"/>
      <c r="AY651" s="382"/>
      <c r="AZ651" s="382"/>
      <c r="BA651" s="383" t="s">
        <v>270</v>
      </c>
      <c r="BB651" s="384">
        <v>0.15</v>
      </c>
      <c r="BC651" s="384"/>
      <c r="BD651" s="384"/>
      <c r="BE651" s="384"/>
      <c r="BF651" s="384"/>
      <c r="BG651" s="384"/>
      <c r="BH651" s="384"/>
      <c r="BI651" s="384"/>
      <c r="BJ651" s="385"/>
      <c r="BK651" s="385"/>
      <c r="BL651" s="385"/>
      <c r="BM651" s="385"/>
      <c r="BN651" s="385"/>
      <c r="BO651" s="385"/>
      <c r="BP651" s="385"/>
      <c r="BQ651" s="385"/>
      <c r="BR651" s="385"/>
      <c r="BS651" s="385"/>
      <c r="BT651" s="385"/>
      <c r="BU651" s="385"/>
      <c r="BV651" s="385"/>
      <c r="BW651" s="385"/>
      <c r="BX651" s="385"/>
      <c r="BY651" s="385"/>
      <c r="BZ651" s="385"/>
      <c r="CA651" s="385"/>
      <c r="CB651" s="385"/>
      <c r="CC651" s="385"/>
      <c r="CD651" s="385"/>
      <c r="CE651" s="385"/>
      <c r="DJ651" s="22" t="b">
        <v>1</v>
      </c>
      <c r="DK651" s="388"/>
      <c r="DL651" s="388"/>
      <c r="DM651" s="388"/>
      <c r="DN651" s="388"/>
      <c r="DO651" s="388"/>
      <c r="DP651" s="389"/>
      <c r="DQ651" s="388"/>
      <c r="DR651" s="57" t="str">
        <f t="shared" si="18"/>
        <v/>
      </c>
      <c r="DS651" s="388"/>
      <c r="DU651" s="1" t="s">
        <v>280</v>
      </c>
      <c r="DV651" s="390"/>
      <c r="EA651" s="390"/>
      <c r="EB651" s="390"/>
      <c r="EC651" s="390"/>
      <c r="ED651" s="390"/>
    </row>
    <row r="652" spans="1:134" s="23" customFormat="1" x14ac:dyDescent="0.15">
      <c r="A652" s="23">
        <v>661120</v>
      </c>
      <c r="B652" s="378" t="s">
        <v>1010</v>
      </c>
      <c r="C652" s="40" t="s">
        <v>1011</v>
      </c>
      <c r="D652" s="23" t="s">
        <v>966</v>
      </c>
      <c r="E652" s="23">
        <v>660100</v>
      </c>
      <c r="H652" s="379">
        <v>1</v>
      </c>
      <c r="L652" s="23">
        <v>0</v>
      </c>
      <c r="Q652" s="23" t="s">
        <v>431</v>
      </c>
      <c r="W652" s="23" t="b">
        <v>1</v>
      </c>
      <c r="X652" s="23">
        <v>1</v>
      </c>
      <c r="Y652" s="23">
        <v>0</v>
      </c>
      <c r="Z652" s="23">
        <v>0</v>
      </c>
      <c r="AB652" s="353">
        <v>66110001</v>
      </c>
      <c r="AC652" s="17" t="s">
        <v>815</v>
      </c>
      <c r="AD652" s="17"/>
      <c r="AE652" s="380" t="s">
        <v>291</v>
      </c>
      <c r="AF652" s="22" t="s">
        <v>437</v>
      </c>
      <c r="AG652" s="380"/>
      <c r="AH652" s="380"/>
      <c r="AI652" s="380"/>
      <c r="AJ652" s="380">
        <v>-1</v>
      </c>
      <c r="AK652" s="380"/>
      <c r="AL652" s="382"/>
      <c r="AM652" s="382"/>
      <c r="AN652" s="382"/>
      <c r="AO652" s="382"/>
      <c r="AP652" s="382"/>
      <c r="AQ652" s="382"/>
      <c r="AR652" s="382"/>
      <c r="AU652" s="382"/>
      <c r="AV652" s="382"/>
      <c r="AW652" s="382"/>
      <c r="AX652" s="382"/>
      <c r="AY652" s="382"/>
      <c r="AZ652" s="382"/>
      <c r="BA652" s="383"/>
      <c r="BB652" s="384"/>
      <c r="BC652" s="384"/>
      <c r="BD652" s="384"/>
      <c r="BE652" s="384"/>
      <c r="BF652" s="384"/>
      <c r="BG652" s="384"/>
      <c r="BH652" s="384"/>
      <c r="BI652" s="384"/>
      <c r="BJ652" s="385"/>
      <c r="BK652" s="385"/>
      <c r="BL652" s="385"/>
      <c r="BM652" s="385"/>
      <c r="BN652" s="385"/>
      <c r="BO652" s="385"/>
      <c r="BP652" s="385"/>
      <c r="BQ652" s="385"/>
      <c r="BR652" s="385"/>
      <c r="BS652" s="385"/>
      <c r="BT652" s="385"/>
      <c r="BU652" s="385"/>
      <c r="BV652" s="385"/>
      <c r="BW652" s="385"/>
      <c r="BX652" s="385"/>
      <c r="BY652" s="385"/>
      <c r="BZ652" s="385"/>
      <c r="CA652" s="385"/>
      <c r="CB652" s="385"/>
      <c r="CC652" s="385"/>
      <c r="CD652" s="385"/>
      <c r="CE652" s="385"/>
      <c r="CX652" s="387" t="s">
        <v>273</v>
      </c>
      <c r="DD652" s="362" t="s">
        <v>274</v>
      </c>
      <c r="DE652" s="23" t="s">
        <v>967</v>
      </c>
      <c r="DJ652" s="22" t="b">
        <v>1</v>
      </c>
      <c r="DK652" s="388" t="s">
        <v>968</v>
      </c>
      <c r="DL652" s="388"/>
      <c r="DM652" s="388"/>
      <c r="DN652" s="388"/>
      <c r="DO652" s="388"/>
      <c r="DP652" s="389"/>
      <c r="DQ652" s="388" t="s">
        <v>968</v>
      </c>
      <c r="DR652" s="57" t="str">
        <f t="shared" si="18"/>
        <v/>
      </c>
      <c r="DS652" s="388" t="s">
        <v>969</v>
      </c>
      <c r="DU652" s="1" t="s">
        <v>280</v>
      </c>
      <c r="DV652" s="390"/>
      <c r="EA652" s="390"/>
      <c r="EB652" s="390"/>
      <c r="EC652" s="390"/>
      <c r="ED652" s="390"/>
    </row>
    <row r="653" spans="1:134" s="23" customFormat="1" ht="49.5" customHeight="1" x14ac:dyDescent="0.15">
      <c r="B653" s="378"/>
      <c r="C653" s="40"/>
      <c r="AB653" s="353">
        <v>66110002</v>
      </c>
      <c r="AC653" s="17" t="s">
        <v>819</v>
      </c>
      <c r="AD653" s="380" t="s">
        <v>330</v>
      </c>
      <c r="AE653" s="380" t="s">
        <v>820</v>
      </c>
      <c r="AF653" s="380" t="s">
        <v>314</v>
      </c>
      <c r="AG653" s="380"/>
      <c r="AH653" s="380"/>
      <c r="AI653" s="380"/>
      <c r="AJ653" s="380"/>
      <c r="AK653" s="380"/>
      <c r="AL653" s="382"/>
      <c r="AM653" s="382"/>
      <c r="AN653" s="382"/>
      <c r="AO653" s="382"/>
      <c r="AP653" s="382"/>
      <c r="AQ653" s="382"/>
      <c r="AR653" s="382"/>
      <c r="AU653" s="382"/>
      <c r="AV653" s="382"/>
      <c r="AW653" s="382"/>
      <c r="AX653" s="382"/>
      <c r="AY653" s="382"/>
      <c r="AZ653" s="382"/>
      <c r="BA653" s="383"/>
      <c r="BB653" s="384"/>
      <c r="BC653" s="384"/>
      <c r="BD653" s="384"/>
      <c r="BE653" s="384"/>
      <c r="BF653" s="384"/>
      <c r="BG653" s="384"/>
      <c r="BH653" s="384"/>
      <c r="BI653" s="384"/>
      <c r="BJ653" s="385"/>
      <c r="BK653" s="385"/>
      <c r="BL653" s="385"/>
      <c r="BM653" s="385"/>
      <c r="BN653" s="385"/>
      <c r="BO653" s="385"/>
      <c r="BP653" s="385"/>
      <c r="BQ653" s="385"/>
      <c r="BR653" s="385"/>
      <c r="BS653" s="385"/>
      <c r="BT653" s="385"/>
      <c r="BU653" s="385"/>
      <c r="BV653" s="385"/>
      <c r="BW653" s="385"/>
      <c r="BX653" s="385"/>
      <c r="BY653" s="385"/>
      <c r="BZ653" s="385"/>
      <c r="CA653" s="385"/>
      <c r="CB653" s="23" t="s">
        <v>1</v>
      </c>
      <c r="CC653" s="386" t="s">
        <v>464</v>
      </c>
      <c r="CD653" s="386">
        <v>999</v>
      </c>
      <c r="CE653" s="386" t="s">
        <v>675</v>
      </c>
      <c r="DJ653" s="22" t="b">
        <v>1</v>
      </c>
      <c r="DK653" s="388"/>
      <c r="DL653" s="388"/>
      <c r="DM653" s="388"/>
      <c r="DN653" s="388"/>
      <c r="DO653" s="388"/>
      <c r="DP653" s="389"/>
      <c r="DQ653" s="388"/>
      <c r="DR653" s="57" t="str">
        <f t="shared" si="18"/>
        <v/>
      </c>
      <c r="DS653" s="388"/>
      <c r="DU653" s="1" t="s">
        <v>280</v>
      </c>
      <c r="DV653" s="390"/>
      <c r="EA653" s="390"/>
      <c r="EB653" s="390"/>
      <c r="EC653" s="390"/>
      <c r="ED653" s="390"/>
    </row>
    <row r="654" spans="1:134" s="23" customFormat="1" x14ac:dyDescent="0.15">
      <c r="B654" s="378"/>
      <c r="C654" s="40"/>
      <c r="AB654" s="353">
        <v>66110003</v>
      </c>
      <c r="AC654" s="381" t="s">
        <v>970</v>
      </c>
      <c r="AD654" s="380" t="s">
        <v>330</v>
      </c>
      <c r="AE654" s="380" t="s">
        <v>811</v>
      </c>
      <c r="AF654" s="380" t="s">
        <v>314</v>
      </c>
      <c r="AG654" s="380"/>
      <c r="AH654" s="380"/>
      <c r="AI654" s="380"/>
      <c r="AJ654" s="380">
        <v>2</v>
      </c>
      <c r="AK654" s="380"/>
      <c r="AL654" s="382"/>
      <c r="AM654" s="382"/>
      <c r="AN654" s="382"/>
      <c r="AO654" s="382"/>
      <c r="AP654" s="382"/>
      <c r="AQ654" s="382"/>
      <c r="AR654" s="382"/>
      <c r="AU654" s="382"/>
      <c r="AV654" s="382"/>
      <c r="AW654" s="382"/>
      <c r="AX654" s="382"/>
      <c r="AY654" s="382"/>
      <c r="AZ654" s="382"/>
      <c r="BA654" s="383" t="s">
        <v>270</v>
      </c>
      <c r="BB654" s="384">
        <v>0.15</v>
      </c>
      <c r="BC654" s="384"/>
      <c r="BD654" s="384"/>
      <c r="BE654" s="384"/>
      <c r="BF654" s="384"/>
      <c r="BG654" s="384"/>
      <c r="BH654" s="384"/>
      <c r="BI654" s="384"/>
      <c r="BJ654" s="385"/>
      <c r="BK654" s="385"/>
      <c r="BL654" s="385"/>
      <c r="BM654" s="385"/>
      <c r="BN654" s="385"/>
      <c r="BO654" s="385"/>
      <c r="BP654" s="385"/>
      <c r="BQ654" s="385"/>
      <c r="BR654" s="385"/>
      <c r="BS654" s="385"/>
      <c r="BT654" s="385"/>
      <c r="BU654" s="385"/>
      <c r="BV654" s="385"/>
      <c r="BW654" s="385"/>
      <c r="BX654" s="385"/>
      <c r="BY654" s="385"/>
      <c r="BZ654" s="385"/>
      <c r="CA654" s="385"/>
      <c r="CB654" s="385"/>
      <c r="CC654" s="385"/>
      <c r="CD654" s="385"/>
      <c r="CE654" s="385"/>
      <c r="DJ654" s="22" t="b">
        <v>1</v>
      </c>
      <c r="DK654" s="388"/>
      <c r="DL654" s="388"/>
      <c r="DM654" s="388"/>
      <c r="DN654" s="388"/>
      <c r="DO654" s="388"/>
      <c r="DP654" s="389"/>
      <c r="DQ654" s="388"/>
      <c r="DR654" s="57" t="str">
        <f t="shared" si="18"/>
        <v/>
      </c>
      <c r="DS654" s="388"/>
      <c r="DU654" s="1" t="s">
        <v>280</v>
      </c>
      <c r="DV654" s="390"/>
      <c r="EA654" s="390"/>
      <c r="EB654" s="390"/>
      <c r="EC654" s="390"/>
      <c r="ED654" s="390"/>
    </row>
    <row r="655" spans="1:134" s="23" customFormat="1" x14ac:dyDescent="0.15">
      <c r="A655" s="23">
        <v>661130</v>
      </c>
      <c r="B655" s="378" t="s">
        <v>1010</v>
      </c>
      <c r="C655" s="40" t="s">
        <v>1011</v>
      </c>
      <c r="D655" s="23" t="s">
        <v>971</v>
      </c>
      <c r="E655" s="23">
        <v>660100</v>
      </c>
      <c r="H655" s="379">
        <v>1</v>
      </c>
      <c r="L655" s="23">
        <v>0</v>
      </c>
      <c r="Q655" s="23" t="s">
        <v>431</v>
      </c>
      <c r="W655" s="23" t="b">
        <v>1</v>
      </c>
      <c r="X655" s="23">
        <v>1</v>
      </c>
      <c r="Y655" s="23">
        <v>0</v>
      </c>
      <c r="Z655" s="23">
        <v>0</v>
      </c>
      <c r="AB655" s="353">
        <v>66060001</v>
      </c>
      <c r="AC655" s="17" t="s">
        <v>815</v>
      </c>
      <c r="AD655" s="17"/>
      <c r="AE655" s="380" t="s">
        <v>291</v>
      </c>
      <c r="AF655" s="22" t="s">
        <v>437</v>
      </c>
      <c r="AG655" s="380"/>
      <c r="AH655" s="380"/>
      <c r="AI655" s="380"/>
      <c r="AJ655" s="380">
        <v>-1</v>
      </c>
      <c r="AK655" s="380"/>
      <c r="AL655" s="382"/>
      <c r="AM655" s="382"/>
      <c r="AN655" s="382"/>
      <c r="AO655" s="382"/>
      <c r="AP655" s="382"/>
      <c r="AQ655" s="382"/>
      <c r="AR655" s="382"/>
      <c r="AU655" s="382"/>
      <c r="AV655" s="382"/>
      <c r="AW655" s="382"/>
      <c r="AX655" s="382"/>
      <c r="AY655" s="382"/>
      <c r="AZ655" s="382"/>
      <c r="BA655" s="383"/>
      <c r="BB655" s="384"/>
      <c r="BC655" s="384"/>
      <c r="BD655" s="384"/>
      <c r="BE655" s="384"/>
      <c r="BF655" s="384"/>
      <c r="BG655" s="384"/>
      <c r="BH655" s="384"/>
      <c r="BI655" s="384"/>
      <c r="BJ655" s="385"/>
      <c r="BK655" s="385"/>
      <c r="BL655" s="385"/>
      <c r="BM655" s="385"/>
      <c r="BN655" s="385"/>
      <c r="BO655" s="385"/>
      <c r="BP655" s="385"/>
      <c r="BQ655" s="385"/>
      <c r="BR655" s="385"/>
      <c r="BS655" s="385"/>
      <c r="BT655" s="385"/>
      <c r="BU655" s="385"/>
      <c r="BV655" s="385"/>
      <c r="BW655" s="385"/>
      <c r="BX655" s="385"/>
      <c r="BY655" s="385"/>
      <c r="BZ655" s="385"/>
      <c r="CA655" s="385"/>
      <c r="CB655" s="385"/>
      <c r="CC655" s="385"/>
      <c r="CD655" s="385"/>
      <c r="CE655" s="385"/>
      <c r="CX655" s="387" t="s">
        <v>273</v>
      </c>
      <c r="DD655" s="362" t="s">
        <v>274</v>
      </c>
      <c r="DE655" s="23" t="s">
        <v>972</v>
      </c>
      <c r="DJ655" s="22" t="b">
        <v>1</v>
      </c>
      <c r="DK655" s="388" t="s">
        <v>973</v>
      </c>
      <c r="DL655" s="388"/>
      <c r="DM655" s="388"/>
      <c r="DN655" s="388"/>
      <c r="DO655" s="388"/>
      <c r="DP655" s="389"/>
      <c r="DQ655" s="388" t="s">
        <v>973</v>
      </c>
      <c r="DR655" s="57" t="str">
        <f t="shared" si="18"/>
        <v/>
      </c>
      <c r="DS655" s="388" t="s">
        <v>974</v>
      </c>
      <c r="DU655" s="1" t="s">
        <v>280</v>
      </c>
      <c r="DV655" s="390"/>
      <c r="EA655" s="390"/>
      <c r="EB655" s="390"/>
      <c r="EC655" s="390"/>
      <c r="ED655" s="390"/>
    </row>
    <row r="656" spans="1:134" s="23" customFormat="1" ht="49.5" customHeight="1" x14ac:dyDescent="0.15">
      <c r="B656" s="378"/>
      <c r="C656" s="40"/>
      <c r="AB656" s="353">
        <v>66060002</v>
      </c>
      <c r="AC656" s="17" t="s">
        <v>819</v>
      </c>
      <c r="AD656" s="380" t="s">
        <v>330</v>
      </c>
      <c r="AE656" s="380" t="s">
        <v>820</v>
      </c>
      <c r="AF656" s="380" t="s">
        <v>314</v>
      </c>
      <c r="AG656" s="380"/>
      <c r="AH656" s="380"/>
      <c r="AI656" s="380"/>
      <c r="AJ656" s="380"/>
      <c r="AK656" s="380"/>
      <c r="AL656" s="382"/>
      <c r="AM656" s="382"/>
      <c r="AN656" s="382"/>
      <c r="AO656" s="382"/>
      <c r="AP656" s="382"/>
      <c r="AQ656" s="382"/>
      <c r="AR656" s="382"/>
      <c r="AU656" s="382"/>
      <c r="AV656" s="382"/>
      <c r="AW656" s="382"/>
      <c r="AX656" s="382"/>
      <c r="AY656" s="382"/>
      <c r="AZ656" s="382"/>
      <c r="BA656" s="383"/>
      <c r="BB656" s="384"/>
      <c r="BC656" s="384"/>
      <c r="BD656" s="384"/>
      <c r="BE656" s="384"/>
      <c r="BF656" s="384"/>
      <c r="BG656" s="384"/>
      <c r="BH656" s="384"/>
      <c r="BI656" s="384"/>
      <c r="BJ656" s="385"/>
      <c r="BK656" s="385"/>
      <c r="BL656" s="385"/>
      <c r="BM656" s="385"/>
      <c r="BN656" s="385"/>
      <c r="BO656" s="385"/>
      <c r="BP656" s="385"/>
      <c r="BQ656" s="385"/>
      <c r="BR656" s="385"/>
      <c r="BS656" s="385"/>
      <c r="BT656" s="385"/>
      <c r="BU656" s="385"/>
      <c r="BV656" s="385"/>
      <c r="BW656" s="385"/>
      <c r="BX656" s="385"/>
      <c r="BY656" s="385"/>
      <c r="BZ656" s="385"/>
      <c r="CA656" s="385"/>
      <c r="CB656" s="23" t="s">
        <v>1</v>
      </c>
      <c r="CC656" s="386" t="s">
        <v>464</v>
      </c>
      <c r="CD656" s="386">
        <v>999</v>
      </c>
      <c r="CE656" s="386" t="s">
        <v>675</v>
      </c>
      <c r="DJ656" s="22" t="b">
        <v>1</v>
      </c>
      <c r="DK656" s="388"/>
      <c r="DL656" s="388"/>
      <c r="DM656" s="388"/>
      <c r="DN656" s="388"/>
      <c r="DO656" s="388"/>
      <c r="DP656" s="389"/>
      <c r="DQ656" s="388"/>
      <c r="DR656" s="57" t="str">
        <f t="shared" si="18"/>
        <v/>
      </c>
      <c r="DS656" s="388"/>
      <c r="DU656" s="1" t="s">
        <v>280</v>
      </c>
      <c r="DV656" s="390"/>
      <c r="EA656" s="390"/>
      <c r="EB656" s="390"/>
      <c r="EC656" s="390"/>
      <c r="ED656" s="390"/>
    </row>
    <row r="657" spans="1:134" s="23" customFormat="1" x14ac:dyDescent="0.15">
      <c r="B657" s="378"/>
      <c r="C657" s="40"/>
      <c r="AB657" s="353">
        <v>66060003</v>
      </c>
      <c r="AC657" s="381" t="s">
        <v>975</v>
      </c>
      <c r="AD657" s="380" t="s">
        <v>330</v>
      </c>
      <c r="AE657" s="380" t="s">
        <v>811</v>
      </c>
      <c r="AF657" s="380" t="s">
        <v>314</v>
      </c>
      <c r="AG657" s="380"/>
      <c r="AH657" s="380"/>
      <c r="AI657" s="380"/>
      <c r="AJ657" s="380">
        <v>2</v>
      </c>
      <c r="AK657" s="380"/>
      <c r="AL657" s="382"/>
      <c r="AM657" s="382"/>
      <c r="AN657" s="382"/>
      <c r="AO657" s="382"/>
      <c r="AP657" s="382"/>
      <c r="AQ657" s="382"/>
      <c r="AR657" s="382"/>
      <c r="AU657" s="382"/>
      <c r="AV657" s="382"/>
      <c r="AW657" s="382"/>
      <c r="AX657" s="382"/>
      <c r="AY657" s="382"/>
      <c r="AZ657" s="382"/>
      <c r="BA657" s="383" t="s">
        <v>270</v>
      </c>
      <c r="BB657" s="384">
        <v>0.15</v>
      </c>
      <c r="BC657" s="384"/>
      <c r="BD657" s="384"/>
      <c r="BE657" s="384"/>
      <c r="BF657" s="384"/>
      <c r="BG657" s="384"/>
      <c r="BH657" s="384"/>
      <c r="BI657" s="384"/>
      <c r="BJ657" s="385"/>
      <c r="BK657" s="385"/>
      <c r="BL657" s="385"/>
      <c r="BM657" s="385"/>
      <c r="BN657" s="385"/>
      <c r="BO657" s="385"/>
      <c r="BP657" s="385"/>
      <c r="BQ657" s="385"/>
      <c r="BR657" s="385"/>
      <c r="BS657" s="385"/>
      <c r="BT657" s="385"/>
      <c r="BU657" s="385"/>
      <c r="BV657" s="385"/>
      <c r="BW657" s="385"/>
      <c r="BX657" s="385"/>
      <c r="BY657" s="385"/>
      <c r="BZ657" s="385"/>
      <c r="CA657" s="385"/>
      <c r="CB657" s="385"/>
      <c r="CC657" s="385"/>
      <c r="CD657" s="385"/>
      <c r="CE657" s="385"/>
      <c r="DJ657" s="22" t="b">
        <v>1</v>
      </c>
      <c r="DK657" s="388"/>
      <c r="DL657" s="388"/>
      <c r="DM657" s="388"/>
      <c r="DN657" s="388"/>
      <c r="DO657" s="388"/>
      <c r="DP657" s="389"/>
      <c r="DQ657" s="388"/>
      <c r="DR657" s="57" t="str">
        <f t="shared" si="18"/>
        <v/>
      </c>
      <c r="DS657" s="388"/>
      <c r="DU657" s="1" t="s">
        <v>280</v>
      </c>
      <c r="DV657" s="390"/>
      <c r="EA657" s="390"/>
      <c r="EB657" s="390"/>
      <c r="EC657" s="390"/>
      <c r="ED657" s="390"/>
    </row>
    <row r="658" spans="1:134" s="23" customFormat="1" x14ac:dyDescent="0.15">
      <c r="A658" s="23">
        <v>661200</v>
      </c>
      <c r="B658" s="378" t="s">
        <v>1012</v>
      </c>
      <c r="C658" s="40" t="s">
        <v>1013</v>
      </c>
      <c r="D658" s="23" t="s">
        <v>956</v>
      </c>
      <c r="E658" s="23">
        <v>660200</v>
      </c>
      <c r="H658" s="379">
        <v>1</v>
      </c>
      <c r="L658" s="23">
        <v>0</v>
      </c>
      <c r="Q658" s="23" t="s">
        <v>431</v>
      </c>
      <c r="W658" s="23" t="b">
        <v>1</v>
      </c>
      <c r="X658" s="23">
        <v>1</v>
      </c>
      <c r="Y658" s="23">
        <v>0</v>
      </c>
      <c r="Z658" s="23">
        <v>0</v>
      </c>
      <c r="AB658" s="353">
        <v>66100001</v>
      </c>
      <c r="AC658" s="17" t="s">
        <v>815</v>
      </c>
      <c r="AD658" s="17"/>
      <c r="AE658" s="380" t="s">
        <v>291</v>
      </c>
      <c r="AF658" s="22" t="s">
        <v>437</v>
      </c>
      <c r="AG658" s="380"/>
      <c r="AH658" s="380"/>
      <c r="AI658" s="380"/>
      <c r="AJ658" s="380">
        <v>-1</v>
      </c>
      <c r="AK658" s="380"/>
      <c r="AL658" s="382"/>
      <c r="AM658" s="382"/>
      <c r="AN658" s="382"/>
      <c r="AO658" s="382"/>
      <c r="AP658" s="382"/>
      <c r="AQ658" s="382"/>
      <c r="AR658" s="382"/>
      <c r="AU658" s="382"/>
      <c r="AV658" s="382"/>
      <c r="AW658" s="382"/>
      <c r="AX658" s="382"/>
      <c r="AY658" s="382"/>
      <c r="AZ658" s="382"/>
      <c r="BA658" s="383"/>
      <c r="BB658" s="384"/>
      <c r="BC658" s="384"/>
      <c r="BD658" s="384"/>
      <c r="BE658" s="384"/>
      <c r="BF658" s="384"/>
      <c r="BG658" s="384"/>
      <c r="BH658" s="384"/>
      <c r="BI658" s="384"/>
      <c r="BJ658" s="385"/>
      <c r="BK658" s="385"/>
      <c r="BL658" s="385"/>
      <c r="BM658" s="385"/>
      <c r="BN658" s="385"/>
      <c r="BO658" s="385"/>
      <c r="BP658" s="385"/>
      <c r="BQ658" s="385"/>
      <c r="BR658" s="385"/>
      <c r="BS658" s="385"/>
      <c r="BT658" s="385"/>
      <c r="BU658" s="385"/>
      <c r="BV658" s="385"/>
      <c r="BW658" s="385"/>
      <c r="BX658" s="385"/>
      <c r="BY658" s="385"/>
      <c r="BZ658" s="385"/>
      <c r="CA658" s="385"/>
      <c r="CB658" s="385"/>
      <c r="CC658" s="385"/>
      <c r="CD658" s="385"/>
      <c r="CE658" s="385"/>
      <c r="CX658" s="387" t="s">
        <v>273</v>
      </c>
      <c r="DD658" s="362" t="s">
        <v>274</v>
      </c>
      <c r="DE658" s="23" t="s">
        <v>978</v>
      </c>
      <c r="DJ658" s="22" t="b">
        <v>1</v>
      </c>
      <c r="DK658" s="388" t="s">
        <v>979</v>
      </c>
      <c r="DL658" s="388"/>
      <c r="DM658" s="388"/>
      <c r="DN658" s="388"/>
      <c r="DO658" s="388"/>
      <c r="DP658" s="389"/>
      <c r="DQ658" s="388" t="s">
        <v>979</v>
      </c>
      <c r="DR658" s="57" t="str">
        <f t="shared" si="18"/>
        <v/>
      </c>
      <c r="DS658" s="388" t="s">
        <v>980</v>
      </c>
      <c r="DU658" s="1" t="s">
        <v>280</v>
      </c>
      <c r="DV658" s="390"/>
      <c r="EA658" s="390"/>
      <c r="EB658" s="390"/>
      <c r="EC658" s="390"/>
      <c r="ED658" s="390"/>
    </row>
    <row r="659" spans="1:134" s="23" customFormat="1" ht="49.5" customHeight="1" x14ac:dyDescent="0.15">
      <c r="B659" s="378"/>
      <c r="C659" s="40"/>
      <c r="AB659" s="353">
        <v>66100002</v>
      </c>
      <c r="AC659" s="17" t="s">
        <v>819</v>
      </c>
      <c r="AD659" s="380" t="s">
        <v>330</v>
      </c>
      <c r="AE659" s="380" t="s">
        <v>820</v>
      </c>
      <c r="AF659" s="380" t="s">
        <v>314</v>
      </c>
      <c r="AG659" s="380"/>
      <c r="AH659" s="380"/>
      <c r="AI659" s="380"/>
      <c r="AJ659" s="380"/>
      <c r="AK659" s="380"/>
      <c r="AL659" s="382"/>
      <c r="AM659" s="382"/>
      <c r="AN659" s="382"/>
      <c r="AO659" s="382"/>
      <c r="AP659" s="382"/>
      <c r="AQ659" s="382"/>
      <c r="AR659" s="382"/>
      <c r="AU659" s="382"/>
      <c r="AV659" s="382"/>
      <c r="AW659" s="382"/>
      <c r="AX659" s="382"/>
      <c r="AY659" s="382"/>
      <c r="AZ659" s="382"/>
      <c r="BA659" s="383"/>
      <c r="BB659" s="384"/>
      <c r="BC659" s="384"/>
      <c r="BD659" s="384"/>
      <c r="BE659" s="384"/>
      <c r="BF659" s="384"/>
      <c r="BG659" s="384"/>
      <c r="BH659" s="384"/>
      <c r="BI659" s="384"/>
      <c r="BJ659" s="385"/>
      <c r="BK659" s="385"/>
      <c r="BL659" s="385"/>
      <c r="BM659" s="385"/>
      <c r="BN659" s="385"/>
      <c r="BO659" s="385"/>
      <c r="BP659" s="385"/>
      <c r="BQ659" s="385"/>
      <c r="BR659" s="385"/>
      <c r="BS659" s="385"/>
      <c r="BT659" s="385"/>
      <c r="BU659" s="385"/>
      <c r="BV659" s="385"/>
      <c r="BW659" s="385"/>
      <c r="BX659" s="385"/>
      <c r="BY659" s="385"/>
      <c r="BZ659" s="385"/>
      <c r="CA659" s="385"/>
      <c r="CB659" s="23" t="s">
        <v>1</v>
      </c>
      <c r="CC659" s="386" t="s">
        <v>464</v>
      </c>
      <c r="CD659" s="386">
        <v>999</v>
      </c>
      <c r="CE659" s="386" t="s">
        <v>675</v>
      </c>
      <c r="DJ659" s="22" t="b">
        <v>1</v>
      </c>
      <c r="DK659" s="388"/>
      <c r="DL659" s="388"/>
      <c r="DM659" s="388"/>
      <c r="DN659" s="388"/>
      <c r="DO659" s="388"/>
      <c r="DP659" s="389"/>
      <c r="DQ659" s="388"/>
      <c r="DR659" s="57" t="str">
        <f t="shared" si="18"/>
        <v/>
      </c>
      <c r="DS659" s="388"/>
      <c r="DU659" s="1" t="s">
        <v>280</v>
      </c>
      <c r="DV659" s="390"/>
      <c r="EA659" s="390"/>
      <c r="EB659" s="390"/>
      <c r="EC659" s="390"/>
      <c r="ED659" s="390"/>
    </row>
    <row r="660" spans="1:134" s="23" customFormat="1" x14ac:dyDescent="0.15">
      <c r="B660" s="378"/>
      <c r="C660" s="40"/>
      <c r="AB660" s="353">
        <v>66100003</v>
      </c>
      <c r="AC660" s="135" t="s">
        <v>981</v>
      </c>
      <c r="AD660" s="380" t="s">
        <v>330</v>
      </c>
      <c r="AE660" s="380" t="s">
        <v>811</v>
      </c>
      <c r="AF660" s="380" t="s">
        <v>314</v>
      </c>
      <c r="AG660" s="380"/>
      <c r="AH660" s="380"/>
      <c r="AI660" s="380"/>
      <c r="AJ660" s="380">
        <v>2</v>
      </c>
      <c r="AK660" s="380"/>
      <c r="AL660" s="382"/>
      <c r="AM660" s="382"/>
      <c r="AN660" s="382"/>
      <c r="AO660" s="382"/>
      <c r="AP660" s="382"/>
      <c r="AQ660" s="382"/>
      <c r="AR660" s="382"/>
      <c r="AU660" s="382"/>
      <c r="AV660" s="382"/>
      <c r="AW660" s="382"/>
      <c r="AX660" s="382"/>
      <c r="AY660" s="382"/>
      <c r="AZ660" s="382"/>
      <c r="BA660" s="383" t="s">
        <v>270</v>
      </c>
      <c r="BB660" s="384">
        <v>0.15</v>
      </c>
      <c r="BC660" s="384"/>
      <c r="BD660" s="384"/>
      <c r="BE660" s="384"/>
      <c r="BF660" s="384"/>
      <c r="BG660" s="384"/>
      <c r="BH660" s="384"/>
      <c r="BI660" s="384"/>
      <c r="BJ660" s="385"/>
      <c r="BK660" s="385"/>
      <c r="BL660" s="385"/>
      <c r="BM660" s="385"/>
      <c r="BN660" s="385"/>
      <c r="BO660" s="385"/>
      <c r="BP660" s="385"/>
      <c r="BQ660" s="385"/>
      <c r="BR660" s="385"/>
      <c r="BS660" s="385"/>
      <c r="BT660" s="385"/>
      <c r="BU660" s="385"/>
      <c r="BV660" s="385"/>
      <c r="BW660" s="385"/>
      <c r="BX660" s="385"/>
      <c r="BY660" s="385"/>
      <c r="BZ660" s="385"/>
      <c r="CA660" s="385"/>
      <c r="CB660" s="385"/>
      <c r="CC660" s="385"/>
      <c r="CD660" s="385"/>
      <c r="CE660" s="385"/>
      <c r="DJ660" s="22" t="b">
        <v>1</v>
      </c>
      <c r="DK660" s="388"/>
      <c r="DL660" s="388"/>
      <c r="DM660" s="388"/>
      <c r="DN660" s="388"/>
      <c r="DO660" s="388"/>
      <c r="DP660" s="389"/>
      <c r="DQ660" s="388"/>
      <c r="DR660" s="57" t="str">
        <f t="shared" si="18"/>
        <v/>
      </c>
      <c r="DS660" s="388"/>
      <c r="DU660" s="1" t="s">
        <v>280</v>
      </c>
      <c r="DV660" s="390"/>
      <c r="EA660" s="390"/>
      <c r="EB660" s="390"/>
      <c r="EC660" s="390"/>
      <c r="ED660" s="390"/>
    </row>
    <row r="661" spans="1:134" s="23" customFormat="1" x14ac:dyDescent="0.15">
      <c r="A661" s="23">
        <v>661210</v>
      </c>
      <c r="B661" s="378" t="s">
        <v>1012</v>
      </c>
      <c r="C661" s="40" t="s">
        <v>1013</v>
      </c>
      <c r="D661" s="23" t="s">
        <v>961</v>
      </c>
      <c r="E661" s="23">
        <v>660200</v>
      </c>
      <c r="H661" s="379">
        <v>1</v>
      </c>
      <c r="L661" s="23">
        <v>0</v>
      </c>
      <c r="Q661" s="23" t="s">
        <v>431</v>
      </c>
      <c r="W661" s="23" t="b">
        <v>1</v>
      </c>
      <c r="X661" s="23">
        <v>1</v>
      </c>
      <c r="Y661" s="23">
        <v>0</v>
      </c>
      <c r="Z661" s="23">
        <v>0</v>
      </c>
      <c r="AB661" s="353">
        <v>66120001</v>
      </c>
      <c r="AC661" s="17" t="s">
        <v>815</v>
      </c>
      <c r="AD661" s="17"/>
      <c r="AE661" s="380" t="s">
        <v>291</v>
      </c>
      <c r="AF661" s="22" t="s">
        <v>437</v>
      </c>
      <c r="AG661" s="380"/>
      <c r="AH661" s="380"/>
      <c r="AI661" s="380"/>
      <c r="AJ661" s="380">
        <v>-1</v>
      </c>
      <c r="AK661" s="380"/>
      <c r="AL661" s="382"/>
      <c r="AM661" s="382"/>
      <c r="AN661" s="382"/>
      <c r="AO661" s="382"/>
      <c r="AP661" s="382"/>
      <c r="AQ661" s="382"/>
      <c r="AR661" s="382"/>
      <c r="AU661" s="382"/>
      <c r="AV661" s="382"/>
      <c r="AW661" s="382"/>
      <c r="AX661" s="382"/>
      <c r="AY661" s="382"/>
      <c r="AZ661" s="382"/>
      <c r="BA661" s="383"/>
      <c r="BB661" s="384"/>
      <c r="BC661" s="384"/>
      <c r="BD661" s="384"/>
      <c r="BE661" s="384"/>
      <c r="BF661" s="384"/>
      <c r="BG661" s="384"/>
      <c r="BH661" s="384"/>
      <c r="BI661" s="384"/>
      <c r="BJ661" s="385"/>
      <c r="BK661" s="385"/>
      <c r="BL661" s="385"/>
      <c r="BM661" s="385"/>
      <c r="BN661" s="385"/>
      <c r="BO661" s="385"/>
      <c r="BP661" s="385"/>
      <c r="BQ661" s="385"/>
      <c r="BR661" s="385"/>
      <c r="BS661" s="385"/>
      <c r="BT661" s="385"/>
      <c r="BU661" s="385"/>
      <c r="BV661" s="385"/>
      <c r="BW661" s="385"/>
      <c r="BX661" s="385"/>
      <c r="BY661" s="385"/>
      <c r="BZ661" s="385"/>
      <c r="CA661" s="385"/>
      <c r="CB661" s="385"/>
      <c r="CC661" s="385"/>
      <c r="CD661" s="385"/>
      <c r="CE661" s="385"/>
      <c r="CX661" s="387" t="s">
        <v>273</v>
      </c>
      <c r="DD661" s="362" t="s">
        <v>274</v>
      </c>
      <c r="DE661" s="23" t="s">
        <v>982</v>
      </c>
      <c r="DJ661" s="22" t="b">
        <v>1</v>
      </c>
      <c r="DK661" s="388" t="s">
        <v>983</v>
      </c>
      <c r="DL661" s="388"/>
      <c r="DM661" s="388"/>
      <c r="DN661" s="388"/>
      <c r="DO661" s="388"/>
      <c r="DP661" s="389"/>
      <c r="DQ661" s="388" t="s">
        <v>983</v>
      </c>
      <c r="DR661" s="57" t="str">
        <f t="shared" si="18"/>
        <v/>
      </c>
      <c r="DS661" s="388" t="s">
        <v>984</v>
      </c>
      <c r="DU661" s="1" t="s">
        <v>280</v>
      </c>
      <c r="DV661" s="390"/>
      <c r="EA661" s="390"/>
      <c r="EB661" s="390"/>
      <c r="EC661" s="390"/>
      <c r="ED661" s="390"/>
    </row>
    <row r="662" spans="1:134" s="23" customFormat="1" ht="49.5" customHeight="1" x14ac:dyDescent="0.15">
      <c r="B662" s="378"/>
      <c r="C662" s="40"/>
      <c r="AB662" s="353">
        <v>66120002</v>
      </c>
      <c r="AC662" s="17" t="s">
        <v>819</v>
      </c>
      <c r="AD662" s="380" t="s">
        <v>330</v>
      </c>
      <c r="AE662" s="380" t="s">
        <v>820</v>
      </c>
      <c r="AF662" s="380" t="s">
        <v>314</v>
      </c>
      <c r="AG662" s="380"/>
      <c r="AH662" s="380"/>
      <c r="AI662" s="380"/>
      <c r="AJ662" s="380"/>
      <c r="AK662" s="380"/>
      <c r="AL662" s="382"/>
      <c r="AM662" s="382"/>
      <c r="AN662" s="382"/>
      <c r="AO662" s="382"/>
      <c r="AP662" s="382"/>
      <c r="AQ662" s="382"/>
      <c r="AR662" s="382"/>
      <c r="AU662" s="382"/>
      <c r="AV662" s="382"/>
      <c r="AW662" s="382"/>
      <c r="AX662" s="382"/>
      <c r="AY662" s="382"/>
      <c r="AZ662" s="382"/>
      <c r="BA662" s="383"/>
      <c r="BB662" s="384"/>
      <c r="BC662" s="384"/>
      <c r="BD662" s="384"/>
      <c r="BE662" s="384"/>
      <c r="BF662" s="384"/>
      <c r="BG662" s="384"/>
      <c r="BH662" s="384"/>
      <c r="BI662" s="384"/>
      <c r="BJ662" s="385"/>
      <c r="BK662" s="385"/>
      <c r="BL662" s="385"/>
      <c r="BM662" s="385"/>
      <c r="BN662" s="385"/>
      <c r="BO662" s="385"/>
      <c r="BP662" s="385"/>
      <c r="BQ662" s="385"/>
      <c r="BR662" s="385"/>
      <c r="BS662" s="385"/>
      <c r="BT662" s="385"/>
      <c r="BU662" s="385"/>
      <c r="BV662" s="385"/>
      <c r="BW662" s="385"/>
      <c r="BX662" s="385"/>
      <c r="BY662" s="385"/>
      <c r="BZ662" s="385"/>
      <c r="CA662" s="385"/>
      <c r="CB662" s="23" t="s">
        <v>1</v>
      </c>
      <c r="CC662" s="386" t="s">
        <v>464</v>
      </c>
      <c r="CD662" s="386">
        <v>999</v>
      </c>
      <c r="CE662" s="386" t="s">
        <v>675</v>
      </c>
      <c r="DJ662" s="22" t="b">
        <v>1</v>
      </c>
      <c r="DK662" s="388"/>
      <c r="DL662" s="388"/>
      <c r="DM662" s="388"/>
      <c r="DN662" s="388"/>
      <c r="DO662" s="388"/>
      <c r="DP662" s="389"/>
      <c r="DQ662" s="388"/>
      <c r="DR662" s="57" t="str">
        <f t="shared" si="18"/>
        <v/>
      </c>
      <c r="DS662" s="388"/>
      <c r="DU662" s="1" t="s">
        <v>280</v>
      </c>
      <c r="DV662" s="390"/>
      <c r="EA662" s="390"/>
      <c r="EB662" s="390"/>
      <c r="EC662" s="390"/>
      <c r="ED662" s="390"/>
    </row>
    <row r="663" spans="1:134" s="23" customFormat="1" x14ac:dyDescent="0.15">
      <c r="B663" s="378"/>
      <c r="C663" s="40"/>
      <c r="AB663" s="353">
        <v>66120003</v>
      </c>
      <c r="AC663" s="135" t="s">
        <v>985</v>
      </c>
      <c r="AD663" s="380" t="s">
        <v>330</v>
      </c>
      <c r="AE663" s="380" t="s">
        <v>811</v>
      </c>
      <c r="AF663" s="380" t="s">
        <v>314</v>
      </c>
      <c r="AG663" s="380"/>
      <c r="AH663" s="380"/>
      <c r="AI663" s="380"/>
      <c r="AJ663" s="380">
        <v>2</v>
      </c>
      <c r="AK663" s="380"/>
      <c r="AL663" s="382"/>
      <c r="AM663" s="382"/>
      <c r="AN663" s="382"/>
      <c r="AO663" s="382"/>
      <c r="AP663" s="382"/>
      <c r="AQ663" s="382"/>
      <c r="AR663" s="382"/>
      <c r="AU663" s="382"/>
      <c r="AV663" s="382"/>
      <c r="AW663" s="382"/>
      <c r="AX663" s="382"/>
      <c r="AY663" s="382"/>
      <c r="AZ663" s="382"/>
      <c r="BA663" s="383" t="s">
        <v>270</v>
      </c>
      <c r="BB663" s="384">
        <v>0.15</v>
      </c>
      <c r="BC663" s="384"/>
      <c r="BD663" s="384"/>
      <c r="BE663" s="384"/>
      <c r="BF663" s="384"/>
      <c r="BG663" s="384"/>
      <c r="BH663" s="384"/>
      <c r="BI663" s="384"/>
      <c r="BJ663" s="385"/>
      <c r="BK663" s="385"/>
      <c r="BL663" s="385"/>
      <c r="BM663" s="385"/>
      <c r="BN663" s="385"/>
      <c r="BO663" s="385"/>
      <c r="BP663" s="385"/>
      <c r="BQ663" s="385"/>
      <c r="BR663" s="385"/>
      <c r="BS663" s="385"/>
      <c r="BT663" s="385"/>
      <c r="BU663" s="385"/>
      <c r="BV663" s="385"/>
      <c r="BW663" s="385"/>
      <c r="BX663" s="385"/>
      <c r="BY663" s="385"/>
      <c r="BZ663" s="385"/>
      <c r="CA663" s="385"/>
      <c r="CB663" s="385"/>
      <c r="CC663" s="385"/>
      <c r="CD663" s="385"/>
      <c r="CE663" s="385"/>
      <c r="DJ663" s="22" t="b">
        <v>1</v>
      </c>
      <c r="DK663" s="388"/>
      <c r="DL663" s="388"/>
      <c r="DM663" s="388"/>
      <c r="DN663" s="388"/>
      <c r="DO663" s="388"/>
      <c r="DP663" s="389"/>
      <c r="DQ663" s="388"/>
      <c r="DR663" s="57" t="str">
        <f t="shared" si="18"/>
        <v/>
      </c>
      <c r="DS663" s="388"/>
      <c r="DU663" s="1" t="s">
        <v>280</v>
      </c>
      <c r="DV663" s="390"/>
      <c r="EA663" s="390"/>
      <c r="EB663" s="390"/>
      <c r="EC663" s="390"/>
      <c r="ED663" s="390"/>
    </row>
    <row r="664" spans="1:134" s="23" customFormat="1" x14ac:dyDescent="0.15">
      <c r="A664" s="23">
        <v>661220</v>
      </c>
      <c r="B664" s="378" t="s">
        <v>1012</v>
      </c>
      <c r="C664" s="40" t="s">
        <v>1013</v>
      </c>
      <c r="D664" s="23" t="s">
        <v>966</v>
      </c>
      <c r="E664" s="23">
        <v>660200</v>
      </c>
      <c r="H664" s="379">
        <v>1</v>
      </c>
      <c r="L664" s="23">
        <v>0</v>
      </c>
      <c r="Q664" s="23" t="s">
        <v>431</v>
      </c>
      <c r="W664" s="23" t="b">
        <v>1</v>
      </c>
      <c r="X664" s="23">
        <v>1</v>
      </c>
      <c r="Y664" s="23">
        <v>0</v>
      </c>
      <c r="Z664" s="23">
        <v>0</v>
      </c>
      <c r="AB664" s="353">
        <v>66040001</v>
      </c>
      <c r="AC664" s="17" t="s">
        <v>815</v>
      </c>
      <c r="AD664" s="17"/>
      <c r="AE664" s="380" t="s">
        <v>291</v>
      </c>
      <c r="AF664" s="22" t="s">
        <v>437</v>
      </c>
      <c r="AG664" s="380"/>
      <c r="AH664" s="380"/>
      <c r="AI664" s="380"/>
      <c r="AJ664" s="380">
        <v>-1</v>
      </c>
      <c r="AK664" s="380"/>
      <c r="AL664" s="382"/>
      <c r="AM664" s="382"/>
      <c r="AN664" s="382"/>
      <c r="AO664" s="382"/>
      <c r="AP664" s="382"/>
      <c r="AQ664" s="382"/>
      <c r="AR664" s="382"/>
      <c r="AU664" s="382"/>
      <c r="AV664" s="382"/>
      <c r="AW664" s="382"/>
      <c r="AX664" s="382"/>
      <c r="AY664" s="382"/>
      <c r="AZ664" s="382"/>
      <c r="BA664" s="383"/>
      <c r="BB664" s="384"/>
      <c r="BC664" s="384"/>
      <c r="BD664" s="384"/>
      <c r="BE664" s="384"/>
      <c r="BF664" s="384"/>
      <c r="BG664" s="384"/>
      <c r="BH664" s="384"/>
      <c r="BI664" s="384"/>
      <c r="BJ664" s="385"/>
      <c r="BK664" s="385"/>
      <c r="BL664" s="385"/>
      <c r="BM664" s="385"/>
      <c r="BN664" s="385"/>
      <c r="BO664" s="385"/>
      <c r="BP664" s="385"/>
      <c r="BQ664" s="385"/>
      <c r="BR664" s="385"/>
      <c r="BS664" s="385"/>
      <c r="BT664" s="385"/>
      <c r="BU664" s="385"/>
      <c r="BV664" s="385"/>
      <c r="BW664" s="385"/>
      <c r="BX664" s="385"/>
      <c r="BY664" s="385"/>
      <c r="BZ664" s="385"/>
      <c r="CA664" s="385"/>
      <c r="CB664" s="385"/>
      <c r="CC664" s="385"/>
      <c r="CD664" s="385"/>
      <c r="CE664" s="385"/>
      <c r="CX664" s="387" t="s">
        <v>273</v>
      </c>
      <c r="DD664" s="362" t="s">
        <v>274</v>
      </c>
      <c r="DE664" s="23" t="s">
        <v>986</v>
      </c>
      <c r="DJ664" s="22" t="b">
        <v>1</v>
      </c>
      <c r="DK664" s="388" t="s">
        <v>987</v>
      </c>
      <c r="DL664" s="388"/>
      <c r="DM664" s="388"/>
      <c r="DN664" s="388"/>
      <c r="DO664" s="388"/>
      <c r="DP664" s="389"/>
      <c r="DQ664" s="388" t="s">
        <v>987</v>
      </c>
      <c r="DR664" s="57" t="str">
        <f t="shared" si="18"/>
        <v/>
      </c>
      <c r="DS664" s="388" t="s">
        <v>988</v>
      </c>
      <c r="DU664" s="1" t="s">
        <v>280</v>
      </c>
      <c r="DV664" s="390"/>
      <c r="EA664" s="390"/>
      <c r="EB664" s="390"/>
      <c r="EC664" s="390"/>
      <c r="ED664" s="390"/>
    </row>
    <row r="665" spans="1:134" s="23" customFormat="1" ht="49.5" customHeight="1" x14ac:dyDescent="0.15">
      <c r="B665" s="378"/>
      <c r="C665" s="40"/>
      <c r="AB665" s="353">
        <v>66040002</v>
      </c>
      <c r="AC665" s="17" t="s">
        <v>819</v>
      </c>
      <c r="AD665" s="380" t="s">
        <v>330</v>
      </c>
      <c r="AE665" s="380" t="s">
        <v>820</v>
      </c>
      <c r="AF665" s="380" t="s">
        <v>314</v>
      </c>
      <c r="AG665" s="380"/>
      <c r="AH665" s="380"/>
      <c r="AI665" s="380"/>
      <c r="AJ665" s="380"/>
      <c r="AK665" s="380"/>
      <c r="AL665" s="382"/>
      <c r="AM665" s="382"/>
      <c r="AN665" s="382"/>
      <c r="AO665" s="382"/>
      <c r="AP665" s="382"/>
      <c r="AQ665" s="382"/>
      <c r="AR665" s="382"/>
      <c r="AU665" s="382"/>
      <c r="AV665" s="382"/>
      <c r="AW665" s="382"/>
      <c r="AX665" s="382"/>
      <c r="AY665" s="382"/>
      <c r="AZ665" s="382"/>
      <c r="BA665" s="383"/>
      <c r="BB665" s="384"/>
      <c r="BC665" s="384"/>
      <c r="BD665" s="384"/>
      <c r="BE665" s="384"/>
      <c r="BF665" s="384"/>
      <c r="BG665" s="384"/>
      <c r="BH665" s="384"/>
      <c r="BI665" s="384"/>
      <c r="BJ665" s="385"/>
      <c r="BK665" s="385"/>
      <c r="BL665" s="385"/>
      <c r="BM665" s="385"/>
      <c r="BN665" s="385"/>
      <c r="BO665" s="385"/>
      <c r="BP665" s="385"/>
      <c r="BQ665" s="385"/>
      <c r="BR665" s="385"/>
      <c r="BS665" s="385"/>
      <c r="BT665" s="385"/>
      <c r="BU665" s="385"/>
      <c r="BV665" s="385"/>
      <c r="BW665" s="385"/>
      <c r="BX665" s="385"/>
      <c r="BY665" s="385"/>
      <c r="BZ665" s="385"/>
      <c r="CA665" s="385"/>
      <c r="CB665" s="23" t="s">
        <v>1</v>
      </c>
      <c r="CC665" s="386" t="s">
        <v>464</v>
      </c>
      <c r="CD665" s="386">
        <v>999</v>
      </c>
      <c r="CE665" s="386" t="s">
        <v>675</v>
      </c>
      <c r="DJ665" s="22" t="b">
        <v>1</v>
      </c>
      <c r="DK665" s="388"/>
      <c r="DL665" s="388"/>
      <c r="DM665" s="388"/>
      <c r="DN665" s="388"/>
      <c r="DO665" s="388"/>
      <c r="DP665" s="389"/>
      <c r="DQ665" s="388"/>
      <c r="DR665" s="57" t="str">
        <f t="shared" si="18"/>
        <v/>
      </c>
      <c r="DS665" s="388"/>
      <c r="DU665" s="1" t="s">
        <v>280</v>
      </c>
      <c r="DV665" s="390"/>
      <c r="EA665" s="390"/>
      <c r="EB665" s="390"/>
      <c r="EC665" s="390"/>
      <c r="ED665" s="390"/>
    </row>
    <row r="666" spans="1:134" s="23" customFormat="1" x14ac:dyDescent="0.15">
      <c r="B666" s="378"/>
      <c r="C666" s="40"/>
      <c r="AB666" s="353">
        <v>66040003</v>
      </c>
      <c r="AC666" s="135" t="s">
        <v>989</v>
      </c>
      <c r="AD666" s="380" t="s">
        <v>330</v>
      </c>
      <c r="AE666" s="380" t="s">
        <v>811</v>
      </c>
      <c r="AF666" s="380" t="s">
        <v>314</v>
      </c>
      <c r="AG666" s="380"/>
      <c r="AH666" s="380"/>
      <c r="AI666" s="380"/>
      <c r="AJ666" s="380">
        <v>2</v>
      </c>
      <c r="AK666" s="380"/>
      <c r="AL666" s="382"/>
      <c r="AM666" s="382"/>
      <c r="AN666" s="382"/>
      <c r="AO666" s="382"/>
      <c r="AP666" s="382"/>
      <c r="AQ666" s="382"/>
      <c r="AR666" s="382"/>
      <c r="AU666" s="382"/>
      <c r="AV666" s="382"/>
      <c r="AW666" s="382"/>
      <c r="AX666" s="382"/>
      <c r="AY666" s="382"/>
      <c r="AZ666" s="382"/>
      <c r="BA666" s="383" t="s">
        <v>270</v>
      </c>
      <c r="BB666" s="384">
        <v>0.15</v>
      </c>
      <c r="BC666" s="384"/>
      <c r="BD666" s="384"/>
      <c r="BE666" s="384"/>
      <c r="BF666" s="384"/>
      <c r="BG666" s="384"/>
      <c r="BH666" s="384"/>
      <c r="BI666" s="384"/>
      <c r="BJ666" s="385"/>
      <c r="BK666" s="385"/>
      <c r="BL666" s="385"/>
      <c r="BM666" s="385"/>
      <c r="BN666" s="385"/>
      <c r="BO666" s="385"/>
      <c r="BP666" s="385"/>
      <c r="BQ666" s="385"/>
      <c r="BR666" s="385"/>
      <c r="BS666" s="385"/>
      <c r="BT666" s="385"/>
      <c r="BU666" s="385"/>
      <c r="BV666" s="385"/>
      <c r="BW666" s="385"/>
      <c r="BX666" s="385"/>
      <c r="BY666" s="385"/>
      <c r="BZ666" s="385"/>
      <c r="CA666" s="385"/>
      <c r="CB666" s="385"/>
      <c r="CC666" s="385"/>
      <c r="CD666" s="385"/>
      <c r="CE666" s="385"/>
      <c r="DJ666" s="22" t="b">
        <v>1</v>
      </c>
      <c r="DK666" s="388"/>
      <c r="DL666" s="388"/>
      <c r="DM666" s="388"/>
      <c r="DN666" s="388"/>
      <c r="DO666" s="388"/>
      <c r="DP666" s="389"/>
      <c r="DQ666" s="388"/>
      <c r="DR666" s="57" t="str">
        <f t="shared" si="18"/>
        <v/>
      </c>
      <c r="DS666" s="388"/>
      <c r="DU666" s="1" t="s">
        <v>280</v>
      </c>
      <c r="DV666" s="390"/>
      <c r="EA666" s="390"/>
      <c r="EB666" s="390"/>
      <c r="EC666" s="390"/>
      <c r="ED666" s="390"/>
    </row>
    <row r="667" spans="1:134" s="23" customFormat="1" x14ac:dyDescent="0.15">
      <c r="A667" s="23">
        <v>661230</v>
      </c>
      <c r="B667" s="378" t="s">
        <v>1012</v>
      </c>
      <c r="C667" s="40" t="s">
        <v>1013</v>
      </c>
      <c r="D667" s="23" t="s">
        <v>971</v>
      </c>
      <c r="E667" s="23">
        <v>660200</v>
      </c>
      <c r="H667" s="379">
        <v>1</v>
      </c>
      <c r="L667" s="23">
        <v>0</v>
      </c>
      <c r="Q667" s="23" t="s">
        <v>431</v>
      </c>
      <c r="W667" s="23" t="b">
        <v>1</v>
      </c>
      <c r="X667" s="23">
        <v>1</v>
      </c>
      <c r="Y667" s="23">
        <v>0</v>
      </c>
      <c r="Z667" s="23">
        <v>0</v>
      </c>
      <c r="AB667" s="353">
        <v>66020001</v>
      </c>
      <c r="AC667" s="17" t="s">
        <v>815</v>
      </c>
      <c r="AD667" s="17"/>
      <c r="AE667" s="380" t="s">
        <v>291</v>
      </c>
      <c r="AF667" s="22" t="s">
        <v>437</v>
      </c>
      <c r="AG667" s="380"/>
      <c r="AH667" s="380"/>
      <c r="AI667" s="380"/>
      <c r="AJ667" s="380">
        <v>-1</v>
      </c>
      <c r="AK667" s="380"/>
      <c r="AL667" s="382"/>
      <c r="AM667" s="382"/>
      <c r="AN667" s="382"/>
      <c r="AO667" s="382"/>
      <c r="AP667" s="382"/>
      <c r="AQ667" s="382"/>
      <c r="AR667" s="382"/>
      <c r="AU667" s="382"/>
      <c r="AV667" s="382"/>
      <c r="AW667" s="382"/>
      <c r="AX667" s="382"/>
      <c r="AY667" s="382"/>
      <c r="AZ667" s="382"/>
      <c r="BA667" s="383"/>
      <c r="BB667" s="384"/>
      <c r="BC667" s="384"/>
      <c r="BD667" s="384"/>
      <c r="BE667" s="384"/>
      <c r="BF667" s="384"/>
      <c r="BG667" s="384"/>
      <c r="BH667" s="384"/>
      <c r="BI667" s="384"/>
      <c r="BJ667" s="385"/>
      <c r="BK667" s="385"/>
      <c r="BL667" s="385"/>
      <c r="BM667" s="385"/>
      <c r="BN667" s="385"/>
      <c r="BO667" s="385"/>
      <c r="BP667" s="385"/>
      <c r="BQ667" s="385"/>
      <c r="BR667" s="385"/>
      <c r="BS667" s="385"/>
      <c r="BT667" s="385"/>
      <c r="BU667" s="385"/>
      <c r="BV667" s="385"/>
      <c r="BW667" s="385"/>
      <c r="BX667" s="385"/>
      <c r="BY667" s="385"/>
      <c r="BZ667" s="385"/>
      <c r="CA667" s="385"/>
      <c r="CB667" s="385"/>
      <c r="CC667" s="385"/>
      <c r="CD667" s="385"/>
      <c r="CE667" s="385"/>
      <c r="CX667" s="387" t="s">
        <v>273</v>
      </c>
      <c r="DD667" s="362" t="s">
        <v>274</v>
      </c>
      <c r="DE667" s="23" t="s">
        <v>990</v>
      </c>
      <c r="DJ667" s="22" t="b">
        <v>1</v>
      </c>
      <c r="DK667" s="388" t="s">
        <v>991</v>
      </c>
      <c r="DL667" s="388"/>
      <c r="DM667" s="388"/>
      <c r="DN667" s="388"/>
      <c r="DO667" s="388"/>
      <c r="DP667" s="389"/>
      <c r="DQ667" s="388" t="s">
        <v>991</v>
      </c>
      <c r="DR667" s="57" t="str">
        <f t="shared" si="18"/>
        <v/>
      </c>
      <c r="DS667" s="388" t="s">
        <v>992</v>
      </c>
      <c r="DU667" s="1" t="s">
        <v>280</v>
      </c>
      <c r="DV667" s="390"/>
      <c r="EA667" s="390"/>
      <c r="EB667" s="390"/>
      <c r="EC667" s="390"/>
      <c r="ED667" s="390"/>
    </row>
    <row r="668" spans="1:134" s="23" customFormat="1" ht="49.5" customHeight="1" x14ac:dyDescent="0.15">
      <c r="B668" s="378"/>
      <c r="C668" s="40"/>
      <c r="AB668" s="353">
        <v>66020002</v>
      </c>
      <c r="AC668" s="17" t="s">
        <v>819</v>
      </c>
      <c r="AD668" s="380" t="s">
        <v>330</v>
      </c>
      <c r="AE668" s="380" t="s">
        <v>820</v>
      </c>
      <c r="AF668" s="380" t="s">
        <v>314</v>
      </c>
      <c r="AG668" s="380"/>
      <c r="AH668" s="380"/>
      <c r="AI668" s="380"/>
      <c r="AJ668" s="380"/>
      <c r="AK668" s="380"/>
      <c r="AL668" s="382"/>
      <c r="AM668" s="382"/>
      <c r="AN668" s="382"/>
      <c r="AO668" s="382"/>
      <c r="AP668" s="382"/>
      <c r="AQ668" s="382"/>
      <c r="AR668" s="382"/>
      <c r="AU668" s="382"/>
      <c r="AV668" s="382"/>
      <c r="AW668" s="382"/>
      <c r="AX668" s="382"/>
      <c r="AY668" s="382"/>
      <c r="AZ668" s="382"/>
      <c r="BA668" s="383"/>
      <c r="BB668" s="384"/>
      <c r="BC668" s="384"/>
      <c r="BD668" s="384"/>
      <c r="BE668" s="384"/>
      <c r="BF668" s="384"/>
      <c r="BG668" s="384"/>
      <c r="BH668" s="384"/>
      <c r="BI668" s="384"/>
      <c r="BJ668" s="385"/>
      <c r="BK668" s="385"/>
      <c r="BL668" s="385"/>
      <c r="BM668" s="385"/>
      <c r="BN668" s="385"/>
      <c r="BO668" s="385"/>
      <c r="BP668" s="385"/>
      <c r="BQ668" s="385"/>
      <c r="BR668" s="385"/>
      <c r="BS668" s="385"/>
      <c r="BT668" s="385"/>
      <c r="BU668" s="385"/>
      <c r="BV668" s="385"/>
      <c r="BW668" s="385"/>
      <c r="BX668" s="385"/>
      <c r="BY668" s="385"/>
      <c r="BZ668" s="385"/>
      <c r="CA668" s="385"/>
      <c r="CB668" s="23" t="s">
        <v>1</v>
      </c>
      <c r="CC668" s="386" t="s">
        <v>464</v>
      </c>
      <c r="CD668" s="386">
        <v>999</v>
      </c>
      <c r="CE668" s="386" t="s">
        <v>675</v>
      </c>
      <c r="DJ668" s="22" t="b">
        <v>1</v>
      </c>
      <c r="DK668" s="388"/>
      <c r="DL668" s="388"/>
      <c r="DM668" s="388"/>
      <c r="DN668" s="388"/>
      <c r="DO668" s="388"/>
      <c r="DP668" s="389"/>
      <c r="DQ668" s="388"/>
      <c r="DR668" s="57" t="str">
        <f t="shared" si="18"/>
        <v/>
      </c>
      <c r="DS668" s="388"/>
      <c r="DU668" s="1" t="s">
        <v>280</v>
      </c>
      <c r="DV668" s="390"/>
      <c r="EA668" s="390"/>
      <c r="EB668" s="390"/>
      <c r="EC668" s="390"/>
      <c r="ED668" s="390"/>
    </row>
    <row r="669" spans="1:134" s="23" customFormat="1" x14ac:dyDescent="0.15">
      <c r="B669" s="378"/>
      <c r="C669" s="40"/>
      <c r="AB669" s="353">
        <v>66020003</v>
      </c>
      <c r="AC669" s="135" t="s">
        <v>993</v>
      </c>
      <c r="AD669" s="380" t="s">
        <v>330</v>
      </c>
      <c r="AE669" s="380" t="s">
        <v>811</v>
      </c>
      <c r="AF669" s="380" t="s">
        <v>314</v>
      </c>
      <c r="AG669" s="380"/>
      <c r="AH669" s="380"/>
      <c r="AI669" s="380"/>
      <c r="AJ669" s="380">
        <v>2</v>
      </c>
      <c r="AK669" s="380"/>
      <c r="AL669" s="382"/>
      <c r="AM669" s="382"/>
      <c r="AN669" s="382"/>
      <c r="AO669" s="382"/>
      <c r="AP669" s="382"/>
      <c r="AQ669" s="382"/>
      <c r="AR669" s="382"/>
      <c r="AU669" s="382"/>
      <c r="AV669" s="382"/>
      <c r="AW669" s="382"/>
      <c r="AX669" s="382"/>
      <c r="AY669" s="382"/>
      <c r="AZ669" s="382"/>
      <c r="BA669" s="383" t="s">
        <v>270</v>
      </c>
      <c r="BB669" s="384">
        <v>0.15</v>
      </c>
      <c r="BC669" s="384"/>
      <c r="BD669" s="384"/>
      <c r="BE669" s="384"/>
      <c r="BF669" s="384"/>
      <c r="BG669" s="384"/>
      <c r="BH669" s="384"/>
      <c r="BI669" s="384"/>
      <c r="BJ669" s="385"/>
      <c r="BK669" s="385"/>
      <c r="BL669" s="385"/>
      <c r="BM669" s="385"/>
      <c r="BN669" s="385"/>
      <c r="BO669" s="385"/>
      <c r="BP669" s="385"/>
      <c r="BQ669" s="385"/>
      <c r="BR669" s="385"/>
      <c r="BS669" s="385"/>
      <c r="BT669" s="385"/>
      <c r="BU669" s="385"/>
      <c r="BV669" s="385"/>
      <c r="BW669" s="385"/>
      <c r="BX669" s="385"/>
      <c r="BY669" s="385"/>
      <c r="BZ669" s="385"/>
      <c r="CA669" s="385"/>
      <c r="CB669" s="385"/>
      <c r="CC669" s="385"/>
      <c r="CD669" s="385"/>
      <c r="CE669" s="385"/>
      <c r="DJ669" s="22" t="b">
        <v>1</v>
      </c>
      <c r="DK669" s="388"/>
      <c r="DL669" s="388"/>
      <c r="DM669" s="388"/>
      <c r="DN669" s="388"/>
      <c r="DO669" s="388"/>
      <c r="DP669" s="389"/>
      <c r="DQ669" s="388"/>
      <c r="DR669" s="57" t="str">
        <f t="shared" si="18"/>
        <v/>
      </c>
      <c r="DS669" s="388"/>
      <c r="DU669" s="1" t="s">
        <v>280</v>
      </c>
      <c r="DV669" s="390"/>
      <c r="EA669" s="390"/>
      <c r="EB669" s="390"/>
      <c r="EC669" s="390"/>
      <c r="ED669" s="390"/>
    </row>
    <row r="670" spans="1:134" s="23" customFormat="1" x14ac:dyDescent="0.15">
      <c r="A670" s="23">
        <v>661231</v>
      </c>
      <c r="B670" s="378" t="s">
        <v>1014</v>
      </c>
      <c r="C670" s="40" t="s">
        <v>1015</v>
      </c>
      <c r="D670" s="23" t="s">
        <v>956</v>
      </c>
      <c r="E670" s="23">
        <v>660100</v>
      </c>
      <c r="H670" s="379">
        <v>1</v>
      </c>
      <c r="L670" s="23">
        <v>0</v>
      </c>
      <c r="Q670" s="23" t="s">
        <v>431</v>
      </c>
      <c r="W670" s="23" t="b">
        <v>1</v>
      </c>
      <c r="X670" s="23">
        <v>1</v>
      </c>
      <c r="Y670" s="23">
        <v>0</v>
      </c>
      <c r="Z670" s="23">
        <v>0</v>
      </c>
      <c r="AB670" s="353">
        <v>66030001</v>
      </c>
      <c r="AC670" s="17" t="s">
        <v>815</v>
      </c>
      <c r="AD670" s="17"/>
      <c r="AE670" s="380" t="s">
        <v>291</v>
      </c>
      <c r="AF670" s="22" t="s">
        <v>437</v>
      </c>
      <c r="AG670" s="380"/>
      <c r="AH670" s="380"/>
      <c r="AI670" s="380"/>
      <c r="AJ670" s="380">
        <v>-1</v>
      </c>
      <c r="AK670" s="380"/>
      <c r="AL670" s="382"/>
      <c r="AM670" s="382"/>
      <c r="AN670" s="382"/>
      <c r="AO670" s="382"/>
      <c r="AP670" s="382"/>
      <c r="AQ670" s="382"/>
      <c r="AR670" s="382"/>
      <c r="AU670" s="382"/>
      <c r="AV670" s="382"/>
      <c r="AW670" s="382"/>
      <c r="AX670" s="382"/>
      <c r="AY670" s="382"/>
      <c r="AZ670" s="382"/>
      <c r="BA670" s="383"/>
      <c r="BB670" s="384"/>
      <c r="BC670" s="384"/>
      <c r="BD670" s="384"/>
      <c r="BE670" s="384"/>
      <c r="BF670" s="384"/>
      <c r="BG670" s="384"/>
      <c r="BH670" s="384"/>
      <c r="BI670" s="384"/>
      <c r="BJ670" s="385"/>
      <c r="BK670" s="385"/>
      <c r="BL670" s="385"/>
      <c r="BM670" s="385"/>
      <c r="BN670" s="385"/>
      <c r="BO670" s="385"/>
      <c r="BP670" s="385"/>
      <c r="BQ670" s="385"/>
      <c r="BR670" s="385"/>
      <c r="BS670" s="385"/>
      <c r="BT670" s="385"/>
      <c r="BU670" s="385"/>
      <c r="BV670" s="385"/>
      <c r="BW670" s="385"/>
      <c r="BX670" s="385"/>
      <c r="BY670" s="385"/>
      <c r="BZ670" s="385"/>
      <c r="CA670" s="385"/>
      <c r="CB670" s="385"/>
      <c r="CC670" s="385"/>
      <c r="CD670" s="385"/>
      <c r="CE670" s="385"/>
      <c r="CX670" s="387" t="s">
        <v>273</v>
      </c>
      <c r="DD670" s="362" t="s">
        <v>274</v>
      </c>
      <c r="DE670" s="23" t="s">
        <v>957</v>
      </c>
      <c r="DJ670" s="22" t="b">
        <v>1</v>
      </c>
      <c r="DK670" s="388" t="s">
        <v>1016</v>
      </c>
      <c r="DL670" s="388"/>
      <c r="DM670" s="388"/>
      <c r="DN670" s="388"/>
      <c r="DO670" s="388"/>
      <c r="DP670" s="389"/>
      <c r="DQ670" s="388" t="s">
        <v>1016</v>
      </c>
      <c r="DR670" s="57" t="str">
        <f t="shared" si="18"/>
        <v/>
      </c>
      <c r="DS670" s="388" t="s">
        <v>1017</v>
      </c>
      <c r="DU670" s="1" t="s">
        <v>280</v>
      </c>
      <c r="DV670" s="390"/>
      <c r="EA670" s="390"/>
      <c r="EB670" s="390"/>
      <c r="EC670" s="390"/>
      <c r="ED670" s="390"/>
    </row>
    <row r="671" spans="1:134" s="23" customFormat="1" ht="49.5" customHeight="1" x14ac:dyDescent="0.15">
      <c r="B671" s="378"/>
      <c r="C671" s="40"/>
      <c r="AB671" s="353">
        <v>66030002</v>
      </c>
      <c r="AC671" s="17" t="s">
        <v>819</v>
      </c>
      <c r="AD671" s="380" t="s">
        <v>330</v>
      </c>
      <c r="AE671" s="380" t="s">
        <v>820</v>
      </c>
      <c r="AF671" s="380" t="s">
        <v>314</v>
      </c>
      <c r="AG671" s="380"/>
      <c r="AH671" s="380"/>
      <c r="AI671" s="380"/>
      <c r="AJ671" s="380"/>
      <c r="AK671" s="380"/>
      <c r="AL671" s="382"/>
      <c r="AM671" s="382"/>
      <c r="AN671" s="382"/>
      <c r="AO671" s="382"/>
      <c r="AP671" s="382"/>
      <c r="AQ671" s="382"/>
      <c r="AR671" s="382"/>
      <c r="AU671" s="382"/>
      <c r="AV671" s="382"/>
      <c r="AW671" s="382"/>
      <c r="AX671" s="382"/>
      <c r="AY671" s="382"/>
      <c r="AZ671" s="382"/>
      <c r="BA671" s="383"/>
      <c r="BB671" s="384"/>
      <c r="BC671" s="384"/>
      <c r="BD671" s="384"/>
      <c r="BE671" s="384"/>
      <c r="BF671" s="384"/>
      <c r="BG671" s="384"/>
      <c r="BH671" s="384"/>
      <c r="BI671" s="384"/>
      <c r="BJ671" s="385"/>
      <c r="BK671" s="385"/>
      <c r="BL671" s="385"/>
      <c r="BM671" s="385"/>
      <c r="BN671" s="385"/>
      <c r="BO671" s="385"/>
      <c r="BP671" s="385"/>
      <c r="BQ671" s="385"/>
      <c r="BR671" s="385"/>
      <c r="BS671" s="385"/>
      <c r="BT671" s="385"/>
      <c r="BU671" s="385"/>
      <c r="BV671" s="385"/>
      <c r="BW671" s="385"/>
      <c r="BX671" s="385"/>
      <c r="BY671" s="385"/>
      <c r="BZ671" s="385"/>
      <c r="CA671" s="385"/>
      <c r="CB671" s="23" t="s">
        <v>1</v>
      </c>
      <c r="CC671" s="386" t="s">
        <v>464</v>
      </c>
      <c r="CD671" s="386">
        <v>999</v>
      </c>
      <c r="CE671" s="386" t="s">
        <v>675</v>
      </c>
      <c r="DJ671" s="22" t="b">
        <v>1</v>
      </c>
      <c r="DK671" s="388"/>
      <c r="DL671" s="388"/>
      <c r="DM671" s="388"/>
      <c r="DN671" s="388"/>
      <c r="DO671" s="388"/>
      <c r="DP671" s="389"/>
      <c r="DQ671" s="388"/>
      <c r="DR671" s="57" t="str">
        <f t="shared" si="18"/>
        <v/>
      </c>
      <c r="DS671" s="388"/>
      <c r="DU671" s="1" t="s">
        <v>280</v>
      </c>
      <c r="DV671" s="390"/>
      <c r="EA671" s="390"/>
      <c r="EB671" s="390"/>
      <c r="EC671" s="390"/>
      <c r="ED671" s="390"/>
    </row>
    <row r="672" spans="1:134" s="23" customFormat="1" x14ac:dyDescent="0.15">
      <c r="B672" s="378"/>
      <c r="C672" s="40"/>
      <c r="AB672" s="353">
        <v>66030003</v>
      </c>
      <c r="AC672" s="381" t="s">
        <v>960</v>
      </c>
      <c r="AD672" s="380" t="s">
        <v>330</v>
      </c>
      <c r="AE672" s="380" t="s">
        <v>811</v>
      </c>
      <c r="AF672" s="380" t="s">
        <v>314</v>
      </c>
      <c r="AG672" s="380"/>
      <c r="AH672" s="380"/>
      <c r="AI672" s="380"/>
      <c r="AJ672" s="380">
        <v>2</v>
      </c>
      <c r="AK672" s="380"/>
      <c r="AL672" s="382"/>
      <c r="AM672" s="382"/>
      <c r="AN672" s="382"/>
      <c r="AO672" s="382"/>
      <c r="AP672" s="382"/>
      <c r="AQ672" s="382"/>
      <c r="AR672" s="382"/>
      <c r="AU672" s="382"/>
      <c r="AV672" s="382"/>
      <c r="AW672" s="382"/>
      <c r="AX672" s="382"/>
      <c r="AY672" s="382"/>
      <c r="AZ672" s="382"/>
      <c r="BA672" s="383" t="s">
        <v>270</v>
      </c>
      <c r="BB672" s="384">
        <v>0.08</v>
      </c>
      <c r="BC672" s="384"/>
      <c r="BD672" s="384"/>
      <c r="BE672" s="384"/>
      <c r="BF672" s="384"/>
      <c r="BG672" s="384"/>
      <c r="BH672" s="384"/>
      <c r="BI672" s="384"/>
      <c r="BJ672" s="385"/>
      <c r="BK672" s="385"/>
      <c r="BL672" s="385"/>
      <c r="BM672" s="385"/>
      <c r="BN672" s="385"/>
      <c r="BO672" s="385"/>
      <c r="BP672" s="385"/>
      <c r="BQ672" s="385"/>
      <c r="BR672" s="385"/>
      <c r="BS672" s="385"/>
      <c r="BT672" s="385"/>
      <c r="BU672" s="385"/>
      <c r="BV672" s="385"/>
      <c r="BW672" s="385"/>
      <c r="BX672" s="385"/>
      <c r="BY672" s="385"/>
      <c r="BZ672" s="385"/>
      <c r="CA672" s="385"/>
      <c r="CB672" s="385"/>
      <c r="CC672" s="385"/>
      <c r="CD672" s="385"/>
      <c r="CE672" s="385"/>
      <c r="DJ672" s="22" t="b">
        <v>1</v>
      </c>
      <c r="DK672" s="388"/>
      <c r="DL672" s="388"/>
      <c r="DM672" s="388"/>
      <c r="DN672" s="388"/>
      <c r="DO672" s="388"/>
      <c r="DP672" s="389"/>
      <c r="DQ672" s="388"/>
      <c r="DR672" s="57" t="str">
        <f t="shared" si="18"/>
        <v/>
      </c>
      <c r="DS672" s="388"/>
      <c r="DU672" s="1" t="s">
        <v>280</v>
      </c>
      <c r="DV672" s="390"/>
      <c r="EA672" s="390"/>
      <c r="EB672" s="390"/>
      <c r="EC672" s="390"/>
      <c r="ED672" s="390"/>
    </row>
    <row r="673" spans="1:134" s="23" customFormat="1" x14ac:dyDescent="0.15">
      <c r="A673" s="23">
        <v>661232</v>
      </c>
      <c r="B673" s="378" t="s">
        <v>1014</v>
      </c>
      <c r="C673" s="40" t="s">
        <v>1015</v>
      </c>
      <c r="D673" s="23" t="s">
        <v>961</v>
      </c>
      <c r="E673" s="23">
        <v>660100</v>
      </c>
      <c r="H673" s="379">
        <v>1</v>
      </c>
      <c r="L673" s="23">
        <v>0</v>
      </c>
      <c r="Q673" s="23" t="s">
        <v>431</v>
      </c>
      <c r="W673" s="23" t="b">
        <v>1</v>
      </c>
      <c r="X673" s="23">
        <v>1</v>
      </c>
      <c r="Y673" s="23">
        <v>0</v>
      </c>
      <c r="Z673" s="23">
        <v>0</v>
      </c>
      <c r="AB673" s="353">
        <v>66010001</v>
      </c>
      <c r="AC673" s="17" t="s">
        <v>815</v>
      </c>
      <c r="AD673" s="17"/>
      <c r="AE673" s="380" t="s">
        <v>291</v>
      </c>
      <c r="AF673" s="22" t="s">
        <v>437</v>
      </c>
      <c r="AG673" s="380"/>
      <c r="AH673" s="380"/>
      <c r="AI673" s="380"/>
      <c r="AJ673" s="380">
        <v>-1</v>
      </c>
      <c r="AK673" s="380"/>
      <c r="AL673" s="382"/>
      <c r="AM673" s="382"/>
      <c r="AN673" s="382"/>
      <c r="AO673" s="382"/>
      <c r="AP673" s="382"/>
      <c r="AQ673" s="382"/>
      <c r="AR673" s="382"/>
      <c r="AU673" s="382"/>
      <c r="AV673" s="382"/>
      <c r="AW673" s="382"/>
      <c r="AX673" s="382"/>
      <c r="AY673" s="382"/>
      <c r="AZ673" s="382"/>
      <c r="BA673" s="383"/>
      <c r="BB673" s="384"/>
      <c r="BC673" s="384"/>
      <c r="BD673" s="384"/>
      <c r="BE673" s="384"/>
      <c r="BF673" s="384"/>
      <c r="BG673" s="384"/>
      <c r="BH673" s="384"/>
      <c r="BI673" s="384"/>
      <c r="BJ673" s="385"/>
      <c r="BK673" s="385"/>
      <c r="BL673" s="385"/>
      <c r="BM673" s="385"/>
      <c r="BN673" s="385"/>
      <c r="BO673" s="385"/>
      <c r="BP673" s="385"/>
      <c r="BQ673" s="385"/>
      <c r="BR673" s="385"/>
      <c r="BS673" s="385"/>
      <c r="BT673" s="385"/>
      <c r="BU673" s="385"/>
      <c r="BV673" s="385"/>
      <c r="BW673" s="385"/>
      <c r="BX673" s="385"/>
      <c r="BY673" s="385"/>
      <c r="BZ673" s="385"/>
      <c r="CA673" s="385"/>
      <c r="CB673" s="385"/>
      <c r="CC673" s="385"/>
      <c r="CD673" s="385"/>
      <c r="CE673" s="385"/>
      <c r="CX673" s="387" t="s">
        <v>273</v>
      </c>
      <c r="DD673" s="362" t="s">
        <v>274</v>
      </c>
      <c r="DE673" s="23" t="s">
        <v>962</v>
      </c>
      <c r="DJ673" s="22" t="b">
        <v>1</v>
      </c>
      <c r="DK673" s="388" t="s">
        <v>1018</v>
      </c>
      <c r="DL673" s="388"/>
      <c r="DM673" s="388"/>
      <c r="DN673" s="388"/>
      <c r="DO673" s="388"/>
      <c r="DP673" s="389"/>
      <c r="DQ673" s="388" t="s">
        <v>1018</v>
      </c>
      <c r="DR673" s="57" t="str">
        <f t="shared" si="18"/>
        <v/>
      </c>
      <c r="DS673" s="388" t="s">
        <v>1019</v>
      </c>
      <c r="DU673" s="1" t="s">
        <v>280</v>
      </c>
      <c r="DV673" s="390"/>
      <c r="EA673" s="390"/>
      <c r="EB673" s="390"/>
      <c r="EC673" s="390"/>
      <c r="ED673" s="390"/>
    </row>
    <row r="674" spans="1:134" s="23" customFormat="1" ht="49.5" customHeight="1" x14ac:dyDescent="0.15">
      <c r="B674" s="378"/>
      <c r="C674" s="40"/>
      <c r="AB674" s="353">
        <v>66010002</v>
      </c>
      <c r="AC674" s="17" t="s">
        <v>819</v>
      </c>
      <c r="AD674" s="380" t="s">
        <v>330</v>
      </c>
      <c r="AE674" s="380" t="s">
        <v>820</v>
      </c>
      <c r="AF674" s="380" t="s">
        <v>314</v>
      </c>
      <c r="AG674" s="380"/>
      <c r="AH674" s="380"/>
      <c r="AI674" s="380"/>
      <c r="AJ674" s="380"/>
      <c r="AK674" s="380"/>
      <c r="AL674" s="382"/>
      <c r="AM674" s="382"/>
      <c r="AN674" s="382"/>
      <c r="AO674" s="382"/>
      <c r="AP674" s="382"/>
      <c r="AQ674" s="382"/>
      <c r="AR674" s="382"/>
      <c r="AU674" s="382"/>
      <c r="AV674" s="382"/>
      <c r="AW674" s="382"/>
      <c r="AX674" s="382"/>
      <c r="AY674" s="382"/>
      <c r="AZ674" s="382"/>
      <c r="BA674" s="383"/>
      <c r="BB674" s="384"/>
      <c r="BC674" s="384"/>
      <c r="BD674" s="384"/>
      <c r="BE674" s="384"/>
      <c r="BF674" s="384"/>
      <c r="BG674" s="384"/>
      <c r="BH674" s="384"/>
      <c r="BI674" s="384"/>
      <c r="BJ674" s="385"/>
      <c r="BK674" s="385"/>
      <c r="BL674" s="385"/>
      <c r="BM674" s="385"/>
      <c r="BN674" s="385"/>
      <c r="BO674" s="385"/>
      <c r="BP674" s="385"/>
      <c r="BQ674" s="385"/>
      <c r="BR674" s="385"/>
      <c r="BS674" s="385"/>
      <c r="BT674" s="385"/>
      <c r="BU674" s="385"/>
      <c r="BV674" s="385"/>
      <c r="BW674" s="385"/>
      <c r="BX674" s="385"/>
      <c r="BY674" s="385"/>
      <c r="BZ674" s="385"/>
      <c r="CA674" s="385"/>
      <c r="CB674" s="23" t="s">
        <v>1</v>
      </c>
      <c r="CC674" s="386" t="s">
        <v>464</v>
      </c>
      <c r="CD674" s="386">
        <v>999</v>
      </c>
      <c r="CE674" s="386" t="s">
        <v>675</v>
      </c>
      <c r="DJ674" s="22" t="b">
        <v>1</v>
      </c>
      <c r="DK674" s="388"/>
      <c r="DL674" s="388"/>
      <c r="DM674" s="388"/>
      <c r="DN674" s="388"/>
      <c r="DO674" s="388"/>
      <c r="DP674" s="389"/>
      <c r="DQ674" s="388"/>
      <c r="DR674" s="57" t="str">
        <f t="shared" si="18"/>
        <v/>
      </c>
      <c r="DS674" s="388"/>
      <c r="DU674" s="1" t="s">
        <v>280</v>
      </c>
      <c r="DV674" s="390"/>
      <c r="EA674" s="390"/>
      <c r="EB674" s="390"/>
      <c r="EC674" s="390"/>
      <c r="ED674" s="390"/>
    </row>
    <row r="675" spans="1:134" s="23" customFormat="1" x14ac:dyDescent="0.15">
      <c r="B675" s="378"/>
      <c r="C675" s="40"/>
      <c r="AB675" s="353">
        <v>66010003</v>
      </c>
      <c r="AC675" s="381" t="s">
        <v>965</v>
      </c>
      <c r="AD675" s="380" t="s">
        <v>330</v>
      </c>
      <c r="AE675" s="380" t="s">
        <v>811</v>
      </c>
      <c r="AF675" s="380" t="s">
        <v>314</v>
      </c>
      <c r="AG675" s="380"/>
      <c r="AH675" s="380"/>
      <c r="AI675" s="380"/>
      <c r="AJ675" s="380">
        <v>2</v>
      </c>
      <c r="AK675" s="380"/>
      <c r="AL675" s="382"/>
      <c r="AM675" s="382"/>
      <c r="AN675" s="382"/>
      <c r="AO675" s="382"/>
      <c r="AP675" s="382"/>
      <c r="AQ675" s="382"/>
      <c r="AR675" s="382"/>
      <c r="AU675" s="382"/>
      <c r="AV675" s="382"/>
      <c r="AW675" s="382"/>
      <c r="AX675" s="382"/>
      <c r="AY675" s="382"/>
      <c r="AZ675" s="382"/>
      <c r="BA675" s="383" t="s">
        <v>270</v>
      </c>
      <c r="BB675" s="384">
        <v>0.08</v>
      </c>
      <c r="BC675" s="384"/>
      <c r="BD675" s="384"/>
      <c r="BE675" s="384"/>
      <c r="BF675" s="384"/>
      <c r="BG675" s="384"/>
      <c r="BH675" s="384"/>
      <c r="BI675" s="384"/>
      <c r="BJ675" s="385"/>
      <c r="BK675" s="385"/>
      <c r="BL675" s="385"/>
      <c r="BM675" s="385"/>
      <c r="BN675" s="385"/>
      <c r="BO675" s="385"/>
      <c r="BP675" s="385"/>
      <c r="BQ675" s="385"/>
      <c r="BR675" s="385"/>
      <c r="BS675" s="385"/>
      <c r="BT675" s="385"/>
      <c r="BU675" s="385"/>
      <c r="BV675" s="385"/>
      <c r="BW675" s="385"/>
      <c r="BX675" s="385"/>
      <c r="BY675" s="385"/>
      <c r="BZ675" s="385"/>
      <c r="CA675" s="385"/>
      <c r="CB675" s="385"/>
      <c r="CC675" s="385"/>
      <c r="CD675" s="385"/>
      <c r="CE675" s="385"/>
      <c r="DJ675" s="22" t="b">
        <v>1</v>
      </c>
      <c r="DK675" s="388"/>
      <c r="DL675" s="388"/>
      <c r="DM675" s="388"/>
      <c r="DN675" s="388"/>
      <c r="DO675" s="388"/>
      <c r="DP675" s="389"/>
      <c r="DQ675" s="388"/>
      <c r="DR675" s="57" t="str">
        <f t="shared" si="18"/>
        <v/>
      </c>
      <c r="DS675" s="388"/>
      <c r="DU675" s="1" t="s">
        <v>280</v>
      </c>
      <c r="DV675" s="390"/>
      <c r="EA675" s="390"/>
      <c r="EB675" s="390"/>
      <c r="EC675" s="390"/>
      <c r="ED675" s="390"/>
    </row>
    <row r="676" spans="1:134" s="23" customFormat="1" x14ac:dyDescent="0.15">
      <c r="A676" s="23">
        <v>661233</v>
      </c>
      <c r="B676" s="378" t="s">
        <v>1014</v>
      </c>
      <c r="C676" s="40" t="s">
        <v>1015</v>
      </c>
      <c r="D676" s="23" t="s">
        <v>966</v>
      </c>
      <c r="E676" s="23">
        <v>660100</v>
      </c>
      <c r="H676" s="379">
        <v>1</v>
      </c>
      <c r="L676" s="23">
        <v>0</v>
      </c>
      <c r="Q676" s="23" t="s">
        <v>431</v>
      </c>
      <c r="W676" s="23" t="b">
        <v>1</v>
      </c>
      <c r="X676" s="23">
        <v>1</v>
      </c>
      <c r="Y676" s="23">
        <v>0</v>
      </c>
      <c r="Z676" s="23">
        <v>0</v>
      </c>
      <c r="AB676" s="353">
        <v>66110001</v>
      </c>
      <c r="AC676" s="17" t="s">
        <v>815</v>
      </c>
      <c r="AD676" s="17"/>
      <c r="AE676" s="380" t="s">
        <v>291</v>
      </c>
      <c r="AF676" s="22" t="s">
        <v>437</v>
      </c>
      <c r="AG676" s="380"/>
      <c r="AH676" s="380"/>
      <c r="AI676" s="380"/>
      <c r="AJ676" s="380">
        <v>-1</v>
      </c>
      <c r="AK676" s="380"/>
      <c r="AL676" s="382"/>
      <c r="AM676" s="382"/>
      <c r="AN676" s="382"/>
      <c r="AO676" s="382"/>
      <c r="AP676" s="382"/>
      <c r="AQ676" s="382"/>
      <c r="AR676" s="382"/>
      <c r="AU676" s="382"/>
      <c r="AV676" s="382"/>
      <c r="AW676" s="382"/>
      <c r="AX676" s="382"/>
      <c r="AY676" s="382"/>
      <c r="AZ676" s="382"/>
      <c r="BA676" s="383"/>
      <c r="BB676" s="384"/>
      <c r="BC676" s="384"/>
      <c r="BD676" s="384"/>
      <c r="BE676" s="384"/>
      <c r="BF676" s="384"/>
      <c r="BG676" s="384"/>
      <c r="BH676" s="384"/>
      <c r="BI676" s="384"/>
      <c r="BJ676" s="385"/>
      <c r="BK676" s="385"/>
      <c r="BL676" s="385"/>
      <c r="BM676" s="385"/>
      <c r="BN676" s="385"/>
      <c r="BO676" s="385"/>
      <c r="BP676" s="385"/>
      <c r="BQ676" s="385"/>
      <c r="BR676" s="385"/>
      <c r="BS676" s="385"/>
      <c r="BT676" s="385"/>
      <c r="BU676" s="385"/>
      <c r="BV676" s="385"/>
      <c r="BW676" s="385"/>
      <c r="BX676" s="385"/>
      <c r="BY676" s="385"/>
      <c r="BZ676" s="385"/>
      <c r="CA676" s="385"/>
      <c r="CB676" s="385"/>
      <c r="CC676" s="385"/>
      <c r="CD676" s="385"/>
      <c r="CE676" s="385"/>
      <c r="CX676" s="387" t="s">
        <v>273</v>
      </c>
      <c r="DD676" s="362" t="s">
        <v>274</v>
      </c>
      <c r="DE676" s="23" t="s">
        <v>967</v>
      </c>
      <c r="DJ676" s="22" t="b">
        <v>1</v>
      </c>
      <c r="DK676" s="388" t="s">
        <v>1020</v>
      </c>
      <c r="DL676" s="388"/>
      <c r="DM676" s="388"/>
      <c r="DN676" s="388"/>
      <c r="DO676" s="388"/>
      <c r="DP676" s="389"/>
      <c r="DQ676" s="388" t="s">
        <v>1020</v>
      </c>
      <c r="DR676" s="57" t="str">
        <f t="shared" si="18"/>
        <v/>
      </c>
      <c r="DS676" s="388" t="s">
        <v>1021</v>
      </c>
      <c r="DU676" s="1" t="s">
        <v>280</v>
      </c>
      <c r="DV676" s="390"/>
      <c r="EA676" s="390"/>
      <c r="EB676" s="390"/>
      <c r="EC676" s="390"/>
      <c r="ED676" s="390"/>
    </row>
    <row r="677" spans="1:134" s="23" customFormat="1" ht="49.5" customHeight="1" x14ac:dyDescent="0.15">
      <c r="B677" s="378"/>
      <c r="C677" s="40"/>
      <c r="AB677" s="353">
        <v>66110002</v>
      </c>
      <c r="AC677" s="17" t="s">
        <v>819</v>
      </c>
      <c r="AD677" s="380" t="s">
        <v>330</v>
      </c>
      <c r="AE677" s="380" t="s">
        <v>820</v>
      </c>
      <c r="AF677" s="380" t="s">
        <v>314</v>
      </c>
      <c r="AG677" s="380"/>
      <c r="AH677" s="380"/>
      <c r="AI677" s="380"/>
      <c r="AJ677" s="380"/>
      <c r="AK677" s="380"/>
      <c r="AL677" s="382"/>
      <c r="AM677" s="382"/>
      <c r="AN677" s="382"/>
      <c r="AO677" s="382"/>
      <c r="AP677" s="382"/>
      <c r="AQ677" s="382"/>
      <c r="AR677" s="382"/>
      <c r="AU677" s="382"/>
      <c r="AV677" s="382"/>
      <c r="AW677" s="382"/>
      <c r="AX677" s="382"/>
      <c r="AY677" s="382"/>
      <c r="AZ677" s="382"/>
      <c r="BA677" s="383"/>
      <c r="BB677" s="384"/>
      <c r="BC677" s="384"/>
      <c r="BD677" s="384"/>
      <c r="BE677" s="384"/>
      <c r="BF677" s="384"/>
      <c r="BG677" s="384"/>
      <c r="BH677" s="384"/>
      <c r="BI677" s="384"/>
      <c r="BJ677" s="385"/>
      <c r="BK677" s="385"/>
      <c r="BL677" s="385"/>
      <c r="BM677" s="385"/>
      <c r="BN677" s="385"/>
      <c r="BO677" s="385"/>
      <c r="BP677" s="385"/>
      <c r="BQ677" s="385"/>
      <c r="BR677" s="385"/>
      <c r="BS677" s="385"/>
      <c r="BT677" s="385"/>
      <c r="BU677" s="385"/>
      <c r="BV677" s="385"/>
      <c r="BW677" s="385"/>
      <c r="BX677" s="385"/>
      <c r="BY677" s="385"/>
      <c r="BZ677" s="385"/>
      <c r="CA677" s="385"/>
      <c r="CB677" s="23" t="s">
        <v>1</v>
      </c>
      <c r="CC677" s="386" t="s">
        <v>464</v>
      </c>
      <c r="CD677" s="386">
        <v>999</v>
      </c>
      <c r="CE677" s="386" t="s">
        <v>675</v>
      </c>
      <c r="DJ677" s="22" t="b">
        <v>1</v>
      </c>
      <c r="DK677" s="388"/>
      <c r="DL677" s="388"/>
      <c r="DM677" s="388"/>
      <c r="DN677" s="388"/>
      <c r="DO677" s="388"/>
      <c r="DP677" s="389"/>
      <c r="DQ677" s="388"/>
      <c r="DR677" s="57" t="str">
        <f t="shared" si="18"/>
        <v/>
      </c>
      <c r="DS677" s="388"/>
      <c r="DU677" s="1" t="s">
        <v>280</v>
      </c>
      <c r="DV677" s="390"/>
      <c r="EA677" s="390"/>
      <c r="EB677" s="390"/>
      <c r="EC677" s="390"/>
      <c r="ED677" s="390"/>
    </row>
    <row r="678" spans="1:134" s="23" customFormat="1" x14ac:dyDescent="0.15">
      <c r="B678" s="378"/>
      <c r="C678" s="40"/>
      <c r="AB678" s="353">
        <v>66110003</v>
      </c>
      <c r="AC678" s="381" t="s">
        <v>970</v>
      </c>
      <c r="AD678" s="380" t="s">
        <v>330</v>
      </c>
      <c r="AE678" s="380" t="s">
        <v>811</v>
      </c>
      <c r="AF678" s="380" t="s">
        <v>314</v>
      </c>
      <c r="AG678" s="380"/>
      <c r="AH678" s="380"/>
      <c r="AI678" s="380"/>
      <c r="AJ678" s="380">
        <v>2</v>
      </c>
      <c r="AK678" s="380"/>
      <c r="AL678" s="382"/>
      <c r="AM678" s="382"/>
      <c r="AN678" s="382"/>
      <c r="AO678" s="382"/>
      <c r="AP678" s="382"/>
      <c r="AQ678" s="382"/>
      <c r="AR678" s="382"/>
      <c r="AU678" s="382"/>
      <c r="AV678" s="382"/>
      <c r="AW678" s="382"/>
      <c r="AX678" s="382"/>
      <c r="AY678" s="382"/>
      <c r="AZ678" s="382"/>
      <c r="BA678" s="383" t="s">
        <v>270</v>
      </c>
      <c r="BB678" s="384">
        <v>0.08</v>
      </c>
      <c r="BC678" s="384"/>
      <c r="BD678" s="384"/>
      <c r="BE678" s="384"/>
      <c r="BF678" s="384"/>
      <c r="BG678" s="384"/>
      <c r="BH678" s="384"/>
      <c r="BI678" s="384"/>
      <c r="BJ678" s="385"/>
      <c r="BK678" s="385"/>
      <c r="BL678" s="385"/>
      <c r="BM678" s="385"/>
      <c r="BN678" s="385"/>
      <c r="BO678" s="385"/>
      <c r="BP678" s="385"/>
      <c r="BQ678" s="385"/>
      <c r="BR678" s="385"/>
      <c r="BS678" s="385"/>
      <c r="BT678" s="385"/>
      <c r="BU678" s="385"/>
      <c r="BV678" s="385"/>
      <c r="BW678" s="385"/>
      <c r="BX678" s="385"/>
      <c r="BY678" s="385"/>
      <c r="BZ678" s="385"/>
      <c r="CA678" s="385"/>
      <c r="CB678" s="385"/>
      <c r="CC678" s="385"/>
      <c r="CD678" s="385"/>
      <c r="CE678" s="385"/>
      <c r="DJ678" s="22" t="b">
        <v>1</v>
      </c>
      <c r="DK678" s="388"/>
      <c r="DL678" s="388"/>
      <c r="DM678" s="388"/>
      <c r="DN678" s="388"/>
      <c r="DO678" s="388"/>
      <c r="DP678" s="389"/>
      <c r="DQ678" s="388"/>
      <c r="DR678" s="57" t="str">
        <f t="shared" si="18"/>
        <v/>
      </c>
      <c r="DS678" s="388"/>
      <c r="DU678" s="1" t="s">
        <v>280</v>
      </c>
      <c r="DV678" s="390"/>
      <c r="EA678" s="390"/>
      <c r="EB678" s="390"/>
      <c r="EC678" s="390"/>
      <c r="ED678" s="390"/>
    </row>
    <row r="679" spans="1:134" s="23" customFormat="1" x14ac:dyDescent="0.15">
      <c r="A679" s="23">
        <v>661234</v>
      </c>
      <c r="B679" s="378" t="s">
        <v>1014</v>
      </c>
      <c r="C679" s="40" t="s">
        <v>1015</v>
      </c>
      <c r="D679" s="23" t="s">
        <v>971</v>
      </c>
      <c r="E679" s="23">
        <v>660100</v>
      </c>
      <c r="H679" s="379">
        <v>1</v>
      </c>
      <c r="L679" s="23">
        <v>0</v>
      </c>
      <c r="Q679" s="23" t="s">
        <v>431</v>
      </c>
      <c r="W679" s="23" t="b">
        <v>1</v>
      </c>
      <c r="X679" s="23">
        <v>1</v>
      </c>
      <c r="Y679" s="23">
        <v>0</v>
      </c>
      <c r="Z679" s="23">
        <v>0</v>
      </c>
      <c r="AB679" s="353">
        <v>66060001</v>
      </c>
      <c r="AC679" s="17" t="s">
        <v>815</v>
      </c>
      <c r="AD679" s="17"/>
      <c r="AE679" s="380" t="s">
        <v>291</v>
      </c>
      <c r="AF679" s="22" t="s">
        <v>437</v>
      </c>
      <c r="AG679" s="380"/>
      <c r="AH679" s="380"/>
      <c r="AI679" s="380"/>
      <c r="AJ679" s="380">
        <v>-1</v>
      </c>
      <c r="AK679" s="380"/>
      <c r="AL679" s="382"/>
      <c r="AM679" s="382"/>
      <c r="AN679" s="382"/>
      <c r="AO679" s="382"/>
      <c r="AP679" s="382"/>
      <c r="AQ679" s="382"/>
      <c r="AR679" s="382"/>
      <c r="AU679" s="382"/>
      <c r="AV679" s="382"/>
      <c r="AW679" s="382"/>
      <c r="AX679" s="382"/>
      <c r="AY679" s="382"/>
      <c r="AZ679" s="382"/>
      <c r="BA679" s="383"/>
      <c r="BB679" s="384"/>
      <c r="BC679" s="384"/>
      <c r="BD679" s="384"/>
      <c r="BE679" s="384"/>
      <c r="BF679" s="384"/>
      <c r="BG679" s="384"/>
      <c r="BH679" s="384"/>
      <c r="BI679" s="384"/>
      <c r="BJ679" s="385"/>
      <c r="BK679" s="385"/>
      <c r="BL679" s="385"/>
      <c r="BM679" s="385"/>
      <c r="BN679" s="385"/>
      <c r="BO679" s="385"/>
      <c r="BP679" s="385"/>
      <c r="BQ679" s="385"/>
      <c r="BR679" s="385"/>
      <c r="BS679" s="385"/>
      <c r="BT679" s="385"/>
      <c r="BU679" s="385"/>
      <c r="BV679" s="385"/>
      <c r="BW679" s="385"/>
      <c r="BX679" s="385"/>
      <c r="BY679" s="385"/>
      <c r="BZ679" s="385"/>
      <c r="CA679" s="385"/>
      <c r="CB679" s="385"/>
      <c r="CC679" s="385"/>
      <c r="CD679" s="385"/>
      <c r="CE679" s="385"/>
      <c r="CX679" s="387" t="s">
        <v>273</v>
      </c>
      <c r="DD679" s="362" t="s">
        <v>274</v>
      </c>
      <c r="DE679" s="23" t="s">
        <v>972</v>
      </c>
      <c r="DJ679" s="22" t="b">
        <v>1</v>
      </c>
      <c r="DK679" s="388" t="s">
        <v>1022</v>
      </c>
      <c r="DL679" s="388"/>
      <c r="DM679" s="388"/>
      <c r="DN679" s="388"/>
      <c r="DO679" s="388"/>
      <c r="DP679" s="389"/>
      <c r="DQ679" s="388" t="s">
        <v>1022</v>
      </c>
      <c r="DR679" s="57" t="str">
        <f t="shared" si="18"/>
        <v/>
      </c>
      <c r="DS679" s="388" t="s">
        <v>1023</v>
      </c>
      <c r="DU679" s="1" t="s">
        <v>280</v>
      </c>
      <c r="DV679" s="390"/>
      <c r="EA679" s="390"/>
      <c r="EB679" s="390"/>
      <c r="EC679" s="390"/>
      <c r="ED679" s="390"/>
    </row>
    <row r="680" spans="1:134" s="23" customFormat="1" ht="49.5" customHeight="1" x14ac:dyDescent="0.15">
      <c r="B680" s="378"/>
      <c r="C680" s="40"/>
      <c r="AB680" s="353">
        <v>66060002</v>
      </c>
      <c r="AC680" s="17" t="s">
        <v>819</v>
      </c>
      <c r="AD680" s="380" t="s">
        <v>330</v>
      </c>
      <c r="AE680" s="380" t="s">
        <v>820</v>
      </c>
      <c r="AF680" s="380" t="s">
        <v>314</v>
      </c>
      <c r="AG680" s="380"/>
      <c r="AH680" s="380"/>
      <c r="AI680" s="380"/>
      <c r="AJ680" s="380"/>
      <c r="AK680" s="380"/>
      <c r="AL680" s="382"/>
      <c r="AM680" s="382"/>
      <c r="AN680" s="382"/>
      <c r="AO680" s="382"/>
      <c r="AP680" s="382"/>
      <c r="AQ680" s="382"/>
      <c r="AR680" s="382"/>
      <c r="AU680" s="382"/>
      <c r="AV680" s="382"/>
      <c r="AW680" s="382"/>
      <c r="AX680" s="382"/>
      <c r="AY680" s="382"/>
      <c r="AZ680" s="382"/>
      <c r="BA680" s="383"/>
      <c r="BB680" s="384"/>
      <c r="BC680" s="384"/>
      <c r="BD680" s="384"/>
      <c r="BE680" s="384"/>
      <c r="BF680" s="384"/>
      <c r="BG680" s="384"/>
      <c r="BH680" s="384"/>
      <c r="BI680" s="384"/>
      <c r="BJ680" s="385"/>
      <c r="BK680" s="385"/>
      <c r="BL680" s="385"/>
      <c r="BM680" s="385"/>
      <c r="BN680" s="385"/>
      <c r="BO680" s="385"/>
      <c r="BP680" s="385"/>
      <c r="BQ680" s="385"/>
      <c r="BR680" s="385"/>
      <c r="BS680" s="385"/>
      <c r="BT680" s="385"/>
      <c r="BU680" s="385"/>
      <c r="BV680" s="385"/>
      <c r="BW680" s="385"/>
      <c r="BX680" s="385"/>
      <c r="BY680" s="385"/>
      <c r="BZ680" s="385"/>
      <c r="CA680" s="385"/>
      <c r="CB680" s="23" t="s">
        <v>1</v>
      </c>
      <c r="CC680" s="386" t="s">
        <v>464</v>
      </c>
      <c r="CD680" s="386">
        <v>999</v>
      </c>
      <c r="CE680" s="386" t="s">
        <v>675</v>
      </c>
      <c r="DJ680" s="22" t="b">
        <v>1</v>
      </c>
      <c r="DK680" s="388"/>
      <c r="DL680" s="388"/>
      <c r="DM680" s="388"/>
      <c r="DN680" s="388"/>
      <c r="DO680" s="388"/>
      <c r="DP680" s="389"/>
      <c r="DQ680" s="388"/>
      <c r="DR680" s="57" t="str">
        <f t="shared" si="18"/>
        <v/>
      </c>
      <c r="DS680" s="388"/>
      <c r="DU680" s="1" t="s">
        <v>280</v>
      </c>
      <c r="DV680" s="390"/>
      <c r="EA680" s="390"/>
      <c r="EB680" s="390"/>
      <c r="EC680" s="390"/>
      <c r="ED680" s="390"/>
    </row>
    <row r="681" spans="1:134" s="23" customFormat="1" x14ac:dyDescent="0.15">
      <c r="B681" s="378"/>
      <c r="C681" s="40"/>
      <c r="AB681" s="353">
        <v>66060003</v>
      </c>
      <c r="AC681" s="381" t="s">
        <v>975</v>
      </c>
      <c r="AD681" s="380" t="s">
        <v>330</v>
      </c>
      <c r="AE681" s="380" t="s">
        <v>811</v>
      </c>
      <c r="AF681" s="380" t="s">
        <v>314</v>
      </c>
      <c r="AG681" s="380"/>
      <c r="AH681" s="380"/>
      <c r="AI681" s="380"/>
      <c r="AJ681" s="380">
        <v>2</v>
      </c>
      <c r="AK681" s="380"/>
      <c r="AL681" s="382"/>
      <c r="AM681" s="382"/>
      <c r="AN681" s="382"/>
      <c r="AO681" s="382"/>
      <c r="AP681" s="382"/>
      <c r="AQ681" s="382"/>
      <c r="AR681" s="382"/>
      <c r="AU681" s="382"/>
      <c r="AV681" s="382"/>
      <c r="AW681" s="382"/>
      <c r="AX681" s="382"/>
      <c r="AY681" s="382"/>
      <c r="AZ681" s="382"/>
      <c r="BA681" s="383" t="s">
        <v>270</v>
      </c>
      <c r="BB681" s="384">
        <v>0.08</v>
      </c>
      <c r="BC681" s="384"/>
      <c r="BD681" s="384"/>
      <c r="BE681" s="384"/>
      <c r="BF681" s="384"/>
      <c r="BG681" s="384"/>
      <c r="BH681" s="384"/>
      <c r="BI681" s="384"/>
      <c r="BJ681" s="385"/>
      <c r="BK681" s="385"/>
      <c r="BL681" s="385"/>
      <c r="BM681" s="385"/>
      <c r="BN681" s="385"/>
      <c r="BO681" s="385"/>
      <c r="BP681" s="385"/>
      <c r="BQ681" s="385"/>
      <c r="BR681" s="385"/>
      <c r="BS681" s="385"/>
      <c r="BT681" s="385"/>
      <c r="BU681" s="385"/>
      <c r="BV681" s="385"/>
      <c r="BW681" s="385"/>
      <c r="BX681" s="385"/>
      <c r="BY681" s="385"/>
      <c r="BZ681" s="385"/>
      <c r="CA681" s="385"/>
      <c r="CB681" s="385"/>
      <c r="CC681" s="385"/>
      <c r="CD681" s="385"/>
      <c r="CE681" s="385"/>
      <c r="DJ681" s="22" t="b">
        <v>1</v>
      </c>
      <c r="DK681" s="388"/>
      <c r="DL681" s="388"/>
      <c r="DM681" s="388"/>
      <c r="DN681" s="388"/>
      <c r="DO681" s="388"/>
      <c r="DP681" s="389"/>
      <c r="DQ681" s="388"/>
      <c r="DR681" s="57" t="str">
        <f t="shared" si="18"/>
        <v/>
      </c>
      <c r="DS681" s="388"/>
      <c r="DU681" s="1" t="s">
        <v>280</v>
      </c>
      <c r="DV681" s="390"/>
      <c r="EA681" s="390"/>
      <c r="EB681" s="390"/>
      <c r="EC681" s="390"/>
      <c r="ED681" s="390"/>
    </row>
    <row r="682" spans="1:134" s="23" customFormat="1" x14ac:dyDescent="0.15">
      <c r="A682" s="23">
        <v>661235</v>
      </c>
      <c r="B682" s="378" t="s">
        <v>1024</v>
      </c>
      <c r="C682" s="40" t="s">
        <v>1025</v>
      </c>
      <c r="D682" s="23" t="s">
        <v>956</v>
      </c>
      <c r="E682" s="23">
        <v>660200</v>
      </c>
      <c r="H682" s="379">
        <v>1</v>
      </c>
      <c r="L682" s="23">
        <v>0</v>
      </c>
      <c r="Q682" s="23" t="s">
        <v>431</v>
      </c>
      <c r="W682" s="23" t="b">
        <v>1</v>
      </c>
      <c r="X682" s="23">
        <v>1</v>
      </c>
      <c r="Y682" s="23">
        <v>0</v>
      </c>
      <c r="Z682" s="23">
        <v>0</v>
      </c>
      <c r="AB682" s="353">
        <v>66100001</v>
      </c>
      <c r="AC682" s="17" t="s">
        <v>815</v>
      </c>
      <c r="AD682" s="17"/>
      <c r="AE682" s="380" t="s">
        <v>291</v>
      </c>
      <c r="AF682" s="22" t="s">
        <v>437</v>
      </c>
      <c r="AG682" s="380"/>
      <c r="AH682" s="380"/>
      <c r="AI682" s="380"/>
      <c r="AJ682" s="380">
        <v>-1</v>
      </c>
      <c r="AK682" s="380"/>
      <c r="AL682" s="382"/>
      <c r="AM682" s="382"/>
      <c r="AN682" s="382"/>
      <c r="AO682" s="382"/>
      <c r="AP682" s="382"/>
      <c r="AQ682" s="382"/>
      <c r="AR682" s="382"/>
      <c r="AU682" s="382"/>
      <c r="AV682" s="382"/>
      <c r="AW682" s="382"/>
      <c r="AX682" s="382"/>
      <c r="AY682" s="382"/>
      <c r="AZ682" s="382"/>
      <c r="BA682" s="383"/>
      <c r="BB682" s="384"/>
      <c r="BC682" s="384"/>
      <c r="BD682" s="384"/>
      <c r="BE682" s="384"/>
      <c r="BF682" s="384"/>
      <c r="BG682" s="384"/>
      <c r="BH682" s="384"/>
      <c r="BI682" s="384"/>
      <c r="BJ682" s="385"/>
      <c r="BK682" s="385"/>
      <c r="BL682" s="385"/>
      <c r="BM682" s="385"/>
      <c r="BN682" s="385"/>
      <c r="BO682" s="385"/>
      <c r="BP682" s="385"/>
      <c r="BQ682" s="385"/>
      <c r="BR682" s="385"/>
      <c r="BS682" s="385"/>
      <c r="BT682" s="385"/>
      <c r="BU682" s="385"/>
      <c r="BV682" s="385"/>
      <c r="BW682" s="385"/>
      <c r="BX682" s="385"/>
      <c r="BY682" s="385"/>
      <c r="BZ682" s="385"/>
      <c r="CA682" s="385"/>
      <c r="CB682" s="385"/>
      <c r="CC682" s="385"/>
      <c r="CD682" s="385"/>
      <c r="CE682" s="385"/>
      <c r="CX682" s="387" t="s">
        <v>273</v>
      </c>
      <c r="DD682" s="362" t="s">
        <v>274</v>
      </c>
      <c r="DE682" s="23" t="s">
        <v>978</v>
      </c>
      <c r="DJ682" s="22" t="b">
        <v>1</v>
      </c>
      <c r="DK682" s="388" t="s">
        <v>1026</v>
      </c>
      <c r="DL682" s="388"/>
      <c r="DM682" s="388"/>
      <c r="DN682" s="388"/>
      <c r="DO682" s="388"/>
      <c r="DP682" s="389"/>
      <c r="DQ682" s="388" t="s">
        <v>1026</v>
      </c>
      <c r="DR682" s="57" t="str">
        <f t="shared" si="18"/>
        <v/>
      </c>
      <c r="DS682" s="388" t="s">
        <v>1027</v>
      </c>
      <c r="DU682" s="1" t="s">
        <v>280</v>
      </c>
      <c r="DV682" s="390"/>
      <c r="EA682" s="390"/>
      <c r="EB682" s="390"/>
      <c r="EC682" s="390"/>
      <c r="ED682" s="390"/>
    </row>
    <row r="683" spans="1:134" s="23" customFormat="1" ht="49.5" customHeight="1" x14ac:dyDescent="0.15">
      <c r="B683" s="378"/>
      <c r="C683" s="40"/>
      <c r="AB683" s="353">
        <v>66100002</v>
      </c>
      <c r="AC683" s="17" t="s">
        <v>819</v>
      </c>
      <c r="AD683" s="380" t="s">
        <v>330</v>
      </c>
      <c r="AE683" s="380" t="s">
        <v>820</v>
      </c>
      <c r="AF683" s="380" t="s">
        <v>314</v>
      </c>
      <c r="AG683" s="380"/>
      <c r="AH683" s="380"/>
      <c r="AI683" s="380"/>
      <c r="AJ683" s="380"/>
      <c r="AK683" s="380"/>
      <c r="AL683" s="382"/>
      <c r="AM683" s="382"/>
      <c r="AN683" s="382"/>
      <c r="AO683" s="382"/>
      <c r="AP683" s="382"/>
      <c r="AQ683" s="382"/>
      <c r="AR683" s="382"/>
      <c r="AU683" s="382"/>
      <c r="AV683" s="382"/>
      <c r="AW683" s="382"/>
      <c r="AX683" s="382"/>
      <c r="AY683" s="382"/>
      <c r="AZ683" s="382"/>
      <c r="BA683" s="383"/>
      <c r="BB683" s="384"/>
      <c r="BC683" s="384"/>
      <c r="BD683" s="384"/>
      <c r="BE683" s="384"/>
      <c r="BF683" s="384"/>
      <c r="BG683" s="384"/>
      <c r="BH683" s="384"/>
      <c r="BI683" s="384"/>
      <c r="BJ683" s="385"/>
      <c r="BK683" s="385"/>
      <c r="BL683" s="385"/>
      <c r="BM683" s="385"/>
      <c r="BN683" s="385"/>
      <c r="BO683" s="385"/>
      <c r="BP683" s="385"/>
      <c r="BQ683" s="385"/>
      <c r="BR683" s="385"/>
      <c r="BS683" s="385"/>
      <c r="BT683" s="385"/>
      <c r="BU683" s="385"/>
      <c r="BV683" s="385"/>
      <c r="BW683" s="385"/>
      <c r="BX683" s="385"/>
      <c r="BY683" s="385"/>
      <c r="BZ683" s="385"/>
      <c r="CA683" s="385"/>
      <c r="CB683" s="23" t="s">
        <v>1</v>
      </c>
      <c r="CC683" s="386" t="s">
        <v>464</v>
      </c>
      <c r="CD683" s="386">
        <v>999</v>
      </c>
      <c r="CE683" s="386" t="s">
        <v>675</v>
      </c>
      <c r="DJ683" s="22" t="b">
        <v>1</v>
      </c>
      <c r="DK683" s="388"/>
      <c r="DL683" s="388"/>
      <c r="DM683" s="388"/>
      <c r="DN683" s="388"/>
      <c r="DO683" s="388"/>
      <c r="DP683" s="389"/>
      <c r="DQ683" s="388"/>
      <c r="DR683" s="57" t="str">
        <f t="shared" si="18"/>
        <v/>
      </c>
      <c r="DS683" s="388"/>
      <c r="DU683" s="1" t="s">
        <v>280</v>
      </c>
      <c r="DV683" s="390"/>
      <c r="EA683" s="390"/>
      <c r="EB683" s="390"/>
      <c r="EC683" s="390"/>
      <c r="ED683" s="390"/>
    </row>
    <row r="684" spans="1:134" s="23" customFormat="1" x14ac:dyDescent="0.15">
      <c r="B684" s="378"/>
      <c r="C684" s="40"/>
      <c r="AB684" s="353">
        <v>66100003</v>
      </c>
      <c r="AC684" s="135" t="s">
        <v>981</v>
      </c>
      <c r="AD684" s="380" t="s">
        <v>330</v>
      </c>
      <c r="AE684" s="380" t="s">
        <v>811</v>
      </c>
      <c r="AF684" s="380" t="s">
        <v>314</v>
      </c>
      <c r="AG684" s="380"/>
      <c r="AH684" s="380"/>
      <c r="AI684" s="380"/>
      <c r="AJ684" s="380">
        <v>2</v>
      </c>
      <c r="AK684" s="380"/>
      <c r="AL684" s="382"/>
      <c r="AM684" s="382"/>
      <c r="AN684" s="382"/>
      <c r="AO684" s="382"/>
      <c r="AP684" s="382"/>
      <c r="AQ684" s="382"/>
      <c r="AR684" s="382"/>
      <c r="AU684" s="382"/>
      <c r="AV684" s="382"/>
      <c r="AW684" s="382"/>
      <c r="AX684" s="382"/>
      <c r="AY684" s="382"/>
      <c r="AZ684" s="382"/>
      <c r="BA684" s="383" t="s">
        <v>270</v>
      </c>
      <c r="BB684" s="384">
        <v>0.08</v>
      </c>
      <c r="BC684" s="384"/>
      <c r="BD684" s="384"/>
      <c r="BE684" s="384"/>
      <c r="BF684" s="384"/>
      <c r="BG684" s="384"/>
      <c r="BH684" s="384"/>
      <c r="BI684" s="384"/>
      <c r="BJ684" s="385"/>
      <c r="BK684" s="385"/>
      <c r="BL684" s="385"/>
      <c r="BM684" s="385"/>
      <c r="BN684" s="385"/>
      <c r="BO684" s="385"/>
      <c r="BP684" s="385"/>
      <c r="BQ684" s="385"/>
      <c r="BR684" s="385"/>
      <c r="BS684" s="385"/>
      <c r="BT684" s="385"/>
      <c r="BU684" s="385"/>
      <c r="BV684" s="385"/>
      <c r="BW684" s="385"/>
      <c r="BX684" s="385"/>
      <c r="BY684" s="385"/>
      <c r="BZ684" s="385"/>
      <c r="CA684" s="385"/>
      <c r="CB684" s="385"/>
      <c r="CC684" s="385"/>
      <c r="CD684" s="385"/>
      <c r="CE684" s="385"/>
      <c r="DJ684" s="22" t="b">
        <v>1</v>
      </c>
      <c r="DK684" s="388"/>
      <c r="DL684" s="388"/>
      <c r="DM684" s="388"/>
      <c r="DN684" s="388"/>
      <c r="DO684" s="388"/>
      <c r="DP684" s="389"/>
      <c r="DQ684" s="388"/>
      <c r="DR684" s="57" t="str">
        <f t="shared" si="18"/>
        <v/>
      </c>
      <c r="DS684" s="388"/>
      <c r="DU684" s="1" t="s">
        <v>280</v>
      </c>
      <c r="DV684" s="390"/>
      <c r="EA684" s="390"/>
      <c r="EB684" s="390"/>
      <c r="EC684" s="390"/>
      <c r="ED684" s="390"/>
    </row>
    <row r="685" spans="1:134" s="23" customFormat="1" x14ac:dyDescent="0.15">
      <c r="A685" s="23">
        <v>661236</v>
      </c>
      <c r="B685" s="378" t="s">
        <v>1024</v>
      </c>
      <c r="C685" s="40" t="s">
        <v>1025</v>
      </c>
      <c r="D685" s="23" t="s">
        <v>961</v>
      </c>
      <c r="E685" s="23">
        <v>660200</v>
      </c>
      <c r="H685" s="379">
        <v>1</v>
      </c>
      <c r="L685" s="23">
        <v>0</v>
      </c>
      <c r="Q685" s="23" t="s">
        <v>431</v>
      </c>
      <c r="W685" s="23" t="b">
        <v>1</v>
      </c>
      <c r="X685" s="23">
        <v>1</v>
      </c>
      <c r="Y685" s="23">
        <v>0</v>
      </c>
      <c r="Z685" s="23">
        <v>0</v>
      </c>
      <c r="AB685" s="353">
        <v>66120001</v>
      </c>
      <c r="AC685" s="17" t="s">
        <v>815</v>
      </c>
      <c r="AD685" s="17"/>
      <c r="AE685" s="380" t="s">
        <v>291</v>
      </c>
      <c r="AF685" s="22" t="s">
        <v>437</v>
      </c>
      <c r="AG685" s="380"/>
      <c r="AH685" s="380"/>
      <c r="AI685" s="380"/>
      <c r="AJ685" s="380">
        <v>-1</v>
      </c>
      <c r="AK685" s="380"/>
      <c r="AL685" s="382"/>
      <c r="AM685" s="382"/>
      <c r="AN685" s="382"/>
      <c r="AO685" s="382"/>
      <c r="AP685" s="382"/>
      <c r="AQ685" s="382"/>
      <c r="AR685" s="382"/>
      <c r="AU685" s="382"/>
      <c r="AV685" s="382"/>
      <c r="AW685" s="382"/>
      <c r="AX685" s="382"/>
      <c r="AY685" s="382"/>
      <c r="AZ685" s="382"/>
      <c r="BA685" s="383"/>
      <c r="BB685" s="384"/>
      <c r="BC685" s="384"/>
      <c r="BD685" s="384"/>
      <c r="BE685" s="384"/>
      <c r="BF685" s="384"/>
      <c r="BG685" s="384"/>
      <c r="BH685" s="384"/>
      <c r="BI685" s="384"/>
      <c r="BJ685" s="385"/>
      <c r="BK685" s="385"/>
      <c r="BL685" s="385"/>
      <c r="BM685" s="385"/>
      <c r="BN685" s="385"/>
      <c r="BO685" s="385"/>
      <c r="BP685" s="385"/>
      <c r="BQ685" s="385"/>
      <c r="BR685" s="385"/>
      <c r="BS685" s="385"/>
      <c r="BT685" s="385"/>
      <c r="BU685" s="385"/>
      <c r="BV685" s="385"/>
      <c r="BW685" s="385"/>
      <c r="BX685" s="385"/>
      <c r="BY685" s="385"/>
      <c r="BZ685" s="385"/>
      <c r="CA685" s="385"/>
      <c r="CB685" s="385"/>
      <c r="CC685" s="385"/>
      <c r="CD685" s="385"/>
      <c r="CE685" s="385"/>
      <c r="CX685" s="387" t="s">
        <v>273</v>
      </c>
      <c r="DD685" s="362" t="s">
        <v>274</v>
      </c>
      <c r="DE685" s="23" t="s">
        <v>982</v>
      </c>
      <c r="DJ685" s="22" t="b">
        <v>1</v>
      </c>
      <c r="DK685" s="388" t="s">
        <v>1028</v>
      </c>
      <c r="DL685" s="388"/>
      <c r="DM685" s="388"/>
      <c r="DN685" s="388"/>
      <c r="DO685" s="388"/>
      <c r="DP685" s="389"/>
      <c r="DQ685" s="388" t="s">
        <v>1028</v>
      </c>
      <c r="DR685" s="57" t="str">
        <f t="shared" si="18"/>
        <v/>
      </c>
      <c r="DS685" s="388" t="s">
        <v>1029</v>
      </c>
      <c r="DU685" s="1" t="s">
        <v>280</v>
      </c>
      <c r="DV685" s="390"/>
      <c r="EA685" s="390"/>
      <c r="EB685" s="390"/>
      <c r="EC685" s="390"/>
      <c r="ED685" s="390"/>
    </row>
    <row r="686" spans="1:134" s="23" customFormat="1" ht="49.5" customHeight="1" x14ac:dyDescent="0.15">
      <c r="B686" s="378"/>
      <c r="C686" s="40"/>
      <c r="AB686" s="353">
        <v>66120002</v>
      </c>
      <c r="AC686" s="17" t="s">
        <v>819</v>
      </c>
      <c r="AD686" s="380" t="s">
        <v>330</v>
      </c>
      <c r="AE686" s="380" t="s">
        <v>820</v>
      </c>
      <c r="AF686" s="380" t="s">
        <v>314</v>
      </c>
      <c r="AG686" s="380"/>
      <c r="AH686" s="380"/>
      <c r="AI686" s="380"/>
      <c r="AJ686" s="380"/>
      <c r="AK686" s="380"/>
      <c r="AL686" s="382"/>
      <c r="AM686" s="382"/>
      <c r="AN686" s="382"/>
      <c r="AO686" s="382"/>
      <c r="AP686" s="382"/>
      <c r="AQ686" s="382"/>
      <c r="AR686" s="382"/>
      <c r="AU686" s="382"/>
      <c r="AV686" s="382"/>
      <c r="AW686" s="382"/>
      <c r="AX686" s="382"/>
      <c r="AY686" s="382"/>
      <c r="AZ686" s="382"/>
      <c r="BA686" s="383"/>
      <c r="BB686" s="384"/>
      <c r="BC686" s="384"/>
      <c r="BD686" s="384"/>
      <c r="BE686" s="384"/>
      <c r="BF686" s="384"/>
      <c r="BG686" s="384"/>
      <c r="BH686" s="384"/>
      <c r="BI686" s="384"/>
      <c r="BJ686" s="385"/>
      <c r="BK686" s="385"/>
      <c r="BL686" s="385"/>
      <c r="BM686" s="385"/>
      <c r="BN686" s="385"/>
      <c r="BO686" s="385"/>
      <c r="BP686" s="385"/>
      <c r="BQ686" s="385"/>
      <c r="BR686" s="385"/>
      <c r="BS686" s="385"/>
      <c r="BT686" s="385"/>
      <c r="BU686" s="385"/>
      <c r="BV686" s="385"/>
      <c r="BW686" s="385"/>
      <c r="BX686" s="385"/>
      <c r="BY686" s="385"/>
      <c r="BZ686" s="385"/>
      <c r="CA686" s="385"/>
      <c r="CB686" s="23" t="s">
        <v>1</v>
      </c>
      <c r="CC686" s="386" t="s">
        <v>464</v>
      </c>
      <c r="CD686" s="386">
        <v>999</v>
      </c>
      <c r="CE686" s="386" t="s">
        <v>675</v>
      </c>
      <c r="DJ686" s="22" t="b">
        <v>1</v>
      </c>
      <c r="DK686" s="388"/>
      <c r="DL686" s="388"/>
      <c r="DM686" s="388"/>
      <c r="DN686" s="388"/>
      <c r="DO686" s="388"/>
      <c r="DP686" s="389"/>
      <c r="DQ686" s="388"/>
      <c r="DR686" s="57" t="str">
        <f t="shared" si="18"/>
        <v/>
      </c>
      <c r="DS686" s="388"/>
      <c r="DU686" s="1" t="s">
        <v>280</v>
      </c>
      <c r="DV686" s="390"/>
      <c r="EA686" s="390"/>
      <c r="EB686" s="390"/>
      <c r="EC686" s="390"/>
      <c r="ED686" s="390"/>
    </row>
    <row r="687" spans="1:134" s="23" customFormat="1" x14ac:dyDescent="0.15">
      <c r="B687" s="378"/>
      <c r="C687" s="40"/>
      <c r="AB687" s="353">
        <v>66120003</v>
      </c>
      <c r="AC687" s="135" t="s">
        <v>985</v>
      </c>
      <c r="AD687" s="380" t="s">
        <v>330</v>
      </c>
      <c r="AE687" s="380" t="s">
        <v>811</v>
      </c>
      <c r="AF687" s="380" t="s">
        <v>314</v>
      </c>
      <c r="AG687" s="380"/>
      <c r="AH687" s="380"/>
      <c r="AI687" s="380"/>
      <c r="AJ687" s="380">
        <v>2</v>
      </c>
      <c r="AK687" s="380"/>
      <c r="AL687" s="382"/>
      <c r="AM687" s="382"/>
      <c r="AN687" s="382"/>
      <c r="AO687" s="382"/>
      <c r="AP687" s="382"/>
      <c r="AQ687" s="382"/>
      <c r="AR687" s="382"/>
      <c r="AU687" s="382"/>
      <c r="AV687" s="382"/>
      <c r="AW687" s="382"/>
      <c r="AX687" s="382"/>
      <c r="AY687" s="382"/>
      <c r="AZ687" s="382"/>
      <c r="BA687" s="383" t="s">
        <v>270</v>
      </c>
      <c r="BB687" s="384">
        <v>0.08</v>
      </c>
      <c r="BC687" s="384"/>
      <c r="BD687" s="384"/>
      <c r="BE687" s="384"/>
      <c r="BF687" s="384"/>
      <c r="BG687" s="384"/>
      <c r="BH687" s="384"/>
      <c r="BI687" s="384"/>
      <c r="BJ687" s="385"/>
      <c r="BK687" s="385"/>
      <c r="BL687" s="385"/>
      <c r="BM687" s="385"/>
      <c r="BN687" s="385"/>
      <c r="BO687" s="385"/>
      <c r="BP687" s="385"/>
      <c r="BQ687" s="385"/>
      <c r="BR687" s="385"/>
      <c r="BS687" s="385"/>
      <c r="BT687" s="385"/>
      <c r="BU687" s="385"/>
      <c r="BV687" s="385"/>
      <c r="BW687" s="385"/>
      <c r="BX687" s="385"/>
      <c r="BY687" s="385"/>
      <c r="BZ687" s="385"/>
      <c r="CA687" s="385"/>
      <c r="CB687" s="385"/>
      <c r="CC687" s="385"/>
      <c r="CD687" s="385"/>
      <c r="CE687" s="385"/>
      <c r="DJ687" s="22" t="b">
        <v>1</v>
      </c>
      <c r="DK687" s="388"/>
      <c r="DL687" s="388"/>
      <c r="DM687" s="388"/>
      <c r="DN687" s="388"/>
      <c r="DO687" s="388"/>
      <c r="DP687" s="389"/>
      <c r="DQ687" s="388"/>
      <c r="DR687" s="57" t="str">
        <f t="shared" si="18"/>
        <v/>
      </c>
      <c r="DS687" s="388"/>
      <c r="DU687" s="1" t="s">
        <v>280</v>
      </c>
      <c r="DV687" s="390"/>
      <c r="EA687" s="390"/>
      <c r="EB687" s="390"/>
      <c r="EC687" s="390"/>
      <c r="ED687" s="390"/>
    </row>
    <row r="688" spans="1:134" s="23" customFormat="1" x14ac:dyDescent="0.15">
      <c r="A688" s="23">
        <v>661237</v>
      </c>
      <c r="B688" s="378" t="s">
        <v>1024</v>
      </c>
      <c r="C688" s="40" t="s">
        <v>1025</v>
      </c>
      <c r="D688" s="23" t="s">
        <v>966</v>
      </c>
      <c r="E688" s="23">
        <v>660200</v>
      </c>
      <c r="H688" s="379">
        <v>1</v>
      </c>
      <c r="L688" s="23">
        <v>0</v>
      </c>
      <c r="Q688" s="23" t="s">
        <v>431</v>
      </c>
      <c r="W688" s="23" t="b">
        <v>1</v>
      </c>
      <c r="X688" s="23">
        <v>1</v>
      </c>
      <c r="Y688" s="23">
        <v>0</v>
      </c>
      <c r="Z688" s="23">
        <v>0</v>
      </c>
      <c r="AB688" s="353">
        <v>66040001</v>
      </c>
      <c r="AC688" s="17" t="s">
        <v>815</v>
      </c>
      <c r="AD688" s="17"/>
      <c r="AE688" s="380" t="s">
        <v>291</v>
      </c>
      <c r="AF688" s="22" t="s">
        <v>437</v>
      </c>
      <c r="AG688" s="380"/>
      <c r="AH688" s="380"/>
      <c r="AI688" s="380"/>
      <c r="AJ688" s="380">
        <v>-1</v>
      </c>
      <c r="AK688" s="380"/>
      <c r="AL688" s="382"/>
      <c r="AM688" s="382"/>
      <c r="AN688" s="382"/>
      <c r="AO688" s="382"/>
      <c r="AP688" s="382"/>
      <c r="AQ688" s="382"/>
      <c r="AR688" s="382"/>
      <c r="AU688" s="382"/>
      <c r="AV688" s="382"/>
      <c r="AW688" s="382"/>
      <c r="AX688" s="382"/>
      <c r="AY688" s="382"/>
      <c r="AZ688" s="382"/>
      <c r="BA688" s="383"/>
      <c r="BB688" s="384"/>
      <c r="BC688" s="384"/>
      <c r="BD688" s="384"/>
      <c r="BE688" s="384"/>
      <c r="BF688" s="384"/>
      <c r="BG688" s="384"/>
      <c r="BH688" s="384"/>
      <c r="BI688" s="384"/>
      <c r="BJ688" s="385"/>
      <c r="BK688" s="385"/>
      <c r="BL688" s="385"/>
      <c r="BM688" s="385"/>
      <c r="BN688" s="385"/>
      <c r="BO688" s="385"/>
      <c r="BP688" s="385"/>
      <c r="BQ688" s="385"/>
      <c r="BR688" s="385"/>
      <c r="BS688" s="385"/>
      <c r="BT688" s="385"/>
      <c r="BU688" s="385"/>
      <c r="BV688" s="385"/>
      <c r="BW688" s="385"/>
      <c r="BX688" s="385"/>
      <c r="BY688" s="385"/>
      <c r="BZ688" s="385"/>
      <c r="CA688" s="385"/>
      <c r="CB688" s="385"/>
      <c r="CC688" s="385"/>
      <c r="CD688" s="385"/>
      <c r="CE688" s="385"/>
      <c r="CX688" s="387" t="s">
        <v>273</v>
      </c>
      <c r="DD688" s="362" t="s">
        <v>274</v>
      </c>
      <c r="DE688" s="23" t="s">
        <v>986</v>
      </c>
      <c r="DJ688" s="22" t="b">
        <v>1</v>
      </c>
      <c r="DK688" s="388" t="s">
        <v>1030</v>
      </c>
      <c r="DL688" s="388"/>
      <c r="DM688" s="388"/>
      <c r="DN688" s="388"/>
      <c r="DO688" s="388"/>
      <c r="DP688" s="389"/>
      <c r="DQ688" s="388" t="s">
        <v>1030</v>
      </c>
      <c r="DR688" s="57" t="str">
        <f t="shared" si="18"/>
        <v/>
      </c>
      <c r="DS688" s="388" t="s">
        <v>1031</v>
      </c>
      <c r="DU688" s="1" t="s">
        <v>280</v>
      </c>
      <c r="DV688" s="390"/>
      <c r="EA688" s="390"/>
      <c r="EB688" s="390"/>
      <c r="EC688" s="390"/>
      <c r="ED688" s="390"/>
    </row>
    <row r="689" spans="1:149" s="23" customFormat="1" ht="49.5" customHeight="1" x14ac:dyDescent="0.15">
      <c r="B689" s="378"/>
      <c r="C689" s="40"/>
      <c r="AB689" s="353">
        <v>66040002</v>
      </c>
      <c r="AC689" s="17" t="s">
        <v>819</v>
      </c>
      <c r="AD689" s="380" t="s">
        <v>330</v>
      </c>
      <c r="AE689" s="380" t="s">
        <v>820</v>
      </c>
      <c r="AF689" s="380" t="s">
        <v>314</v>
      </c>
      <c r="AG689" s="380"/>
      <c r="AH689" s="380"/>
      <c r="AI689" s="380"/>
      <c r="AJ689" s="380"/>
      <c r="AK689" s="380"/>
      <c r="AL689" s="382"/>
      <c r="AM689" s="382"/>
      <c r="AN689" s="382"/>
      <c r="AO689" s="382"/>
      <c r="AP689" s="382"/>
      <c r="AQ689" s="382"/>
      <c r="AR689" s="382"/>
      <c r="AU689" s="382"/>
      <c r="AV689" s="382"/>
      <c r="AW689" s="382"/>
      <c r="AX689" s="382"/>
      <c r="AY689" s="382"/>
      <c r="AZ689" s="382"/>
      <c r="BA689" s="383"/>
      <c r="BB689" s="384"/>
      <c r="BC689" s="384"/>
      <c r="BD689" s="384"/>
      <c r="BE689" s="384"/>
      <c r="BF689" s="384"/>
      <c r="BG689" s="384"/>
      <c r="BH689" s="384"/>
      <c r="BI689" s="384"/>
      <c r="BJ689" s="385"/>
      <c r="BK689" s="385"/>
      <c r="BL689" s="385"/>
      <c r="BM689" s="385"/>
      <c r="BN689" s="385"/>
      <c r="BO689" s="385"/>
      <c r="BP689" s="385"/>
      <c r="BQ689" s="385"/>
      <c r="BR689" s="385"/>
      <c r="BS689" s="385"/>
      <c r="BT689" s="385"/>
      <c r="BU689" s="385"/>
      <c r="BV689" s="385"/>
      <c r="BW689" s="385"/>
      <c r="BX689" s="385"/>
      <c r="BY689" s="385"/>
      <c r="BZ689" s="385"/>
      <c r="CA689" s="385"/>
      <c r="CB689" s="23" t="s">
        <v>1</v>
      </c>
      <c r="CC689" s="386" t="s">
        <v>464</v>
      </c>
      <c r="CD689" s="386">
        <v>999</v>
      </c>
      <c r="CE689" s="386" t="s">
        <v>675</v>
      </c>
      <c r="DJ689" s="22" t="b">
        <v>1</v>
      </c>
      <c r="DK689" s="388"/>
      <c r="DL689" s="388"/>
      <c r="DM689" s="388"/>
      <c r="DN689" s="388"/>
      <c r="DO689" s="388"/>
      <c r="DP689" s="389"/>
      <c r="DQ689" s="388"/>
      <c r="DR689" s="57" t="str">
        <f t="shared" si="18"/>
        <v/>
      </c>
      <c r="DS689" s="388"/>
      <c r="DU689" s="1" t="s">
        <v>280</v>
      </c>
      <c r="DV689" s="390"/>
      <c r="EA689" s="390"/>
      <c r="EB689" s="390"/>
      <c r="EC689" s="390"/>
      <c r="ED689" s="390"/>
    </row>
    <row r="690" spans="1:149" s="23" customFormat="1" x14ac:dyDescent="0.15">
      <c r="B690" s="378"/>
      <c r="C690" s="40"/>
      <c r="AB690" s="353">
        <v>66040003</v>
      </c>
      <c r="AC690" s="135" t="s">
        <v>989</v>
      </c>
      <c r="AD690" s="380" t="s">
        <v>330</v>
      </c>
      <c r="AE690" s="380" t="s">
        <v>811</v>
      </c>
      <c r="AF690" s="380" t="s">
        <v>314</v>
      </c>
      <c r="AG690" s="380"/>
      <c r="AH690" s="380"/>
      <c r="AI690" s="380"/>
      <c r="AJ690" s="380">
        <v>2</v>
      </c>
      <c r="AK690" s="380"/>
      <c r="AL690" s="382"/>
      <c r="AM690" s="382"/>
      <c r="AN690" s="382"/>
      <c r="AO690" s="382"/>
      <c r="AP690" s="382"/>
      <c r="AQ690" s="382"/>
      <c r="AR690" s="382"/>
      <c r="AU690" s="382"/>
      <c r="AV690" s="382"/>
      <c r="AW690" s="382"/>
      <c r="AX690" s="382"/>
      <c r="AY690" s="382"/>
      <c r="AZ690" s="382"/>
      <c r="BA690" s="383" t="s">
        <v>270</v>
      </c>
      <c r="BB690" s="384">
        <v>0.08</v>
      </c>
      <c r="BC690" s="384"/>
      <c r="BD690" s="384"/>
      <c r="BE690" s="384"/>
      <c r="BF690" s="384"/>
      <c r="BG690" s="384"/>
      <c r="BH690" s="384"/>
      <c r="BI690" s="384"/>
      <c r="BJ690" s="385"/>
      <c r="BK690" s="385"/>
      <c r="BL690" s="385"/>
      <c r="BM690" s="385"/>
      <c r="BN690" s="385"/>
      <c r="BO690" s="385"/>
      <c r="BP690" s="385"/>
      <c r="BQ690" s="385"/>
      <c r="BR690" s="385"/>
      <c r="BS690" s="385"/>
      <c r="BT690" s="385"/>
      <c r="BU690" s="385"/>
      <c r="BV690" s="385"/>
      <c r="BW690" s="385"/>
      <c r="BX690" s="385"/>
      <c r="BY690" s="385"/>
      <c r="BZ690" s="385"/>
      <c r="CA690" s="385"/>
      <c r="CB690" s="385"/>
      <c r="CC690" s="385"/>
      <c r="CD690" s="385"/>
      <c r="CE690" s="385"/>
      <c r="DJ690" s="22" t="b">
        <v>1</v>
      </c>
      <c r="DK690" s="388"/>
      <c r="DL690" s="388"/>
      <c r="DM690" s="388"/>
      <c r="DN690" s="388"/>
      <c r="DO690" s="388"/>
      <c r="DP690" s="389"/>
      <c r="DQ690" s="388"/>
      <c r="DR690" s="57" t="str">
        <f t="shared" si="18"/>
        <v/>
      </c>
      <c r="DS690" s="388"/>
      <c r="DU690" s="1" t="s">
        <v>280</v>
      </c>
      <c r="DV690" s="390"/>
      <c r="EA690" s="390"/>
      <c r="EB690" s="390"/>
      <c r="EC690" s="390"/>
      <c r="ED690" s="390"/>
    </row>
    <row r="691" spans="1:149" s="23" customFormat="1" x14ac:dyDescent="0.15">
      <c r="A691" s="23">
        <v>661238</v>
      </c>
      <c r="B691" s="378" t="s">
        <v>1024</v>
      </c>
      <c r="C691" s="40" t="s">
        <v>1025</v>
      </c>
      <c r="D691" s="23" t="s">
        <v>971</v>
      </c>
      <c r="E691" s="23">
        <v>660200</v>
      </c>
      <c r="H691" s="379">
        <v>1</v>
      </c>
      <c r="L691" s="23">
        <v>0</v>
      </c>
      <c r="Q691" s="23" t="s">
        <v>431</v>
      </c>
      <c r="W691" s="23" t="b">
        <v>1</v>
      </c>
      <c r="X691" s="23">
        <v>1</v>
      </c>
      <c r="Y691" s="23">
        <v>0</v>
      </c>
      <c r="Z691" s="23">
        <v>0</v>
      </c>
      <c r="AB691" s="353">
        <v>66020001</v>
      </c>
      <c r="AC691" s="17" t="s">
        <v>815</v>
      </c>
      <c r="AD691" s="17"/>
      <c r="AE691" s="380" t="s">
        <v>291</v>
      </c>
      <c r="AF691" s="22" t="s">
        <v>437</v>
      </c>
      <c r="AG691" s="380"/>
      <c r="AH691" s="380"/>
      <c r="AI691" s="380"/>
      <c r="AJ691" s="380">
        <v>-1</v>
      </c>
      <c r="AK691" s="380"/>
      <c r="AL691" s="382"/>
      <c r="AM691" s="382"/>
      <c r="AN691" s="382"/>
      <c r="AO691" s="382"/>
      <c r="AP691" s="382"/>
      <c r="AQ691" s="382"/>
      <c r="AR691" s="382"/>
      <c r="AU691" s="382"/>
      <c r="AV691" s="382"/>
      <c r="AW691" s="382"/>
      <c r="AX691" s="382"/>
      <c r="AY691" s="382"/>
      <c r="AZ691" s="382"/>
      <c r="BA691" s="383"/>
      <c r="BB691" s="384"/>
      <c r="BC691" s="384"/>
      <c r="BD691" s="384"/>
      <c r="BE691" s="384"/>
      <c r="BF691" s="384"/>
      <c r="BG691" s="384"/>
      <c r="BH691" s="384"/>
      <c r="BI691" s="384"/>
      <c r="BJ691" s="385"/>
      <c r="BK691" s="385"/>
      <c r="BL691" s="385"/>
      <c r="BM691" s="385"/>
      <c r="BN691" s="385"/>
      <c r="BO691" s="385"/>
      <c r="BP691" s="385"/>
      <c r="BQ691" s="385"/>
      <c r="BR691" s="385"/>
      <c r="BS691" s="385"/>
      <c r="BT691" s="385"/>
      <c r="BU691" s="385"/>
      <c r="BV691" s="385"/>
      <c r="BW691" s="385"/>
      <c r="BX691" s="385"/>
      <c r="BY691" s="385"/>
      <c r="BZ691" s="385"/>
      <c r="CA691" s="385"/>
      <c r="CB691" s="385"/>
      <c r="CC691" s="385"/>
      <c r="CD691" s="385"/>
      <c r="CE691" s="385"/>
      <c r="CX691" s="387" t="s">
        <v>273</v>
      </c>
      <c r="DD691" s="362" t="s">
        <v>274</v>
      </c>
      <c r="DE691" s="23" t="s">
        <v>990</v>
      </c>
      <c r="DJ691" s="22" t="b">
        <v>1</v>
      </c>
      <c r="DK691" s="388" t="s">
        <v>1032</v>
      </c>
      <c r="DL691" s="388"/>
      <c r="DM691" s="388"/>
      <c r="DN691" s="388"/>
      <c r="DO691" s="388"/>
      <c r="DP691" s="389"/>
      <c r="DQ691" s="388" t="s">
        <v>1032</v>
      </c>
      <c r="DR691" s="57" t="str">
        <f t="shared" si="18"/>
        <v/>
      </c>
      <c r="DS691" s="388" t="s">
        <v>1033</v>
      </c>
      <c r="DU691" s="1" t="s">
        <v>280</v>
      </c>
      <c r="DV691" s="390"/>
      <c r="EA691" s="390"/>
      <c r="EB691" s="390"/>
      <c r="EC691" s="390"/>
      <c r="ED691" s="390"/>
    </row>
    <row r="692" spans="1:149" s="23" customFormat="1" ht="49.5" customHeight="1" x14ac:dyDescent="0.15">
      <c r="B692" s="378"/>
      <c r="C692" s="40"/>
      <c r="AB692" s="353">
        <v>66020002</v>
      </c>
      <c r="AC692" s="17" t="s">
        <v>819</v>
      </c>
      <c r="AD692" s="380" t="s">
        <v>330</v>
      </c>
      <c r="AE692" s="380" t="s">
        <v>820</v>
      </c>
      <c r="AF692" s="380" t="s">
        <v>314</v>
      </c>
      <c r="AG692" s="380"/>
      <c r="AH692" s="380"/>
      <c r="AI692" s="380"/>
      <c r="AJ692" s="380"/>
      <c r="AK692" s="380"/>
      <c r="AL692" s="382"/>
      <c r="AM692" s="382"/>
      <c r="AN692" s="382"/>
      <c r="AO692" s="382"/>
      <c r="AP692" s="382"/>
      <c r="AQ692" s="382"/>
      <c r="AR692" s="382"/>
      <c r="AU692" s="382"/>
      <c r="AV692" s="382"/>
      <c r="AW692" s="382"/>
      <c r="AX692" s="382"/>
      <c r="AY692" s="382"/>
      <c r="AZ692" s="382"/>
      <c r="BA692" s="383"/>
      <c r="BB692" s="384"/>
      <c r="BC692" s="384"/>
      <c r="BD692" s="384"/>
      <c r="BE692" s="384"/>
      <c r="BF692" s="384"/>
      <c r="BG692" s="384"/>
      <c r="BH692" s="384"/>
      <c r="BI692" s="384"/>
      <c r="BJ692" s="385"/>
      <c r="BK692" s="385"/>
      <c r="BL692" s="385"/>
      <c r="BM692" s="385"/>
      <c r="BN692" s="385"/>
      <c r="BO692" s="385"/>
      <c r="BP692" s="385"/>
      <c r="BQ692" s="385"/>
      <c r="BR692" s="385"/>
      <c r="BS692" s="385"/>
      <c r="BT692" s="385"/>
      <c r="BU692" s="385"/>
      <c r="BV692" s="385"/>
      <c r="BW692" s="385"/>
      <c r="BX692" s="385"/>
      <c r="BY692" s="385"/>
      <c r="BZ692" s="385"/>
      <c r="CA692" s="385"/>
      <c r="CB692" s="23" t="s">
        <v>1</v>
      </c>
      <c r="CC692" s="386" t="s">
        <v>464</v>
      </c>
      <c r="CD692" s="386">
        <v>999</v>
      </c>
      <c r="CE692" s="386" t="s">
        <v>675</v>
      </c>
      <c r="DJ692" s="22" t="b">
        <v>1</v>
      </c>
      <c r="DP692" s="363"/>
      <c r="DR692" s="57" t="str">
        <f t="shared" si="18"/>
        <v/>
      </c>
      <c r="DU692" s="1" t="s">
        <v>280</v>
      </c>
      <c r="DV692" s="390"/>
      <c r="EA692" s="390"/>
      <c r="EB692" s="390"/>
      <c r="EC692" s="390"/>
      <c r="ED692" s="390"/>
    </row>
    <row r="693" spans="1:149" s="24" customFormat="1" ht="39.950000000000003" customHeight="1" x14ac:dyDescent="0.15">
      <c r="A693" s="24">
        <v>700001</v>
      </c>
      <c r="B693" s="391" t="s">
        <v>1034</v>
      </c>
      <c r="C693" s="24" t="s">
        <v>1035</v>
      </c>
      <c r="D693" s="24" t="s">
        <v>1036</v>
      </c>
      <c r="E693" s="24">
        <v>700001</v>
      </c>
      <c r="H693" s="24">
        <v>0</v>
      </c>
      <c r="L693" s="24">
        <v>0</v>
      </c>
      <c r="P693" s="24" t="s">
        <v>268</v>
      </c>
      <c r="Q693" s="24" t="s">
        <v>348</v>
      </c>
      <c r="X693" s="24">
        <v>1</v>
      </c>
      <c r="Y693" s="24">
        <v>0</v>
      </c>
      <c r="Z693" s="24">
        <v>0</v>
      </c>
      <c r="AB693" s="24">
        <v>3001</v>
      </c>
      <c r="BA693" s="24" t="s">
        <v>270</v>
      </c>
      <c r="BB693" s="24">
        <v>7</v>
      </c>
      <c r="CF693" s="24" t="s">
        <v>1037</v>
      </c>
      <c r="CJ693" s="24" t="s">
        <v>1</v>
      </c>
      <c r="CK693" s="397" t="s">
        <v>272</v>
      </c>
      <c r="CM693" s="24">
        <v>999</v>
      </c>
      <c r="CN693" s="24">
        <v>0</v>
      </c>
      <c r="CO693" s="24">
        <v>0</v>
      </c>
      <c r="CP693" s="24">
        <v>0</v>
      </c>
      <c r="CQ693" s="24">
        <v>0</v>
      </c>
      <c r="CS693" s="24">
        <v>9</v>
      </c>
      <c r="CT693" s="24">
        <v>0</v>
      </c>
      <c r="CU693" s="24">
        <v>10</v>
      </c>
      <c r="CV693" s="391" t="s">
        <v>1038</v>
      </c>
      <c r="CW693" s="24" t="b">
        <v>1</v>
      </c>
      <c r="CX693" s="24" t="s">
        <v>273</v>
      </c>
      <c r="DB693" s="24">
        <v>170501</v>
      </c>
      <c r="DC693" s="24" t="b">
        <v>1</v>
      </c>
      <c r="DD693" t="s">
        <v>1039</v>
      </c>
      <c r="DE693" t="s">
        <v>1040</v>
      </c>
      <c r="DF693" s="24" t="s">
        <v>276</v>
      </c>
      <c r="DG693" s="24" t="s">
        <v>322</v>
      </c>
      <c r="DH693" s="24">
        <v>4</v>
      </c>
      <c r="DI693" s="24" t="b">
        <v>0</v>
      </c>
      <c r="DJ693" s="24" t="b">
        <v>1</v>
      </c>
      <c r="DP693" s="24" t="s">
        <v>323</v>
      </c>
      <c r="DQ693" s="437" t="s">
        <v>1142</v>
      </c>
      <c r="DS693" s="391" t="s">
        <v>1041</v>
      </c>
      <c r="DT693" s="24" t="s">
        <v>424</v>
      </c>
      <c r="DU693" s="24" t="s">
        <v>425</v>
      </c>
      <c r="ES693" s="25"/>
    </row>
    <row r="694" spans="1:149" s="25" customFormat="1" ht="39.950000000000003" customHeight="1" x14ac:dyDescent="0.15">
      <c r="A694" s="25">
        <v>700002</v>
      </c>
      <c r="B694" s="391" t="s">
        <v>1042</v>
      </c>
      <c r="C694" s="25" t="s">
        <v>377</v>
      </c>
      <c r="D694" s="25" t="s">
        <v>1043</v>
      </c>
      <c r="E694" s="25">
        <v>171518</v>
      </c>
      <c r="H694" s="25">
        <v>0</v>
      </c>
      <c r="L694" s="25">
        <v>0</v>
      </c>
      <c r="P694" s="25" t="s">
        <v>268</v>
      </c>
      <c r="Q694" s="25" t="s">
        <v>348</v>
      </c>
      <c r="X694" s="25">
        <v>1</v>
      </c>
      <c r="Y694" s="25">
        <v>0</v>
      </c>
      <c r="Z694" s="25">
        <v>0</v>
      </c>
      <c r="AB694" s="25">
        <v>3001</v>
      </c>
      <c r="AC694" s="25" t="s">
        <v>337</v>
      </c>
      <c r="AD694" s="25" t="s">
        <v>330</v>
      </c>
      <c r="BA694" s="25" t="s">
        <v>270</v>
      </c>
      <c r="BB694" s="24">
        <v>12</v>
      </c>
      <c r="CF694" s="25" t="s">
        <v>378</v>
      </c>
      <c r="CJ694" s="25" t="s">
        <v>2</v>
      </c>
      <c r="CK694" s="398" t="s">
        <v>1044</v>
      </c>
      <c r="CM694" s="25">
        <v>24</v>
      </c>
      <c r="CN694" s="25">
        <v>0</v>
      </c>
      <c r="CO694" s="25">
        <v>0</v>
      </c>
      <c r="CP694" s="25">
        <v>0</v>
      </c>
      <c r="CQ694" s="25">
        <v>0</v>
      </c>
      <c r="CV694" s="391" t="s">
        <v>1045</v>
      </c>
      <c r="CW694" s="24" t="b">
        <v>1</v>
      </c>
      <c r="CX694" s="25" t="s">
        <v>273</v>
      </c>
      <c r="DB694" s="25">
        <v>102401</v>
      </c>
      <c r="DC694" s="25" t="b">
        <v>1</v>
      </c>
      <c r="DD694" t="s">
        <v>1039</v>
      </c>
      <c r="DE694" t="s">
        <v>1046</v>
      </c>
      <c r="DF694" s="25" t="s">
        <v>276</v>
      </c>
      <c r="DG694" s="25" t="s">
        <v>293</v>
      </c>
      <c r="DH694" s="25">
        <v>4</v>
      </c>
      <c r="DI694" s="25" t="b">
        <v>0</v>
      </c>
      <c r="DJ694" s="25" t="b">
        <v>1</v>
      </c>
      <c r="DP694" s="25" t="s">
        <v>381</v>
      </c>
      <c r="DQ694" s="391" t="s">
        <v>1047</v>
      </c>
      <c r="DS694" s="391" t="s">
        <v>1048</v>
      </c>
      <c r="DT694" s="24" t="s">
        <v>424</v>
      </c>
      <c r="DU694" s="24" t="s">
        <v>425</v>
      </c>
    </row>
    <row r="695" spans="1:149" s="25" customFormat="1" ht="39.950000000000003" customHeight="1" x14ac:dyDescent="0.15">
      <c r="AB695" s="396">
        <v>190000041</v>
      </c>
      <c r="AC695" s="25" t="s">
        <v>384</v>
      </c>
      <c r="AD695" s="25" t="s">
        <v>330</v>
      </c>
      <c r="AE695" s="25" t="s">
        <v>291</v>
      </c>
      <c r="AF695" s="25" t="s">
        <v>314</v>
      </c>
      <c r="DJ695" s="25" t="b">
        <v>1</v>
      </c>
      <c r="DR695" s="25" t="str">
        <f t="shared" si="18"/>
        <v/>
      </c>
      <c r="DU695" s="25" t="s">
        <v>280</v>
      </c>
    </row>
    <row r="696" spans="1:149" s="25" customFormat="1" ht="39.950000000000003" customHeight="1" x14ac:dyDescent="0.15">
      <c r="AB696" s="396">
        <v>190000042</v>
      </c>
      <c r="AC696" s="25" t="s">
        <v>385</v>
      </c>
      <c r="AE696" s="25" t="s">
        <v>291</v>
      </c>
      <c r="AF696" s="25" t="s">
        <v>314</v>
      </c>
      <c r="AJ696" s="25">
        <v>1</v>
      </c>
      <c r="DJ696" s="25" t="b">
        <v>1</v>
      </c>
      <c r="DR696" s="25" t="str">
        <f t="shared" si="18"/>
        <v/>
      </c>
      <c r="DU696" s="25" t="s">
        <v>280</v>
      </c>
    </row>
    <row r="697" spans="1:149" s="25" customFormat="1" ht="39.950000000000003" customHeight="1" x14ac:dyDescent="0.15">
      <c r="AB697" s="396">
        <v>190000043</v>
      </c>
      <c r="AC697" s="25" t="s">
        <v>386</v>
      </c>
      <c r="AD697" s="25" t="s">
        <v>330</v>
      </c>
      <c r="AE697" s="25" t="s">
        <v>291</v>
      </c>
      <c r="AF697" s="25" t="s">
        <v>314</v>
      </c>
      <c r="DJ697" s="25" t="b">
        <v>1</v>
      </c>
      <c r="DR697" s="25" t="str">
        <f t="shared" si="18"/>
        <v/>
      </c>
      <c r="DU697" s="25" t="s">
        <v>280</v>
      </c>
    </row>
    <row r="698" spans="1:149" s="24" customFormat="1" ht="49.5" x14ac:dyDescent="0.15">
      <c r="A698" s="24">
        <v>700003</v>
      </c>
      <c r="B698" s="391" t="s">
        <v>1049</v>
      </c>
      <c r="C698" s="24" t="s">
        <v>1050</v>
      </c>
      <c r="D698" s="24" t="s">
        <v>1051</v>
      </c>
      <c r="E698" s="24">
        <v>4000004</v>
      </c>
      <c r="H698" s="24">
        <v>0</v>
      </c>
      <c r="L698" s="24">
        <v>0</v>
      </c>
      <c r="P698" s="24" t="s">
        <v>268</v>
      </c>
      <c r="Q698" s="24" t="s">
        <v>348</v>
      </c>
      <c r="X698" s="24">
        <v>1</v>
      </c>
      <c r="Y698" s="24">
        <v>0</v>
      </c>
      <c r="Z698" s="24">
        <v>0</v>
      </c>
      <c r="AB698" s="24">
        <v>190000029</v>
      </c>
      <c r="AC698" s="24" t="s">
        <v>1052</v>
      </c>
      <c r="AE698" s="24" t="s">
        <v>129</v>
      </c>
      <c r="AF698" s="24" t="s">
        <v>314</v>
      </c>
      <c r="BA698" s="24" t="s">
        <v>270</v>
      </c>
      <c r="BB698" s="24">
        <v>2</v>
      </c>
      <c r="CF698" s="24" t="s">
        <v>271</v>
      </c>
      <c r="CJ698" s="24" t="s">
        <v>1</v>
      </c>
      <c r="CK698" s="397" t="s">
        <v>308</v>
      </c>
      <c r="CM698" s="24">
        <v>99</v>
      </c>
      <c r="CN698" s="24">
        <v>0</v>
      </c>
      <c r="CO698" s="24">
        <v>0</v>
      </c>
      <c r="CP698" s="24">
        <v>0</v>
      </c>
      <c r="CQ698" s="24">
        <v>0</v>
      </c>
      <c r="CV698" s="391" t="s">
        <v>1053</v>
      </c>
      <c r="CX698" s="24" t="s">
        <v>273</v>
      </c>
      <c r="DB698" s="24">
        <v>100700</v>
      </c>
      <c r="DC698" s="24" t="b">
        <v>1</v>
      </c>
      <c r="DD698" t="s">
        <v>1039</v>
      </c>
      <c r="DE698" s="24" t="s">
        <v>1054</v>
      </c>
      <c r="DF698" s="24" t="s">
        <v>276</v>
      </c>
      <c r="DG698" s="24" t="s">
        <v>703</v>
      </c>
      <c r="DH698" s="24">
        <v>0</v>
      </c>
      <c r="DI698" s="24" t="b">
        <v>1</v>
      </c>
      <c r="DP698" s="24" t="s">
        <v>703</v>
      </c>
      <c r="DQ698" s="391" t="s">
        <v>1055</v>
      </c>
      <c r="DS698" s="391" t="s">
        <v>1056</v>
      </c>
      <c r="DT698" s="24" t="s">
        <v>424</v>
      </c>
      <c r="DU698" s="24" t="s">
        <v>425</v>
      </c>
      <c r="DZ698" s="24" t="s">
        <v>1057</v>
      </c>
      <c r="ES698" s="25" t="b">
        <v>1</v>
      </c>
    </row>
    <row r="699" spans="1:149" s="24" customFormat="1" x14ac:dyDescent="0.15">
      <c r="AB699" s="24">
        <v>190000030</v>
      </c>
      <c r="AC699" s="24" t="s">
        <v>1058</v>
      </c>
      <c r="AE699" s="24" t="s">
        <v>291</v>
      </c>
      <c r="AF699" s="24" t="s">
        <v>314</v>
      </c>
      <c r="AJ699" s="24">
        <v>1</v>
      </c>
    </row>
    <row r="700" spans="1:149" s="24" customFormat="1" x14ac:dyDescent="0.15">
      <c r="AB700" s="24">
        <v>190000031</v>
      </c>
      <c r="AC700" s="24" t="s">
        <v>1052</v>
      </c>
      <c r="AD700" s="24" t="s">
        <v>330</v>
      </c>
      <c r="AE700" s="24" t="s">
        <v>129</v>
      </c>
      <c r="AF700" s="24" t="s">
        <v>314</v>
      </c>
      <c r="BA700" s="24" t="s">
        <v>270</v>
      </c>
      <c r="BB700" s="24">
        <v>1</v>
      </c>
    </row>
    <row r="701" spans="1:149" s="24" customFormat="1" x14ac:dyDescent="0.15">
      <c r="AB701" s="24">
        <v>190000032</v>
      </c>
      <c r="AC701" s="24" t="s">
        <v>1059</v>
      </c>
      <c r="AD701" s="24" t="s">
        <v>330</v>
      </c>
      <c r="AE701" s="24" t="s">
        <v>129</v>
      </c>
      <c r="AF701" s="24" t="s">
        <v>314</v>
      </c>
      <c r="AJ701" s="24">
        <v>6</v>
      </c>
    </row>
    <row r="702" spans="1:149" s="24" customFormat="1" x14ac:dyDescent="0.15">
      <c r="A702" s="24">
        <v>700004</v>
      </c>
      <c r="B702" s="24" t="s">
        <v>1024</v>
      </c>
      <c r="C702" s="392" t="s">
        <v>1060</v>
      </c>
      <c r="D702" s="24" t="s">
        <v>1061</v>
      </c>
      <c r="E702" s="24">
        <v>660200</v>
      </c>
      <c r="H702" s="24">
        <v>0</v>
      </c>
      <c r="L702" s="24">
        <v>0</v>
      </c>
      <c r="Q702" s="24" t="s">
        <v>431</v>
      </c>
      <c r="W702" s="24" t="b">
        <v>1</v>
      </c>
      <c r="X702" s="24">
        <v>1</v>
      </c>
      <c r="Y702" s="24">
        <v>0</v>
      </c>
      <c r="Z702" s="24">
        <v>0</v>
      </c>
      <c r="AB702" s="24">
        <v>190000014</v>
      </c>
      <c r="AC702" s="24" t="s">
        <v>815</v>
      </c>
      <c r="AE702" s="24" t="s">
        <v>291</v>
      </c>
      <c r="AF702" s="24" t="s">
        <v>437</v>
      </c>
      <c r="AJ702" s="24">
        <v>-1</v>
      </c>
      <c r="BA702" s="24" t="s">
        <v>355</v>
      </c>
      <c r="BB702" s="24">
        <v>1000</v>
      </c>
      <c r="CX702" s="24" t="s">
        <v>273</v>
      </c>
      <c r="DD702" s="24" t="s">
        <v>274</v>
      </c>
      <c r="DE702" s="24" t="s">
        <v>982</v>
      </c>
      <c r="DJ702" s="24" t="b">
        <v>1</v>
      </c>
      <c r="DQ702" s="24" t="s">
        <v>1028</v>
      </c>
      <c r="DR702" s="24" t="str">
        <f t="shared" ref="DR702:DR706" si="19">IF(DZ702="","",IF(DZ702=1,EG702,IF(DZ702=2,EJ702,IF(DZ702=3,EM702,IF(DZ702=4,EP702,IF(DZ702=0,DS702,"【参数配置有误】"&amp;DS702))))))</f>
        <v/>
      </c>
      <c r="DS702" s="24" t="s">
        <v>1062</v>
      </c>
      <c r="DU702" s="24" t="s">
        <v>280</v>
      </c>
    </row>
    <row r="703" spans="1:149" s="24" customFormat="1" x14ac:dyDescent="0.15">
      <c r="AB703" s="24">
        <v>190000015</v>
      </c>
      <c r="AC703" s="24" t="s">
        <v>1063</v>
      </c>
      <c r="AD703" s="24" t="s">
        <v>330</v>
      </c>
      <c r="AE703" s="24" t="s">
        <v>811</v>
      </c>
      <c r="AF703" s="24" t="s">
        <v>314</v>
      </c>
      <c r="AJ703" s="24">
        <v>2</v>
      </c>
      <c r="BA703" s="24" t="s">
        <v>355</v>
      </c>
      <c r="BB703" s="24">
        <v>1000</v>
      </c>
      <c r="DJ703" s="24" t="b">
        <v>1</v>
      </c>
      <c r="DR703" s="24" t="str">
        <f t="shared" si="19"/>
        <v/>
      </c>
      <c r="DU703" s="24" t="s">
        <v>280</v>
      </c>
    </row>
    <row r="704" spans="1:149" s="24" customFormat="1" ht="82.5" x14ac:dyDescent="0.15">
      <c r="A704" s="393">
        <v>700005</v>
      </c>
      <c r="B704" s="394" t="s">
        <v>1105</v>
      </c>
      <c r="C704" s="393" t="s">
        <v>1064</v>
      </c>
      <c r="D704" s="395" t="s">
        <v>1065</v>
      </c>
      <c r="E704" s="395">
        <v>4000007</v>
      </c>
      <c r="F704" s="395"/>
      <c r="G704" s="395"/>
      <c r="H704" s="395">
        <v>0</v>
      </c>
      <c r="I704" s="395"/>
      <c r="J704" s="395"/>
      <c r="K704" s="395"/>
      <c r="L704" s="395">
        <v>0</v>
      </c>
      <c r="M704" s="395"/>
      <c r="N704" s="395"/>
      <c r="O704" s="395"/>
      <c r="P704" s="395" t="s">
        <v>268</v>
      </c>
      <c r="Q704" s="395" t="s">
        <v>348</v>
      </c>
      <c r="R704" s="395"/>
      <c r="S704" s="395"/>
      <c r="T704" s="395"/>
      <c r="U704" s="395"/>
      <c r="V704" s="395"/>
      <c r="W704" s="395"/>
      <c r="X704" s="395">
        <v>1</v>
      </c>
      <c r="Y704" s="395">
        <v>0</v>
      </c>
      <c r="Z704" s="395">
        <v>0</v>
      </c>
      <c r="AA704" s="395"/>
      <c r="AB704" s="395">
        <v>190000016</v>
      </c>
      <c r="AC704" s="395" t="s">
        <v>674</v>
      </c>
      <c r="AD704" s="395"/>
      <c r="AE704" s="395" t="s">
        <v>129</v>
      </c>
      <c r="AF704" s="395" t="s">
        <v>314</v>
      </c>
      <c r="AG704" s="395"/>
      <c r="AH704" s="395"/>
      <c r="AI704" s="395"/>
      <c r="AJ704" s="395"/>
      <c r="AK704" s="395"/>
      <c r="AL704" s="395"/>
      <c r="AM704" s="395"/>
      <c r="AN704" s="395"/>
      <c r="AO704" s="395"/>
      <c r="AP704" s="395"/>
      <c r="AQ704" s="395"/>
      <c r="AR704" s="395"/>
      <c r="AS704" s="395"/>
      <c r="AT704" s="395"/>
      <c r="AU704" s="395"/>
      <c r="AV704" s="395"/>
      <c r="AW704" s="395"/>
      <c r="AX704" s="395"/>
      <c r="AY704" s="395"/>
      <c r="AZ704" s="395"/>
      <c r="BA704" s="395" t="s">
        <v>270</v>
      </c>
      <c r="BB704" s="395">
        <v>0.25</v>
      </c>
      <c r="BC704" s="395"/>
      <c r="BD704" s="395"/>
      <c r="BE704" s="395"/>
      <c r="BF704" s="395"/>
      <c r="BG704" s="395"/>
      <c r="BH704" s="395"/>
      <c r="BI704" s="395"/>
      <c r="BJ704" s="395"/>
      <c r="BK704" s="395"/>
      <c r="BL704" s="395"/>
      <c r="BM704" s="395"/>
      <c r="BN704" s="395"/>
      <c r="BO704" s="395"/>
      <c r="BP704" s="395"/>
      <c r="BQ704" s="395"/>
      <c r="BR704" s="395"/>
      <c r="BS704" s="395"/>
      <c r="BT704" s="395"/>
      <c r="BU704" s="395"/>
      <c r="BV704" s="395"/>
      <c r="BW704" s="395"/>
      <c r="BX704" s="395"/>
      <c r="BY704" s="395"/>
      <c r="BZ704" s="395"/>
      <c r="CA704" s="395"/>
      <c r="CB704" s="395"/>
      <c r="CC704" s="395"/>
      <c r="CD704" s="395"/>
      <c r="CE704" s="395"/>
      <c r="CF704" s="395" t="s">
        <v>675</v>
      </c>
      <c r="CG704" s="395"/>
      <c r="CH704" s="395"/>
      <c r="CI704" s="395"/>
      <c r="CJ704" s="395" t="s">
        <v>2</v>
      </c>
      <c r="CK704" s="399" t="s">
        <v>1066</v>
      </c>
      <c r="CL704" s="395"/>
      <c r="CM704" s="395">
        <v>5</v>
      </c>
      <c r="CN704" s="395">
        <v>0</v>
      </c>
      <c r="CO704" s="395">
        <v>0</v>
      </c>
      <c r="CP704" s="395">
        <v>0</v>
      </c>
      <c r="CQ704" s="395">
        <v>0</v>
      </c>
      <c r="CR704" s="395"/>
      <c r="CS704" s="395"/>
      <c r="CT704" s="395"/>
      <c r="CU704" s="395"/>
      <c r="CV704" s="394" t="s">
        <v>1067</v>
      </c>
      <c r="CW704" s="393"/>
      <c r="CX704" s="395" t="s">
        <v>273</v>
      </c>
      <c r="CY704" s="395"/>
      <c r="CZ704" s="395"/>
      <c r="DA704" s="395"/>
      <c r="DB704" s="395"/>
      <c r="DC704" s="395" t="b">
        <v>1</v>
      </c>
      <c r="DD704" t="s">
        <v>1039</v>
      </c>
      <c r="DE704" t="s">
        <v>1068</v>
      </c>
      <c r="DF704" s="395" t="s">
        <v>276</v>
      </c>
      <c r="DG704" s="395" t="s">
        <v>677</v>
      </c>
      <c r="DH704" s="395">
        <v>2</v>
      </c>
      <c r="DI704" s="395" t="b">
        <v>1</v>
      </c>
      <c r="DJ704" s="395"/>
      <c r="DK704" s="395"/>
      <c r="DL704" s="395"/>
      <c r="DM704" s="395"/>
      <c r="DN704" s="395"/>
      <c r="DO704" s="395"/>
      <c r="DP704" s="394" t="s">
        <v>1069</v>
      </c>
      <c r="DQ704" s="437" t="s">
        <v>1144</v>
      </c>
      <c r="DR704" s="395" t="s">
        <v>679</v>
      </c>
      <c r="DS704" s="395"/>
      <c r="DT704" s="395"/>
      <c r="DU704" s="395"/>
      <c r="DV704" s="395"/>
      <c r="DW704" s="395"/>
      <c r="DX704" s="395"/>
      <c r="DY704" s="395"/>
      <c r="DZ704" s="395"/>
      <c r="EA704" s="395"/>
      <c r="EB704" s="395"/>
      <c r="EC704" s="395"/>
      <c r="ED704" s="395"/>
      <c r="EE704" s="395"/>
      <c r="EF704" s="395"/>
      <c r="EG704" s="395"/>
      <c r="EH704" s="395"/>
      <c r="EI704" s="395"/>
      <c r="EJ704" s="395"/>
      <c r="EK704" s="395"/>
      <c r="EL704" s="395"/>
      <c r="EM704" s="395"/>
      <c r="EN704" s="395"/>
      <c r="EO704" s="395"/>
      <c r="EP704" s="395"/>
      <c r="EQ704" s="395"/>
      <c r="ER704" s="395" t="b">
        <v>1</v>
      </c>
      <c r="ES704" s="25" t="b">
        <v>1</v>
      </c>
    </row>
    <row r="705" spans="1:149" s="24" customFormat="1" ht="33" customHeight="1" x14ac:dyDescent="0.4">
      <c r="A705" s="24">
        <v>700006</v>
      </c>
      <c r="B705" s="391" t="s">
        <v>1070</v>
      </c>
      <c r="C705" s="24" t="s">
        <v>1071</v>
      </c>
      <c r="D705" s="24" t="s">
        <v>1072</v>
      </c>
      <c r="E705" s="400">
        <v>4000008</v>
      </c>
      <c r="H705" s="24">
        <v>0</v>
      </c>
      <c r="L705" s="24">
        <v>0</v>
      </c>
      <c r="P705" s="24" t="s">
        <v>268</v>
      </c>
      <c r="Q705" s="24" t="s">
        <v>348</v>
      </c>
      <c r="X705" s="24">
        <v>1</v>
      </c>
      <c r="Y705" s="24">
        <v>0</v>
      </c>
      <c r="Z705" s="24">
        <v>0</v>
      </c>
      <c r="AB705" s="24">
        <v>190000017</v>
      </c>
      <c r="AC705" s="24" t="s">
        <v>827</v>
      </c>
      <c r="AE705" s="24" t="s">
        <v>291</v>
      </c>
      <c r="AF705" s="24" t="s">
        <v>314</v>
      </c>
      <c r="AJ705" s="24">
        <v>15</v>
      </c>
      <c r="BA705" s="24" t="s">
        <v>270</v>
      </c>
      <c r="BB705" s="24">
        <v>0.4</v>
      </c>
      <c r="CF705" s="24" t="s">
        <v>298</v>
      </c>
      <c r="CM705" s="24">
        <v>1</v>
      </c>
      <c r="CV705" s="391" t="s">
        <v>1073</v>
      </c>
      <c r="CX705" s="24" t="s">
        <v>273</v>
      </c>
      <c r="DB705" s="24">
        <v>122036</v>
      </c>
      <c r="DC705" s="24" t="b">
        <v>0</v>
      </c>
      <c r="DD705" t="s">
        <v>1039</v>
      </c>
      <c r="DE705" t="s">
        <v>1074</v>
      </c>
      <c r="DF705" s="24" t="s">
        <v>276</v>
      </c>
      <c r="DG705" s="24" t="s">
        <v>396</v>
      </c>
      <c r="DH705" s="24">
        <v>3</v>
      </c>
      <c r="DI705" s="24" t="b">
        <v>0</v>
      </c>
      <c r="DP705" s="24" t="str">
        <f>"SkillDetail_"&amp;A705</f>
        <v>SkillDetail_700006</v>
      </c>
      <c r="DQ705" s="391" t="s">
        <v>1075</v>
      </c>
      <c r="DR705" s="24" t="str">
        <f t="shared" si="19"/>
        <v/>
      </c>
      <c r="DS705" s="24" t="s">
        <v>398</v>
      </c>
      <c r="DT705" s="24" t="s">
        <v>399</v>
      </c>
      <c r="DU705" s="24" t="s">
        <v>400</v>
      </c>
      <c r="ES705" s="24" t="b">
        <v>1</v>
      </c>
    </row>
    <row r="706" spans="1:149" s="24" customFormat="1" ht="14.25" customHeight="1" x14ac:dyDescent="0.15">
      <c r="AB706" s="24">
        <v>190000018</v>
      </c>
      <c r="AC706" s="24" t="s">
        <v>403</v>
      </c>
      <c r="AE706" s="24" t="s">
        <v>291</v>
      </c>
      <c r="AF706" s="24" t="s">
        <v>314</v>
      </c>
      <c r="AJ706" s="24">
        <v>6</v>
      </c>
      <c r="BA706" s="24" t="s">
        <v>270</v>
      </c>
      <c r="BB706" s="24">
        <v>3</v>
      </c>
      <c r="DR706" s="24" t="str">
        <f t="shared" si="19"/>
        <v/>
      </c>
      <c r="DU706" s="24" t="s">
        <v>280</v>
      </c>
    </row>
    <row r="707" spans="1:149" s="24" customFormat="1" ht="49.5" x14ac:dyDescent="0.15">
      <c r="A707" s="24">
        <v>700007</v>
      </c>
      <c r="B707" s="420" t="s">
        <v>1094</v>
      </c>
      <c r="C707" s="24" t="s">
        <v>1076</v>
      </c>
      <c r="D707" s="24" t="s">
        <v>1077</v>
      </c>
      <c r="E707" s="24">
        <v>170400101</v>
      </c>
      <c r="H707" s="24">
        <v>0</v>
      </c>
      <c r="P707" s="24" t="s">
        <v>268</v>
      </c>
      <c r="Q707" s="24" t="s">
        <v>431</v>
      </c>
      <c r="W707" s="24" t="b">
        <v>1</v>
      </c>
      <c r="X707" s="24">
        <v>1</v>
      </c>
      <c r="Y707" s="24">
        <v>0</v>
      </c>
      <c r="Z707" s="24">
        <v>0</v>
      </c>
      <c r="AB707" s="24">
        <v>190000021</v>
      </c>
      <c r="AC707" s="24" t="s">
        <v>1078</v>
      </c>
      <c r="AE707" s="24" t="s">
        <v>291</v>
      </c>
      <c r="AF707" s="24" t="s">
        <v>314</v>
      </c>
      <c r="AJ707" s="24">
        <v>-1</v>
      </c>
      <c r="BA707" s="24" t="s">
        <v>355</v>
      </c>
      <c r="BB707" s="24" t="s">
        <v>1079</v>
      </c>
      <c r="CJ707" s="24" t="s">
        <v>1</v>
      </c>
      <c r="CK707" s="397" t="s">
        <v>1080</v>
      </c>
      <c r="CN707" s="24">
        <v>0</v>
      </c>
      <c r="CO707" s="24">
        <v>0</v>
      </c>
      <c r="CP707" s="24">
        <v>0</v>
      </c>
      <c r="CQ707" s="24">
        <v>0</v>
      </c>
      <c r="CV707" s="401" t="s">
        <v>1081</v>
      </c>
      <c r="CX707" s="24" t="s">
        <v>273</v>
      </c>
      <c r="DB707" s="24">
        <v>100700</v>
      </c>
      <c r="DC707" s="24" t="b">
        <v>1</v>
      </c>
      <c r="DD707" t="s">
        <v>1039</v>
      </c>
      <c r="DE707" s="24" t="s">
        <v>1082</v>
      </c>
      <c r="DF707" s="24" t="s">
        <v>276</v>
      </c>
      <c r="DG707" s="24" t="s">
        <v>703</v>
      </c>
      <c r="DH707" s="24">
        <v>0</v>
      </c>
      <c r="DI707" s="24" t="b">
        <v>1</v>
      </c>
      <c r="DQ707" s="401" t="s">
        <v>1083</v>
      </c>
      <c r="DT707" s="24" t="s">
        <v>424</v>
      </c>
      <c r="DU707" s="24" t="s">
        <v>425</v>
      </c>
      <c r="ES707" s="25" t="b">
        <v>1</v>
      </c>
    </row>
    <row r="708" spans="1:149" s="24" customFormat="1" x14ac:dyDescent="0.15">
      <c r="AB708" s="24">
        <v>190000026</v>
      </c>
      <c r="AC708" s="24" t="s">
        <v>1084</v>
      </c>
      <c r="AE708" s="24" t="s">
        <v>291</v>
      </c>
      <c r="AF708" s="24" t="s">
        <v>314</v>
      </c>
      <c r="AJ708" s="24">
        <v>-1</v>
      </c>
    </row>
    <row r="709" spans="1:149" s="24" customFormat="1" x14ac:dyDescent="0.15">
      <c r="AB709" s="24">
        <v>190000022</v>
      </c>
      <c r="AC709" s="24" t="s">
        <v>1085</v>
      </c>
      <c r="AE709" s="24" t="s">
        <v>291</v>
      </c>
      <c r="AF709" s="24" t="s">
        <v>314</v>
      </c>
      <c r="AJ709" s="24">
        <v>-1</v>
      </c>
    </row>
    <row r="710" spans="1:149" s="24" customFormat="1" x14ac:dyDescent="0.15">
      <c r="AB710" s="24">
        <v>190000023</v>
      </c>
      <c r="AC710" s="24" t="s">
        <v>1088</v>
      </c>
      <c r="AD710" s="24" t="s">
        <v>330</v>
      </c>
      <c r="AE710" s="24" t="s">
        <v>291</v>
      </c>
      <c r="AF710" s="24" t="s">
        <v>314</v>
      </c>
    </row>
    <row r="711" spans="1:149" s="24" customFormat="1" x14ac:dyDescent="0.15">
      <c r="F711" s="24">
        <v>200</v>
      </c>
      <c r="AB711" s="24">
        <v>190000024</v>
      </c>
      <c r="AC711" s="24" t="s">
        <v>1086</v>
      </c>
      <c r="AD711" s="24" t="s">
        <v>330</v>
      </c>
      <c r="AE711" s="24" t="s">
        <v>129</v>
      </c>
      <c r="AF711" s="24" t="s">
        <v>314</v>
      </c>
      <c r="AU711" s="24" t="s">
        <v>741</v>
      </c>
      <c r="AV711" s="24" t="s">
        <v>741</v>
      </c>
      <c r="BA711" s="24" t="s">
        <v>270</v>
      </c>
      <c r="BB711" s="24">
        <v>1</v>
      </c>
      <c r="CF711" s="24" t="s">
        <v>271</v>
      </c>
      <c r="CK711" s="397"/>
      <c r="CM711" s="24">
        <v>999</v>
      </c>
    </row>
    <row r="712" spans="1:149" s="24" customFormat="1" x14ac:dyDescent="0.15">
      <c r="A712" s="24">
        <v>710001</v>
      </c>
      <c r="B712" s="24" t="s">
        <v>1087</v>
      </c>
      <c r="F712" s="24">
        <v>200</v>
      </c>
      <c r="AB712" s="24">
        <v>190000024</v>
      </c>
      <c r="AC712" s="24" t="s">
        <v>1086</v>
      </c>
      <c r="AD712" s="24" t="s">
        <v>330</v>
      </c>
      <c r="AE712" s="24" t="s">
        <v>129</v>
      </c>
      <c r="AF712" s="24" t="s">
        <v>314</v>
      </c>
      <c r="AU712" s="24" t="s">
        <v>741</v>
      </c>
      <c r="AV712" s="24" t="s">
        <v>741</v>
      </c>
      <c r="BA712" s="24" t="s">
        <v>270</v>
      </c>
      <c r="BB712" s="24">
        <v>3</v>
      </c>
      <c r="CF712" s="24" t="s">
        <v>271</v>
      </c>
      <c r="CK712" s="397"/>
      <c r="CM712" s="24">
        <v>1001</v>
      </c>
    </row>
    <row r="713" spans="1:149" s="24" customFormat="1" x14ac:dyDescent="0.15">
      <c r="A713" s="24">
        <v>710002</v>
      </c>
      <c r="B713" s="24" t="s">
        <v>1087</v>
      </c>
      <c r="F713" s="24">
        <v>200</v>
      </c>
      <c r="AB713" s="24">
        <v>190000024</v>
      </c>
      <c r="AC713" s="24" t="s">
        <v>1086</v>
      </c>
      <c r="AD713" s="24" t="s">
        <v>330</v>
      </c>
      <c r="AE713" s="24" t="s">
        <v>129</v>
      </c>
      <c r="AF713" s="24" t="s">
        <v>314</v>
      </c>
      <c r="AU713" s="24" t="s">
        <v>741</v>
      </c>
      <c r="AV713" s="24" t="s">
        <v>741</v>
      </c>
      <c r="BA713" s="24" t="s">
        <v>270</v>
      </c>
      <c r="BB713" s="24">
        <v>4</v>
      </c>
      <c r="CF713" s="24" t="s">
        <v>271</v>
      </c>
      <c r="CK713" s="397"/>
      <c r="CM713" s="24">
        <v>1002</v>
      </c>
    </row>
    <row r="714" spans="1:149" s="24" customFormat="1" x14ac:dyDescent="0.15">
      <c r="A714" s="24">
        <v>710003</v>
      </c>
      <c r="B714" s="24" t="s">
        <v>1087</v>
      </c>
      <c r="F714" s="24">
        <v>200</v>
      </c>
      <c r="AB714" s="24">
        <v>190000024</v>
      </c>
      <c r="AC714" s="24" t="s">
        <v>1086</v>
      </c>
      <c r="AD714" s="24" t="s">
        <v>330</v>
      </c>
      <c r="AE714" s="24" t="s">
        <v>129</v>
      </c>
      <c r="AF714" s="24" t="s">
        <v>314</v>
      </c>
      <c r="AU714" s="24" t="s">
        <v>741</v>
      </c>
      <c r="AV714" s="24" t="s">
        <v>741</v>
      </c>
      <c r="BA714" s="24" t="s">
        <v>270</v>
      </c>
      <c r="BB714" s="24">
        <v>5</v>
      </c>
      <c r="CF714" s="24" t="s">
        <v>271</v>
      </c>
      <c r="CK714" s="397"/>
      <c r="CM714" s="24">
        <v>1003</v>
      </c>
    </row>
    <row r="715" spans="1:149" s="24" customFormat="1" x14ac:dyDescent="0.15">
      <c r="A715" s="24">
        <v>710004</v>
      </c>
      <c r="B715" s="24" t="s">
        <v>1087</v>
      </c>
      <c r="F715" s="24">
        <v>200</v>
      </c>
      <c r="AB715" s="24">
        <v>190000024</v>
      </c>
      <c r="AC715" s="24" t="s">
        <v>1086</v>
      </c>
      <c r="AD715" s="24" t="s">
        <v>330</v>
      </c>
      <c r="AE715" s="24" t="s">
        <v>129</v>
      </c>
      <c r="AF715" s="24" t="s">
        <v>314</v>
      </c>
      <c r="AU715" s="24" t="s">
        <v>741</v>
      </c>
      <c r="AV715" s="24" t="s">
        <v>741</v>
      </c>
      <c r="BA715" s="24" t="s">
        <v>270</v>
      </c>
      <c r="BB715" s="24">
        <v>6</v>
      </c>
      <c r="CF715" s="24" t="s">
        <v>271</v>
      </c>
      <c r="CK715" s="397"/>
      <c r="CM715" s="24">
        <v>1004</v>
      </c>
    </row>
    <row r="716" spans="1:149" s="24" customFormat="1" x14ac:dyDescent="0.15">
      <c r="A716" s="24">
        <v>710005</v>
      </c>
      <c r="B716" s="24" t="s">
        <v>1087</v>
      </c>
      <c r="F716" s="24">
        <v>200</v>
      </c>
      <c r="AB716" s="24">
        <v>190000024</v>
      </c>
      <c r="AC716" s="24" t="s">
        <v>1086</v>
      </c>
      <c r="AD716" s="24" t="s">
        <v>330</v>
      </c>
      <c r="AE716" s="24" t="s">
        <v>129</v>
      </c>
      <c r="AF716" s="24" t="s">
        <v>314</v>
      </c>
      <c r="AU716" s="24" t="s">
        <v>741</v>
      </c>
      <c r="AV716" s="24" t="s">
        <v>741</v>
      </c>
      <c r="BA716" s="24" t="s">
        <v>270</v>
      </c>
      <c r="BB716" s="24">
        <v>7</v>
      </c>
      <c r="CF716" s="24" t="s">
        <v>271</v>
      </c>
      <c r="CK716" s="397"/>
      <c r="CM716" s="24">
        <v>1005</v>
      </c>
    </row>
    <row r="717" spans="1:149" s="24" customFormat="1" x14ac:dyDescent="0.15">
      <c r="A717" s="24">
        <v>710006</v>
      </c>
      <c r="B717" s="24" t="s">
        <v>1087</v>
      </c>
      <c r="F717" s="24">
        <v>200</v>
      </c>
      <c r="AB717" s="24">
        <v>190000024</v>
      </c>
      <c r="AC717" s="24" t="s">
        <v>1086</v>
      </c>
      <c r="AD717" s="24" t="s">
        <v>330</v>
      </c>
      <c r="AE717" s="24" t="s">
        <v>129</v>
      </c>
      <c r="AF717" s="24" t="s">
        <v>314</v>
      </c>
      <c r="AU717" s="24" t="s">
        <v>741</v>
      </c>
      <c r="AV717" s="24" t="s">
        <v>741</v>
      </c>
      <c r="BA717" s="24" t="s">
        <v>270</v>
      </c>
      <c r="BB717" s="24">
        <v>8</v>
      </c>
      <c r="CF717" s="24" t="s">
        <v>271</v>
      </c>
      <c r="CK717" s="397"/>
      <c r="CM717" s="24">
        <v>1006</v>
      </c>
    </row>
    <row r="718" spans="1:149" s="24" customFormat="1" x14ac:dyDescent="0.15">
      <c r="A718" s="24">
        <v>710007</v>
      </c>
      <c r="B718" s="24" t="s">
        <v>1087</v>
      </c>
      <c r="F718" s="24">
        <v>200</v>
      </c>
      <c r="AB718" s="24">
        <v>190000024</v>
      </c>
      <c r="AC718" s="24" t="s">
        <v>1086</v>
      </c>
      <c r="AD718" s="24" t="s">
        <v>330</v>
      </c>
      <c r="AE718" s="24" t="s">
        <v>129</v>
      </c>
      <c r="AF718" s="24" t="s">
        <v>314</v>
      </c>
      <c r="AU718" s="24" t="s">
        <v>741</v>
      </c>
      <c r="AV718" s="24" t="s">
        <v>741</v>
      </c>
      <c r="BA718" s="24" t="s">
        <v>270</v>
      </c>
      <c r="BB718" s="24">
        <v>9</v>
      </c>
      <c r="CF718" s="24" t="s">
        <v>271</v>
      </c>
      <c r="CK718" s="397"/>
      <c r="CM718" s="24">
        <v>1007</v>
      </c>
    </row>
    <row r="719" spans="1:149" s="24" customFormat="1" x14ac:dyDescent="0.15">
      <c r="A719" s="24">
        <v>710008</v>
      </c>
      <c r="B719" s="24" t="s">
        <v>1087</v>
      </c>
      <c r="F719" s="24">
        <v>200</v>
      </c>
      <c r="AB719" s="24">
        <v>190000024</v>
      </c>
      <c r="AC719" s="24" t="s">
        <v>1086</v>
      </c>
      <c r="AD719" s="24" t="s">
        <v>330</v>
      </c>
      <c r="AE719" s="24" t="s">
        <v>129</v>
      </c>
      <c r="AF719" s="24" t="s">
        <v>314</v>
      </c>
      <c r="AU719" s="24" t="s">
        <v>741</v>
      </c>
      <c r="AV719" s="24" t="s">
        <v>741</v>
      </c>
      <c r="BA719" s="24" t="s">
        <v>270</v>
      </c>
      <c r="BB719" s="24">
        <v>10</v>
      </c>
      <c r="CF719" s="24" t="s">
        <v>271</v>
      </c>
      <c r="CK719" s="397"/>
      <c r="CM719" s="24">
        <v>1008</v>
      </c>
    </row>
    <row r="720" spans="1:149" s="24" customFormat="1" x14ac:dyDescent="0.15">
      <c r="A720" s="24">
        <v>710009</v>
      </c>
      <c r="B720" s="24" t="s">
        <v>1087</v>
      </c>
      <c r="F720" s="24">
        <v>200</v>
      </c>
      <c r="AB720" s="24">
        <v>190000024</v>
      </c>
      <c r="AC720" s="24" t="s">
        <v>1086</v>
      </c>
      <c r="AD720" s="24" t="s">
        <v>330</v>
      </c>
      <c r="AE720" s="24" t="s">
        <v>129</v>
      </c>
      <c r="AF720" s="24" t="s">
        <v>314</v>
      </c>
      <c r="AU720" s="24" t="s">
        <v>741</v>
      </c>
      <c r="AV720" s="24" t="s">
        <v>741</v>
      </c>
      <c r="BA720" s="24" t="s">
        <v>270</v>
      </c>
      <c r="BB720" s="24">
        <v>11</v>
      </c>
      <c r="CF720" s="24" t="s">
        <v>271</v>
      </c>
      <c r="CK720" s="397"/>
      <c r="CM720" s="24">
        <v>1009</v>
      </c>
    </row>
    <row r="721" spans="1:134" s="24" customFormat="1" x14ac:dyDescent="0.15">
      <c r="A721" s="24">
        <v>710010</v>
      </c>
      <c r="B721" s="24" t="s">
        <v>1087</v>
      </c>
      <c r="F721" s="24">
        <v>200</v>
      </c>
      <c r="AB721" s="24">
        <v>190000024</v>
      </c>
      <c r="AC721" s="24" t="s">
        <v>1086</v>
      </c>
      <c r="AD721" s="24" t="s">
        <v>330</v>
      </c>
      <c r="AE721" s="24" t="s">
        <v>129</v>
      </c>
      <c r="AF721" s="24" t="s">
        <v>314</v>
      </c>
      <c r="AU721" s="24" t="s">
        <v>741</v>
      </c>
      <c r="AV721" s="24" t="s">
        <v>741</v>
      </c>
      <c r="BA721" s="24" t="s">
        <v>270</v>
      </c>
      <c r="BB721" s="24">
        <v>12</v>
      </c>
      <c r="CF721" s="24" t="s">
        <v>271</v>
      </c>
      <c r="CK721" s="397"/>
      <c r="CM721" s="24">
        <v>1010</v>
      </c>
    </row>
    <row r="722" spans="1:134" s="24" customFormat="1" x14ac:dyDescent="0.15">
      <c r="A722" s="24">
        <v>710011</v>
      </c>
      <c r="B722" s="24" t="s">
        <v>1087</v>
      </c>
      <c r="F722" s="24">
        <v>200</v>
      </c>
      <c r="AB722" s="24">
        <v>190000024</v>
      </c>
      <c r="AC722" s="24" t="s">
        <v>1086</v>
      </c>
      <c r="AD722" s="24" t="s">
        <v>330</v>
      </c>
      <c r="AE722" s="24" t="s">
        <v>129</v>
      </c>
      <c r="AF722" s="24" t="s">
        <v>314</v>
      </c>
      <c r="AU722" s="24" t="s">
        <v>741</v>
      </c>
      <c r="AV722" s="24" t="s">
        <v>741</v>
      </c>
      <c r="BA722" s="24" t="s">
        <v>270</v>
      </c>
      <c r="BB722" s="24">
        <v>13</v>
      </c>
      <c r="CF722" s="24" t="s">
        <v>271</v>
      </c>
      <c r="CK722" s="397"/>
      <c r="CM722" s="24">
        <v>1011</v>
      </c>
    </row>
    <row r="723" spans="1:134" s="24" customFormat="1" x14ac:dyDescent="0.15">
      <c r="A723" s="24">
        <v>710012</v>
      </c>
      <c r="B723" s="24" t="s">
        <v>1087</v>
      </c>
      <c r="F723" s="24">
        <v>200</v>
      </c>
      <c r="AB723" s="24">
        <v>190000024</v>
      </c>
      <c r="AC723" s="24" t="s">
        <v>1086</v>
      </c>
      <c r="AD723" s="24" t="s">
        <v>330</v>
      </c>
      <c r="AE723" s="24" t="s">
        <v>129</v>
      </c>
      <c r="AF723" s="24" t="s">
        <v>314</v>
      </c>
      <c r="AU723" s="24" t="s">
        <v>741</v>
      </c>
      <c r="AV723" s="24" t="s">
        <v>741</v>
      </c>
      <c r="BA723" s="24" t="s">
        <v>270</v>
      </c>
      <c r="BB723" s="24">
        <v>14</v>
      </c>
      <c r="CF723" s="24" t="s">
        <v>271</v>
      </c>
      <c r="CK723" s="397"/>
      <c r="CM723" s="24">
        <v>1012</v>
      </c>
    </row>
    <row r="724" spans="1:134" s="402" customFormat="1" ht="33" x14ac:dyDescent="0.15">
      <c r="A724" s="402">
        <v>720001</v>
      </c>
      <c r="B724" s="386" t="s">
        <v>1106</v>
      </c>
      <c r="C724" s="403" t="s">
        <v>1095</v>
      </c>
      <c r="H724" s="404">
        <v>0</v>
      </c>
      <c r="L724" s="405">
        <v>0</v>
      </c>
      <c r="Q724" s="402" t="s">
        <v>431</v>
      </c>
      <c r="W724" s="402" t="b">
        <v>1</v>
      </c>
      <c r="X724" s="402">
        <v>1</v>
      </c>
      <c r="Y724" s="402">
        <v>0</v>
      </c>
      <c r="Z724" s="402">
        <v>0</v>
      </c>
      <c r="AB724" s="406">
        <v>72000101</v>
      </c>
      <c r="AC724" s="407"/>
      <c r="AD724" s="407"/>
      <c r="AE724" s="408" t="s">
        <v>291</v>
      </c>
      <c r="AF724" s="409" t="s">
        <v>1089</v>
      </c>
      <c r="AG724" s="408"/>
      <c r="AH724" s="408"/>
      <c r="AI724" s="408"/>
      <c r="AJ724" s="408">
        <v>-1</v>
      </c>
      <c r="AK724" s="408"/>
      <c r="AL724" s="410"/>
      <c r="AM724" s="410"/>
      <c r="AN724" s="410"/>
      <c r="AO724" s="410"/>
      <c r="AP724" s="410"/>
      <c r="AQ724" s="410"/>
      <c r="AR724" s="410"/>
      <c r="AU724" s="410"/>
      <c r="AV724" s="410"/>
      <c r="AW724" s="410"/>
      <c r="AX724" s="410"/>
      <c r="AY724" s="410"/>
      <c r="AZ724" s="410"/>
      <c r="BA724" s="411" t="s">
        <v>270</v>
      </c>
      <c r="BB724" s="412">
        <v>-0.05</v>
      </c>
      <c r="BC724" s="412"/>
      <c r="BD724" s="412"/>
      <c r="BE724" s="412"/>
      <c r="BF724" s="412"/>
      <c r="BG724" s="412"/>
      <c r="BH724" s="412"/>
      <c r="BI724" s="412"/>
      <c r="BJ724" s="413"/>
      <c r="BK724" s="413"/>
      <c r="BL724" s="413"/>
      <c r="BM724" s="413"/>
      <c r="BN724" s="413"/>
      <c r="BO724" s="413"/>
      <c r="BP724" s="413"/>
      <c r="BQ724" s="413"/>
      <c r="BR724" s="413"/>
      <c r="BS724" s="413"/>
      <c r="BT724" s="413"/>
      <c r="BU724" s="413"/>
      <c r="BV724" s="413"/>
      <c r="BW724" s="413"/>
      <c r="BX724" s="413"/>
      <c r="BY724" s="413"/>
      <c r="BZ724" s="413"/>
      <c r="CA724" s="413"/>
      <c r="CB724" s="413"/>
      <c r="CC724" s="413"/>
      <c r="CD724" s="413"/>
      <c r="CE724" s="413"/>
      <c r="CX724" s="24" t="s">
        <v>273</v>
      </c>
      <c r="DD724" s="414" t="s">
        <v>1090</v>
      </c>
      <c r="DE724" s="402" t="s">
        <v>1091</v>
      </c>
      <c r="DJ724" s="415"/>
      <c r="DK724" s="416"/>
      <c r="DL724" s="416"/>
      <c r="DM724" s="416"/>
      <c r="DN724" s="416"/>
      <c r="DO724" s="416"/>
      <c r="DP724" s="417"/>
      <c r="DQ724" s="421" t="s">
        <v>1143</v>
      </c>
      <c r="DR724" s="416"/>
      <c r="DS724" s="388" t="s">
        <v>1157</v>
      </c>
      <c r="DU724" s="418" t="s">
        <v>280</v>
      </c>
      <c r="DV724" s="419"/>
      <c r="EA724" s="419"/>
      <c r="EB724" s="419"/>
      <c r="EC724" s="419"/>
      <c r="ED724" s="419"/>
    </row>
    <row r="725" spans="1:134" s="402" customFormat="1" ht="33" x14ac:dyDescent="0.15">
      <c r="A725" s="402">
        <v>720002</v>
      </c>
      <c r="B725" s="421" t="s">
        <v>1107</v>
      </c>
      <c r="C725" s="403" t="s">
        <v>1096</v>
      </c>
      <c r="H725" s="404">
        <v>0</v>
      </c>
      <c r="L725" s="405">
        <v>0</v>
      </c>
      <c r="Q725" s="402" t="s">
        <v>431</v>
      </c>
      <c r="W725" s="402" t="b">
        <v>1</v>
      </c>
      <c r="X725" s="402">
        <v>1</v>
      </c>
      <c r="Y725" s="402">
        <v>0</v>
      </c>
      <c r="Z725" s="402">
        <v>0</v>
      </c>
      <c r="AB725" s="406">
        <v>72000201</v>
      </c>
      <c r="AC725" s="407"/>
      <c r="AD725" s="407"/>
      <c r="AE725" s="408" t="s">
        <v>291</v>
      </c>
      <c r="AF725" s="409" t="s">
        <v>1089</v>
      </c>
      <c r="AG725" s="408"/>
      <c r="AH725" s="408"/>
      <c r="AI725" s="408"/>
      <c r="AJ725" s="408">
        <v>-1</v>
      </c>
      <c r="AK725" s="408"/>
      <c r="AL725" s="410"/>
      <c r="AM725" s="410"/>
      <c r="AN725" s="410"/>
      <c r="AO725" s="410"/>
      <c r="AP725" s="410"/>
      <c r="AQ725" s="410"/>
      <c r="AR725" s="410"/>
      <c r="AU725" s="410"/>
      <c r="AV725" s="410"/>
      <c r="AW725" s="410"/>
      <c r="AX725" s="410"/>
      <c r="AY725" s="410"/>
      <c r="AZ725" s="410"/>
      <c r="BA725" s="411" t="s">
        <v>270</v>
      </c>
      <c r="BB725" s="412">
        <v>-0.05</v>
      </c>
      <c r="BC725" s="412"/>
      <c r="BD725" s="412"/>
      <c r="BE725" s="412"/>
      <c r="BF725" s="412"/>
      <c r="BG725" s="412"/>
      <c r="BH725" s="412"/>
      <c r="BI725" s="412"/>
      <c r="BJ725" s="413"/>
      <c r="BK725" s="413"/>
      <c r="BL725" s="413"/>
      <c r="BM725" s="413"/>
      <c r="BN725" s="413"/>
      <c r="BO725" s="413"/>
      <c r="BP725" s="413"/>
      <c r="BQ725" s="413"/>
      <c r="BR725" s="413"/>
      <c r="BS725" s="413"/>
      <c r="BT725" s="413"/>
      <c r="BU725" s="413"/>
      <c r="BV725" s="413"/>
      <c r="BW725" s="413"/>
      <c r="BX725" s="413"/>
      <c r="BY725" s="413"/>
      <c r="BZ725" s="413"/>
      <c r="CA725" s="413"/>
      <c r="CB725" s="413"/>
      <c r="CC725" s="413"/>
      <c r="CD725" s="413"/>
      <c r="CE725" s="413"/>
      <c r="CX725" s="24" t="s">
        <v>273</v>
      </c>
      <c r="DD725" s="414" t="s">
        <v>1090</v>
      </c>
      <c r="DE725" s="402" t="s">
        <v>1092</v>
      </c>
      <c r="DJ725" s="415"/>
      <c r="DK725" s="416"/>
      <c r="DL725" s="416"/>
      <c r="DM725" s="416"/>
      <c r="DN725" s="416"/>
      <c r="DO725" s="416"/>
      <c r="DP725" s="417"/>
      <c r="DQ725" s="421" t="s">
        <v>1145</v>
      </c>
      <c r="DR725" s="416"/>
      <c r="DS725" s="388" t="s">
        <v>1158</v>
      </c>
      <c r="DU725" s="418" t="s">
        <v>280</v>
      </c>
      <c r="DV725" s="419"/>
      <c r="EA725" s="419"/>
      <c r="EB725" s="419"/>
      <c r="EC725" s="419"/>
      <c r="ED725" s="419"/>
    </row>
    <row r="726" spans="1:134" s="402" customFormat="1" ht="33" x14ac:dyDescent="0.15">
      <c r="A726" s="402">
        <v>720003</v>
      </c>
      <c r="B726" s="421" t="s">
        <v>1108</v>
      </c>
      <c r="C726" s="403" t="s">
        <v>1097</v>
      </c>
      <c r="H726" s="404">
        <v>0</v>
      </c>
      <c r="L726" s="405">
        <v>0</v>
      </c>
      <c r="Q726" s="402" t="s">
        <v>431</v>
      </c>
      <c r="W726" s="402" t="b">
        <v>1</v>
      </c>
      <c r="X726" s="402">
        <v>1</v>
      </c>
      <c r="Y726" s="402">
        <v>0</v>
      </c>
      <c r="Z726" s="402">
        <v>0</v>
      </c>
      <c r="AB726" s="406">
        <v>72000301</v>
      </c>
      <c r="AC726" s="407"/>
      <c r="AD726" s="407"/>
      <c r="AE726" s="408" t="s">
        <v>291</v>
      </c>
      <c r="AF726" s="409" t="s">
        <v>1089</v>
      </c>
      <c r="AG726" s="408"/>
      <c r="AH726" s="408"/>
      <c r="AI726" s="408"/>
      <c r="AJ726" s="408">
        <v>-1</v>
      </c>
      <c r="AK726" s="408"/>
      <c r="AL726" s="410"/>
      <c r="AM726" s="410"/>
      <c r="AN726" s="410"/>
      <c r="AO726" s="410"/>
      <c r="AP726" s="410"/>
      <c r="AQ726" s="410"/>
      <c r="AR726" s="410"/>
      <c r="AU726" s="410"/>
      <c r="AV726" s="410"/>
      <c r="AW726" s="410"/>
      <c r="AX726" s="410"/>
      <c r="AY726" s="410"/>
      <c r="AZ726" s="410"/>
      <c r="BA726" s="411" t="s">
        <v>270</v>
      </c>
      <c r="BB726" s="412">
        <v>-0.05</v>
      </c>
      <c r="BC726" s="412"/>
      <c r="BD726" s="412"/>
      <c r="BE726" s="412"/>
      <c r="BF726" s="412"/>
      <c r="BG726" s="412"/>
      <c r="BH726" s="412"/>
      <c r="BI726" s="412"/>
      <c r="BJ726" s="413"/>
      <c r="BK726" s="413"/>
      <c r="BL726" s="413"/>
      <c r="BM726" s="413"/>
      <c r="BN726" s="413"/>
      <c r="BO726" s="413"/>
      <c r="BP726" s="413"/>
      <c r="BQ726" s="413"/>
      <c r="BR726" s="413"/>
      <c r="BS726" s="413"/>
      <c r="BT726" s="413"/>
      <c r="BU726" s="413"/>
      <c r="BV726" s="413"/>
      <c r="BW726" s="413"/>
      <c r="BX726" s="413"/>
      <c r="BY726" s="413"/>
      <c r="BZ726" s="413"/>
      <c r="CA726" s="413"/>
      <c r="CB726" s="413"/>
      <c r="CC726" s="413"/>
      <c r="CD726" s="413"/>
      <c r="CE726" s="413"/>
      <c r="CX726" s="24" t="s">
        <v>273</v>
      </c>
      <c r="DD726" s="414" t="s">
        <v>1090</v>
      </c>
      <c r="DE726" s="402" t="s">
        <v>1093</v>
      </c>
      <c r="DJ726" s="415"/>
      <c r="DK726" s="416"/>
      <c r="DL726" s="416"/>
      <c r="DM726" s="416"/>
      <c r="DN726" s="416"/>
      <c r="DO726" s="416"/>
      <c r="DP726" s="417"/>
      <c r="DQ726" s="421" t="s">
        <v>1146</v>
      </c>
      <c r="DR726" s="416"/>
      <c r="DS726" s="388" t="s">
        <v>1159</v>
      </c>
      <c r="DU726" s="418" t="s">
        <v>280</v>
      </c>
      <c r="DV726" s="419"/>
      <c r="EA726" s="419"/>
      <c r="EB726" s="419"/>
      <c r="EC726" s="419"/>
      <c r="ED726" s="419"/>
    </row>
    <row r="727" spans="1:134" s="402" customFormat="1" ht="33" x14ac:dyDescent="0.15">
      <c r="A727" s="402">
        <v>720004</v>
      </c>
      <c r="B727" s="421" t="s">
        <v>1109</v>
      </c>
      <c r="C727" s="403" t="s">
        <v>1098</v>
      </c>
      <c r="H727" s="404">
        <v>0</v>
      </c>
      <c r="L727" s="405">
        <v>0</v>
      </c>
      <c r="Q727" s="402" t="s">
        <v>431</v>
      </c>
      <c r="W727" s="402" t="b">
        <v>1</v>
      </c>
      <c r="X727" s="402">
        <v>1</v>
      </c>
      <c r="Y727" s="402">
        <v>0</v>
      </c>
      <c r="Z727" s="402">
        <v>0</v>
      </c>
      <c r="AB727" s="406">
        <v>72000401</v>
      </c>
      <c r="AC727" s="436" t="s">
        <v>1133</v>
      </c>
      <c r="AD727" s="407"/>
      <c r="AE727" s="408" t="s">
        <v>291</v>
      </c>
      <c r="AF727" s="409" t="s">
        <v>1089</v>
      </c>
      <c r="AG727" s="408"/>
      <c r="AH727" s="408"/>
      <c r="AI727" s="408"/>
      <c r="AJ727" s="408">
        <v>-1</v>
      </c>
      <c r="AK727" s="408"/>
      <c r="AL727" s="410"/>
      <c r="AM727" s="410"/>
      <c r="AN727" s="410"/>
      <c r="AO727" s="410"/>
      <c r="AP727" s="410"/>
      <c r="AQ727" s="410"/>
      <c r="AR727" s="410"/>
      <c r="AU727" s="410"/>
      <c r="AV727" s="410"/>
      <c r="AW727" s="410"/>
      <c r="AX727" s="410"/>
      <c r="AY727" s="410"/>
      <c r="AZ727" s="410"/>
      <c r="BA727" s="411" t="s">
        <v>270</v>
      </c>
      <c r="BB727" s="412">
        <v>0.1</v>
      </c>
      <c r="BC727" s="412"/>
      <c r="BD727" s="412"/>
      <c r="BE727" s="412"/>
      <c r="BF727" s="412"/>
      <c r="BG727" s="412"/>
      <c r="BH727" s="412"/>
      <c r="BI727" s="412"/>
      <c r="BJ727" s="413"/>
      <c r="BK727" s="413"/>
      <c r="BL727" s="413"/>
      <c r="BM727" s="413"/>
      <c r="BN727" s="413"/>
      <c r="BO727" s="413"/>
      <c r="BP727" s="413"/>
      <c r="BQ727" s="413"/>
      <c r="BR727" s="413"/>
      <c r="BS727" s="413"/>
      <c r="BT727" s="413"/>
      <c r="BU727" s="413"/>
      <c r="BV727" s="413"/>
      <c r="BW727" s="413"/>
      <c r="BX727" s="413"/>
      <c r="BY727" s="413"/>
      <c r="BZ727" s="413"/>
      <c r="CA727" s="413"/>
      <c r="CB727" s="413"/>
      <c r="CC727" s="413"/>
      <c r="CD727" s="413"/>
      <c r="CE727" s="413"/>
      <c r="CX727" s="24" t="s">
        <v>273</v>
      </c>
      <c r="DD727" s="414" t="s">
        <v>1090</v>
      </c>
      <c r="DE727" s="402" t="s">
        <v>1119</v>
      </c>
      <c r="DJ727" s="415"/>
      <c r="DK727" s="416"/>
      <c r="DL727" s="416"/>
      <c r="DM727" s="416"/>
      <c r="DN727" s="416"/>
      <c r="DO727" s="416"/>
      <c r="DP727" s="417"/>
      <c r="DQ727" s="421" t="s">
        <v>1147</v>
      </c>
      <c r="DR727" s="416"/>
      <c r="DS727" s="388" t="s">
        <v>1160</v>
      </c>
      <c r="DU727" s="418" t="s">
        <v>280</v>
      </c>
      <c r="DV727" s="419"/>
      <c r="EA727" s="419"/>
      <c r="EB727" s="419"/>
      <c r="EC727" s="419"/>
      <c r="ED727" s="419"/>
    </row>
    <row r="728" spans="1:134" s="402" customFormat="1" x14ac:dyDescent="0.15">
      <c r="B728" s="421"/>
      <c r="C728" s="403"/>
      <c r="H728" s="404"/>
      <c r="L728" s="405"/>
      <c r="AB728" s="406">
        <v>72000402</v>
      </c>
      <c r="AC728" s="436" t="s">
        <v>1134</v>
      </c>
      <c r="AD728" s="407"/>
      <c r="AE728" s="408" t="s">
        <v>291</v>
      </c>
      <c r="AF728" s="409" t="s">
        <v>1089</v>
      </c>
      <c r="AG728" s="408"/>
      <c r="AH728" s="408"/>
      <c r="AI728" s="408"/>
      <c r="AJ728" s="408">
        <v>-1</v>
      </c>
      <c r="AK728" s="408"/>
      <c r="AL728" s="410"/>
      <c r="AM728" s="410"/>
      <c r="AN728" s="410"/>
      <c r="AO728" s="410"/>
      <c r="AP728" s="410"/>
      <c r="AQ728" s="410"/>
      <c r="AR728" s="410"/>
      <c r="AU728" s="410"/>
      <c r="AV728" s="410"/>
      <c r="AW728" s="410"/>
      <c r="AX728" s="410"/>
      <c r="AY728" s="410"/>
      <c r="AZ728" s="410"/>
      <c r="BA728" s="411" t="s">
        <v>270</v>
      </c>
      <c r="BB728" s="412">
        <v>-0.2</v>
      </c>
      <c r="BC728" s="412"/>
      <c r="BD728" s="412"/>
      <c r="BE728" s="412"/>
      <c r="BF728" s="412"/>
      <c r="BG728" s="412"/>
      <c r="BH728" s="412"/>
      <c r="BI728" s="412"/>
      <c r="BJ728" s="413"/>
      <c r="BK728" s="413"/>
      <c r="BL728" s="413"/>
      <c r="BM728" s="413"/>
      <c r="BN728" s="413"/>
      <c r="BO728" s="413"/>
      <c r="BP728" s="413"/>
      <c r="BQ728" s="413"/>
      <c r="BR728" s="413"/>
      <c r="BS728" s="413"/>
      <c r="BT728" s="413"/>
      <c r="BU728" s="413"/>
      <c r="BV728" s="413"/>
      <c r="BW728" s="413"/>
      <c r="BX728" s="413"/>
      <c r="BY728" s="413"/>
      <c r="BZ728" s="413"/>
      <c r="CA728" s="413"/>
      <c r="CB728" s="413"/>
      <c r="CC728" s="413"/>
      <c r="CD728" s="413"/>
      <c r="CE728" s="413"/>
      <c r="CX728" s="24"/>
      <c r="DD728" s="414"/>
      <c r="DJ728" s="415"/>
      <c r="DK728" s="416"/>
      <c r="DL728" s="416"/>
      <c r="DM728" s="416"/>
      <c r="DN728" s="416"/>
      <c r="DO728" s="416"/>
      <c r="DP728" s="417"/>
      <c r="DQ728" s="421"/>
      <c r="DR728" s="416"/>
      <c r="DS728" s="416"/>
      <c r="DU728" s="418"/>
      <c r="DV728" s="419"/>
      <c r="EA728" s="419"/>
      <c r="EB728" s="419"/>
      <c r="EC728" s="419"/>
      <c r="ED728" s="419"/>
    </row>
    <row r="729" spans="1:134" s="402" customFormat="1" ht="33" x14ac:dyDescent="0.15">
      <c r="A729" s="402">
        <v>720005</v>
      </c>
      <c r="B729" s="421" t="s">
        <v>1110</v>
      </c>
      <c r="C729" s="403" t="s">
        <v>1099</v>
      </c>
      <c r="H729" s="404">
        <v>0</v>
      </c>
      <c r="L729" s="405">
        <v>0</v>
      </c>
      <c r="Q729" s="402" t="s">
        <v>431</v>
      </c>
      <c r="W729" s="402" t="b">
        <v>1</v>
      </c>
      <c r="X729" s="402">
        <v>1</v>
      </c>
      <c r="Y729" s="402">
        <v>0</v>
      </c>
      <c r="Z729" s="402">
        <v>0</v>
      </c>
      <c r="AB729" s="406">
        <v>72000501</v>
      </c>
      <c r="AC729" s="436" t="s">
        <v>1135</v>
      </c>
      <c r="AD729" s="407"/>
      <c r="AE729" s="408" t="s">
        <v>291</v>
      </c>
      <c r="AF729" s="409" t="s">
        <v>1089</v>
      </c>
      <c r="AG729" s="408"/>
      <c r="AH729" s="408"/>
      <c r="AI729" s="408"/>
      <c r="AJ729" s="408">
        <v>-1</v>
      </c>
      <c r="AK729" s="408"/>
      <c r="AL729" s="410"/>
      <c r="AM729" s="410"/>
      <c r="AN729" s="410"/>
      <c r="AO729" s="410"/>
      <c r="AP729" s="410"/>
      <c r="AQ729" s="410"/>
      <c r="AR729" s="410"/>
      <c r="AU729" s="410"/>
      <c r="AV729" s="410"/>
      <c r="AW729" s="410"/>
      <c r="AX729" s="410"/>
      <c r="AY729" s="410"/>
      <c r="AZ729" s="410"/>
      <c r="BA729" s="411" t="s">
        <v>270</v>
      </c>
      <c r="BB729" s="412">
        <v>0.1</v>
      </c>
      <c r="BC729" s="412"/>
      <c r="BD729" s="412"/>
      <c r="BE729" s="412"/>
      <c r="BF729" s="412"/>
      <c r="BG729" s="412"/>
      <c r="BH729" s="412"/>
      <c r="BI729" s="412"/>
      <c r="BJ729" s="413"/>
      <c r="BK729" s="413"/>
      <c r="BL729" s="413"/>
      <c r="BM729" s="413"/>
      <c r="BN729" s="413"/>
      <c r="BO729" s="413"/>
      <c r="BP729" s="413"/>
      <c r="BQ729" s="413"/>
      <c r="BR729" s="413"/>
      <c r="BS729" s="413"/>
      <c r="BT729" s="413"/>
      <c r="BU729" s="413"/>
      <c r="BV729" s="413"/>
      <c r="BW729" s="413"/>
      <c r="BX729" s="413"/>
      <c r="BY729" s="413"/>
      <c r="BZ729" s="413"/>
      <c r="CA729" s="413"/>
      <c r="CB729" s="413"/>
      <c r="CC729" s="413"/>
      <c r="CD729" s="413"/>
      <c r="CE729" s="413"/>
      <c r="CX729" s="24" t="s">
        <v>273</v>
      </c>
      <c r="DD729" s="414" t="s">
        <v>1090</v>
      </c>
      <c r="DE729" s="402" t="s">
        <v>1120</v>
      </c>
      <c r="DJ729" s="415"/>
      <c r="DK729" s="416"/>
      <c r="DL729" s="416"/>
      <c r="DM729" s="416"/>
      <c r="DN729" s="416"/>
      <c r="DO729" s="416"/>
      <c r="DP729" s="417"/>
      <c r="DQ729" s="421" t="s">
        <v>1148</v>
      </c>
      <c r="DR729" s="416"/>
      <c r="DS729" s="388" t="s">
        <v>1161</v>
      </c>
      <c r="DU729" s="418" t="s">
        <v>280</v>
      </c>
      <c r="DV729" s="419"/>
      <c r="EA729" s="419"/>
      <c r="EB729" s="419"/>
      <c r="EC729" s="419"/>
      <c r="ED729" s="419"/>
    </row>
    <row r="730" spans="1:134" s="402" customFormat="1" x14ac:dyDescent="0.15">
      <c r="B730" s="421"/>
      <c r="C730" s="403"/>
      <c r="H730" s="404"/>
      <c r="L730" s="405"/>
      <c r="AB730" s="406">
        <v>72000502</v>
      </c>
      <c r="AC730" s="436" t="s">
        <v>1136</v>
      </c>
      <c r="AD730" s="407"/>
      <c r="AE730" s="408" t="s">
        <v>291</v>
      </c>
      <c r="AF730" s="409" t="s">
        <v>1089</v>
      </c>
      <c r="AG730" s="408"/>
      <c r="AH730" s="408"/>
      <c r="AI730" s="408"/>
      <c r="AJ730" s="408">
        <v>-1</v>
      </c>
      <c r="AK730" s="408"/>
      <c r="AL730" s="410"/>
      <c r="AM730" s="410"/>
      <c r="AN730" s="410"/>
      <c r="AO730" s="410"/>
      <c r="AP730" s="410"/>
      <c r="AQ730" s="410"/>
      <c r="AR730" s="410"/>
      <c r="AU730" s="410"/>
      <c r="AV730" s="410"/>
      <c r="AW730" s="410"/>
      <c r="AX730" s="410"/>
      <c r="AY730" s="410"/>
      <c r="AZ730" s="410"/>
      <c r="BA730" s="411" t="s">
        <v>270</v>
      </c>
      <c r="BB730" s="412">
        <v>-0.2</v>
      </c>
      <c r="BC730" s="412"/>
      <c r="BD730" s="412"/>
      <c r="BE730" s="412"/>
      <c r="BF730" s="412"/>
      <c r="BG730" s="412"/>
      <c r="BH730" s="412"/>
      <c r="BI730" s="412"/>
      <c r="BJ730" s="413"/>
      <c r="BK730" s="413"/>
      <c r="BL730" s="413"/>
      <c r="BM730" s="413"/>
      <c r="BN730" s="413"/>
      <c r="BO730" s="413"/>
      <c r="BP730" s="413"/>
      <c r="BQ730" s="413"/>
      <c r="BR730" s="413"/>
      <c r="BS730" s="413"/>
      <c r="BT730" s="413"/>
      <c r="BU730" s="413"/>
      <c r="BV730" s="413"/>
      <c r="BW730" s="413"/>
      <c r="BX730" s="413"/>
      <c r="BY730" s="413"/>
      <c r="BZ730" s="413"/>
      <c r="CA730" s="413"/>
      <c r="CB730" s="413"/>
      <c r="CC730" s="413"/>
      <c r="CD730" s="413"/>
      <c r="CE730" s="413"/>
      <c r="CX730" s="24"/>
      <c r="DD730" s="414"/>
      <c r="DJ730" s="415"/>
      <c r="DK730" s="416"/>
      <c r="DL730" s="416"/>
      <c r="DM730" s="416"/>
      <c r="DN730" s="416"/>
      <c r="DO730" s="416"/>
      <c r="DP730" s="417"/>
      <c r="DQ730" s="421"/>
      <c r="DR730" s="416"/>
      <c r="DS730" s="416"/>
      <c r="DU730" s="418"/>
      <c r="DV730" s="419"/>
      <c r="EA730" s="419"/>
      <c r="EB730" s="419"/>
      <c r="EC730" s="419"/>
      <c r="ED730" s="419"/>
    </row>
    <row r="731" spans="1:134" s="402" customFormat="1" ht="33" x14ac:dyDescent="0.15">
      <c r="A731" s="402">
        <v>720006</v>
      </c>
      <c r="B731" s="421" t="s">
        <v>1111</v>
      </c>
      <c r="C731" s="403" t="s">
        <v>1100</v>
      </c>
      <c r="H731" s="404">
        <v>0</v>
      </c>
      <c r="L731" s="405">
        <v>0</v>
      </c>
      <c r="Q731" s="402" t="s">
        <v>431</v>
      </c>
      <c r="W731" s="402" t="b">
        <v>1</v>
      </c>
      <c r="X731" s="402">
        <v>1</v>
      </c>
      <c r="Y731" s="402">
        <v>0</v>
      </c>
      <c r="Z731" s="402">
        <v>0</v>
      </c>
      <c r="AB731" s="436">
        <v>72000601</v>
      </c>
      <c r="AC731" s="436" t="s">
        <v>1115</v>
      </c>
      <c r="AD731" s="407"/>
      <c r="AE731" s="408" t="s">
        <v>291</v>
      </c>
      <c r="AF731" s="409" t="s">
        <v>1089</v>
      </c>
      <c r="AG731" s="408"/>
      <c r="AH731" s="408"/>
      <c r="AI731" s="408"/>
      <c r="AJ731" s="408">
        <v>-1</v>
      </c>
      <c r="AK731" s="408"/>
      <c r="AL731" s="410"/>
      <c r="AM731" s="410"/>
      <c r="AN731" s="410"/>
      <c r="AO731" s="410"/>
      <c r="AP731" s="410"/>
      <c r="AQ731" s="410"/>
      <c r="AR731" s="410"/>
      <c r="AU731" s="410"/>
      <c r="AV731" s="410"/>
      <c r="AW731" s="410"/>
      <c r="AX731" s="410"/>
      <c r="AY731" s="410"/>
      <c r="AZ731" s="410"/>
      <c r="BA731" s="411" t="s">
        <v>270</v>
      </c>
      <c r="BB731" s="412">
        <v>-0.15</v>
      </c>
      <c r="BC731" s="412"/>
      <c r="BD731" s="412"/>
      <c r="BE731" s="412"/>
      <c r="BF731" s="412"/>
      <c r="BG731" s="412"/>
      <c r="BH731" s="412"/>
      <c r="BI731" s="412"/>
      <c r="BJ731" s="413"/>
      <c r="BK731" s="413"/>
      <c r="BL731" s="413"/>
      <c r="BM731" s="413"/>
      <c r="BN731" s="413"/>
      <c r="BO731" s="413"/>
      <c r="BP731" s="413"/>
      <c r="BQ731" s="413"/>
      <c r="BR731" s="413"/>
      <c r="BS731" s="413"/>
      <c r="BT731" s="413"/>
      <c r="BU731" s="413"/>
      <c r="BV731" s="413"/>
      <c r="BW731" s="413"/>
      <c r="BX731" s="413"/>
      <c r="BY731" s="413"/>
      <c r="BZ731" s="413"/>
      <c r="CA731" s="413"/>
      <c r="CB731" s="413"/>
      <c r="CC731" s="413"/>
      <c r="CD731" s="413"/>
      <c r="CE731" s="413"/>
      <c r="CX731" s="24" t="s">
        <v>273</v>
      </c>
      <c r="DD731" s="414" t="s">
        <v>1090</v>
      </c>
      <c r="DE731" s="402" t="s">
        <v>1121</v>
      </c>
      <c r="DJ731" s="415"/>
      <c r="DK731" s="416"/>
      <c r="DL731" s="416"/>
      <c r="DM731" s="416"/>
      <c r="DN731" s="416"/>
      <c r="DO731" s="416"/>
      <c r="DP731" s="417"/>
      <c r="DQ731" s="421" t="s">
        <v>1149</v>
      </c>
      <c r="DR731" s="416"/>
      <c r="DS731" s="388" t="s">
        <v>1162</v>
      </c>
      <c r="DU731" s="418" t="s">
        <v>280</v>
      </c>
      <c r="DV731" s="419"/>
      <c r="EA731" s="419"/>
      <c r="EB731" s="419"/>
      <c r="EC731" s="419"/>
      <c r="ED731" s="419"/>
    </row>
    <row r="732" spans="1:134" s="402" customFormat="1" ht="33" x14ac:dyDescent="0.15">
      <c r="A732" s="402">
        <v>720007</v>
      </c>
      <c r="B732" s="421" t="s">
        <v>1112</v>
      </c>
      <c r="C732" s="403" t="s">
        <v>1101</v>
      </c>
      <c r="H732" s="404">
        <v>0</v>
      </c>
      <c r="L732" s="405">
        <v>0</v>
      </c>
      <c r="Q732" s="402" t="s">
        <v>431</v>
      </c>
      <c r="W732" s="402" t="b">
        <v>1</v>
      </c>
      <c r="X732" s="402">
        <v>1</v>
      </c>
      <c r="Y732" s="402">
        <v>0</v>
      </c>
      <c r="Z732" s="402">
        <v>0</v>
      </c>
      <c r="AB732" s="436">
        <v>72000701</v>
      </c>
      <c r="AC732" s="436" t="s">
        <v>1116</v>
      </c>
      <c r="AD732" s="407"/>
      <c r="AE732" s="408" t="s">
        <v>291</v>
      </c>
      <c r="AF732" s="409" t="s">
        <v>1089</v>
      </c>
      <c r="AG732" s="408"/>
      <c r="AH732" s="408"/>
      <c r="AI732" s="408"/>
      <c r="AJ732" s="408">
        <v>-1</v>
      </c>
      <c r="AK732" s="408"/>
      <c r="AL732" s="410"/>
      <c r="AM732" s="410"/>
      <c r="AN732" s="410"/>
      <c r="AO732" s="410"/>
      <c r="AP732" s="410"/>
      <c r="AQ732" s="410"/>
      <c r="AR732" s="410"/>
      <c r="AU732" s="410"/>
      <c r="AV732" s="410"/>
      <c r="AW732" s="410"/>
      <c r="AX732" s="410"/>
      <c r="AY732" s="410"/>
      <c r="AZ732" s="410"/>
      <c r="BA732" s="411" t="s">
        <v>270</v>
      </c>
      <c r="BB732" s="412">
        <v>-0.15</v>
      </c>
      <c r="BC732" s="412"/>
      <c r="BD732" s="412"/>
      <c r="BE732" s="412"/>
      <c r="BF732" s="412"/>
      <c r="BG732" s="412"/>
      <c r="BH732" s="412"/>
      <c r="BI732" s="412"/>
      <c r="BJ732" s="413"/>
      <c r="BK732" s="413"/>
      <c r="BL732" s="413"/>
      <c r="BM732" s="413"/>
      <c r="BN732" s="413"/>
      <c r="BO732" s="413"/>
      <c r="BP732" s="413"/>
      <c r="BQ732" s="413"/>
      <c r="BR732" s="413"/>
      <c r="BS732" s="413"/>
      <c r="BT732" s="413"/>
      <c r="BU732" s="413"/>
      <c r="BV732" s="413"/>
      <c r="BW732" s="413"/>
      <c r="BX732" s="413"/>
      <c r="BY732" s="413"/>
      <c r="BZ732" s="413"/>
      <c r="CA732" s="413"/>
      <c r="CB732" s="413"/>
      <c r="CC732" s="413"/>
      <c r="CD732" s="413"/>
      <c r="CE732" s="413"/>
      <c r="CX732" s="24" t="s">
        <v>273</v>
      </c>
      <c r="DD732" s="414" t="s">
        <v>1090</v>
      </c>
      <c r="DE732" s="402" t="s">
        <v>1122</v>
      </c>
      <c r="DJ732" s="415"/>
      <c r="DK732" s="416"/>
      <c r="DL732" s="416"/>
      <c r="DM732" s="416"/>
      <c r="DN732" s="416"/>
      <c r="DO732" s="416"/>
      <c r="DP732" s="417"/>
      <c r="DQ732" s="421" t="s">
        <v>1150</v>
      </c>
      <c r="DR732" s="416"/>
      <c r="DS732" s="388" t="s">
        <v>1163</v>
      </c>
      <c r="DU732" s="418" t="s">
        <v>280</v>
      </c>
      <c r="DV732" s="419"/>
      <c r="EA732" s="419"/>
      <c r="EB732" s="419"/>
      <c r="EC732" s="419"/>
      <c r="ED732" s="419"/>
    </row>
    <row r="733" spans="1:134" s="402" customFormat="1" ht="33" x14ac:dyDescent="0.15">
      <c r="A733" s="402">
        <v>720008</v>
      </c>
      <c r="B733" s="421" t="s">
        <v>1113</v>
      </c>
      <c r="C733" s="403" t="s">
        <v>1102</v>
      </c>
      <c r="H733" s="404">
        <v>0</v>
      </c>
      <c r="L733" s="405">
        <v>0</v>
      </c>
      <c r="Q733" s="402" t="s">
        <v>431</v>
      </c>
      <c r="W733" s="402" t="b">
        <v>1</v>
      </c>
      <c r="X733" s="402">
        <v>1</v>
      </c>
      <c r="Y733" s="402">
        <v>0</v>
      </c>
      <c r="Z733" s="402">
        <v>0</v>
      </c>
      <c r="AB733" s="436">
        <v>72000801</v>
      </c>
      <c r="AC733" s="436" t="s">
        <v>1117</v>
      </c>
      <c r="AD733" s="407"/>
      <c r="AE733" s="408" t="s">
        <v>291</v>
      </c>
      <c r="AF733" s="409" t="s">
        <v>1089</v>
      </c>
      <c r="AG733" s="408"/>
      <c r="AH733" s="408"/>
      <c r="AI733" s="408"/>
      <c r="AJ733" s="408">
        <v>-1</v>
      </c>
      <c r="AK733" s="408"/>
      <c r="AL733" s="410"/>
      <c r="AM733" s="410"/>
      <c r="AN733" s="410"/>
      <c r="AO733" s="410"/>
      <c r="AP733" s="410"/>
      <c r="AQ733" s="410"/>
      <c r="AR733" s="410"/>
      <c r="AU733" s="410"/>
      <c r="AV733" s="410"/>
      <c r="AW733" s="410"/>
      <c r="AX733" s="410"/>
      <c r="AY733" s="410"/>
      <c r="AZ733" s="410"/>
      <c r="BA733" s="411" t="s">
        <v>270</v>
      </c>
      <c r="BB733" s="412">
        <v>-0.15</v>
      </c>
      <c r="BC733" s="412"/>
      <c r="BD733" s="412"/>
      <c r="BE733" s="412"/>
      <c r="BF733" s="412"/>
      <c r="BG733" s="412"/>
      <c r="BH733" s="412"/>
      <c r="BI733" s="412"/>
      <c r="BJ733" s="413"/>
      <c r="BK733" s="413"/>
      <c r="BL733" s="413"/>
      <c r="BM733" s="413"/>
      <c r="BN733" s="413"/>
      <c r="BO733" s="413"/>
      <c r="BP733" s="413"/>
      <c r="BQ733" s="413"/>
      <c r="BR733" s="413"/>
      <c r="BS733" s="413"/>
      <c r="BT733" s="413"/>
      <c r="BU733" s="413"/>
      <c r="BV733" s="413"/>
      <c r="BW733" s="413"/>
      <c r="BX733" s="413"/>
      <c r="BY733" s="413"/>
      <c r="BZ733" s="413"/>
      <c r="CA733" s="413"/>
      <c r="CB733" s="413"/>
      <c r="CC733" s="413"/>
      <c r="CD733" s="413"/>
      <c r="CE733" s="413"/>
      <c r="CX733" s="24" t="s">
        <v>273</v>
      </c>
      <c r="DD733" s="414" t="s">
        <v>1090</v>
      </c>
      <c r="DE733" s="402" t="s">
        <v>1123</v>
      </c>
      <c r="DJ733" s="415"/>
      <c r="DK733" s="416"/>
      <c r="DL733" s="416"/>
      <c r="DM733" s="416"/>
      <c r="DN733" s="416"/>
      <c r="DO733" s="416"/>
      <c r="DP733" s="417"/>
      <c r="DQ733" s="421" t="s">
        <v>1151</v>
      </c>
      <c r="DR733" s="416"/>
      <c r="DS733" s="388" t="s">
        <v>1164</v>
      </c>
      <c r="DU733" s="418" t="s">
        <v>280</v>
      </c>
      <c r="DV733" s="419"/>
      <c r="EA733" s="419"/>
      <c r="EB733" s="419"/>
      <c r="EC733" s="419"/>
      <c r="ED733" s="419"/>
    </row>
    <row r="734" spans="1:134" s="402" customFormat="1" ht="33" x14ac:dyDescent="0.15">
      <c r="A734" s="402">
        <v>720009</v>
      </c>
      <c r="B734" s="421" t="s">
        <v>1114</v>
      </c>
      <c r="C734" s="403" t="s">
        <v>1103</v>
      </c>
      <c r="H734" s="404">
        <v>0</v>
      </c>
      <c r="L734" s="405">
        <v>0</v>
      </c>
      <c r="Q734" s="402" t="s">
        <v>431</v>
      </c>
      <c r="W734" s="402" t="b">
        <v>1</v>
      </c>
      <c r="X734" s="402">
        <v>1</v>
      </c>
      <c r="Y734" s="402">
        <v>0</v>
      </c>
      <c r="Z734" s="402">
        <v>0</v>
      </c>
      <c r="AB734" s="436">
        <v>72000901</v>
      </c>
      <c r="AC734" s="436" t="s">
        <v>1118</v>
      </c>
      <c r="AD734" s="407"/>
      <c r="AE734" s="408" t="s">
        <v>291</v>
      </c>
      <c r="AF734" s="409" t="s">
        <v>1089</v>
      </c>
      <c r="AG734" s="408"/>
      <c r="AH734" s="408"/>
      <c r="AI734" s="408"/>
      <c r="AJ734" s="408">
        <v>-1</v>
      </c>
      <c r="AK734" s="408"/>
      <c r="AL734" s="410"/>
      <c r="AM734" s="410"/>
      <c r="AN734" s="410"/>
      <c r="AO734" s="410"/>
      <c r="AP734" s="410"/>
      <c r="AQ734" s="410"/>
      <c r="AR734" s="410"/>
      <c r="AU734" s="410"/>
      <c r="AV734" s="410"/>
      <c r="AW734" s="410"/>
      <c r="AX734" s="410"/>
      <c r="AY734" s="410"/>
      <c r="AZ734" s="410"/>
      <c r="BA734" s="411" t="s">
        <v>270</v>
      </c>
      <c r="BB734" s="412">
        <v>-0.15</v>
      </c>
      <c r="BC734" s="412"/>
      <c r="BD734" s="412"/>
      <c r="BE734" s="412"/>
      <c r="BF734" s="412"/>
      <c r="BG734" s="412"/>
      <c r="BH734" s="412"/>
      <c r="BI734" s="412"/>
      <c r="BJ734" s="413"/>
      <c r="BK734" s="413"/>
      <c r="BL734" s="413"/>
      <c r="BM734" s="413"/>
      <c r="BN734" s="413"/>
      <c r="BO734" s="413"/>
      <c r="BP734" s="413"/>
      <c r="BQ734" s="413"/>
      <c r="BR734" s="413"/>
      <c r="BS734" s="413"/>
      <c r="BT734" s="413"/>
      <c r="BU734" s="413"/>
      <c r="BV734" s="413"/>
      <c r="BW734" s="413"/>
      <c r="BX734" s="413"/>
      <c r="BY734" s="413"/>
      <c r="BZ734" s="413"/>
      <c r="CA734" s="413"/>
      <c r="CB734" s="413"/>
      <c r="CC734" s="413"/>
      <c r="CD734" s="413"/>
      <c r="CE734" s="413"/>
      <c r="CX734" s="24" t="s">
        <v>273</v>
      </c>
      <c r="DD734" s="414" t="s">
        <v>1090</v>
      </c>
      <c r="DE734" s="402" t="s">
        <v>1124</v>
      </c>
      <c r="DJ734" s="415"/>
      <c r="DK734" s="416"/>
      <c r="DL734" s="416"/>
      <c r="DM734" s="416"/>
      <c r="DN734" s="416"/>
      <c r="DO734" s="416"/>
      <c r="DP734" s="417"/>
      <c r="DQ734" s="421" t="s">
        <v>1152</v>
      </c>
      <c r="DR734" s="416"/>
      <c r="DS734" s="388" t="s">
        <v>1165</v>
      </c>
      <c r="DU734" s="418" t="s">
        <v>280</v>
      </c>
      <c r="DV734" s="419"/>
      <c r="EA734" s="419"/>
      <c r="EB734" s="419"/>
      <c r="EC734" s="419"/>
      <c r="ED734" s="419"/>
    </row>
    <row r="735" spans="1:134" s="402" customFormat="1" ht="33" x14ac:dyDescent="0.15">
      <c r="A735" s="402">
        <v>720010</v>
      </c>
      <c r="B735" s="386" t="s">
        <v>1153</v>
      </c>
      <c r="C735" s="403" t="s">
        <v>391</v>
      </c>
      <c r="H735" s="404">
        <v>0</v>
      </c>
      <c r="L735" s="405">
        <v>0</v>
      </c>
      <c r="Q735" s="402" t="s">
        <v>431</v>
      </c>
      <c r="W735" s="402" t="b">
        <v>1</v>
      </c>
      <c r="X735" s="402">
        <v>1</v>
      </c>
      <c r="Y735" s="402">
        <v>0</v>
      </c>
      <c r="Z735" s="402">
        <v>0</v>
      </c>
      <c r="AB735" s="436">
        <v>72001001</v>
      </c>
      <c r="AC735" s="436" t="s">
        <v>1137</v>
      </c>
      <c r="AD735" s="407"/>
      <c r="AE735" s="408" t="s">
        <v>291</v>
      </c>
      <c r="AF735" s="409" t="s">
        <v>1089</v>
      </c>
      <c r="AG735" s="408"/>
      <c r="AH735" s="408"/>
      <c r="AI735" s="408"/>
      <c r="AJ735" s="408">
        <v>-1</v>
      </c>
      <c r="AK735" s="408"/>
      <c r="AL735" s="410"/>
      <c r="AM735" s="410"/>
      <c r="AN735" s="410"/>
      <c r="AO735" s="410"/>
      <c r="AP735" s="410"/>
      <c r="AQ735" s="410"/>
      <c r="AR735" s="410"/>
      <c r="AU735" s="410"/>
      <c r="AV735" s="410"/>
      <c r="AW735" s="410"/>
      <c r="AX735" s="410"/>
      <c r="AY735" s="410"/>
      <c r="AZ735" s="410"/>
      <c r="BA735" s="411" t="s">
        <v>270</v>
      </c>
      <c r="BB735" s="412">
        <v>0.2</v>
      </c>
      <c r="BC735" s="412"/>
      <c r="BD735" s="412"/>
      <c r="BE735" s="412"/>
      <c r="BF735" s="412"/>
      <c r="BG735" s="412"/>
      <c r="BH735" s="412"/>
      <c r="BI735" s="412"/>
      <c r="BJ735" s="413"/>
      <c r="BK735" s="413"/>
      <c r="BL735" s="413"/>
      <c r="BM735" s="413"/>
      <c r="BN735" s="413"/>
      <c r="BO735" s="413"/>
      <c r="BP735" s="413"/>
      <c r="BQ735" s="413"/>
      <c r="BR735" s="413"/>
      <c r="BS735" s="413"/>
      <c r="BT735" s="413"/>
      <c r="BU735" s="413"/>
      <c r="BV735" s="413"/>
      <c r="BW735" s="413"/>
      <c r="BX735" s="413"/>
      <c r="BY735" s="413"/>
      <c r="BZ735" s="413"/>
      <c r="CA735" s="413"/>
      <c r="CB735" s="413"/>
      <c r="CC735" s="413"/>
      <c r="CD735" s="413"/>
      <c r="CE735" s="413"/>
      <c r="CX735" s="24" t="s">
        <v>273</v>
      </c>
      <c r="DD735" s="414" t="s">
        <v>1090</v>
      </c>
      <c r="DE735" s="402" t="s">
        <v>1125</v>
      </c>
      <c r="DJ735" s="415"/>
      <c r="DK735" s="416"/>
      <c r="DL735" s="416"/>
      <c r="DM735" s="416"/>
      <c r="DN735" s="416"/>
      <c r="DO735" s="416"/>
      <c r="DP735" s="417"/>
      <c r="DQ735" s="386" t="s">
        <v>1155</v>
      </c>
      <c r="DR735" s="416"/>
      <c r="DS735" s="388" t="s">
        <v>1166</v>
      </c>
      <c r="DU735" s="418" t="s">
        <v>280</v>
      </c>
      <c r="DV735" s="419"/>
      <c r="EA735" s="419"/>
      <c r="EB735" s="419"/>
      <c r="EC735" s="419"/>
      <c r="ED735" s="419"/>
    </row>
    <row r="736" spans="1:134" s="402" customFormat="1" x14ac:dyDescent="0.15">
      <c r="B736" s="421"/>
      <c r="C736" s="403"/>
      <c r="H736" s="404"/>
      <c r="L736" s="405"/>
      <c r="AB736" s="436">
        <v>72001002</v>
      </c>
      <c r="AC736" s="436" t="s">
        <v>1138</v>
      </c>
      <c r="AD736" s="407"/>
      <c r="AE736" s="408" t="s">
        <v>291</v>
      </c>
      <c r="AF736" s="409" t="s">
        <v>1089</v>
      </c>
      <c r="AG736" s="408"/>
      <c r="AH736" s="408"/>
      <c r="AI736" s="408"/>
      <c r="AJ736" s="408">
        <v>-1</v>
      </c>
      <c r="AK736" s="408"/>
      <c r="AL736" s="410"/>
      <c r="AM736" s="410"/>
      <c r="AN736" s="410"/>
      <c r="AO736" s="410"/>
      <c r="AP736" s="410"/>
      <c r="AQ736" s="410"/>
      <c r="AR736" s="410"/>
      <c r="AU736" s="410"/>
      <c r="AV736" s="410"/>
      <c r="AW736" s="410"/>
      <c r="AX736" s="410"/>
      <c r="AY736" s="410"/>
      <c r="AZ736" s="410"/>
      <c r="BA736" s="411" t="s">
        <v>270</v>
      </c>
      <c r="BB736" s="412">
        <v>-0.2</v>
      </c>
      <c r="BC736" s="412"/>
      <c r="BD736" s="412"/>
      <c r="BE736" s="412"/>
      <c r="BF736" s="412"/>
      <c r="BG736" s="412"/>
      <c r="BH736" s="412"/>
      <c r="BI736" s="412"/>
      <c r="BJ736" s="413"/>
      <c r="BK736" s="413"/>
      <c r="BL736" s="413"/>
      <c r="BM736" s="413"/>
      <c r="BN736" s="413"/>
      <c r="BO736" s="413"/>
      <c r="BP736" s="413"/>
      <c r="BQ736" s="413"/>
      <c r="BR736" s="413"/>
      <c r="BS736" s="413"/>
      <c r="BT736" s="413"/>
      <c r="BU736" s="413"/>
      <c r="BV736" s="413"/>
      <c r="BW736" s="413"/>
      <c r="BX736" s="413"/>
      <c r="BY736" s="413"/>
      <c r="BZ736" s="413"/>
      <c r="CA736" s="413"/>
      <c r="CB736" s="413"/>
      <c r="CC736" s="413"/>
      <c r="CD736" s="413"/>
      <c r="CE736" s="413"/>
      <c r="CX736" s="24"/>
      <c r="DD736" s="414"/>
      <c r="DJ736" s="415"/>
      <c r="DK736" s="416"/>
      <c r="DL736" s="416"/>
      <c r="DM736" s="416"/>
      <c r="DN736" s="416"/>
      <c r="DO736" s="416"/>
      <c r="DP736" s="417"/>
      <c r="DQ736" s="421"/>
      <c r="DR736" s="416"/>
      <c r="DS736" s="416"/>
      <c r="DU736" s="418"/>
      <c r="DV736" s="419"/>
      <c r="EA736" s="419"/>
      <c r="EB736" s="419"/>
      <c r="EC736" s="419"/>
      <c r="ED736" s="419"/>
    </row>
    <row r="737" spans="1:169" s="402" customFormat="1" ht="33" x14ac:dyDescent="0.15">
      <c r="A737" s="402">
        <v>720011</v>
      </c>
      <c r="B737" s="386" t="s">
        <v>1154</v>
      </c>
      <c r="C737" s="403" t="s">
        <v>1104</v>
      </c>
      <c r="H737" s="404">
        <v>0</v>
      </c>
      <c r="L737" s="405">
        <v>0</v>
      </c>
      <c r="Q737" s="402" t="s">
        <v>431</v>
      </c>
      <c r="W737" s="402" t="b">
        <v>1</v>
      </c>
      <c r="X737" s="402">
        <v>1</v>
      </c>
      <c r="Y737" s="402">
        <v>0</v>
      </c>
      <c r="Z737" s="402">
        <v>0</v>
      </c>
      <c r="AB737" s="436">
        <v>72001101</v>
      </c>
      <c r="AC737" s="436" t="s">
        <v>1139</v>
      </c>
      <c r="AD737" s="407"/>
      <c r="AE737" s="408" t="s">
        <v>291</v>
      </c>
      <c r="AF737" s="409" t="s">
        <v>1089</v>
      </c>
      <c r="AG737" s="408"/>
      <c r="AH737" s="408"/>
      <c r="AI737" s="408"/>
      <c r="AJ737" s="408">
        <v>-1</v>
      </c>
      <c r="AK737" s="408"/>
      <c r="AL737" s="410"/>
      <c r="AM737" s="410"/>
      <c r="AN737" s="410"/>
      <c r="AO737" s="410"/>
      <c r="AP737" s="410"/>
      <c r="AQ737" s="410"/>
      <c r="AR737" s="410"/>
      <c r="AU737" s="410"/>
      <c r="AV737" s="410"/>
      <c r="AW737" s="410"/>
      <c r="AX737" s="410"/>
      <c r="AY737" s="410"/>
      <c r="AZ737" s="410"/>
      <c r="BA737" s="411" t="s">
        <v>270</v>
      </c>
      <c r="BB737" s="412">
        <v>-0.2</v>
      </c>
      <c r="BC737" s="412"/>
      <c r="BD737" s="412"/>
      <c r="BE737" s="412"/>
      <c r="BF737" s="412"/>
      <c r="BG737" s="412"/>
      <c r="BH737" s="412"/>
      <c r="BI737" s="412"/>
      <c r="BJ737" s="413"/>
      <c r="BK737" s="413"/>
      <c r="BL737" s="413"/>
      <c r="BM737" s="413"/>
      <c r="BN737" s="413"/>
      <c r="BO737" s="413"/>
      <c r="BP737" s="413"/>
      <c r="BQ737" s="413"/>
      <c r="BR737" s="413"/>
      <c r="BS737" s="413"/>
      <c r="BT737" s="413"/>
      <c r="BU737" s="413"/>
      <c r="BV737" s="413"/>
      <c r="BW737" s="413"/>
      <c r="BX737" s="413"/>
      <c r="BY737" s="413"/>
      <c r="BZ737" s="413"/>
      <c r="CA737" s="413"/>
      <c r="CB737" s="413"/>
      <c r="CC737" s="413"/>
      <c r="CD737" s="413"/>
      <c r="CE737" s="413"/>
      <c r="CX737" s="24" t="s">
        <v>273</v>
      </c>
      <c r="DD737" s="414" t="s">
        <v>1090</v>
      </c>
      <c r="DE737" s="402" t="s">
        <v>1126</v>
      </c>
      <c r="DJ737" s="415"/>
      <c r="DK737" s="416"/>
      <c r="DL737" s="416"/>
      <c r="DM737" s="416"/>
      <c r="DN737" s="416"/>
      <c r="DO737" s="416"/>
      <c r="DP737" s="417"/>
      <c r="DQ737" s="386" t="s">
        <v>1156</v>
      </c>
      <c r="DR737" s="416"/>
      <c r="DS737" s="388" t="s">
        <v>1167</v>
      </c>
      <c r="DU737" s="418" t="s">
        <v>280</v>
      </c>
      <c r="DV737" s="419"/>
      <c r="EA737" s="419"/>
      <c r="EB737" s="419"/>
      <c r="EC737" s="419"/>
      <c r="ED737" s="419"/>
    </row>
    <row r="738" spans="1:169" s="402" customFormat="1" x14ac:dyDescent="0.15">
      <c r="B738" s="421"/>
      <c r="C738" s="403"/>
      <c r="H738" s="404"/>
      <c r="L738" s="405"/>
      <c r="AB738" s="436">
        <v>72001102</v>
      </c>
      <c r="AC738" s="436" t="s">
        <v>1140</v>
      </c>
      <c r="AD738" s="407"/>
      <c r="AE738" s="408" t="s">
        <v>291</v>
      </c>
      <c r="AF738" s="409" t="s">
        <v>1089</v>
      </c>
      <c r="AG738" s="408"/>
      <c r="AH738" s="408"/>
      <c r="AI738" s="408"/>
      <c r="AJ738" s="408">
        <v>-1</v>
      </c>
      <c r="AK738" s="408"/>
      <c r="AL738" s="410"/>
      <c r="AM738" s="410"/>
      <c r="AN738" s="410"/>
      <c r="AO738" s="410"/>
      <c r="AP738" s="410"/>
      <c r="AQ738" s="410"/>
      <c r="AR738" s="410"/>
      <c r="AU738" s="410"/>
      <c r="AV738" s="410"/>
      <c r="AW738" s="410"/>
      <c r="AX738" s="410"/>
      <c r="AY738" s="410"/>
      <c r="AZ738" s="410"/>
      <c r="BA738" s="411" t="s">
        <v>270</v>
      </c>
      <c r="BB738" s="412">
        <v>0.2</v>
      </c>
      <c r="BC738" s="412"/>
      <c r="BD738" s="412"/>
      <c r="BE738" s="412"/>
      <c r="BF738" s="412"/>
      <c r="BG738" s="412"/>
      <c r="BH738" s="412"/>
      <c r="BI738" s="412"/>
      <c r="BJ738" s="413"/>
      <c r="BK738" s="413"/>
      <c r="BL738" s="413"/>
      <c r="BM738" s="413"/>
      <c r="BN738" s="413"/>
      <c r="BO738" s="413"/>
      <c r="BP738" s="413"/>
      <c r="BQ738" s="413"/>
      <c r="BR738" s="413"/>
      <c r="BS738" s="413"/>
      <c r="BT738" s="413"/>
      <c r="BU738" s="413"/>
      <c r="BV738" s="413"/>
      <c r="BW738" s="413"/>
      <c r="BX738" s="413"/>
      <c r="BY738" s="413"/>
      <c r="BZ738" s="413"/>
      <c r="CA738" s="413"/>
      <c r="CB738" s="413"/>
      <c r="CC738" s="413"/>
      <c r="CD738" s="413"/>
      <c r="CE738" s="413"/>
      <c r="CX738" s="24"/>
      <c r="DD738" s="414"/>
      <c r="DJ738" s="415"/>
      <c r="DK738" s="416"/>
      <c r="DL738" s="416"/>
      <c r="DM738" s="416"/>
      <c r="DN738" s="416"/>
      <c r="DO738" s="416"/>
      <c r="DP738" s="417"/>
      <c r="DQ738" s="416"/>
      <c r="DR738" s="416"/>
      <c r="DS738" s="416"/>
      <c r="DU738" s="418"/>
      <c r="DV738" s="419"/>
      <c r="EA738" s="419"/>
      <c r="EB738" s="419"/>
      <c r="EC738" s="419"/>
      <c r="ED738" s="419"/>
    </row>
    <row r="739" spans="1:169" s="424" customFormat="1" x14ac:dyDescent="0.15">
      <c r="A739" s="409">
        <v>720015</v>
      </c>
      <c r="B739" s="422" t="s">
        <v>1127</v>
      </c>
      <c r="C739" s="423" t="s">
        <v>1130</v>
      </c>
      <c r="D739" s="424" t="s">
        <v>1129</v>
      </c>
      <c r="E739" s="424">
        <v>720015</v>
      </c>
      <c r="H739" s="424">
        <v>0</v>
      </c>
      <c r="L739" s="424">
        <v>0</v>
      </c>
      <c r="Q739" s="424" t="s">
        <v>348</v>
      </c>
      <c r="R739" s="422"/>
      <c r="S739" s="422"/>
      <c r="W739" s="424" t="b">
        <v>1</v>
      </c>
      <c r="X739" s="422">
        <v>1</v>
      </c>
      <c r="Y739" s="422"/>
      <c r="Z739" s="422"/>
      <c r="AA739" s="422"/>
      <c r="AB739" s="409">
        <v>72001501</v>
      </c>
      <c r="AC739" s="424" t="s">
        <v>1132</v>
      </c>
      <c r="AJ739" s="424">
        <v>420</v>
      </c>
      <c r="AL739" s="425"/>
      <c r="AM739" s="425"/>
      <c r="AN739" s="425"/>
      <c r="AO739" s="425"/>
      <c r="AP739" s="425"/>
      <c r="AQ739" s="425"/>
      <c r="AR739" s="425"/>
      <c r="AS739" s="422"/>
      <c r="AT739" s="422"/>
      <c r="AU739" s="425"/>
      <c r="AV739" s="425"/>
      <c r="AW739" s="425"/>
      <c r="AX739" s="425"/>
      <c r="AY739" s="425"/>
      <c r="AZ739" s="425"/>
      <c r="CX739" s="24" t="s">
        <v>273</v>
      </c>
      <c r="DX739" s="422"/>
      <c r="EK739" s="422"/>
      <c r="EL739" s="422"/>
      <c r="EM739" s="422"/>
      <c r="EN739" s="422"/>
      <c r="EO739" s="422"/>
      <c r="EP739" s="422"/>
      <c r="ES739" s="422"/>
      <c r="ET739" s="422"/>
      <c r="EV739" s="425"/>
      <c r="EY739" s="426"/>
      <c r="EZ739" s="427"/>
      <c r="FA739" s="425"/>
      <c r="FB739" s="425"/>
      <c r="FC739" s="425"/>
      <c r="FM739" s="428"/>
    </row>
    <row r="740" spans="1:169" s="430" customFormat="1" x14ac:dyDescent="0.15">
      <c r="B740" s="433"/>
      <c r="AB740" s="409">
        <v>72001504</v>
      </c>
      <c r="AC740" s="426" t="s">
        <v>1128</v>
      </c>
      <c r="AE740" s="434" t="s">
        <v>129</v>
      </c>
      <c r="AF740" s="429" t="s">
        <v>807</v>
      </c>
      <c r="AL740" s="431"/>
      <c r="AM740" s="431"/>
      <c r="AN740" s="431"/>
      <c r="AO740" s="431"/>
      <c r="AP740" s="431"/>
      <c r="AQ740" s="431"/>
      <c r="AR740" s="431"/>
      <c r="AS740" s="432"/>
      <c r="AT740" s="432"/>
      <c r="AU740" s="431"/>
      <c r="AV740" s="431"/>
      <c r="AW740" s="431"/>
      <c r="AX740" s="431"/>
      <c r="AY740" s="431"/>
      <c r="AZ740" s="431"/>
      <c r="BA740" s="424" t="s">
        <v>1131</v>
      </c>
      <c r="BB740" s="430">
        <v>100</v>
      </c>
      <c r="DQ740" s="435"/>
      <c r="DR740" s="435"/>
      <c r="DV740" s="431"/>
      <c r="EA740" s="431"/>
      <c r="EB740" s="431"/>
      <c r="EC740" s="431"/>
      <c r="ED740" s="431"/>
    </row>
    <row r="741" spans="1:169" s="441" customFormat="1" ht="33" x14ac:dyDescent="0.15">
      <c r="A741" s="441">
        <v>720101</v>
      </c>
      <c r="B741" s="37" t="s">
        <v>1168</v>
      </c>
      <c r="C741" s="40" t="s">
        <v>1169</v>
      </c>
      <c r="D741" s="441" t="s">
        <v>1170</v>
      </c>
      <c r="H741" s="441">
        <v>0</v>
      </c>
      <c r="L741" s="441">
        <v>0</v>
      </c>
      <c r="Q741" s="23" t="s">
        <v>431</v>
      </c>
      <c r="W741" s="424" t="b">
        <v>1</v>
      </c>
      <c r="X741" s="438">
        <v>1</v>
      </c>
      <c r="Y741" s="438">
        <v>0</v>
      </c>
      <c r="Z741" s="438">
        <v>0</v>
      </c>
      <c r="AB741" s="441">
        <v>72010103</v>
      </c>
      <c r="AC741" s="438" t="s">
        <v>1173</v>
      </c>
      <c r="AD741" s="438"/>
      <c r="AE741" s="438" t="s">
        <v>291</v>
      </c>
      <c r="AF741" s="438" t="s">
        <v>314</v>
      </c>
      <c r="AG741" s="438"/>
      <c r="AH741" s="438"/>
      <c r="AI741" s="438"/>
      <c r="AJ741" s="380">
        <v>-1</v>
      </c>
      <c r="AK741" s="438"/>
      <c r="AL741" s="439"/>
      <c r="AM741" s="439"/>
      <c r="AN741" s="439"/>
      <c r="AO741" s="439"/>
      <c r="AP741" s="439"/>
      <c r="AQ741" s="439"/>
      <c r="AR741" s="439"/>
      <c r="AS741" s="439"/>
      <c r="AT741" s="439"/>
      <c r="AU741" s="24"/>
      <c r="AV741" s="24"/>
      <c r="AW741" s="439"/>
      <c r="AX741" s="439"/>
      <c r="AY741" s="439"/>
      <c r="AZ741" s="439"/>
      <c r="BA741" s="438" t="s">
        <v>1174</v>
      </c>
      <c r="BB741" s="438">
        <v>0.3</v>
      </c>
      <c r="BC741" s="438"/>
      <c r="BD741" s="438"/>
      <c r="BE741" s="75"/>
      <c r="BF741" s="75"/>
      <c r="BG741" s="75"/>
      <c r="BH741" s="75"/>
      <c r="BI741" s="75"/>
      <c r="BJ741" s="439" t="s">
        <v>270</v>
      </c>
      <c r="BK741" s="438">
        <v>0.2</v>
      </c>
      <c r="BL741" s="438"/>
      <c r="BM741" s="438"/>
      <c r="BN741" s="438"/>
      <c r="BO741" s="438"/>
      <c r="BP741" s="438"/>
      <c r="BQ741" s="438"/>
      <c r="BR741" s="438"/>
      <c r="BS741" s="438"/>
      <c r="BT741" s="438"/>
      <c r="BU741" s="438"/>
      <c r="BV741" s="438"/>
      <c r="BW741" s="438"/>
      <c r="BX741" s="438"/>
      <c r="BY741" s="442"/>
      <c r="BZ741" s="442"/>
      <c r="CA741" s="442"/>
      <c r="CB741" s="442"/>
      <c r="CC741" s="442"/>
      <c r="CD741" s="442"/>
      <c r="CE741" s="442"/>
      <c r="CX741" s="24" t="s">
        <v>273</v>
      </c>
      <c r="DD741" s="362" t="s">
        <v>797</v>
      </c>
      <c r="DE741" s="441" t="s">
        <v>816</v>
      </c>
      <c r="DP741" s="96"/>
      <c r="DQ741" s="386" t="s">
        <v>1171</v>
      </c>
      <c r="DR741" s="388"/>
      <c r="DS741" s="388" t="s">
        <v>1172</v>
      </c>
      <c r="DV741" s="98"/>
      <c r="EA741" s="98"/>
      <c r="EB741" s="98"/>
      <c r="EC741" s="98"/>
      <c r="ED741" s="98"/>
    </row>
    <row r="742" spans="1:169" s="441" customFormat="1" ht="33" x14ac:dyDescent="0.15">
      <c r="A742" s="441">
        <v>720102</v>
      </c>
      <c r="B742" s="37" t="s">
        <v>822</v>
      </c>
      <c r="C742" s="40" t="s">
        <v>823</v>
      </c>
      <c r="D742" s="441" t="s">
        <v>1175</v>
      </c>
      <c r="H742" s="441">
        <v>0</v>
      </c>
      <c r="L742" s="441">
        <v>0</v>
      </c>
      <c r="Q742" s="23" t="s">
        <v>431</v>
      </c>
      <c r="W742" s="424" t="b">
        <v>1</v>
      </c>
      <c r="X742" s="438">
        <v>1</v>
      </c>
      <c r="Y742" s="438">
        <v>0</v>
      </c>
      <c r="Z742" s="438">
        <v>0</v>
      </c>
      <c r="AB742" s="441">
        <v>72010204</v>
      </c>
      <c r="AC742" s="438" t="s">
        <v>1178</v>
      </c>
      <c r="AD742" s="440"/>
      <c r="AE742" s="440" t="s">
        <v>291</v>
      </c>
      <c r="AF742" s="440" t="s">
        <v>437</v>
      </c>
      <c r="AG742" s="56"/>
      <c r="AH742" s="56"/>
      <c r="AI742" s="56"/>
      <c r="AJ742" s="380">
        <v>-1</v>
      </c>
      <c r="AK742" s="56"/>
      <c r="AL742" s="64"/>
      <c r="AM742" s="64"/>
      <c r="AN742" s="64"/>
      <c r="AO742" s="64"/>
      <c r="AP742" s="64"/>
      <c r="AQ742" s="64"/>
      <c r="AR742" s="64"/>
      <c r="AS742" s="17"/>
      <c r="AT742" s="17"/>
      <c r="AU742" s="24"/>
      <c r="AV742" s="24"/>
      <c r="AW742" s="64"/>
      <c r="AX742" s="64"/>
      <c r="AY742" s="64"/>
      <c r="AZ742" s="64"/>
      <c r="BA742" s="438" t="s">
        <v>1174</v>
      </c>
      <c r="BB742" s="438">
        <v>0.5</v>
      </c>
      <c r="BC742" s="75"/>
      <c r="BD742" s="75"/>
      <c r="BE742" s="75"/>
      <c r="BF742" s="75"/>
      <c r="BG742" s="75"/>
      <c r="BH742" s="75"/>
      <c r="BI742" s="75"/>
      <c r="BJ742" s="439" t="s">
        <v>270</v>
      </c>
      <c r="BK742" s="438">
        <v>0.15</v>
      </c>
      <c r="BL742" s="442"/>
      <c r="BM742" s="442"/>
      <c r="BN742" s="442"/>
      <c r="BO742" s="442"/>
      <c r="BP742" s="442"/>
      <c r="BQ742" s="442"/>
      <c r="BR742" s="442"/>
      <c r="BS742" s="442"/>
      <c r="BT742" s="442"/>
      <c r="BU742" s="442"/>
      <c r="BV742" s="442"/>
      <c r="BW742" s="442"/>
      <c r="BX742" s="442"/>
      <c r="BY742" s="442"/>
      <c r="BZ742" s="442"/>
      <c r="CA742" s="442"/>
      <c r="CB742" s="442"/>
      <c r="CC742" s="442"/>
      <c r="CD742" s="442"/>
      <c r="CE742" s="442"/>
      <c r="CX742" s="24" t="s">
        <v>273</v>
      </c>
      <c r="DD742" s="362" t="s">
        <v>797</v>
      </c>
      <c r="DE742" s="441" t="s">
        <v>824</v>
      </c>
      <c r="DP742" s="96"/>
      <c r="DQ742" s="386" t="s">
        <v>1176</v>
      </c>
      <c r="DR742" s="57"/>
      <c r="DS742" s="388" t="s">
        <v>1177</v>
      </c>
      <c r="DV742" s="98"/>
      <c r="EA742" s="98"/>
      <c r="EB742" s="98"/>
      <c r="EC742" s="98"/>
      <c r="ED742" s="98"/>
    </row>
  </sheetData>
  <autoFilter ref="A3:EP710" xr:uid="{00000000-0009-0000-0000-000001000000}"/>
  <mergeCells count="5">
    <mergeCell ref="X1:AA1"/>
    <mergeCell ref="BJ1:BR1"/>
    <mergeCell ref="BS1:CA1"/>
    <mergeCell ref="CR1:CS1"/>
    <mergeCell ref="CX1:DB1"/>
  </mergeCells>
  <phoneticPr fontId="20" type="noConversion"/>
  <conditionalFormatting sqref="DE2:DG2">
    <cfRule type="expression" dxfId="1177" priority="13341">
      <formula>$D2="主动技"</formula>
    </cfRule>
  </conditionalFormatting>
  <conditionalFormatting sqref="DH2">
    <cfRule type="expression" dxfId="1176" priority="15120">
      <formula>$D2="主动技"</formula>
    </cfRule>
  </conditionalFormatting>
  <conditionalFormatting sqref="AB4">
    <cfRule type="duplicateValues" dxfId="1175" priority="12289"/>
  </conditionalFormatting>
  <conditionalFormatting sqref="DB5">
    <cfRule type="duplicateValues" dxfId="1174" priority="12292"/>
  </conditionalFormatting>
  <conditionalFormatting sqref="B16">
    <cfRule type="duplicateValues" dxfId="1173" priority="25588"/>
  </conditionalFormatting>
  <conditionalFormatting sqref="AB16">
    <cfRule type="duplicateValues" dxfId="1172" priority="11683"/>
    <cfRule type="duplicateValues" dxfId="1171" priority="11684"/>
  </conditionalFormatting>
  <conditionalFormatting sqref="DB16">
    <cfRule type="duplicateValues" dxfId="1170" priority="25587"/>
  </conditionalFormatting>
  <conditionalFormatting sqref="A17">
    <cfRule type="duplicateValues" dxfId="1169" priority="38789"/>
    <cfRule type="duplicateValues" dxfId="1168" priority="38790"/>
  </conditionalFormatting>
  <conditionalFormatting sqref="DB17">
    <cfRule type="duplicateValues" dxfId="1167" priority="25840"/>
    <cfRule type="duplicateValues" dxfId="1166" priority="25841"/>
  </conditionalFormatting>
  <conditionalFormatting sqref="DY17">
    <cfRule type="duplicateValues" dxfId="1165" priority="39841"/>
    <cfRule type="duplicateValues" dxfId="1164" priority="39842"/>
  </conditionalFormatting>
  <conditionalFormatting sqref="A28">
    <cfRule type="duplicateValues" dxfId="1163" priority="575"/>
  </conditionalFormatting>
  <conditionalFormatting sqref="DB28">
    <cfRule type="duplicateValues" dxfId="1162" priority="582"/>
    <cfRule type="duplicateValues" dxfId="1161" priority="583"/>
  </conditionalFormatting>
  <conditionalFormatting sqref="DY28">
    <cfRule type="duplicateValues" dxfId="1160" priority="576"/>
    <cfRule type="duplicateValues" dxfId="1159" priority="577"/>
    <cfRule type="duplicateValues" dxfId="1158" priority="578"/>
    <cfRule type="duplicateValues" dxfId="1157" priority="579"/>
    <cfRule type="duplicateValues" dxfId="1156" priority="581"/>
    <cfRule type="duplicateValues" dxfId="1155" priority="112534"/>
  </conditionalFormatting>
  <conditionalFormatting sqref="A32">
    <cfRule type="duplicateValues" dxfId="1154" priority="565"/>
  </conditionalFormatting>
  <conditionalFormatting sqref="DB32">
    <cfRule type="duplicateValues" dxfId="1153" priority="571"/>
    <cfRule type="duplicateValues" dxfId="1152" priority="572"/>
  </conditionalFormatting>
  <conditionalFormatting sqref="DY32">
    <cfRule type="duplicateValues" dxfId="1151" priority="563"/>
    <cfRule type="duplicateValues" dxfId="1150" priority="566"/>
    <cfRule type="duplicateValues" dxfId="1149" priority="567"/>
    <cfRule type="duplicateValues" dxfId="1148" priority="568"/>
    <cfRule type="duplicateValues" dxfId="1147" priority="569"/>
    <cfRule type="duplicateValues" dxfId="1146" priority="570"/>
  </conditionalFormatting>
  <conditionalFormatting sqref="A41">
    <cfRule type="duplicateValues" dxfId="1145" priority="595"/>
  </conditionalFormatting>
  <conditionalFormatting sqref="A46">
    <cfRule type="duplicateValues" dxfId="1144" priority="499"/>
  </conditionalFormatting>
  <conditionalFormatting sqref="DB46">
    <cfRule type="duplicateValues" dxfId="1143" priority="505"/>
    <cfRule type="duplicateValues" dxfId="1142" priority="506"/>
  </conditionalFormatting>
  <conditionalFormatting sqref="DY46">
    <cfRule type="duplicateValues" dxfId="1141" priority="497"/>
    <cfRule type="duplicateValues" dxfId="1140" priority="500"/>
    <cfRule type="duplicateValues" dxfId="1139" priority="501"/>
    <cfRule type="duplicateValues" dxfId="1138" priority="502"/>
    <cfRule type="duplicateValues" dxfId="1137" priority="503"/>
    <cfRule type="duplicateValues" dxfId="1136" priority="504"/>
  </conditionalFormatting>
  <conditionalFormatting sqref="DB47">
    <cfRule type="duplicateValues" dxfId="1135" priority="543"/>
  </conditionalFormatting>
  <conditionalFormatting sqref="DN47:DP47">
    <cfRule type="cellIs" dxfId="1134" priority="546" stopIfTrue="1" operator="notEqual">
      <formula>INDIRECT("Dummy_for_Comparison2!"&amp;ADDRESS(ROW(),COLUMN()))</formula>
    </cfRule>
  </conditionalFormatting>
  <conditionalFormatting sqref="DY47">
    <cfRule type="duplicateValues" dxfId="1133" priority="545"/>
    <cfRule type="duplicateValues" dxfId="1132" priority="547"/>
    <cfRule type="duplicateValues" dxfId="1131" priority="548"/>
  </conditionalFormatting>
  <conditionalFormatting sqref="DB48">
    <cfRule type="duplicateValues" dxfId="1130" priority="530"/>
  </conditionalFormatting>
  <conditionalFormatting sqref="DB49">
    <cfRule type="duplicateValues" dxfId="1129" priority="523"/>
  </conditionalFormatting>
  <conditionalFormatting sqref="DN49:DP49">
    <cfRule type="cellIs" dxfId="1128" priority="526" stopIfTrue="1" operator="notEqual">
      <formula>INDIRECT("Dummy_for_Comparison2!"&amp;ADDRESS(ROW(),COLUMN()))</formula>
    </cfRule>
  </conditionalFormatting>
  <conditionalFormatting sqref="DY49">
    <cfRule type="duplicateValues" dxfId="1127" priority="525"/>
    <cfRule type="duplicateValues" dxfId="1126" priority="527"/>
    <cfRule type="duplicateValues" dxfId="1125" priority="528"/>
  </conditionalFormatting>
  <conditionalFormatting sqref="DB50">
    <cfRule type="duplicateValues" dxfId="1124" priority="521"/>
  </conditionalFormatting>
  <conditionalFormatting sqref="DB51">
    <cfRule type="duplicateValues" dxfId="1123" priority="513"/>
  </conditionalFormatting>
  <conditionalFormatting sqref="DN51:DP51">
    <cfRule type="cellIs" dxfId="1122" priority="516" stopIfTrue="1" operator="notEqual">
      <formula>INDIRECT("Dummy_for_Comparison2!"&amp;ADDRESS(ROW(),COLUMN()))</formula>
    </cfRule>
  </conditionalFormatting>
  <conditionalFormatting sqref="DY51">
    <cfRule type="duplicateValues" dxfId="1121" priority="515"/>
    <cfRule type="duplicateValues" dxfId="1120" priority="517"/>
    <cfRule type="duplicateValues" dxfId="1119" priority="518"/>
  </conditionalFormatting>
  <conditionalFormatting sqref="DB53">
    <cfRule type="duplicateValues" dxfId="1118" priority="483"/>
  </conditionalFormatting>
  <conditionalFormatting sqref="AB60">
    <cfRule type="duplicateValues" dxfId="1117" priority="11662"/>
    <cfRule type="duplicateValues" dxfId="1116" priority="11663"/>
  </conditionalFormatting>
  <conditionalFormatting sqref="AB61">
    <cfRule type="duplicateValues" dxfId="1115" priority="11660"/>
    <cfRule type="duplicateValues" dxfId="1114" priority="11661"/>
  </conditionalFormatting>
  <conditionalFormatting sqref="DB64">
    <cfRule type="duplicateValues" dxfId="1113" priority="25971"/>
    <cfRule type="duplicateValues" dxfId="1112" priority="25972"/>
  </conditionalFormatting>
  <conditionalFormatting sqref="AB66">
    <cfRule type="duplicateValues" dxfId="1111" priority="11639"/>
    <cfRule type="duplicateValues" dxfId="1110" priority="11640"/>
  </conditionalFormatting>
  <conditionalFormatting sqref="AB67">
    <cfRule type="duplicateValues" dxfId="1109" priority="26102"/>
    <cfRule type="duplicateValues" dxfId="1108" priority="26103"/>
  </conditionalFormatting>
  <conditionalFormatting sqref="B70">
    <cfRule type="duplicateValues" dxfId="1107" priority="11610"/>
  </conditionalFormatting>
  <conditionalFormatting sqref="DB70">
    <cfRule type="duplicateValues" dxfId="1106" priority="11609"/>
    <cfRule type="duplicateValues" dxfId="1105" priority="11612"/>
    <cfRule type="duplicateValues" dxfId="1104" priority="11613"/>
  </conditionalFormatting>
  <conditionalFormatting sqref="B74">
    <cfRule type="duplicateValues" dxfId="1103" priority="13007"/>
  </conditionalFormatting>
  <conditionalFormatting sqref="A77">
    <cfRule type="duplicateValues" dxfId="1102" priority="39867"/>
  </conditionalFormatting>
  <conditionalFormatting sqref="B77">
    <cfRule type="duplicateValues" dxfId="1101" priority="11247"/>
  </conditionalFormatting>
  <conditionalFormatting sqref="AB77">
    <cfRule type="duplicateValues" dxfId="1100" priority="11248"/>
    <cfRule type="duplicateValues" dxfId="1099" priority="11249"/>
  </conditionalFormatting>
  <conditionalFormatting sqref="DB77">
    <cfRule type="duplicateValues" dxfId="1098" priority="11246"/>
  </conditionalFormatting>
  <conditionalFormatting sqref="B80">
    <cfRule type="duplicateValues" dxfId="1097" priority="11237"/>
  </conditionalFormatting>
  <conditionalFormatting sqref="DB80">
    <cfRule type="duplicateValues" dxfId="1096" priority="11236"/>
    <cfRule type="duplicateValues" dxfId="1095" priority="11238"/>
    <cfRule type="duplicateValues" dxfId="1094" priority="11239"/>
  </conditionalFormatting>
  <conditionalFormatting sqref="B84">
    <cfRule type="duplicateValues" dxfId="1093" priority="11241"/>
  </conditionalFormatting>
  <conditionalFormatting sqref="DB84">
    <cfRule type="duplicateValues" dxfId="1092" priority="11244"/>
  </conditionalFormatting>
  <conditionalFormatting sqref="BB105:BC105">
    <cfRule type="containsBlanks" dxfId="1091" priority="14722">
      <formula>LEN(TRIM(BB105))=0</formula>
    </cfRule>
    <cfRule type="cellIs" dxfId="1090" priority="14723" operator="equal">
      <formula>0</formula>
    </cfRule>
  </conditionalFormatting>
  <conditionalFormatting sqref="BD105:BE105">
    <cfRule type="containsBlanks" dxfId="1089" priority="14718">
      <formula>LEN(TRIM(BD105))=0</formula>
    </cfRule>
    <cfRule type="cellIs" dxfId="1088" priority="14719" operator="equal">
      <formula>0</formula>
    </cfRule>
  </conditionalFormatting>
  <conditionalFormatting sqref="BB106:BC106">
    <cfRule type="containsBlanks" dxfId="1087" priority="14710">
      <formula>LEN(TRIM(BB106))=0</formula>
    </cfRule>
    <cfRule type="cellIs" dxfId="1086" priority="14711" operator="equal">
      <formula>0</formula>
    </cfRule>
  </conditionalFormatting>
  <conditionalFormatting sqref="BD106:BE106">
    <cfRule type="containsBlanks" dxfId="1085" priority="14708">
      <formula>LEN(TRIM(BD106))=0</formula>
    </cfRule>
    <cfRule type="cellIs" dxfId="1084" priority="14709" operator="equal">
      <formula>0</formula>
    </cfRule>
  </conditionalFormatting>
  <conditionalFormatting sqref="BD107:BE107">
    <cfRule type="containsBlanks" dxfId="1083" priority="14720">
      <formula>LEN(TRIM(BD107))=0</formula>
    </cfRule>
    <cfRule type="cellIs" dxfId="1082" priority="14721" operator="equal">
      <formula>0</formula>
    </cfRule>
  </conditionalFormatting>
  <conditionalFormatting sqref="BB108">
    <cfRule type="containsBlanks" dxfId="1081" priority="15008">
      <formula>LEN(TRIM(BB108))=0</formula>
    </cfRule>
    <cfRule type="cellIs" dxfId="1080" priority="15009" operator="equal">
      <formula>0</formula>
    </cfRule>
  </conditionalFormatting>
  <conditionalFormatting sqref="BD108:BE108">
    <cfRule type="containsBlanks" dxfId="1079" priority="15006">
      <formula>LEN(TRIM(BD108))=0</formula>
    </cfRule>
    <cfRule type="cellIs" dxfId="1078" priority="15007" operator="equal">
      <formula>0</formula>
    </cfRule>
  </conditionalFormatting>
  <conditionalFormatting sqref="BB112:BC112">
    <cfRule type="containsBlanks" dxfId="1077" priority="14984">
      <formula>LEN(TRIM(BB112))=0</formula>
    </cfRule>
    <cfRule type="cellIs" dxfId="1076" priority="14985" operator="equal">
      <formula>0</formula>
    </cfRule>
  </conditionalFormatting>
  <conditionalFormatting sqref="BD112:BE112">
    <cfRule type="containsBlanks" dxfId="1075" priority="14982">
      <formula>LEN(TRIM(BD112))=0</formula>
    </cfRule>
    <cfRule type="cellIs" dxfId="1074" priority="14983" operator="equal">
      <formula>0</formula>
    </cfRule>
  </conditionalFormatting>
  <conditionalFormatting sqref="AB113">
    <cfRule type="duplicateValues" dxfId="1073" priority="15216"/>
    <cfRule type="duplicateValues" dxfId="1072" priority="15217"/>
  </conditionalFormatting>
  <conditionalFormatting sqref="BB113:BC113">
    <cfRule type="containsBlanks" dxfId="1071" priority="14980">
      <formula>LEN(TRIM(BB113))=0</formula>
    </cfRule>
    <cfRule type="cellIs" dxfId="1070" priority="14981" operator="equal">
      <formula>0</formula>
    </cfRule>
  </conditionalFormatting>
  <conditionalFormatting sqref="BD113:BE113">
    <cfRule type="containsBlanks" dxfId="1069" priority="14978">
      <formula>LEN(TRIM(BD113))=0</formula>
    </cfRule>
    <cfRule type="cellIs" dxfId="1068" priority="14979" operator="equal">
      <formula>0</formula>
    </cfRule>
  </conditionalFormatting>
  <conditionalFormatting sqref="AB114">
    <cfRule type="duplicateValues" dxfId="1067" priority="15214"/>
    <cfRule type="duplicateValues" dxfId="1066" priority="15215"/>
  </conditionalFormatting>
  <conditionalFormatting sqref="BB114:BC114">
    <cfRule type="containsBlanks" dxfId="1065" priority="14976">
      <formula>LEN(TRIM(BB114))=0</formula>
    </cfRule>
    <cfRule type="cellIs" dxfId="1064" priority="14977" operator="equal">
      <formula>0</formula>
    </cfRule>
  </conditionalFormatting>
  <conditionalFormatting sqref="BD114:BE114">
    <cfRule type="containsBlanks" dxfId="1063" priority="14974">
      <formula>LEN(TRIM(BD114))=0</formula>
    </cfRule>
    <cfRule type="cellIs" dxfId="1062" priority="14975" operator="equal">
      <formula>0</formula>
    </cfRule>
  </conditionalFormatting>
  <conditionalFormatting sqref="BB116:BC116">
    <cfRule type="containsBlanks" dxfId="1061" priority="14744">
      <formula>LEN(TRIM(BB116))=0</formula>
    </cfRule>
    <cfRule type="cellIs" dxfId="1060" priority="14745" operator="equal">
      <formula>0</formula>
    </cfRule>
  </conditionalFormatting>
  <conditionalFormatting sqref="BD116:BE116">
    <cfRule type="containsBlanks" dxfId="1059" priority="14742">
      <formula>LEN(TRIM(BD116))=0</formula>
    </cfRule>
    <cfRule type="cellIs" dxfId="1058" priority="14743" operator="equal">
      <formula>0</formula>
    </cfRule>
  </conditionalFormatting>
  <conditionalFormatting sqref="BB120:BC120">
    <cfRule type="containsBlanks" dxfId="1057" priority="14954">
      <formula>LEN(TRIM(BB120))=0</formula>
    </cfRule>
    <cfRule type="cellIs" dxfId="1056" priority="14955" operator="equal">
      <formula>0</formula>
    </cfRule>
  </conditionalFormatting>
  <conditionalFormatting sqref="BD120:BE120">
    <cfRule type="containsBlanks" dxfId="1055" priority="14952">
      <formula>LEN(TRIM(BD120))=0</formula>
    </cfRule>
    <cfRule type="cellIs" dxfId="1054" priority="14953" operator="equal">
      <formula>0</formula>
    </cfRule>
  </conditionalFormatting>
  <conditionalFormatting sqref="A121">
    <cfRule type="duplicateValues" dxfId="1053" priority="438"/>
  </conditionalFormatting>
  <conditionalFormatting sqref="B121">
    <cfRule type="duplicateValues" dxfId="1052" priority="11258"/>
  </conditionalFormatting>
  <conditionalFormatting sqref="BB121:BC121">
    <cfRule type="containsBlanks" dxfId="1051" priority="11251">
      <formula>LEN(TRIM(BB121))=0</formula>
    </cfRule>
    <cfRule type="cellIs" dxfId="1050" priority="11252" operator="equal">
      <formula>0</formula>
    </cfRule>
  </conditionalFormatting>
  <conditionalFormatting sqref="BD121:BE121">
    <cfRule type="containsBlanks" dxfId="1049" priority="11253">
      <formula>LEN(TRIM(BD121))=0</formula>
    </cfRule>
    <cfRule type="cellIs" dxfId="1048" priority="11254" operator="equal">
      <formula>0</formula>
    </cfRule>
  </conditionalFormatting>
  <conditionalFormatting sqref="DB121">
    <cfRule type="duplicateValues" dxfId="1047" priority="11256"/>
    <cfRule type="duplicateValues" dxfId="1046" priority="11257"/>
    <cfRule type="duplicateValues" dxfId="1045" priority="11260"/>
    <cfRule type="duplicateValues" dxfId="1044" priority="11262"/>
  </conditionalFormatting>
  <conditionalFormatting sqref="DY121">
    <cfRule type="duplicateValues" dxfId="1043" priority="39859"/>
  </conditionalFormatting>
  <conditionalFormatting sqref="BB122:BC122">
    <cfRule type="containsBlanks" dxfId="1042" priority="14738">
      <formula>LEN(TRIM(BB122))=0</formula>
    </cfRule>
    <cfRule type="cellIs" dxfId="1041" priority="14739" operator="equal">
      <formula>0</formula>
    </cfRule>
  </conditionalFormatting>
  <conditionalFormatting sqref="BD122:BE122">
    <cfRule type="containsBlanks" dxfId="1040" priority="14950">
      <formula>LEN(TRIM(BD122))=0</formula>
    </cfRule>
    <cfRule type="cellIs" dxfId="1039" priority="14951" operator="equal">
      <formula>0</formula>
    </cfRule>
  </conditionalFormatting>
  <conditionalFormatting sqref="Z125:AA125">
    <cfRule type="containsBlanks" dxfId="1038" priority="14938">
      <formula>LEN(TRIM(Z125))=0</formula>
    </cfRule>
    <cfRule type="cellIs" dxfId="1037" priority="14939" operator="equal">
      <formula>0</formula>
    </cfRule>
  </conditionalFormatting>
  <conditionalFormatting sqref="DB125">
    <cfRule type="duplicateValues" dxfId="1036" priority="15058"/>
  </conditionalFormatting>
  <conditionalFormatting sqref="BB128:BC128">
    <cfRule type="containsBlanks" dxfId="1035" priority="14932">
      <formula>LEN(TRIM(BB128))=0</formula>
    </cfRule>
    <cfRule type="cellIs" dxfId="1034" priority="14933" operator="equal">
      <formula>0</formula>
    </cfRule>
  </conditionalFormatting>
  <conditionalFormatting sqref="BD128:BE128">
    <cfRule type="containsBlanks" dxfId="1033" priority="14930">
      <formula>LEN(TRIM(BD128))=0</formula>
    </cfRule>
    <cfRule type="cellIs" dxfId="1032" priority="14931" operator="equal">
      <formula>0</formula>
    </cfRule>
  </conditionalFormatting>
  <conditionalFormatting sqref="BB130:BE130">
    <cfRule type="containsBlanks" dxfId="1031" priority="12944">
      <formula>LEN(TRIM(BB130))=0</formula>
    </cfRule>
    <cfRule type="cellIs" dxfId="1030" priority="12945" operator="equal">
      <formula>0</formula>
    </cfRule>
  </conditionalFormatting>
  <conditionalFormatting sqref="B139">
    <cfRule type="duplicateValues" dxfId="1029" priority="8899"/>
  </conditionalFormatting>
  <conditionalFormatting sqref="DB139">
    <cfRule type="duplicateValues" dxfId="1028" priority="8898"/>
    <cfRule type="duplicateValues" dxfId="1027" priority="8900"/>
  </conditionalFormatting>
  <conditionalFormatting sqref="B148">
    <cfRule type="duplicateValues" dxfId="1026" priority="8888"/>
  </conditionalFormatting>
  <conditionalFormatting sqref="DB148">
    <cfRule type="duplicateValues" dxfId="1025" priority="8887"/>
    <cfRule type="duplicateValues" dxfId="1024" priority="8889"/>
  </conditionalFormatting>
  <conditionalFormatting sqref="B157">
    <cfRule type="duplicateValues" dxfId="1023" priority="8877"/>
  </conditionalFormatting>
  <conditionalFormatting sqref="DB157">
    <cfRule type="duplicateValues" dxfId="1022" priority="8876"/>
    <cfRule type="duplicateValues" dxfId="1021" priority="8878"/>
  </conditionalFormatting>
  <conditionalFormatting sqref="B166">
    <cfRule type="duplicateValues" dxfId="1020" priority="8866"/>
  </conditionalFormatting>
  <conditionalFormatting sqref="DB166">
    <cfRule type="duplicateValues" dxfId="1019" priority="8865"/>
    <cfRule type="duplicateValues" dxfId="1018" priority="8867"/>
  </conditionalFormatting>
  <conditionalFormatting sqref="B175">
    <cfRule type="duplicateValues" dxfId="1017" priority="8855"/>
  </conditionalFormatting>
  <conditionalFormatting sqref="DB175">
    <cfRule type="duplicateValues" dxfId="1016" priority="8854"/>
    <cfRule type="duplicateValues" dxfId="1015" priority="8856"/>
  </conditionalFormatting>
  <conditionalFormatting sqref="B184">
    <cfRule type="duplicateValues" dxfId="1014" priority="8844"/>
  </conditionalFormatting>
  <conditionalFormatting sqref="DB184">
    <cfRule type="duplicateValues" dxfId="1013" priority="8843"/>
    <cfRule type="duplicateValues" dxfId="1012" priority="8845"/>
  </conditionalFormatting>
  <conditionalFormatting sqref="B193">
    <cfRule type="duplicateValues" dxfId="1011" priority="6657"/>
  </conditionalFormatting>
  <conditionalFormatting sqref="DB193">
    <cfRule type="duplicateValues" dxfId="1010" priority="6659"/>
    <cfRule type="duplicateValues" dxfId="1009" priority="6726"/>
  </conditionalFormatting>
  <conditionalFormatting sqref="B202">
    <cfRule type="duplicateValues" dxfId="1008" priority="6719"/>
  </conditionalFormatting>
  <conditionalFormatting sqref="DB202">
    <cfRule type="duplicateValues" dxfId="1007" priority="6718"/>
    <cfRule type="duplicateValues" dxfId="1006" priority="6723"/>
  </conditionalFormatting>
  <conditionalFormatting sqref="B211">
    <cfRule type="duplicateValues" dxfId="1005" priority="6711"/>
  </conditionalFormatting>
  <conditionalFormatting sqref="DB211">
    <cfRule type="duplicateValues" dxfId="1004" priority="6710"/>
    <cfRule type="duplicateValues" dxfId="1003" priority="6715"/>
  </conditionalFormatting>
  <conditionalFormatting sqref="DY211">
    <cfRule type="duplicateValues" dxfId="1002" priority="6712"/>
  </conditionalFormatting>
  <conditionalFormatting sqref="B220">
    <cfRule type="duplicateValues" dxfId="1001" priority="6703"/>
  </conditionalFormatting>
  <conditionalFormatting sqref="DB220">
    <cfRule type="duplicateValues" dxfId="1000" priority="6702"/>
    <cfRule type="duplicateValues" dxfId="999" priority="6707"/>
  </conditionalFormatting>
  <conditionalFormatting sqref="DY220">
    <cfRule type="duplicateValues" dxfId="998" priority="6704"/>
  </conditionalFormatting>
  <conditionalFormatting sqref="B229">
    <cfRule type="duplicateValues" dxfId="997" priority="6695"/>
  </conditionalFormatting>
  <conditionalFormatting sqref="DB229">
    <cfRule type="duplicateValues" dxfId="996" priority="6694"/>
    <cfRule type="duplicateValues" dxfId="995" priority="6699"/>
  </conditionalFormatting>
  <conditionalFormatting sqref="DY229">
    <cfRule type="duplicateValues" dxfId="994" priority="6696"/>
  </conditionalFormatting>
  <conditionalFormatting sqref="B238">
    <cfRule type="duplicateValues" dxfId="993" priority="6687"/>
  </conditionalFormatting>
  <conditionalFormatting sqref="DB238">
    <cfRule type="duplicateValues" dxfId="992" priority="6686"/>
    <cfRule type="duplicateValues" dxfId="991" priority="6691"/>
  </conditionalFormatting>
  <conditionalFormatting sqref="DY238">
    <cfRule type="duplicateValues" dxfId="990" priority="6688"/>
  </conditionalFormatting>
  <conditionalFormatting sqref="B247">
    <cfRule type="duplicateValues" dxfId="989" priority="6652"/>
  </conditionalFormatting>
  <conditionalFormatting sqref="DB247">
    <cfRule type="duplicateValues" dxfId="988" priority="6654"/>
    <cfRule type="duplicateValues" dxfId="987" priority="6683"/>
  </conditionalFormatting>
  <conditionalFormatting sqref="DY247">
    <cfRule type="duplicateValues" dxfId="986" priority="6653"/>
  </conditionalFormatting>
  <conditionalFormatting sqref="B256">
    <cfRule type="duplicateValues" dxfId="985" priority="6647"/>
  </conditionalFormatting>
  <conditionalFormatting sqref="DB256">
    <cfRule type="duplicateValues" dxfId="984" priority="6649"/>
  </conditionalFormatting>
  <conditionalFormatting sqref="DY256">
    <cfRule type="duplicateValues" dxfId="983" priority="6648"/>
  </conditionalFormatting>
  <conditionalFormatting sqref="B265">
    <cfRule type="duplicateValues" dxfId="982" priority="6674"/>
  </conditionalFormatting>
  <conditionalFormatting sqref="DB265">
    <cfRule type="duplicateValues" dxfId="981" priority="6673"/>
    <cfRule type="duplicateValues" dxfId="980" priority="6678"/>
  </conditionalFormatting>
  <conditionalFormatting sqref="DY265">
    <cfRule type="duplicateValues" dxfId="979" priority="6675"/>
  </conditionalFormatting>
  <conditionalFormatting sqref="B274">
    <cfRule type="duplicateValues" dxfId="978" priority="6666"/>
  </conditionalFormatting>
  <conditionalFormatting sqref="DB274">
    <cfRule type="duplicateValues" dxfId="977" priority="6665"/>
    <cfRule type="duplicateValues" dxfId="976" priority="6670"/>
  </conditionalFormatting>
  <conditionalFormatting sqref="DY274">
    <cfRule type="duplicateValues" dxfId="975" priority="6667"/>
  </conditionalFormatting>
  <conditionalFormatting sqref="A275">
    <cfRule type="duplicateValues" dxfId="974" priority="6631"/>
  </conditionalFormatting>
  <conditionalFormatting sqref="B280">
    <cfRule type="duplicateValues" dxfId="973" priority="9146"/>
  </conditionalFormatting>
  <conditionalFormatting sqref="AB280">
    <cfRule type="duplicateValues" dxfId="972" priority="9143"/>
    <cfRule type="duplicateValues" dxfId="971" priority="9144"/>
  </conditionalFormatting>
  <conditionalFormatting sqref="DB280">
    <cfRule type="duplicateValues" dxfId="970" priority="9145"/>
  </conditionalFormatting>
  <conditionalFormatting sqref="DB281">
    <cfRule type="duplicateValues" dxfId="969" priority="9148"/>
    <cfRule type="duplicateValues" dxfId="968" priority="9149"/>
  </conditionalFormatting>
  <conditionalFormatting sqref="AB283">
    <cfRule type="duplicateValues" dxfId="967" priority="9139"/>
    <cfRule type="duplicateValues" dxfId="966" priority="9140"/>
  </conditionalFormatting>
  <conditionalFormatting sqref="AB284">
    <cfRule type="duplicateValues" dxfId="965" priority="9137"/>
    <cfRule type="duplicateValues" dxfId="964" priority="9138"/>
  </conditionalFormatting>
  <conditionalFormatting sqref="B289">
    <cfRule type="duplicateValues" dxfId="963" priority="9123"/>
  </conditionalFormatting>
  <conditionalFormatting sqref="AB289">
    <cfRule type="duplicateValues" dxfId="962" priority="9120"/>
    <cfRule type="duplicateValues" dxfId="961" priority="9121"/>
  </conditionalFormatting>
  <conditionalFormatting sqref="DB289">
    <cfRule type="duplicateValues" dxfId="960" priority="9122"/>
  </conditionalFormatting>
  <conditionalFormatting sqref="DB290">
    <cfRule type="duplicateValues" dxfId="959" priority="9125"/>
    <cfRule type="duplicateValues" dxfId="958" priority="9126"/>
  </conditionalFormatting>
  <conditionalFormatting sqref="AB292">
    <cfRule type="duplicateValues" dxfId="957" priority="9116"/>
    <cfRule type="duplicateValues" dxfId="956" priority="9117"/>
  </conditionalFormatting>
  <conditionalFormatting sqref="AB293">
    <cfRule type="duplicateValues" dxfId="955" priority="9114"/>
    <cfRule type="duplicateValues" dxfId="954" priority="9115"/>
  </conditionalFormatting>
  <conditionalFormatting sqref="B298">
    <cfRule type="duplicateValues" dxfId="953" priority="8085"/>
  </conditionalFormatting>
  <conditionalFormatting sqref="AB298">
    <cfRule type="duplicateValues" dxfId="952" priority="8082"/>
    <cfRule type="duplicateValues" dxfId="951" priority="8083"/>
  </conditionalFormatting>
  <conditionalFormatting sqref="DB298">
    <cfRule type="duplicateValues" dxfId="950" priority="8084"/>
  </conditionalFormatting>
  <conditionalFormatting sqref="DB299">
    <cfRule type="duplicateValues" dxfId="949" priority="8086"/>
    <cfRule type="duplicateValues" dxfId="948" priority="8087"/>
  </conditionalFormatting>
  <conditionalFormatting sqref="AB301">
    <cfRule type="duplicateValues" dxfId="947" priority="8078"/>
    <cfRule type="duplicateValues" dxfId="946" priority="8079"/>
  </conditionalFormatting>
  <conditionalFormatting sqref="AB302">
    <cfRule type="duplicateValues" dxfId="945" priority="8076"/>
    <cfRule type="duplicateValues" dxfId="944" priority="8077"/>
  </conditionalFormatting>
  <conditionalFormatting sqref="B307">
    <cfRule type="duplicateValues" dxfId="943" priority="8059"/>
  </conditionalFormatting>
  <conditionalFormatting sqref="AB307">
    <cfRule type="duplicateValues" dxfId="942" priority="8056"/>
    <cfRule type="duplicateValues" dxfId="941" priority="8057"/>
  </conditionalFormatting>
  <conditionalFormatting sqref="DB307">
    <cfRule type="duplicateValues" dxfId="940" priority="8058"/>
  </conditionalFormatting>
  <conditionalFormatting sqref="DB308">
    <cfRule type="duplicateValues" dxfId="939" priority="8060"/>
    <cfRule type="duplicateValues" dxfId="938" priority="8061"/>
  </conditionalFormatting>
  <conditionalFormatting sqref="AB310">
    <cfRule type="duplicateValues" dxfId="937" priority="8052"/>
    <cfRule type="duplicateValues" dxfId="936" priority="8053"/>
  </conditionalFormatting>
  <conditionalFormatting sqref="AB311">
    <cfRule type="duplicateValues" dxfId="935" priority="8050"/>
    <cfRule type="duplicateValues" dxfId="934" priority="8051"/>
  </conditionalFormatting>
  <conditionalFormatting sqref="B316">
    <cfRule type="duplicateValues" dxfId="933" priority="8033"/>
  </conditionalFormatting>
  <conditionalFormatting sqref="AB316">
    <cfRule type="duplicateValues" dxfId="932" priority="8030"/>
    <cfRule type="duplicateValues" dxfId="931" priority="8031"/>
  </conditionalFormatting>
  <conditionalFormatting sqref="DB316">
    <cfRule type="duplicateValues" dxfId="930" priority="8032"/>
  </conditionalFormatting>
  <conditionalFormatting sqref="DB317">
    <cfRule type="duplicateValues" dxfId="929" priority="8034"/>
    <cfRule type="duplicateValues" dxfId="928" priority="8035"/>
  </conditionalFormatting>
  <conditionalFormatting sqref="E319:F319">
    <cfRule type="duplicateValues" dxfId="927" priority="5844"/>
  </conditionalFormatting>
  <conditionalFormatting sqref="AB319">
    <cfRule type="duplicateValues" dxfId="926" priority="8026"/>
    <cfRule type="duplicateValues" dxfId="925" priority="8027"/>
  </conditionalFormatting>
  <conditionalFormatting sqref="B320">
    <cfRule type="duplicateValues" dxfId="924" priority="8028"/>
  </conditionalFormatting>
  <conditionalFormatting sqref="AB320">
    <cfRule type="duplicateValues" dxfId="923" priority="8024"/>
    <cfRule type="duplicateValues" dxfId="922" priority="8025"/>
  </conditionalFormatting>
  <conditionalFormatting sqref="B325">
    <cfRule type="duplicateValues" dxfId="921" priority="8007"/>
  </conditionalFormatting>
  <conditionalFormatting sqref="AB325">
    <cfRule type="duplicateValues" dxfId="920" priority="8004"/>
    <cfRule type="duplicateValues" dxfId="919" priority="8005"/>
  </conditionalFormatting>
  <conditionalFormatting sqref="DB325">
    <cfRule type="duplicateValues" dxfId="918" priority="8006"/>
  </conditionalFormatting>
  <conditionalFormatting sqref="DB326">
    <cfRule type="duplicateValues" dxfId="917" priority="8008"/>
    <cfRule type="duplicateValues" dxfId="916" priority="8009"/>
  </conditionalFormatting>
  <conditionalFormatting sqref="E328:F328">
    <cfRule type="duplicateValues" dxfId="915" priority="5845"/>
  </conditionalFormatting>
  <conditionalFormatting sqref="AB328">
    <cfRule type="duplicateValues" dxfId="914" priority="8000"/>
    <cfRule type="duplicateValues" dxfId="913" priority="8001"/>
  </conditionalFormatting>
  <conditionalFormatting sqref="AB329">
    <cfRule type="duplicateValues" dxfId="912" priority="7998"/>
    <cfRule type="duplicateValues" dxfId="911" priority="7999"/>
  </conditionalFormatting>
  <conditionalFormatting sqref="B334">
    <cfRule type="duplicateValues" dxfId="910" priority="7981"/>
  </conditionalFormatting>
  <conditionalFormatting sqref="AB334">
    <cfRule type="duplicateValues" dxfId="909" priority="7978"/>
    <cfRule type="duplicateValues" dxfId="908" priority="7979"/>
  </conditionalFormatting>
  <conditionalFormatting sqref="DB334">
    <cfRule type="duplicateValues" dxfId="907" priority="7980"/>
  </conditionalFormatting>
  <conditionalFormatting sqref="DB335">
    <cfRule type="duplicateValues" dxfId="906" priority="7982"/>
    <cfRule type="duplicateValues" dxfId="905" priority="7983"/>
  </conditionalFormatting>
  <conditionalFormatting sqref="E337:F337">
    <cfRule type="duplicateValues" dxfId="904" priority="5846"/>
  </conditionalFormatting>
  <conditionalFormatting sqref="AB337">
    <cfRule type="duplicateValues" dxfId="903" priority="7974"/>
    <cfRule type="duplicateValues" dxfId="902" priority="7975"/>
  </conditionalFormatting>
  <conditionalFormatting sqref="AB338">
    <cfRule type="duplicateValues" dxfId="901" priority="7972"/>
    <cfRule type="duplicateValues" dxfId="900" priority="7973"/>
  </conditionalFormatting>
  <conditionalFormatting sqref="B343">
    <cfRule type="duplicateValues" dxfId="899" priority="7876"/>
  </conditionalFormatting>
  <conditionalFormatting sqref="AB343">
    <cfRule type="duplicateValues" dxfId="898" priority="7873"/>
    <cfRule type="duplicateValues" dxfId="897" priority="7874"/>
  </conditionalFormatting>
  <conditionalFormatting sqref="DB343">
    <cfRule type="duplicateValues" dxfId="896" priority="7875"/>
  </conditionalFormatting>
  <conditionalFormatting sqref="DB344">
    <cfRule type="duplicateValues" dxfId="895" priority="7877"/>
    <cfRule type="duplicateValues" dxfId="894" priority="7878"/>
  </conditionalFormatting>
  <conditionalFormatting sqref="AB346">
    <cfRule type="duplicateValues" dxfId="893" priority="7869"/>
    <cfRule type="duplicateValues" dxfId="892" priority="7870"/>
  </conditionalFormatting>
  <conditionalFormatting sqref="AB347">
    <cfRule type="duplicateValues" dxfId="891" priority="7867"/>
    <cfRule type="duplicateValues" dxfId="890" priority="7868"/>
  </conditionalFormatting>
  <conditionalFormatting sqref="AB350">
    <cfRule type="duplicateValues" dxfId="889" priority="7116"/>
    <cfRule type="duplicateValues" dxfId="888" priority="7117"/>
  </conditionalFormatting>
  <conditionalFormatting sqref="DY350">
    <cfRule type="duplicateValues" dxfId="887" priority="7120"/>
    <cfRule type="duplicateValues" dxfId="886" priority="7121"/>
    <cfRule type="duplicateValues" dxfId="885" priority="7122"/>
  </conditionalFormatting>
  <conditionalFormatting sqref="AB351">
    <cfRule type="duplicateValues" dxfId="884" priority="7114"/>
    <cfRule type="duplicateValues" dxfId="883" priority="7115"/>
  </conditionalFormatting>
  <conditionalFormatting sqref="E352:F352">
    <cfRule type="duplicateValues" dxfId="882" priority="4190"/>
  </conditionalFormatting>
  <conditionalFormatting sqref="B354">
    <cfRule type="duplicateValues" dxfId="881" priority="4209"/>
  </conditionalFormatting>
  <conditionalFormatting sqref="AB354">
    <cfRule type="duplicateValues" dxfId="880" priority="4206"/>
    <cfRule type="duplicateValues" dxfId="879" priority="4207"/>
  </conditionalFormatting>
  <conditionalFormatting sqref="DB354">
    <cfRule type="duplicateValues" dxfId="878" priority="4208"/>
  </conditionalFormatting>
  <conditionalFormatting sqref="DB355">
    <cfRule type="duplicateValues" dxfId="877" priority="4210"/>
    <cfRule type="duplicateValues" dxfId="876" priority="4211"/>
  </conditionalFormatting>
  <conditionalFormatting sqref="E357:F357">
    <cfRule type="duplicateValues" dxfId="875" priority="4188"/>
    <cfRule type="duplicateValues" dxfId="874" priority="4189"/>
  </conditionalFormatting>
  <conditionalFormatting sqref="AB357">
    <cfRule type="duplicateValues" dxfId="873" priority="4202"/>
    <cfRule type="duplicateValues" dxfId="872" priority="4203"/>
  </conditionalFormatting>
  <conditionalFormatting sqref="AB358">
    <cfRule type="duplicateValues" dxfId="871" priority="4200"/>
    <cfRule type="duplicateValues" dxfId="870" priority="4201"/>
  </conditionalFormatting>
  <conditionalFormatting sqref="AB368">
    <cfRule type="duplicateValues" dxfId="869" priority="15232"/>
  </conditionalFormatting>
  <conditionalFormatting sqref="B378">
    <cfRule type="duplicateValues" dxfId="868" priority="4924"/>
  </conditionalFormatting>
  <conditionalFormatting sqref="DB378">
    <cfRule type="duplicateValues" dxfId="867" priority="4929"/>
    <cfRule type="duplicateValues" dxfId="866" priority="4930"/>
    <cfRule type="duplicateValues" dxfId="865" priority="4931"/>
  </conditionalFormatting>
  <conditionalFormatting sqref="AB379">
    <cfRule type="duplicateValues" dxfId="864" priority="4925"/>
  </conditionalFormatting>
  <conditionalFormatting sqref="A388">
    <cfRule type="duplicateValues" dxfId="863" priority="35785"/>
  </conditionalFormatting>
  <conditionalFormatting sqref="AB388">
    <cfRule type="duplicateValues" dxfId="862" priority="11467"/>
  </conditionalFormatting>
  <conditionalFormatting sqref="AB389">
    <cfRule type="duplicateValues" dxfId="861" priority="11459"/>
  </conditionalFormatting>
  <conditionalFormatting sqref="A390">
    <cfRule type="duplicateValues" dxfId="860" priority="35786"/>
  </conditionalFormatting>
  <conditionalFormatting sqref="AB390">
    <cfRule type="duplicateValues" dxfId="859" priority="11465"/>
  </conditionalFormatting>
  <conditionalFormatting sqref="A391">
    <cfRule type="duplicateValues" dxfId="858" priority="35779"/>
    <cfRule type="duplicateValues" dxfId="857" priority="35780"/>
    <cfRule type="duplicateValues" dxfId="856" priority="35781"/>
  </conditionalFormatting>
  <conditionalFormatting sqref="AB391">
    <cfRule type="duplicateValues" dxfId="855" priority="11457"/>
  </conditionalFormatting>
  <conditionalFormatting sqref="A392">
    <cfRule type="duplicateValues" dxfId="854" priority="35787"/>
  </conditionalFormatting>
  <conditionalFormatting sqref="AB392">
    <cfRule type="duplicateValues" dxfId="853" priority="11462"/>
  </conditionalFormatting>
  <conditionalFormatting sqref="A393">
    <cfRule type="duplicateValues" dxfId="852" priority="35782"/>
    <cfRule type="duplicateValues" dxfId="851" priority="35783"/>
    <cfRule type="duplicateValues" dxfId="850" priority="35784"/>
  </conditionalFormatting>
  <conditionalFormatting sqref="AB393">
    <cfRule type="duplicateValues" dxfId="849" priority="11454"/>
  </conditionalFormatting>
  <conditionalFormatting sqref="A407">
    <cfRule type="duplicateValues" dxfId="848" priority="70859"/>
  </conditionalFormatting>
  <conditionalFormatting sqref="AB408">
    <cfRule type="duplicateValues" dxfId="847" priority="6495"/>
    <cfRule type="duplicateValues" dxfId="846" priority="6496"/>
    <cfRule type="duplicateValues" dxfId="845" priority="6497"/>
  </conditionalFormatting>
  <conditionalFormatting sqref="DB408">
    <cfRule type="duplicateValues" dxfId="844" priority="6511"/>
    <cfRule type="duplicateValues" dxfId="843" priority="6513"/>
  </conditionalFormatting>
  <conditionalFormatting sqref="DY408">
    <cfRule type="duplicateValues" dxfId="842" priority="6509"/>
  </conditionalFormatting>
  <conditionalFormatting sqref="AB410">
    <cfRule type="duplicateValues" dxfId="841" priority="6491"/>
  </conditionalFormatting>
  <conditionalFormatting sqref="AB411">
    <cfRule type="duplicateValues" dxfId="840" priority="6487"/>
    <cfRule type="duplicateValues" dxfId="839" priority="6488"/>
    <cfRule type="duplicateValues" dxfId="838" priority="6489"/>
  </conditionalFormatting>
  <conditionalFormatting sqref="DY424">
    <cfRule type="duplicateValues" dxfId="837" priority="6437"/>
    <cfRule type="duplicateValues" dxfId="836" priority="6438"/>
  </conditionalFormatting>
  <conditionalFormatting sqref="B426">
    <cfRule type="duplicateValues" dxfId="835" priority="6435"/>
  </conditionalFormatting>
  <conditionalFormatting sqref="DB426">
    <cfRule type="duplicateValues" dxfId="834" priority="6434"/>
    <cfRule type="duplicateValues" dxfId="833" priority="6436"/>
  </conditionalFormatting>
  <conditionalFormatting sqref="DY433">
    <cfRule type="duplicateValues" dxfId="832" priority="6416"/>
    <cfRule type="duplicateValues" dxfId="831" priority="6417"/>
  </conditionalFormatting>
  <conditionalFormatting sqref="B435">
    <cfRule type="duplicateValues" dxfId="830" priority="6414"/>
  </conditionalFormatting>
  <conditionalFormatting sqref="DB435">
    <cfRule type="duplicateValues" dxfId="829" priority="6413"/>
    <cfRule type="duplicateValues" dxfId="828" priority="6415"/>
  </conditionalFormatting>
  <conditionalFormatting sqref="A444">
    <cfRule type="duplicateValues" dxfId="827" priority="39935"/>
  </conditionalFormatting>
  <conditionalFormatting sqref="DY444">
    <cfRule type="duplicateValues" dxfId="826" priority="6423"/>
  </conditionalFormatting>
  <conditionalFormatting sqref="AB446">
    <cfRule type="duplicateValues" dxfId="825" priority="4164"/>
  </conditionalFormatting>
  <conditionalFormatting sqref="A448">
    <cfRule type="duplicateValues" dxfId="824" priority="4162"/>
    <cfRule type="duplicateValues" dxfId="823" priority="4163"/>
  </conditionalFormatting>
  <conditionalFormatting sqref="B448">
    <cfRule type="duplicateValues" dxfId="822" priority="4161"/>
  </conditionalFormatting>
  <conditionalFormatting sqref="DB448">
    <cfRule type="duplicateValues" dxfId="821" priority="4159"/>
    <cfRule type="duplicateValues" dxfId="820" priority="4160"/>
  </conditionalFormatting>
  <conditionalFormatting sqref="DY448">
    <cfRule type="duplicateValues" dxfId="819" priority="4158"/>
  </conditionalFormatting>
  <conditionalFormatting sqref="AB450">
    <cfRule type="duplicateValues" dxfId="818" priority="4155"/>
    <cfRule type="duplicateValues" dxfId="817" priority="4156"/>
    <cfRule type="duplicateValues" dxfId="816" priority="4157"/>
  </conditionalFormatting>
  <conditionalFormatting sqref="AB452">
    <cfRule type="duplicateValues" dxfId="815" priority="4153"/>
    <cfRule type="duplicateValues" dxfId="814" priority="4154"/>
  </conditionalFormatting>
  <conditionalFormatting sqref="AB455">
    <cfRule type="duplicateValues" dxfId="813" priority="4152"/>
  </conditionalFormatting>
  <conditionalFormatting sqref="A457">
    <cfRule type="duplicateValues" dxfId="812" priority="39895"/>
  </conditionalFormatting>
  <conditionalFormatting sqref="B457">
    <cfRule type="duplicateValues" dxfId="811" priority="4151"/>
  </conditionalFormatting>
  <conditionalFormatting sqref="DB457">
    <cfRule type="duplicateValues" dxfId="810" priority="4149"/>
    <cfRule type="duplicateValues" dxfId="809" priority="4150"/>
  </conditionalFormatting>
  <conditionalFormatting sqref="DY457">
    <cfRule type="duplicateValues" dxfId="808" priority="3837"/>
  </conditionalFormatting>
  <conditionalFormatting sqref="AB459">
    <cfRule type="duplicateValues" dxfId="807" priority="4148"/>
  </conditionalFormatting>
  <conditionalFormatting sqref="B461">
    <cfRule type="duplicateValues" dxfId="806" priority="4147"/>
  </conditionalFormatting>
  <conditionalFormatting sqref="DB461">
    <cfRule type="duplicateValues" dxfId="805" priority="4145"/>
    <cfRule type="duplicateValues" dxfId="804" priority="4146"/>
  </conditionalFormatting>
  <conditionalFormatting sqref="CI462:CL462">
    <cfRule type="duplicateValues" dxfId="803" priority="4144"/>
  </conditionalFormatting>
  <conditionalFormatting sqref="AB463">
    <cfRule type="duplicateValues" dxfId="802" priority="4143"/>
  </conditionalFormatting>
  <conditionalFormatting sqref="B465">
    <cfRule type="duplicateValues" dxfId="801" priority="4142"/>
  </conditionalFormatting>
  <conditionalFormatting sqref="DB465">
    <cfRule type="duplicateValues" dxfId="800" priority="4140"/>
    <cfRule type="duplicateValues" dxfId="799" priority="4141"/>
  </conditionalFormatting>
  <conditionalFormatting sqref="AB467">
    <cfRule type="duplicateValues" dxfId="798" priority="4139"/>
  </conditionalFormatting>
  <conditionalFormatting sqref="AB469">
    <cfRule type="duplicateValues" dxfId="797" priority="2270"/>
    <cfRule type="duplicateValues" dxfId="796" priority="2271"/>
  </conditionalFormatting>
  <conditionalFormatting sqref="AB472">
    <cfRule type="duplicateValues" dxfId="795" priority="4136"/>
  </conditionalFormatting>
  <conditionalFormatting sqref="B474">
    <cfRule type="duplicateValues" dxfId="794" priority="4135"/>
  </conditionalFormatting>
  <conditionalFormatting sqref="DB474">
    <cfRule type="duplicateValues" dxfId="793" priority="4133"/>
    <cfRule type="duplicateValues" dxfId="792" priority="4134"/>
  </conditionalFormatting>
  <conditionalFormatting sqref="AB476">
    <cfRule type="duplicateValues" dxfId="791" priority="4132"/>
  </conditionalFormatting>
  <conditionalFormatting sqref="B478">
    <cfRule type="duplicateValues" dxfId="790" priority="4131"/>
  </conditionalFormatting>
  <conditionalFormatting sqref="DB478">
    <cfRule type="duplicateValues" dxfId="789" priority="4129"/>
    <cfRule type="duplicateValues" dxfId="788" priority="4130"/>
  </conditionalFormatting>
  <conditionalFormatting sqref="AB480">
    <cfRule type="duplicateValues" dxfId="787" priority="4128"/>
  </conditionalFormatting>
  <conditionalFormatting sqref="B482">
    <cfRule type="duplicateValues" dxfId="786" priority="4127"/>
  </conditionalFormatting>
  <conditionalFormatting sqref="DB482">
    <cfRule type="duplicateValues" dxfId="785" priority="4125"/>
    <cfRule type="duplicateValues" dxfId="784" priority="4126"/>
  </conditionalFormatting>
  <conditionalFormatting sqref="A483">
    <cfRule type="duplicateValues" dxfId="783" priority="4124"/>
  </conditionalFormatting>
  <conditionalFormatting sqref="A484">
    <cfRule type="duplicateValues" dxfId="782" priority="4123"/>
  </conditionalFormatting>
  <conditionalFormatting sqref="AB484">
    <cfRule type="duplicateValues" dxfId="781" priority="4122"/>
  </conditionalFormatting>
  <conditionalFormatting sqref="AB486">
    <cfRule type="duplicateValues" dxfId="780" priority="4120"/>
    <cfRule type="duplicateValues" dxfId="779" priority="4121"/>
  </conditionalFormatting>
  <conditionalFormatting sqref="DY488">
    <cfRule type="duplicateValues" dxfId="778" priority="4118"/>
    <cfRule type="duplicateValues" dxfId="777" priority="4119"/>
  </conditionalFormatting>
  <conditionalFormatting sqref="B490">
    <cfRule type="duplicateValues" dxfId="776" priority="4117"/>
  </conditionalFormatting>
  <conditionalFormatting sqref="DB490">
    <cfRule type="duplicateValues" dxfId="775" priority="4115"/>
    <cfRule type="duplicateValues" dxfId="774" priority="4116"/>
  </conditionalFormatting>
  <conditionalFormatting sqref="CI491:CL491">
    <cfRule type="duplicateValues" dxfId="773" priority="4114"/>
  </conditionalFormatting>
  <conditionalFormatting sqref="AB492">
    <cfRule type="duplicateValues" dxfId="772" priority="4113"/>
  </conditionalFormatting>
  <conditionalFormatting sqref="B494">
    <cfRule type="duplicateValues" dxfId="771" priority="4112"/>
  </conditionalFormatting>
  <conditionalFormatting sqref="DB494">
    <cfRule type="duplicateValues" dxfId="770" priority="4110"/>
    <cfRule type="duplicateValues" dxfId="769" priority="4111"/>
  </conditionalFormatting>
  <conditionalFormatting sqref="E495:F495">
    <cfRule type="duplicateValues" dxfId="768" priority="3020"/>
  </conditionalFormatting>
  <conditionalFormatting sqref="E497:F497">
    <cfRule type="duplicateValues" dxfId="767" priority="3019"/>
  </conditionalFormatting>
  <conditionalFormatting sqref="DY501">
    <cfRule type="duplicateValues" dxfId="766" priority="2361"/>
    <cfRule type="duplicateValues" dxfId="765" priority="2362"/>
  </conditionalFormatting>
  <conditionalFormatting sqref="B503">
    <cfRule type="duplicateValues" dxfId="764" priority="2360"/>
  </conditionalFormatting>
  <conditionalFormatting sqref="DB503">
    <cfRule type="duplicateValues" dxfId="763" priority="2358"/>
    <cfRule type="duplicateValues" dxfId="762" priority="2359"/>
  </conditionalFormatting>
  <conditionalFormatting sqref="CI504:CL504">
    <cfRule type="duplicateValues" dxfId="761" priority="2357"/>
  </conditionalFormatting>
  <conditionalFormatting sqref="AB505">
    <cfRule type="duplicateValues" dxfId="760" priority="2356"/>
  </conditionalFormatting>
  <conditionalFormatting sqref="B507">
    <cfRule type="duplicateValues" dxfId="759" priority="2355"/>
  </conditionalFormatting>
  <conditionalFormatting sqref="DB507">
    <cfRule type="duplicateValues" dxfId="758" priority="2353"/>
    <cfRule type="duplicateValues" dxfId="757" priority="2354"/>
  </conditionalFormatting>
  <conditionalFormatting sqref="AB509">
    <cfRule type="duplicateValues" dxfId="756" priority="2338"/>
  </conditionalFormatting>
  <conditionalFormatting sqref="CI512:CL512">
    <cfRule type="duplicateValues" dxfId="755" priority="2326"/>
  </conditionalFormatting>
  <conditionalFormatting sqref="AB513">
    <cfRule type="duplicateValues" dxfId="754" priority="2325"/>
  </conditionalFormatting>
  <conditionalFormatting sqref="B515">
    <cfRule type="duplicateValues" dxfId="753" priority="2324"/>
  </conditionalFormatting>
  <conditionalFormatting sqref="DB515">
    <cfRule type="duplicateValues" dxfId="752" priority="2322"/>
    <cfRule type="duplicateValues" dxfId="751" priority="2323"/>
  </conditionalFormatting>
  <conditionalFormatting sqref="AB517">
    <cfRule type="duplicateValues" dxfId="750" priority="2314"/>
  </conditionalFormatting>
  <conditionalFormatting sqref="A519">
    <cfRule type="duplicateValues" dxfId="749" priority="2312"/>
    <cfRule type="duplicateValues" dxfId="748" priority="2313"/>
  </conditionalFormatting>
  <conditionalFormatting sqref="B519">
    <cfRule type="duplicateValues" dxfId="747" priority="2311"/>
  </conditionalFormatting>
  <conditionalFormatting sqref="DB519">
    <cfRule type="duplicateValues" dxfId="746" priority="2309"/>
    <cfRule type="duplicateValues" dxfId="745" priority="2310"/>
  </conditionalFormatting>
  <conditionalFormatting sqref="DY519">
    <cfRule type="duplicateValues" dxfId="744" priority="2308"/>
  </conditionalFormatting>
  <conditionalFormatting sqref="A676">
    <cfRule type="duplicateValues" dxfId="743" priority="2787"/>
    <cfRule type="duplicateValues" dxfId="742" priority="2788"/>
    <cfRule type="duplicateValues" dxfId="741" priority="2789"/>
  </conditionalFormatting>
  <conditionalFormatting sqref="A679">
    <cfRule type="duplicateValues" dxfId="740" priority="2784"/>
    <cfRule type="duplicateValues" dxfId="739" priority="2785"/>
    <cfRule type="duplicateValues" dxfId="738" priority="2786"/>
  </conditionalFormatting>
  <conditionalFormatting sqref="A682">
    <cfRule type="duplicateValues" dxfId="737" priority="2781"/>
    <cfRule type="duplicateValues" dxfId="736" priority="2782"/>
    <cfRule type="duplicateValues" dxfId="735" priority="2783"/>
  </conditionalFormatting>
  <conditionalFormatting sqref="A685">
    <cfRule type="duplicateValues" dxfId="734" priority="2778"/>
    <cfRule type="duplicateValues" dxfId="733" priority="2779"/>
    <cfRule type="duplicateValues" dxfId="732" priority="2780"/>
  </conditionalFormatting>
  <conditionalFormatting sqref="A688">
    <cfRule type="duplicateValues" dxfId="731" priority="2775"/>
    <cfRule type="duplicateValues" dxfId="730" priority="2776"/>
    <cfRule type="duplicateValues" dxfId="729" priority="2777"/>
  </conditionalFormatting>
  <conditionalFormatting sqref="A691">
    <cfRule type="duplicateValues" dxfId="728" priority="2772"/>
    <cfRule type="duplicateValues" dxfId="727" priority="2773"/>
    <cfRule type="duplicateValues" dxfId="726" priority="2774"/>
  </conditionalFormatting>
  <conditionalFormatting sqref="A693">
    <cfRule type="duplicateValues" dxfId="725" priority="121"/>
    <cfRule type="duplicateValues" dxfId="724" priority="122"/>
    <cfRule type="duplicateValues" dxfId="723" priority="123"/>
    <cfRule type="duplicateValues" dxfId="722" priority="124"/>
  </conditionalFormatting>
  <conditionalFormatting sqref="E693:F693">
    <cfRule type="duplicateValues" dxfId="721" priority="117"/>
    <cfRule type="duplicateValues" dxfId="720" priority="118"/>
    <cfRule type="duplicateValues" dxfId="719" priority="119"/>
    <cfRule type="duplicateValues" dxfId="718" priority="120"/>
  </conditionalFormatting>
  <conditionalFormatting sqref="DY693">
    <cfRule type="duplicateValues" dxfId="717" priority="125"/>
    <cfRule type="duplicateValues" dxfId="716" priority="126"/>
    <cfRule type="duplicateValues" dxfId="715" priority="127"/>
    <cfRule type="duplicateValues" dxfId="714" priority="128"/>
  </conditionalFormatting>
  <conditionalFormatting sqref="A694">
    <cfRule type="duplicateValues" dxfId="713" priority="52"/>
    <cfRule type="duplicateValues" dxfId="712" priority="53"/>
    <cfRule type="duplicateValues" dxfId="711" priority="54"/>
    <cfRule type="duplicateValues" dxfId="710" priority="55"/>
  </conditionalFormatting>
  <conditionalFormatting sqref="E694:F694">
    <cfRule type="duplicateValues" dxfId="709" priority="50"/>
    <cfRule type="duplicateValues" dxfId="708" priority="51"/>
  </conditionalFormatting>
  <conditionalFormatting sqref="A698">
    <cfRule type="duplicateValues" dxfId="707" priority="59"/>
    <cfRule type="duplicateValues" dxfId="706" priority="60"/>
    <cfRule type="duplicateValues" dxfId="705" priority="61"/>
    <cfRule type="duplicateValues" dxfId="704" priority="62"/>
  </conditionalFormatting>
  <conditionalFormatting sqref="A702">
    <cfRule type="duplicateValues" dxfId="703" priority="92"/>
    <cfRule type="duplicateValues" dxfId="702" priority="93"/>
    <cfRule type="duplicateValues" dxfId="701" priority="94"/>
    <cfRule type="duplicateValues" dxfId="700" priority="95"/>
  </conditionalFormatting>
  <conditionalFormatting sqref="A703">
    <cfRule type="duplicateValues" dxfId="699" priority="111"/>
    <cfRule type="duplicateValues" dxfId="698" priority="112"/>
    <cfRule type="duplicateValues" dxfId="697" priority="113"/>
    <cfRule type="duplicateValues" dxfId="696" priority="116"/>
  </conditionalFormatting>
  <conditionalFormatting sqref="A704">
    <cfRule type="duplicateValues" dxfId="695" priority="88"/>
    <cfRule type="duplicateValues" dxfId="694" priority="89"/>
    <cfRule type="duplicateValues" dxfId="693" priority="90"/>
    <cfRule type="duplicateValues" dxfId="692" priority="91"/>
  </conditionalFormatting>
  <conditionalFormatting sqref="B704">
    <cfRule type="duplicateValues" dxfId="691" priority="106"/>
  </conditionalFormatting>
  <conditionalFormatting sqref="E704:F704">
    <cfRule type="duplicateValues" dxfId="690" priority="70"/>
    <cfRule type="duplicateValues" dxfId="689" priority="71"/>
    <cfRule type="duplicateValues" dxfId="688" priority="72"/>
    <cfRule type="duplicateValues" dxfId="687" priority="73"/>
  </conditionalFormatting>
  <conditionalFormatting sqref="AB704">
    <cfRule type="duplicateValues" dxfId="686" priority="102"/>
  </conditionalFormatting>
  <conditionalFormatting sqref="BB704:BC704">
    <cfRule type="containsBlanks" dxfId="685" priority="100">
      <formula>LEN(TRIM(BB704))=0</formula>
    </cfRule>
    <cfRule type="cellIs" dxfId="684" priority="101" operator="equal">
      <formula>0</formula>
    </cfRule>
  </conditionalFormatting>
  <conditionalFormatting sqref="BD704:BE704">
    <cfRule type="containsBlanks" dxfId="683" priority="98">
      <formula>LEN(TRIM(BD704))=0</formula>
    </cfRule>
    <cfRule type="cellIs" dxfId="682" priority="99" operator="equal">
      <formula>0</formula>
    </cfRule>
  </conditionalFormatting>
  <conditionalFormatting sqref="DK704:DN704">
    <cfRule type="cellIs" dxfId="681" priority="96" stopIfTrue="1" operator="notEqual">
      <formula>INDIRECT("Dummy_for_Comparison2!"&amp;ADDRESS(ROW(),COLUMN()))</formula>
    </cfRule>
  </conditionalFormatting>
  <conditionalFormatting sqref="DN704:DO704">
    <cfRule type="cellIs" dxfId="680" priority="97" stopIfTrue="1" operator="notEqual">
      <formula>INDIRECT("Dummy_for_Comparison2!"&amp;ADDRESS(ROW(),COLUMN()))</formula>
    </cfRule>
  </conditionalFormatting>
  <conditionalFormatting sqref="DY704">
    <cfRule type="duplicateValues" dxfId="679" priority="104"/>
    <cfRule type="duplicateValues" dxfId="678" priority="105"/>
    <cfRule type="duplicateValues" dxfId="677" priority="108"/>
    <cfRule type="duplicateValues" dxfId="676" priority="109"/>
    <cfRule type="duplicateValues" dxfId="675" priority="110"/>
  </conditionalFormatting>
  <conditionalFormatting sqref="A705">
    <cfRule type="duplicateValues" dxfId="674" priority="74"/>
    <cfRule type="duplicateValues" dxfId="673" priority="75"/>
    <cfRule type="duplicateValues" dxfId="672" priority="76"/>
    <cfRule type="duplicateValues" dxfId="671" priority="77"/>
  </conditionalFormatting>
  <conditionalFormatting sqref="DB705">
    <cfRule type="duplicateValues" dxfId="670" priority="80"/>
  </conditionalFormatting>
  <conditionalFormatting sqref="DN705:DP705">
    <cfRule type="cellIs" dxfId="669" priority="83" stopIfTrue="1" operator="notEqual">
      <formula>INDIRECT("Dummy_for_Comparison2!"&amp;ADDRESS(ROW(),COLUMN()))</formula>
    </cfRule>
  </conditionalFormatting>
  <conditionalFormatting sqref="DY705">
    <cfRule type="duplicateValues" dxfId="668" priority="81"/>
    <cfRule type="duplicateValues" dxfId="667" priority="82"/>
    <cfRule type="duplicateValues" dxfId="666" priority="84"/>
    <cfRule type="duplicateValues" dxfId="665" priority="85"/>
  </conditionalFormatting>
  <conditionalFormatting sqref="A706">
    <cfRule type="duplicateValues" dxfId="664" priority="87"/>
  </conditionalFormatting>
  <conditionalFormatting sqref="DB706">
    <cfRule type="duplicateValues" dxfId="663" priority="78"/>
  </conditionalFormatting>
  <conditionalFormatting sqref="A1:A692">
    <cfRule type="duplicateValues" dxfId="662" priority="123182"/>
  </conditionalFormatting>
  <conditionalFormatting sqref="A203:A274">
    <cfRule type="duplicateValues" dxfId="661" priority="6645"/>
  </conditionalFormatting>
  <conditionalFormatting sqref="A276:A277">
    <cfRule type="duplicateValues" dxfId="660" priority="6632"/>
    <cfRule type="duplicateValues" dxfId="659" priority="6633"/>
    <cfRule type="duplicateValues" dxfId="658" priority="6634"/>
  </conditionalFormatting>
  <conditionalFormatting sqref="A388:A389">
    <cfRule type="duplicateValues" dxfId="657" priority="35775"/>
    <cfRule type="duplicateValues" dxfId="656" priority="35776"/>
  </conditionalFormatting>
  <conditionalFormatting sqref="A402:A404">
    <cfRule type="duplicateValues" dxfId="655" priority="35882"/>
  </conditionalFormatting>
  <conditionalFormatting sqref="A445:A448">
    <cfRule type="duplicateValues" dxfId="654" priority="4109"/>
  </conditionalFormatting>
  <conditionalFormatting sqref="A449:A450">
    <cfRule type="duplicateValues" dxfId="653" priority="4108"/>
  </conditionalFormatting>
  <conditionalFormatting sqref="A466:A467">
    <cfRule type="duplicateValues" dxfId="652" priority="4107"/>
  </conditionalFormatting>
  <conditionalFormatting sqref="A471:A474">
    <cfRule type="duplicateValues" dxfId="651" priority="39919"/>
  </conditionalFormatting>
  <conditionalFormatting sqref="A475:A478">
    <cfRule type="duplicateValues" dxfId="650" priority="40220"/>
  </conditionalFormatting>
  <conditionalFormatting sqref="A516:A519">
    <cfRule type="duplicateValues" dxfId="649" priority="2307"/>
  </conditionalFormatting>
  <conditionalFormatting sqref="A695:A697">
    <cfRule type="duplicateValues" dxfId="648" priority="57"/>
  </conditionalFormatting>
  <conditionalFormatting sqref="A699:A701">
    <cfRule type="duplicateValues" dxfId="647" priority="63"/>
    <cfRule type="duplicateValues" dxfId="646" priority="64"/>
    <cfRule type="duplicateValues" dxfId="645" priority="65"/>
  </conditionalFormatting>
  <conditionalFormatting sqref="B4:B5">
    <cfRule type="duplicateValues" dxfId="644" priority="12293"/>
  </conditionalFormatting>
  <conditionalFormatting sqref="B6:B9">
    <cfRule type="duplicateValues" dxfId="643" priority="26087"/>
  </conditionalFormatting>
  <conditionalFormatting sqref="B60:B61">
    <cfRule type="duplicateValues" dxfId="642" priority="11672"/>
  </conditionalFormatting>
  <conditionalFormatting sqref="B66:B67">
    <cfRule type="duplicateValues" dxfId="641" priority="26101"/>
  </conditionalFormatting>
  <conditionalFormatting sqref="B94:B95">
    <cfRule type="duplicateValues" dxfId="640" priority="18083"/>
  </conditionalFormatting>
  <conditionalFormatting sqref="B100:B104">
    <cfRule type="duplicateValues" dxfId="639" priority="15340"/>
  </conditionalFormatting>
  <conditionalFormatting sqref="B105:B117">
    <cfRule type="duplicateValues" dxfId="638" priority="25423"/>
  </conditionalFormatting>
  <conditionalFormatting sqref="B275:B277">
    <cfRule type="duplicateValues" dxfId="637" priority="6636"/>
  </conditionalFormatting>
  <conditionalFormatting sqref="B283:B284">
    <cfRule type="duplicateValues" dxfId="636" priority="9141"/>
  </conditionalFormatting>
  <conditionalFormatting sqref="B292:B293">
    <cfRule type="duplicateValues" dxfId="635" priority="9118"/>
  </conditionalFormatting>
  <conditionalFormatting sqref="B301:B302">
    <cfRule type="duplicateValues" dxfId="634" priority="8080"/>
  </conditionalFormatting>
  <conditionalFormatting sqref="B310:B311">
    <cfRule type="duplicateValues" dxfId="633" priority="8054"/>
  </conditionalFormatting>
  <conditionalFormatting sqref="B328:B329">
    <cfRule type="duplicateValues" dxfId="632" priority="8002"/>
  </conditionalFormatting>
  <conditionalFormatting sqref="B337:B338">
    <cfRule type="duplicateValues" dxfId="631" priority="7976"/>
  </conditionalFormatting>
  <conditionalFormatting sqref="B346:B347">
    <cfRule type="duplicateValues" dxfId="630" priority="7871"/>
  </conditionalFormatting>
  <conditionalFormatting sqref="B350:B351">
    <cfRule type="duplicateValues" dxfId="629" priority="7118"/>
  </conditionalFormatting>
  <conditionalFormatting sqref="B357:B358">
    <cfRule type="duplicateValues" dxfId="628" priority="4204"/>
  </conditionalFormatting>
  <conditionalFormatting sqref="B372:B376">
    <cfRule type="duplicateValues" dxfId="627" priority="7042"/>
  </conditionalFormatting>
  <conditionalFormatting sqref="AB103:AB104">
    <cfRule type="duplicateValues" dxfId="626" priority="15211"/>
    <cfRule type="duplicateValues" dxfId="625" priority="15212"/>
  </conditionalFormatting>
  <conditionalFormatting sqref="AB115:AB117">
    <cfRule type="duplicateValues" dxfId="624" priority="15213"/>
  </conditionalFormatting>
  <conditionalFormatting sqref="AB388:AB389">
    <cfRule type="duplicateValues" dxfId="623" priority="11469"/>
    <cfRule type="duplicateValues" dxfId="622" priority="11470"/>
    <cfRule type="duplicateValues" dxfId="621" priority="11471"/>
  </conditionalFormatting>
  <conditionalFormatting sqref="AB396:AB400">
    <cfRule type="duplicateValues" dxfId="620" priority="10038"/>
    <cfRule type="duplicateValues" dxfId="619" priority="10039"/>
    <cfRule type="duplicateValues" dxfId="618" priority="10040"/>
  </conditionalFormatting>
  <conditionalFormatting sqref="AB412:AB413">
    <cfRule type="duplicateValues" dxfId="617" priority="6490"/>
  </conditionalFormatting>
  <conditionalFormatting sqref="AB447:AB448">
    <cfRule type="duplicateValues" dxfId="616" priority="4106"/>
  </conditionalFormatting>
  <conditionalFormatting sqref="AB451:AB453">
    <cfRule type="duplicateValues" dxfId="615" priority="4105"/>
  </conditionalFormatting>
  <conditionalFormatting sqref="AB452:AB453">
    <cfRule type="duplicateValues" dxfId="614" priority="4103"/>
    <cfRule type="duplicateValues" dxfId="613" priority="4104"/>
  </conditionalFormatting>
  <conditionalFormatting sqref="AB456:AB457">
    <cfRule type="duplicateValues" dxfId="612" priority="4102"/>
  </conditionalFormatting>
  <conditionalFormatting sqref="AB460:AB461">
    <cfRule type="duplicateValues" dxfId="611" priority="4101"/>
  </conditionalFormatting>
  <conditionalFormatting sqref="AB464:AB465">
    <cfRule type="duplicateValues" dxfId="610" priority="4100"/>
  </conditionalFormatting>
  <conditionalFormatting sqref="AB468:AB470">
    <cfRule type="duplicateValues" dxfId="609" priority="2269"/>
  </conditionalFormatting>
  <conditionalFormatting sqref="AB469:AB470">
    <cfRule type="duplicateValues" dxfId="608" priority="2267"/>
    <cfRule type="duplicateValues" dxfId="607" priority="2268"/>
  </conditionalFormatting>
  <conditionalFormatting sqref="AB473:AB474">
    <cfRule type="duplicateValues" dxfId="606" priority="4099"/>
  </conditionalFormatting>
  <conditionalFormatting sqref="AB477:AB478">
    <cfRule type="duplicateValues" dxfId="605" priority="4098"/>
  </conditionalFormatting>
  <conditionalFormatting sqref="AB481:AB482">
    <cfRule type="duplicateValues" dxfId="604" priority="4097"/>
  </conditionalFormatting>
  <conditionalFormatting sqref="AB485:AB487">
    <cfRule type="duplicateValues" dxfId="603" priority="4096"/>
  </conditionalFormatting>
  <conditionalFormatting sqref="AB486:AB487">
    <cfRule type="duplicateValues" dxfId="602" priority="4094"/>
    <cfRule type="duplicateValues" dxfId="601" priority="4095"/>
  </conditionalFormatting>
  <conditionalFormatting sqref="AB489:AB490">
    <cfRule type="duplicateValues" dxfId="600" priority="4093"/>
  </conditionalFormatting>
  <conditionalFormatting sqref="AB493:AB494">
    <cfRule type="duplicateValues" dxfId="599" priority="4092"/>
  </conditionalFormatting>
  <conditionalFormatting sqref="AB502:AB503">
    <cfRule type="duplicateValues" dxfId="598" priority="2352"/>
  </conditionalFormatting>
  <conditionalFormatting sqref="AB506:AB507">
    <cfRule type="duplicateValues" dxfId="597" priority="2351"/>
  </conditionalFormatting>
  <conditionalFormatting sqref="AB514:AB515">
    <cfRule type="duplicateValues" dxfId="596" priority="2321"/>
  </conditionalFormatting>
  <conditionalFormatting sqref="AB518:AB519">
    <cfRule type="duplicateValues" dxfId="595" priority="2306"/>
  </conditionalFormatting>
  <conditionalFormatting sqref="AB695:AB697">
    <cfRule type="duplicateValues" dxfId="594" priority="49"/>
  </conditionalFormatting>
  <conditionalFormatting sqref="AB698:AB701">
    <cfRule type="duplicateValues" dxfId="593" priority="58"/>
  </conditionalFormatting>
  <conditionalFormatting sqref="AC414:AC421">
    <cfRule type="duplicateValues" dxfId="592" priority="6461"/>
    <cfRule type="duplicateValues" dxfId="591" priority="6462"/>
  </conditionalFormatting>
  <conditionalFormatting sqref="AC422:AC423">
    <cfRule type="duplicateValues" dxfId="590" priority="6459"/>
    <cfRule type="duplicateValues" dxfId="589" priority="6460"/>
  </conditionalFormatting>
  <conditionalFormatting sqref="AC526:AC528">
    <cfRule type="duplicateValues" dxfId="588" priority="4090"/>
    <cfRule type="duplicateValues" dxfId="587" priority="4091"/>
  </conditionalFormatting>
  <conditionalFormatting sqref="AC529:AC531">
    <cfRule type="duplicateValues" dxfId="586" priority="4088"/>
    <cfRule type="duplicateValues" dxfId="585" priority="4089"/>
  </conditionalFormatting>
  <conditionalFormatting sqref="AC532:AC534">
    <cfRule type="duplicateValues" dxfId="584" priority="4086"/>
    <cfRule type="duplicateValues" dxfId="583" priority="4087"/>
  </conditionalFormatting>
  <conditionalFormatting sqref="AC535:AC537">
    <cfRule type="duplicateValues" dxfId="582" priority="4084"/>
    <cfRule type="duplicateValues" dxfId="581" priority="4085"/>
  </conditionalFormatting>
  <conditionalFormatting sqref="AC538:AC540">
    <cfRule type="duplicateValues" dxfId="580" priority="4082"/>
    <cfRule type="duplicateValues" dxfId="579" priority="4083"/>
  </conditionalFormatting>
  <conditionalFormatting sqref="AC541:AC543">
    <cfRule type="duplicateValues" dxfId="578" priority="4080"/>
    <cfRule type="duplicateValues" dxfId="577" priority="4081"/>
  </conditionalFormatting>
  <conditionalFormatting sqref="AC544:AC546">
    <cfRule type="duplicateValues" dxfId="576" priority="4078"/>
    <cfRule type="duplicateValues" dxfId="575" priority="4079"/>
  </conditionalFormatting>
  <conditionalFormatting sqref="AC547:AC549">
    <cfRule type="duplicateValues" dxfId="574" priority="4076"/>
    <cfRule type="duplicateValues" dxfId="573" priority="4077"/>
  </conditionalFormatting>
  <conditionalFormatting sqref="AC550:AC552">
    <cfRule type="duplicateValues" dxfId="572" priority="4074"/>
    <cfRule type="duplicateValues" dxfId="571" priority="4075"/>
  </conditionalFormatting>
  <conditionalFormatting sqref="AC553:AC555">
    <cfRule type="duplicateValues" dxfId="570" priority="4072"/>
    <cfRule type="duplicateValues" dxfId="569" priority="4073"/>
  </conditionalFormatting>
  <conditionalFormatting sqref="AC556:AC558">
    <cfRule type="duplicateValues" dxfId="568" priority="4070"/>
    <cfRule type="duplicateValues" dxfId="567" priority="4071"/>
  </conditionalFormatting>
  <conditionalFormatting sqref="AC559:AC561">
    <cfRule type="duplicateValues" dxfId="566" priority="4068"/>
    <cfRule type="duplicateValues" dxfId="565" priority="4069"/>
  </conditionalFormatting>
  <conditionalFormatting sqref="AC562:AC564">
    <cfRule type="duplicateValues" dxfId="564" priority="4066"/>
    <cfRule type="duplicateValues" dxfId="563" priority="4067"/>
  </conditionalFormatting>
  <conditionalFormatting sqref="AC565:AC567">
    <cfRule type="duplicateValues" dxfId="562" priority="4064"/>
    <cfRule type="duplicateValues" dxfId="561" priority="4065"/>
  </conditionalFormatting>
  <conditionalFormatting sqref="AC568:AC570">
    <cfRule type="duplicateValues" dxfId="560" priority="4062"/>
    <cfRule type="duplicateValues" dxfId="559" priority="4063"/>
  </conditionalFormatting>
  <conditionalFormatting sqref="AC571:AC573">
    <cfRule type="duplicateValues" dxfId="558" priority="4060"/>
    <cfRule type="duplicateValues" dxfId="557" priority="4061"/>
  </conditionalFormatting>
  <conditionalFormatting sqref="AC574:AC576">
    <cfRule type="duplicateValues" dxfId="556" priority="4058"/>
    <cfRule type="duplicateValues" dxfId="555" priority="4059"/>
  </conditionalFormatting>
  <conditionalFormatting sqref="AC577:AC579">
    <cfRule type="duplicateValues" dxfId="554" priority="4056"/>
    <cfRule type="duplicateValues" dxfId="553" priority="4057"/>
  </conditionalFormatting>
  <conditionalFormatting sqref="AC580:AC582">
    <cfRule type="duplicateValues" dxfId="552" priority="4054"/>
    <cfRule type="duplicateValues" dxfId="551" priority="4055"/>
  </conditionalFormatting>
  <conditionalFormatting sqref="AC583:AC585">
    <cfRule type="duplicateValues" dxfId="550" priority="4052"/>
    <cfRule type="duplicateValues" dxfId="549" priority="4053"/>
  </conditionalFormatting>
  <conditionalFormatting sqref="AC586:AC588">
    <cfRule type="duplicateValues" dxfId="548" priority="4050"/>
    <cfRule type="duplicateValues" dxfId="547" priority="4051"/>
  </conditionalFormatting>
  <conditionalFormatting sqref="AC589:AC591">
    <cfRule type="duplicateValues" dxfId="546" priority="4048"/>
    <cfRule type="duplicateValues" dxfId="545" priority="4049"/>
  </conditionalFormatting>
  <conditionalFormatting sqref="AC592:AC594">
    <cfRule type="duplicateValues" dxfId="544" priority="4046"/>
    <cfRule type="duplicateValues" dxfId="543" priority="4047"/>
  </conditionalFormatting>
  <conditionalFormatting sqref="AC595:AC597">
    <cfRule type="duplicateValues" dxfId="542" priority="4044"/>
    <cfRule type="duplicateValues" dxfId="541" priority="4045"/>
  </conditionalFormatting>
  <conditionalFormatting sqref="AC598:AC600">
    <cfRule type="duplicateValues" dxfId="540" priority="4042"/>
    <cfRule type="duplicateValues" dxfId="539" priority="4043"/>
  </conditionalFormatting>
  <conditionalFormatting sqref="AC601:AC603">
    <cfRule type="duplicateValues" dxfId="538" priority="4040"/>
    <cfRule type="duplicateValues" dxfId="537" priority="4041"/>
  </conditionalFormatting>
  <conditionalFormatting sqref="AC604:AC606">
    <cfRule type="duplicateValues" dxfId="536" priority="4038"/>
    <cfRule type="duplicateValues" dxfId="535" priority="4039"/>
  </conditionalFormatting>
  <conditionalFormatting sqref="AC607:AC609">
    <cfRule type="duplicateValues" dxfId="534" priority="4036"/>
    <cfRule type="duplicateValues" dxfId="533" priority="4037"/>
  </conditionalFormatting>
  <conditionalFormatting sqref="AC610:AC612">
    <cfRule type="duplicateValues" dxfId="532" priority="4034"/>
    <cfRule type="duplicateValues" dxfId="531" priority="4035"/>
  </conditionalFormatting>
  <conditionalFormatting sqref="AC613:AC615">
    <cfRule type="duplicateValues" dxfId="530" priority="4032"/>
    <cfRule type="duplicateValues" dxfId="529" priority="4033"/>
  </conditionalFormatting>
  <conditionalFormatting sqref="AC616:AC618">
    <cfRule type="duplicateValues" dxfId="528" priority="4030"/>
    <cfRule type="duplicateValues" dxfId="527" priority="4031"/>
  </conditionalFormatting>
  <conditionalFormatting sqref="AC619:AC621">
    <cfRule type="duplicateValues" dxfId="526" priority="4028"/>
    <cfRule type="duplicateValues" dxfId="525" priority="4029"/>
  </conditionalFormatting>
  <conditionalFormatting sqref="AC622:AC624">
    <cfRule type="duplicateValues" dxfId="524" priority="4026"/>
    <cfRule type="duplicateValues" dxfId="523" priority="4027"/>
  </conditionalFormatting>
  <conditionalFormatting sqref="AC625:AC627">
    <cfRule type="duplicateValues" dxfId="522" priority="4024"/>
    <cfRule type="duplicateValues" dxfId="521" priority="4025"/>
  </conditionalFormatting>
  <conditionalFormatting sqref="AC628:AC630">
    <cfRule type="duplicateValues" dxfId="520" priority="4022"/>
    <cfRule type="duplicateValues" dxfId="519" priority="4023"/>
  </conditionalFormatting>
  <conditionalFormatting sqref="AC631:AC633">
    <cfRule type="duplicateValues" dxfId="518" priority="4020"/>
    <cfRule type="duplicateValues" dxfId="517" priority="4021"/>
  </conditionalFormatting>
  <conditionalFormatting sqref="AC634:AC636">
    <cfRule type="duplicateValues" dxfId="516" priority="4018"/>
    <cfRule type="duplicateValues" dxfId="515" priority="4019"/>
  </conditionalFormatting>
  <conditionalFormatting sqref="AC637:AC639">
    <cfRule type="duplicateValues" dxfId="514" priority="4016"/>
    <cfRule type="duplicateValues" dxfId="513" priority="4017"/>
  </conditionalFormatting>
  <conditionalFormatting sqref="AC640:AC642">
    <cfRule type="duplicateValues" dxfId="512" priority="4014"/>
    <cfRule type="duplicateValues" dxfId="511" priority="4015"/>
  </conditionalFormatting>
  <conditionalFormatting sqref="AC643:AC645">
    <cfRule type="duplicateValues" dxfId="510" priority="4012"/>
    <cfRule type="duplicateValues" dxfId="509" priority="4013"/>
  </conditionalFormatting>
  <conditionalFormatting sqref="AC646:AC648">
    <cfRule type="duplicateValues" dxfId="508" priority="4010"/>
    <cfRule type="duplicateValues" dxfId="507" priority="4011"/>
  </conditionalFormatting>
  <conditionalFormatting sqref="AC649:AC651">
    <cfRule type="duplicateValues" dxfId="506" priority="4008"/>
    <cfRule type="duplicateValues" dxfId="505" priority="4009"/>
  </conditionalFormatting>
  <conditionalFormatting sqref="AC652:AC654">
    <cfRule type="duplicateValues" dxfId="504" priority="4006"/>
    <cfRule type="duplicateValues" dxfId="503" priority="4007"/>
  </conditionalFormatting>
  <conditionalFormatting sqref="AC655:AC657">
    <cfRule type="duplicateValues" dxfId="502" priority="4004"/>
    <cfRule type="duplicateValues" dxfId="501" priority="4005"/>
  </conditionalFormatting>
  <conditionalFormatting sqref="AC658:AC660">
    <cfRule type="duplicateValues" dxfId="500" priority="4002"/>
    <cfRule type="duplicateValues" dxfId="499" priority="4003"/>
  </conditionalFormatting>
  <conditionalFormatting sqref="AC661:AC663">
    <cfRule type="duplicateValues" dxfId="498" priority="4000"/>
    <cfRule type="duplicateValues" dxfId="497" priority="4001"/>
  </conditionalFormatting>
  <conditionalFormatting sqref="AC664:AC666">
    <cfRule type="duplicateValues" dxfId="496" priority="3998"/>
    <cfRule type="duplicateValues" dxfId="495" priority="3999"/>
  </conditionalFormatting>
  <conditionalFormatting sqref="AC667:AC669">
    <cfRule type="duplicateValues" dxfId="494" priority="123042"/>
    <cfRule type="duplicateValues" dxfId="493" priority="123043"/>
  </conditionalFormatting>
  <conditionalFormatting sqref="AC670:AC672">
    <cfRule type="duplicateValues" dxfId="492" priority="2837"/>
    <cfRule type="duplicateValues" dxfId="491" priority="2838"/>
  </conditionalFormatting>
  <conditionalFormatting sqref="AC673:AC675">
    <cfRule type="duplicateValues" dxfId="490" priority="2835"/>
    <cfRule type="duplicateValues" dxfId="489" priority="2836"/>
  </conditionalFormatting>
  <conditionalFormatting sqref="AC676:AC678">
    <cfRule type="duplicateValues" dxfId="488" priority="2833"/>
    <cfRule type="duplicateValues" dxfId="487" priority="2834"/>
  </conditionalFormatting>
  <conditionalFormatting sqref="AC679:AC681">
    <cfRule type="duplicateValues" dxfId="486" priority="2831"/>
    <cfRule type="duplicateValues" dxfId="485" priority="2832"/>
  </conditionalFormatting>
  <conditionalFormatting sqref="AC682:AC684">
    <cfRule type="duplicateValues" dxfId="484" priority="2829"/>
    <cfRule type="duplicateValues" dxfId="483" priority="2830"/>
  </conditionalFormatting>
  <conditionalFormatting sqref="AC685:AC687">
    <cfRule type="duplicateValues" dxfId="482" priority="2827"/>
    <cfRule type="duplicateValues" dxfId="481" priority="2828"/>
  </conditionalFormatting>
  <conditionalFormatting sqref="AC688:AC690">
    <cfRule type="duplicateValues" dxfId="480" priority="2825"/>
    <cfRule type="duplicateValues" dxfId="479" priority="2826"/>
  </conditionalFormatting>
  <conditionalFormatting sqref="AC691:AC692">
    <cfRule type="duplicateValues" dxfId="478" priority="2823"/>
    <cfRule type="duplicateValues" dxfId="477" priority="2824"/>
  </conditionalFormatting>
  <conditionalFormatting sqref="AC702:AC703">
    <cfRule type="duplicateValues" dxfId="476" priority="114"/>
    <cfRule type="duplicateValues" dxfId="475" priority="115"/>
  </conditionalFormatting>
  <conditionalFormatting sqref="DB4:DB5">
    <cfRule type="duplicateValues" dxfId="474" priority="12291"/>
  </conditionalFormatting>
  <conditionalFormatting sqref="DB60:DB61">
    <cfRule type="duplicateValues" dxfId="473" priority="11674"/>
  </conditionalFormatting>
  <conditionalFormatting sqref="DB66:DB67">
    <cfRule type="duplicateValues" dxfId="472" priority="26100"/>
  </conditionalFormatting>
  <conditionalFormatting sqref="DB94:DB95">
    <cfRule type="duplicateValues" dxfId="471" priority="18122"/>
  </conditionalFormatting>
  <conditionalFormatting sqref="DB97:DB98">
    <cfRule type="duplicateValues" dxfId="470" priority="13268"/>
    <cfRule type="duplicateValues" dxfId="469" priority="13269"/>
  </conditionalFormatting>
  <conditionalFormatting sqref="DB100:DB104">
    <cfRule type="duplicateValues" dxfId="468" priority="15061"/>
  </conditionalFormatting>
  <conditionalFormatting sqref="DB105:DB117">
    <cfRule type="duplicateValues" dxfId="467" priority="25436"/>
  </conditionalFormatting>
  <conditionalFormatting sqref="DB106:DB117">
    <cfRule type="duplicateValues" dxfId="466" priority="25438"/>
  </conditionalFormatting>
  <conditionalFormatting sqref="DB275:DB277">
    <cfRule type="duplicateValues" dxfId="465" priority="6635"/>
    <cfRule type="duplicateValues" dxfId="464" priority="6638"/>
  </conditionalFormatting>
  <conditionalFormatting sqref="DB283:DB284">
    <cfRule type="duplicateValues" dxfId="463" priority="9142"/>
  </conditionalFormatting>
  <conditionalFormatting sqref="DB292:DB293">
    <cfRule type="duplicateValues" dxfId="462" priority="9119"/>
  </conditionalFormatting>
  <conditionalFormatting sqref="DB301:DB302">
    <cfRule type="duplicateValues" dxfId="461" priority="8081"/>
  </conditionalFormatting>
  <conditionalFormatting sqref="DB310:DB311">
    <cfRule type="duplicateValues" dxfId="460" priority="8055"/>
  </conditionalFormatting>
  <conditionalFormatting sqref="DB319:DB320">
    <cfRule type="duplicateValues" dxfId="459" priority="8029"/>
  </conditionalFormatting>
  <conditionalFormatting sqref="DB328:DB329">
    <cfRule type="duplicateValues" dxfId="458" priority="8003"/>
  </conditionalFormatting>
  <conditionalFormatting sqref="DB337:DB338">
    <cfRule type="duplicateValues" dxfId="457" priority="7977"/>
  </conditionalFormatting>
  <conditionalFormatting sqref="DB346:DB347">
    <cfRule type="duplicateValues" dxfId="456" priority="7872"/>
  </conditionalFormatting>
  <conditionalFormatting sqref="DB350:DB351">
    <cfRule type="duplicateValues" dxfId="455" priority="7119"/>
  </conditionalFormatting>
  <conditionalFormatting sqref="DB357:DB358">
    <cfRule type="duplicateValues" dxfId="454" priority="4205"/>
  </conditionalFormatting>
  <conditionalFormatting sqref="DB372:DB376">
    <cfRule type="duplicateValues" dxfId="453" priority="7041"/>
    <cfRule type="duplicateValues" dxfId="452" priority="7043"/>
  </conditionalFormatting>
  <conditionalFormatting sqref="DB388:DB389">
    <cfRule type="duplicateValues" dxfId="451" priority="11527"/>
  </conditionalFormatting>
  <conditionalFormatting sqref="DB390:DB391">
    <cfRule type="duplicateValues" dxfId="450" priority="11516"/>
  </conditionalFormatting>
  <conditionalFormatting sqref="DB392:DB393">
    <cfRule type="duplicateValues" dxfId="449" priority="11512"/>
  </conditionalFormatting>
  <conditionalFormatting sqref="DB410:DB413">
    <cfRule type="duplicateValues" dxfId="448" priority="6503"/>
    <cfRule type="duplicateValues" dxfId="447" priority="6505"/>
  </conditionalFormatting>
  <conditionalFormatting sqref="DY203:DY211">
    <cfRule type="duplicateValues" dxfId="446" priority="6716"/>
  </conditionalFormatting>
  <conditionalFormatting sqref="DY212:DY220">
    <cfRule type="duplicateValues" dxfId="445" priority="6708"/>
  </conditionalFormatting>
  <conditionalFormatting sqref="DY221:DY229">
    <cfRule type="duplicateValues" dxfId="444" priority="6700"/>
  </conditionalFormatting>
  <conditionalFormatting sqref="DY230:DY238">
    <cfRule type="duplicateValues" dxfId="443" priority="6692"/>
  </conditionalFormatting>
  <conditionalFormatting sqref="DY239:DY247">
    <cfRule type="duplicateValues" dxfId="442" priority="6655"/>
  </conditionalFormatting>
  <conditionalFormatting sqref="DY248:DY256">
    <cfRule type="duplicateValues" dxfId="441" priority="6650"/>
  </conditionalFormatting>
  <conditionalFormatting sqref="DY257:DY265">
    <cfRule type="duplicateValues" dxfId="440" priority="6679"/>
  </conditionalFormatting>
  <conditionalFormatting sqref="DY266:DY274">
    <cfRule type="duplicateValues" dxfId="439" priority="6671"/>
  </conditionalFormatting>
  <conditionalFormatting sqref="DY275:DY277">
    <cfRule type="duplicateValues" dxfId="438" priority="6637"/>
    <cfRule type="duplicateValues" dxfId="437" priority="6639"/>
    <cfRule type="duplicateValues" dxfId="436" priority="6640"/>
  </conditionalFormatting>
  <conditionalFormatting sqref="DY410:DY413">
    <cfRule type="duplicateValues" dxfId="435" priority="6501"/>
  </conditionalFormatting>
  <conditionalFormatting sqref="DY445:DY446">
    <cfRule type="duplicateValues" dxfId="434" priority="3868"/>
    <cfRule type="duplicateValues" dxfId="433" priority="3869"/>
  </conditionalFormatting>
  <conditionalFormatting sqref="DY445:DY448">
    <cfRule type="duplicateValues" dxfId="432" priority="3867"/>
  </conditionalFormatting>
  <conditionalFormatting sqref="DY449:DY450">
    <cfRule type="duplicateValues" dxfId="431" priority="3864"/>
    <cfRule type="duplicateValues" dxfId="430" priority="3865"/>
    <cfRule type="duplicateValues" dxfId="429" priority="3866"/>
  </conditionalFormatting>
  <conditionalFormatting sqref="DY454:DY455">
    <cfRule type="duplicateValues" dxfId="428" priority="3862"/>
    <cfRule type="duplicateValues" dxfId="427" priority="3863"/>
  </conditionalFormatting>
  <conditionalFormatting sqref="DY458:DY459">
    <cfRule type="duplicateValues" dxfId="426" priority="3860"/>
    <cfRule type="duplicateValues" dxfId="425" priority="3861"/>
  </conditionalFormatting>
  <conditionalFormatting sqref="DY462:DY463">
    <cfRule type="duplicateValues" dxfId="424" priority="3858"/>
    <cfRule type="duplicateValues" dxfId="423" priority="3859"/>
  </conditionalFormatting>
  <conditionalFormatting sqref="DY466:DY467">
    <cfRule type="duplicateValues" dxfId="422" priority="3855"/>
    <cfRule type="duplicateValues" dxfId="421" priority="3856"/>
    <cfRule type="duplicateValues" dxfId="420" priority="3857"/>
  </conditionalFormatting>
  <conditionalFormatting sqref="DY471:DY472">
    <cfRule type="duplicateValues" dxfId="419" priority="3853"/>
    <cfRule type="duplicateValues" dxfId="418" priority="3854"/>
  </conditionalFormatting>
  <conditionalFormatting sqref="DY471:DY474">
    <cfRule type="duplicateValues" dxfId="417" priority="3829"/>
  </conditionalFormatting>
  <conditionalFormatting sqref="DY475:DY476">
    <cfRule type="duplicateValues" dxfId="416" priority="3851"/>
    <cfRule type="duplicateValues" dxfId="415" priority="3852"/>
  </conditionalFormatting>
  <conditionalFormatting sqref="DY475:DY478">
    <cfRule type="duplicateValues" dxfId="414" priority="3826"/>
  </conditionalFormatting>
  <conditionalFormatting sqref="DY479:DY480">
    <cfRule type="duplicateValues" dxfId="413" priority="3849"/>
    <cfRule type="duplicateValues" dxfId="412" priority="3850"/>
  </conditionalFormatting>
  <conditionalFormatting sqref="DY483:DY484">
    <cfRule type="duplicateValues" dxfId="411" priority="3846"/>
    <cfRule type="duplicateValues" dxfId="410" priority="3847"/>
    <cfRule type="duplicateValues" dxfId="409" priority="3848"/>
  </conditionalFormatting>
  <conditionalFormatting sqref="DY491:DY492">
    <cfRule type="duplicateValues" dxfId="408" priority="3844"/>
    <cfRule type="duplicateValues" dxfId="407" priority="3845"/>
  </conditionalFormatting>
  <conditionalFormatting sqref="DY504:DY505">
    <cfRule type="duplicateValues" dxfId="406" priority="2347"/>
    <cfRule type="duplicateValues" dxfId="405" priority="2348"/>
  </conditionalFormatting>
  <conditionalFormatting sqref="DY508:DY509">
    <cfRule type="duplicateValues" dxfId="404" priority="2331"/>
    <cfRule type="duplicateValues" dxfId="403" priority="2332"/>
  </conditionalFormatting>
  <conditionalFormatting sqref="DY512:DY513">
    <cfRule type="duplicateValues" dxfId="402" priority="2319"/>
    <cfRule type="duplicateValues" dxfId="401" priority="2320"/>
  </conditionalFormatting>
  <conditionalFormatting sqref="DY516:DY517">
    <cfRule type="duplicateValues" dxfId="400" priority="2303"/>
    <cfRule type="duplicateValues" dxfId="399" priority="2304"/>
  </conditionalFormatting>
  <conditionalFormatting sqref="DY516:DY519">
    <cfRule type="duplicateValues" dxfId="398" priority="2302"/>
  </conditionalFormatting>
  <conditionalFormatting sqref="A743:A1048576 A740 A414:A423 A94:A96 A1:A3 A99:A120 A122:A130 A366:A371 A377 A380:A387 A394:A395 A409 DY366:DY371 DY122:DY130 DY99:DY120 DY94:DY97 DY92 DY88 DY86 DY4:DY6 DY8 DY11 DY14 DY17 DY60 DY64 DY66 DY69 DY72 DY74 DY77 DY79 DY377 DY83 DY380">
    <cfRule type="duplicateValues" dxfId="397" priority="123052"/>
  </conditionalFormatting>
  <conditionalFormatting sqref="A743:A1048576 A740 A60:A76 A86:A120 A122:A130 A366:A371 A377 A380:A389 A394:A395 A409 A414:A423 A1:A24 DY122:DY130 DZ19:DZ24 DY86:DY120 DY380 DY83 DY79 DY60:DY77 DY4:DY18 DY366:DY371 DY377">
    <cfRule type="duplicateValues" dxfId="396" priority="123087"/>
  </conditionalFormatting>
  <conditionalFormatting sqref="A4:A5 DY4:DY5">
    <cfRule type="duplicateValues" dxfId="395" priority="39482"/>
  </conditionalFormatting>
  <conditionalFormatting sqref="BB4:BC5">
    <cfRule type="containsBlanks" dxfId="394" priority="12287">
      <formula>LEN(TRIM(BB4))=0</formula>
    </cfRule>
    <cfRule type="cellIs" dxfId="393" priority="12288" operator="equal">
      <formula>0</formula>
    </cfRule>
  </conditionalFormatting>
  <conditionalFormatting sqref="BD4:BE5">
    <cfRule type="containsBlanks" dxfId="392" priority="12285">
      <formula>LEN(TRIM(BD4))=0</formula>
    </cfRule>
    <cfRule type="cellIs" dxfId="391" priority="12286" operator="equal">
      <formula>0</formula>
    </cfRule>
  </conditionalFormatting>
  <conditionalFormatting sqref="DY366:DY370 DY4:DY6 DY8 DY11 DY14 DY17 DY60 DY64 DY66 DY69 DY72 DY74 DY77 DY79 DY83 DY86 DY88 DY92 DY95 DY97 DY101 DY104 DY106 DY111 DY113 DY118 DY120 DY122 DY126">
    <cfRule type="duplicateValues" dxfId="390" priority="121928"/>
    <cfRule type="duplicateValues" dxfId="389" priority="121929"/>
  </conditionalFormatting>
  <conditionalFormatting sqref="A74 A6:A9 DY74 DY6:DY9">
    <cfRule type="duplicateValues" dxfId="388" priority="39849"/>
  </conditionalFormatting>
  <conditionalFormatting sqref="DB74 DB6:DB9">
    <cfRule type="duplicateValues" dxfId="387" priority="26084"/>
  </conditionalFormatting>
  <conditionalFormatting sqref="A16 DY16">
    <cfRule type="duplicateValues" dxfId="386" priority="39839"/>
  </conditionalFormatting>
  <conditionalFormatting sqref="A25:A27 DZ25:DZ27">
    <cfRule type="duplicateValues" dxfId="385" priority="114749"/>
  </conditionalFormatting>
  <conditionalFormatting sqref="A29:A31 DZ29:DZ31">
    <cfRule type="duplicateValues" dxfId="384" priority="614"/>
  </conditionalFormatting>
  <conditionalFormatting sqref="A33:A35 DZ33:DZ35">
    <cfRule type="duplicateValues" dxfId="383" priority="612"/>
  </conditionalFormatting>
  <conditionalFormatting sqref="A36 DZ36">
    <cfRule type="duplicateValues" dxfId="382" priority="486"/>
  </conditionalFormatting>
  <conditionalFormatting sqref="A37:A40 A45 DZ45 DZ37:DZ40">
    <cfRule type="duplicateValues" dxfId="381" priority="116964"/>
  </conditionalFormatting>
  <conditionalFormatting sqref="A42:A44 DZ41:DZ44">
    <cfRule type="duplicateValues" dxfId="380" priority="597"/>
  </conditionalFormatting>
  <conditionalFormatting sqref="A47 DY47">
    <cfRule type="duplicateValues" dxfId="379" priority="544"/>
  </conditionalFormatting>
  <conditionalFormatting sqref="DK47:DN47 DK366:DN370 DK380:DN380 DK126:DN127 DK100:DN120 DK128:DP130 DK377:DO377 DK52:DP55 DK48:DP48 DK51:DN51 DK50:DP50 DK49:DN49">
    <cfRule type="cellIs" dxfId="378" priority="542" stopIfTrue="1" operator="notEqual">
      <formula>INDIRECT("Dummy_for_Comparison2!"&amp;ADDRESS(ROW(),COLUMN()))</formula>
    </cfRule>
  </conditionalFormatting>
  <conditionalFormatting sqref="A48 DY48">
    <cfRule type="duplicateValues" dxfId="377" priority="119188"/>
  </conditionalFormatting>
  <conditionalFormatting sqref="A49 DY49">
    <cfRule type="duplicateValues" dxfId="376" priority="524"/>
  </conditionalFormatting>
  <conditionalFormatting sqref="A50 DY50">
    <cfRule type="duplicateValues" dxfId="375" priority="520"/>
  </conditionalFormatting>
  <conditionalFormatting sqref="A51 DY51">
    <cfRule type="duplicateValues" dxfId="374" priority="514"/>
  </conditionalFormatting>
  <conditionalFormatting sqref="A52:A55 DY52:DY55">
    <cfRule type="duplicateValues" dxfId="373" priority="510"/>
  </conditionalFormatting>
  <conditionalFormatting sqref="DB52 DB54:DB55">
    <cfRule type="duplicateValues" dxfId="372" priority="511"/>
  </conditionalFormatting>
  <conditionalFormatting sqref="A56:A59 DZ56:DZ59">
    <cfRule type="duplicateValues" dxfId="371" priority="464"/>
  </conditionalFormatting>
  <conditionalFormatting sqref="A60:A61 DY60:DY61">
    <cfRule type="duplicateValues" dxfId="370" priority="39714"/>
  </conditionalFormatting>
  <conditionalFormatting sqref="A64 DY64">
    <cfRule type="duplicateValues" dxfId="369" priority="39845"/>
    <cfRule type="duplicateValues" dxfId="368" priority="39846"/>
  </conditionalFormatting>
  <conditionalFormatting sqref="A66:A67 DY66:DY67">
    <cfRule type="duplicateValues" dxfId="367" priority="39855"/>
  </conditionalFormatting>
  <conditionalFormatting sqref="A70 DY70">
    <cfRule type="duplicateValues" dxfId="366" priority="39716"/>
  </conditionalFormatting>
  <conditionalFormatting sqref="A77:A85 DY84:DY85 DY78 DY80:DY82">
    <cfRule type="duplicateValues" dxfId="365" priority="39863"/>
  </conditionalFormatting>
  <conditionalFormatting sqref="A80 DY80">
    <cfRule type="duplicateValues" dxfId="364" priority="39861"/>
  </conditionalFormatting>
  <conditionalFormatting sqref="A84 DY84">
    <cfRule type="duplicateValues" dxfId="363" priority="39865"/>
  </conditionalFormatting>
  <conditionalFormatting sqref="A94:A95 DY94:DY95">
    <cfRule type="duplicateValues" dxfId="362" priority="39302"/>
  </conditionalFormatting>
  <conditionalFormatting sqref="DB380 DB94:DB96 DB99:DB120 DB122:DB130 DB366:DB371 DB377">
    <cfRule type="duplicateValues" dxfId="361" priority="121922"/>
  </conditionalFormatting>
  <conditionalFormatting sqref="A96 A99 DY99 DY96">
    <cfRule type="duplicateValues" dxfId="360" priority="38349"/>
  </conditionalFormatting>
  <conditionalFormatting sqref="B96 B99">
    <cfRule type="duplicateValues" dxfId="359" priority="15339"/>
  </conditionalFormatting>
  <conditionalFormatting sqref="AB96 AB99">
    <cfRule type="duplicateValues" dxfId="358" priority="15210"/>
  </conditionalFormatting>
  <conditionalFormatting sqref="DB96 DB99">
    <cfRule type="duplicateValues" dxfId="357" priority="15060"/>
  </conditionalFormatting>
  <conditionalFormatting sqref="DB369 DB96 DB100 DB103 DB105 DB109 DB113 DB115 DB118 DB122:DB123 DB125:DB127 DB129">
    <cfRule type="duplicateValues" dxfId="356" priority="121986"/>
  </conditionalFormatting>
  <conditionalFormatting sqref="A97:A98 DY97:DY98">
    <cfRule type="duplicateValues" dxfId="355" priority="39352"/>
    <cfRule type="duplicateValues" dxfId="354" priority="39353"/>
  </conditionalFormatting>
  <conditionalFormatting sqref="DK97:DM99 DK371:DM371 DN97:DO120 DN126:DO127 DN366:DO371 DN380:DO380 DP97:DP99 DP101:DP104 DP106 DP108:DP111 DP113 DP115:DP118 DP120 DP126 DP370">
    <cfRule type="cellIs" dxfId="353" priority="11520" stopIfTrue="1" operator="notEqual">
      <formula>INDIRECT("Dummy_for_Comparison2!"&amp;ADDRESS(ROW(),COLUMN()))</formula>
    </cfRule>
  </conditionalFormatting>
  <conditionalFormatting sqref="A100:A104 DY100:DY104">
    <cfRule type="duplicateValues" dxfId="352" priority="38353"/>
  </conditionalFormatting>
  <conditionalFormatting sqref="BD104:BE104 BB123:BE127 BB115:BE115">
    <cfRule type="containsBlanks" dxfId="351" priority="15018">
      <formula>LEN(TRIM(BB104))=0</formula>
    </cfRule>
    <cfRule type="cellIs" dxfId="350" priority="15019" operator="equal">
      <formula>0</formula>
    </cfRule>
  </conditionalFormatting>
  <conditionalFormatting sqref="A105:A117 DY105:DY117">
    <cfRule type="duplicateValues" dxfId="349" priority="39720"/>
  </conditionalFormatting>
  <conditionalFormatting sqref="A106:A117 DY106:DY117">
    <cfRule type="duplicateValues" dxfId="348" priority="39722"/>
  </conditionalFormatting>
  <conditionalFormatting sqref="BB107:BC107 BC108">
    <cfRule type="containsBlanks" dxfId="347" priority="14724">
      <formula>LEN(TRIM(BB107))=0</formula>
    </cfRule>
    <cfRule type="cellIs" dxfId="346" priority="14725" operator="equal">
      <formula>0</formula>
    </cfRule>
  </conditionalFormatting>
  <conditionalFormatting sqref="BB109:BC111">
    <cfRule type="containsBlanks" dxfId="345" priority="14748">
      <formula>LEN(TRIM(BB109))=0</formula>
    </cfRule>
    <cfRule type="cellIs" dxfId="344" priority="14749" operator="equal">
      <formula>0</formula>
    </cfRule>
  </conditionalFormatting>
  <conditionalFormatting sqref="BD109:BE111">
    <cfRule type="containsBlanks" dxfId="343" priority="14746">
      <formula>LEN(TRIM(BD109))=0</formula>
    </cfRule>
    <cfRule type="cellIs" dxfId="342" priority="14747" operator="equal">
      <formula>0</formula>
    </cfRule>
  </conditionalFormatting>
  <conditionalFormatting sqref="BB117 BD117:BE117">
    <cfRule type="containsBlanks" dxfId="341" priority="14968">
      <formula>LEN(TRIM(BB117))=0</formula>
    </cfRule>
    <cfRule type="cellIs" dxfId="340" priority="14969" operator="equal">
      <formula>0</formula>
    </cfRule>
  </conditionalFormatting>
  <conditionalFormatting sqref="A118:A120 A122:A124 DY122:DY124 DY118:DY120">
    <cfRule type="duplicateValues" dxfId="339" priority="39835"/>
  </conditionalFormatting>
  <conditionalFormatting sqref="A380 A122:A124 A118:A120 A126:A130 A366:A371 A377 DY380 DY377 DY366:DY371 DY126:DY130 DY122:DY124 DY118:DY120">
    <cfRule type="duplicateValues" dxfId="338" priority="122525"/>
  </conditionalFormatting>
  <conditionalFormatting sqref="B118:B120 B380 B377 B366:B371 B126:B130 B122:B124">
    <cfRule type="duplicateValues" dxfId="337" priority="121998"/>
  </conditionalFormatting>
  <conditionalFormatting sqref="BB118:BB119 BD118:BE119">
    <cfRule type="containsBlanks" dxfId="336" priority="14740">
      <formula>LEN(TRIM(BB118))=0</formula>
    </cfRule>
    <cfRule type="cellIs" dxfId="335" priority="14741" operator="equal">
      <formula>0</formula>
    </cfRule>
  </conditionalFormatting>
  <conditionalFormatting sqref="DB118:DB120 DB122:DB124">
    <cfRule type="duplicateValues" dxfId="334" priority="25461"/>
  </conditionalFormatting>
  <conditionalFormatting sqref="DB118:DB120 DB122:DB124 DB126:DB130 DB366:DB371 DB377 DB380">
    <cfRule type="duplicateValues" dxfId="333" priority="122004"/>
  </conditionalFormatting>
  <conditionalFormatting sqref="A125 DY125">
    <cfRule type="duplicateValues" dxfId="332" priority="38355"/>
    <cfRule type="duplicateValues" dxfId="331" priority="38356"/>
  </conditionalFormatting>
  <conditionalFormatting sqref="A139 DY139 DY131 DY133 DY137">
    <cfRule type="duplicateValues" dxfId="330" priority="8903"/>
  </conditionalFormatting>
  <conditionalFormatting sqref="A131:A139 DY131:DY139">
    <cfRule type="duplicateValues" dxfId="329" priority="8905"/>
  </conditionalFormatting>
  <conditionalFormatting sqref="DY131 DY133 DY137">
    <cfRule type="duplicateValues" dxfId="328" priority="8901"/>
    <cfRule type="duplicateValues" dxfId="327" priority="8902"/>
  </conditionalFormatting>
  <conditionalFormatting sqref="A139 DY139">
    <cfRule type="duplicateValues" dxfId="326" priority="8904"/>
  </conditionalFormatting>
  <conditionalFormatting sqref="A148 DY148 DY140 DY142 DY146">
    <cfRule type="duplicateValues" dxfId="325" priority="8892"/>
  </conditionalFormatting>
  <conditionalFormatting sqref="A140:A148 DY140:DY148">
    <cfRule type="duplicateValues" dxfId="324" priority="8894"/>
  </conditionalFormatting>
  <conditionalFormatting sqref="DY140 DY142 DY146">
    <cfRule type="duplicateValues" dxfId="323" priority="8890"/>
    <cfRule type="duplicateValues" dxfId="322" priority="8891"/>
  </conditionalFormatting>
  <conditionalFormatting sqref="A148 DY148">
    <cfRule type="duplicateValues" dxfId="321" priority="8893"/>
  </conditionalFormatting>
  <conditionalFormatting sqref="A157 DY157 DY149 DY151 DY155">
    <cfRule type="duplicateValues" dxfId="320" priority="8881"/>
  </conditionalFormatting>
  <conditionalFormatting sqref="A149:A157 DY149:DY157">
    <cfRule type="duplicateValues" dxfId="319" priority="8883"/>
  </conditionalFormatting>
  <conditionalFormatting sqref="DY149 DY151 DY155">
    <cfRule type="duplicateValues" dxfId="318" priority="8879"/>
    <cfRule type="duplicateValues" dxfId="317" priority="8880"/>
  </conditionalFormatting>
  <conditionalFormatting sqref="A157 DY157">
    <cfRule type="duplicateValues" dxfId="316" priority="8882"/>
  </conditionalFormatting>
  <conditionalFormatting sqref="A166 DY166 DY158 DY160 DY164">
    <cfRule type="duplicateValues" dxfId="315" priority="8870"/>
  </conditionalFormatting>
  <conditionalFormatting sqref="A158:A166 DY158:DY166">
    <cfRule type="duplicateValues" dxfId="314" priority="8872"/>
  </conditionalFormatting>
  <conditionalFormatting sqref="DY158 DY160 DY164">
    <cfRule type="duplicateValues" dxfId="313" priority="8868"/>
    <cfRule type="duplicateValues" dxfId="312" priority="8869"/>
  </conditionalFormatting>
  <conditionalFormatting sqref="A166 DY166">
    <cfRule type="duplicateValues" dxfId="311" priority="8871"/>
  </conditionalFormatting>
  <conditionalFormatting sqref="A175 DY175 DY167 DY169 DY173">
    <cfRule type="duplicateValues" dxfId="310" priority="8859"/>
  </conditionalFormatting>
  <conditionalFormatting sqref="A167:A175 DY167:DY175">
    <cfRule type="duplicateValues" dxfId="309" priority="8861"/>
  </conditionalFormatting>
  <conditionalFormatting sqref="DY167 DY169 DY173">
    <cfRule type="duplicateValues" dxfId="308" priority="8857"/>
    <cfRule type="duplicateValues" dxfId="307" priority="8858"/>
  </conditionalFormatting>
  <conditionalFormatting sqref="A175 DY175">
    <cfRule type="duplicateValues" dxfId="306" priority="8860"/>
  </conditionalFormatting>
  <conditionalFormatting sqref="A176:A184 DY176:DY184">
    <cfRule type="duplicateValues" dxfId="305" priority="8850"/>
  </conditionalFormatting>
  <conditionalFormatting sqref="A184 DY184 DY176 DY178 DY182">
    <cfRule type="duplicateValues" dxfId="304" priority="8848"/>
  </conditionalFormatting>
  <conditionalFormatting sqref="DY176 DY178 DY182">
    <cfRule type="duplicateValues" dxfId="303" priority="8846"/>
    <cfRule type="duplicateValues" dxfId="302" priority="8847"/>
  </conditionalFormatting>
  <conditionalFormatting sqref="A184 DY184">
    <cfRule type="duplicateValues" dxfId="301" priority="8849"/>
  </conditionalFormatting>
  <conditionalFormatting sqref="A193 DY193 DY185 DY187 DY191">
    <cfRule type="duplicateValues" dxfId="300" priority="6661"/>
  </conditionalFormatting>
  <conditionalFormatting sqref="A185:A193 DY185:DY193">
    <cfRule type="duplicateValues" dxfId="299" priority="6660"/>
  </conditionalFormatting>
  <conditionalFormatting sqref="DY185 DY187 DY191">
    <cfRule type="duplicateValues" dxfId="298" priority="6727"/>
    <cfRule type="duplicateValues" dxfId="297" priority="6728"/>
  </conditionalFormatting>
  <conditionalFormatting sqref="A193 DY193">
    <cfRule type="duplicateValues" dxfId="296" priority="6658"/>
  </conditionalFormatting>
  <conditionalFormatting sqref="A202 DY202 DY194 DY196 DY200">
    <cfRule type="duplicateValues" dxfId="295" priority="6725"/>
  </conditionalFormatting>
  <conditionalFormatting sqref="A194:A202 DY194:DY202">
    <cfRule type="duplicateValues" dxfId="294" priority="6724"/>
  </conditionalFormatting>
  <conditionalFormatting sqref="DY194 DY196 DY200">
    <cfRule type="duplicateValues" dxfId="293" priority="6721"/>
    <cfRule type="duplicateValues" dxfId="292" priority="6722"/>
  </conditionalFormatting>
  <conditionalFormatting sqref="A202 DY202">
    <cfRule type="duplicateValues" dxfId="291" priority="6720"/>
  </conditionalFormatting>
  <conditionalFormatting sqref="DY203 DY205 DY209 DY211">
    <cfRule type="duplicateValues" dxfId="290" priority="6717"/>
  </conditionalFormatting>
  <conditionalFormatting sqref="DY203 DY205 DY209">
    <cfRule type="duplicateValues" dxfId="289" priority="6713"/>
    <cfRule type="duplicateValues" dxfId="288" priority="6714"/>
  </conditionalFormatting>
  <conditionalFormatting sqref="A211 A274 A265 A256 A247 A238 A229 A220">
    <cfRule type="duplicateValues" dxfId="287" priority="6644"/>
    <cfRule type="duplicateValues" dxfId="286" priority="6646"/>
  </conditionalFormatting>
  <conditionalFormatting sqref="DY212 DY214 DY218 DY220">
    <cfRule type="duplicateValues" dxfId="285" priority="6709"/>
  </conditionalFormatting>
  <conditionalFormatting sqref="DY212 DY214 DY218">
    <cfRule type="duplicateValues" dxfId="284" priority="6705"/>
    <cfRule type="duplicateValues" dxfId="283" priority="6706"/>
  </conditionalFormatting>
  <conditionalFormatting sqref="DY221 DY223 DY227 DY229">
    <cfRule type="duplicateValues" dxfId="282" priority="6701"/>
  </conditionalFormatting>
  <conditionalFormatting sqref="DY221 DY223 DY227">
    <cfRule type="duplicateValues" dxfId="281" priority="6697"/>
    <cfRule type="duplicateValues" dxfId="280" priority="6698"/>
  </conditionalFormatting>
  <conditionalFormatting sqref="DY230 DY232 DY236 DY238">
    <cfRule type="duplicateValues" dxfId="279" priority="6693"/>
  </conditionalFormatting>
  <conditionalFormatting sqref="DY230 DY232 DY236">
    <cfRule type="duplicateValues" dxfId="278" priority="6689"/>
    <cfRule type="duplicateValues" dxfId="277" priority="6690"/>
  </conditionalFormatting>
  <conditionalFormatting sqref="DY239 DY241 DY245">
    <cfRule type="duplicateValues" dxfId="276" priority="6684"/>
    <cfRule type="duplicateValues" dxfId="275" priority="6685"/>
  </conditionalFormatting>
  <conditionalFormatting sqref="DY239 DY241 DY245 DY247">
    <cfRule type="duplicateValues" dxfId="274" priority="6656"/>
  </conditionalFormatting>
  <conditionalFormatting sqref="DY248 DY250 DY254">
    <cfRule type="duplicateValues" dxfId="273" priority="6681"/>
    <cfRule type="duplicateValues" dxfId="272" priority="6682"/>
  </conditionalFormatting>
  <conditionalFormatting sqref="DY248 DY250 DY254 DY256">
    <cfRule type="duplicateValues" dxfId="271" priority="6651"/>
  </conditionalFormatting>
  <conditionalFormatting sqref="DY257 DY259 DY263 DY265">
    <cfRule type="duplicateValues" dxfId="270" priority="6680"/>
  </conditionalFormatting>
  <conditionalFormatting sqref="DY257 DY259 DY263">
    <cfRule type="duplicateValues" dxfId="269" priority="6676"/>
    <cfRule type="duplicateValues" dxfId="268" priority="6677"/>
  </conditionalFormatting>
  <conditionalFormatting sqref="DY266 DY268 DY272 DY274">
    <cfRule type="duplicateValues" dxfId="267" priority="6672"/>
  </conditionalFormatting>
  <conditionalFormatting sqref="DY266 DY268 DY272">
    <cfRule type="duplicateValues" dxfId="266" priority="6668"/>
    <cfRule type="duplicateValues" dxfId="265" priority="6669"/>
  </conditionalFormatting>
  <conditionalFormatting sqref="A278:A286 DY278:DY286">
    <cfRule type="duplicateValues" dxfId="264" priority="9154"/>
  </conditionalFormatting>
  <conditionalFormatting sqref="DY278 DY281 DY283">
    <cfRule type="duplicateValues" dxfId="263" priority="9150"/>
    <cfRule type="duplicateValues" dxfId="262" priority="9151"/>
    <cfRule type="duplicateValues" dxfId="261" priority="9152"/>
  </conditionalFormatting>
  <conditionalFormatting sqref="A280 DY280">
    <cfRule type="duplicateValues" dxfId="260" priority="9155"/>
  </conditionalFormatting>
  <conditionalFormatting sqref="A281 DY281">
    <cfRule type="duplicateValues" dxfId="259" priority="9156"/>
    <cfRule type="duplicateValues" dxfId="258" priority="9157"/>
  </conditionalFormatting>
  <conditionalFormatting sqref="A283:A284 DY283:DY284">
    <cfRule type="duplicateValues" dxfId="257" priority="9153"/>
  </conditionalFormatting>
  <conditionalFormatting sqref="A287:A295 A364 DY364 DY287:DY295">
    <cfRule type="duplicateValues" dxfId="256" priority="68711"/>
  </conditionalFormatting>
  <conditionalFormatting sqref="DY287 DY290 DY292">
    <cfRule type="duplicateValues" dxfId="255" priority="9127"/>
    <cfRule type="duplicateValues" dxfId="254" priority="9128"/>
    <cfRule type="duplicateValues" dxfId="253" priority="9129"/>
  </conditionalFormatting>
  <conditionalFormatting sqref="A289 DY289">
    <cfRule type="duplicateValues" dxfId="252" priority="9132"/>
  </conditionalFormatting>
  <conditionalFormatting sqref="A290 DY290">
    <cfRule type="duplicateValues" dxfId="251" priority="9133"/>
    <cfRule type="duplicateValues" dxfId="250" priority="9134"/>
  </conditionalFormatting>
  <conditionalFormatting sqref="A292:A293 DY292:DY293">
    <cfRule type="duplicateValues" dxfId="249" priority="9130"/>
  </conditionalFormatting>
  <conditionalFormatting sqref="A296:A304 DY296:DY304">
    <cfRule type="duplicateValues" dxfId="248" priority="8097"/>
  </conditionalFormatting>
  <conditionalFormatting sqref="DY296 DY299 DY301">
    <cfRule type="duplicateValues" dxfId="247" priority="8088"/>
    <cfRule type="duplicateValues" dxfId="246" priority="8089"/>
    <cfRule type="duplicateValues" dxfId="245" priority="8090"/>
  </conditionalFormatting>
  <conditionalFormatting sqref="A298 DY298">
    <cfRule type="duplicateValues" dxfId="244" priority="8092"/>
  </conditionalFormatting>
  <conditionalFormatting sqref="A299 DY299">
    <cfRule type="duplicateValues" dxfId="243" priority="8093"/>
    <cfRule type="duplicateValues" dxfId="242" priority="8094"/>
  </conditionalFormatting>
  <conditionalFormatting sqref="A301:A302 DY301:DY302">
    <cfRule type="duplicateValues" dxfId="241" priority="8091"/>
  </conditionalFormatting>
  <conditionalFormatting sqref="A305:A313 DY305:DY313">
    <cfRule type="duplicateValues" dxfId="240" priority="8071"/>
  </conditionalFormatting>
  <conditionalFormatting sqref="DY305 DY308 DY310">
    <cfRule type="duplicateValues" dxfId="239" priority="8062"/>
    <cfRule type="duplicateValues" dxfId="238" priority="8063"/>
    <cfRule type="duplicateValues" dxfId="237" priority="8064"/>
  </conditionalFormatting>
  <conditionalFormatting sqref="A307 DY307">
    <cfRule type="duplicateValues" dxfId="236" priority="8066"/>
  </conditionalFormatting>
  <conditionalFormatting sqref="A308 DY308">
    <cfRule type="duplicateValues" dxfId="235" priority="8067"/>
    <cfRule type="duplicateValues" dxfId="234" priority="8068"/>
  </conditionalFormatting>
  <conditionalFormatting sqref="A310:A311 DY310:DY311">
    <cfRule type="duplicateValues" dxfId="233" priority="8065"/>
  </conditionalFormatting>
  <conditionalFormatting sqref="A314:A322 DY314:DY322">
    <cfRule type="duplicateValues" dxfId="232" priority="8045"/>
  </conditionalFormatting>
  <conditionalFormatting sqref="DY314 DY317 DY319">
    <cfRule type="duplicateValues" dxfId="231" priority="8036"/>
    <cfRule type="duplicateValues" dxfId="230" priority="8037"/>
    <cfRule type="duplicateValues" dxfId="229" priority="8038"/>
  </conditionalFormatting>
  <conditionalFormatting sqref="A316 DY316">
    <cfRule type="duplicateValues" dxfId="228" priority="8040"/>
  </conditionalFormatting>
  <conditionalFormatting sqref="A317 DY317">
    <cfRule type="duplicateValues" dxfId="227" priority="8041"/>
    <cfRule type="duplicateValues" dxfId="226" priority="8042"/>
  </conditionalFormatting>
  <conditionalFormatting sqref="A319:A320 DY319:DY320">
    <cfRule type="duplicateValues" dxfId="225" priority="8039"/>
  </conditionalFormatting>
  <conditionalFormatting sqref="A323:A331 DY323:DY331">
    <cfRule type="duplicateValues" dxfId="224" priority="8019"/>
  </conditionalFormatting>
  <conditionalFormatting sqref="DY323 DY326 DY328">
    <cfRule type="duplicateValues" dxfId="223" priority="8010"/>
    <cfRule type="duplicateValues" dxfId="222" priority="8011"/>
    <cfRule type="duplicateValues" dxfId="221" priority="8012"/>
  </conditionalFormatting>
  <conditionalFormatting sqref="A325 DY325">
    <cfRule type="duplicateValues" dxfId="220" priority="8014"/>
  </conditionalFormatting>
  <conditionalFormatting sqref="A326 DY326">
    <cfRule type="duplicateValues" dxfId="219" priority="8015"/>
    <cfRule type="duplicateValues" dxfId="218" priority="8016"/>
  </conditionalFormatting>
  <conditionalFormatting sqref="A328:A329 DY328:DY329">
    <cfRule type="duplicateValues" dxfId="217" priority="8013"/>
  </conditionalFormatting>
  <conditionalFormatting sqref="A332:A340 DY332:DY340">
    <cfRule type="duplicateValues" dxfId="216" priority="7993"/>
  </conditionalFormatting>
  <conditionalFormatting sqref="DY332 DY335 DY337">
    <cfRule type="duplicateValues" dxfId="215" priority="7984"/>
    <cfRule type="duplicateValues" dxfId="214" priority="7985"/>
    <cfRule type="duplicateValues" dxfId="213" priority="7986"/>
  </conditionalFormatting>
  <conditionalFormatting sqref="A334 DY334">
    <cfRule type="duplicateValues" dxfId="212" priority="7988"/>
  </conditionalFormatting>
  <conditionalFormatting sqref="A335 DY335">
    <cfRule type="duplicateValues" dxfId="211" priority="7989"/>
    <cfRule type="duplicateValues" dxfId="210" priority="7990"/>
  </conditionalFormatting>
  <conditionalFormatting sqref="A337:A338 DY337:DY338">
    <cfRule type="duplicateValues" dxfId="209" priority="7987"/>
  </conditionalFormatting>
  <conditionalFormatting sqref="A341:A349 DY341:DY349">
    <cfRule type="duplicateValues" dxfId="208" priority="7888"/>
  </conditionalFormatting>
  <conditionalFormatting sqref="DY341 DY344 DY346">
    <cfRule type="duplicateValues" dxfId="207" priority="7879"/>
    <cfRule type="duplicateValues" dxfId="206" priority="7880"/>
    <cfRule type="duplicateValues" dxfId="205" priority="7881"/>
  </conditionalFormatting>
  <conditionalFormatting sqref="A343 DY343">
    <cfRule type="duplicateValues" dxfId="204" priority="7883"/>
  </conditionalFormatting>
  <conditionalFormatting sqref="A344 DY344">
    <cfRule type="duplicateValues" dxfId="203" priority="7884"/>
    <cfRule type="duplicateValues" dxfId="202" priority="7885"/>
  </conditionalFormatting>
  <conditionalFormatting sqref="A346:A347 DY346:DY347">
    <cfRule type="duplicateValues" dxfId="201" priority="7882"/>
  </conditionalFormatting>
  <conditionalFormatting sqref="A350:A351 DY350:DY351">
    <cfRule type="duplicateValues" dxfId="200" priority="7123"/>
  </conditionalFormatting>
  <conditionalFormatting sqref="A352:A360 DY352:DY360">
    <cfRule type="duplicateValues" dxfId="199" priority="4216"/>
  </conditionalFormatting>
  <conditionalFormatting sqref="DY352 DY355 DY357">
    <cfRule type="duplicateValues" dxfId="198" priority="4212"/>
    <cfRule type="duplicateValues" dxfId="197" priority="4213"/>
    <cfRule type="duplicateValues" dxfId="196" priority="4214"/>
  </conditionalFormatting>
  <conditionalFormatting sqref="A354 DY354">
    <cfRule type="duplicateValues" dxfId="195" priority="4217"/>
  </conditionalFormatting>
  <conditionalFormatting sqref="A355 DY355">
    <cfRule type="duplicateValues" dxfId="194" priority="4218"/>
    <cfRule type="duplicateValues" dxfId="193" priority="4219"/>
  </conditionalFormatting>
  <conditionalFormatting sqref="A357:A358 DY357:DY358">
    <cfRule type="duplicateValues" dxfId="192" priority="4215"/>
  </conditionalFormatting>
  <conditionalFormatting sqref="A362:A363 DY362:DY363">
    <cfRule type="duplicateValues" dxfId="191" priority="8136"/>
  </conditionalFormatting>
  <conditionalFormatting sqref="BB367:BC369">
    <cfRule type="containsBlanks" dxfId="190" priority="14924">
      <formula>LEN(TRIM(BB367))=0</formula>
    </cfRule>
    <cfRule type="cellIs" dxfId="189" priority="14925" operator="equal">
      <formula>0</formula>
    </cfRule>
  </conditionalFormatting>
  <conditionalFormatting sqref="BD367:BE369">
    <cfRule type="containsBlanks" dxfId="188" priority="14922">
      <formula>LEN(TRIM(BD367))=0</formula>
    </cfRule>
    <cfRule type="cellIs" dxfId="187" priority="14923" operator="equal">
      <formula>0</formula>
    </cfRule>
  </conditionalFormatting>
  <conditionalFormatting sqref="BD371:BE371 BD380:BE380 BD377:BE377">
    <cfRule type="containsBlanks" dxfId="186" priority="14914">
      <formula>LEN(TRIM(BD371))=0</formula>
    </cfRule>
    <cfRule type="cellIs" dxfId="185" priority="14915" operator="equal">
      <formula>0</formula>
    </cfRule>
  </conditionalFormatting>
  <conditionalFormatting sqref="A372:A376 DY372:DY376">
    <cfRule type="duplicateValues" dxfId="184" priority="7044"/>
    <cfRule type="duplicateValues" dxfId="183" priority="7045"/>
    <cfRule type="duplicateValues" dxfId="182" priority="7046"/>
  </conditionalFormatting>
  <conditionalFormatting sqref="A378 DY378">
    <cfRule type="duplicateValues" dxfId="181" priority="4921"/>
    <cfRule type="duplicateValues" dxfId="180" priority="4922"/>
    <cfRule type="duplicateValues" dxfId="179" priority="4923"/>
  </conditionalFormatting>
  <conditionalFormatting sqref="A743:A1048576 A740 A381:A387 A414:A423 A409 A394:A395">
    <cfRule type="duplicateValues" dxfId="178" priority="123109"/>
  </conditionalFormatting>
  <conditionalFormatting sqref="A396:A398 A402:A404 A400">
    <cfRule type="duplicateValues" dxfId="177" priority="35879"/>
  </conditionalFormatting>
  <conditionalFormatting sqref="A408 DY408">
    <cfRule type="duplicateValues" dxfId="176" priority="6510"/>
    <cfRule type="duplicateValues" dxfId="175" priority="6512"/>
  </conditionalFormatting>
  <conditionalFormatting sqref="A410:A413 DY410:DY413">
    <cfRule type="duplicateValues" dxfId="174" priority="6502"/>
    <cfRule type="duplicateValues" dxfId="173" priority="6504"/>
  </conditionalFormatting>
  <conditionalFormatting sqref="A426 DY426 DY424">
    <cfRule type="duplicateValues" dxfId="172" priority="6439"/>
  </conditionalFormatting>
  <conditionalFormatting sqref="A424:A426 DY424:DY426">
    <cfRule type="duplicateValues" dxfId="171" priority="6441"/>
  </conditionalFormatting>
  <conditionalFormatting sqref="A426 DY426">
    <cfRule type="duplicateValues" dxfId="170" priority="6440"/>
  </conditionalFormatting>
  <conditionalFormatting sqref="A427:A432 DY427:DY432">
    <cfRule type="duplicateValues" dxfId="169" priority="6430"/>
  </conditionalFormatting>
  <conditionalFormatting sqref="DY427 DY429">
    <cfRule type="duplicateValues" dxfId="168" priority="6427"/>
    <cfRule type="duplicateValues" dxfId="167" priority="6428"/>
    <cfRule type="duplicateValues" dxfId="166" priority="6429"/>
  </conditionalFormatting>
  <conditionalFormatting sqref="A435 DY435 DY433">
    <cfRule type="duplicateValues" dxfId="165" priority="6418"/>
  </conditionalFormatting>
  <conditionalFormatting sqref="A433:A435 DY433:DY435">
    <cfRule type="duplicateValues" dxfId="164" priority="6420"/>
  </conditionalFormatting>
  <conditionalFormatting sqref="A435 DY435">
    <cfRule type="duplicateValues" dxfId="163" priority="6419"/>
  </conditionalFormatting>
  <conditionalFormatting sqref="A436:A441 DY436:DY441">
    <cfRule type="duplicateValues" dxfId="162" priority="6409"/>
  </conditionalFormatting>
  <conditionalFormatting sqref="DY436 DY438">
    <cfRule type="duplicateValues" dxfId="161" priority="6406"/>
    <cfRule type="duplicateValues" dxfId="160" priority="6407"/>
    <cfRule type="duplicateValues" dxfId="159" priority="6408"/>
  </conditionalFormatting>
  <conditionalFormatting sqref="A442:A443 DY442:DY443">
    <cfRule type="duplicateValues" dxfId="158" priority="6426"/>
  </conditionalFormatting>
  <conditionalFormatting sqref="DY445:DY446 DY448">
    <cfRule type="duplicateValues" dxfId="157" priority="3843"/>
  </conditionalFormatting>
  <conditionalFormatting sqref="A451:A453 DY449:DY453">
    <cfRule type="duplicateValues" dxfId="156" priority="3842"/>
  </conditionalFormatting>
  <conditionalFormatting sqref="AB451 AB453">
    <cfRule type="duplicateValues" dxfId="155" priority="3840"/>
    <cfRule type="duplicateValues" dxfId="154" priority="3841"/>
  </conditionalFormatting>
  <conditionalFormatting sqref="A454:A457 DY454:DY457">
    <cfRule type="duplicateValues" dxfId="153" priority="3839"/>
  </conditionalFormatting>
  <conditionalFormatting sqref="A457 DY457 DY454:DY455">
    <cfRule type="duplicateValues" dxfId="152" priority="3838"/>
  </conditionalFormatting>
  <conditionalFormatting sqref="A458:A461 DY458:DY461">
    <cfRule type="duplicateValues" dxfId="151" priority="3836"/>
  </conditionalFormatting>
  <conditionalFormatting sqref="A461 DY461 DY458:DY459">
    <cfRule type="duplicateValues" dxfId="150" priority="3835"/>
  </conditionalFormatting>
  <conditionalFormatting sqref="A461 DY461">
    <cfRule type="duplicateValues" dxfId="149" priority="3834"/>
  </conditionalFormatting>
  <conditionalFormatting sqref="A465 DY465 DY462:DY463">
    <cfRule type="duplicateValues" dxfId="148" priority="3833"/>
  </conditionalFormatting>
  <conditionalFormatting sqref="A462:A465 DY462:DY465">
    <cfRule type="duplicateValues" dxfId="147" priority="3832"/>
  </conditionalFormatting>
  <conditionalFormatting sqref="A465 DY465">
    <cfRule type="duplicateValues" dxfId="146" priority="3831"/>
  </conditionalFormatting>
  <conditionalFormatting sqref="A468:A470 DY466:DY470">
    <cfRule type="duplicateValues" dxfId="145" priority="3830"/>
  </conditionalFormatting>
  <conditionalFormatting sqref="AB468 AB470">
    <cfRule type="duplicateValues" dxfId="144" priority="2265"/>
    <cfRule type="duplicateValues" dxfId="143" priority="2266"/>
  </conditionalFormatting>
  <conditionalFormatting sqref="A474 DY474 DY471:DY472">
    <cfRule type="duplicateValues" dxfId="142" priority="3828"/>
  </conditionalFormatting>
  <conditionalFormatting sqref="A474 DY474">
    <cfRule type="duplicateValues" dxfId="141" priority="3827"/>
  </conditionalFormatting>
  <conditionalFormatting sqref="A478 DY478 DY475:DY476">
    <cfRule type="duplicateValues" dxfId="140" priority="3825"/>
  </conditionalFormatting>
  <conditionalFormatting sqref="A478 DY478">
    <cfRule type="duplicateValues" dxfId="139" priority="3824"/>
  </conditionalFormatting>
  <conditionalFormatting sqref="A479:A482 DY479:DY482">
    <cfRule type="duplicateValues" dxfId="138" priority="3823"/>
  </conditionalFormatting>
  <conditionalFormatting sqref="A482 DY482 DY479:DY480">
    <cfRule type="duplicateValues" dxfId="137" priority="3822"/>
  </conditionalFormatting>
  <conditionalFormatting sqref="A482 DY482">
    <cfRule type="duplicateValues" dxfId="136" priority="3821"/>
  </conditionalFormatting>
  <conditionalFormatting sqref="A485:A487 DY483:DY487">
    <cfRule type="duplicateValues" dxfId="135" priority="3820"/>
  </conditionalFormatting>
  <conditionalFormatting sqref="AB485 AB487">
    <cfRule type="duplicateValues" dxfId="134" priority="3818"/>
    <cfRule type="duplicateValues" dxfId="133" priority="3819"/>
  </conditionalFormatting>
  <conditionalFormatting sqref="A490 DY490 DY488">
    <cfRule type="duplicateValues" dxfId="132" priority="3817"/>
  </conditionalFormatting>
  <conditionalFormatting sqref="A488:A490 DY488:DY490">
    <cfRule type="duplicateValues" dxfId="131" priority="3816"/>
  </conditionalFormatting>
  <conditionalFormatting sqref="A490 DY490">
    <cfRule type="duplicateValues" dxfId="130" priority="3815"/>
  </conditionalFormatting>
  <conditionalFormatting sqref="A494 DY494 DY491:DY492">
    <cfRule type="duplicateValues" dxfId="129" priority="3814"/>
  </conditionalFormatting>
  <conditionalFormatting sqref="A491:A494 DY491:DY494">
    <cfRule type="duplicateValues" dxfId="128" priority="3813"/>
  </conditionalFormatting>
  <conditionalFormatting sqref="A494 DY494">
    <cfRule type="duplicateValues" dxfId="127" priority="3812"/>
  </conditionalFormatting>
  <conditionalFormatting sqref="A495:A500 A525 DY525 DY495:DY500">
    <cfRule type="duplicateValues" dxfId="126" priority="3023"/>
  </conditionalFormatting>
  <conditionalFormatting sqref="DY495 DY497">
    <cfRule type="duplicateValues" dxfId="125" priority="3021"/>
    <cfRule type="duplicateValues" dxfId="124" priority="3022"/>
    <cfRule type="duplicateValues" dxfId="123" priority="3024"/>
  </conditionalFormatting>
  <conditionalFormatting sqref="A503 DY503 DY501">
    <cfRule type="duplicateValues" dxfId="122" priority="2346"/>
  </conditionalFormatting>
  <conditionalFormatting sqref="A501:A503 DY501:DY503">
    <cfRule type="duplicateValues" dxfId="121" priority="2345"/>
  </conditionalFormatting>
  <conditionalFormatting sqref="A503 DY503">
    <cfRule type="duplicateValues" dxfId="120" priority="2344"/>
  </conditionalFormatting>
  <conditionalFormatting sqref="A507 DY507 DY504:DY505">
    <cfRule type="duplicateValues" dxfId="119" priority="2343"/>
  </conditionalFormatting>
  <conditionalFormatting sqref="A504:A507 DY504:DY507">
    <cfRule type="duplicateValues" dxfId="118" priority="2342"/>
  </conditionalFormatting>
  <conditionalFormatting sqref="A507 DY507">
    <cfRule type="duplicateValues" dxfId="117" priority="2341"/>
  </conditionalFormatting>
  <conditionalFormatting sqref="A508:A511 A520:A524 DY520:DY524 DY508:DY511">
    <cfRule type="duplicateValues" dxfId="116" priority="2330"/>
  </conditionalFormatting>
  <conditionalFormatting sqref="A511 A520:A524 DY520:DY524 DY511 DY508:DY509">
    <cfRule type="duplicateValues" dxfId="115" priority="2329"/>
  </conditionalFormatting>
  <conditionalFormatting sqref="AB510:AB511 AB520:AB524">
    <cfRule type="duplicateValues" dxfId="114" priority="2334"/>
  </conditionalFormatting>
  <conditionalFormatting sqref="A511 A520:A524 DY520:DY524 DY511">
    <cfRule type="duplicateValues" dxfId="113" priority="2328"/>
  </conditionalFormatting>
  <conditionalFormatting sqref="B511 B520:B524">
    <cfRule type="duplicateValues" dxfId="112" priority="2337"/>
  </conditionalFormatting>
  <conditionalFormatting sqref="DB511 DB520:DB524">
    <cfRule type="duplicateValues" dxfId="111" priority="2335"/>
    <cfRule type="duplicateValues" dxfId="110" priority="2336"/>
  </conditionalFormatting>
  <conditionalFormatting sqref="A515 DY515 DY512:DY513">
    <cfRule type="duplicateValues" dxfId="109" priority="2318"/>
  </conditionalFormatting>
  <conditionalFormatting sqref="A512:A515 DY512:DY515">
    <cfRule type="duplicateValues" dxfId="108" priority="2317"/>
  </conditionalFormatting>
  <conditionalFormatting sqref="A515 DY515">
    <cfRule type="duplicateValues" dxfId="107" priority="2316"/>
  </conditionalFormatting>
  <conditionalFormatting sqref="DY516:DY517 DY519">
    <cfRule type="duplicateValues" dxfId="106" priority="2301"/>
  </conditionalFormatting>
  <conditionalFormatting sqref="A526:A528 A580:A582 A574:A576 A556:A558 A550:A552 A532:A534">
    <cfRule type="duplicateValues" dxfId="105" priority="3809"/>
    <cfRule type="duplicateValues" dxfId="104" priority="3810"/>
    <cfRule type="duplicateValues" dxfId="103" priority="3811"/>
  </conditionalFormatting>
  <conditionalFormatting sqref="A529:A531 A535:A537">
    <cfRule type="duplicateValues" dxfId="102" priority="3806"/>
    <cfRule type="duplicateValues" dxfId="101" priority="3807"/>
    <cfRule type="duplicateValues" dxfId="100" priority="3808"/>
  </conditionalFormatting>
  <conditionalFormatting sqref="A538:A540 A568:A570 A562:A564 A544:A546">
    <cfRule type="duplicateValues" dxfId="99" priority="3803"/>
    <cfRule type="duplicateValues" dxfId="98" priority="3804"/>
    <cfRule type="duplicateValues" dxfId="97" priority="3805"/>
  </conditionalFormatting>
  <conditionalFormatting sqref="A541:A543 A547:A549">
    <cfRule type="duplicateValues" dxfId="96" priority="3800"/>
    <cfRule type="duplicateValues" dxfId="95" priority="3801"/>
    <cfRule type="duplicateValues" dxfId="94" priority="3802"/>
  </conditionalFormatting>
  <conditionalFormatting sqref="A553:A555 A559:A561">
    <cfRule type="duplicateValues" dxfId="93" priority="3794"/>
    <cfRule type="duplicateValues" dxfId="92" priority="3795"/>
    <cfRule type="duplicateValues" dxfId="91" priority="3796"/>
  </conditionalFormatting>
  <conditionalFormatting sqref="A565:A567 A571:A573">
    <cfRule type="duplicateValues" dxfId="90" priority="3791"/>
    <cfRule type="duplicateValues" dxfId="89" priority="3792"/>
    <cfRule type="duplicateValues" dxfId="88" priority="3793"/>
  </conditionalFormatting>
  <conditionalFormatting sqref="A577:A579 A583:A585">
    <cfRule type="duplicateValues" dxfId="87" priority="3788"/>
    <cfRule type="duplicateValues" dxfId="86" priority="3789"/>
    <cfRule type="duplicateValues" dxfId="85" priority="3790"/>
  </conditionalFormatting>
  <conditionalFormatting sqref="A586:A588 A592:A594">
    <cfRule type="duplicateValues" dxfId="84" priority="3785"/>
    <cfRule type="duplicateValues" dxfId="83" priority="3786"/>
    <cfRule type="duplicateValues" dxfId="82" priority="3787"/>
  </conditionalFormatting>
  <conditionalFormatting sqref="A589:A591 A595:A597">
    <cfRule type="duplicateValues" dxfId="81" priority="3782"/>
    <cfRule type="duplicateValues" dxfId="80" priority="3783"/>
    <cfRule type="duplicateValues" dxfId="79" priority="3784"/>
  </conditionalFormatting>
  <conditionalFormatting sqref="A598:A600 A604:A606">
    <cfRule type="duplicateValues" dxfId="78" priority="3779"/>
    <cfRule type="duplicateValues" dxfId="77" priority="3780"/>
    <cfRule type="duplicateValues" dxfId="76" priority="3781"/>
  </conditionalFormatting>
  <conditionalFormatting sqref="A601:A603 A607:A609">
    <cfRule type="duplicateValues" dxfId="75" priority="3776"/>
    <cfRule type="duplicateValues" dxfId="74" priority="3777"/>
    <cfRule type="duplicateValues" dxfId="73" priority="3778"/>
  </conditionalFormatting>
  <conditionalFormatting sqref="A610:A612 A616:A618">
    <cfRule type="duplicateValues" dxfId="72" priority="3773"/>
    <cfRule type="duplicateValues" dxfId="71" priority="3774"/>
    <cfRule type="duplicateValues" dxfId="70" priority="3775"/>
  </conditionalFormatting>
  <conditionalFormatting sqref="A613:A615 A619:A621">
    <cfRule type="duplicateValues" dxfId="69" priority="3770"/>
    <cfRule type="duplicateValues" dxfId="68" priority="3771"/>
    <cfRule type="duplicateValues" dxfId="67" priority="3772"/>
  </conditionalFormatting>
  <conditionalFormatting sqref="A622:A624 A628:A630">
    <cfRule type="duplicateValues" dxfId="66" priority="3767"/>
    <cfRule type="duplicateValues" dxfId="65" priority="3768"/>
    <cfRule type="duplicateValues" dxfId="64" priority="3769"/>
  </conditionalFormatting>
  <conditionalFormatting sqref="A625:A627 A631:A633">
    <cfRule type="duplicateValues" dxfId="63" priority="3764"/>
    <cfRule type="duplicateValues" dxfId="62" priority="3765"/>
    <cfRule type="duplicateValues" dxfId="61" priority="3766"/>
  </conditionalFormatting>
  <conditionalFormatting sqref="A634:A636 A640:A642">
    <cfRule type="duplicateValues" dxfId="60" priority="3761"/>
    <cfRule type="duplicateValues" dxfId="59" priority="3762"/>
    <cfRule type="duplicateValues" dxfId="58" priority="3763"/>
  </conditionalFormatting>
  <conditionalFormatting sqref="A637:A639 A643:A645">
    <cfRule type="duplicateValues" dxfId="57" priority="3758"/>
    <cfRule type="duplicateValues" dxfId="56" priority="3759"/>
    <cfRule type="duplicateValues" dxfId="55" priority="3760"/>
  </conditionalFormatting>
  <conditionalFormatting sqref="A646:A648 A652:A654">
    <cfRule type="duplicateValues" dxfId="54" priority="3755"/>
    <cfRule type="duplicateValues" dxfId="53" priority="3756"/>
    <cfRule type="duplicateValues" dxfId="52" priority="3757"/>
  </conditionalFormatting>
  <conditionalFormatting sqref="A649:A651 A655:A657">
    <cfRule type="duplicateValues" dxfId="51" priority="3752"/>
    <cfRule type="duplicateValues" dxfId="50" priority="3753"/>
    <cfRule type="duplicateValues" dxfId="49" priority="3754"/>
  </conditionalFormatting>
  <conditionalFormatting sqref="A658:A660 A664:A666">
    <cfRule type="duplicateValues" dxfId="48" priority="3749"/>
    <cfRule type="duplicateValues" dxfId="47" priority="3750"/>
    <cfRule type="duplicateValues" dxfId="46" priority="3751"/>
  </conditionalFormatting>
  <conditionalFormatting sqref="A661:A663 A667:A668">
    <cfRule type="duplicateValues" dxfId="45" priority="3746"/>
    <cfRule type="duplicateValues" dxfId="44" priority="3747"/>
    <cfRule type="duplicateValues" dxfId="43" priority="3748"/>
  </conditionalFormatting>
  <conditionalFormatting sqref="A670:A672 A677:A678">
    <cfRule type="duplicateValues" dxfId="42" priority="2799"/>
    <cfRule type="duplicateValues" dxfId="41" priority="2800"/>
    <cfRule type="duplicateValues" dxfId="40" priority="2801"/>
  </conditionalFormatting>
  <conditionalFormatting sqref="A673:A675 A680:A681">
    <cfRule type="duplicateValues" dxfId="39" priority="2796"/>
    <cfRule type="duplicateValues" dxfId="38" priority="2797"/>
    <cfRule type="duplicateValues" dxfId="37" priority="2798"/>
  </conditionalFormatting>
  <conditionalFormatting sqref="A683:A684 A689:A690">
    <cfRule type="duplicateValues" dxfId="36" priority="2793"/>
    <cfRule type="duplicateValues" dxfId="35" priority="2794"/>
    <cfRule type="duplicateValues" dxfId="34" priority="2795"/>
  </conditionalFormatting>
  <conditionalFormatting sqref="A686:A687 A692">
    <cfRule type="duplicateValues" dxfId="33" priority="2790"/>
    <cfRule type="duplicateValues" dxfId="32" priority="2791"/>
    <cfRule type="duplicateValues" dxfId="31" priority="2792"/>
  </conditionalFormatting>
  <conditionalFormatting sqref="A695:A697 DZ694:DZ697">
    <cfRule type="duplicateValues" dxfId="30" priority="56"/>
  </conditionalFormatting>
  <conditionalFormatting sqref="DK705:DN705 DK706:DP706">
    <cfRule type="cellIs" dxfId="29" priority="79" stopIfTrue="1" operator="notEqual">
      <formula>INDIRECT("Dummy_for_Comparison2!"&amp;ADDRESS(ROW(),COLUMN()))</formula>
    </cfRule>
  </conditionalFormatting>
  <conditionalFormatting sqref="A706 DY706">
    <cfRule type="duplicateValues" dxfId="28" priority="86"/>
  </conditionalFormatting>
  <conditionalFormatting sqref="A712:A723">
    <cfRule type="duplicateValues" dxfId="27" priority="123183"/>
    <cfRule type="duplicateValues" dxfId="26" priority="123184"/>
    <cfRule type="duplicateValues" dxfId="25" priority="123185"/>
  </conditionalFormatting>
  <conditionalFormatting sqref="A707:A708">
    <cfRule type="duplicateValues" dxfId="24" priority="39"/>
    <cfRule type="duplicateValues" dxfId="23" priority="40"/>
    <cfRule type="duplicateValues" dxfId="22" priority="41"/>
    <cfRule type="duplicateValues" dxfId="21" priority="42"/>
  </conditionalFormatting>
  <conditionalFormatting sqref="A709:A711">
    <cfRule type="duplicateValues" dxfId="20" priority="43"/>
    <cfRule type="duplicateValues" dxfId="19" priority="44"/>
    <cfRule type="duplicateValues" dxfId="18" priority="45"/>
  </conditionalFormatting>
  <conditionalFormatting sqref="B739">
    <cfRule type="duplicateValues" dxfId="17" priority="27"/>
  </conditionalFormatting>
  <conditionalFormatting sqref="AB731:AB734">
    <cfRule type="duplicateValues" dxfId="16" priority="16"/>
  </conditionalFormatting>
  <conditionalFormatting sqref="AB735:AB738">
    <cfRule type="duplicateValues" dxfId="15" priority="15"/>
  </conditionalFormatting>
  <conditionalFormatting sqref="A724:A739">
    <cfRule type="duplicateValues" dxfId="14" priority="123511"/>
    <cfRule type="duplicateValues" dxfId="13" priority="123512"/>
    <cfRule type="duplicateValues" dxfId="12" priority="123513"/>
  </conditionalFormatting>
  <conditionalFormatting sqref="A724:A739">
    <cfRule type="duplicateValues" dxfId="11" priority="123517"/>
  </conditionalFormatting>
  <conditionalFormatting sqref="AC724:AC726">
    <cfRule type="duplicateValues" dxfId="10" priority="123519"/>
    <cfRule type="duplicateValues" dxfId="9" priority="123520"/>
  </conditionalFormatting>
  <conditionalFormatting sqref="EB739">
    <cfRule type="duplicateValues" dxfId="8" priority="123578"/>
  </conditionalFormatting>
  <conditionalFormatting sqref="AB739:AB740">
    <cfRule type="duplicateValues" dxfId="7" priority="123579"/>
    <cfRule type="duplicateValues" dxfId="6" priority="123580"/>
    <cfRule type="duplicateValues" dxfId="5" priority="123581"/>
  </conditionalFormatting>
  <conditionalFormatting sqref="AB739:AB740">
    <cfRule type="duplicateValues" dxfId="4" priority="123585"/>
  </conditionalFormatting>
  <conditionalFormatting sqref="A741:A742">
    <cfRule type="duplicateValues" dxfId="3" priority="4"/>
  </conditionalFormatting>
  <conditionalFormatting sqref="A742">
    <cfRule type="duplicateValues" dxfId="2" priority="3"/>
  </conditionalFormatting>
  <conditionalFormatting sqref="AB741">
    <cfRule type="duplicateValues" dxfId="1" priority="2"/>
  </conditionalFormatting>
  <conditionalFormatting sqref="AB742">
    <cfRule type="duplicateValues" dxfId="0" priority="1"/>
  </conditionalFormatting>
  <dataValidations count="2">
    <dataValidation type="list" showInputMessage="1" showErrorMessage="1" sqref="Q42 Q48 Q50 Q64 Q74 Q84 Q139 Q148 Q157 Q166 Q175 Q184 Q193 Q202 Q211 Q220 Q229 Q238 Q247 Q256 Q265 Q377 Q378:S378 CH379 Q695 Q1:Q3 Q5:Q9 Q16:Q17 Q52:Q55 Q60:Q61 Q66:Q70 Q77:Q80 Q94:Q130 Q274:Q277 Q280:Q281 Q283:Q284 Q289:Q290 Q292:Q293 Q298:Q299 Q301:Q302 Q307:Q308 Q310:Q311 Q316:Q317 Q319:Q320 Q325:Q326 Q328:Q329 Q334:Q335 Q337:Q338 Q343:Q344 Q346:Q347 Q350:Q351 Q354:Q355 Q357:Q358 Q366:Q371 Q380:Q398 Q400:Q409 Q411:Q494 Q501:Q524 Q526:Q692 Q702:Q703 V699:W701 Q372:S376 Q706:Q738 Q740:Q1048576" xr:uid="{00000000-0002-0000-0100-000000000000}">
      <formula1>"主动技,追击技,指挥技,被动技,主将技"</formula1>
    </dataValidation>
    <dataValidation showInputMessage="1" showErrorMessage="1" sqref="Q410" xr:uid="{00000000-0002-0000-0100-000001000000}"/>
  </dataValidations>
  <pageMargins left="0.69930555555555596" right="0.69930555555555596" top="0.75" bottom="0.75" header="0.3" footer="0.3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#enumHelper</vt:lpstr>
      <vt:lpstr>英雄战斗技能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scottxiao(肖志键)</dc:creator>
  <cp:lastModifiedBy>T183684</cp:lastModifiedBy>
  <dcterms:created xsi:type="dcterms:W3CDTF">2006-09-16T00:00:00Z</dcterms:created>
  <dcterms:modified xsi:type="dcterms:W3CDTF">2025-01-21T09:02:10Z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mmondata">
    <vt:lpwstr>eyJoZGlkIjoiNzYzZjBkYzU4YjViZTJjMDQwYjI2OWMxODE1MTAxNTAifQ==</vt:lpwstr>
  </property>
  <property fmtid="{D5CDD505-2E9C-101B-9397-08002B2CF9AE}" pid="3" name="ICV">
    <vt:lpwstr>57842436D1E44B4C94324659818496A0</vt:lpwstr>
  </property>
  <property fmtid="{D5CDD505-2E9C-101B-9397-08002B2CF9AE}" pid="4" name="KSOProductBuildVer">
    <vt:lpwstr>2052-12.1.0.16929</vt:lpwstr>
  </property>
  <property fmtid="{D5CDD505-2E9C-101B-9397-08002B2CF9AE}" pid="5" name="KSOReadingLayout">
    <vt:bool>true</vt:bool>
  </property>
</Properties>
</file>