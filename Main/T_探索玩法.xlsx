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T3\common\excel\xls\Main\"/>
    </mc:Choice>
  </mc:AlternateContent>
  <xr:revisionPtr revIDLastSave="0" documentId="13_ncr:1_{03335E5D-C8FC-4DAF-A0ED-39860D1B799E}" xr6:coauthVersionLast="47" xr6:coauthVersionMax="47" xr10:uidLastSave="{00000000-0000-0000-0000-000000000000}"/>
  <bookViews>
    <workbookView xWindow="-110" yWindow="-110" windowWidth="38620" windowHeight="21220" firstSheet="1" activeTab="1" xr2:uid="{00000000-000D-0000-FFFF-FFFF00000000}"/>
  </bookViews>
  <sheets>
    <sheet name="探索等级" sheetId="6" r:id="rId1"/>
    <sheet name="探索事件" sheetId="5" r:id="rId2"/>
    <sheet name="等级-事件池" sheetId="12" r:id="rId3"/>
    <sheet name="探索品质" sheetId="8" r:id="rId4"/>
    <sheet name="大地图实体等级配置" sheetId="10" r:id="rId5"/>
    <sheet name="委任玩法" sheetId="11" r:id="rId6"/>
    <sheet name="文案表" sheetId="7" r:id="rId7"/>
    <sheet name="对话文案表" sheetId="9" r:id="rId8"/>
    <sheet name="杂项表" sheetId="1" r:id="rId9"/>
    <sheet name="特殊事件" sheetId="14" r:id="rId10"/>
    <sheet name="#备注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12" l="1"/>
  <c r="D143" i="12"/>
  <c r="C143" i="12"/>
  <c r="C142" i="12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O21" i="5"/>
  <c r="D141" i="12"/>
  <c r="C141" i="12"/>
  <c r="D140" i="12"/>
  <c r="C140" i="12"/>
  <c r="D139" i="12"/>
  <c r="C139" i="12"/>
  <c r="D138" i="12"/>
  <c r="C138" i="12"/>
  <c r="O15" i="5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4" i="10"/>
  <c r="O12" i="5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M350" i="11"/>
  <c r="O14" i="5" s="1"/>
  <c r="M348" i="11"/>
  <c r="L52" i="11"/>
  <c r="O16" i="5" s="1"/>
  <c r="L25" i="11"/>
  <c r="O18" i="5" s="1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O13" i="5" l="1"/>
  <c r="O19" i="5"/>
  <c r="O17" i="5"/>
</calcChain>
</file>

<file path=xl/sharedStrings.xml><?xml version="1.0" encoding="utf-8"?>
<sst xmlns="http://schemas.openxmlformats.org/spreadsheetml/2006/main" count="4969" uniqueCount="1165">
  <si>
    <t>探索等级</t>
  </si>
  <si>
    <t>条件关联</t>
  </si>
  <si>
    <t>满足条件则升级</t>
  </si>
  <si>
    <t>刷新半径(&lt;100)</t>
  </si>
  <si>
    <t>事件数量</t>
  </si>
  <si>
    <t>每日新增数量到槽位</t>
  </si>
  <si>
    <t>槽位数量</t>
  </si>
  <si>
    <t>是否展示特效</t>
  </si>
  <si>
    <t>缩放比例</t>
  </si>
  <si>
    <t>显示数量-宝箱</t>
  </si>
  <si>
    <t>显示数量-战斗</t>
  </si>
  <si>
    <t>显示数量-委任</t>
  </si>
  <si>
    <t>显示数量-对话</t>
  </si>
  <si>
    <t>level</t>
  </si>
  <si>
    <t>levelUpConditionGroup.conditionRelation</t>
  </si>
  <si>
    <t>levelUpConditionGroup.condition.condOneOf</t>
  </si>
  <si>
    <t>eventBornRadiusMin</t>
  </si>
  <si>
    <t>eventBornRadiusMax</t>
  </si>
  <si>
    <t>eventLimit</t>
  </si>
  <si>
    <t>refreshNumber</t>
  </si>
  <si>
    <t>slotNumber</t>
  </si>
  <si>
    <t>showEffect</t>
  </si>
  <si>
    <t>uiSize</t>
  </si>
  <si>
    <t>eventShowNumLimit[1]</t>
  </si>
  <si>
    <t>eventShowNumLimit[2]</t>
  </si>
  <si>
    <t>eventShowNumLimit[3]</t>
  </si>
  <si>
    <t>eventShowNumLimit[4]</t>
  </si>
  <si>
    <t>条件与</t>
  </si>
  <si>
    <t>explorationFinishCount{count:1}</t>
  </si>
  <si>
    <t>explorationFinishCount{count:2}</t>
  </si>
  <si>
    <t>explorationFinishCount{count:3}</t>
  </si>
  <si>
    <t>explorationFinishCount{count:6}</t>
  </si>
  <si>
    <t>explorationFinishCount{count:20}</t>
  </si>
  <si>
    <t>explorationFinishCount{count:30}</t>
  </si>
  <si>
    <t>explorationFinishCount{count:40}</t>
  </si>
  <si>
    <t>explorationFinishCount{count:50}</t>
  </si>
  <si>
    <t>explorationFinishCount{count:60}</t>
  </si>
  <si>
    <t>explorationFinishCount{count:70}</t>
  </si>
  <si>
    <t>explorationFinishCount{count:80}</t>
  </si>
  <si>
    <t>explorationFinishCount{count:90}</t>
  </si>
  <si>
    <t>explorationFinishCount{count:100}</t>
  </si>
  <si>
    <t>explorationFinishCount{count:110}</t>
  </si>
  <si>
    <t>explorationFinishCount{count:120}</t>
  </si>
  <si>
    <t>explorationFinishCount{count:130}</t>
  </si>
  <si>
    <t>explorationFinishCount{count:140}</t>
  </si>
  <si>
    <t>explorationFinishCount{count:150}</t>
  </si>
  <si>
    <t>explorationFinishCount{count:160}</t>
  </si>
  <si>
    <t>事件id</t>
  </si>
  <si>
    <t>备注</t>
  </si>
  <si>
    <r>
      <rPr>
        <b/>
        <sz val="8"/>
        <color rgb="FFFFFFFF"/>
        <rFont val="微软雅黑"/>
        <family val="2"/>
        <charset val="134"/>
      </rPr>
      <t xml:space="preserve">quality
</t>
    </r>
    <r>
      <rPr>
        <b/>
        <sz val="8"/>
        <color theme="1"/>
        <rFont val="微软雅黑"/>
        <family val="2"/>
        <charset val="134"/>
      </rPr>
      <t>ExplorationEventQuality</t>
    </r>
  </si>
  <si>
    <t>文案id</t>
  </si>
  <si>
    <t>玩法类型</t>
  </si>
  <si>
    <t>是否自动接取任务</t>
  </si>
  <si>
    <t>是否需要侦查</t>
  </si>
  <si>
    <t>事件描述</t>
  </si>
  <si>
    <t>体力消耗
(野怪配置在野怪表)</t>
  </si>
  <si>
    <t>自动领奖</t>
  </si>
  <si>
    <t>是否需要选择奖励</t>
  </si>
  <si>
    <t>奖励id
选择奖励是数组,否则只发放第一个</t>
  </si>
  <si>
    <t>任务过期时间(小时)</t>
  </si>
  <si>
    <t>扩展字段Id--配合eventType玩法类型使用,关联其他配置表</t>
  </si>
  <si>
    <t>扩展字段</t>
  </si>
  <si>
    <t>id</t>
  </si>
  <si>
    <t>quality</t>
  </si>
  <si>
    <t>descId</t>
  </si>
  <si>
    <t>eventType</t>
  </si>
  <si>
    <t>autoAccept</t>
  </si>
  <si>
    <t>needDetect</t>
  </si>
  <si>
    <t>desc</t>
  </si>
  <si>
    <t>staminaCost</t>
  </si>
  <si>
    <t>autoReward</t>
  </si>
  <si>
    <t>needChooseReward</t>
  </si>
  <si>
    <t>rewardId[;]</t>
  </si>
  <si>
    <t>expireTimeHour</t>
  </si>
  <si>
    <t>extraId</t>
  </si>
  <si>
    <t>extra[;]</t>
  </si>
  <si>
    <t>测试-对话-1000</t>
  </si>
  <si>
    <t>白</t>
  </si>
  <si>
    <t>对话</t>
  </si>
  <si>
    <t>test_dec</t>
  </si>
  <si>
    <t>6636101;6636111</t>
  </si>
  <si>
    <t>测试-对话-1001</t>
  </si>
  <si>
    <t>绿</t>
  </si>
  <si>
    <t>6636102;6636112</t>
  </si>
  <si>
    <t>测试-对话-1003</t>
  </si>
  <si>
    <t>蓝</t>
  </si>
  <si>
    <t>6636103;6636113</t>
  </si>
  <si>
    <t>测试-对话-1004</t>
  </si>
  <si>
    <t>紫</t>
  </si>
  <si>
    <t>6636104;6636114</t>
  </si>
  <si>
    <t>测试-对话-1005</t>
  </si>
  <si>
    <t>橙</t>
  </si>
  <si>
    <t>6636105;6636115</t>
  </si>
  <si>
    <t>测试-委托英雄-2000</t>
  </si>
  <si>
    <t>委任</t>
  </si>
  <si>
    <t>6636201</t>
  </si>
  <si>
    <t>31001;31002;31003;31004;31005;31006;31007;31008;31009</t>
  </si>
  <si>
    <t>测试-委托英雄-2001</t>
  </si>
  <si>
    <t>测试-委托英雄-2002</t>
  </si>
  <si>
    <t>测试-委托英雄-2003</t>
  </si>
  <si>
    <t>测试-委托英雄-2004</t>
  </si>
  <si>
    <t>测试-委托英雄-2005</t>
  </si>
  <si>
    <t>测试-委托英雄-2006</t>
  </si>
  <si>
    <t>测试-委托英雄-2007</t>
  </si>
  <si>
    <t>测试-委托英雄-2008</t>
  </si>
  <si>
    <t>测试-委托英雄-2009</t>
  </si>
  <si>
    <t>测试-委托英雄</t>
  </si>
  <si>
    <t>测试-大地图野怪-3000</t>
  </si>
  <si>
    <t>大地图战斗</t>
  </si>
  <si>
    <t>TID_AdventureEventRandomDescConfData_1004_preSurveyContent_CN_Main</t>
  </si>
  <si>
    <t>6636301</t>
  </si>
  <si>
    <t>测试-大地图野怪-3001</t>
  </si>
  <si>
    <t>TID_AdventureEventRandomDescConfData_1006_preSurveyContent_CN_Main</t>
  </si>
  <si>
    <t>测试-大地图野怪-3002</t>
  </si>
  <si>
    <t>6636302</t>
  </si>
  <si>
    <t>测试-大地图野怪-3003</t>
  </si>
  <si>
    <t>测试-大地图野怪-3004</t>
  </si>
  <si>
    <t>测试-大地图野怪-3005</t>
  </si>
  <si>
    <t>测试-大地图野怪-3501</t>
  </si>
  <si>
    <t>TID_AdventureEventRandomDescConfData_1009_preSurveyContent_CN_Main</t>
  </si>
  <si>
    <t>测试-大地图野怪-3502</t>
  </si>
  <si>
    <t>TID_BountyTaskPoolConfData_21001_taskDesc_CN_Main</t>
  </si>
  <si>
    <t>测试-大地图野怪-3503</t>
  </si>
  <si>
    <t>TID_BountyTaskPoolConfData_21004_taskDesc_CN_Main</t>
  </si>
  <si>
    <t>测试-大地图宝箱-4000</t>
  </si>
  <si>
    <t>大地图探索</t>
  </si>
  <si>
    <t>TID_AdventureEventRandomDescConfData_3000001_preSurveyContent_CN_Main</t>
  </si>
  <si>
    <t>6636401</t>
  </si>
  <si>
    <t>测试-大地图宝箱-4001</t>
  </si>
  <si>
    <t>TID_AdventureEventRandomDescConfData_3000002_preSurveyContent_CN_Main</t>
  </si>
  <si>
    <t>测试-大地图宝箱-4004</t>
  </si>
  <si>
    <t>TID_AdventureEventRandomDescConfData_3000001_text2_CN_Main</t>
  </si>
  <si>
    <t>测试-大地图宝箱-4005</t>
  </si>
  <si>
    <t>TID_AdventureEventRandomDescConfData_3000001_text3_CN_Main</t>
  </si>
  <si>
    <t>测试-大地图宝箱-4008</t>
  </si>
  <si>
    <t>TID_AdventureEventRandomDescConfData_3000002_afterSurveyContent_CN_Main</t>
  </si>
  <si>
    <t>测试-大地图野怪-100001</t>
  </si>
  <si>
    <t>特殊事件</t>
  </si>
  <si>
    <t>测试-大地图野怪-100002</t>
  </si>
  <si>
    <t>测试-大地图野怪-100003</t>
  </si>
  <si>
    <t>测试-大地图野怪-100004</t>
  </si>
  <si>
    <t>测试-大地图野怪-100005</t>
  </si>
  <si>
    <t>测试-大地图野怪-100006</t>
  </si>
  <si>
    <t>测试-大地图野怪-100007</t>
  </si>
  <si>
    <t>测试-大地图野怪-100008</t>
  </si>
  <si>
    <t>测试-大地图野怪-100009</t>
  </si>
  <si>
    <t>测试-大地图野怪-100010</t>
  </si>
  <si>
    <t>测试-大地图野怪-100011</t>
  </si>
  <si>
    <t>测试-大地图野怪-100012</t>
  </si>
  <si>
    <t>测试-大地图野怪-100013</t>
  </si>
  <si>
    <t>测试-大地图野怪-100014</t>
  </si>
  <si>
    <t>测试-大地图野怪-100015</t>
  </si>
  <si>
    <t>测试-大地图野怪-100016</t>
  </si>
  <si>
    <t>测试-大地图野怪-100017</t>
  </si>
  <si>
    <t>测试-大地图野怪-100018</t>
  </si>
  <si>
    <t>测试-大地图野怪-100019</t>
  </si>
  <si>
    <t>测试-大地图野怪-100020</t>
  </si>
  <si>
    <t>测试-大地图野怪-100021</t>
  </si>
  <si>
    <t>测试-大地图野怪-100022</t>
  </si>
  <si>
    <t>测试-大地图野怪-100023</t>
  </si>
  <si>
    <t>测试-大地图野怪-100024</t>
  </si>
  <si>
    <t>测试-大地图野怪-100025</t>
  </si>
  <si>
    <t>测试-大地图野怪-100026</t>
  </si>
  <si>
    <t>测试-大地图野怪-100027</t>
  </si>
  <si>
    <t>测试-大地图野怪-100028</t>
  </si>
  <si>
    <t>测试-大地图野怪-100029</t>
  </si>
  <si>
    <t>测试-大地图野怪-100030</t>
  </si>
  <si>
    <t>测试-大地图野怪-100031</t>
  </si>
  <si>
    <t>测试-大地图野怪-100032</t>
  </si>
  <si>
    <t>测试-大地图野怪-100033</t>
  </si>
  <si>
    <t>测试-大地图野怪-100034</t>
  </si>
  <si>
    <t>测试-大地图野怪-100035</t>
  </si>
  <si>
    <t>测试-大地图野怪-100036</t>
  </si>
  <si>
    <t>测试-大地图野怪-100037</t>
  </si>
  <si>
    <t>测试-大地图野怪-100038</t>
  </si>
  <si>
    <t>测试-大地图野怪-100039</t>
  </si>
  <si>
    <t>测试-大地图野怪-100040</t>
  </si>
  <si>
    <t>测试-大地图野怪-100041</t>
  </si>
  <si>
    <t>测试-大地图野怪-100042</t>
  </si>
  <si>
    <t>测试-大地图野怪-100043</t>
  </si>
  <si>
    <t>测试-大地图野怪-100044</t>
  </si>
  <si>
    <t>测试-大地图野怪-100045</t>
  </si>
  <si>
    <t>测试-大地图野怪-100046</t>
  </si>
  <si>
    <t>测试-大地图野怪-100047</t>
  </si>
  <si>
    <t>测试-大地图野怪-100048</t>
  </si>
  <si>
    <t>测试-大地图野怪-100049</t>
  </si>
  <si>
    <t>测试-大地图野怪-100050</t>
  </si>
  <si>
    <t>测试-大地图野怪-100051</t>
  </si>
  <si>
    <t>测试-大地图野怪-100052</t>
  </si>
  <si>
    <t>测试-大地图野怪-100053</t>
  </si>
  <si>
    <t>测试-大地图野怪-100054</t>
  </si>
  <si>
    <t>测试-大地图野怪-100055</t>
  </si>
  <si>
    <t>测试-大地图野怪-100056</t>
  </si>
  <si>
    <t>测试-大地图野怪-100057</t>
  </si>
  <si>
    <t>测试-大地图野怪-100058</t>
  </si>
  <si>
    <t>测试-大地图野怪-100059</t>
  </si>
  <si>
    <t>测试-大地图野怪-100060</t>
  </si>
  <si>
    <t>测试-大地图野怪-100061</t>
  </si>
  <si>
    <t>测试-大地图野怪-100062</t>
  </si>
  <si>
    <t>测试-大地图野怪-100063</t>
  </si>
  <si>
    <t>测试-大地图野怪-100064</t>
  </si>
  <si>
    <t>测试-大地图野怪-100065</t>
  </si>
  <si>
    <t>测试-大地图野怪-100066</t>
  </si>
  <si>
    <t>测试-大地图野怪-100067</t>
  </si>
  <si>
    <t>测试-大地图野怪-100068</t>
  </si>
  <si>
    <t>测试-大地图野怪-100069</t>
  </si>
  <si>
    <t>测试-大地图野怪-100070</t>
  </si>
  <si>
    <t>测试-大地图野怪-100071</t>
  </si>
  <si>
    <t>测试-大地图野怪-100072</t>
  </si>
  <si>
    <t>测试-大地图野怪-100073</t>
  </si>
  <si>
    <t>测试-大地图野怪-100074</t>
  </si>
  <si>
    <t>测试-大地图野怪-100075</t>
  </si>
  <si>
    <t>测试-大地图野怪-100076</t>
  </si>
  <si>
    <t>测试-大地图野怪-100077</t>
  </si>
  <si>
    <t>测试-大地图野怪-100078</t>
  </si>
  <si>
    <t>测试-大地图野怪-100079</t>
  </si>
  <si>
    <t>测试-大地图野怪-100080</t>
  </si>
  <si>
    <t>测试-大地图野怪-100081</t>
  </si>
  <si>
    <t>测试-大地图野怪-100082</t>
  </si>
  <si>
    <t>测试-大地图野怪-100083</t>
  </si>
  <si>
    <t>测试-大地图野怪-100084</t>
  </si>
  <si>
    <t>测试-大地图野怪-100085</t>
  </si>
  <si>
    <t>测试-大地图野怪-100086</t>
  </si>
  <si>
    <t>测试-大地图野怪-100087</t>
  </si>
  <si>
    <t>测试-大地图野怪-100088</t>
  </si>
  <si>
    <t>测试-大地图野怪-100089</t>
  </si>
  <si>
    <t>测试-大地图野怪-100090</t>
  </si>
  <si>
    <t>测试-大地图野怪-100091</t>
  </si>
  <si>
    <t>测试-大地图野怪-100092</t>
  </si>
  <si>
    <t>测试-大地图野怪-100093</t>
  </si>
  <si>
    <t>测试-大地图野怪-100094</t>
  </si>
  <si>
    <t>测试-大地图野怪-100095</t>
  </si>
  <si>
    <t>测试-大地图野怪-100096</t>
  </si>
  <si>
    <t>测试-大地图野怪-100097</t>
  </si>
  <si>
    <t>测试-大地图野怪-100098</t>
  </si>
  <si>
    <t>测试-大地图野怪-100099</t>
  </si>
  <si>
    <t>测试-大地图野怪-100100</t>
  </si>
  <si>
    <t>测试-大地图野怪-100101</t>
  </si>
  <si>
    <t>测试-大地图野怪-100102</t>
  </si>
  <si>
    <t>测试-大地图野怪-100103</t>
  </si>
  <si>
    <t>测试-大地图野怪-100104</t>
  </si>
  <si>
    <t>测试-大地图野怪-100105</t>
  </si>
  <si>
    <t>测试-大地图野怪-100106</t>
  </si>
  <si>
    <t>测试-大地图野怪-100107</t>
  </si>
  <si>
    <t>测试-大地图野怪-100108</t>
  </si>
  <si>
    <t>测试-大地图野怪-100109</t>
  </si>
  <si>
    <t>测试-大地图野怪-100110</t>
  </si>
  <si>
    <t>测试-大地图野怪-100111</t>
  </si>
  <si>
    <t>测试-大地图野怪-100112</t>
  </si>
  <si>
    <t>测试-大地图野怪-100113</t>
  </si>
  <si>
    <t>测试-大地图野怪-100114</t>
  </si>
  <si>
    <t>测试-大地图野怪-100115</t>
  </si>
  <si>
    <t>测试-大地图野怪-100116</t>
  </si>
  <si>
    <t>测试-大地图野怪-100117</t>
  </si>
  <si>
    <t>测试-大地图野怪-100118</t>
  </si>
  <si>
    <t>测试-大地图野怪-100119</t>
  </si>
  <si>
    <t>测试-大地图野怪-100120</t>
  </si>
  <si>
    <t>测试-大地图野怪-100121</t>
  </si>
  <si>
    <t>测试-大地图野怪-100122</t>
  </si>
  <si>
    <t>测试-大地图野怪-100123</t>
  </si>
  <si>
    <t>测试-大地图野怪-100124</t>
  </si>
  <si>
    <t>测试-大地图野怪-100125</t>
  </si>
  <si>
    <t>测试-大地图野怪-100126</t>
  </si>
  <si>
    <t>测试-大地图野怪-100127</t>
  </si>
  <si>
    <t>测试-大地图野怪-100128</t>
  </si>
  <si>
    <t>测试-大地图野怪-100129</t>
  </si>
  <si>
    <t>测试-大地图野怪-100130</t>
  </si>
  <si>
    <t>测试-大地图野怪-100131</t>
  </si>
  <si>
    <t>测试-大地图野怪-100132</t>
  </si>
  <si>
    <t>测试-大地图野怪-100133</t>
  </si>
  <si>
    <t>测试-大地图野怪-100134</t>
  </si>
  <si>
    <t>测试-大地图野怪-100135</t>
  </si>
  <si>
    <t>测试-大地图野怪-100136</t>
  </si>
  <si>
    <t>测试-大地图野怪-100137</t>
  </si>
  <si>
    <t>测试-大地图野怪-100138</t>
  </si>
  <si>
    <t>测试-大地图野怪-100139</t>
  </si>
  <si>
    <t>测试-大地图野怪-100140</t>
  </si>
  <si>
    <t>测试-大地图野怪-100141</t>
  </si>
  <si>
    <t>测试-大地图野怪-100142</t>
  </si>
  <si>
    <t>测试-大地图野怪-100143</t>
  </si>
  <si>
    <t>测试-大地图野怪-100144</t>
  </si>
  <si>
    <t>测试-大地图野怪-100145</t>
  </si>
  <si>
    <t>测试-大地图野怪-100146</t>
  </si>
  <si>
    <t>测试-大地图野怪-100147</t>
  </si>
  <si>
    <t>测试-大地图野怪-100148</t>
  </si>
  <si>
    <t>测试-大地图野怪-100149</t>
  </si>
  <si>
    <t>测试-大地图野怪-100150</t>
  </si>
  <si>
    <t>测试-大地图野怪-100151</t>
  </si>
  <si>
    <t>测试-大地图野怪-100152</t>
  </si>
  <si>
    <t>测试-大地图野怪-100153</t>
  </si>
  <si>
    <t>测试-大地图野怪-100154</t>
  </si>
  <si>
    <t>测试-大地图野怪-100155</t>
  </si>
  <si>
    <t>测试-大地图野怪-100156</t>
  </si>
  <si>
    <t>测试-大地图野怪-100157</t>
  </si>
  <si>
    <t>测试-大地图野怪-100158</t>
  </si>
  <si>
    <t>测试-大地图野怪-100159</t>
  </si>
  <si>
    <t>测试-大地图野怪-100160</t>
  </si>
  <si>
    <t>测试-大地图野怪-100161</t>
  </si>
  <si>
    <t>测试-大地图野怪-100162</t>
  </si>
  <si>
    <t>测试-大地图野怪-100163</t>
  </si>
  <si>
    <t>测试-大地图野怪-100164</t>
  </si>
  <si>
    <t>测试-大地图野怪-100165</t>
  </si>
  <si>
    <t>测试-大地图野怪-100166</t>
  </si>
  <si>
    <t>测试-大地图野怪-100167</t>
  </si>
  <si>
    <t>测试-大地图野怪-100168</t>
  </si>
  <si>
    <t>测试-大地图野怪-100169</t>
  </si>
  <si>
    <t>测试-大地图野怪-100170</t>
  </si>
  <si>
    <t>测试-大地图野怪-100171</t>
  </si>
  <si>
    <t>测试-大地图野怪-100172</t>
  </si>
  <si>
    <t>测试-大地图野怪-100173</t>
  </si>
  <si>
    <t>测试-大地图野怪-100174</t>
  </si>
  <si>
    <t>测试-大地图野怪-100175</t>
  </si>
  <si>
    <t>测试-大地图野怪-100176</t>
  </si>
  <si>
    <t>测试-大地图野怪-100177</t>
  </si>
  <si>
    <t>测试-大地图野怪-100178</t>
  </si>
  <si>
    <t>测试-大地图野怪-100179</t>
  </si>
  <si>
    <t>测试-大地图野怪-100180</t>
  </si>
  <si>
    <t>测试-大地图野怪-100181</t>
  </si>
  <si>
    <t>测试-大地图野怪-100182</t>
  </si>
  <si>
    <t>测试-大地图野怪-100183</t>
  </si>
  <si>
    <t>测试-大地图野怪-100184</t>
  </si>
  <si>
    <t>测试-大地图野怪-100185</t>
  </si>
  <si>
    <t>测试-大地图野怪-100186</t>
  </si>
  <si>
    <t>测试-大地图野怪-100187</t>
  </si>
  <si>
    <t>测试-大地图野怪-100188</t>
  </si>
  <si>
    <t>测试-大地图野怪-100189</t>
  </si>
  <si>
    <t>测试-大地图野怪-100190</t>
  </si>
  <si>
    <t>测试-大地图野怪-100191</t>
  </si>
  <si>
    <t>测试-大地图野怪-100192</t>
  </si>
  <si>
    <t>测试-大地图野怪-100193</t>
  </si>
  <si>
    <t>测试-大地图野怪-100194</t>
  </si>
  <si>
    <t>测试-大地图野怪-100195</t>
  </si>
  <si>
    <t>测试-大地图野怪-100196</t>
  </si>
  <si>
    <t>测试-大地图野怪-100197</t>
  </si>
  <si>
    <t>测试-大地图野怪-100198</t>
  </si>
  <si>
    <t>测试-大地图野怪-100199</t>
  </si>
  <si>
    <t>测试-大地图野怪-100200</t>
  </si>
  <si>
    <t>测试-大地图野怪-100201</t>
  </si>
  <si>
    <t>测试-大地图野怪-100202</t>
  </si>
  <si>
    <t>测试-大地图野怪-100203</t>
  </si>
  <si>
    <t>测试-大地图野怪-100204</t>
  </si>
  <si>
    <t>测试-大地图野怪-100205</t>
  </si>
  <si>
    <t>测试-大地图野怪-100206</t>
  </si>
  <si>
    <t>测试-大地图野怪-100207</t>
  </si>
  <si>
    <t>测试-大地图野怪-100208</t>
  </si>
  <si>
    <t>测试-大地图野怪-100209</t>
  </si>
  <si>
    <t>测试-大地图野怪-100210</t>
  </si>
  <si>
    <t>测试-大地图野怪-100211</t>
  </si>
  <si>
    <t>测试-大地图野怪-100212</t>
  </si>
  <si>
    <t>测试-大地图野怪-100213</t>
  </si>
  <si>
    <t>测试-大地图野怪-100214</t>
  </si>
  <si>
    <t>测试-大地图野怪-100215</t>
  </si>
  <si>
    <t>测试-大地图野怪-100216</t>
  </si>
  <si>
    <t>测试-大地图野怪-100217</t>
  </si>
  <si>
    <t>测试-大地图野怪-100218</t>
  </si>
  <si>
    <t>测试-大地图野怪-100219</t>
  </si>
  <si>
    <t>测试-大地图野怪-100220</t>
  </si>
  <si>
    <t>测试-大地图野怪-100221</t>
  </si>
  <si>
    <t>测试-大地图野怪-100222</t>
  </si>
  <si>
    <t>测试-大地图野怪-100223</t>
  </si>
  <si>
    <t>测试-大地图野怪-100224</t>
  </si>
  <si>
    <t>测试-大地图野怪-100225</t>
  </si>
  <si>
    <t>测试-大地图野怪-100226</t>
  </si>
  <si>
    <t>测试-大地图野怪-100227</t>
  </si>
  <si>
    <t>convert(ResExploration.proto, table_ExplorationLevelRefreshConf,  ExplorationLevelRefreshConfData.pbin)</t>
  </si>
  <si>
    <t>探索等级(x~)</t>
  </si>
  <si>
    <t>品质关联(关联)</t>
  </si>
  <si>
    <t>类型关联</t>
  </si>
  <si>
    <t>权重数值</t>
  </si>
  <si>
    <t>一次最多刷新的数量</t>
  </si>
  <si>
    <t>refreshWeight.eventId</t>
  </si>
  <si>
    <t>refreshWeight.weight</t>
  </si>
  <si>
    <t>refreshWeight.numberLimit</t>
  </si>
  <si>
    <t xml:space="preserve"> </t>
  </si>
  <si>
    <t>convert(ResExploration.proto, table_ExplorationQualityConf,  ExplorationQualityConf.pbin)</t>
  </si>
  <si>
    <t>品质等级</t>
  </si>
  <si>
    <t>qualityUpConditionGroup.conditionRelation</t>
  </si>
  <si>
    <t>qualityUpConditionGroup.condition.condOneOf</t>
  </si>
  <si>
    <t>buildingLevelUp{buildingType:201,buildingLevel:1}</t>
  </si>
  <si>
    <t>buildingLevelUp{buildingType:201,buildingLevel:5}</t>
  </si>
  <si>
    <t>buildingLevelUp{buildingType:201,buildingLevel:8}</t>
  </si>
  <si>
    <t>buildingLevelUp{buildingType:201,buildingLevel:12}</t>
  </si>
  <si>
    <t>buildingLevelUp{buildingType:201,buildingLevel:16}</t>
  </si>
  <si>
    <t>convert(ResExploration.proto, table_ExplorationBigMapEntityLevelConf,  ExplorationBigMapEntityLevelConf.pbin)</t>
  </si>
  <si>
    <t>怪物强度</t>
  </si>
  <si>
    <t>类型</t>
  </si>
  <si>
    <t>野外怪物id</t>
  </si>
  <si>
    <t>entityType</t>
  </si>
  <si>
    <t>monsterIds[;]</t>
  </si>
  <si>
    <t>qualityUpConditionGroup.condition[1].condOneOf</t>
  </si>
  <si>
    <t>野怪</t>
  </si>
  <si>
    <t>2300101;2300102;2300103;2300104</t>
  </si>
  <si>
    <t>2300201;2300202;2300203;2300204</t>
  </si>
  <si>
    <t>2300301;2300302;2300303;2300304</t>
  </si>
  <si>
    <t>2300401;2300402;2300403;2300404</t>
  </si>
  <si>
    <t>2300501;2300502;2300503;2300504</t>
  </si>
  <si>
    <t>2300601;2300602;2300603;2300604</t>
  </si>
  <si>
    <t>2300701;2300702;2300703;2300704</t>
  </si>
  <si>
    <t>2300801;2300802;2300803;2300804</t>
  </si>
  <si>
    <t>2300901;2300902;2300903;2300904</t>
  </si>
  <si>
    <t>2301001;2301002;2301003;2301004</t>
  </si>
  <si>
    <t>2301101;2301102;2301103;2301104</t>
  </si>
  <si>
    <t>2301201;2301202;2301203;2301204</t>
  </si>
  <si>
    <t>2301301;2301302;2301303;2301304</t>
  </si>
  <si>
    <t>2301401;2301402;2301403;2301404</t>
  </si>
  <si>
    <t>2301501;2301502;2301503;2301504</t>
  </si>
  <si>
    <t>2301601;2301602;2301603;2301604</t>
  </si>
  <si>
    <t>2301701;2301702;2301703;2301704</t>
  </si>
  <si>
    <t>2301801;2301802;2301803;2301804</t>
  </si>
  <si>
    <t>2301901;2301902;2301903;2301904</t>
  </si>
  <si>
    <t>2302001;2302002;2302003;2302004</t>
  </si>
  <si>
    <t>convert(ResExploration.proto, table_ExplorationHeroAppointConf,  ExplorationHeroAppointConfData.pbin)</t>
  </si>
  <si>
    <t>ID</t>
  </si>
  <si>
    <t>派遣人数</t>
  </si>
  <si>
    <t>派遣时间(单位S)</t>
  </si>
  <si>
    <t>派遣需求</t>
  </si>
  <si>
    <t>派遣需求参数1</t>
  </si>
  <si>
    <t>派遣需求参数2</t>
  </si>
  <si>
    <t>派遣英雄描述</t>
  </si>
  <si>
    <t>dispatchInfo.dispatchHeroNum</t>
  </si>
  <si>
    <t>dispatchInfo.dispatchNeedTime</t>
  </si>
  <si>
    <t>dispatchInfo.dispatchArg.argType</t>
  </si>
  <si>
    <t>dispatchInfo.dispatchArg.parameters1</t>
  </si>
  <si>
    <t>dispatchInfo.dispatchArg.parameters2</t>
  </si>
  <si>
    <t>dispatchInfo.dispatchHeroDescs</t>
  </si>
  <si>
    <t>英雄等级</t>
  </si>
  <si>
    <t>argInt2:3</t>
  </si>
  <si>
    <t>TID_BountyTaskPoolConfData_11001_dispatchHeroDescs_CN_Main</t>
  </si>
  <si>
    <t>兵种标签</t>
  </si>
  <si>
    <t>argSoldierType1:SNV_Spearman</t>
  </si>
  <si>
    <t>argInt2:2</t>
  </si>
  <si>
    <t>TID_BountyTaskPoolConfData_11001_dispatchHeroDescs_532318218660_CN_Main</t>
  </si>
  <si>
    <t>战斗风格</t>
  </si>
  <si>
    <t>argHeroBattleStyle1:HBS_Bravery</t>
  </si>
  <si>
    <t>TID_BountyTaskPoolConfData_11001_dispatchHeroDescs_838312066024_CN_Main</t>
  </si>
  <si>
    <t>argSoldierType1:SNV_Bowman</t>
  </si>
  <si>
    <t>TID_BountyTaskPoolConfData_11002_dispatchHeroDescs_493476557234_CN_Main</t>
  </si>
  <si>
    <t>argSoldierType1:SNV_Cavalry</t>
  </si>
  <si>
    <t>TID_BountyTaskPoolConfData_11003_dispatchHeroDescs_701841893877_CN_Main</t>
  </si>
  <si>
    <t>argSoldierType1:SNV_Swordsman</t>
  </si>
  <si>
    <t>TID_BountyTaskPoolConfData_11004_dispatchHeroDescs_365669573143_CN_Main</t>
  </si>
  <si>
    <t>argInt1:25</t>
  </si>
  <si>
    <t>argHeroBattleStyle1:HBS_Strategy</t>
  </si>
  <si>
    <t>TID_BountyTaskPoolConfData_11201_dispatchHeroDescs_692964721701_CN_Main</t>
  </si>
  <si>
    <t>argInt1:20</t>
  </si>
  <si>
    <t>TID_BountyTaskPoolConfData_12001_dispatchHeroDescs_CN_Main</t>
  </si>
  <si>
    <t>argHeroBattleStyle1:HBS_Dominate</t>
  </si>
  <si>
    <t>TID_BountyTaskPoolConfData_11101_dispatchHeroDescs_822798998292_CN_Main</t>
  </si>
  <si>
    <t>TID_BountyTaskPoolConfData_13001_dispatchHeroDescs_CN_Main</t>
  </si>
  <si>
    <t>argInt2:1</t>
  </si>
  <si>
    <t>TID_BountyTaskPoolConfData_13001_dispatchHeroDescs_135208585025_CN_Main</t>
  </si>
  <si>
    <t>TID_BountyTaskPoolConfData_1001_dispatchHeroDescs_1097575443259_CN_Main</t>
  </si>
  <si>
    <t>TID_BountyTaskPoolConfData_1001_dispatchHeroDescs_460336474102_CN_Main</t>
  </si>
  <si>
    <t>TID_BountyTaskPoolConfData_13003_dispatchHeroDescs_840279378860_CN_Main</t>
  </si>
  <si>
    <t>TID_BountyTaskPoolConfData_13004_dispatchHeroDescs_745829231036_CN_Main</t>
  </si>
  <si>
    <t>TID_BountyTaskPoolConfData_13101_dispatchHeroDescs_493680145971_CN_Main</t>
  </si>
  <si>
    <t>TID_BountyTaskPoolConfData_14001_dispatchHeroDescs_CN_Main</t>
  </si>
  <si>
    <t>TID_BountyTaskPoolConfData_31001_dispatchHeroDescs_CN_Main</t>
  </si>
  <si>
    <t>convert(ResExploration.proto,table_ExplorationEventDescConf, ExplorationEventDescConf.pbin)</t>
  </si>
  <si>
    <t>匹配类型</t>
  </si>
  <si>
    <t>建筑配图</t>
  </si>
  <si>
    <t>NPC配图</t>
  </si>
  <si>
    <t>调查前名称</t>
  </si>
  <si>
    <t>调查前正文</t>
  </si>
  <si>
    <t>事后名称</t>
  </si>
  <si>
    <t>调查后正文</t>
  </si>
  <si>
    <t>事后选项文本1</t>
  </si>
  <si>
    <t>事后选项文本2</t>
  </si>
  <si>
    <t>事后选项文本3</t>
  </si>
  <si>
    <t>subType</t>
  </si>
  <si>
    <t>buildingIcon</t>
  </si>
  <si>
    <t>npcIcon</t>
  </si>
  <si>
    <t>preSurveyName</t>
  </si>
  <si>
    <t>preSurveyContent</t>
  </si>
  <si>
    <t>afterSurveyName</t>
  </si>
  <si>
    <t>afterSurveyContent</t>
  </si>
  <si>
    <t>text1</t>
  </si>
  <si>
    <t>text2</t>
  </si>
  <si>
    <t>text3</t>
  </si>
  <si>
    <t>adventure_event12</t>
  </si>
  <si>
    <t>chara_college_1</t>
  </si>
  <si>
    <t>TID_AdventureEventRandomDescConfData_3000001_afterSurveyName_CN_Main</t>
  </si>
  <si>
    <t>TID_AdventureEventRandomDescConfData_1001_afterSurveyName_CN_Main</t>
  </si>
  <si>
    <t>TID_AdventureEventRandomDescConfData_1001_afterSurveyContent_CN_Main</t>
  </si>
  <si>
    <t>TID_AdventureEventRandomDescConfData_1001_text1_CN_Main</t>
  </si>
  <si>
    <t>TID_AdventureEventRandomDescConfData_3000001_text1_CN_Main</t>
  </si>
  <si>
    <t>TID_AdventureEventRandomDescConfData_1002_afterSurveyName_CN_Main</t>
  </si>
  <si>
    <t>TID_AdventureEventRandomDescConfData_1002_afterSurveyContent_CN_Main</t>
  </si>
  <si>
    <t>TID_AdventureEventRandomDescConfData_1002_text1_CN_Main</t>
  </si>
  <si>
    <t>adventure_event4</t>
  </si>
  <si>
    <t>TID_ShowGetData_89_title_CN_Main</t>
  </si>
  <si>
    <t>TID_DialogNewbieFogWarGuide_1</t>
  </si>
  <si>
    <t>TID_RaidMarchConf_30009_desc_CN_Main</t>
  </si>
  <si>
    <t>TID_DialogNewbieFogWarGuide_2</t>
  </si>
  <si>
    <t>adventure_event1</t>
  </si>
  <si>
    <t>adventure_event2</t>
  </si>
  <si>
    <t>TID_AdventureEventRandomDescConfData_1005_afterSurveyName_CN_Main</t>
  </si>
  <si>
    <t>TID_AdventureEventRandomDescConfData_1005_preSurveyContent_CN_Main</t>
  </si>
  <si>
    <t>TID_AdventureEventRandomDescConfData_1001_preSurveyContent_CN_Main</t>
  </si>
  <si>
    <t>adventure_event3</t>
  </si>
  <si>
    <t>TID_AdventureEventRandomDescConfData_1014_afterSurveyName_CN_Main</t>
  </si>
  <si>
    <t>TID_AdventureEventRandomDescConfData_1014_preSurveyContent_CN_Main</t>
  </si>
  <si>
    <t>TID_BountyTaskPoolConfData_11002_taskName_CN_Main</t>
  </si>
  <si>
    <t>TID_BountyTaskPoolConfData_11002_taskDesc_CN_Main</t>
  </si>
  <si>
    <t>TID_AdventureEventRandomDescConfData_1013_afterSurveyName_CN_Main</t>
  </si>
  <si>
    <t>TID_BountyTaskPoolConfData_24013_taskDesc_CN_Main</t>
  </si>
  <si>
    <t>adventure_event5</t>
  </si>
  <si>
    <t>TID_BountyTaskPoolConfData_11003_taskName_CN_Main</t>
  </si>
  <si>
    <t>TID_BountyTaskPoolConfData_11003_taskDesc_CN_Main</t>
  </si>
  <si>
    <t>TID_BountyTaskPoolConfData_11001_taskName_CN_Main</t>
  </si>
  <si>
    <t>TID_BountyTaskPoolConfData_11001_taskDesc_CN_Main</t>
  </si>
  <si>
    <t>TID_BountyTaskPoolConfData_24009_taskDesc_CN_Main</t>
  </si>
  <si>
    <t>convert(ResExploration.proto,table_ExplorationDialogConf,ExplorationDialogConf.pbin)</t>
  </si>
  <si>
    <t>对话id</t>
  </si>
  <si>
    <t>道具数目</t>
  </si>
  <si>
    <t>左边人物spine</t>
  </si>
  <si>
    <t>右边人物spine</t>
  </si>
  <si>
    <t>左边的人名</t>
  </si>
  <si>
    <t>右边的人名</t>
  </si>
  <si>
    <t>左边的spine缩放</t>
  </si>
  <si>
    <t>右边的spine缩放</t>
  </si>
  <si>
    <t>左边的spine位置</t>
  </si>
  <si>
    <t>右边的spine位置</t>
  </si>
  <si>
    <t>对话人物</t>
  </si>
  <si>
    <t>内容</t>
  </si>
  <si>
    <t>按钮一的内容</t>
  </si>
  <si>
    <t>按钮二的内容</t>
  </si>
  <si>
    <t>data.num</t>
  </si>
  <si>
    <t>data.roleSpine1</t>
  </si>
  <si>
    <t>data.roleSpine2</t>
  </si>
  <si>
    <t>data.name1</t>
  </si>
  <si>
    <t>data.name2</t>
  </si>
  <si>
    <t>data.scale1[|]</t>
  </si>
  <si>
    <t>data.scale2[|]</t>
  </si>
  <si>
    <t>data.pos1[|]</t>
  </si>
  <si>
    <t>data.pos2[|]</t>
  </si>
  <si>
    <t>data.roleIndex</t>
  </si>
  <si>
    <t>data.text</t>
  </si>
  <si>
    <t>data.btnText1</t>
  </si>
  <si>
    <t>data.btnText2</t>
  </si>
  <si>
    <t>boss/p_celebrity_FN_BOSS</t>
  </si>
  <si>
    <t>TID_CelebrityDialogConf_14101_name2_CN_Main</t>
  </si>
  <si>
    <t>175|175|100</t>
  </si>
  <si>
    <t>3000|-45000|0</t>
  </si>
  <si>
    <t>李芊岚</t>
  </si>
  <si>
    <t>顾烟</t>
  </si>
  <si>
    <t>翟黎</t>
  </si>
  <si>
    <t>伊丽莎白</t>
  </si>
  <si>
    <t>娜娜丽</t>
  </si>
  <si>
    <t>亚基</t>
  </si>
  <si>
    <t>密克安哲</t>
  </si>
  <si>
    <t>方选</t>
  </si>
  <si>
    <t>任行之</t>
  </si>
  <si>
    <t>列奥那</t>
  </si>
  <si>
    <t>秦粤</t>
  </si>
  <si>
    <t>convertTrans(ResExploration.proto,table_ExplorationMiscConf,ExplorationMiscConf.pbin)</t>
  </si>
  <si>
    <t>配置项</t>
  </si>
  <si>
    <t>定时刷新开始时间（小时）</t>
  </si>
  <si>
    <t>refreshStartHour</t>
  </si>
  <si>
    <t>定时刷新开始间隔（小时）</t>
  </si>
  <si>
    <t>refreshIntervalHour</t>
  </si>
  <si>
    <t>事件位置刷新半径</t>
  </si>
  <si>
    <t>worldPointRadius</t>
  </si>
  <si>
    <t>每天刷新特殊事件个数</t>
  </si>
  <si>
    <t>refreshSpecialEventCount</t>
  </si>
  <si>
    <t>convert(ResExploration.proto,table_ExplorationSpecialConfig,ExplorationSpecialConfigData.pbin)</t>
  </si>
  <si>
    <t>特殊事件id</t>
  </si>
  <si>
    <t>事件ID</t>
  </si>
  <si>
    <t>eventId</t>
  </si>
  <si>
    <t>conditionGroup.condition.condOneOf</t>
  </si>
  <si>
    <t>monsterIds </t>
  </si>
  <si>
    <t>explorationFinishEvent{eventId:100001,count:1}</t>
  </si>
  <si>
    <t>explorationFinishEvent{eventId:100002,count:1}</t>
  </si>
  <si>
    <t>explorationFinishEvent{eventId:100003,count:1}</t>
  </si>
  <si>
    <t>explorationFinishEvent{eventId:100004,count:1}</t>
  </si>
  <si>
    <t>explorationFinishEvent{eventId:100005,count:1}</t>
  </si>
  <si>
    <t>explorationFinishEvent{eventId:100006,count:1}</t>
  </si>
  <si>
    <r>
      <rPr>
        <i/>
        <sz val="11.3"/>
        <color rgb="FF008000"/>
        <rFont val="JetBrains Mono"/>
        <family val="1"/>
      </rPr>
      <t xml:space="preserve">// </t>
    </r>
    <r>
      <rPr>
        <i/>
        <sz val="11.3"/>
        <color rgb="FF008000"/>
        <rFont val="微软雅黑"/>
        <family val="2"/>
        <charset val="134"/>
      </rPr>
      <t>探索玩法扩展交互类型</t>
    </r>
  </si>
  <si>
    <r>
      <rPr>
        <sz val="11.5"/>
        <color rgb="FF0033B3"/>
        <rFont val="JetBrains Mono"/>
        <family val="1"/>
      </rPr>
      <t xml:space="preserve">enum </t>
    </r>
    <r>
      <rPr>
        <sz val="11.5"/>
        <color rgb="FF000000"/>
        <rFont val="JetBrains Mono"/>
        <family val="1"/>
      </rPr>
      <t xml:space="preserve">ExplorationEventInteractionType </t>
    </r>
    <r>
      <rPr>
        <sz val="11.5"/>
        <color rgb="FF3F9101"/>
        <rFont val="JetBrains Mono"/>
        <family val="1"/>
      </rPr>
      <t>{</t>
    </r>
    <r>
      <rPr>
        <i/>
        <sz val="11.5"/>
        <color rgb="FF008000"/>
        <rFont val="JetBrains Mono"/>
        <family val="1"/>
      </rPr>
      <t>//@useCli//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</si>
  <si>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EEIT_Delegate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0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委托交互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</t>
    </r>
    <r>
      <rPr>
        <i/>
        <sz val="11.3"/>
        <color rgb="FF008000"/>
        <rFont val="JetBrains Mono"/>
        <family val="1"/>
      </rPr>
      <t>//@useCli//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</si>
  <si>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EEIT_Map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1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大地图交互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</t>
    </r>
    <r>
      <rPr>
        <i/>
        <sz val="11.3"/>
        <color rgb="FF008000"/>
        <rFont val="JetBrains Mono"/>
        <family val="1"/>
      </rPr>
      <t>// @useCli//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</si>
  <si>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EEIT_UI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2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界面交互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</t>
    </r>
    <r>
      <rPr>
        <i/>
        <sz val="11.3"/>
        <color rgb="FF008000"/>
        <rFont val="JetBrains Mono"/>
        <family val="1"/>
      </rPr>
      <t>// @useCli// //@useSvr</t>
    </r>
  </si>
  <si>
    <r>
      <rPr>
        <sz val="11.3"/>
        <color rgb="FF3F9101"/>
        <rFont val="JetBrains Mono"/>
        <family val="1"/>
      </rPr>
      <t>}</t>
    </r>
  </si>
  <si>
    <r>
      <rPr>
        <i/>
        <sz val="11.3"/>
        <color rgb="FF008000"/>
        <rFont val="JetBrains Mono"/>
        <family val="1"/>
      </rPr>
      <t xml:space="preserve">// </t>
    </r>
    <r>
      <rPr>
        <i/>
        <sz val="11.3"/>
        <color rgb="FF008000"/>
        <rFont val="微软雅黑"/>
        <family val="2"/>
        <charset val="134"/>
      </rPr>
      <t>探索玩法扩展大地图类型</t>
    </r>
  </si>
  <si>
    <r>
      <rPr>
        <sz val="11.3"/>
        <color rgb="FF0033B3"/>
        <rFont val="JetBrains Mono"/>
        <family val="1"/>
      </rPr>
      <t xml:space="preserve">enum </t>
    </r>
    <r>
      <rPr>
        <sz val="11.3"/>
        <color rgb="FF000000"/>
        <rFont val="JetBrains Mono"/>
        <family val="1"/>
      </rPr>
      <t xml:space="preserve">ExplorationEventMapType </t>
    </r>
    <r>
      <rPr>
        <sz val="11.3"/>
        <color rgb="FF3F9101"/>
        <rFont val="JetBrains Mono"/>
        <family val="1"/>
      </rPr>
      <t>{</t>
    </r>
    <r>
      <rPr>
        <i/>
        <sz val="11.3"/>
        <color rgb="FF008000"/>
        <rFont val="JetBrains Mono"/>
        <family val="1"/>
      </rPr>
      <t>//@useCli//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</si>
  <si>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EEMT_Visible_Self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0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自己可见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</t>
    </r>
    <r>
      <rPr>
        <i/>
        <sz val="11.3"/>
        <color rgb="FF008000"/>
        <rFont val="JetBrains Mono"/>
        <family val="1"/>
      </rPr>
      <t>//@useCli//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</si>
  <si>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EEMT_Invisible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1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不可见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</t>
    </r>
    <r>
      <rPr>
        <i/>
        <sz val="11.3"/>
        <color rgb="FF008000"/>
        <rFont val="JetBrains Mono"/>
        <family val="1"/>
      </rPr>
      <t>// @useCli// //@useSvr</t>
    </r>
  </si>
  <si>
    <r>
      <rPr>
        <i/>
        <sz val="11.3"/>
        <color rgb="FF008000"/>
        <rFont val="JetBrains Mono"/>
        <family val="1"/>
      </rPr>
      <t xml:space="preserve">// </t>
    </r>
    <r>
      <rPr>
        <i/>
        <sz val="11.3"/>
        <color rgb="FF008000"/>
        <rFont val="微软雅黑"/>
        <family val="2"/>
        <charset val="134"/>
      </rPr>
      <t>品质</t>
    </r>
    <r>
      <rPr>
        <i/>
        <sz val="11.3"/>
        <color rgb="FF008000"/>
        <rFont val="JetBrains Mono"/>
        <family val="1"/>
      </rPr>
      <t>,</t>
    </r>
    <r>
      <rPr>
        <i/>
        <sz val="11.3"/>
        <color rgb="FF008000"/>
        <rFont val="微软雅黑"/>
        <family val="2"/>
        <charset val="134"/>
      </rPr>
      <t>适用于英雄，技能，圣物</t>
    </r>
  </si>
  <si>
    <r>
      <rPr>
        <sz val="11.5"/>
        <color rgb="FF0033B3"/>
        <rFont val="JetBrains Mono"/>
        <family val="1"/>
      </rPr>
      <t xml:space="preserve">enum </t>
    </r>
    <r>
      <rPr>
        <sz val="11.5"/>
        <color rgb="FF000000"/>
        <rFont val="JetBrains Mono"/>
        <family val="1"/>
      </rPr>
      <t xml:space="preserve">ExplorationEventQuality </t>
    </r>
    <r>
      <rPr>
        <sz val="11.5"/>
        <color rgb="FF3F9101"/>
        <rFont val="JetBrains Mono"/>
        <family val="1"/>
      </rPr>
      <t>{</t>
    </r>
    <r>
      <rPr>
        <i/>
        <sz val="11.5"/>
        <color rgb="FF008000"/>
        <rFont val="JetBrains Mono"/>
        <family val="1"/>
      </rPr>
      <t>//@useCli//@useCSharp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</si>
  <si>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EEQ_Unknown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>0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//@useCli//@useCSharp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</si>
  <si>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EEQ_White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1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白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//@useCli//@useCSharp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</si>
  <si>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EEQ_Green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2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绿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//@useCli//@useCSharp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</si>
  <si>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EEQ_Blue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3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蓝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//@useCli//@useCSharp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</si>
  <si>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EEQ_Purple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4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紫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//@useCli//@useCSharp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</si>
  <si>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EEQ_Orange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5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橙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//@useCli//@useCSharp 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</si>
  <si>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EEQ_MAX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>6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//@useCli//@useCSharp //@useSvr</t>
    </r>
  </si>
  <si>
    <r>
      <rPr>
        <sz val="11.3"/>
        <color rgb="FF0033B3"/>
        <rFont val="JetBrains Mono"/>
        <family val="1"/>
      </rPr>
      <t xml:space="preserve">enum </t>
    </r>
    <r>
      <rPr>
        <sz val="11.3"/>
        <color rgb="FF000000"/>
        <rFont val="JetBrains Mono"/>
        <family val="1"/>
      </rPr>
      <t xml:space="preserve">ExplorationEventType </t>
    </r>
    <r>
      <rPr>
        <sz val="11.3"/>
        <color rgb="FF3F9101"/>
        <rFont val="JetBrains Mono"/>
        <family val="1"/>
      </rPr>
      <t>{</t>
    </r>
    <r>
      <rPr>
        <i/>
        <sz val="11.3"/>
        <color rgb="FF008000"/>
        <rFont val="JetBrains Mono"/>
        <family val="1"/>
      </rPr>
      <t>//@useCli//@useSvr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</si>
  <si>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EET_None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0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无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     </t>
    </r>
    <r>
      <rPr>
        <i/>
        <sz val="11.3"/>
        <color rgb="FF008000"/>
        <rFont val="JetBrains Mono"/>
        <family val="1"/>
      </rPr>
      <t>//@useCli//@useSvr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</si>
  <si>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EET_BigSceneExplore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1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大地图探索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     </t>
    </r>
    <r>
      <rPr>
        <i/>
        <sz val="11.3"/>
        <color rgb="FF008000"/>
        <rFont val="JetBrains Mono"/>
        <family val="1"/>
      </rPr>
      <t>//@useCli//@useSvr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</si>
  <si>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EET_BigSceneBattle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2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大地图战斗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     </t>
    </r>
    <r>
      <rPr>
        <i/>
        <sz val="11.3"/>
        <color rgb="FF008000"/>
        <rFont val="JetBrains Mono"/>
        <family val="1"/>
      </rPr>
      <t>//@useCli//@useSvr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</si>
  <si>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EET_HeroAppoint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3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委任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     </t>
    </r>
    <r>
      <rPr>
        <i/>
        <sz val="11.3"/>
        <color rgb="FF008000"/>
        <rFont val="JetBrains Mono"/>
        <family val="1"/>
      </rPr>
      <t>//@useCli//@useSvr</t>
    </r>
  </si>
  <si>
    <r>
      <rPr>
        <i/>
        <sz val="11.3"/>
        <color rgb="FF008000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EET_Dialog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4 </t>
    </r>
    <r>
      <rPr>
        <sz val="11.3"/>
        <color rgb="FF3F9101"/>
        <rFont val="JetBrains Mono"/>
        <family val="1"/>
      </rPr>
      <t>[(</t>
    </r>
    <r>
      <rPr>
        <sz val="11.3"/>
        <color rgb="FF000000"/>
        <rFont val="JetBrains Mono"/>
        <family val="1"/>
      </rPr>
      <t>name</t>
    </r>
    <r>
      <rPr>
        <sz val="11.3"/>
        <color rgb="FF3F9101"/>
        <rFont val="JetBrains Mono"/>
        <family val="1"/>
      </rPr>
      <t xml:space="preserve">)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067D17"/>
        <rFont val="JetBrains Mono"/>
        <family val="1"/>
      </rPr>
      <t>"</t>
    </r>
    <r>
      <rPr>
        <sz val="11.3"/>
        <color rgb="FF067D17"/>
        <rFont val="微软雅黑"/>
        <family val="2"/>
        <charset val="134"/>
      </rPr>
      <t>对话</t>
    </r>
    <r>
      <rPr>
        <sz val="11.3"/>
        <color rgb="FF067D17"/>
        <rFont val="JetBrains Mono"/>
        <family val="1"/>
      </rPr>
      <t>"</t>
    </r>
    <r>
      <rPr>
        <sz val="11.3"/>
        <color rgb="FF3F9101"/>
        <rFont val="JetBrains Mono"/>
        <family val="1"/>
      </rPr>
      <t>]</t>
    </r>
    <r>
      <rPr>
        <sz val="11.3"/>
        <color rgb="FF080808"/>
        <rFont val="JetBrains Mono"/>
        <family val="1"/>
      </rPr>
      <t xml:space="preserve">;       </t>
    </r>
    <r>
      <rPr>
        <i/>
        <sz val="11.3"/>
        <color rgb="FF008000"/>
        <rFont val="JetBrains Mono"/>
        <family val="1"/>
      </rPr>
      <t>//@useCli//@useSvr</t>
    </r>
  </si>
  <si>
    <t>TID_BountyTaskPoolConfData_11001_dispatchHeroDescs_838312066024_CN_Main</t>
    <phoneticPr fontId="56" type="noConversion"/>
  </si>
  <si>
    <t>TID_BountyTaskPoolConfData_11001_dispatchHeroDescs_532318218660_CN_Main</t>
    <phoneticPr fontId="56" type="noConversion"/>
  </si>
  <si>
    <t>TID_BountyTaskPoolConfData_11201_dispatchHeroDescs_692964721701_CN_Main</t>
    <phoneticPr fontId="56" type="noConversion"/>
  </si>
  <si>
    <t>TID_BountyTaskPoolConfData_11101_dispatchHeroDescs_822798998292_CN_Main</t>
    <phoneticPr fontId="56" type="noConversion"/>
  </si>
  <si>
    <t>TID_BountyTaskPoolConfData_1001_dispatchHeroDescs_1097575443259_CN_Main</t>
    <phoneticPr fontId="56" type="noConversion"/>
  </si>
  <si>
    <t>argSoldierType1:SNV_Spearman</t>
    <phoneticPr fontId="56" type="noConversion"/>
  </si>
  <si>
    <t>TID_BountyTaskPoolConfData_13001_dispatchHeroDescs_135208585025_CN_Main</t>
    <phoneticPr fontId="56" type="noConversion"/>
  </si>
  <si>
    <t>TID_BountyTaskPoolConfData_1001_dispatchHeroDescs_460336474102_CN_Main</t>
    <phoneticPr fontId="56" type="noConversion"/>
  </si>
  <si>
    <t>TID_BountyTaskPoolConfData_11003_dispatchHeroDescs_701841893877_CN_Main</t>
    <phoneticPr fontId="56" type="noConversion"/>
  </si>
  <si>
    <t>argInt2:1</t>
    <phoneticPr fontId="56" type="noConversion"/>
  </si>
  <si>
    <t>TID_BountyTaskPoolConfData_31001_dispatchHeroDescs_CN_Main</t>
    <phoneticPr fontId="56" type="noConversion"/>
  </si>
  <si>
    <t>TID_BountyTaskPoolConfData_14001_dispatchHeroDescs_CN_Main</t>
    <phoneticPr fontId="56" type="noConversion"/>
  </si>
  <si>
    <t>TID_BountyTaskPoolConfData_13001_dispatchHeroDescs_CN_Main</t>
    <phoneticPr fontId="56" type="noConversion"/>
  </si>
  <si>
    <t>argInt1:15</t>
  </si>
  <si>
    <t>TID_BountyTaskPoolConfData_12001_dispatchHeroDescs_CN_Main</t>
    <phoneticPr fontId="56" type="noConversion"/>
  </si>
  <si>
    <t>TID_BountyTaskPoolConfData_11001_dispatchHeroDescs_CN_Main</t>
    <phoneticPr fontId="56" type="noConversion"/>
  </si>
  <si>
    <t>TID_BountyTaskPoolConfData_13004_dispatchHeroDescs_745829231036_CN_Main</t>
    <phoneticPr fontId="56" type="noConversion"/>
  </si>
  <si>
    <t>TID_BountyTaskPoolConfData_11002_dispatchHeroDescs_493476557234_CN_Main</t>
    <phoneticPr fontId="56" type="noConversion"/>
  </si>
  <si>
    <t>TID_BountyTaskPoolConfData_11004_dispatchHeroDescs_365669573143_CN_Main</t>
    <phoneticPr fontId="56" type="noConversion"/>
  </si>
  <si>
    <t>argInt1:5</t>
    <phoneticPr fontId="56" type="noConversion"/>
  </si>
  <si>
    <t>argInt1:10</t>
  </si>
  <si>
    <t>explorationLevel{level:5}</t>
    <phoneticPr fontId="56" type="noConversion"/>
  </si>
  <si>
    <t>{level:1}</t>
    <phoneticPr fontId="56" type="noConversion"/>
  </si>
  <si>
    <t>{level:2}</t>
  </si>
  <si>
    <t>{level:3}</t>
  </si>
  <si>
    <t>{level:4}</t>
  </si>
  <si>
    <t>{level:5}</t>
  </si>
  <si>
    <t>{level:6}</t>
  </si>
  <si>
    <t>{level:7}</t>
  </si>
  <si>
    <t>{level:8}</t>
  </si>
  <si>
    <t>{level:9}</t>
  </si>
  <si>
    <t>{level:10}</t>
  </si>
  <si>
    <t>{level:11}</t>
  </si>
  <si>
    <t>{level:12}</t>
  </si>
  <si>
    <t>{level:13}</t>
  </si>
  <si>
    <t>{level:14}</t>
  </si>
  <si>
    <t>{level:15}</t>
  </si>
  <si>
    <t>{level:16}</t>
  </si>
  <si>
    <t>{level:17}</t>
  </si>
  <si>
    <t>{level:18}</t>
  </si>
  <si>
    <t>{level:19}</t>
  </si>
  <si>
    <t>{level:20}</t>
  </si>
  <si>
    <t>explorationLevel</t>
    <phoneticPr fontId="56" type="noConversion"/>
  </si>
  <si>
    <t>TID_BountyTaskPoolConfData_13101_dispatchHeroDescs_493680145971_CN_Main</t>
    <phoneticPr fontId="56" type="noConversion"/>
  </si>
  <si>
    <t>TID_BountyTaskPoolConfData_13201_dispatchHeroDescs_23420002656_CN_Main</t>
    <phoneticPr fontId="56" type="noConversion"/>
  </si>
  <si>
    <t>entityLevelConditionGroup.condition.condOneOf</t>
    <phoneticPr fontId="56" type="noConversion"/>
  </si>
  <si>
    <t>convert(ResExploration.proto, table_ExplorationEventConf,  ExplorationEventConfData.pbin)</t>
    <phoneticPr fontId="56" type="noConversion"/>
  </si>
  <si>
    <t>事件的最大半径</t>
    <phoneticPr fontId="56" type="noConversion"/>
  </si>
  <si>
    <t>bornRadiusMax</t>
    <phoneticPr fontId="56" type="noConversion"/>
  </si>
  <si>
    <t>bornRadiusMin</t>
    <phoneticPr fontId="56" type="noConversion"/>
  </si>
  <si>
    <t>战斗事件缩放比例</t>
    <phoneticPr fontId="56" type="noConversion"/>
  </si>
  <si>
    <t>convert(ResExploration.proto, table_ExplorationLevelConf,  ExplorationLevelConf.pbin)</t>
    <phoneticPr fontId="56" type="noConversion"/>
  </si>
  <si>
    <t>battleUISize</t>
    <phoneticPr fontId="56" type="noConversion"/>
  </si>
  <si>
    <t>TID_BountyTaskPoolConfData_11008_taskName_CN_Main</t>
    <phoneticPr fontId="56" type="noConversion"/>
  </si>
  <si>
    <t>TID_BountyTaskPoolConfData_11008_taskDesc_CN_Main</t>
    <phoneticPr fontId="56" type="noConversion"/>
  </si>
  <si>
    <t>Exploration_BattleName1</t>
    <phoneticPr fontId="58" type="noConversion"/>
  </si>
  <si>
    <t>Exploration_BattleName2</t>
  </si>
  <si>
    <t>Exploration_BattleName3</t>
  </si>
  <si>
    <t>Exploration_BattleName4</t>
  </si>
  <si>
    <t>Exploration_BattleName5</t>
  </si>
  <si>
    <t>Exploration_BattleName6</t>
  </si>
  <si>
    <t>Exploration_BattleName7</t>
  </si>
  <si>
    <t>Exploration_BattleName8</t>
  </si>
  <si>
    <t>Exploration_BattleName9</t>
  </si>
  <si>
    <t>Exploration_BattleName10</t>
  </si>
  <si>
    <t>Exploration_BattleDesc1</t>
    <phoneticPr fontId="58" type="noConversion"/>
  </si>
  <si>
    <t>Exploration_BattleDesc2</t>
  </si>
  <si>
    <t>Exploration_BattleDesc3</t>
  </si>
  <si>
    <t>Exploration_BattleDesc4</t>
  </si>
  <si>
    <t>Exploration_BattleDesc5</t>
  </si>
  <si>
    <t>Exploration_BattleDesc6</t>
  </si>
  <si>
    <t>Exploration_BattleDesc7</t>
  </si>
  <si>
    <t>Exploration_BattleDesc8</t>
  </si>
  <si>
    <t>Exploration_BattleDesc9</t>
  </si>
  <si>
    <t>Exploration_BattleDesc10</t>
  </si>
  <si>
    <t>Exploration_ExploreName1</t>
    <phoneticPr fontId="58" type="noConversion"/>
  </si>
  <si>
    <t>Exploration_ExploreName2</t>
  </si>
  <si>
    <t>Exploration_ExploreName3</t>
  </si>
  <si>
    <t>Exploration_ExploreName4</t>
  </si>
  <si>
    <t>Exploration_ExploreDesc1</t>
    <phoneticPr fontId="58" type="noConversion"/>
  </si>
  <si>
    <t>Exploration_ExploreDesc2</t>
  </si>
  <si>
    <t>Exploration_ExploreDesc3</t>
  </si>
  <si>
    <t>Exploration_ExploreDesc4</t>
  </si>
  <si>
    <t>Exploration_TalkName1</t>
    <phoneticPr fontId="58" type="noConversion"/>
  </si>
  <si>
    <t>Exploration_TalkName2</t>
  </si>
  <si>
    <t>Exploration_TalkName3</t>
  </si>
  <si>
    <t>Exploration_TalkName4</t>
  </si>
  <si>
    <t>Exploration_TalkName5</t>
  </si>
  <si>
    <t>Exploration_TalkDesc1</t>
    <phoneticPr fontId="58" type="noConversion"/>
  </si>
  <si>
    <t>Exploration_TalkDesc2</t>
  </si>
  <si>
    <t>Exploration_TalkDesc3</t>
  </si>
  <si>
    <t>Exploration_TalkDesc4</t>
  </si>
  <si>
    <t>Exploration_TalkDesc5</t>
  </si>
  <si>
    <t>Exploration_Talk1Sentence1</t>
    <phoneticPr fontId="58" type="noConversion"/>
  </si>
  <si>
    <t>Exploration_Talk1Sentence2</t>
  </si>
  <si>
    <t>Exploration_Talk1Sentence3</t>
  </si>
  <si>
    <t>Exploration_Talk1Sentence4</t>
  </si>
  <si>
    <t>Exploration_Talk1Sentence5</t>
  </si>
  <si>
    <t>Exploration_Talk2Sentence1</t>
    <phoneticPr fontId="58" type="noConversion"/>
  </si>
  <si>
    <t>Exploration_Talk2Sentence2</t>
  </si>
  <si>
    <t>Exploration_Talk2Sentence3</t>
  </si>
  <si>
    <t>Exploration_Talk2Sentence4</t>
  </si>
  <si>
    <t>Exploration_Talk1Answer1</t>
  </si>
  <si>
    <t>Exploration_Talk1Answer2</t>
  </si>
  <si>
    <t>Exploration_Talk2Answer1</t>
  </si>
  <si>
    <t>Exploration_Talk2Answer2</t>
  </si>
  <si>
    <t>Exploration_Talk3Sentence1</t>
    <phoneticPr fontId="58" type="noConversion"/>
  </si>
  <si>
    <t>Exploration_Talk3Sentence2</t>
  </si>
  <si>
    <t>Exploration_Talk3Sentence3</t>
  </si>
  <si>
    <t>Exploration_Talk3Sentence4</t>
  </si>
  <si>
    <t>Exploration_Talk3Answer1</t>
    <phoneticPr fontId="56" type="noConversion"/>
  </si>
  <si>
    <t>Exploration_Talk3Answer2</t>
    <phoneticPr fontId="56" type="noConversion"/>
  </si>
  <si>
    <t>Exploration_Talk4Sentence1</t>
    <phoneticPr fontId="58" type="noConversion"/>
  </si>
  <si>
    <t>Exploration_Talk4Sentence2</t>
  </si>
  <si>
    <t>Exploration_Talk4Sentence3</t>
  </si>
  <si>
    <t>Exploration_Talk4Sentence4</t>
  </si>
  <si>
    <t>Exploration_Talk4Answer1</t>
    <phoneticPr fontId="56" type="noConversion"/>
  </si>
  <si>
    <t>Exploration_Talk4Answer2</t>
    <phoneticPr fontId="56" type="noConversion"/>
  </si>
  <si>
    <t>Exploration_Talk5Sentence1</t>
    <phoneticPr fontId="58" type="noConversion"/>
  </si>
  <si>
    <t>Exploration_Talk5Sentence2</t>
  </si>
  <si>
    <t>Exploration_Talk5Sentence3</t>
  </si>
  <si>
    <t>Exploration_Talk5Sentence4</t>
  </si>
  <si>
    <t>Exploration_Talk5Answer1</t>
    <phoneticPr fontId="56" type="noConversion"/>
  </si>
  <si>
    <t>Exploration_Talk5Answer2</t>
    <phoneticPr fontId="56" type="noConversion"/>
  </si>
  <si>
    <t>测试-对话-1006</t>
    <phoneticPr fontId="56" type="noConversion"/>
  </si>
  <si>
    <t>测试-大地图野怪-3504</t>
    <phoneticPr fontId="56" type="noConversion"/>
  </si>
  <si>
    <t>测试-大地图宝箱-4009</t>
  </si>
  <si>
    <t>6636106;6636116</t>
    <phoneticPr fontId="56" type="noConversion"/>
  </si>
  <si>
    <t>测试-大地图野怪-100228</t>
  </si>
  <si>
    <t>测试-大地图野怪-100229</t>
  </si>
  <si>
    <t>测试-大地图野怪-100230</t>
  </si>
  <si>
    <t>测试-大地图野怪-100231</t>
  </si>
  <si>
    <t>测试-大地图野怪-100232</t>
  </si>
  <si>
    <t>测试-大地图野怪-100233</t>
  </si>
  <si>
    <t>测试-大地图野怪-100234</t>
  </si>
  <si>
    <t>测试-大地图野怪-100235</t>
  </si>
  <si>
    <t>测试-大地图野怪-100236</t>
  </si>
  <si>
    <t>测试-大地图野怪-100237</t>
  </si>
  <si>
    <t>测试-大地图野怪-100238</t>
  </si>
  <si>
    <t>测试-大地图野怪-100239</t>
  </si>
  <si>
    <t>测试-大地图野怪-100240</t>
  </si>
  <si>
    <t>测试-大地图野怪-100241</t>
  </si>
  <si>
    <t>测试-大地图野怪-100242</t>
  </si>
  <si>
    <t>测试-大地图野怪-100243</t>
  </si>
  <si>
    <t>测试-大地图野怪-100244</t>
  </si>
  <si>
    <t>测试-大地图野怪-100245</t>
  </si>
  <si>
    <t>测试-大地图野怪-100246</t>
  </si>
  <si>
    <t>测试-大地图野怪-100247</t>
  </si>
  <si>
    <t>测试-大地图野怪-100248</t>
  </si>
  <si>
    <t>测试-大地图野怪-100249</t>
  </si>
  <si>
    <t>测试-大地图野怪-100250</t>
  </si>
  <si>
    <t>测试-大地图野怪-100251</t>
  </si>
  <si>
    <t>测试-大地图野怪-100252</t>
  </si>
  <si>
    <t>测试-大地图野怪-100253</t>
  </si>
  <si>
    <t>测试-大地图野怪-100254</t>
  </si>
  <si>
    <t>测试-大地图野怪-100255</t>
  </si>
  <si>
    <t>测试-大地图野怪-100256</t>
  </si>
  <si>
    <t>测试-大地图野怪-100257</t>
  </si>
  <si>
    <t>测试-大地图野怪-100258</t>
  </si>
  <si>
    <t>测试-大地图野怪-100259</t>
  </si>
  <si>
    <t>测试-大地图野怪-100260</t>
  </si>
  <si>
    <t>测试-大地图野怪-100261</t>
  </si>
  <si>
    <t>测试-大地图野怪-100262</t>
  </si>
  <si>
    <t>测试-大地图野怪-100263</t>
  </si>
  <si>
    <t>测试-大地图野怪-100264</t>
  </si>
  <si>
    <t>测试-大地图野怪-100265</t>
  </si>
  <si>
    <t>测试-大地图野怪-100266</t>
  </si>
  <si>
    <t>测试-大地图野怪-100267</t>
  </si>
  <si>
    <t>测试-大地图野怪-100268</t>
  </si>
  <si>
    <t>测试-大地图野怪-100269</t>
  </si>
  <si>
    <t>测试-大地图野怪-100270</t>
  </si>
  <si>
    <t>测试-大地图野怪-100271</t>
  </si>
  <si>
    <t>测试-大地图野怪-100272</t>
  </si>
  <si>
    <t>测试-大地图野怪-100273</t>
  </si>
  <si>
    <t>测试-大地图野怪-100274</t>
  </si>
  <si>
    <t>测试-大地图野怪-100275</t>
  </si>
  <si>
    <t>测试-大地图野怪-100276</t>
  </si>
  <si>
    <t>测试-大地图野怪-100277</t>
  </si>
  <si>
    <t>测试-大地图野怪-100278</t>
  </si>
  <si>
    <t>测试-大地图野怪-100279</t>
  </si>
  <si>
    <t>测试-大地图野怪-100280</t>
  </si>
  <si>
    <t>测试-大地图野怪-100281</t>
  </si>
  <si>
    <t>测试-大地图野怪-100282</t>
  </si>
  <si>
    <t>测试-大地图野怪-100283</t>
  </si>
  <si>
    <t>测试-大地图野怪-100284</t>
  </si>
  <si>
    <t>测试-大地图野怪-100285</t>
  </si>
  <si>
    <t>测试-大地图野怪-100286</t>
  </si>
  <si>
    <t>测试-大地图野怪-100287</t>
  </si>
  <si>
    <t>测试-大地图野怪-100288</t>
  </si>
  <si>
    <t>测试-大地图野怪-100289</t>
  </si>
  <si>
    <t>测试-大地图野怪-100290</t>
  </si>
  <si>
    <t>测试-大地图野怪-100291</t>
  </si>
  <si>
    <t>测试-大地图野怪-100292</t>
  </si>
  <si>
    <t>测试-大地图野怪-100293</t>
  </si>
  <si>
    <t>测试-大地图野怪-100294</t>
  </si>
  <si>
    <t>测试-大地图野怪-100295</t>
  </si>
  <si>
    <t>测试-大地图野怪-100296</t>
  </si>
  <si>
    <t>测试-大地图野怪-100297</t>
  </si>
  <si>
    <t>测试-大地图野怪-100298</t>
  </si>
  <si>
    <t>测试-大地图野怪-100299</t>
  </si>
  <si>
    <t>测试-大地图野怪-100300</t>
  </si>
  <si>
    <t>测试-大地图野怪-100301</t>
  </si>
  <si>
    <t>测试-大地图野怪-100302</t>
  </si>
  <si>
    <t>测试-大地图野怪-100303</t>
  </si>
  <si>
    <t>测试-大地图野怪-100304</t>
  </si>
  <si>
    <t>测试-大地图野怪-100305</t>
  </si>
  <si>
    <t>测试-大地图野怪-100306</t>
  </si>
  <si>
    <t>测试-大地图野怪-100307</t>
  </si>
  <si>
    <t>测试-大地图野怪-100308</t>
  </si>
  <si>
    <t>测试-大地图野怪-100309</t>
  </si>
  <si>
    <t>测试-大地图野怪-100310</t>
  </si>
  <si>
    <t>测试-大地图野怪-100311</t>
  </si>
  <si>
    <t>测试-大地图野怪-100312</t>
  </si>
  <si>
    <t>测试-大地图野怪-100313</t>
  </si>
  <si>
    <t>测试-大地图野怪-100314</t>
  </si>
  <si>
    <t>测试-大地图野怪-100315</t>
  </si>
  <si>
    <t>测试-大地图野怪-100316</t>
  </si>
  <si>
    <t>测试-大地图野怪-100317</t>
  </si>
  <si>
    <t>测试-大地图野怪-100318</t>
  </si>
  <si>
    <t>测试-大地图野怪-100319</t>
  </si>
  <si>
    <t>测试-大地图野怪-100320</t>
  </si>
  <si>
    <t>测试-大地图野怪-100321</t>
  </si>
  <si>
    <t>测试-大地图野怪-100322</t>
  </si>
  <si>
    <t>测试-大地图野怪-100323</t>
  </si>
  <si>
    <t>测试-大地图野怪-100324</t>
  </si>
  <si>
    <t>测试-大地图野怪-100325</t>
  </si>
  <si>
    <t>测试-大地图野怪-100326</t>
  </si>
  <si>
    <t>测试-大地图野怪-100327</t>
  </si>
  <si>
    <t>测试-大地图野怪-100328</t>
  </si>
  <si>
    <t>测试-大地图野怪-100329</t>
  </si>
  <si>
    <t>测试-大地图野怪-100330</t>
  </si>
  <si>
    <t>测试-大地图野怪-100331</t>
  </si>
  <si>
    <t>测试-大地图野怪-100332</t>
  </si>
  <si>
    <t>测试-大地图野怪-100333</t>
  </si>
  <si>
    <t>测试-大地图野怪-100334</t>
  </si>
  <si>
    <t>测试-大地图野怪-100335</t>
  </si>
  <si>
    <t>测试-大地图野怪-100336</t>
  </si>
  <si>
    <t>测试-大地图野怪-100337</t>
  </si>
  <si>
    <t>测试-大地图野怪-100338</t>
  </si>
  <si>
    <t>测试-大地图野怪-100339</t>
  </si>
  <si>
    <t>测试-大地图野怪-100340</t>
  </si>
  <si>
    <t>测试-大地图野怪-100341</t>
  </si>
  <si>
    <t>测试-大地图野怪-100342</t>
  </si>
  <si>
    <t>测试-大地图野怪-100343</t>
  </si>
  <si>
    <t>测试-大地图野怪-100344</t>
  </si>
  <si>
    <t>测试-大地图野怪-100345</t>
  </si>
  <si>
    <t>测试-大地图野怪-100346</t>
  </si>
  <si>
    <t>测试-大地图野怪-100347</t>
  </si>
  <si>
    <t>测试-大地图野怪-100348</t>
  </si>
  <si>
    <t>测试-大地图野怪-100349</t>
  </si>
  <si>
    <t>测试-大地图野怪-100350</t>
  </si>
  <si>
    <t>测试-大地图野怪-100351</t>
  </si>
  <si>
    <t>测试-大地图野怪-100352</t>
  </si>
  <si>
    <t>测试-大地图野怪-100353</t>
  </si>
  <si>
    <t>测试-大地图野怪-100354</t>
  </si>
  <si>
    <t>测试-大地图野怪-100355</t>
  </si>
  <si>
    <t>测试-大地图野怪-100356</t>
  </si>
  <si>
    <t>测试-大地图野怪-100357</t>
  </si>
  <si>
    <t>测试-大地图野怪-100358</t>
  </si>
  <si>
    <t>测试-大地图野怪-100359</t>
  </si>
  <si>
    <t>测试-大地图野怪-100360</t>
  </si>
  <si>
    <t>测试-大地图野怪-100361</t>
  </si>
  <si>
    <t>测试-大地图野怪-100362</t>
  </si>
  <si>
    <t>测试-大地图野怪-100363</t>
  </si>
  <si>
    <t>测试-大地图野怪-100364</t>
  </si>
  <si>
    <t>测试-大地图野怪-100365</t>
  </si>
  <si>
    <t>测试-大地图野怪-100366</t>
  </si>
  <si>
    <t>测试-大地图野怪-100367</t>
  </si>
  <si>
    <t>测试-大地图野怪-100368</t>
  </si>
  <si>
    <t>测试-大地图野怪-100369</t>
  </si>
  <si>
    <t>测试-大地图野怪-100370</t>
  </si>
  <si>
    <t>测试-大地图野怪-100371</t>
  </si>
  <si>
    <t>测试-大地图野怪-100372</t>
  </si>
  <si>
    <t>测试-大地图野怪-100373</t>
  </si>
  <si>
    <t>测试-大地图野怪-100374</t>
  </si>
  <si>
    <t>测试-大地图野怪-100375</t>
  </si>
  <si>
    <t>测试-大地图野怪-100376</t>
  </si>
  <si>
    <t>测试-大地图野怪-100377</t>
  </si>
  <si>
    <t>测试-大地图野怪-100378</t>
  </si>
  <si>
    <t>测试-大地图野怪-100379</t>
  </si>
  <si>
    <t>测试-大地图野怪-100380</t>
  </si>
  <si>
    <t>测试-大地图野怪-100381</t>
  </si>
  <si>
    <t>测试-大地图野怪-100382</t>
  </si>
  <si>
    <t>测试-大地图野怪-100383</t>
  </si>
  <si>
    <t>测试-大地图野怪-100384</t>
  </si>
  <si>
    <t>测试-大地图野怪-100385</t>
  </si>
  <si>
    <t>测试-大地图野怪-100386</t>
  </si>
  <si>
    <t>测试-大地图野怪-100387</t>
  </si>
  <si>
    <t>测试-大地图野怪-100388</t>
  </si>
  <si>
    <t>测试-大地图野怪-100389</t>
  </si>
  <si>
    <t>测试-大地图野怪-100390</t>
  </si>
  <si>
    <t>测试-大地图野怪-100391</t>
  </si>
  <si>
    <t>测试-大地图野怪-100392</t>
  </si>
  <si>
    <t>测试-大地图野怪-100393</t>
  </si>
  <si>
    <t>测试-大地图野怪-100394</t>
  </si>
  <si>
    <t>测试-大地图野怪-100395</t>
  </si>
  <si>
    <t>测试-大地图野怪-100396</t>
  </si>
  <si>
    <t>测试-大地图野怪-100397</t>
  </si>
  <si>
    <t>测试-大地图野怪-100398</t>
  </si>
  <si>
    <t>测试-大地图野怪-100399</t>
  </si>
  <si>
    <t>测试-大地图野怪-100400</t>
  </si>
  <si>
    <t>测试-大地图野怪-100401</t>
  </si>
  <si>
    <t>测试-大地图野怪-100402</t>
  </si>
  <si>
    <t>测试-大地图野怪-100403</t>
  </si>
  <si>
    <t>测试-大地图野怪-100404</t>
  </si>
  <si>
    <t>测试-大地图野怪-100405</t>
  </si>
  <si>
    <t>测试-大地图野怪-100406</t>
  </si>
  <si>
    <t>测试-大地图野怪-100407</t>
  </si>
  <si>
    <t>测试-大地图野怪-100408</t>
  </si>
  <si>
    <t>测试-大地图野怪-100409</t>
  </si>
  <si>
    <t>测试-大地图野怪-100410</t>
  </si>
  <si>
    <t>测试-大地图野怪-100411</t>
  </si>
  <si>
    <t>测试-大地图野怪-100412</t>
  </si>
  <si>
    <t>测试-大地图野怪-100413</t>
  </si>
  <si>
    <t>测试-大地图野怪-100414</t>
  </si>
  <si>
    <t>测试-大地图野怪-100415</t>
  </si>
  <si>
    <t>测试-大地图野怪-100416</t>
  </si>
  <si>
    <t>测试-大地图野怪-100417</t>
  </si>
  <si>
    <t>测试-大地图野怪-100418</t>
  </si>
  <si>
    <t>测试-大地图野怪-100419</t>
  </si>
  <si>
    <t>测试-大地图野怪-100420</t>
  </si>
  <si>
    <t>测试-大地图野怪-100421</t>
  </si>
  <si>
    <t>测试-大地图野怪-100422</t>
  </si>
  <si>
    <t>测试-大地图野怪-100423</t>
  </si>
  <si>
    <t>测试-大地图野怪-100424</t>
  </si>
  <si>
    <t>测试-大地图野怪-100425</t>
  </si>
  <si>
    <t>测试-大地图野怪-100426</t>
  </si>
  <si>
    <t>测试-大地图野怪-100427</t>
  </si>
  <si>
    <t>测试-大地图野怪-100428</t>
  </si>
  <si>
    <t>测试-大地图野怪-100429</t>
  </si>
  <si>
    <t>测试-大地图野怪-100430</t>
  </si>
  <si>
    <t>测试-大地图野怪-100431</t>
  </si>
  <si>
    <t>测试-大地图野怪-100432</t>
  </si>
  <si>
    <t>测试-大地图野怪-100433</t>
  </si>
  <si>
    <t>测试-大地图野怪-100434</t>
  </si>
  <si>
    <t>测试-大地图野怪-100435</t>
  </si>
  <si>
    <t>测试-大地图野怪-100436</t>
  </si>
  <si>
    <t>测试-大地图野怪-100437</t>
  </si>
  <si>
    <t>测试-大地图野怪-100438</t>
  </si>
  <si>
    <t>测试-大地图野怪-100439</t>
  </si>
  <si>
    <t>测试-大地图野怪-100440</t>
  </si>
  <si>
    <t>测试-大地图野怪-100441</t>
  </si>
  <si>
    <t>测试-大地图野怪-100442</t>
  </si>
  <si>
    <t>测试-大地图野怪-100443</t>
  </si>
  <si>
    <t>测试-大地图野怪-100444</t>
  </si>
  <si>
    <t>测试-大地图野怪-100445</t>
  </si>
  <si>
    <t>测试-大地图野怪-100446</t>
  </si>
  <si>
    <t>测试-大地图野怪-100447</t>
  </si>
  <si>
    <t>测试-大地图野怪-100448</t>
  </si>
  <si>
    <t>测试-大地图野怪-100449</t>
  </si>
  <si>
    <t>测试-大地图野怪-100450</t>
  </si>
  <si>
    <t>测试-大地图野怪-100451</t>
  </si>
  <si>
    <t>测试-大地图野怪-100452</t>
  </si>
  <si>
    <t>测试-大地图野怪-100453</t>
  </si>
  <si>
    <t>测试-大地图野怪-100454</t>
  </si>
  <si>
    <t>测试-大地图野怪-100455</t>
  </si>
  <si>
    <t>测试-大地图野怪-100456</t>
  </si>
  <si>
    <t>测试-大地图野怪-100457</t>
  </si>
  <si>
    <t>测试-大地图野怪-100458</t>
  </si>
  <si>
    <t>测试-大地图野怪-100459</t>
  </si>
  <si>
    <t>测试-大地图野怪-100460</t>
  </si>
  <si>
    <t>测试-大地图野怪-100461</t>
  </si>
  <si>
    <t>测试-大地图野怪-100462</t>
  </si>
  <si>
    <t>测试-大地图野怪-100463</t>
  </si>
  <si>
    <t>测试-大地图野怪-100464</t>
  </si>
  <si>
    <t>测试-大地图野怪-100465</t>
  </si>
  <si>
    <t>测试-大地图野怪-100466</t>
  </si>
  <si>
    <t>测试-大地图野怪-100467</t>
  </si>
  <si>
    <t>测试-大地图野怪-100468</t>
  </si>
  <si>
    <t>测试-大地图野怪-100469</t>
  </si>
  <si>
    <t>测试-大地图野怪-100470</t>
  </si>
  <si>
    <t>测试-大地图野怪-100471</t>
  </si>
  <si>
    <t>测试-大地图野怪-100472</t>
  </si>
  <si>
    <t>测试-大地图野怪-100473</t>
  </si>
  <si>
    <t>测试-大地图野怪-100474</t>
  </si>
  <si>
    <t>测试-大地图野怪-100475</t>
  </si>
  <si>
    <t>测试-大地图野怪-100476</t>
  </si>
  <si>
    <t>测试-大地图野怪-100477</t>
  </si>
  <si>
    <t>测试-大地图野怪-100478</t>
  </si>
  <si>
    <t>测试-大地图野怪-100479</t>
  </si>
  <si>
    <t>测试-大地图野怪-100480</t>
  </si>
  <si>
    <t>测试-大地图野怪-100481</t>
  </si>
  <si>
    <t>测试-大地图野怪-100482</t>
  </si>
  <si>
    <t>测试-大地图野怪-100483</t>
  </si>
  <si>
    <t>测试-大地图野怪-100484</t>
  </si>
  <si>
    <t>测试-大地图野怪-100485</t>
  </si>
  <si>
    <t>测试-大地图野怪-100486</t>
  </si>
  <si>
    <t>测试-大地图野怪-100487</t>
  </si>
  <si>
    <t>测试-大地图野怪-100488</t>
  </si>
  <si>
    <t>测试-大地图野怪-100489</t>
  </si>
  <si>
    <t>测试-大地图野怪-100490</t>
  </si>
  <si>
    <t>测试-大地图野怪-100491</t>
  </si>
  <si>
    <t>测试-大地图野怪-100492</t>
  </si>
  <si>
    <t>测试-大地图野怪-100493</t>
  </si>
  <si>
    <t>测试-大地图野怪-100494</t>
  </si>
  <si>
    <t>测试-大地图野怪-100495</t>
  </si>
  <si>
    <t>测试-大地图野怪-100496</t>
  </si>
  <si>
    <t>测试-大地图野怪-100497</t>
  </si>
  <si>
    <t>测试-大地图野怪-100498</t>
  </si>
  <si>
    <t>测试-大地图野怪-100499</t>
  </si>
  <si>
    <t>测试-大地图野怪-100500</t>
  </si>
  <si>
    <t>测试-大地图野怪-100501</t>
  </si>
  <si>
    <t>测试-大地图野怪-100502</t>
  </si>
  <si>
    <t>测试-大地图野怪-100503</t>
  </si>
  <si>
    <t>测试-大地图野怪-100504</t>
  </si>
  <si>
    <t>测试-大地图野怪-100505</t>
  </si>
  <si>
    <t>测试-大地图野怪-100506</t>
  </si>
  <si>
    <t>测试-大地图野怪-100507</t>
  </si>
  <si>
    <t>测试-大地图野怪-100508</t>
  </si>
  <si>
    <t>测试-大地图野怪-100509</t>
  </si>
  <si>
    <t>测试-大地图野怪-100510</t>
  </si>
  <si>
    <t>测试-大地图野怪-100511</t>
  </si>
  <si>
    <t>测试-大地图野怪-100512</t>
  </si>
  <si>
    <t>测试-大地图野怪-100513</t>
  </si>
  <si>
    <t>测试-大地图野怪-100514</t>
  </si>
  <si>
    <t>测试-大地图野怪-100515</t>
  </si>
  <si>
    <t>测试-大地图野怪-100516</t>
  </si>
  <si>
    <t>测试-大地图野怪-100517</t>
  </si>
  <si>
    <t>测试-大地图野怪-100518</t>
  </si>
  <si>
    <t>测试-大地图野怪-100519</t>
  </si>
  <si>
    <t>测试-大地图野怪-100520</t>
  </si>
  <si>
    <t>测试-大地图野怪-100521</t>
  </si>
  <si>
    <t>测试-大地图野怪-100522</t>
  </si>
  <si>
    <t>测试-大地图野怪-100523</t>
  </si>
  <si>
    <t>测试-大地图野怪-100524</t>
  </si>
  <si>
    <t>测试-大地图野怪-100525</t>
  </si>
  <si>
    <t>测试-大地图野怪-100526</t>
  </si>
  <si>
    <t>测试-大地图野怪-100527</t>
  </si>
  <si>
    <t>测试-大地图野怪-100528</t>
  </si>
  <si>
    <t>测试-大地图野怪-100529</t>
  </si>
  <si>
    <t>测试-大地图野怪-100530</t>
  </si>
  <si>
    <t>测试-大地图野怪-100531</t>
  </si>
  <si>
    <t>测试-大地图野怪-100532</t>
  </si>
  <si>
    <t>测试-大地图野怪-100533</t>
  </si>
  <si>
    <t>测试-大地图野怪-100534</t>
  </si>
  <si>
    <t>测试-大地图野怪-100535</t>
  </si>
  <si>
    <t>测试-大地图野怪-100536</t>
  </si>
  <si>
    <t>测试-大地图野怪-100537</t>
  </si>
  <si>
    <t>测试-大地图野怪-100538</t>
  </si>
  <si>
    <t>测试-大地图野怪-100539</t>
  </si>
  <si>
    <t>测试-大地图野怪-100540</t>
  </si>
  <si>
    <t>测试-大地图野怪-100541</t>
  </si>
  <si>
    <t>测试-大地图野怪-100542</t>
  </si>
  <si>
    <t>测试-大地图野怪-100543</t>
  </si>
  <si>
    <t>测试-大地图野怪-100544</t>
  </si>
  <si>
    <t>测试-大地图野怪-100545</t>
  </si>
  <si>
    <t>测试-大地图野怪-100546</t>
  </si>
  <si>
    <t>测试-大地图野怪-100547</t>
  </si>
  <si>
    <t>测试-大地图野怪-100548</t>
  </si>
  <si>
    <t>测试-大地图野怪-100549</t>
  </si>
  <si>
    <t>测试-大地图野怪-100550</t>
  </si>
  <si>
    <t>测试-大地图野怪-100551</t>
  </si>
  <si>
    <t>测试-大地图野怪-100552</t>
  </si>
  <si>
    <t>测试-大地图野怪-100553</t>
  </si>
  <si>
    <t>测试-大地图野怪-100554</t>
  </si>
  <si>
    <t>测试-大地图野怪-100555</t>
  </si>
  <si>
    <t>测试-大地图野怪-100556</t>
  </si>
  <si>
    <t>测试-大地图野怪-100557</t>
  </si>
  <si>
    <t>测试-大地图野怪-100558</t>
  </si>
  <si>
    <t>测试-大地图野怪-100559</t>
  </si>
  <si>
    <t>测试-大地图野怪-100560</t>
  </si>
  <si>
    <t>测试-大地图野怪-100561</t>
  </si>
  <si>
    <t>测试-大地图野怪-100562</t>
  </si>
  <si>
    <t>测试-大地图野怪-100563</t>
  </si>
  <si>
    <t>测试-大地图野怪-100564</t>
  </si>
  <si>
    <t>测试-大地图野怪-100565</t>
  </si>
  <si>
    <t>测试-大地图野怪-100566</t>
  </si>
  <si>
    <t>测试-大地图野怪-100567</t>
  </si>
  <si>
    <t>测试-大地图野怪-100568</t>
  </si>
  <si>
    <t>测试-大地图野怪-100569</t>
  </si>
  <si>
    <t>测试-大地图野怪-100570</t>
  </si>
  <si>
    <t>测试-大地图野怪-100571</t>
  </si>
  <si>
    <t>测试-大地图野怪-100572</t>
  </si>
  <si>
    <t>测试-大地图野怪-100573</t>
  </si>
  <si>
    <t>测试-大地图野怪-100574</t>
  </si>
  <si>
    <t>测试-大地图野怪-100575</t>
  </si>
  <si>
    <t>测试-大地图野怪-100576</t>
  </si>
  <si>
    <t>测试-大地图野怪-100577</t>
  </si>
  <si>
    <t>测试-大地图野怪-100578</t>
  </si>
  <si>
    <t>测试-大地图野怪-100579</t>
  </si>
  <si>
    <t>测试-大地图野怪-100580</t>
  </si>
  <si>
    <t>测试-大地图野怪-100581</t>
  </si>
  <si>
    <t>测试-大地图野怪-100582</t>
  </si>
  <si>
    <t>测试-大地图野怪-100583</t>
  </si>
  <si>
    <t>测试-大地图野怪-100584</t>
  </si>
  <si>
    <t>测试-大地图野怪-100585</t>
  </si>
  <si>
    <t>测试-大地图野怪-100586</t>
  </si>
  <si>
    <t>测试-大地图野怪-100587</t>
  </si>
  <si>
    <t>测试-大地图野怪-100588</t>
  </si>
  <si>
    <t>测试-大地图野怪-100589</t>
  </si>
  <si>
    <t>测试-大地图野怪-100590</t>
  </si>
  <si>
    <t>测试-大地图野怪-100591</t>
  </si>
  <si>
    <t>测试-大地图野怪-100592</t>
  </si>
  <si>
    <t>测试-大地图野怪-100593</t>
  </si>
  <si>
    <t>测试-大地图野怪-100594</t>
  </si>
  <si>
    <t>测试-大地图野怪-100595</t>
  </si>
  <si>
    <t>测试-大地图野怪-100596</t>
  </si>
  <si>
    <t>测试-大地图野怪-100597</t>
  </si>
  <si>
    <t>测试-大地图野怪-100598</t>
  </si>
  <si>
    <t>测试-大地图野怪-100599</t>
  </si>
  <si>
    <t>测试-大地图野怪-100600</t>
  </si>
  <si>
    <t>测试-大地图野怪-100601</t>
  </si>
  <si>
    <t>测试-大地图野怪-100602</t>
  </si>
  <si>
    <t>测试-大地图野怪-100603</t>
  </si>
  <si>
    <t>测试-大地图野怪-100604</t>
  </si>
  <si>
    <t>测试-大地图野怪-100605</t>
  </si>
  <si>
    <t>测试-大地图野怪-100606</t>
  </si>
  <si>
    <t>测试-大地图野怪-100607</t>
  </si>
  <si>
    <t>测试-大地图野怪-100608</t>
  </si>
  <si>
    <t>测试-大地图野怪-100609</t>
  </si>
  <si>
    <t>测试-大地图野怪-100610</t>
  </si>
  <si>
    <t>测试-大地图野怪-100611</t>
  </si>
  <si>
    <t>测试-大地图野怪-100612</t>
  </si>
  <si>
    <t>测试-大地图野怪-100613</t>
  </si>
  <si>
    <t>测试-大地图野怪-100614</t>
  </si>
  <si>
    <t>测试-大地图野怪-100615</t>
  </si>
  <si>
    <t>测试-大地图野怪-100616</t>
  </si>
  <si>
    <t>测试-大地图野怪-100617</t>
  </si>
  <si>
    <t>测试-大地图野怪-100618</t>
  </si>
  <si>
    <t>测试-大地图野怪-100619</t>
  </si>
  <si>
    <t>测试-大地图野怪-100620</t>
  </si>
  <si>
    <t>测试-大地图野怪-100621</t>
  </si>
  <si>
    <t>测试-大地图野怪-100622</t>
  </si>
  <si>
    <t>测试-大地图野怪-100623</t>
  </si>
  <si>
    <t>测试-大地图野怪-100624</t>
  </si>
  <si>
    <t>测试-大地图野怪-100625</t>
  </si>
  <si>
    <t>测试-大地图野怪-100626</t>
  </si>
  <si>
    <t>测试-大地图野怪-100627</t>
  </si>
  <si>
    <t>测试-大地图野怪-100628</t>
  </si>
  <si>
    <t>测试-大地图野怪-100629</t>
  </si>
  <si>
    <t>测试-大地图野怪-100630</t>
  </si>
  <si>
    <t>测试-大地图野怪-100631</t>
  </si>
  <si>
    <t>测试-大地图野怪-100632</t>
  </si>
  <si>
    <t>测试-大地图野怪-100633</t>
  </si>
  <si>
    <t>测试-大地图野怪-100634</t>
  </si>
  <si>
    <t>测试-大地图野怪-100635</t>
  </si>
  <si>
    <t>测试-大地图野怪-100636</t>
  </si>
  <si>
    <t>测试-大地图野怪-100637</t>
  </si>
  <si>
    <t>测试-大地图野怪-100638</t>
  </si>
  <si>
    <t>测试-大地图野怪-100639</t>
  </si>
  <si>
    <t>测试-大地图野怪-100640</t>
  </si>
  <si>
    <t>测试-大地图野怪-100641</t>
  </si>
  <si>
    <t>测试-大地图野怪-100642</t>
  </si>
  <si>
    <t>测试-大地图野怪-100643</t>
  </si>
  <si>
    <t>测试-大地图野怪-100644</t>
  </si>
  <si>
    <t>测试-大地图野怪-100645</t>
  </si>
  <si>
    <t>测试-大地图野怪-100646</t>
  </si>
  <si>
    <t>测试-大地图野怪-100647</t>
  </si>
  <si>
    <t>测试-大地图野怪-100648</t>
  </si>
  <si>
    <t>测试-大地图野怪-100649</t>
  </si>
  <si>
    <t>测试-大地图野怪-100650</t>
  </si>
  <si>
    <t>测试-大地图野怪-100651</t>
  </si>
  <si>
    <t>测试-大地图野怪-100652</t>
  </si>
  <si>
    <t>测试-大地图野怪-3505</t>
  </si>
  <si>
    <t>测试-大地图野怪-3506</t>
  </si>
  <si>
    <t>测试-大地图野怪-3507</t>
  </si>
  <si>
    <t>测试-大地图野怪-3508</t>
  </si>
  <si>
    <t>测试-大地图野怪-3509</t>
  </si>
  <si>
    <t>测试-大地图宝箱-4010</t>
  </si>
  <si>
    <t>测试-大地图宝箱-4011</t>
  </si>
  <si>
    <t>测试-大地图宝箱-4012</t>
  </si>
  <si>
    <t>测试-大地图宝箱-4013</t>
  </si>
  <si>
    <t>测试-大地图宝箱-4014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</si>
</sst>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微软雅黑"/>
      <charset val="134"/>
    </font>
    <font>
      <b/>
      <sz val="12"/>
      <color theme="1"/>
      <name val="微软雅黑"/>
      <family val="2"/>
      <charset val="134"/>
    </font>
    <font>
      <i/>
      <sz val="11.3"/>
      <color rgb="FF008000"/>
      <name val="JetBrains Mono"/>
      <family val="1"/>
    </font>
    <font>
      <sz val="11.5"/>
      <color rgb="FF0033B3"/>
      <name val="JetBrains Mono"/>
      <family val="1"/>
    </font>
    <font>
      <i/>
      <sz val="11.3"/>
      <color rgb="FF871094"/>
      <name val="JetBrains Mono"/>
      <family val="1"/>
    </font>
    <font>
      <sz val="11.3"/>
      <color rgb="FF3F9101"/>
      <name val="JetBrains Mono"/>
      <family val="1"/>
    </font>
    <font>
      <sz val="9.8000000000000007"/>
      <color rgb="FF0033B3"/>
      <name val="JetBrains Mono"/>
      <family val="1"/>
    </font>
    <font>
      <i/>
      <sz val="9.8000000000000007"/>
      <color rgb="FF871094"/>
      <name val="JetBrains Mono"/>
      <family val="1"/>
    </font>
    <font>
      <sz val="11.3"/>
      <color rgb="FF0033B3"/>
      <name val="JetBrains Mono"/>
      <family val="1"/>
    </font>
    <font>
      <i/>
      <sz val="9.8000000000000007"/>
      <color rgb="FF008000"/>
      <name val="JetBrains Mono"/>
      <family val="1"/>
    </font>
    <font>
      <sz val="11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trike/>
      <sz val="11"/>
      <color rgb="FF000000"/>
      <name val="微软雅黑"/>
      <family val="2"/>
      <charset val="134"/>
    </font>
    <font>
      <sz val="10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trike/>
      <sz val="11"/>
      <color theme="1"/>
      <name val="等线"/>
      <family val="3"/>
      <charset val="134"/>
      <scheme val="minor"/>
    </font>
    <font>
      <sz val="10"/>
      <color theme="1"/>
      <name val="Microsoft YaHei UI"/>
      <family val="2"/>
      <charset val="134"/>
    </font>
    <font>
      <sz val="10"/>
      <color theme="0"/>
      <name val="Microsoft YaHei UI"/>
      <family val="2"/>
      <charset val="134"/>
    </font>
    <font>
      <strike/>
      <sz val="10"/>
      <color theme="0"/>
      <name val="Microsoft YaHei UI"/>
      <family val="2"/>
      <charset val="134"/>
    </font>
    <font>
      <strike/>
      <sz val="10"/>
      <color theme="1"/>
      <name val="Microsoft YaHei UI"/>
      <family val="2"/>
      <charset val="134"/>
    </font>
    <font>
      <sz val="10"/>
      <color rgb="FF000000"/>
      <name val="Arial"/>
      <family val="2"/>
    </font>
    <font>
      <sz val="10"/>
      <color theme="0"/>
      <name val="微软雅黑"/>
      <family val="2"/>
      <charset val="134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8"/>
      <color rgb="FFFFFFFF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b/>
      <sz val="9"/>
      <color rgb="FFFFFFFF"/>
      <name val="Microsoft YaHei"/>
      <charset val="134"/>
    </font>
    <font>
      <sz val="10"/>
      <color rgb="FF000000"/>
      <name val="Microsoft YaHei"/>
      <charset val="134"/>
    </font>
    <font>
      <sz val="8"/>
      <color rgb="FF000000"/>
      <name val="Microsoft YaHei"/>
      <charset val="134"/>
    </font>
    <font>
      <sz val="9"/>
      <color rgb="FF000000"/>
      <name val="等线"/>
      <family val="3"/>
      <charset val="134"/>
    </font>
    <font>
      <sz val="8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8"/>
      <color rgb="FFFFFFFF"/>
      <name val="微软雅黑"/>
      <family val="2"/>
      <charset val="134"/>
    </font>
    <font>
      <sz val="8"/>
      <color rgb="FF000000"/>
      <name val="微软雅黑"/>
      <family val="2"/>
      <charset val="134"/>
    </font>
    <font>
      <b/>
      <sz val="8"/>
      <color rgb="FFFFFFFF"/>
      <name val="Microsoft YaHei"/>
      <charset val="134"/>
    </font>
    <font>
      <sz val="6"/>
      <color rgb="FF000000"/>
      <name val="Microsoft YaHei"/>
      <charset val="134"/>
    </font>
    <font>
      <i/>
      <sz val="11.3"/>
      <color rgb="FF008000"/>
      <name val="微软雅黑"/>
      <family val="2"/>
      <charset val="134"/>
    </font>
    <font>
      <sz val="11.5"/>
      <color rgb="FF000000"/>
      <name val="JetBrains Mono"/>
      <family val="1"/>
    </font>
    <font>
      <sz val="11.5"/>
      <color rgb="FF3F9101"/>
      <name val="JetBrains Mono"/>
      <family val="1"/>
    </font>
    <font>
      <i/>
      <sz val="11.5"/>
      <color rgb="FF008000"/>
      <name val="JetBrains Mono"/>
      <family val="1"/>
    </font>
    <font>
      <sz val="11.3"/>
      <color rgb="FF080808"/>
      <name val="JetBrains Mono"/>
      <family val="1"/>
    </font>
    <font>
      <sz val="11.3"/>
      <color rgb="FF1750EB"/>
      <name val="JetBrains Mono"/>
      <family val="1"/>
    </font>
    <font>
      <sz val="11.3"/>
      <color rgb="FF000000"/>
      <name val="JetBrains Mono"/>
      <family val="1"/>
    </font>
    <font>
      <sz val="11.3"/>
      <color rgb="FF067D17"/>
      <name val="JetBrains Mono"/>
      <family val="1"/>
    </font>
    <font>
      <sz val="11.3"/>
      <color rgb="FF067D17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0.3994872890408032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rgb="FFB5D3FE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7" fillId="0" borderId="0">
      <alignment vertical="center"/>
    </xf>
  </cellStyleXfs>
  <cellXfs count="14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NumberFormat="1" applyFont="1" applyAlignment="1">
      <alignment horizontal="right"/>
    </xf>
    <xf numFmtId="0" fontId="0" fillId="0" borderId="5" xfId="0" applyBorder="1"/>
    <xf numFmtId="0" fontId="1" fillId="0" borderId="6" xfId="0" applyFont="1" applyBorder="1"/>
    <xf numFmtId="0" fontId="10" fillId="0" borderId="0" xfId="0" applyFont="1" applyBorder="1"/>
    <xf numFmtId="0" fontId="1" fillId="4" borderId="7" xfId="0" applyFont="1" applyFill="1" applyBorder="1"/>
    <xf numFmtId="0" fontId="15" fillId="0" borderId="0" xfId="0" applyFont="1" applyBorder="1"/>
    <xf numFmtId="0" fontId="0" fillId="0" borderId="0" xfId="0" applyFont="1"/>
    <xf numFmtId="0" fontId="16" fillId="5" borderId="7" xfId="0" applyFont="1" applyFill="1" applyBorder="1" applyAlignment="1"/>
    <xf numFmtId="0" fontId="17" fillId="6" borderId="7" xfId="0" applyFont="1" applyFill="1" applyBorder="1" applyAlignment="1"/>
    <xf numFmtId="0" fontId="17" fillId="0" borderId="0" xfId="0" applyFont="1" applyFill="1" applyAlignment="1"/>
    <xf numFmtId="0" fontId="18" fillId="0" borderId="0" xfId="0" applyFont="1" applyFill="1" applyAlignment="1"/>
    <xf numFmtId="0" fontId="19" fillId="0" borderId="0" xfId="0" applyFont="1" applyFill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19" fillId="6" borderId="7" xfId="0" applyFont="1" applyFill="1" applyBorder="1" applyAlignment="1">
      <alignment horizontal="center"/>
    </xf>
    <xf numFmtId="0" fontId="22" fillId="6" borderId="7" xfId="0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0" fontId="11" fillId="7" borderId="8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9" fillId="8" borderId="9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/>
    </xf>
    <xf numFmtId="0" fontId="19" fillId="8" borderId="13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left" vertical="center"/>
    </xf>
    <xf numFmtId="0" fontId="19" fillId="8" borderId="15" xfId="0" applyFont="1" applyFill="1" applyBorder="1" applyAlignment="1">
      <alignment horizontal="left" vertical="center"/>
    </xf>
    <xf numFmtId="0" fontId="23" fillId="9" borderId="7" xfId="0" applyFont="1" applyFill="1" applyBorder="1" applyAlignment="1">
      <alignment horizontal="left" vertical="center"/>
    </xf>
    <xf numFmtId="0" fontId="24" fillId="5" borderId="1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left" vertical="center"/>
    </xf>
    <xf numFmtId="0" fontId="25" fillId="11" borderId="7" xfId="0" applyFont="1" applyFill="1" applyBorder="1" applyAlignment="1">
      <alignment horizontal="left" vertical="center"/>
    </xf>
    <xf numFmtId="0" fontId="0" fillId="12" borderId="0" xfId="0" applyFill="1"/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12" borderId="0" xfId="0" applyFont="1" applyFill="1" applyAlignment="1">
      <alignment vertical="center"/>
    </xf>
    <xf numFmtId="0" fontId="24" fillId="5" borderId="17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/>
    </xf>
    <xf numFmtId="0" fontId="24" fillId="12" borderId="16" xfId="0" applyFont="1" applyFill="1" applyBorder="1" applyAlignment="1">
      <alignment horizontal="center" vertical="center"/>
    </xf>
    <xf numFmtId="0" fontId="0" fillId="13" borderId="7" xfId="0" applyFont="1" applyFill="1" applyBorder="1" applyAlignment="1">
      <alignment horizontal="center" vertical="center"/>
    </xf>
    <xf numFmtId="0" fontId="0" fillId="12" borderId="7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left" vertical="center"/>
    </xf>
    <xf numFmtId="0" fontId="26" fillId="12" borderId="7" xfId="0" applyFont="1" applyFill="1" applyBorder="1" applyAlignment="1">
      <alignment horizontal="left" vertical="center"/>
    </xf>
    <xf numFmtId="0" fontId="26" fillId="11" borderId="7" xfId="0" applyFont="1" applyFill="1" applyBorder="1" applyAlignment="1">
      <alignment horizontal="left" vertical="center"/>
    </xf>
    <xf numFmtId="0" fontId="26" fillId="10" borderId="7" xfId="0" applyFont="1" applyFill="1" applyBorder="1" applyAlignment="1">
      <alignment horizontal="left"/>
    </xf>
    <xf numFmtId="0" fontId="26" fillId="12" borderId="7" xfId="0" applyFont="1" applyFill="1" applyBorder="1" applyAlignment="1">
      <alignment horizontal="left"/>
    </xf>
    <xf numFmtId="0" fontId="26" fillId="11" borderId="7" xfId="0" applyFont="1" applyFill="1" applyBorder="1" applyAlignment="1">
      <alignment horizontal="left"/>
    </xf>
    <xf numFmtId="0" fontId="27" fillId="5" borderId="0" xfId="1" applyFont="1" applyFill="1" applyAlignment="1">
      <alignment horizontal="center" vertical="center"/>
    </xf>
    <xf numFmtId="0" fontId="27" fillId="14" borderId="7" xfId="1" applyFont="1" applyFill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7" xfId="1" applyFont="1" applyBorder="1" applyAlignment="1">
      <alignment horizontal="center" shrinkToFit="1"/>
    </xf>
    <xf numFmtId="0" fontId="27" fillId="0" borderId="0" xfId="1" applyFont="1" applyAlignment="1">
      <alignment horizontal="center" shrinkToFit="1"/>
    </xf>
    <xf numFmtId="0" fontId="28" fillId="5" borderId="7" xfId="1" applyFont="1" applyFill="1" applyBorder="1" applyAlignment="1">
      <alignment horizontal="center" vertical="center" wrapText="1"/>
    </xf>
    <xf numFmtId="0" fontId="11" fillId="15" borderId="19" xfId="1" applyFont="1" applyFill="1" applyBorder="1" applyAlignment="1">
      <alignment horizontal="center" vertical="center"/>
    </xf>
    <xf numFmtId="0" fontId="27" fillId="0" borderId="7" xfId="1" applyFont="1" applyBorder="1" applyAlignment="1">
      <alignment horizontal="center" vertical="center"/>
    </xf>
    <xf numFmtId="0" fontId="17" fillId="5" borderId="0" xfId="1" applyFont="1" applyFill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25" fillId="0" borderId="7" xfId="1" applyFont="1" applyBorder="1" applyAlignment="1">
      <alignment horizontal="center" shrinkToFit="1"/>
    </xf>
    <xf numFmtId="0" fontId="25" fillId="0" borderId="0" xfId="1" applyFont="1" applyAlignment="1">
      <alignment horizontal="center" shrinkToFit="1"/>
    </xf>
    <xf numFmtId="0" fontId="17" fillId="0" borderId="0" xfId="1" applyFont="1" applyAlignment="1">
      <alignment horizontal="center" shrinkToFit="1"/>
    </xf>
    <xf numFmtId="0" fontId="29" fillId="5" borderId="7" xfId="1" applyFont="1" applyFill="1" applyBorder="1" applyAlignment="1">
      <alignment horizontal="center" vertical="center" wrapText="1"/>
    </xf>
    <xf numFmtId="0" fontId="30" fillId="15" borderId="7" xfId="1" applyFont="1" applyFill="1" applyBorder="1" applyAlignment="1">
      <alignment horizontal="center" vertical="center"/>
    </xf>
    <xf numFmtId="0" fontId="31" fillId="15" borderId="7" xfId="1" applyFont="1" applyFill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32" fillId="5" borderId="7" xfId="1" applyFont="1" applyFill="1" applyBorder="1" applyAlignment="1">
      <alignment horizontal="center" vertical="center" wrapText="1"/>
    </xf>
    <xf numFmtId="0" fontId="0" fillId="0" borderId="7" xfId="0" applyBorder="1"/>
    <xf numFmtId="0" fontId="0" fillId="16" borderId="7" xfId="0" applyFill="1" applyBorder="1"/>
    <xf numFmtId="0" fontId="33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5" fillId="2" borderId="3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36" fillId="15" borderId="20" xfId="0" applyFont="1" applyFill="1" applyBorder="1" applyAlignment="1">
      <alignment horizontal="center" vertical="center"/>
    </xf>
    <xf numFmtId="0" fontId="37" fillId="15" borderId="21" xfId="0" applyFont="1" applyFill="1" applyBorder="1" applyAlignment="1">
      <alignment horizontal="center" vertical="center"/>
    </xf>
    <xf numFmtId="0" fontId="36" fillId="15" borderId="21" xfId="0" applyFont="1" applyFill="1" applyBorder="1" applyAlignment="1">
      <alignment horizontal="center" vertical="center"/>
    </xf>
    <xf numFmtId="0" fontId="34" fillId="16" borderId="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9" fillId="5" borderId="22" xfId="1" applyFont="1" applyFill="1" applyBorder="1" applyAlignment="1">
      <alignment horizontal="center" vertical="center"/>
    </xf>
    <xf numFmtId="0" fontId="17" fillId="0" borderId="5" xfId="1" applyBorder="1" applyAlignment="1">
      <alignment horizontal="center" vertical="center"/>
    </xf>
    <xf numFmtId="0" fontId="17" fillId="17" borderId="7" xfId="1" applyFill="1" applyBorder="1" applyAlignment="1">
      <alignment horizontal="center" vertical="center"/>
    </xf>
    <xf numFmtId="0" fontId="40" fillId="18" borderId="7" xfId="1" applyFont="1" applyFill="1" applyBorder="1" applyAlignment="1">
      <alignment horizontal="center" vertical="center"/>
    </xf>
    <xf numFmtId="0" fontId="40" fillId="19" borderId="7" xfId="1" applyFont="1" applyFill="1" applyBorder="1" applyAlignment="1">
      <alignment horizontal="center" vertical="center"/>
    </xf>
    <xf numFmtId="0" fontId="40" fillId="17" borderId="7" xfId="1" applyFont="1" applyFill="1" applyBorder="1" applyAlignment="1">
      <alignment horizontal="center" vertical="center"/>
    </xf>
    <xf numFmtId="0" fontId="40" fillId="20" borderId="7" xfId="1" applyFont="1" applyFill="1" applyBorder="1" applyAlignment="1">
      <alignment horizontal="center" vertical="center"/>
    </xf>
    <xf numFmtId="0" fontId="17" fillId="0" borderId="0" xfId="1" applyAlignment="1">
      <alignment horizontal="center" vertical="center"/>
    </xf>
    <xf numFmtId="0" fontId="17" fillId="21" borderId="0" xfId="1" applyFill="1" applyAlignment="1">
      <alignment horizontal="center" vertical="center" shrinkToFit="1"/>
    </xf>
    <xf numFmtId="0" fontId="17" fillId="21" borderId="0" xfId="1" applyFill="1" applyAlignment="1">
      <alignment horizontal="center" vertical="center"/>
    </xf>
    <xf numFmtId="0" fontId="41" fillId="0" borderId="19" xfId="1" applyFont="1" applyBorder="1" applyAlignment="1">
      <alignment horizontal="center" shrinkToFit="1"/>
    </xf>
    <xf numFmtId="0" fontId="41" fillId="0" borderId="0" xfId="1" applyFont="1" applyAlignment="1">
      <alignment horizontal="center" shrinkToFit="1"/>
    </xf>
    <xf numFmtId="0" fontId="41" fillId="0" borderId="0" xfId="1" applyFont="1" applyAlignment="1">
      <alignment horizontal="center" vertical="center"/>
    </xf>
    <xf numFmtId="0" fontId="41" fillId="21" borderId="0" xfId="1" applyFont="1" applyFill="1" applyAlignment="1">
      <alignment horizontal="center" vertical="center" shrinkToFit="1"/>
    </xf>
    <xf numFmtId="0" fontId="42" fillId="5" borderId="15" xfId="1" applyFont="1" applyFill="1" applyBorder="1" applyAlignment="1">
      <alignment horizontal="center" vertical="center" wrapText="1"/>
    </xf>
    <xf numFmtId="0" fontId="42" fillId="5" borderId="23" xfId="1" applyFont="1" applyFill="1" applyBorder="1" applyAlignment="1">
      <alignment horizontal="center" vertical="center" wrapText="1"/>
    </xf>
    <xf numFmtId="0" fontId="42" fillId="5" borderId="23" xfId="1" applyFont="1" applyFill="1" applyBorder="1" applyAlignment="1">
      <alignment horizontal="center" vertical="center" shrinkToFit="1"/>
    </xf>
    <xf numFmtId="0" fontId="43" fillId="15" borderId="13" xfId="1" applyFont="1" applyFill="1" applyBorder="1" applyAlignment="1">
      <alignment horizontal="center" vertical="center"/>
    </xf>
    <xf numFmtId="0" fontId="43" fillId="15" borderId="24" xfId="1" applyFont="1" applyFill="1" applyBorder="1" applyAlignment="1">
      <alignment horizontal="left" vertical="center"/>
    </xf>
    <xf numFmtId="0" fontId="43" fillId="15" borderId="24" xfId="1" applyFont="1" applyFill="1" applyBorder="1" applyAlignment="1">
      <alignment horizontal="center" vertical="center"/>
    </xf>
    <xf numFmtId="0" fontId="43" fillId="15" borderId="24" xfId="1" applyFont="1" applyFill="1" applyBorder="1" applyAlignment="1">
      <alignment horizontal="center" vertical="center" shrinkToFit="1"/>
    </xf>
    <xf numFmtId="0" fontId="41" fillId="17" borderId="7" xfId="1" applyFont="1" applyFill="1" applyBorder="1" applyAlignment="1">
      <alignment horizontal="center" vertical="center"/>
    </xf>
    <xf numFmtId="0" fontId="41" fillId="17" borderId="7" xfId="1" applyFont="1" applyFill="1" applyBorder="1" applyAlignment="1">
      <alignment horizontal="left" vertical="top"/>
    </xf>
    <xf numFmtId="0" fontId="41" fillId="18" borderId="7" xfId="1" applyFont="1" applyFill="1" applyBorder="1" applyAlignment="1">
      <alignment horizontal="center" vertical="center"/>
    </xf>
    <xf numFmtId="0" fontId="41" fillId="18" borderId="7" xfId="1" applyFont="1" applyFill="1" applyBorder="1" applyAlignment="1">
      <alignment horizontal="left" vertical="center"/>
    </xf>
    <xf numFmtId="0" fontId="41" fillId="18" borderId="7" xfId="1" applyFont="1" applyFill="1" applyBorder="1" applyAlignment="1">
      <alignment horizontal="center" vertical="center" shrinkToFit="1"/>
    </xf>
    <xf numFmtId="0" fontId="41" fillId="19" borderId="7" xfId="1" applyFont="1" applyFill="1" applyBorder="1" applyAlignment="1">
      <alignment horizontal="center" vertical="center"/>
    </xf>
    <xf numFmtId="0" fontId="41" fillId="19" borderId="7" xfId="1" applyFont="1" applyFill="1" applyBorder="1" applyAlignment="1">
      <alignment horizontal="left" vertical="center"/>
    </xf>
    <xf numFmtId="0" fontId="41" fillId="19" borderId="7" xfId="1" applyFont="1" applyFill="1" applyBorder="1" applyAlignment="1">
      <alignment horizontal="center" vertical="center" shrinkToFit="1"/>
    </xf>
    <xf numFmtId="0" fontId="41" fillId="17" borderId="7" xfId="1" applyFont="1" applyFill="1" applyBorder="1" applyAlignment="1">
      <alignment horizontal="left" vertical="center"/>
    </xf>
    <xf numFmtId="0" fontId="41" fillId="17" borderId="7" xfId="1" applyFont="1" applyFill="1" applyBorder="1" applyAlignment="1">
      <alignment horizontal="center" vertical="center" shrinkToFit="1"/>
    </xf>
    <xf numFmtId="0" fontId="41" fillId="20" borderId="7" xfId="1" applyFont="1" applyFill="1" applyBorder="1" applyAlignment="1">
      <alignment horizontal="center" vertical="center"/>
    </xf>
    <xf numFmtId="0" fontId="41" fillId="20" borderId="7" xfId="1" applyFont="1" applyFill="1" applyBorder="1" applyAlignment="1">
      <alignment horizontal="left" vertical="center"/>
    </xf>
    <xf numFmtId="0" fontId="41" fillId="21" borderId="0" xfId="1" applyFont="1" applyFill="1" applyAlignment="1">
      <alignment horizontal="center" vertical="center"/>
    </xf>
    <xf numFmtId="0" fontId="17" fillId="5" borderId="0" xfId="1" applyFill="1" applyAlignment="1">
      <alignment horizontal="center" vertical="center"/>
    </xf>
    <xf numFmtId="0" fontId="26" fillId="0" borderId="7" xfId="1" applyFont="1" applyBorder="1" applyAlignment="1">
      <alignment horizontal="center" shrinkToFit="1"/>
    </xf>
    <xf numFmtId="0" fontId="0" fillId="0" borderId="0" xfId="1" applyFont="1" applyAlignment="1">
      <alignment horizontal="center" shrinkToFit="1"/>
    </xf>
    <xf numFmtId="0" fontId="35" fillId="5" borderId="7" xfId="1" applyFont="1" applyFill="1" applyBorder="1" applyAlignment="1">
      <alignment horizontal="center" vertical="center" wrapText="1"/>
    </xf>
    <xf numFmtId="0" fontId="36" fillId="15" borderId="7" xfId="1" applyFont="1" applyFill="1" applyBorder="1" applyAlignment="1">
      <alignment horizontal="center" vertical="center"/>
    </xf>
    <xf numFmtId="0" fontId="37" fillId="15" borderId="7" xfId="1" applyFont="1" applyFill="1" applyBorder="1" applyAlignment="1">
      <alignment horizontal="center" vertical="center"/>
    </xf>
    <xf numFmtId="0" fontId="25" fillId="0" borderId="0" xfId="1" applyFont="1" applyFill="1" applyAlignment="1">
      <alignment horizontal="center" vertical="center"/>
    </xf>
    <xf numFmtId="0" fontId="44" fillId="22" borderId="7" xfId="1" applyFont="1" applyFill="1" applyBorder="1" applyAlignment="1">
      <alignment horizontal="center" vertical="center" wrapText="1"/>
    </xf>
    <xf numFmtId="0" fontId="45" fillId="15" borderId="7" xfId="1" applyFont="1" applyFill="1" applyBorder="1" applyAlignment="1">
      <alignment horizontal="center" vertical="center"/>
    </xf>
    <xf numFmtId="0" fontId="17" fillId="0" borderId="0" xfId="1" applyFont="1" applyFill="1" applyAlignment="1">
      <alignment horizontal="center" vertical="center"/>
    </xf>
    <xf numFmtId="0" fontId="14" fillId="0" borderId="0" xfId="0" quotePrefix="1" applyNumberFormat="1" applyFont="1" applyAlignment="1">
      <alignment horizontal="right"/>
    </xf>
    <xf numFmtId="0" fontId="57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41" fillId="0" borderId="0" xfId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zoomScale="115" zoomScaleNormal="115" workbookViewId="0">
      <selection activeCell="A23" sqref="A23:XFD23"/>
    </sheetView>
  </sheetViews>
  <sheetFormatPr defaultColWidth="8" defaultRowHeight="14"/>
  <cols>
    <col min="1" max="1" width="11.53515625" style="104" customWidth="1"/>
    <col min="2" max="2" width="13.4609375" style="104" customWidth="1"/>
    <col min="3" max="3" width="30.84375" style="104" customWidth="1"/>
    <col min="4" max="4" width="16.53515625" style="104" customWidth="1"/>
    <col min="5" max="5" width="17.3046875" style="104" customWidth="1"/>
    <col min="6" max="6" width="14.07421875" style="104" customWidth="1"/>
    <col min="7" max="7" width="12.84375" style="104" customWidth="1"/>
    <col min="8" max="8" width="15" style="104" customWidth="1"/>
    <col min="9" max="9" width="10.84375" style="104" customWidth="1"/>
    <col min="10" max="11" width="11.69140625" style="104" customWidth="1"/>
    <col min="12" max="12" width="13.53515625" style="104" customWidth="1"/>
    <col min="13" max="13" width="14.07421875" style="104" customWidth="1"/>
    <col min="14" max="14" width="15.69140625" style="104" customWidth="1"/>
    <col min="15" max="15" width="14.07421875" style="104" customWidth="1"/>
    <col min="16" max="16" width="25.3046875" style="104" customWidth="1"/>
    <col min="17" max="17" width="23.765625" style="104" customWidth="1"/>
    <col min="18" max="18" width="25.3046875" style="104" customWidth="1"/>
    <col min="19" max="19" width="16.3046875" style="104" customWidth="1"/>
    <col min="20" max="20" width="26.69140625" style="104" customWidth="1"/>
    <col min="21" max="22" width="14.4609375" style="104" customWidth="1"/>
    <col min="23" max="23" width="15.4609375" style="104" customWidth="1"/>
    <col min="24" max="24" width="20" style="104" customWidth="1"/>
    <col min="25" max="26" width="18" style="104" customWidth="1"/>
    <col min="27" max="27" width="14.53515625" style="104" customWidth="1"/>
    <col min="28" max="28" width="15.84375" style="104" customWidth="1"/>
    <col min="29" max="29" width="17.07421875" style="104" customWidth="1"/>
    <col min="30" max="30" width="16.3046875" style="104" customWidth="1"/>
    <col min="31" max="16384" width="8" style="104"/>
  </cols>
  <sheetData>
    <row r="1" spans="1:17" ht="16.5">
      <c r="A1" s="132" t="s">
        <v>653</v>
      </c>
      <c r="B1" s="133"/>
      <c r="C1" s="133"/>
      <c r="D1" s="133"/>
      <c r="E1" s="133"/>
      <c r="F1" s="133"/>
    </row>
    <row r="2" spans="1:17" s="131" customFormat="1" ht="27">
      <c r="A2" s="134" t="s">
        <v>0</v>
      </c>
      <c r="B2" s="134" t="s">
        <v>1</v>
      </c>
      <c r="C2" s="134" t="s">
        <v>2</v>
      </c>
      <c r="D2" s="134" t="s">
        <v>3</v>
      </c>
      <c r="E2" s="134" t="s">
        <v>3</v>
      </c>
      <c r="F2" s="134" t="s">
        <v>4</v>
      </c>
      <c r="G2" s="134" t="s">
        <v>5</v>
      </c>
      <c r="H2" s="134" t="s">
        <v>6</v>
      </c>
      <c r="I2" s="134" t="s">
        <v>7</v>
      </c>
      <c r="J2" s="134" t="s">
        <v>8</v>
      </c>
      <c r="K2" s="134" t="s">
        <v>652</v>
      </c>
      <c r="L2" s="138" t="s">
        <v>9</v>
      </c>
      <c r="M2" s="138" t="s">
        <v>10</v>
      </c>
      <c r="N2" s="138" t="s">
        <v>11</v>
      </c>
      <c r="O2" s="138" t="s">
        <v>12</v>
      </c>
      <c r="P2" s="134"/>
      <c r="Q2" s="134"/>
    </row>
    <row r="3" spans="1:17" ht="14.5">
      <c r="A3" s="135" t="s">
        <v>13</v>
      </c>
      <c r="B3" s="136" t="s">
        <v>14</v>
      </c>
      <c r="C3" s="136" t="s">
        <v>15</v>
      </c>
      <c r="D3" s="136" t="s">
        <v>16</v>
      </c>
      <c r="E3" s="136" t="s">
        <v>17</v>
      </c>
      <c r="F3" s="135" t="s">
        <v>18</v>
      </c>
      <c r="G3" s="135" t="s">
        <v>19</v>
      </c>
      <c r="H3" s="135" t="s">
        <v>20</v>
      </c>
      <c r="I3" s="135" t="s">
        <v>21</v>
      </c>
      <c r="J3" s="135" t="s">
        <v>22</v>
      </c>
      <c r="K3" s="135" t="s">
        <v>654</v>
      </c>
      <c r="L3" s="139" t="s">
        <v>23</v>
      </c>
      <c r="M3" s="139" t="s">
        <v>24</v>
      </c>
      <c r="N3" s="139" t="s">
        <v>25</v>
      </c>
      <c r="O3" s="139" t="s">
        <v>26</v>
      </c>
      <c r="P3" s="135"/>
      <c r="Q3" s="135"/>
    </row>
    <row r="4" spans="1:17">
      <c r="A4" s="104">
        <v>1</v>
      </c>
      <c r="C4" s="82"/>
      <c r="D4" s="137">
        <v>5</v>
      </c>
      <c r="E4" s="82">
        <v>10</v>
      </c>
      <c r="F4" s="104">
        <v>1</v>
      </c>
      <c r="G4" s="104">
        <v>1</v>
      </c>
      <c r="H4" s="104">
        <v>24</v>
      </c>
      <c r="J4" s="104">
        <v>1.2</v>
      </c>
      <c r="K4" s="104">
        <v>2.8</v>
      </c>
      <c r="L4" s="140">
        <v>3</v>
      </c>
      <c r="M4" s="140">
        <v>4</v>
      </c>
      <c r="N4" s="140">
        <v>1</v>
      </c>
      <c r="O4" s="140">
        <v>1</v>
      </c>
    </row>
    <row r="5" spans="1:17">
      <c r="A5" s="104">
        <v>2</v>
      </c>
      <c r="B5" s="104" t="s">
        <v>27</v>
      </c>
      <c r="C5" s="82" t="s">
        <v>28</v>
      </c>
      <c r="D5" s="137">
        <v>5</v>
      </c>
      <c r="E5" s="82">
        <v>15</v>
      </c>
      <c r="F5" s="104">
        <v>2</v>
      </c>
      <c r="G5" s="104">
        <v>2</v>
      </c>
      <c r="H5" s="104">
        <v>24</v>
      </c>
      <c r="I5" s="104">
        <v>1</v>
      </c>
      <c r="J5" s="104">
        <v>1.2</v>
      </c>
      <c r="K5" s="104">
        <v>2.8</v>
      </c>
      <c r="L5" s="140">
        <v>3</v>
      </c>
      <c r="M5" s="140">
        <v>4</v>
      </c>
      <c r="N5" s="140">
        <v>1</v>
      </c>
      <c r="O5" s="140">
        <v>1</v>
      </c>
    </row>
    <row r="6" spans="1:17">
      <c r="A6" s="104">
        <v>3</v>
      </c>
      <c r="B6" s="104" t="s">
        <v>27</v>
      </c>
      <c r="C6" s="82" t="s">
        <v>29</v>
      </c>
      <c r="D6" s="137">
        <v>5</v>
      </c>
      <c r="E6" s="82">
        <v>20</v>
      </c>
      <c r="F6" s="104">
        <v>3</v>
      </c>
      <c r="G6" s="104">
        <v>3</v>
      </c>
      <c r="H6" s="104">
        <v>24</v>
      </c>
      <c r="J6" s="104">
        <v>1.2</v>
      </c>
      <c r="K6" s="104">
        <v>2.8</v>
      </c>
      <c r="L6" s="140">
        <v>3</v>
      </c>
      <c r="M6" s="140">
        <v>4</v>
      </c>
      <c r="N6" s="140">
        <v>1</v>
      </c>
      <c r="O6" s="140">
        <v>1</v>
      </c>
    </row>
    <row r="7" spans="1:17">
      <c r="A7" s="104">
        <v>4</v>
      </c>
      <c r="B7" s="104" t="s">
        <v>27</v>
      </c>
      <c r="C7" s="82" t="s">
        <v>30</v>
      </c>
      <c r="D7" s="137">
        <v>5</v>
      </c>
      <c r="E7" s="82">
        <v>25</v>
      </c>
      <c r="F7" s="104">
        <v>4</v>
      </c>
      <c r="G7" s="104">
        <v>4</v>
      </c>
      <c r="H7" s="104">
        <v>24</v>
      </c>
      <c r="J7" s="104">
        <v>1.2</v>
      </c>
      <c r="K7" s="104">
        <v>2.8</v>
      </c>
      <c r="L7" s="140">
        <v>3</v>
      </c>
      <c r="M7" s="140">
        <v>4</v>
      </c>
      <c r="N7" s="140">
        <v>1</v>
      </c>
      <c r="O7" s="140">
        <v>1</v>
      </c>
    </row>
    <row r="8" spans="1:17">
      <c r="A8" s="104">
        <v>5</v>
      </c>
      <c r="B8" s="104" t="s">
        <v>27</v>
      </c>
      <c r="C8" s="82" t="s">
        <v>31</v>
      </c>
      <c r="D8" s="82">
        <v>10</v>
      </c>
      <c r="E8" s="82">
        <v>30</v>
      </c>
      <c r="F8" s="104">
        <v>5</v>
      </c>
      <c r="G8" s="104">
        <v>5</v>
      </c>
      <c r="H8" s="104">
        <v>24</v>
      </c>
      <c r="J8" s="104">
        <v>1.2</v>
      </c>
      <c r="K8" s="104">
        <v>2.8</v>
      </c>
      <c r="L8" s="140">
        <v>3</v>
      </c>
      <c r="M8" s="140">
        <v>4</v>
      </c>
      <c r="N8" s="140">
        <v>1</v>
      </c>
      <c r="O8" s="140">
        <v>1</v>
      </c>
    </row>
    <row r="9" spans="1:17">
      <c r="A9" s="104">
        <v>6</v>
      </c>
      <c r="B9" s="104" t="s">
        <v>27</v>
      </c>
      <c r="C9" s="82" t="s">
        <v>32</v>
      </c>
      <c r="D9" s="82">
        <v>15</v>
      </c>
      <c r="E9" s="82">
        <v>40</v>
      </c>
      <c r="F9" s="104">
        <v>6</v>
      </c>
      <c r="G9" s="104">
        <v>6</v>
      </c>
      <c r="H9" s="104">
        <v>24</v>
      </c>
      <c r="I9" s="104">
        <v>1</v>
      </c>
      <c r="J9" s="104">
        <v>1.2</v>
      </c>
      <c r="K9" s="104">
        <v>2.8</v>
      </c>
      <c r="L9" s="140">
        <v>3</v>
      </c>
      <c r="M9" s="140">
        <v>4</v>
      </c>
      <c r="N9" s="140">
        <v>1</v>
      </c>
      <c r="O9" s="140">
        <v>1</v>
      </c>
    </row>
    <row r="10" spans="1:17">
      <c r="A10" s="104">
        <v>7</v>
      </c>
      <c r="B10" s="104" t="s">
        <v>27</v>
      </c>
      <c r="C10" s="82" t="s">
        <v>33</v>
      </c>
      <c r="D10" s="82">
        <v>15</v>
      </c>
      <c r="E10" s="82">
        <v>50</v>
      </c>
      <c r="F10" s="104">
        <v>7</v>
      </c>
      <c r="G10" s="104">
        <v>7</v>
      </c>
      <c r="H10" s="104">
        <v>24</v>
      </c>
      <c r="J10" s="104">
        <v>1.2</v>
      </c>
      <c r="K10" s="104">
        <v>2.8</v>
      </c>
      <c r="L10" s="140">
        <v>3</v>
      </c>
      <c r="M10" s="140">
        <v>4</v>
      </c>
      <c r="N10" s="140">
        <v>1</v>
      </c>
      <c r="O10" s="140">
        <v>1</v>
      </c>
    </row>
    <row r="11" spans="1:17">
      <c r="A11" s="104">
        <v>8</v>
      </c>
      <c r="B11" s="104" t="s">
        <v>27</v>
      </c>
      <c r="C11" s="82" t="s">
        <v>34</v>
      </c>
      <c r="D11" s="82">
        <v>25</v>
      </c>
      <c r="E11" s="82">
        <v>60</v>
      </c>
      <c r="F11" s="104">
        <v>8</v>
      </c>
      <c r="G11" s="104">
        <v>8</v>
      </c>
      <c r="H11" s="104">
        <v>24</v>
      </c>
      <c r="J11" s="104">
        <v>1.2</v>
      </c>
      <c r="K11" s="104">
        <v>2.8</v>
      </c>
      <c r="L11" s="140">
        <v>3</v>
      </c>
      <c r="M11" s="140">
        <v>4</v>
      </c>
      <c r="N11" s="140">
        <v>1</v>
      </c>
      <c r="O11" s="140">
        <v>1</v>
      </c>
    </row>
    <row r="12" spans="1:17">
      <c r="A12" s="104">
        <v>9</v>
      </c>
      <c r="B12" s="104" t="s">
        <v>27</v>
      </c>
      <c r="C12" s="82" t="s">
        <v>35</v>
      </c>
      <c r="D12" s="82">
        <v>25</v>
      </c>
      <c r="E12" s="82">
        <v>60</v>
      </c>
      <c r="F12" s="104">
        <v>8</v>
      </c>
      <c r="G12" s="104">
        <v>8</v>
      </c>
      <c r="H12" s="104">
        <v>24</v>
      </c>
      <c r="J12" s="104">
        <v>1.2</v>
      </c>
      <c r="K12" s="104">
        <v>2.8</v>
      </c>
      <c r="L12" s="140">
        <v>3</v>
      </c>
      <c r="M12" s="140">
        <v>4</v>
      </c>
      <c r="N12" s="140">
        <v>1</v>
      </c>
      <c r="O12" s="140">
        <v>1</v>
      </c>
    </row>
    <row r="13" spans="1:17">
      <c r="A13" s="104">
        <v>10</v>
      </c>
      <c r="B13" s="104" t="s">
        <v>27</v>
      </c>
      <c r="C13" s="82" t="s">
        <v>36</v>
      </c>
      <c r="D13" s="82">
        <v>25</v>
      </c>
      <c r="E13" s="82">
        <v>60</v>
      </c>
      <c r="F13" s="104">
        <v>8</v>
      </c>
      <c r="G13" s="104">
        <v>8</v>
      </c>
      <c r="H13" s="104">
        <v>24</v>
      </c>
      <c r="J13" s="104">
        <v>1.2</v>
      </c>
      <c r="K13" s="104">
        <v>2.8</v>
      </c>
      <c r="L13" s="140">
        <v>3</v>
      </c>
      <c r="M13" s="140">
        <v>4</v>
      </c>
      <c r="N13" s="140">
        <v>1</v>
      </c>
      <c r="O13" s="140">
        <v>1</v>
      </c>
    </row>
    <row r="14" spans="1:17">
      <c r="A14" s="104">
        <v>11</v>
      </c>
      <c r="B14" s="104" t="s">
        <v>27</v>
      </c>
      <c r="C14" s="82" t="s">
        <v>37</v>
      </c>
      <c r="D14" s="82">
        <v>25</v>
      </c>
      <c r="E14" s="82">
        <v>60</v>
      </c>
      <c r="F14" s="104">
        <v>8</v>
      </c>
      <c r="G14" s="104">
        <v>8</v>
      </c>
      <c r="H14" s="104">
        <v>24</v>
      </c>
      <c r="J14" s="104">
        <v>1.2</v>
      </c>
      <c r="K14" s="104">
        <v>2.8</v>
      </c>
      <c r="L14" s="140">
        <v>3</v>
      </c>
      <c r="M14" s="140">
        <v>4</v>
      </c>
      <c r="N14" s="140">
        <v>1</v>
      </c>
      <c r="O14" s="140">
        <v>1</v>
      </c>
    </row>
    <row r="15" spans="1:17">
      <c r="A15" s="104">
        <v>12</v>
      </c>
      <c r="B15" s="104" t="s">
        <v>27</v>
      </c>
      <c r="C15" s="82" t="s">
        <v>38</v>
      </c>
      <c r="D15" s="82">
        <v>25</v>
      </c>
      <c r="E15" s="82">
        <v>60</v>
      </c>
      <c r="F15" s="104">
        <v>8</v>
      </c>
      <c r="G15" s="104">
        <v>8</v>
      </c>
      <c r="H15" s="104">
        <v>24</v>
      </c>
      <c r="J15" s="104">
        <v>1.2</v>
      </c>
      <c r="K15" s="104">
        <v>2.8</v>
      </c>
      <c r="L15" s="140">
        <v>3</v>
      </c>
      <c r="M15" s="140">
        <v>4</v>
      </c>
      <c r="N15" s="140">
        <v>1</v>
      </c>
      <c r="O15" s="140">
        <v>1</v>
      </c>
    </row>
    <row r="16" spans="1:17">
      <c r="A16" s="104">
        <v>13</v>
      </c>
      <c r="B16" s="104" t="s">
        <v>27</v>
      </c>
      <c r="C16" s="82" t="s">
        <v>39</v>
      </c>
      <c r="D16" s="82">
        <v>25</v>
      </c>
      <c r="E16" s="82">
        <v>60</v>
      </c>
      <c r="F16" s="104">
        <v>8</v>
      </c>
      <c r="G16" s="104">
        <v>8</v>
      </c>
      <c r="H16" s="104">
        <v>24</v>
      </c>
      <c r="J16" s="104">
        <v>1.2</v>
      </c>
      <c r="K16" s="104">
        <v>2.8</v>
      </c>
      <c r="L16" s="140">
        <v>3</v>
      </c>
      <c r="M16" s="140">
        <v>4</v>
      </c>
      <c r="N16" s="140">
        <v>1</v>
      </c>
      <c r="O16" s="140">
        <v>1</v>
      </c>
    </row>
    <row r="17" spans="1:15">
      <c r="A17" s="104">
        <v>14</v>
      </c>
      <c r="B17" s="104" t="s">
        <v>27</v>
      </c>
      <c r="C17" s="82" t="s">
        <v>40</v>
      </c>
      <c r="D17" s="82">
        <v>25</v>
      </c>
      <c r="E17" s="82">
        <v>60</v>
      </c>
      <c r="F17" s="104">
        <v>8</v>
      </c>
      <c r="G17" s="104">
        <v>8</v>
      </c>
      <c r="H17" s="104">
        <v>24</v>
      </c>
      <c r="J17" s="104">
        <v>1.2</v>
      </c>
      <c r="K17" s="104">
        <v>2.8</v>
      </c>
      <c r="L17" s="140">
        <v>3</v>
      </c>
      <c r="M17" s="140">
        <v>4</v>
      </c>
      <c r="N17" s="140">
        <v>1</v>
      </c>
      <c r="O17" s="140">
        <v>1</v>
      </c>
    </row>
    <row r="18" spans="1:15">
      <c r="A18" s="104">
        <v>15</v>
      </c>
      <c r="B18" s="104" t="s">
        <v>27</v>
      </c>
      <c r="C18" s="82" t="s">
        <v>41</v>
      </c>
      <c r="D18" s="82">
        <v>25</v>
      </c>
      <c r="E18" s="82">
        <v>60</v>
      </c>
      <c r="F18" s="104">
        <v>8</v>
      </c>
      <c r="G18" s="104">
        <v>8</v>
      </c>
      <c r="H18" s="104">
        <v>24</v>
      </c>
      <c r="J18" s="104">
        <v>1.2</v>
      </c>
      <c r="K18" s="104">
        <v>2.8</v>
      </c>
      <c r="L18" s="140">
        <v>3</v>
      </c>
      <c r="M18" s="140">
        <v>4</v>
      </c>
      <c r="N18" s="140">
        <v>1</v>
      </c>
      <c r="O18" s="140">
        <v>1</v>
      </c>
    </row>
    <row r="19" spans="1:15">
      <c r="A19" s="104">
        <v>16</v>
      </c>
      <c r="B19" s="104" t="s">
        <v>27</v>
      </c>
      <c r="C19" s="82" t="s">
        <v>42</v>
      </c>
      <c r="D19" s="82">
        <v>25</v>
      </c>
      <c r="E19" s="82">
        <v>60</v>
      </c>
      <c r="F19" s="104">
        <v>8</v>
      </c>
      <c r="G19" s="104">
        <v>8</v>
      </c>
      <c r="H19" s="104">
        <v>24</v>
      </c>
      <c r="J19" s="104">
        <v>1.2</v>
      </c>
      <c r="K19" s="104">
        <v>2.8</v>
      </c>
      <c r="L19" s="140">
        <v>3</v>
      </c>
      <c r="M19" s="140">
        <v>4</v>
      </c>
      <c r="N19" s="140">
        <v>1</v>
      </c>
      <c r="O19" s="140">
        <v>1</v>
      </c>
    </row>
    <row r="20" spans="1:15">
      <c r="A20" s="104">
        <v>17</v>
      </c>
      <c r="B20" s="104" t="s">
        <v>27</v>
      </c>
      <c r="C20" s="82" t="s">
        <v>43</v>
      </c>
      <c r="D20" s="82">
        <v>25</v>
      </c>
      <c r="E20" s="82">
        <v>60</v>
      </c>
      <c r="F20" s="104">
        <v>8</v>
      </c>
      <c r="G20" s="104">
        <v>8</v>
      </c>
      <c r="H20" s="104">
        <v>24</v>
      </c>
      <c r="J20" s="104">
        <v>1.2</v>
      </c>
      <c r="K20" s="104">
        <v>2.8</v>
      </c>
      <c r="L20" s="140">
        <v>3</v>
      </c>
      <c r="M20" s="140">
        <v>4</v>
      </c>
      <c r="N20" s="140">
        <v>1</v>
      </c>
      <c r="O20" s="140">
        <v>1</v>
      </c>
    </row>
    <row r="21" spans="1:15">
      <c r="A21" s="104">
        <v>18</v>
      </c>
      <c r="B21" s="104" t="s">
        <v>27</v>
      </c>
      <c r="C21" s="82" t="s">
        <v>44</v>
      </c>
      <c r="D21" s="82">
        <v>25</v>
      </c>
      <c r="E21" s="82">
        <v>60</v>
      </c>
      <c r="F21" s="104">
        <v>8</v>
      </c>
      <c r="G21" s="104">
        <v>8</v>
      </c>
      <c r="H21" s="104">
        <v>24</v>
      </c>
      <c r="J21" s="104">
        <v>1.2</v>
      </c>
      <c r="K21" s="104">
        <v>2.8</v>
      </c>
      <c r="L21" s="140">
        <v>3</v>
      </c>
      <c r="M21" s="140">
        <v>4</v>
      </c>
      <c r="N21" s="140">
        <v>1</v>
      </c>
      <c r="O21" s="140">
        <v>1</v>
      </c>
    </row>
    <row r="22" spans="1:15">
      <c r="A22" s="104">
        <v>19</v>
      </c>
      <c r="B22" s="104" t="s">
        <v>27</v>
      </c>
      <c r="C22" s="82" t="s">
        <v>45</v>
      </c>
      <c r="D22" s="82">
        <v>25</v>
      </c>
      <c r="E22" s="82">
        <v>60</v>
      </c>
      <c r="F22" s="104">
        <v>8</v>
      </c>
      <c r="G22" s="104">
        <v>8</v>
      </c>
      <c r="H22" s="104">
        <v>24</v>
      </c>
      <c r="J22" s="104">
        <v>1.2</v>
      </c>
      <c r="K22" s="104">
        <v>2.8</v>
      </c>
      <c r="L22" s="140">
        <v>3</v>
      </c>
      <c r="M22" s="140">
        <v>4</v>
      </c>
      <c r="N22" s="140">
        <v>1</v>
      </c>
      <c r="O22" s="140">
        <v>1</v>
      </c>
    </row>
    <row r="23" spans="1:15">
      <c r="A23" s="104">
        <v>20</v>
      </c>
      <c r="B23" s="104" t="s">
        <v>27</v>
      </c>
      <c r="C23" s="82" t="s">
        <v>46</v>
      </c>
      <c r="D23" s="82">
        <v>25</v>
      </c>
      <c r="E23" s="82">
        <v>60</v>
      </c>
      <c r="F23" s="104">
        <v>8</v>
      </c>
      <c r="G23" s="104">
        <v>8</v>
      </c>
      <c r="H23" s="104">
        <v>24</v>
      </c>
      <c r="J23" s="104">
        <v>1.2</v>
      </c>
      <c r="K23" s="104">
        <v>2.8</v>
      </c>
      <c r="L23" s="140">
        <v>3</v>
      </c>
      <c r="M23" s="140">
        <v>4</v>
      </c>
      <c r="N23" s="140">
        <v>1</v>
      </c>
      <c r="O23" s="140">
        <v>1</v>
      </c>
    </row>
    <row r="24" spans="1:15">
      <c r="C24" s="82"/>
      <c r="D24" s="137"/>
      <c r="E24" s="137"/>
    </row>
    <row r="25" spans="1:15">
      <c r="C25" s="82"/>
      <c r="D25" s="137"/>
      <c r="E25" s="137"/>
    </row>
    <row r="26" spans="1:15">
      <c r="C26" s="82"/>
      <c r="D26" s="137"/>
      <c r="E26" s="137"/>
    </row>
    <row r="27" spans="1:15">
      <c r="C27" s="82"/>
      <c r="D27" s="137"/>
      <c r="E27" s="137"/>
    </row>
    <row r="28" spans="1:15">
      <c r="C28" s="82"/>
      <c r="D28" s="137"/>
      <c r="E28" s="137"/>
    </row>
    <row r="29" spans="1:15">
      <c r="C29" s="82"/>
      <c r="D29" s="137"/>
      <c r="E29" s="137"/>
    </row>
    <row r="30" spans="1:15">
      <c r="C30" s="82"/>
      <c r="D30" s="137"/>
      <c r="E30" s="137"/>
    </row>
    <row r="31" spans="1:15">
      <c r="C31" s="82"/>
      <c r="D31" s="137"/>
      <c r="E31" s="137"/>
    </row>
    <row r="32" spans="1:15">
      <c r="C32" s="82"/>
      <c r="D32" s="137"/>
      <c r="E32" s="137"/>
    </row>
    <row r="33" spans="3:5">
      <c r="C33" s="82"/>
      <c r="D33" s="137"/>
      <c r="E33" s="137"/>
    </row>
  </sheetData>
  <phoneticPr fontId="5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0"/>
  <sheetViews>
    <sheetView tabSelected="1" zoomScale="145" zoomScaleNormal="145" workbookViewId="0">
      <pane xSplit="2" ySplit="3" topLeftCell="K671" activePane="bottomRight" state="frozen"/>
      <selection pane="topRight"/>
      <selection pane="bottomLeft"/>
      <selection pane="bottomRight" activeCell="P375" sqref="P375:Q700"/>
    </sheetView>
  </sheetViews>
  <sheetFormatPr defaultColWidth="8" defaultRowHeight="14"/>
  <cols>
    <col min="1" max="1" width="8.4609375" style="104" customWidth="1"/>
    <col min="2" max="2" width="22.4609375" style="104" customWidth="1"/>
    <col min="3" max="3" width="9.3046875" style="104" customWidth="1"/>
    <col min="4" max="4" width="8.765625" style="104" customWidth="1"/>
    <col min="5" max="5" width="14.69140625" style="104" customWidth="1"/>
    <col min="6" max="6" width="8.3046875" style="104" customWidth="1"/>
    <col min="7" max="7" width="10.765625" style="104" customWidth="1"/>
    <col min="8" max="8" width="18.53515625" style="105" customWidth="1"/>
    <col min="9" max="9" width="18.53515625" style="106" customWidth="1"/>
    <col min="10" max="10" width="10.53515625" style="104" customWidth="1"/>
    <col min="11" max="11" width="17.07421875" style="104" customWidth="1"/>
    <col min="12" max="12" width="19.3046875" style="104" customWidth="1"/>
    <col min="13" max="13" width="13.765625" style="104" customWidth="1"/>
    <col min="14" max="15" width="23.765625" style="104" customWidth="1"/>
    <col min="16" max="16" width="16.3046875" style="104" customWidth="1"/>
    <col min="17" max="17" width="26.69140625" style="104" customWidth="1"/>
    <col min="18" max="19" width="14.4609375" style="104" customWidth="1"/>
    <col min="20" max="20" width="15.4609375" style="104" customWidth="1"/>
    <col min="21" max="21" width="20" style="104" customWidth="1"/>
    <col min="22" max="23" width="18" style="104" customWidth="1"/>
    <col min="24" max="24" width="14.53515625" style="104" customWidth="1"/>
    <col min="25" max="25" width="15.84375" style="104" customWidth="1"/>
    <col min="26" max="26" width="17.07421875" style="104" customWidth="1"/>
    <col min="27" max="27" width="16.3046875" style="104" customWidth="1"/>
    <col min="28" max="16384" width="8" style="104"/>
  </cols>
  <sheetData>
    <row r="1" spans="1:17">
      <c r="A1" s="107" t="s">
        <v>648</v>
      </c>
      <c r="B1" s="108"/>
      <c r="C1" s="109"/>
      <c r="D1" s="108"/>
      <c r="E1" s="108"/>
      <c r="F1" s="108"/>
      <c r="G1" s="109"/>
      <c r="H1" s="110"/>
      <c r="I1" s="130"/>
      <c r="J1" s="109"/>
      <c r="K1" s="109"/>
      <c r="L1" s="109"/>
      <c r="M1" s="109"/>
      <c r="N1" s="109"/>
      <c r="O1" s="109"/>
    </row>
    <row r="2" spans="1:17" s="97" customFormat="1" ht="36">
      <c r="A2" s="111" t="s">
        <v>47</v>
      </c>
      <c r="B2" s="112" t="s">
        <v>48</v>
      </c>
      <c r="C2" s="112" t="s">
        <v>49</v>
      </c>
      <c r="D2" s="112" t="s">
        <v>50</v>
      </c>
      <c r="E2" s="112" t="s">
        <v>51</v>
      </c>
      <c r="F2" s="112" t="s">
        <v>52</v>
      </c>
      <c r="G2" s="112" t="s">
        <v>53</v>
      </c>
      <c r="H2" s="113" t="s">
        <v>54</v>
      </c>
      <c r="I2" s="112" t="s">
        <v>55</v>
      </c>
      <c r="J2" s="112" t="s">
        <v>56</v>
      </c>
      <c r="K2" s="112" t="s">
        <v>57</v>
      </c>
      <c r="L2" s="112" t="s">
        <v>58</v>
      </c>
      <c r="M2" s="112" t="s">
        <v>59</v>
      </c>
      <c r="N2" s="112" t="s">
        <v>60</v>
      </c>
      <c r="O2" s="112" t="s">
        <v>61</v>
      </c>
      <c r="P2" s="97" t="s">
        <v>649</v>
      </c>
      <c r="Q2" s="97" t="s">
        <v>649</v>
      </c>
    </row>
    <row r="3" spans="1:17" s="98" customFormat="1" ht="14.5" thickBot="1">
      <c r="A3" s="114" t="s">
        <v>62</v>
      </c>
      <c r="B3" s="115"/>
      <c r="C3" s="116" t="s">
        <v>63</v>
      </c>
      <c r="D3" s="116" t="s">
        <v>64</v>
      </c>
      <c r="E3" s="116" t="s">
        <v>65</v>
      </c>
      <c r="F3" s="116" t="s">
        <v>66</v>
      </c>
      <c r="G3" s="116" t="s">
        <v>67</v>
      </c>
      <c r="H3" s="117" t="s">
        <v>68</v>
      </c>
      <c r="I3" s="116" t="s">
        <v>69</v>
      </c>
      <c r="J3" s="116" t="s">
        <v>70</v>
      </c>
      <c r="K3" s="116" t="s">
        <v>71</v>
      </c>
      <c r="L3" s="116" t="s">
        <v>72</v>
      </c>
      <c r="M3" s="116" t="s">
        <v>73</v>
      </c>
      <c r="N3" s="116" t="s">
        <v>74</v>
      </c>
      <c r="O3" s="116" t="s">
        <v>75</v>
      </c>
      <c r="P3" s="98" t="s">
        <v>651</v>
      </c>
      <c r="Q3" s="98" t="s">
        <v>650</v>
      </c>
    </row>
    <row r="4" spans="1:17" s="99" customFormat="1">
      <c r="A4" s="118">
        <v>1000</v>
      </c>
      <c r="B4" s="119" t="s">
        <v>76</v>
      </c>
      <c r="C4" s="118" t="s">
        <v>77</v>
      </c>
      <c r="D4" s="118">
        <v>4001</v>
      </c>
      <c r="E4" s="118" t="s">
        <v>78</v>
      </c>
      <c r="F4" s="118" t="b">
        <v>1</v>
      </c>
      <c r="G4" s="118"/>
      <c r="H4" s="118" t="s">
        <v>79</v>
      </c>
      <c r="I4" s="118">
        <v>5</v>
      </c>
      <c r="J4" s="118" t="b">
        <v>0</v>
      </c>
      <c r="K4" s="118" t="b">
        <v>1</v>
      </c>
      <c r="L4" s="118" t="s">
        <v>80</v>
      </c>
      <c r="M4" s="118">
        <v>14</v>
      </c>
      <c r="N4" s="118">
        <v>4001</v>
      </c>
      <c r="O4" s="118"/>
    </row>
    <row r="5" spans="1:17" s="99" customFormat="1">
      <c r="A5" s="118">
        <v>1001</v>
      </c>
      <c r="B5" s="119" t="s">
        <v>81</v>
      </c>
      <c r="C5" s="118" t="s">
        <v>82</v>
      </c>
      <c r="D5" s="118">
        <v>4002</v>
      </c>
      <c r="E5" s="118" t="s">
        <v>78</v>
      </c>
      <c r="F5" s="118" t="b">
        <v>1</v>
      </c>
      <c r="G5" s="118"/>
      <c r="H5" s="118" t="s">
        <v>79</v>
      </c>
      <c r="I5" s="118">
        <v>5</v>
      </c>
      <c r="J5" s="118" t="b">
        <v>0</v>
      </c>
      <c r="K5" s="118" t="b">
        <v>1</v>
      </c>
      <c r="L5" s="118" t="s">
        <v>83</v>
      </c>
      <c r="M5" s="118">
        <v>14</v>
      </c>
      <c r="N5" s="118">
        <v>4002</v>
      </c>
      <c r="O5" s="118"/>
    </row>
    <row r="6" spans="1:17" s="99" customFormat="1">
      <c r="A6" s="118">
        <v>1002</v>
      </c>
      <c r="B6" s="119" t="s">
        <v>84</v>
      </c>
      <c r="C6" s="118" t="s">
        <v>85</v>
      </c>
      <c r="D6" s="118">
        <v>4003</v>
      </c>
      <c r="E6" s="118" t="s">
        <v>78</v>
      </c>
      <c r="F6" s="118" t="b">
        <v>1</v>
      </c>
      <c r="G6" s="118"/>
      <c r="H6" s="118" t="s">
        <v>79</v>
      </c>
      <c r="I6" s="118">
        <v>5</v>
      </c>
      <c r="J6" s="118" t="b">
        <v>0</v>
      </c>
      <c r="K6" s="118" t="b">
        <v>1</v>
      </c>
      <c r="L6" s="118" t="s">
        <v>86</v>
      </c>
      <c r="M6" s="118">
        <v>14</v>
      </c>
      <c r="N6" s="118">
        <v>4003</v>
      </c>
      <c r="O6" s="118"/>
    </row>
    <row r="7" spans="1:17" s="99" customFormat="1">
      <c r="A7" s="118">
        <v>1003</v>
      </c>
      <c r="B7" s="119" t="s">
        <v>87</v>
      </c>
      <c r="C7" s="118" t="s">
        <v>88</v>
      </c>
      <c r="D7" s="118">
        <v>4004</v>
      </c>
      <c r="E7" s="118" t="s">
        <v>78</v>
      </c>
      <c r="F7" s="118" t="b">
        <v>1</v>
      </c>
      <c r="G7" s="118"/>
      <c r="H7" s="118" t="s">
        <v>79</v>
      </c>
      <c r="I7" s="118">
        <v>5</v>
      </c>
      <c r="J7" s="118" t="b">
        <v>0</v>
      </c>
      <c r="K7" s="118" t="b">
        <v>1</v>
      </c>
      <c r="L7" s="118" t="s">
        <v>89</v>
      </c>
      <c r="M7" s="118">
        <v>14</v>
      </c>
      <c r="N7" s="118">
        <v>4004</v>
      </c>
      <c r="O7" s="118"/>
    </row>
    <row r="8" spans="1:17" s="99" customFormat="1">
      <c r="A8" s="118">
        <v>1004</v>
      </c>
      <c r="B8" s="119" t="s">
        <v>90</v>
      </c>
      <c r="C8" s="118" t="s">
        <v>91</v>
      </c>
      <c r="D8" s="118">
        <v>4005</v>
      </c>
      <c r="E8" s="118" t="s">
        <v>78</v>
      </c>
      <c r="F8" s="118" t="b">
        <v>1</v>
      </c>
      <c r="G8" s="118"/>
      <c r="H8" s="118" t="s">
        <v>79</v>
      </c>
      <c r="I8" s="118">
        <v>5</v>
      </c>
      <c r="J8" s="118" t="b">
        <v>0</v>
      </c>
      <c r="K8" s="118" t="b">
        <v>1</v>
      </c>
      <c r="L8" s="118" t="s">
        <v>92</v>
      </c>
      <c r="M8" s="118">
        <v>14</v>
      </c>
      <c r="N8" s="118">
        <v>4005</v>
      </c>
      <c r="O8" s="118"/>
    </row>
    <row r="9" spans="1:17" s="99" customFormat="1">
      <c r="A9" s="118">
        <v>1005</v>
      </c>
      <c r="B9" s="119" t="s">
        <v>726</v>
      </c>
      <c r="C9" s="118" t="s">
        <v>91</v>
      </c>
      <c r="D9" s="118">
        <v>4005</v>
      </c>
      <c r="E9" s="118" t="s">
        <v>78</v>
      </c>
      <c r="F9" s="118" t="b">
        <v>1</v>
      </c>
      <c r="G9" s="118"/>
      <c r="H9" s="118" t="s">
        <v>79</v>
      </c>
      <c r="I9" s="118">
        <v>6</v>
      </c>
      <c r="J9" s="118" t="b">
        <v>0</v>
      </c>
      <c r="K9" s="118" t="b">
        <v>1</v>
      </c>
      <c r="L9" s="118" t="s">
        <v>729</v>
      </c>
      <c r="M9" s="118">
        <v>14</v>
      </c>
      <c r="N9" s="118">
        <v>4005</v>
      </c>
      <c r="O9" s="118"/>
    </row>
    <row r="10" spans="1:17" s="100" customFormat="1" ht="13">
      <c r="A10" s="120">
        <v>2000</v>
      </c>
      <c r="B10" s="121" t="s">
        <v>93</v>
      </c>
      <c r="C10" s="120" t="s">
        <v>77</v>
      </c>
      <c r="D10" s="120">
        <v>3001</v>
      </c>
      <c r="E10" s="120" t="s">
        <v>94</v>
      </c>
      <c r="F10" s="120" t="b">
        <v>0</v>
      </c>
      <c r="G10" s="120"/>
      <c r="H10" s="122" t="s">
        <v>79</v>
      </c>
      <c r="I10" s="120">
        <v>5</v>
      </c>
      <c r="J10" s="120" t="b">
        <v>0</v>
      </c>
      <c r="K10" s="120"/>
      <c r="L10" s="120" t="s">
        <v>95</v>
      </c>
      <c r="M10" s="120">
        <v>14</v>
      </c>
      <c r="N10" s="120"/>
      <c r="O10" s="120" t="s">
        <v>96</v>
      </c>
    </row>
    <row r="11" spans="1:17" s="100" customFormat="1" ht="13">
      <c r="A11" s="120">
        <v>2001</v>
      </c>
      <c r="B11" s="121" t="s">
        <v>97</v>
      </c>
      <c r="C11" s="120" t="s">
        <v>77</v>
      </c>
      <c r="D11" s="120">
        <v>3002</v>
      </c>
      <c r="E11" s="120" t="s">
        <v>94</v>
      </c>
      <c r="F11" s="120" t="b">
        <v>0</v>
      </c>
      <c r="G11" s="120"/>
      <c r="H11" s="122"/>
      <c r="I11" s="120">
        <v>5</v>
      </c>
      <c r="J11" s="120" t="b">
        <v>0</v>
      </c>
      <c r="K11" s="120"/>
      <c r="L11" s="120">
        <v>6636201</v>
      </c>
      <c r="M11" s="120">
        <v>14</v>
      </c>
      <c r="N11" s="120"/>
      <c r="O11" s="120" t="s">
        <v>96</v>
      </c>
    </row>
    <row r="12" spans="1:17" s="100" customFormat="1" ht="13">
      <c r="A12" s="120">
        <v>2002</v>
      </c>
      <c r="B12" s="121" t="s">
        <v>98</v>
      </c>
      <c r="C12" s="120" t="s">
        <v>82</v>
      </c>
      <c r="D12" s="120">
        <v>3003</v>
      </c>
      <c r="E12" s="120" t="s">
        <v>94</v>
      </c>
      <c r="F12" s="120" t="b">
        <v>0</v>
      </c>
      <c r="G12" s="120"/>
      <c r="H12" s="122" t="s">
        <v>79</v>
      </c>
      <c r="I12" s="120">
        <v>5</v>
      </c>
      <c r="J12" s="120" t="b">
        <v>0</v>
      </c>
      <c r="K12" s="120"/>
      <c r="L12" s="120">
        <v>6636202</v>
      </c>
      <c r="M12" s="120">
        <v>14</v>
      </c>
      <c r="N12" s="120"/>
      <c r="O12" s="120" t="str">
        <f>委任玩法!M348</f>
        <v>14001;14002;14003;14004;14005;14006;14007;14008;14009;14010;14011;14012;14013;14014;14101;14102;14103;14104;14105;14106;14107;14108;14109;14110;14111;14112;14113;14114;14201;14202;14203;14204;14205;14206;14207;14208;14209;14210;14211;14212;14213;14214</v>
      </c>
    </row>
    <row r="13" spans="1:17" s="100" customFormat="1" ht="13">
      <c r="A13" s="120">
        <v>2003</v>
      </c>
      <c r="B13" s="121" t="s">
        <v>99</v>
      </c>
      <c r="C13" s="120" t="s">
        <v>82</v>
      </c>
      <c r="D13" s="120">
        <v>3004</v>
      </c>
      <c r="E13" s="120" t="s">
        <v>94</v>
      </c>
      <c r="F13" s="120" t="b">
        <v>0</v>
      </c>
      <c r="G13" s="120"/>
      <c r="H13" s="122"/>
      <c r="I13" s="120">
        <v>5</v>
      </c>
      <c r="J13" s="120" t="b">
        <v>0</v>
      </c>
      <c r="K13" s="120"/>
      <c r="L13" s="120">
        <v>6636202</v>
      </c>
      <c r="M13" s="120">
        <v>14</v>
      </c>
      <c r="N13" s="120"/>
      <c r="O13" s="120" t="str">
        <f>委任玩法!M348</f>
        <v>14001;14002;14003;14004;14005;14006;14007;14008;14009;14010;14011;14012;14013;14014;14101;14102;14103;14104;14105;14106;14107;14108;14109;14110;14111;14112;14113;14114;14201;14202;14203;14204;14205;14206;14207;14208;14209;14210;14211;14212;14213;14214</v>
      </c>
    </row>
    <row r="14" spans="1:17" s="100" customFormat="1" ht="13">
      <c r="A14" s="120">
        <v>2004</v>
      </c>
      <c r="B14" s="121" t="s">
        <v>100</v>
      </c>
      <c r="C14" s="120" t="s">
        <v>85</v>
      </c>
      <c r="D14" s="120">
        <v>3005</v>
      </c>
      <c r="E14" s="120" t="s">
        <v>94</v>
      </c>
      <c r="F14" s="120" t="b">
        <v>0</v>
      </c>
      <c r="G14" s="120"/>
      <c r="H14" s="122" t="s">
        <v>79</v>
      </c>
      <c r="I14" s="120">
        <v>5</v>
      </c>
      <c r="J14" s="120" t="b">
        <v>0</v>
      </c>
      <c r="K14" s="120"/>
      <c r="L14" s="120">
        <v>6636203</v>
      </c>
      <c r="M14" s="120">
        <v>14</v>
      </c>
      <c r="N14" s="120"/>
      <c r="O14" s="120" t="str">
        <f>委任玩法!M350</f>
        <v>13001;13002;13003;13004;13005;13006;13007;13008;13009;13010;13011;13012;13013;13014;13101;13102;13103;13104;13105;13106;13107;13108;13109;13110;13111;13112;13113;13114;13201;13202;13203;13204;13205;13206;13207;13208;13209;13210;13211;13212;13213;13214</v>
      </c>
    </row>
    <row r="15" spans="1:17" s="100" customFormat="1" ht="13">
      <c r="A15" s="120">
        <v>2005</v>
      </c>
      <c r="B15" s="121" t="s">
        <v>101</v>
      </c>
      <c r="C15" s="120" t="s">
        <v>85</v>
      </c>
      <c r="D15" s="120">
        <v>3006</v>
      </c>
      <c r="E15" s="120" t="s">
        <v>94</v>
      </c>
      <c r="F15" s="120" t="b">
        <v>0</v>
      </c>
      <c r="G15" s="120"/>
      <c r="H15" s="122"/>
      <c r="I15" s="120">
        <v>5</v>
      </c>
      <c r="J15" s="120" t="b">
        <v>0</v>
      </c>
      <c r="K15" s="120"/>
      <c r="L15" s="120">
        <v>6636203</v>
      </c>
      <c r="M15" s="120">
        <v>14</v>
      </c>
      <c r="N15" s="120"/>
      <c r="O15" s="120" t="str">
        <f>委任玩法!M350</f>
        <v>13001;13002;13003;13004;13005;13006;13007;13008;13009;13010;13011;13012;13013;13014;13101;13102;13103;13104;13105;13106;13107;13108;13109;13110;13111;13112;13113;13114;13201;13202;13203;13204;13205;13206;13207;13208;13209;13210;13211;13212;13213;13214</v>
      </c>
    </row>
    <row r="16" spans="1:17" s="100" customFormat="1" ht="13">
      <c r="A16" s="120">
        <v>2006</v>
      </c>
      <c r="B16" s="121" t="s">
        <v>102</v>
      </c>
      <c r="C16" s="120" t="s">
        <v>88</v>
      </c>
      <c r="D16" s="120">
        <v>3007</v>
      </c>
      <c r="E16" s="120" t="s">
        <v>94</v>
      </c>
      <c r="F16" s="120" t="b">
        <v>0</v>
      </c>
      <c r="G16" s="120"/>
      <c r="H16" s="122" t="s">
        <v>79</v>
      </c>
      <c r="I16" s="120">
        <v>5</v>
      </c>
      <c r="J16" s="120" t="b">
        <v>0</v>
      </c>
      <c r="K16" s="120"/>
      <c r="L16" s="120">
        <v>6636204</v>
      </c>
      <c r="M16" s="120">
        <v>14</v>
      </c>
      <c r="N16" s="120"/>
      <c r="O16" s="120" t="str">
        <f>委任玩法!L52</f>
        <v>12001;12002;12003;12004;12005;12006;12007;12008;12009;12010;12011;12013;12014;12016;12101;12102;12103;12104;12105;12106;12107;12108;12109;12110;12111;12113;12114;12116;12201;12202;12203;12204;12205;12206;12207;12208;12209;12210;12211;12213</v>
      </c>
    </row>
    <row r="17" spans="1:17" s="100" customFormat="1" ht="13">
      <c r="A17" s="120">
        <v>2007</v>
      </c>
      <c r="B17" s="121" t="s">
        <v>103</v>
      </c>
      <c r="C17" s="120" t="s">
        <v>88</v>
      </c>
      <c r="D17" s="120">
        <v>3008</v>
      </c>
      <c r="E17" s="120" t="s">
        <v>94</v>
      </c>
      <c r="F17" s="120" t="b">
        <v>0</v>
      </c>
      <c r="G17" s="120"/>
      <c r="H17" s="122"/>
      <c r="I17" s="120">
        <v>5</v>
      </c>
      <c r="J17" s="120" t="b">
        <v>0</v>
      </c>
      <c r="K17" s="120"/>
      <c r="L17" s="120">
        <v>6636204</v>
      </c>
      <c r="M17" s="120">
        <v>14</v>
      </c>
      <c r="N17" s="120"/>
      <c r="O17" s="120" t="str">
        <f>委任玩法!L52</f>
        <v>12001;12002;12003;12004;12005;12006;12007;12008;12009;12010;12011;12013;12014;12016;12101;12102;12103;12104;12105;12106;12107;12108;12109;12110;12111;12113;12114;12116;12201;12202;12203;12204;12205;12206;12207;12208;12209;12210;12211;12213</v>
      </c>
    </row>
    <row r="18" spans="1:17" s="100" customFormat="1" ht="13">
      <c r="A18" s="120">
        <v>2008</v>
      </c>
      <c r="B18" s="121" t="s">
        <v>104</v>
      </c>
      <c r="C18" s="120" t="s">
        <v>91</v>
      </c>
      <c r="D18" s="120">
        <v>3009</v>
      </c>
      <c r="E18" s="120" t="s">
        <v>94</v>
      </c>
      <c r="F18" s="120" t="b">
        <v>0</v>
      </c>
      <c r="G18" s="120"/>
      <c r="H18" s="122"/>
      <c r="I18" s="120">
        <v>5</v>
      </c>
      <c r="J18" s="120" t="b">
        <v>0</v>
      </c>
      <c r="K18" s="120"/>
      <c r="L18" s="120">
        <v>6636205</v>
      </c>
      <c r="M18" s="120">
        <v>14</v>
      </c>
      <c r="N18" s="120"/>
      <c r="O18" s="120" t="str">
        <f>委任玩法!L25</f>
        <v>11001;11002;11003;11004;11005;11006;11007;11008;11009;11010;11011;11012;11013</v>
      </c>
    </row>
    <row r="19" spans="1:17" s="100" customFormat="1" ht="13">
      <c r="A19" s="120">
        <v>2009</v>
      </c>
      <c r="B19" s="121" t="s">
        <v>105</v>
      </c>
      <c r="C19" s="120" t="s">
        <v>91</v>
      </c>
      <c r="D19" s="120">
        <v>3010</v>
      </c>
      <c r="E19" s="120" t="s">
        <v>94</v>
      </c>
      <c r="F19" s="120" t="b">
        <v>0</v>
      </c>
      <c r="G19" s="120"/>
      <c r="H19" s="122" t="s">
        <v>79</v>
      </c>
      <c r="I19" s="120">
        <v>5</v>
      </c>
      <c r="J19" s="120" t="b">
        <v>0</v>
      </c>
      <c r="K19" s="120"/>
      <c r="L19" s="120">
        <v>6636205</v>
      </c>
      <c r="M19" s="120">
        <v>14</v>
      </c>
      <c r="N19" s="120"/>
      <c r="O19" s="120" t="str">
        <f>委任玩法!L25</f>
        <v>11001;11002;11003;11004;11005;11006;11007;11008;11009;11010;11011;11012;11013</v>
      </c>
    </row>
    <row r="20" spans="1:17" s="100" customFormat="1" ht="13">
      <c r="A20" s="120">
        <v>2010</v>
      </c>
      <c r="B20" s="121" t="s">
        <v>106</v>
      </c>
      <c r="C20" s="120" t="s">
        <v>77</v>
      </c>
      <c r="D20" s="120">
        <v>3001</v>
      </c>
      <c r="E20" s="120" t="s">
        <v>94</v>
      </c>
      <c r="F20" s="120" t="b">
        <v>0</v>
      </c>
      <c r="G20" s="120"/>
      <c r="H20" s="122" t="s">
        <v>79</v>
      </c>
      <c r="I20" s="120">
        <v>5</v>
      </c>
      <c r="J20" s="120" t="b">
        <v>0</v>
      </c>
      <c r="K20" s="120"/>
      <c r="L20" s="120" t="s">
        <v>95</v>
      </c>
      <c r="M20" s="120">
        <v>14</v>
      </c>
      <c r="N20" s="120"/>
      <c r="O20" s="120">
        <v>31001</v>
      </c>
    </row>
    <row r="21" spans="1:17" s="100" customFormat="1" ht="13">
      <c r="A21" s="120">
        <v>2011</v>
      </c>
      <c r="B21" s="121" t="s">
        <v>106</v>
      </c>
      <c r="C21" s="120" t="s">
        <v>91</v>
      </c>
      <c r="D21" s="120">
        <v>3010</v>
      </c>
      <c r="E21" s="120" t="s">
        <v>94</v>
      </c>
      <c r="F21" s="120" t="b">
        <v>0</v>
      </c>
      <c r="G21" s="120"/>
      <c r="H21" s="122" t="s">
        <v>79</v>
      </c>
      <c r="I21" s="120">
        <v>5</v>
      </c>
      <c r="J21" s="120" t="b">
        <v>0</v>
      </c>
      <c r="K21" s="120"/>
      <c r="L21" s="120">
        <v>6636206</v>
      </c>
      <c r="M21" s="120">
        <v>14</v>
      </c>
      <c r="N21" s="120"/>
      <c r="O21" s="120">
        <f>委任玩法!L27</f>
        <v>0</v>
      </c>
    </row>
    <row r="22" spans="1:17" s="101" customFormat="1" ht="13">
      <c r="A22" s="123">
        <v>3000</v>
      </c>
      <c r="B22" s="124" t="s">
        <v>107</v>
      </c>
      <c r="C22" s="123" t="s">
        <v>77</v>
      </c>
      <c r="D22" s="123">
        <v>2001</v>
      </c>
      <c r="E22" s="123" t="s">
        <v>108</v>
      </c>
      <c r="F22" s="123" t="b">
        <v>1</v>
      </c>
      <c r="G22" s="123"/>
      <c r="H22" s="125" t="s">
        <v>109</v>
      </c>
      <c r="I22" s="123">
        <v>5</v>
      </c>
      <c r="J22" s="123" t="b">
        <v>0</v>
      </c>
      <c r="K22" s="123"/>
      <c r="L22" s="123" t="s">
        <v>110</v>
      </c>
      <c r="M22" s="123">
        <v>14</v>
      </c>
      <c r="N22" s="123"/>
      <c r="O22" s="123"/>
      <c r="P22" s="101">
        <v>1</v>
      </c>
      <c r="Q22" s="101">
        <v>7</v>
      </c>
    </row>
    <row r="23" spans="1:17" s="101" customFormat="1" ht="13">
      <c r="A23" s="123">
        <v>3001</v>
      </c>
      <c r="B23" s="124" t="s">
        <v>111</v>
      </c>
      <c r="C23" s="123" t="s">
        <v>77</v>
      </c>
      <c r="D23" s="123">
        <v>2002</v>
      </c>
      <c r="E23" s="123" t="s">
        <v>108</v>
      </c>
      <c r="F23" s="123" t="b">
        <v>1</v>
      </c>
      <c r="G23" s="123"/>
      <c r="H23" s="125" t="s">
        <v>112</v>
      </c>
      <c r="I23" s="123">
        <v>5</v>
      </c>
      <c r="J23" s="123" t="b">
        <v>0</v>
      </c>
      <c r="K23" s="123"/>
      <c r="L23" s="123">
        <v>6636301</v>
      </c>
      <c r="M23" s="123">
        <v>14</v>
      </c>
      <c r="N23" s="123"/>
      <c r="O23" s="123"/>
      <c r="P23" s="101">
        <v>1</v>
      </c>
      <c r="Q23" s="101">
        <v>7</v>
      </c>
    </row>
    <row r="24" spans="1:17" s="101" customFormat="1" ht="13">
      <c r="A24" s="123">
        <v>3002</v>
      </c>
      <c r="B24" s="124" t="s">
        <v>113</v>
      </c>
      <c r="C24" s="123" t="s">
        <v>82</v>
      </c>
      <c r="D24" s="123">
        <v>2003</v>
      </c>
      <c r="E24" s="123" t="s">
        <v>108</v>
      </c>
      <c r="F24" s="123" t="b">
        <v>1</v>
      </c>
      <c r="G24" s="123"/>
      <c r="H24" s="125"/>
      <c r="I24" s="123">
        <v>5</v>
      </c>
      <c r="J24" s="123" t="b">
        <v>0</v>
      </c>
      <c r="K24" s="123"/>
      <c r="L24" s="123" t="s">
        <v>114</v>
      </c>
      <c r="M24" s="123">
        <v>14</v>
      </c>
      <c r="N24" s="123"/>
      <c r="O24" s="123"/>
      <c r="P24" s="101">
        <v>2</v>
      </c>
      <c r="Q24" s="101">
        <v>7</v>
      </c>
    </row>
    <row r="25" spans="1:17" s="101" customFormat="1" ht="13">
      <c r="A25" s="123">
        <v>3003</v>
      </c>
      <c r="B25" s="124" t="s">
        <v>115</v>
      </c>
      <c r="C25" s="123" t="s">
        <v>85</v>
      </c>
      <c r="D25" s="123">
        <v>2004</v>
      </c>
      <c r="E25" s="123" t="s">
        <v>108</v>
      </c>
      <c r="F25" s="123" t="b">
        <v>1</v>
      </c>
      <c r="G25" s="123"/>
      <c r="H25" s="125"/>
      <c r="I25" s="123">
        <v>5</v>
      </c>
      <c r="J25" s="123" t="b">
        <v>0</v>
      </c>
      <c r="K25" s="123"/>
      <c r="L25" s="123">
        <v>6636303</v>
      </c>
      <c r="M25" s="123">
        <v>14</v>
      </c>
      <c r="N25" s="123"/>
      <c r="O25" s="123"/>
      <c r="P25" s="101">
        <v>2</v>
      </c>
      <c r="Q25" s="101">
        <v>7</v>
      </c>
    </row>
    <row r="26" spans="1:17" s="101" customFormat="1" ht="13">
      <c r="A26" s="123">
        <v>3004</v>
      </c>
      <c r="B26" s="124" t="s">
        <v>116</v>
      </c>
      <c r="C26" s="123" t="s">
        <v>88</v>
      </c>
      <c r="D26" s="123">
        <v>2007</v>
      </c>
      <c r="E26" s="123" t="s">
        <v>108</v>
      </c>
      <c r="F26" s="123" t="b">
        <v>1</v>
      </c>
      <c r="G26" s="123"/>
      <c r="H26" s="125"/>
      <c r="I26" s="123">
        <v>5</v>
      </c>
      <c r="J26" s="123" t="b">
        <v>0</v>
      </c>
      <c r="K26" s="123"/>
      <c r="L26" s="123">
        <v>6636304</v>
      </c>
      <c r="M26" s="123">
        <v>14</v>
      </c>
      <c r="N26" s="123"/>
      <c r="O26" s="123"/>
      <c r="P26" s="101">
        <v>3</v>
      </c>
      <c r="Q26" s="101">
        <v>7</v>
      </c>
    </row>
    <row r="27" spans="1:17" s="101" customFormat="1" ht="13">
      <c r="A27" s="123">
        <v>3005</v>
      </c>
      <c r="B27" s="124" t="s">
        <v>117</v>
      </c>
      <c r="C27" s="123" t="s">
        <v>88</v>
      </c>
      <c r="D27" s="123">
        <v>2008</v>
      </c>
      <c r="E27" s="123" t="s">
        <v>108</v>
      </c>
      <c r="F27" s="123" t="b">
        <v>1</v>
      </c>
      <c r="G27" s="123"/>
      <c r="H27" s="125"/>
      <c r="I27" s="123">
        <v>5</v>
      </c>
      <c r="J27" s="123" t="b">
        <v>0</v>
      </c>
      <c r="K27" s="123"/>
      <c r="L27" s="123">
        <v>6636304</v>
      </c>
      <c r="M27" s="123">
        <v>14</v>
      </c>
      <c r="N27" s="123"/>
      <c r="O27" s="123"/>
      <c r="P27" s="101">
        <v>3</v>
      </c>
      <c r="Q27" s="101">
        <v>7</v>
      </c>
    </row>
    <row r="28" spans="1:17" s="101" customFormat="1" ht="13">
      <c r="A28" s="123">
        <v>3006</v>
      </c>
      <c r="B28" s="124" t="s">
        <v>107</v>
      </c>
      <c r="C28" s="123" t="s">
        <v>77</v>
      </c>
      <c r="D28" s="123">
        <v>2009</v>
      </c>
      <c r="E28" s="123" t="s">
        <v>108</v>
      </c>
      <c r="F28" s="123" t="b">
        <v>1</v>
      </c>
      <c r="G28" s="118"/>
      <c r="H28" s="125" t="s">
        <v>79</v>
      </c>
      <c r="I28" s="123">
        <v>5</v>
      </c>
      <c r="J28" s="123" t="b">
        <v>0</v>
      </c>
      <c r="K28" s="123" t="b">
        <v>1</v>
      </c>
      <c r="L28" s="123" t="s">
        <v>110</v>
      </c>
      <c r="M28" s="123">
        <v>14</v>
      </c>
      <c r="N28" s="123"/>
      <c r="O28" s="123"/>
      <c r="P28" s="101">
        <v>4</v>
      </c>
      <c r="Q28" s="101">
        <v>7</v>
      </c>
    </row>
    <row r="29" spans="1:17" s="101" customFormat="1" ht="13">
      <c r="A29" s="123">
        <v>3501</v>
      </c>
      <c r="B29" s="124" t="s">
        <v>118</v>
      </c>
      <c r="C29" s="123" t="s">
        <v>91</v>
      </c>
      <c r="D29" s="123">
        <v>2010</v>
      </c>
      <c r="E29" s="123" t="s">
        <v>108</v>
      </c>
      <c r="F29" s="123" t="b">
        <v>1</v>
      </c>
      <c r="G29" s="123"/>
      <c r="H29" s="125" t="s">
        <v>119</v>
      </c>
      <c r="I29" s="123">
        <v>5</v>
      </c>
      <c r="J29" s="123" t="b">
        <v>0</v>
      </c>
      <c r="K29" s="123"/>
      <c r="L29" s="123">
        <v>6636305</v>
      </c>
      <c r="M29" s="123">
        <v>14</v>
      </c>
      <c r="N29" s="123"/>
      <c r="O29" s="123"/>
      <c r="P29" s="101">
        <v>4</v>
      </c>
      <c r="Q29" s="101">
        <v>7</v>
      </c>
    </row>
    <row r="30" spans="1:17" s="101" customFormat="1" ht="13">
      <c r="A30" s="123">
        <v>3502</v>
      </c>
      <c r="B30" s="124" t="s">
        <v>120</v>
      </c>
      <c r="C30" s="123" t="s">
        <v>91</v>
      </c>
      <c r="D30" s="123">
        <v>2011</v>
      </c>
      <c r="E30" s="123" t="s">
        <v>108</v>
      </c>
      <c r="F30" s="123" t="b">
        <v>1</v>
      </c>
      <c r="G30" s="123"/>
      <c r="H30" s="125" t="s">
        <v>121</v>
      </c>
      <c r="I30" s="123">
        <v>5</v>
      </c>
      <c r="J30" s="123" t="b">
        <v>0</v>
      </c>
      <c r="K30" s="123"/>
      <c r="L30" s="123">
        <v>6636305</v>
      </c>
      <c r="M30" s="123">
        <v>14</v>
      </c>
      <c r="N30" s="123"/>
      <c r="O30" s="123"/>
      <c r="P30" s="101">
        <v>5</v>
      </c>
      <c r="Q30" s="101">
        <v>7</v>
      </c>
    </row>
    <row r="31" spans="1:17" s="101" customFormat="1" ht="13">
      <c r="A31" s="123">
        <v>3503</v>
      </c>
      <c r="B31" s="124" t="s">
        <v>122</v>
      </c>
      <c r="C31" s="123" t="s">
        <v>91</v>
      </c>
      <c r="D31" s="123">
        <v>2012</v>
      </c>
      <c r="E31" s="123" t="s">
        <v>108</v>
      </c>
      <c r="F31" s="123" t="b">
        <v>1</v>
      </c>
      <c r="G31" s="123"/>
      <c r="H31" s="125" t="s">
        <v>123</v>
      </c>
      <c r="I31" s="123">
        <v>5</v>
      </c>
      <c r="J31" s="123" t="b">
        <v>0</v>
      </c>
      <c r="K31" s="123"/>
      <c r="L31" s="123">
        <v>6636305</v>
      </c>
      <c r="M31" s="123">
        <v>14</v>
      </c>
      <c r="N31" s="123"/>
      <c r="O31" s="123"/>
      <c r="P31" s="101">
        <v>5</v>
      </c>
      <c r="Q31" s="101">
        <v>7</v>
      </c>
    </row>
    <row r="32" spans="1:17" s="101" customFormat="1" ht="13">
      <c r="A32" s="123">
        <v>3504</v>
      </c>
      <c r="B32" s="124" t="s">
        <v>727</v>
      </c>
      <c r="C32" s="123" t="s">
        <v>91</v>
      </c>
      <c r="D32" s="123">
        <v>2012</v>
      </c>
      <c r="E32" s="123" t="s">
        <v>108</v>
      </c>
      <c r="F32" s="123" t="b">
        <v>1</v>
      </c>
      <c r="G32" s="123"/>
      <c r="H32" s="125" t="s">
        <v>123</v>
      </c>
      <c r="I32" s="123">
        <v>5</v>
      </c>
      <c r="J32" s="123" t="b">
        <v>0</v>
      </c>
      <c r="K32" s="123"/>
      <c r="L32" s="123">
        <v>6636306</v>
      </c>
      <c r="M32" s="123">
        <v>14</v>
      </c>
      <c r="N32" s="123"/>
      <c r="O32" s="123"/>
      <c r="P32" s="101">
        <v>5</v>
      </c>
      <c r="Q32" s="101">
        <v>7</v>
      </c>
    </row>
    <row r="33" spans="1:17" s="101" customFormat="1" ht="13">
      <c r="A33" s="123">
        <v>3505</v>
      </c>
      <c r="B33" s="124" t="s">
        <v>1155</v>
      </c>
      <c r="C33" s="123" t="s">
        <v>91</v>
      </c>
      <c r="D33" s="123">
        <v>2012</v>
      </c>
      <c r="E33" s="123" t="s">
        <v>108</v>
      </c>
      <c r="F33" s="123" t="b">
        <v>1</v>
      </c>
      <c r="G33" s="123"/>
      <c r="H33" s="125" t="s">
        <v>123</v>
      </c>
      <c r="I33" s="123">
        <v>5</v>
      </c>
      <c r="J33" s="123" t="b">
        <v>0</v>
      </c>
      <c r="K33" s="123"/>
      <c r="L33" s="123">
        <v>6636307</v>
      </c>
      <c r="M33" s="123">
        <v>14</v>
      </c>
      <c r="N33" s="123"/>
      <c r="O33" s="123"/>
      <c r="P33" s="101">
        <v>5</v>
      </c>
      <c r="Q33" s="101">
        <v>7</v>
      </c>
    </row>
    <row r="34" spans="1:17" s="101" customFormat="1" ht="13">
      <c r="A34" s="123">
        <v>3506</v>
      </c>
      <c r="B34" s="124" t="s">
        <v>1156</v>
      </c>
      <c r="C34" s="123" t="s">
        <v>91</v>
      </c>
      <c r="D34" s="123">
        <v>2012</v>
      </c>
      <c r="E34" s="123" t="s">
        <v>108</v>
      </c>
      <c r="F34" s="123" t="b">
        <v>1</v>
      </c>
      <c r="G34" s="123"/>
      <c r="H34" s="125" t="s">
        <v>123</v>
      </c>
      <c r="I34" s="123">
        <v>5</v>
      </c>
      <c r="J34" s="123" t="b">
        <v>0</v>
      </c>
      <c r="K34" s="123"/>
      <c r="L34" s="123">
        <v>6636308</v>
      </c>
      <c r="M34" s="123">
        <v>14</v>
      </c>
      <c r="N34" s="123"/>
      <c r="O34" s="123"/>
      <c r="P34" s="101">
        <v>5</v>
      </c>
      <c r="Q34" s="101">
        <v>7</v>
      </c>
    </row>
    <row r="35" spans="1:17" s="101" customFormat="1" ht="13">
      <c r="A35" s="123">
        <v>3507</v>
      </c>
      <c r="B35" s="124" t="s">
        <v>1157</v>
      </c>
      <c r="C35" s="123" t="s">
        <v>91</v>
      </c>
      <c r="D35" s="123">
        <v>2012</v>
      </c>
      <c r="E35" s="123" t="s">
        <v>108</v>
      </c>
      <c r="F35" s="123" t="b">
        <v>1</v>
      </c>
      <c r="G35" s="123"/>
      <c r="H35" s="125" t="s">
        <v>123</v>
      </c>
      <c r="I35" s="123">
        <v>5</v>
      </c>
      <c r="J35" s="123" t="b">
        <v>0</v>
      </c>
      <c r="K35" s="123"/>
      <c r="L35" s="123">
        <v>6636309</v>
      </c>
      <c r="M35" s="123">
        <v>14</v>
      </c>
      <c r="N35" s="123"/>
      <c r="O35" s="123"/>
      <c r="P35" s="101">
        <v>5</v>
      </c>
      <c r="Q35" s="101">
        <v>7</v>
      </c>
    </row>
    <row r="36" spans="1:17" s="101" customFormat="1" ht="13">
      <c r="A36" s="123">
        <v>3508</v>
      </c>
      <c r="B36" s="124" t="s">
        <v>1158</v>
      </c>
      <c r="C36" s="123" t="s">
        <v>91</v>
      </c>
      <c r="D36" s="123">
        <v>2012</v>
      </c>
      <c r="E36" s="123" t="s">
        <v>108</v>
      </c>
      <c r="F36" s="123" t="b">
        <v>1</v>
      </c>
      <c r="G36" s="123"/>
      <c r="H36" s="125" t="s">
        <v>123</v>
      </c>
      <c r="I36" s="123">
        <v>5</v>
      </c>
      <c r="J36" s="123" t="b">
        <v>0</v>
      </c>
      <c r="K36" s="123"/>
      <c r="L36" s="123">
        <v>6636310</v>
      </c>
      <c r="M36" s="123">
        <v>14</v>
      </c>
      <c r="N36" s="123"/>
      <c r="O36" s="123"/>
      <c r="P36" s="101">
        <v>5</v>
      </c>
      <c r="Q36" s="101">
        <v>7</v>
      </c>
    </row>
    <row r="37" spans="1:17" s="101" customFormat="1" ht="13">
      <c r="A37" s="123">
        <v>3509</v>
      </c>
      <c r="B37" s="124" t="s">
        <v>1159</v>
      </c>
      <c r="C37" s="123" t="s">
        <v>91</v>
      </c>
      <c r="D37" s="123">
        <v>2012</v>
      </c>
      <c r="E37" s="123" t="s">
        <v>108</v>
      </c>
      <c r="F37" s="123" t="b">
        <v>1</v>
      </c>
      <c r="G37" s="123"/>
      <c r="H37" s="125" t="s">
        <v>123</v>
      </c>
      <c r="I37" s="123">
        <v>5</v>
      </c>
      <c r="J37" s="123" t="b">
        <v>0</v>
      </c>
      <c r="K37" s="123"/>
      <c r="L37" s="123">
        <v>6636311</v>
      </c>
      <c r="M37" s="123">
        <v>14</v>
      </c>
      <c r="N37" s="123"/>
      <c r="O37" s="123"/>
      <c r="P37" s="101">
        <v>5</v>
      </c>
      <c r="Q37" s="101">
        <v>7</v>
      </c>
    </row>
    <row r="38" spans="1:17" s="102" customFormat="1" ht="13">
      <c r="A38" s="118">
        <v>4000</v>
      </c>
      <c r="B38" s="126" t="s">
        <v>124</v>
      </c>
      <c r="C38" s="118" t="s">
        <v>77</v>
      </c>
      <c r="D38" s="118">
        <v>1001</v>
      </c>
      <c r="E38" s="118" t="s">
        <v>125</v>
      </c>
      <c r="F38" s="118" t="b">
        <v>1</v>
      </c>
      <c r="G38" s="118"/>
      <c r="H38" s="127" t="s">
        <v>126</v>
      </c>
      <c r="I38" s="118">
        <v>5</v>
      </c>
      <c r="J38" s="118" t="b">
        <v>0</v>
      </c>
      <c r="K38" s="118"/>
      <c r="L38" s="118" t="s">
        <v>127</v>
      </c>
      <c r="M38" s="118">
        <v>14</v>
      </c>
      <c r="N38" s="118"/>
      <c r="O38" s="118"/>
    </row>
    <row r="39" spans="1:17" s="102" customFormat="1" ht="13">
      <c r="A39" s="118">
        <v>4001</v>
      </c>
      <c r="B39" s="126" t="s">
        <v>128</v>
      </c>
      <c r="C39" s="118" t="s">
        <v>82</v>
      </c>
      <c r="D39" s="118">
        <v>1002</v>
      </c>
      <c r="E39" s="118" t="s">
        <v>125</v>
      </c>
      <c r="F39" s="118" t="b">
        <v>1</v>
      </c>
      <c r="G39" s="118"/>
      <c r="H39" s="127" t="s">
        <v>129</v>
      </c>
      <c r="I39" s="118">
        <v>5</v>
      </c>
      <c r="J39" s="118" t="b">
        <v>0</v>
      </c>
      <c r="K39" s="118"/>
      <c r="L39" s="118">
        <v>6636402</v>
      </c>
      <c r="M39" s="118">
        <v>14</v>
      </c>
      <c r="N39" s="118"/>
      <c r="O39" s="118"/>
    </row>
    <row r="40" spans="1:17" s="102" customFormat="1" ht="13">
      <c r="A40" s="118">
        <v>4002</v>
      </c>
      <c r="B40" s="126" t="s">
        <v>130</v>
      </c>
      <c r="C40" s="118" t="s">
        <v>85</v>
      </c>
      <c r="D40" s="118">
        <v>1003</v>
      </c>
      <c r="E40" s="118" t="s">
        <v>125</v>
      </c>
      <c r="F40" s="118" t="b">
        <v>1</v>
      </c>
      <c r="G40" s="118"/>
      <c r="H40" s="127" t="s">
        <v>131</v>
      </c>
      <c r="I40" s="118">
        <v>5</v>
      </c>
      <c r="J40" s="118" t="b">
        <v>0</v>
      </c>
      <c r="K40" s="118"/>
      <c r="L40" s="118">
        <v>6636403</v>
      </c>
      <c r="M40" s="118">
        <v>14</v>
      </c>
      <c r="N40" s="118"/>
      <c r="O40" s="118"/>
    </row>
    <row r="41" spans="1:17" s="102" customFormat="1" ht="13">
      <c r="A41" s="118">
        <v>4003</v>
      </c>
      <c r="B41" s="126" t="s">
        <v>132</v>
      </c>
      <c r="C41" s="118" t="s">
        <v>88</v>
      </c>
      <c r="D41" s="118">
        <v>1004</v>
      </c>
      <c r="E41" s="118" t="s">
        <v>125</v>
      </c>
      <c r="F41" s="118" t="b">
        <v>1</v>
      </c>
      <c r="G41" s="118"/>
      <c r="H41" s="127" t="s">
        <v>133</v>
      </c>
      <c r="I41" s="118">
        <v>5</v>
      </c>
      <c r="J41" s="118" t="b">
        <v>0</v>
      </c>
      <c r="K41" s="118"/>
      <c r="L41" s="118">
        <v>6636404</v>
      </c>
      <c r="M41" s="118">
        <v>14</v>
      </c>
      <c r="N41" s="118"/>
      <c r="O41" s="118"/>
    </row>
    <row r="42" spans="1:17" s="102" customFormat="1" ht="13">
      <c r="A42" s="118">
        <v>4004</v>
      </c>
      <c r="B42" s="126" t="s">
        <v>134</v>
      </c>
      <c r="C42" s="118" t="s">
        <v>91</v>
      </c>
      <c r="D42" s="118">
        <v>1002</v>
      </c>
      <c r="E42" s="118" t="s">
        <v>125</v>
      </c>
      <c r="F42" s="118" t="b">
        <v>1</v>
      </c>
      <c r="G42" s="118"/>
      <c r="H42" s="127" t="s">
        <v>135</v>
      </c>
      <c r="I42" s="118">
        <v>5</v>
      </c>
      <c r="J42" s="118" t="b">
        <v>0</v>
      </c>
      <c r="K42" s="118"/>
      <c r="L42" s="118">
        <v>6636405</v>
      </c>
      <c r="M42" s="118">
        <v>14</v>
      </c>
      <c r="N42" s="118"/>
      <c r="O42" s="118"/>
    </row>
    <row r="43" spans="1:17" s="102" customFormat="1" ht="13">
      <c r="A43" s="118">
        <v>4005</v>
      </c>
      <c r="B43" s="126" t="s">
        <v>728</v>
      </c>
      <c r="C43" s="118" t="s">
        <v>91</v>
      </c>
      <c r="D43" s="118">
        <v>1002</v>
      </c>
      <c r="E43" s="118" t="s">
        <v>125</v>
      </c>
      <c r="F43" s="118" t="b">
        <v>1</v>
      </c>
      <c r="G43" s="118"/>
      <c r="H43" s="127" t="s">
        <v>135</v>
      </c>
      <c r="I43" s="118">
        <v>5</v>
      </c>
      <c r="J43" s="118" t="b">
        <v>0</v>
      </c>
      <c r="K43" s="118"/>
      <c r="L43" s="118">
        <v>6636406</v>
      </c>
      <c r="M43" s="118">
        <v>14</v>
      </c>
      <c r="N43" s="118"/>
      <c r="O43" s="118"/>
    </row>
    <row r="44" spans="1:17" s="102" customFormat="1" ht="13">
      <c r="A44" s="118">
        <v>4006</v>
      </c>
      <c r="B44" s="126" t="s">
        <v>1160</v>
      </c>
      <c r="C44" s="118" t="s">
        <v>91</v>
      </c>
      <c r="D44" s="118">
        <v>1002</v>
      </c>
      <c r="E44" s="118" t="s">
        <v>125</v>
      </c>
      <c r="F44" s="118" t="b">
        <v>1</v>
      </c>
      <c r="G44" s="118"/>
      <c r="H44" s="127" t="s">
        <v>135</v>
      </c>
      <c r="I44" s="118">
        <v>5</v>
      </c>
      <c r="J44" s="118" t="b">
        <v>0</v>
      </c>
      <c r="K44" s="118"/>
      <c r="L44" s="118">
        <v>6636407</v>
      </c>
      <c r="M44" s="118">
        <v>14</v>
      </c>
      <c r="N44" s="118"/>
      <c r="O44" s="118"/>
    </row>
    <row r="45" spans="1:17" s="102" customFormat="1" ht="13">
      <c r="A45" s="118">
        <v>4007</v>
      </c>
      <c r="B45" s="126" t="s">
        <v>1161</v>
      </c>
      <c r="C45" s="118" t="s">
        <v>91</v>
      </c>
      <c r="D45" s="118">
        <v>1002</v>
      </c>
      <c r="E45" s="118" t="s">
        <v>125</v>
      </c>
      <c r="F45" s="118" t="b">
        <v>1</v>
      </c>
      <c r="G45" s="118"/>
      <c r="H45" s="127" t="s">
        <v>135</v>
      </c>
      <c r="I45" s="118">
        <v>5</v>
      </c>
      <c r="J45" s="118" t="b">
        <v>0</v>
      </c>
      <c r="K45" s="118"/>
      <c r="L45" s="118">
        <v>6636408</v>
      </c>
      <c r="M45" s="118">
        <v>14</v>
      </c>
      <c r="N45" s="118"/>
      <c r="O45" s="118"/>
    </row>
    <row r="46" spans="1:17" s="102" customFormat="1" ht="13">
      <c r="A46" s="118">
        <v>4008</v>
      </c>
      <c r="B46" s="126" t="s">
        <v>1162</v>
      </c>
      <c r="C46" s="118" t="s">
        <v>91</v>
      </c>
      <c r="D46" s="118">
        <v>1002</v>
      </c>
      <c r="E46" s="118" t="s">
        <v>125</v>
      </c>
      <c r="F46" s="118" t="b">
        <v>1</v>
      </c>
      <c r="G46" s="118"/>
      <c r="H46" s="127" t="s">
        <v>135</v>
      </c>
      <c r="I46" s="118">
        <v>5</v>
      </c>
      <c r="J46" s="118" t="b">
        <v>0</v>
      </c>
      <c r="K46" s="118"/>
      <c r="L46" s="118">
        <v>6636409</v>
      </c>
      <c r="M46" s="118">
        <v>14</v>
      </c>
      <c r="N46" s="118"/>
      <c r="O46" s="118"/>
    </row>
    <row r="47" spans="1:17" s="102" customFormat="1" ht="13">
      <c r="A47" s="118">
        <v>4009</v>
      </c>
      <c r="B47" s="126" t="s">
        <v>1163</v>
      </c>
      <c r="C47" s="118" t="s">
        <v>91</v>
      </c>
      <c r="D47" s="118">
        <v>1002</v>
      </c>
      <c r="E47" s="118" t="s">
        <v>125</v>
      </c>
      <c r="F47" s="118" t="b">
        <v>1</v>
      </c>
      <c r="G47" s="118"/>
      <c r="H47" s="127" t="s">
        <v>135</v>
      </c>
      <c r="I47" s="118">
        <v>5</v>
      </c>
      <c r="J47" s="118" t="b">
        <v>0</v>
      </c>
      <c r="K47" s="118"/>
      <c r="L47" s="118">
        <v>6636410</v>
      </c>
      <c r="M47" s="118">
        <v>14</v>
      </c>
      <c r="N47" s="118"/>
      <c r="O47" s="118"/>
    </row>
    <row r="48" spans="1:17" s="102" customFormat="1" ht="13">
      <c r="A48" s="118">
        <v>4010</v>
      </c>
      <c r="B48" s="126" t="s">
        <v>1164</v>
      </c>
      <c r="C48" s="118" t="s">
        <v>91</v>
      </c>
      <c r="D48" s="118">
        <v>1002</v>
      </c>
      <c r="E48" s="118" t="s">
        <v>125</v>
      </c>
      <c r="F48" s="118" t="b">
        <v>1</v>
      </c>
      <c r="G48" s="118"/>
      <c r="H48" s="127" t="s">
        <v>135</v>
      </c>
      <c r="I48" s="118">
        <v>5</v>
      </c>
      <c r="J48" s="118" t="b">
        <v>0</v>
      </c>
      <c r="K48" s="118"/>
      <c r="L48" s="118">
        <v>6636411</v>
      </c>
      <c r="M48" s="118">
        <v>14</v>
      </c>
      <c r="N48" s="118"/>
      <c r="O48" s="118"/>
    </row>
    <row r="49" spans="1:17" s="103" customFormat="1" ht="13">
      <c r="A49" s="128">
        <v>100001</v>
      </c>
      <c r="B49" s="129" t="s">
        <v>136</v>
      </c>
      <c r="C49" s="128" t="s">
        <v>137</v>
      </c>
      <c r="D49" s="128">
        <v>2005</v>
      </c>
      <c r="E49" s="128" t="s">
        <v>108</v>
      </c>
      <c r="F49" s="128" t="b">
        <v>1</v>
      </c>
      <c r="G49" s="128"/>
      <c r="H49" s="128" t="s">
        <v>79</v>
      </c>
      <c r="I49" s="128">
        <v>5</v>
      </c>
      <c r="J49" s="128" t="b">
        <v>0</v>
      </c>
      <c r="K49" s="128"/>
      <c r="L49" s="128">
        <v>6637001</v>
      </c>
      <c r="M49" s="128">
        <v>9999</v>
      </c>
      <c r="N49" s="128"/>
      <c r="O49" s="128"/>
      <c r="P49" s="101">
        <v>1</v>
      </c>
      <c r="Q49" s="101">
        <v>7</v>
      </c>
    </row>
    <row r="50" spans="1:17" s="103" customFormat="1" ht="13">
      <c r="A50" s="128">
        <v>100002</v>
      </c>
      <c r="B50" s="129" t="s">
        <v>138</v>
      </c>
      <c r="C50" s="128" t="s">
        <v>137</v>
      </c>
      <c r="D50" s="128">
        <v>2005</v>
      </c>
      <c r="E50" s="128" t="s">
        <v>108</v>
      </c>
      <c r="F50" s="128" t="b">
        <v>1</v>
      </c>
      <c r="G50" s="128"/>
      <c r="H50" s="128" t="s">
        <v>79</v>
      </c>
      <c r="I50" s="128">
        <v>5</v>
      </c>
      <c r="J50" s="128" t="b">
        <v>0</v>
      </c>
      <c r="K50" s="128"/>
      <c r="L50" s="128">
        <v>6637002</v>
      </c>
      <c r="M50" s="128">
        <v>9999</v>
      </c>
      <c r="N50" s="128"/>
      <c r="O50" s="128"/>
      <c r="P50" s="101">
        <v>1</v>
      </c>
      <c r="Q50" s="101">
        <v>7</v>
      </c>
    </row>
    <row r="51" spans="1:17" s="103" customFormat="1" ht="13">
      <c r="A51" s="128">
        <v>100003</v>
      </c>
      <c r="B51" s="129" t="s">
        <v>139</v>
      </c>
      <c r="C51" s="128" t="s">
        <v>137</v>
      </c>
      <c r="D51" s="128">
        <v>2005</v>
      </c>
      <c r="E51" s="128" t="s">
        <v>108</v>
      </c>
      <c r="F51" s="128" t="b">
        <v>1</v>
      </c>
      <c r="G51" s="128"/>
      <c r="H51" s="128" t="s">
        <v>79</v>
      </c>
      <c r="I51" s="128">
        <v>5</v>
      </c>
      <c r="J51" s="128" t="b">
        <v>0</v>
      </c>
      <c r="K51" s="128"/>
      <c r="L51" s="128">
        <v>6637003</v>
      </c>
      <c r="M51" s="128">
        <v>9999</v>
      </c>
      <c r="N51" s="128"/>
      <c r="O51" s="128"/>
      <c r="P51" s="101">
        <v>2</v>
      </c>
      <c r="Q51" s="101">
        <v>7</v>
      </c>
    </row>
    <row r="52" spans="1:17" s="103" customFormat="1" ht="13">
      <c r="A52" s="128">
        <v>100004</v>
      </c>
      <c r="B52" s="129" t="s">
        <v>140</v>
      </c>
      <c r="C52" s="128" t="s">
        <v>137</v>
      </c>
      <c r="D52" s="128">
        <v>2005</v>
      </c>
      <c r="E52" s="128" t="s">
        <v>108</v>
      </c>
      <c r="F52" s="128" t="b">
        <v>1</v>
      </c>
      <c r="G52" s="128"/>
      <c r="H52" s="128" t="s">
        <v>79</v>
      </c>
      <c r="I52" s="128">
        <v>5</v>
      </c>
      <c r="J52" s="128" t="b">
        <v>0</v>
      </c>
      <c r="K52" s="128"/>
      <c r="L52" s="128">
        <v>6637004</v>
      </c>
      <c r="M52" s="128">
        <v>9999</v>
      </c>
      <c r="N52" s="128"/>
      <c r="O52" s="128"/>
      <c r="P52" s="101">
        <v>2</v>
      </c>
      <c r="Q52" s="101">
        <v>7</v>
      </c>
    </row>
    <row r="53" spans="1:17" s="103" customFormat="1" ht="13">
      <c r="A53" s="128">
        <v>100005</v>
      </c>
      <c r="B53" s="129" t="s">
        <v>141</v>
      </c>
      <c r="C53" s="128" t="s">
        <v>137</v>
      </c>
      <c r="D53" s="128">
        <v>2005</v>
      </c>
      <c r="E53" s="128" t="s">
        <v>108</v>
      </c>
      <c r="F53" s="128" t="b">
        <v>1</v>
      </c>
      <c r="G53" s="128"/>
      <c r="H53" s="128" t="s">
        <v>79</v>
      </c>
      <c r="I53" s="128">
        <v>5</v>
      </c>
      <c r="J53" s="128" t="b">
        <v>0</v>
      </c>
      <c r="K53" s="128"/>
      <c r="L53" s="128">
        <v>6637004</v>
      </c>
      <c r="M53" s="128">
        <v>9999</v>
      </c>
      <c r="N53" s="128"/>
      <c r="O53" s="128"/>
      <c r="P53" s="101">
        <v>3</v>
      </c>
      <c r="Q53" s="101">
        <v>7</v>
      </c>
    </row>
    <row r="54" spans="1:17" s="103" customFormat="1" ht="13">
      <c r="A54" s="128">
        <v>100006</v>
      </c>
      <c r="B54" s="129" t="s">
        <v>142</v>
      </c>
      <c r="C54" s="128" t="s">
        <v>137</v>
      </c>
      <c r="D54" s="128">
        <v>2005</v>
      </c>
      <c r="E54" s="128" t="s">
        <v>108</v>
      </c>
      <c r="F54" s="128" t="b">
        <v>1</v>
      </c>
      <c r="G54" s="128"/>
      <c r="H54" s="128" t="s">
        <v>79</v>
      </c>
      <c r="I54" s="128">
        <v>5</v>
      </c>
      <c r="J54" s="128" t="b">
        <v>0</v>
      </c>
      <c r="K54" s="128"/>
      <c r="L54" s="128">
        <v>6637005</v>
      </c>
      <c r="M54" s="128">
        <v>9999</v>
      </c>
      <c r="N54" s="128"/>
      <c r="O54" s="128"/>
      <c r="P54" s="101">
        <v>3</v>
      </c>
      <c r="Q54" s="101">
        <v>7</v>
      </c>
    </row>
    <row r="55" spans="1:17">
      <c r="A55" s="128">
        <v>100007</v>
      </c>
      <c r="B55" s="129" t="s">
        <v>143</v>
      </c>
      <c r="C55" s="128" t="s">
        <v>137</v>
      </c>
      <c r="D55" s="128">
        <v>2005</v>
      </c>
      <c r="E55" s="128" t="s">
        <v>108</v>
      </c>
      <c r="F55" s="128" t="b">
        <v>1</v>
      </c>
      <c r="H55" s="128" t="s">
        <v>79</v>
      </c>
      <c r="I55" s="128">
        <v>5</v>
      </c>
      <c r="J55" s="128" t="b">
        <v>0</v>
      </c>
      <c r="L55" s="104">
        <v>6637005</v>
      </c>
      <c r="M55" s="128">
        <v>9999</v>
      </c>
      <c r="P55" s="101">
        <v>4</v>
      </c>
      <c r="Q55" s="101">
        <v>7</v>
      </c>
    </row>
    <row r="56" spans="1:17">
      <c r="A56" s="128">
        <v>100008</v>
      </c>
      <c r="B56" s="129" t="s">
        <v>144</v>
      </c>
      <c r="C56" s="128" t="s">
        <v>137</v>
      </c>
      <c r="D56" s="128">
        <v>2005</v>
      </c>
      <c r="E56" s="128" t="s">
        <v>108</v>
      </c>
      <c r="F56" s="128" t="b">
        <v>1</v>
      </c>
      <c r="H56" s="128" t="s">
        <v>79</v>
      </c>
      <c r="I56" s="128">
        <v>5</v>
      </c>
      <c r="J56" s="128" t="b">
        <v>0</v>
      </c>
      <c r="L56" s="104">
        <v>6637006</v>
      </c>
      <c r="M56" s="128">
        <v>9999</v>
      </c>
      <c r="P56" s="101">
        <v>4</v>
      </c>
      <c r="Q56" s="101">
        <v>7</v>
      </c>
    </row>
    <row r="57" spans="1:17">
      <c r="A57" s="128">
        <v>100009</v>
      </c>
      <c r="B57" s="129" t="s">
        <v>145</v>
      </c>
      <c r="C57" s="128" t="s">
        <v>137</v>
      </c>
      <c r="D57" s="128">
        <v>2005</v>
      </c>
      <c r="E57" s="128" t="s">
        <v>108</v>
      </c>
      <c r="F57" s="128" t="b">
        <v>1</v>
      </c>
      <c r="H57" s="128" t="s">
        <v>79</v>
      </c>
      <c r="I57" s="128">
        <v>5</v>
      </c>
      <c r="J57" s="128" t="b">
        <v>0</v>
      </c>
      <c r="L57" s="104">
        <v>6637006</v>
      </c>
      <c r="M57" s="128">
        <v>9999</v>
      </c>
      <c r="P57" s="101">
        <v>5</v>
      </c>
      <c r="Q57" s="101">
        <v>7</v>
      </c>
    </row>
    <row r="58" spans="1:17">
      <c r="A58" s="128">
        <v>100010</v>
      </c>
      <c r="B58" s="129" t="s">
        <v>146</v>
      </c>
      <c r="C58" s="128" t="s">
        <v>137</v>
      </c>
      <c r="D58" s="128">
        <v>2005</v>
      </c>
      <c r="E58" s="128" t="s">
        <v>108</v>
      </c>
      <c r="F58" s="128" t="b">
        <v>1</v>
      </c>
      <c r="H58" s="128" t="s">
        <v>79</v>
      </c>
      <c r="I58" s="128">
        <v>5</v>
      </c>
      <c r="J58" s="128" t="b">
        <v>0</v>
      </c>
      <c r="L58" s="104">
        <v>6637006</v>
      </c>
      <c r="M58" s="128">
        <v>9999</v>
      </c>
      <c r="P58" s="101">
        <v>5</v>
      </c>
      <c r="Q58" s="101">
        <v>7</v>
      </c>
    </row>
    <row r="59" spans="1:17">
      <c r="A59" s="128">
        <v>100011</v>
      </c>
      <c r="B59" s="129" t="s">
        <v>147</v>
      </c>
      <c r="C59" s="128" t="s">
        <v>137</v>
      </c>
      <c r="D59" s="128">
        <v>2005</v>
      </c>
      <c r="E59" s="128" t="s">
        <v>108</v>
      </c>
      <c r="F59" s="128" t="b">
        <v>1</v>
      </c>
      <c r="H59" s="128" t="s">
        <v>79</v>
      </c>
      <c r="I59" s="128">
        <v>5</v>
      </c>
      <c r="J59" s="128" t="b">
        <v>0</v>
      </c>
      <c r="L59" s="104">
        <v>6637007</v>
      </c>
      <c r="M59" s="128">
        <v>9999</v>
      </c>
      <c r="P59" s="101">
        <v>5</v>
      </c>
      <c r="Q59" s="101">
        <v>7</v>
      </c>
    </row>
    <row r="60" spans="1:17">
      <c r="A60" s="128">
        <v>100012</v>
      </c>
      <c r="B60" s="129" t="s">
        <v>148</v>
      </c>
      <c r="C60" s="128" t="s">
        <v>137</v>
      </c>
      <c r="D60" s="128">
        <v>2005</v>
      </c>
      <c r="E60" s="128" t="s">
        <v>108</v>
      </c>
      <c r="F60" s="128" t="b">
        <v>1</v>
      </c>
      <c r="H60" s="128" t="s">
        <v>79</v>
      </c>
      <c r="I60" s="128">
        <v>5</v>
      </c>
      <c r="J60" s="128" t="b">
        <v>0</v>
      </c>
      <c r="L60" s="104">
        <v>6637007</v>
      </c>
      <c r="M60" s="128">
        <v>9999</v>
      </c>
      <c r="P60" s="101">
        <v>5</v>
      </c>
      <c r="Q60" s="101">
        <v>7</v>
      </c>
    </row>
    <row r="61" spans="1:17">
      <c r="A61" s="128">
        <v>100013</v>
      </c>
      <c r="B61" s="129" t="s">
        <v>149</v>
      </c>
      <c r="C61" s="128" t="s">
        <v>137</v>
      </c>
      <c r="D61" s="128">
        <v>2005</v>
      </c>
      <c r="E61" s="128" t="s">
        <v>108</v>
      </c>
      <c r="F61" s="128" t="b">
        <v>1</v>
      </c>
      <c r="H61" s="128" t="s">
        <v>79</v>
      </c>
      <c r="I61" s="128">
        <v>5</v>
      </c>
      <c r="J61" s="128" t="b">
        <v>0</v>
      </c>
      <c r="L61" s="104">
        <v>6637007</v>
      </c>
      <c r="M61" s="128">
        <v>9999</v>
      </c>
      <c r="P61" s="101">
        <v>5</v>
      </c>
      <c r="Q61" s="101">
        <v>7</v>
      </c>
    </row>
    <row r="62" spans="1:17">
      <c r="A62" s="128">
        <v>100014</v>
      </c>
      <c r="B62" s="129" t="s">
        <v>150</v>
      </c>
      <c r="C62" s="128" t="s">
        <v>137</v>
      </c>
      <c r="D62" s="128">
        <v>2005</v>
      </c>
      <c r="E62" s="128" t="s">
        <v>108</v>
      </c>
      <c r="F62" s="128" t="b">
        <v>1</v>
      </c>
      <c r="H62" s="128" t="s">
        <v>79</v>
      </c>
      <c r="I62" s="128">
        <v>5</v>
      </c>
      <c r="J62" s="128" t="b">
        <v>0</v>
      </c>
      <c r="L62" s="104">
        <v>6637008</v>
      </c>
      <c r="M62" s="128">
        <v>9999</v>
      </c>
      <c r="P62" s="101">
        <v>5</v>
      </c>
      <c r="Q62" s="101">
        <v>7</v>
      </c>
    </row>
    <row r="63" spans="1:17">
      <c r="A63" s="128">
        <v>100015</v>
      </c>
      <c r="B63" s="129" t="s">
        <v>151</v>
      </c>
      <c r="C63" s="128" t="s">
        <v>137</v>
      </c>
      <c r="D63" s="128">
        <v>2005</v>
      </c>
      <c r="E63" s="128" t="s">
        <v>108</v>
      </c>
      <c r="F63" s="128" t="b">
        <v>1</v>
      </c>
      <c r="H63" s="128" t="s">
        <v>79</v>
      </c>
      <c r="I63" s="128">
        <v>5</v>
      </c>
      <c r="J63" s="128" t="b">
        <v>0</v>
      </c>
      <c r="L63" s="104">
        <v>6637008</v>
      </c>
      <c r="M63" s="128">
        <v>9999</v>
      </c>
      <c r="P63" s="101">
        <v>5</v>
      </c>
      <c r="Q63" s="101">
        <v>7</v>
      </c>
    </row>
    <row r="64" spans="1:17">
      <c r="A64" s="128">
        <v>100016</v>
      </c>
      <c r="B64" s="129" t="s">
        <v>152</v>
      </c>
      <c r="C64" s="128" t="s">
        <v>137</v>
      </c>
      <c r="D64" s="128">
        <v>2005</v>
      </c>
      <c r="E64" s="128" t="s">
        <v>108</v>
      </c>
      <c r="F64" s="128" t="b">
        <v>1</v>
      </c>
      <c r="H64" s="128" t="s">
        <v>79</v>
      </c>
      <c r="I64" s="128">
        <v>5</v>
      </c>
      <c r="J64" s="128" t="b">
        <v>0</v>
      </c>
      <c r="L64" s="104">
        <v>6637008</v>
      </c>
      <c r="M64" s="128">
        <v>9999</v>
      </c>
      <c r="P64" s="101">
        <v>5</v>
      </c>
      <c r="Q64" s="101">
        <v>7</v>
      </c>
    </row>
    <row r="65" spans="1:17">
      <c r="A65" s="128">
        <v>100017</v>
      </c>
      <c r="B65" s="129" t="s">
        <v>153</v>
      </c>
      <c r="C65" s="128" t="s">
        <v>137</v>
      </c>
      <c r="D65" s="128">
        <v>2005</v>
      </c>
      <c r="E65" s="128" t="s">
        <v>108</v>
      </c>
      <c r="F65" s="128" t="b">
        <v>1</v>
      </c>
      <c r="H65" s="128" t="s">
        <v>79</v>
      </c>
      <c r="I65" s="128">
        <v>5</v>
      </c>
      <c r="J65" s="128" t="b">
        <v>0</v>
      </c>
      <c r="L65" s="104">
        <v>6637009</v>
      </c>
      <c r="M65" s="128">
        <v>9999</v>
      </c>
      <c r="P65" s="101">
        <v>5</v>
      </c>
      <c r="Q65" s="101">
        <v>7</v>
      </c>
    </row>
    <row r="66" spans="1:17">
      <c r="A66" s="128">
        <v>100018</v>
      </c>
      <c r="B66" s="129" t="s">
        <v>154</v>
      </c>
      <c r="C66" s="128" t="s">
        <v>137</v>
      </c>
      <c r="D66" s="128">
        <v>2005</v>
      </c>
      <c r="E66" s="128" t="s">
        <v>108</v>
      </c>
      <c r="F66" s="128" t="b">
        <v>1</v>
      </c>
      <c r="H66" s="128" t="s">
        <v>79</v>
      </c>
      <c r="I66" s="128">
        <v>5</v>
      </c>
      <c r="J66" s="128" t="b">
        <v>0</v>
      </c>
      <c r="L66" s="104">
        <v>6637009</v>
      </c>
      <c r="M66" s="128">
        <v>9999</v>
      </c>
      <c r="P66" s="101">
        <v>5</v>
      </c>
      <c r="Q66" s="101">
        <v>7</v>
      </c>
    </row>
    <row r="67" spans="1:17">
      <c r="A67" s="128">
        <v>100019</v>
      </c>
      <c r="B67" s="129" t="s">
        <v>155</v>
      </c>
      <c r="C67" s="128" t="s">
        <v>137</v>
      </c>
      <c r="D67" s="128">
        <v>2005</v>
      </c>
      <c r="E67" s="128" t="s">
        <v>108</v>
      </c>
      <c r="F67" s="128" t="b">
        <v>1</v>
      </c>
      <c r="H67" s="128" t="s">
        <v>79</v>
      </c>
      <c r="I67" s="128">
        <v>5</v>
      </c>
      <c r="J67" s="128" t="b">
        <v>0</v>
      </c>
      <c r="L67" s="104">
        <v>6637009</v>
      </c>
      <c r="M67" s="128">
        <v>9999</v>
      </c>
      <c r="P67" s="101">
        <v>5</v>
      </c>
      <c r="Q67" s="101">
        <v>7</v>
      </c>
    </row>
    <row r="68" spans="1:17">
      <c r="A68" s="128">
        <v>100020</v>
      </c>
      <c r="B68" s="129" t="s">
        <v>156</v>
      </c>
      <c r="C68" s="128" t="s">
        <v>137</v>
      </c>
      <c r="D68" s="128">
        <v>2005</v>
      </c>
      <c r="E68" s="128" t="s">
        <v>108</v>
      </c>
      <c r="F68" s="128" t="b">
        <v>1</v>
      </c>
      <c r="H68" s="128" t="s">
        <v>79</v>
      </c>
      <c r="I68" s="128">
        <v>5</v>
      </c>
      <c r="J68" s="128" t="b">
        <v>0</v>
      </c>
      <c r="L68" s="104">
        <v>6637009</v>
      </c>
      <c r="M68" s="128">
        <v>9999</v>
      </c>
      <c r="P68" s="101">
        <v>5</v>
      </c>
      <c r="Q68" s="101">
        <v>7</v>
      </c>
    </row>
    <row r="69" spans="1:17">
      <c r="A69" s="128">
        <v>100021</v>
      </c>
      <c r="B69" s="129" t="s">
        <v>157</v>
      </c>
      <c r="C69" s="128" t="s">
        <v>137</v>
      </c>
      <c r="D69" s="128">
        <v>2005</v>
      </c>
      <c r="E69" s="128" t="s">
        <v>108</v>
      </c>
      <c r="F69" s="128" t="b">
        <v>1</v>
      </c>
      <c r="H69" s="128" t="s">
        <v>79</v>
      </c>
      <c r="I69" s="128">
        <v>5</v>
      </c>
      <c r="J69" s="128" t="b">
        <v>0</v>
      </c>
      <c r="L69" s="104">
        <v>6637009</v>
      </c>
      <c r="M69" s="128">
        <v>9999</v>
      </c>
      <c r="P69" s="101">
        <v>5</v>
      </c>
      <c r="Q69" s="101">
        <v>7</v>
      </c>
    </row>
    <row r="70" spans="1:17">
      <c r="A70" s="128">
        <v>100022</v>
      </c>
      <c r="B70" s="129" t="s">
        <v>158</v>
      </c>
      <c r="C70" s="128" t="s">
        <v>137</v>
      </c>
      <c r="D70" s="128">
        <v>2005</v>
      </c>
      <c r="E70" s="128" t="s">
        <v>108</v>
      </c>
      <c r="F70" s="128" t="b">
        <v>1</v>
      </c>
      <c r="H70" s="128" t="s">
        <v>79</v>
      </c>
      <c r="I70" s="128">
        <v>5</v>
      </c>
      <c r="J70" s="128" t="b">
        <v>0</v>
      </c>
      <c r="L70" s="104">
        <v>6637009</v>
      </c>
      <c r="M70" s="128">
        <v>9999</v>
      </c>
      <c r="P70" s="101">
        <v>5</v>
      </c>
      <c r="Q70" s="101">
        <v>7</v>
      </c>
    </row>
    <row r="71" spans="1:17">
      <c r="A71" s="128">
        <v>100023</v>
      </c>
      <c r="B71" s="129" t="s">
        <v>159</v>
      </c>
      <c r="C71" s="128" t="s">
        <v>137</v>
      </c>
      <c r="D71" s="128">
        <v>2005</v>
      </c>
      <c r="E71" s="128" t="s">
        <v>108</v>
      </c>
      <c r="F71" s="128" t="b">
        <v>1</v>
      </c>
      <c r="H71" s="128" t="s">
        <v>79</v>
      </c>
      <c r="I71" s="128">
        <v>5</v>
      </c>
      <c r="J71" s="128" t="b">
        <v>0</v>
      </c>
      <c r="L71" s="104">
        <v>6637010</v>
      </c>
      <c r="M71" s="128">
        <v>9999</v>
      </c>
      <c r="P71" s="101">
        <v>5</v>
      </c>
      <c r="Q71" s="101">
        <v>7</v>
      </c>
    </row>
    <row r="72" spans="1:17">
      <c r="A72" s="128">
        <v>100024</v>
      </c>
      <c r="B72" s="129" t="s">
        <v>160</v>
      </c>
      <c r="C72" s="128" t="s">
        <v>137</v>
      </c>
      <c r="D72" s="128">
        <v>2005</v>
      </c>
      <c r="E72" s="128" t="s">
        <v>108</v>
      </c>
      <c r="F72" s="128" t="b">
        <v>1</v>
      </c>
      <c r="H72" s="128" t="s">
        <v>79</v>
      </c>
      <c r="I72" s="128">
        <v>5</v>
      </c>
      <c r="J72" s="128" t="b">
        <v>0</v>
      </c>
      <c r="L72" s="104">
        <v>6637010</v>
      </c>
      <c r="M72" s="128">
        <v>9999</v>
      </c>
      <c r="P72" s="101">
        <v>5</v>
      </c>
      <c r="Q72" s="101">
        <v>7</v>
      </c>
    </row>
    <row r="73" spans="1:17">
      <c r="A73" s="128">
        <v>100025</v>
      </c>
      <c r="B73" s="129" t="s">
        <v>161</v>
      </c>
      <c r="C73" s="128" t="s">
        <v>137</v>
      </c>
      <c r="D73" s="128">
        <v>2005</v>
      </c>
      <c r="E73" s="128" t="s">
        <v>108</v>
      </c>
      <c r="F73" s="128" t="b">
        <v>1</v>
      </c>
      <c r="H73" s="128" t="s">
        <v>79</v>
      </c>
      <c r="I73" s="128">
        <v>5</v>
      </c>
      <c r="J73" s="128" t="b">
        <v>0</v>
      </c>
      <c r="L73" s="104">
        <v>6637010</v>
      </c>
      <c r="M73" s="128">
        <v>9999</v>
      </c>
      <c r="P73" s="101">
        <v>5</v>
      </c>
      <c r="Q73" s="101">
        <v>7</v>
      </c>
    </row>
    <row r="74" spans="1:17">
      <c r="A74" s="128">
        <v>100026</v>
      </c>
      <c r="B74" s="129" t="s">
        <v>162</v>
      </c>
      <c r="C74" s="128" t="s">
        <v>137</v>
      </c>
      <c r="D74" s="128">
        <v>2005</v>
      </c>
      <c r="E74" s="128" t="s">
        <v>108</v>
      </c>
      <c r="F74" s="128" t="b">
        <v>1</v>
      </c>
      <c r="H74" s="128" t="s">
        <v>79</v>
      </c>
      <c r="I74" s="128">
        <v>5</v>
      </c>
      <c r="J74" s="128" t="b">
        <v>0</v>
      </c>
      <c r="L74" s="104">
        <v>6637010</v>
      </c>
      <c r="M74" s="128">
        <v>9999</v>
      </c>
      <c r="P74" s="101">
        <v>5</v>
      </c>
      <c r="Q74" s="101">
        <v>7</v>
      </c>
    </row>
    <row r="75" spans="1:17">
      <c r="A75" s="128">
        <v>100027</v>
      </c>
      <c r="B75" s="129" t="s">
        <v>163</v>
      </c>
      <c r="C75" s="128" t="s">
        <v>137</v>
      </c>
      <c r="D75" s="128">
        <v>2005</v>
      </c>
      <c r="E75" s="128" t="s">
        <v>108</v>
      </c>
      <c r="F75" s="128" t="b">
        <v>1</v>
      </c>
      <c r="H75" s="128" t="s">
        <v>79</v>
      </c>
      <c r="I75" s="128">
        <v>5</v>
      </c>
      <c r="J75" s="128" t="b">
        <v>0</v>
      </c>
      <c r="L75" s="104">
        <v>6637010</v>
      </c>
      <c r="M75" s="128">
        <v>9999</v>
      </c>
      <c r="P75" s="101">
        <v>5</v>
      </c>
      <c r="Q75" s="101">
        <v>7</v>
      </c>
    </row>
    <row r="76" spans="1:17">
      <c r="A76" s="128">
        <v>100028</v>
      </c>
      <c r="B76" s="129" t="s">
        <v>164</v>
      </c>
      <c r="C76" s="128" t="s">
        <v>137</v>
      </c>
      <c r="D76" s="128">
        <v>2005</v>
      </c>
      <c r="E76" s="128" t="s">
        <v>108</v>
      </c>
      <c r="F76" s="128" t="b">
        <v>1</v>
      </c>
      <c r="H76" s="128" t="s">
        <v>79</v>
      </c>
      <c r="I76" s="128">
        <v>5</v>
      </c>
      <c r="J76" s="128" t="b">
        <v>0</v>
      </c>
      <c r="L76" s="104">
        <v>6637010</v>
      </c>
      <c r="M76" s="128">
        <v>9999</v>
      </c>
      <c r="P76" s="101">
        <v>5</v>
      </c>
      <c r="Q76" s="101">
        <v>7</v>
      </c>
    </row>
    <row r="77" spans="1:17">
      <c r="A77" s="128">
        <v>100029</v>
      </c>
      <c r="B77" s="129" t="s">
        <v>165</v>
      </c>
      <c r="C77" s="128" t="s">
        <v>137</v>
      </c>
      <c r="D77" s="128">
        <v>2005</v>
      </c>
      <c r="E77" s="128" t="s">
        <v>108</v>
      </c>
      <c r="F77" s="128" t="b">
        <v>1</v>
      </c>
      <c r="H77" s="128" t="s">
        <v>79</v>
      </c>
      <c r="I77" s="128">
        <v>5</v>
      </c>
      <c r="J77" s="128" t="b">
        <v>0</v>
      </c>
      <c r="L77" s="104">
        <v>6637010</v>
      </c>
      <c r="M77" s="128">
        <v>9999</v>
      </c>
      <c r="P77" s="101">
        <v>5</v>
      </c>
      <c r="Q77" s="101">
        <v>7</v>
      </c>
    </row>
    <row r="78" spans="1:17">
      <c r="A78" s="128">
        <v>100030</v>
      </c>
      <c r="B78" s="129" t="s">
        <v>166</v>
      </c>
      <c r="C78" s="128" t="s">
        <v>137</v>
      </c>
      <c r="D78" s="128">
        <v>2005</v>
      </c>
      <c r="E78" s="128" t="s">
        <v>108</v>
      </c>
      <c r="F78" s="128" t="b">
        <v>1</v>
      </c>
      <c r="H78" s="128" t="s">
        <v>79</v>
      </c>
      <c r="I78" s="128">
        <v>5</v>
      </c>
      <c r="J78" s="128" t="b">
        <v>0</v>
      </c>
      <c r="L78" s="104">
        <v>6637033</v>
      </c>
      <c r="M78" s="128">
        <v>9999</v>
      </c>
      <c r="P78" s="101">
        <v>5</v>
      </c>
      <c r="Q78" s="101">
        <v>7</v>
      </c>
    </row>
    <row r="79" spans="1:17">
      <c r="A79" s="128">
        <v>100031</v>
      </c>
      <c r="B79" s="129" t="s">
        <v>167</v>
      </c>
      <c r="C79" s="128" t="s">
        <v>137</v>
      </c>
      <c r="D79" s="128">
        <v>2005</v>
      </c>
      <c r="E79" s="128" t="s">
        <v>108</v>
      </c>
      <c r="F79" s="128" t="b">
        <v>1</v>
      </c>
      <c r="H79" s="128" t="s">
        <v>79</v>
      </c>
      <c r="I79" s="128">
        <v>5</v>
      </c>
      <c r="J79" s="128" t="b">
        <v>0</v>
      </c>
      <c r="L79" s="104">
        <v>6637034</v>
      </c>
      <c r="M79" s="128">
        <v>9999</v>
      </c>
      <c r="P79" s="101">
        <v>5</v>
      </c>
      <c r="Q79" s="101">
        <v>7</v>
      </c>
    </row>
    <row r="80" spans="1:17">
      <c r="A80" s="128">
        <v>100032</v>
      </c>
      <c r="B80" s="129" t="s">
        <v>168</v>
      </c>
      <c r="C80" s="128" t="s">
        <v>137</v>
      </c>
      <c r="D80" s="128">
        <v>2005</v>
      </c>
      <c r="E80" s="128" t="s">
        <v>108</v>
      </c>
      <c r="F80" s="128" t="b">
        <v>1</v>
      </c>
      <c r="H80" s="128" t="s">
        <v>79</v>
      </c>
      <c r="I80" s="128">
        <v>5</v>
      </c>
      <c r="J80" s="128" t="b">
        <v>0</v>
      </c>
      <c r="L80" s="104">
        <v>6637035</v>
      </c>
      <c r="M80" s="128">
        <v>9999</v>
      </c>
      <c r="P80" s="101">
        <v>5</v>
      </c>
      <c r="Q80" s="101">
        <v>7</v>
      </c>
    </row>
    <row r="81" spans="1:17">
      <c r="A81" s="128">
        <v>100033</v>
      </c>
      <c r="B81" s="129" t="s">
        <v>169</v>
      </c>
      <c r="C81" s="128" t="s">
        <v>137</v>
      </c>
      <c r="D81" s="128">
        <v>2005</v>
      </c>
      <c r="E81" s="128" t="s">
        <v>108</v>
      </c>
      <c r="F81" s="128" t="b">
        <v>1</v>
      </c>
      <c r="H81" s="128" t="s">
        <v>79</v>
      </c>
      <c r="I81" s="128">
        <v>5</v>
      </c>
      <c r="J81" s="128" t="b">
        <v>0</v>
      </c>
      <c r="L81" s="104">
        <v>6637033</v>
      </c>
      <c r="M81" s="128">
        <v>9999</v>
      </c>
      <c r="P81" s="101">
        <v>5</v>
      </c>
      <c r="Q81" s="101">
        <v>7</v>
      </c>
    </row>
    <row r="82" spans="1:17">
      <c r="A82" s="128">
        <v>100034</v>
      </c>
      <c r="B82" s="129" t="s">
        <v>170</v>
      </c>
      <c r="C82" s="128" t="s">
        <v>137</v>
      </c>
      <c r="D82" s="128">
        <v>2005</v>
      </c>
      <c r="E82" s="128" t="s">
        <v>108</v>
      </c>
      <c r="F82" s="128" t="b">
        <v>1</v>
      </c>
      <c r="H82" s="128" t="s">
        <v>79</v>
      </c>
      <c r="I82" s="128">
        <v>5</v>
      </c>
      <c r="J82" s="128" t="b">
        <v>0</v>
      </c>
      <c r="L82" s="104">
        <v>6637034</v>
      </c>
      <c r="M82" s="128">
        <v>9999</v>
      </c>
      <c r="P82" s="101">
        <v>5</v>
      </c>
      <c r="Q82" s="101">
        <v>7</v>
      </c>
    </row>
    <row r="83" spans="1:17">
      <c r="A83" s="128">
        <v>100035</v>
      </c>
      <c r="B83" s="129" t="s">
        <v>171</v>
      </c>
      <c r="C83" s="128" t="s">
        <v>137</v>
      </c>
      <c r="D83" s="128">
        <v>2005</v>
      </c>
      <c r="E83" s="128" t="s">
        <v>108</v>
      </c>
      <c r="F83" s="128" t="b">
        <v>1</v>
      </c>
      <c r="H83" s="128" t="s">
        <v>79</v>
      </c>
      <c r="I83" s="128">
        <v>5</v>
      </c>
      <c r="J83" s="128" t="b">
        <v>0</v>
      </c>
      <c r="L83" s="104">
        <v>6637035</v>
      </c>
      <c r="M83" s="128">
        <v>9999</v>
      </c>
      <c r="P83" s="101">
        <v>5</v>
      </c>
      <c r="Q83" s="101">
        <v>7</v>
      </c>
    </row>
    <row r="84" spans="1:17">
      <c r="A84" s="128">
        <v>100036</v>
      </c>
      <c r="B84" s="129" t="s">
        <v>172</v>
      </c>
      <c r="C84" s="128" t="s">
        <v>137</v>
      </c>
      <c r="D84" s="128">
        <v>2005</v>
      </c>
      <c r="E84" s="128" t="s">
        <v>108</v>
      </c>
      <c r="F84" s="128" t="b">
        <v>1</v>
      </c>
      <c r="H84" s="128" t="s">
        <v>79</v>
      </c>
      <c r="I84" s="128">
        <v>5</v>
      </c>
      <c r="J84" s="128" t="b">
        <v>0</v>
      </c>
      <c r="L84" s="104">
        <v>6637033</v>
      </c>
      <c r="M84" s="128">
        <v>9999</v>
      </c>
      <c r="P84" s="101">
        <v>5</v>
      </c>
      <c r="Q84" s="101">
        <v>7</v>
      </c>
    </row>
    <row r="85" spans="1:17">
      <c r="A85" s="128">
        <v>100037</v>
      </c>
      <c r="B85" s="129" t="s">
        <v>173</v>
      </c>
      <c r="C85" s="128" t="s">
        <v>137</v>
      </c>
      <c r="D85" s="128">
        <v>2005</v>
      </c>
      <c r="E85" s="128" t="s">
        <v>108</v>
      </c>
      <c r="F85" s="128" t="b">
        <v>1</v>
      </c>
      <c r="H85" s="128" t="s">
        <v>79</v>
      </c>
      <c r="I85" s="128">
        <v>5</v>
      </c>
      <c r="J85" s="128" t="b">
        <v>0</v>
      </c>
      <c r="L85" s="104">
        <v>6637034</v>
      </c>
      <c r="M85" s="128">
        <v>9999</v>
      </c>
      <c r="P85" s="101">
        <v>5</v>
      </c>
      <c r="Q85" s="101">
        <v>7</v>
      </c>
    </row>
    <row r="86" spans="1:17">
      <c r="A86" s="128">
        <v>100038</v>
      </c>
      <c r="B86" s="129" t="s">
        <v>174</v>
      </c>
      <c r="C86" s="128" t="s">
        <v>137</v>
      </c>
      <c r="D86" s="128">
        <v>2005</v>
      </c>
      <c r="E86" s="128" t="s">
        <v>108</v>
      </c>
      <c r="F86" s="128" t="b">
        <v>1</v>
      </c>
      <c r="H86" s="128" t="s">
        <v>79</v>
      </c>
      <c r="I86" s="128">
        <v>5</v>
      </c>
      <c r="J86" s="128" t="b">
        <v>0</v>
      </c>
      <c r="L86" s="104">
        <v>6637035</v>
      </c>
      <c r="M86" s="128">
        <v>9999</v>
      </c>
      <c r="P86" s="101">
        <v>5</v>
      </c>
      <c r="Q86" s="101">
        <v>7</v>
      </c>
    </row>
    <row r="87" spans="1:17">
      <c r="A87" s="128">
        <v>100039</v>
      </c>
      <c r="B87" s="129" t="s">
        <v>175</v>
      </c>
      <c r="C87" s="128" t="s">
        <v>137</v>
      </c>
      <c r="D87" s="128">
        <v>2005</v>
      </c>
      <c r="E87" s="128" t="s">
        <v>108</v>
      </c>
      <c r="F87" s="128" t="b">
        <v>1</v>
      </c>
      <c r="H87" s="128" t="s">
        <v>79</v>
      </c>
      <c r="I87" s="128">
        <v>5</v>
      </c>
      <c r="J87" s="128" t="b">
        <v>0</v>
      </c>
      <c r="L87" s="104">
        <v>6637033</v>
      </c>
      <c r="M87" s="128">
        <v>9999</v>
      </c>
      <c r="P87" s="101">
        <v>5</v>
      </c>
      <c r="Q87" s="101">
        <v>7</v>
      </c>
    </row>
    <row r="88" spans="1:17">
      <c r="A88" s="128">
        <v>100040</v>
      </c>
      <c r="B88" s="129" t="s">
        <v>176</v>
      </c>
      <c r="C88" s="128" t="s">
        <v>137</v>
      </c>
      <c r="D88" s="128">
        <v>2005</v>
      </c>
      <c r="E88" s="128" t="s">
        <v>108</v>
      </c>
      <c r="F88" s="128" t="b">
        <v>1</v>
      </c>
      <c r="H88" s="128" t="s">
        <v>79</v>
      </c>
      <c r="I88" s="128">
        <v>5</v>
      </c>
      <c r="J88" s="128" t="b">
        <v>0</v>
      </c>
      <c r="L88" s="104">
        <v>6637034</v>
      </c>
      <c r="M88" s="128">
        <v>9999</v>
      </c>
      <c r="P88" s="101">
        <v>5</v>
      </c>
      <c r="Q88" s="101">
        <v>7</v>
      </c>
    </row>
    <row r="89" spans="1:17">
      <c r="A89" s="128">
        <v>100041</v>
      </c>
      <c r="B89" s="129" t="s">
        <v>177</v>
      </c>
      <c r="C89" s="128" t="s">
        <v>137</v>
      </c>
      <c r="D89" s="128">
        <v>2005</v>
      </c>
      <c r="E89" s="128" t="s">
        <v>108</v>
      </c>
      <c r="F89" s="128" t="b">
        <v>1</v>
      </c>
      <c r="H89" s="128" t="s">
        <v>79</v>
      </c>
      <c r="I89" s="128">
        <v>5</v>
      </c>
      <c r="J89" s="128" t="b">
        <v>0</v>
      </c>
      <c r="L89" s="104">
        <v>6637035</v>
      </c>
      <c r="M89" s="128">
        <v>9999</v>
      </c>
      <c r="P89" s="101">
        <v>5</v>
      </c>
      <c r="Q89" s="101">
        <v>7</v>
      </c>
    </row>
    <row r="90" spans="1:17">
      <c r="A90" s="128">
        <v>100042</v>
      </c>
      <c r="B90" s="129" t="s">
        <v>178</v>
      </c>
      <c r="C90" s="128" t="s">
        <v>137</v>
      </c>
      <c r="D90" s="128">
        <v>2005</v>
      </c>
      <c r="E90" s="128" t="s">
        <v>108</v>
      </c>
      <c r="F90" s="128" t="b">
        <v>1</v>
      </c>
      <c r="H90" s="128" t="s">
        <v>79</v>
      </c>
      <c r="I90" s="128">
        <v>5</v>
      </c>
      <c r="J90" s="128" t="b">
        <v>0</v>
      </c>
      <c r="L90" s="104">
        <v>6637033</v>
      </c>
      <c r="M90" s="128">
        <v>9999</v>
      </c>
      <c r="P90" s="101">
        <v>5</v>
      </c>
      <c r="Q90" s="101">
        <v>7</v>
      </c>
    </row>
    <row r="91" spans="1:17">
      <c r="A91" s="128">
        <v>100043</v>
      </c>
      <c r="B91" s="129" t="s">
        <v>179</v>
      </c>
      <c r="C91" s="128" t="s">
        <v>137</v>
      </c>
      <c r="D91" s="128">
        <v>2005</v>
      </c>
      <c r="E91" s="128" t="s">
        <v>108</v>
      </c>
      <c r="F91" s="128" t="b">
        <v>1</v>
      </c>
      <c r="H91" s="128" t="s">
        <v>79</v>
      </c>
      <c r="I91" s="128">
        <v>5</v>
      </c>
      <c r="J91" s="128" t="b">
        <v>0</v>
      </c>
      <c r="L91" s="104">
        <v>6637034</v>
      </c>
      <c r="M91" s="128">
        <v>9999</v>
      </c>
      <c r="P91" s="101">
        <v>5</v>
      </c>
      <c r="Q91" s="101">
        <v>7</v>
      </c>
    </row>
    <row r="92" spans="1:17">
      <c r="A92" s="128">
        <v>100044</v>
      </c>
      <c r="B92" s="129" t="s">
        <v>180</v>
      </c>
      <c r="C92" s="128" t="s">
        <v>137</v>
      </c>
      <c r="D92" s="128">
        <v>2005</v>
      </c>
      <c r="E92" s="128" t="s">
        <v>108</v>
      </c>
      <c r="F92" s="128" t="b">
        <v>1</v>
      </c>
      <c r="H92" s="128" t="s">
        <v>79</v>
      </c>
      <c r="I92" s="128">
        <v>5</v>
      </c>
      <c r="J92" s="128" t="b">
        <v>0</v>
      </c>
      <c r="L92" s="104">
        <v>6637035</v>
      </c>
      <c r="M92" s="128">
        <v>9999</v>
      </c>
      <c r="P92" s="101">
        <v>5</v>
      </c>
      <c r="Q92" s="101">
        <v>7</v>
      </c>
    </row>
    <row r="93" spans="1:17">
      <c r="A93" s="128">
        <v>100045</v>
      </c>
      <c r="B93" s="129" t="s">
        <v>181</v>
      </c>
      <c r="C93" s="128" t="s">
        <v>137</v>
      </c>
      <c r="D93" s="128">
        <v>2005</v>
      </c>
      <c r="E93" s="128" t="s">
        <v>108</v>
      </c>
      <c r="F93" s="128" t="b">
        <v>1</v>
      </c>
      <c r="H93" s="128" t="s">
        <v>79</v>
      </c>
      <c r="I93" s="128">
        <v>5</v>
      </c>
      <c r="J93" s="128" t="b">
        <v>0</v>
      </c>
      <c r="L93" s="104">
        <v>6637033</v>
      </c>
      <c r="M93" s="128">
        <v>9999</v>
      </c>
      <c r="P93" s="101">
        <v>5</v>
      </c>
      <c r="Q93" s="101">
        <v>7</v>
      </c>
    </row>
    <row r="94" spans="1:17">
      <c r="A94" s="128">
        <v>100046</v>
      </c>
      <c r="B94" s="129" t="s">
        <v>182</v>
      </c>
      <c r="C94" s="128" t="s">
        <v>137</v>
      </c>
      <c r="D94" s="128">
        <v>2005</v>
      </c>
      <c r="E94" s="128" t="s">
        <v>108</v>
      </c>
      <c r="F94" s="128" t="b">
        <v>1</v>
      </c>
      <c r="H94" s="128" t="s">
        <v>79</v>
      </c>
      <c r="I94" s="128">
        <v>5</v>
      </c>
      <c r="J94" s="128" t="b">
        <v>0</v>
      </c>
      <c r="L94" s="104">
        <v>6637034</v>
      </c>
      <c r="M94" s="128">
        <v>9999</v>
      </c>
      <c r="P94" s="101">
        <v>5</v>
      </c>
      <c r="Q94" s="101">
        <v>7</v>
      </c>
    </row>
    <row r="95" spans="1:17">
      <c r="A95" s="128">
        <v>100047</v>
      </c>
      <c r="B95" s="129" t="s">
        <v>183</v>
      </c>
      <c r="C95" s="128" t="s">
        <v>137</v>
      </c>
      <c r="D95" s="128">
        <v>2005</v>
      </c>
      <c r="E95" s="128" t="s">
        <v>108</v>
      </c>
      <c r="F95" s="128" t="b">
        <v>1</v>
      </c>
      <c r="H95" s="128" t="s">
        <v>79</v>
      </c>
      <c r="I95" s="128">
        <v>5</v>
      </c>
      <c r="J95" s="128" t="b">
        <v>0</v>
      </c>
      <c r="L95" s="104">
        <v>6637035</v>
      </c>
      <c r="M95" s="128">
        <v>9999</v>
      </c>
      <c r="P95" s="101">
        <v>5</v>
      </c>
      <c r="Q95" s="101">
        <v>7</v>
      </c>
    </row>
    <row r="96" spans="1:17">
      <c r="A96" s="128">
        <v>100048</v>
      </c>
      <c r="B96" s="129" t="s">
        <v>184</v>
      </c>
      <c r="C96" s="128" t="s">
        <v>137</v>
      </c>
      <c r="D96" s="128">
        <v>2005</v>
      </c>
      <c r="E96" s="128" t="s">
        <v>108</v>
      </c>
      <c r="F96" s="128" t="b">
        <v>1</v>
      </c>
      <c r="H96" s="128" t="s">
        <v>79</v>
      </c>
      <c r="I96" s="128">
        <v>5</v>
      </c>
      <c r="J96" s="128" t="b">
        <v>0</v>
      </c>
      <c r="L96" s="104">
        <v>6637033</v>
      </c>
      <c r="M96" s="128">
        <v>9999</v>
      </c>
      <c r="P96" s="101">
        <v>5</v>
      </c>
      <c r="Q96" s="101">
        <v>7</v>
      </c>
    </row>
    <row r="97" spans="1:17">
      <c r="A97" s="128">
        <v>100049</v>
      </c>
      <c r="B97" s="129" t="s">
        <v>185</v>
      </c>
      <c r="C97" s="128" t="s">
        <v>137</v>
      </c>
      <c r="D97" s="128">
        <v>2005</v>
      </c>
      <c r="E97" s="128" t="s">
        <v>108</v>
      </c>
      <c r="F97" s="128" t="b">
        <v>1</v>
      </c>
      <c r="H97" s="128" t="s">
        <v>79</v>
      </c>
      <c r="I97" s="128">
        <v>5</v>
      </c>
      <c r="J97" s="128" t="b">
        <v>0</v>
      </c>
      <c r="L97" s="104">
        <v>6637034</v>
      </c>
      <c r="M97" s="128">
        <v>9999</v>
      </c>
      <c r="P97" s="101">
        <v>5</v>
      </c>
      <c r="Q97" s="101">
        <v>7</v>
      </c>
    </row>
    <row r="98" spans="1:17">
      <c r="A98" s="128">
        <v>100050</v>
      </c>
      <c r="B98" s="129" t="s">
        <v>186</v>
      </c>
      <c r="C98" s="128" t="s">
        <v>137</v>
      </c>
      <c r="D98" s="128">
        <v>2005</v>
      </c>
      <c r="E98" s="128" t="s">
        <v>108</v>
      </c>
      <c r="F98" s="128" t="b">
        <v>1</v>
      </c>
      <c r="H98" s="128" t="s">
        <v>79</v>
      </c>
      <c r="I98" s="128">
        <v>5</v>
      </c>
      <c r="J98" s="128" t="b">
        <v>0</v>
      </c>
      <c r="L98" s="104">
        <v>6637035</v>
      </c>
      <c r="M98" s="128">
        <v>9999</v>
      </c>
      <c r="P98" s="101">
        <v>5</v>
      </c>
      <c r="Q98" s="101">
        <v>7</v>
      </c>
    </row>
    <row r="99" spans="1:17">
      <c r="A99" s="128">
        <v>100051</v>
      </c>
      <c r="B99" s="129" t="s">
        <v>187</v>
      </c>
      <c r="C99" s="128" t="s">
        <v>137</v>
      </c>
      <c r="D99" s="128">
        <v>2005</v>
      </c>
      <c r="E99" s="128" t="s">
        <v>108</v>
      </c>
      <c r="F99" s="128" t="b">
        <v>1</v>
      </c>
      <c r="H99" s="128" t="s">
        <v>79</v>
      </c>
      <c r="I99" s="128">
        <v>5</v>
      </c>
      <c r="J99" s="128" t="b">
        <v>0</v>
      </c>
      <c r="L99" s="104">
        <v>6637033</v>
      </c>
      <c r="M99" s="128">
        <v>9999</v>
      </c>
      <c r="P99" s="101">
        <v>5</v>
      </c>
      <c r="Q99" s="101">
        <v>7</v>
      </c>
    </row>
    <row r="100" spans="1:17">
      <c r="A100" s="128">
        <v>100052</v>
      </c>
      <c r="B100" s="129" t="s">
        <v>188</v>
      </c>
      <c r="C100" s="128" t="s">
        <v>137</v>
      </c>
      <c r="D100" s="128">
        <v>2005</v>
      </c>
      <c r="E100" s="128" t="s">
        <v>108</v>
      </c>
      <c r="F100" s="128" t="b">
        <v>1</v>
      </c>
      <c r="H100" s="128" t="s">
        <v>79</v>
      </c>
      <c r="I100" s="128">
        <v>5</v>
      </c>
      <c r="J100" s="128" t="b">
        <v>0</v>
      </c>
      <c r="L100" s="104">
        <v>6637034</v>
      </c>
      <c r="M100" s="128">
        <v>9999</v>
      </c>
      <c r="P100" s="101">
        <v>5</v>
      </c>
      <c r="Q100" s="101">
        <v>7</v>
      </c>
    </row>
    <row r="101" spans="1:17">
      <c r="A101" s="128">
        <v>100053</v>
      </c>
      <c r="B101" s="129" t="s">
        <v>189</v>
      </c>
      <c r="C101" s="128" t="s">
        <v>137</v>
      </c>
      <c r="D101" s="128">
        <v>2005</v>
      </c>
      <c r="E101" s="128" t="s">
        <v>108</v>
      </c>
      <c r="F101" s="128" t="b">
        <v>1</v>
      </c>
      <c r="H101" s="128" t="s">
        <v>79</v>
      </c>
      <c r="I101" s="128">
        <v>5</v>
      </c>
      <c r="J101" s="128" t="b">
        <v>0</v>
      </c>
      <c r="L101" s="104">
        <v>6637035</v>
      </c>
      <c r="M101" s="128">
        <v>9999</v>
      </c>
      <c r="P101" s="101">
        <v>5</v>
      </c>
      <c r="Q101" s="101">
        <v>7</v>
      </c>
    </row>
    <row r="102" spans="1:17">
      <c r="A102" s="128">
        <v>100054</v>
      </c>
      <c r="B102" s="129" t="s">
        <v>190</v>
      </c>
      <c r="C102" s="128" t="s">
        <v>137</v>
      </c>
      <c r="D102" s="128">
        <v>2005</v>
      </c>
      <c r="E102" s="128" t="s">
        <v>108</v>
      </c>
      <c r="F102" s="128" t="b">
        <v>1</v>
      </c>
      <c r="H102" s="128" t="s">
        <v>79</v>
      </c>
      <c r="I102" s="128">
        <v>5</v>
      </c>
      <c r="J102" s="128" t="b">
        <v>0</v>
      </c>
      <c r="L102" s="104">
        <v>6637033</v>
      </c>
      <c r="M102" s="128">
        <v>9999</v>
      </c>
      <c r="P102" s="101">
        <v>5</v>
      </c>
      <c r="Q102" s="101">
        <v>7</v>
      </c>
    </row>
    <row r="103" spans="1:17">
      <c r="A103" s="128">
        <v>100055</v>
      </c>
      <c r="B103" s="129" t="s">
        <v>191</v>
      </c>
      <c r="C103" s="128" t="s">
        <v>137</v>
      </c>
      <c r="D103" s="128">
        <v>2005</v>
      </c>
      <c r="E103" s="128" t="s">
        <v>108</v>
      </c>
      <c r="F103" s="128" t="b">
        <v>1</v>
      </c>
      <c r="H103" s="128" t="s">
        <v>79</v>
      </c>
      <c r="I103" s="128">
        <v>5</v>
      </c>
      <c r="J103" s="128" t="b">
        <v>0</v>
      </c>
      <c r="L103" s="104">
        <v>6637034</v>
      </c>
      <c r="M103" s="128">
        <v>9999</v>
      </c>
      <c r="P103" s="101">
        <v>5</v>
      </c>
      <c r="Q103" s="101">
        <v>7</v>
      </c>
    </row>
    <row r="104" spans="1:17">
      <c r="A104" s="128">
        <v>100056</v>
      </c>
      <c r="B104" s="129" t="s">
        <v>192</v>
      </c>
      <c r="C104" s="128" t="s">
        <v>137</v>
      </c>
      <c r="D104" s="128">
        <v>2005</v>
      </c>
      <c r="E104" s="128" t="s">
        <v>108</v>
      </c>
      <c r="F104" s="128" t="b">
        <v>1</v>
      </c>
      <c r="H104" s="128" t="s">
        <v>79</v>
      </c>
      <c r="I104" s="128">
        <v>5</v>
      </c>
      <c r="J104" s="128" t="b">
        <v>0</v>
      </c>
      <c r="L104" s="104">
        <v>6637035</v>
      </c>
      <c r="M104" s="128">
        <v>9999</v>
      </c>
      <c r="P104" s="101">
        <v>5</v>
      </c>
      <c r="Q104" s="101">
        <v>7</v>
      </c>
    </row>
    <row r="105" spans="1:17">
      <c r="A105" s="128">
        <v>100057</v>
      </c>
      <c r="B105" s="129" t="s">
        <v>193</v>
      </c>
      <c r="C105" s="128" t="s">
        <v>137</v>
      </c>
      <c r="D105" s="128">
        <v>2005</v>
      </c>
      <c r="E105" s="128" t="s">
        <v>108</v>
      </c>
      <c r="F105" s="128" t="b">
        <v>1</v>
      </c>
      <c r="H105" s="128" t="s">
        <v>79</v>
      </c>
      <c r="I105" s="128">
        <v>5</v>
      </c>
      <c r="J105" s="128" t="b">
        <v>0</v>
      </c>
      <c r="L105" s="104">
        <v>6637033</v>
      </c>
      <c r="M105" s="128">
        <v>9999</v>
      </c>
      <c r="P105" s="101">
        <v>5</v>
      </c>
      <c r="Q105" s="101">
        <v>7</v>
      </c>
    </row>
    <row r="106" spans="1:17">
      <c r="A106" s="128">
        <v>100058</v>
      </c>
      <c r="B106" s="129" t="s">
        <v>194</v>
      </c>
      <c r="C106" s="128" t="s">
        <v>137</v>
      </c>
      <c r="D106" s="128">
        <v>2005</v>
      </c>
      <c r="E106" s="128" t="s">
        <v>108</v>
      </c>
      <c r="F106" s="128" t="b">
        <v>1</v>
      </c>
      <c r="H106" s="128" t="s">
        <v>79</v>
      </c>
      <c r="I106" s="128">
        <v>5</v>
      </c>
      <c r="J106" s="128" t="b">
        <v>0</v>
      </c>
      <c r="L106" s="104">
        <v>6637034</v>
      </c>
      <c r="M106" s="128">
        <v>9999</v>
      </c>
      <c r="P106" s="101">
        <v>5</v>
      </c>
      <c r="Q106" s="101">
        <v>7</v>
      </c>
    </row>
    <row r="107" spans="1:17">
      <c r="A107" s="128">
        <v>100059</v>
      </c>
      <c r="B107" s="129" t="s">
        <v>195</v>
      </c>
      <c r="C107" s="128" t="s">
        <v>137</v>
      </c>
      <c r="D107" s="128">
        <v>2005</v>
      </c>
      <c r="E107" s="128" t="s">
        <v>108</v>
      </c>
      <c r="F107" s="128" t="b">
        <v>1</v>
      </c>
      <c r="H107" s="128" t="s">
        <v>79</v>
      </c>
      <c r="I107" s="128">
        <v>5</v>
      </c>
      <c r="J107" s="128" t="b">
        <v>0</v>
      </c>
      <c r="L107" s="104">
        <v>6637035</v>
      </c>
      <c r="M107" s="128">
        <v>9999</v>
      </c>
      <c r="P107" s="101">
        <v>5</v>
      </c>
      <c r="Q107" s="101">
        <v>7</v>
      </c>
    </row>
    <row r="108" spans="1:17">
      <c r="A108" s="128">
        <v>100060</v>
      </c>
      <c r="B108" s="129" t="s">
        <v>196</v>
      </c>
      <c r="C108" s="128" t="s">
        <v>137</v>
      </c>
      <c r="D108" s="128">
        <v>2005</v>
      </c>
      <c r="E108" s="128" t="s">
        <v>108</v>
      </c>
      <c r="F108" s="128" t="b">
        <v>1</v>
      </c>
      <c r="H108" s="128" t="s">
        <v>79</v>
      </c>
      <c r="I108" s="128">
        <v>5</v>
      </c>
      <c r="J108" s="128" t="b">
        <v>0</v>
      </c>
      <c r="L108" s="104">
        <v>6637033</v>
      </c>
      <c r="M108" s="128">
        <v>9999</v>
      </c>
      <c r="P108" s="101">
        <v>5</v>
      </c>
      <c r="Q108" s="101">
        <v>7</v>
      </c>
    </row>
    <row r="109" spans="1:17">
      <c r="A109" s="128">
        <v>100061</v>
      </c>
      <c r="B109" s="129" t="s">
        <v>197</v>
      </c>
      <c r="C109" s="128" t="s">
        <v>137</v>
      </c>
      <c r="D109" s="128">
        <v>2005</v>
      </c>
      <c r="E109" s="128" t="s">
        <v>108</v>
      </c>
      <c r="F109" s="128" t="b">
        <v>1</v>
      </c>
      <c r="H109" s="128" t="s">
        <v>79</v>
      </c>
      <c r="I109" s="128">
        <v>5</v>
      </c>
      <c r="J109" s="128" t="b">
        <v>0</v>
      </c>
      <c r="L109" s="104">
        <v>6637034</v>
      </c>
      <c r="M109" s="128">
        <v>9999</v>
      </c>
      <c r="P109" s="101">
        <v>5</v>
      </c>
      <c r="Q109" s="101">
        <v>7</v>
      </c>
    </row>
    <row r="110" spans="1:17">
      <c r="A110" s="128">
        <v>100062</v>
      </c>
      <c r="B110" s="129" t="s">
        <v>198</v>
      </c>
      <c r="C110" s="128" t="s">
        <v>137</v>
      </c>
      <c r="D110" s="128">
        <v>2005</v>
      </c>
      <c r="E110" s="128" t="s">
        <v>108</v>
      </c>
      <c r="F110" s="128" t="b">
        <v>1</v>
      </c>
      <c r="H110" s="128" t="s">
        <v>79</v>
      </c>
      <c r="I110" s="128">
        <v>5</v>
      </c>
      <c r="J110" s="128" t="b">
        <v>0</v>
      </c>
      <c r="L110" s="104">
        <v>6637035</v>
      </c>
      <c r="M110" s="128">
        <v>9999</v>
      </c>
      <c r="P110" s="101">
        <v>5</v>
      </c>
      <c r="Q110" s="101">
        <v>7</v>
      </c>
    </row>
    <row r="111" spans="1:17">
      <c r="A111" s="128">
        <v>100063</v>
      </c>
      <c r="B111" s="129" t="s">
        <v>199</v>
      </c>
      <c r="C111" s="128" t="s">
        <v>137</v>
      </c>
      <c r="D111" s="128">
        <v>2005</v>
      </c>
      <c r="E111" s="128" t="s">
        <v>108</v>
      </c>
      <c r="F111" s="128" t="b">
        <v>1</v>
      </c>
      <c r="H111" s="128" t="s">
        <v>79</v>
      </c>
      <c r="I111" s="128">
        <v>5</v>
      </c>
      <c r="J111" s="128" t="b">
        <v>0</v>
      </c>
      <c r="L111" s="104">
        <v>6637033</v>
      </c>
      <c r="M111" s="128">
        <v>9999</v>
      </c>
      <c r="P111" s="101">
        <v>5</v>
      </c>
      <c r="Q111" s="101">
        <v>7</v>
      </c>
    </row>
    <row r="112" spans="1:17">
      <c r="A112" s="128">
        <v>100064</v>
      </c>
      <c r="B112" s="129" t="s">
        <v>200</v>
      </c>
      <c r="C112" s="128" t="s">
        <v>137</v>
      </c>
      <c r="D112" s="128">
        <v>2005</v>
      </c>
      <c r="E112" s="128" t="s">
        <v>108</v>
      </c>
      <c r="F112" s="128" t="b">
        <v>1</v>
      </c>
      <c r="H112" s="128" t="s">
        <v>79</v>
      </c>
      <c r="I112" s="128">
        <v>5</v>
      </c>
      <c r="J112" s="128" t="b">
        <v>0</v>
      </c>
      <c r="L112" s="104">
        <v>6637034</v>
      </c>
      <c r="M112" s="128">
        <v>9999</v>
      </c>
      <c r="P112" s="101">
        <v>5</v>
      </c>
      <c r="Q112" s="101">
        <v>7</v>
      </c>
    </row>
    <row r="113" spans="1:17">
      <c r="A113" s="128">
        <v>100065</v>
      </c>
      <c r="B113" s="129" t="s">
        <v>201</v>
      </c>
      <c r="C113" s="128" t="s">
        <v>137</v>
      </c>
      <c r="D113" s="128">
        <v>2005</v>
      </c>
      <c r="E113" s="128" t="s">
        <v>108</v>
      </c>
      <c r="F113" s="128" t="b">
        <v>1</v>
      </c>
      <c r="H113" s="128" t="s">
        <v>79</v>
      </c>
      <c r="I113" s="128">
        <v>5</v>
      </c>
      <c r="J113" s="128" t="b">
        <v>0</v>
      </c>
      <c r="L113" s="104">
        <v>6637035</v>
      </c>
      <c r="M113" s="128">
        <v>9999</v>
      </c>
      <c r="P113" s="101">
        <v>5</v>
      </c>
      <c r="Q113" s="101">
        <v>7</v>
      </c>
    </row>
    <row r="114" spans="1:17">
      <c r="A114" s="128">
        <v>100066</v>
      </c>
      <c r="B114" s="129" t="s">
        <v>202</v>
      </c>
      <c r="C114" s="128" t="s">
        <v>137</v>
      </c>
      <c r="D114" s="128">
        <v>2005</v>
      </c>
      <c r="E114" s="128" t="s">
        <v>108</v>
      </c>
      <c r="F114" s="128" t="b">
        <v>1</v>
      </c>
      <c r="H114" s="128" t="s">
        <v>79</v>
      </c>
      <c r="I114" s="128">
        <v>5</v>
      </c>
      <c r="J114" s="128" t="b">
        <v>0</v>
      </c>
      <c r="L114" s="104">
        <v>6637033</v>
      </c>
      <c r="M114" s="128">
        <v>9999</v>
      </c>
      <c r="P114" s="101">
        <v>5</v>
      </c>
      <c r="Q114" s="101">
        <v>7</v>
      </c>
    </row>
    <row r="115" spans="1:17">
      <c r="A115" s="128">
        <v>100067</v>
      </c>
      <c r="B115" s="129" t="s">
        <v>203</v>
      </c>
      <c r="C115" s="128" t="s">
        <v>137</v>
      </c>
      <c r="D115" s="128">
        <v>2005</v>
      </c>
      <c r="E115" s="128" t="s">
        <v>108</v>
      </c>
      <c r="F115" s="128" t="b">
        <v>1</v>
      </c>
      <c r="H115" s="128" t="s">
        <v>79</v>
      </c>
      <c r="I115" s="128">
        <v>5</v>
      </c>
      <c r="J115" s="128" t="b">
        <v>0</v>
      </c>
      <c r="L115" s="104">
        <v>6637034</v>
      </c>
      <c r="M115" s="128">
        <v>9999</v>
      </c>
      <c r="P115" s="101">
        <v>5</v>
      </c>
      <c r="Q115" s="101">
        <v>7</v>
      </c>
    </row>
    <row r="116" spans="1:17">
      <c r="A116" s="128">
        <v>100068</v>
      </c>
      <c r="B116" s="129" t="s">
        <v>204</v>
      </c>
      <c r="C116" s="128" t="s">
        <v>137</v>
      </c>
      <c r="D116" s="128">
        <v>2005</v>
      </c>
      <c r="E116" s="128" t="s">
        <v>108</v>
      </c>
      <c r="F116" s="128" t="b">
        <v>1</v>
      </c>
      <c r="H116" s="128" t="s">
        <v>79</v>
      </c>
      <c r="I116" s="128">
        <v>5</v>
      </c>
      <c r="J116" s="128" t="b">
        <v>0</v>
      </c>
      <c r="L116" s="104">
        <v>6637035</v>
      </c>
      <c r="M116" s="128">
        <v>9999</v>
      </c>
      <c r="P116" s="101">
        <v>5</v>
      </c>
      <c r="Q116" s="101">
        <v>7</v>
      </c>
    </row>
    <row r="117" spans="1:17">
      <c r="A117" s="128">
        <v>100069</v>
      </c>
      <c r="B117" s="129" t="s">
        <v>205</v>
      </c>
      <c r="C117" s="128" t="s">
        <v>137</v>
      </c>
      <c r="D117" s="128">
        <v>2005</v>
      </c>
      <c r="E117" s="128" t="s">
        <v>108</v>
      </c>
      <c r="F117" s="128" t="b">
        <v>1</v>
      </c>
      <c r="H117" s="128" t="s">
        <v>79</v>
      </c>
      <c r="I117" s="128">
        <v>5</v>
      </c>
      <c r="J117" s="128" t="b">
        <v>0</v>
      </c>
      <c r="L117" s="104">
        <v>6637033</v>
      </c>
      <c r="M117" s="128">
        <v>9999</v>
      </c>
      <c r="P117" s="101">
        <v>5</v>
      </c>
      <c r="Q117" s="101">
        <v>7</v>
      </c>
    </row>
    <row r="118" spans="1:17">
      <c r="A118" s="128">
        <v>100070</v>
      </c>
      <c r="B118" s="129" t="s">
        <v>206</v>
      </c>
      <c r="C118" s="128" t="s">
        <v>137</v>
      </c>
      <c r="D118" s="128">
        <v>2005</v>
      </c>
      <c r="E118" s="128" t="s">
        <v>108</v>
      </c>
      <c r="F118" s="128" t="b">
        <v>1</v>
      </c>
      <c r="H118" s="128" t="s">
        <v>79</v>
      </c>
      <c r="I118" s="128">
        <v>5</v>
      </c>
      <c r="J118" s="128" t="b">
        <v>0</v>
      </c>
      <c r="L118" s="104">
        <v>6637034</v>
      </c>
      <c r="M118" s="128">
        <v>9999</v>
      </c>
      <c r="P118" s="101">
        <v>5</v>
      </c>
      <c r="Q118" s="101">
        <v>7</v>
      </c>
    </row>
    <row r="119" spans="1:17">
      <c r="A119" s="128">
        <v>100071</v>
      </c>
      <c r="B119" s="129" t="s">
        <v>207</v>
      </c>
      <c r="C119" s="128" t="s">
        <v>137</v>
      </c>
      <c r="D119" s="128">
        <v>2005</v>
      </c>
      <c r="E119" s="128" t="s">
        <v>108</v>
      </c>
      <c r="F119" s="128" t="b">
        <v>1</v>
      </c>
      <c r="H119" s="128" t="s">
        <v>79</v>
      </c>
      <c r="I119" s="128">
        <v>5</v>
      </c>
      <c r="J119" s="128" t="b">
        <v>0</v>
      </c>
      <c r="L119" s="104">
        <v>6637035</v>
      </c>
      <c r="M119" s="128">
        <v>9999</v>
      </c>
      <c r="P119" s="101">
        <v>5</v>
      </c>
      <c r="Q119" s="101">
        <v>7</v>
      </c>
    </row>
    <row r="120" spans="1:17">
      <c r="A120" s="128">
        <v>100072</v>
      </c>
      <c r="B120" s="129" t="s">
        <v>208</v>
      </c>
      <c r="C120" s="128" t="s">
        <v>137</v>
      </c>
      <c r="D120" s="128">
        <v>2005</v>
      </c>
      <c r="E120" s="128" t="s">
        <v>108</v>
      </c>
      <c r="F120" s="128" t="b">
        <v>1</v>
      </c>
      <c r="H120" s="128" t="s">
        <v>79</v>
      </c>
      <c r="I120" s="128">
        <v>5</v>
      </c>
      <c r="J120" s="128" t="b">
        <v>0</v>
      </c>
      <c r="L120" s="104">
        <v>6637033</v>
      </c>
      <c r="M120" s="128">
        <v>9999</v>
      </c>
      <c r="P120" s="101">
        <v>5</v>
      </c>
      <c r="Q120" s="101">
        <v>7</v>
      </c>
    </row>
    <row r="121" spans="1:17">
      <c r="A121" s="128">
        <v>100073</v>
      </c>
      <c r="B121" s="129" t="s">
        <v>209</v>
      </c>
      <c r="C121" s="128" t="s">
        <v>137</v>
      </c>
      <c r="D121" s="128">
        <v>2005</v>
      </c>
      <c r="E121" s="128" t="s">
        <v>108</v>
      </c>
      <c r="F121" s="128" t="b">
        <v>1</v>
      </c>
      <c r="H121" s="128" t="s">
        <v>79</v>
      </c>
      <c r="I121" s="128">
        <v>5</v>
      </c>
      <c r="J121" s="128" t="b">
        <v>0</v>
      </c>
      <c r="L121" s="104">
        <v>6637034</v>
      </c>
      <c r="M121" s="128">
        <v>9999</v>
      </c>
      <c r="P121" s="101">
        <v>5</v>
      </c>
      <c r="Q121" s="101">
        <v>7</v>
      </c>
    </row>
    <row r="122" spans="1:17">
      <c r="A122" s="128">
        <v>100074</v>
      </c>
      <c r="B122" s="129" t="s">
        <v>210</v>
      </c>
      <c r="C122" s="128" t="s">
        <v>137</v>
      </c>
      <c r="D122" s="128">
        <v>2005</v>
      </c>
      <c r="E122" s="128" t="s">
        <v>108</v>
      </c>
      <c r="F122" s="128" t="b">
        <v>1</v>
      </c>
      <c r="H122" s="128" t="s">
        <v>79</v>
      </c>
      <c r="I122" s="128">
        <v>5</v>
      </c>
      <c r="J122" s="128" t="b">
        <v>0</v>
      </c>
      <c r="L122" s="104">
        <v>6637035</v>
      </c>
      <c r="M122" s="128">
        <v>9999</v>
      </c>
      <c r="P122" s="101">
        <v>5</v>
      </c>
      <c r="Q122" s="101">
        <v>7</v>
      </c>
    </row>
    <row r="123" spans="1:17">
      <c r="A123" s="128">
        <v>100075</v>
      </c>
      <c r="B123" s="129" t="s">
        <v>211</v>
      </c>
      <c r="C123" s="128" t="s">
        <v>137</v>
      </c>
      <c r="D123" s="128">
        <v>2005</v>
      </c>
      <c r="E123" s="128" t="s">
        <v>108</v>
      </c>
      <c r="F123" s="128" t="b">
        <v>1</v>
      </c>
      <c r="H123" s="128" t="s">
        <v>79</v>
      </c>
      <c r="I123" s="128">
        <v>5</v>
      </c>
      <c r="J123" s="128" t="b">
        <v>0</v>
      </c>
      <c r="L123" s="104">
        <v>6637033</v>
      </c>
      <c r="M123" s="128">
        <v>9999</v>
      </c>
      <c r="P123" s="101">
        <v>5</v>
      </c>
      <c r="Q123" s="101">
        <v>7</v>
      </c>
    </row>
    <row r="124" spans="1:17">
      <c r="A124" s="128">
        <v>100076</v>
      </c>
      <c r="B124" s="129" t="s">
        <v>212</v>
      </c>
      <c r="C124" s="128" t="s">
        <v>137</v>
      </c>
      <c r="D124" s="128">
        <v>2005</v>
      </c>
      <c r="E124" s="128" t="s">
        <v>108</v>
      </c>
      <c r="F124" s="128" t="b">
        <v>1</v>
      </c>
      <c r="H124" s="128" t="s">
        <v>79</v>
      </c>
      <c r="I124" s="128">
        <v>5</v>
      </c>
      <c r="J124" s="128" t="b">
        <v>0</v>
      </c>
      <c r="L124" s="104">
        <v>6637034</v>
      </c>
      <c r="M124" s="128">
        <v>9999</v>
      </c>
      <c r="P124" s="101">
        <v>5</v>
      </c>
      <c r="Q124" s="101">
        <v>7</v>
      </c>
    </row>
    <row r="125" spans="1:17">
      <c r="A125" s="128">
        <v>100077</v>
      </c>
      <c r="B125" s="129" t="s">
        <v>213</v>
      </c>
      <c r="C125" s="128" t="s">
        <v>137</v>
      </c>
      <c r="D125" s="128">
        <v>2005</v>
      </c>
      <c r="E125" s="128" t="s">
        <v>108</v>
      </c>
      <c r="F125" s="128" t="b">
        <v>1</v>
      </c>
      <c r="H125" s="128" t="s">
        <v>79</v>
      </c>
      <c r="I125" s="128">
        <v>5</v>
      </c>
      <c r="J125" s="128" t="b">
        <v>0</v>
      </c>
      <c r="L125" s="104">
        <v>6637035</v>
      </c>
      <c r="M125" s="128">
        <v>9999</v>
      </c>
      <c r="P125" s="101">
        <v>5</v>
      </c>
      <c r="Q125" s="101">
        <v>7</v>
      </c>
    </row>
    <row r="126" spans="1:17">
      <c r="A126" s="128">
        <v>100078</v>
      </c>
      <c r="B126" s="129" t="s">
        <v>214</v>
      </c>
      <c r="C126" s="128" t="s">
        <v>137</v>
      </c>
      <c r="D126" s="128">
        <v>2005</v>
      </c>
      <c r="E126" s="128" t="s">
        <v>108</v>
      </c>
      <c r="F126" s="128" t="b">
        <v>1</v>
      </c>
      <c r="H126" s="128" t="s">
        <v>79</v>
      </c>
      <c r="I126" s="128">
        <v>5</v>
      </c>
      <c r="J126" s="128" t="b">
        <v>0</v>
      </c>
      <c r="L126" s="104">
        <v>6637033</v>
      </c>
      <c r="M126" s="128">
        <v>9999</v>
      </c>
      <c r="P126" s="101">
        <v>5</v>
      </c>
      <c r="Q126" s="101">
        <v>7</v>
      </c>
    </row>
    <row r="127" spans="1:17">
      <c r="A127" s="128">
        <v>100079</v>
      </c>
      <c r="B127" s="129" t="s">
        <v>215</v>
      </c>
      <c r="C127" s="128" t="s">
        <v>137</v>
      </c>
      <c r="D127" s="128">
        <v>2005</v>
      </c>
      <c r="E127" s="128" t="s">
        <v>108</v>
      </c>
      <c r="F127" s="128" t="b">
        <v>1</v>
      </c>
      <c r="H127" s="128" t="s">
        <v>79</v>
      </c>
      <c r="I127" s="128">
        <v>5</v>
      </c>
      <c r="J127" s="128" t="b">
        <v>0</v>
      </c>
      <c r="L127" s="104">
        <v>6637034</v>
      </c>
      <c r="M127" s="128">
        <v>9999</v>
      </c>
      <c r="P127" s="101">
        <v>5</v>
      </c>
      <c r="Q127" s="101">
        <v>7</v>
      </c>
    </row>
    <row r="128" spans="1:17">
      <c r="A128" s="128">
        <v>100080</v>
      </c>
      <c r="B128" s="129" t="s">
        <v>216</v>
      </c>
      <c r="C128" s="128" t="s">
        <v>137</v>
      </c>
      <c r="D128" s="128">
        <v>2005</v>
      </c>
      <c r="E128" s="128" t="s">
        <v>108</v>
      </c>
      <c r="F128" s="128" t="b">
        <v>1</v>
      </c>
      <c r="H128" s="128" t="s">
        <v>79</v>
      </c>
      <c r="I128" s="128">
        <v>5</v>
      </c>
      <c r="J128" s="128" t="b">
        <v>0</v>
      </c>
      <c r="L128" s="104">
        <v>6637035</v>
      </c>
      <c r="M128" s="128">
        <v>9999</v>
      </c>
      <c r="P128" s="101">
        <v>5</v>
      </c>
      <c r="Q128" s="101">
        <v>7</v>
      </c>
    </row>
    <row r="129" spans="1:17">
      <c r="A129" s="128">
        <v>100081</v>
      </c>
      <c r="B129" s="129" t="s">
        <v>217</v>
      </c>
      <c r="C129" s="128" t="s">
        <v>137</v>
      </c>
      <c r="D129" s="128">
        <v>2005</v>
      </c>
      <c r="E129" s="128" t="s">
        <v>108</v>
      </c>
      <c r="F129" s="128" t="b">
        <v>1</v>
      </c>
      <c r="H129" s="128" t="s">
        <v>79</v>
      </c>
      <c r="I129" s="128">
        <v>5</v>
      </c>
      <c r="J129" s="128" t="b">
        <v>0</v>
      </c>
      <c r="L129" s="104">
        <v>6637033</v>
      </c>
      <c r="M129" s="128">
        <v>9999</v>
      </c>
      <c r="P129" s="101">
        <v>5</v>
      </c>
      <c r="Q129" s="101">
        <v>7</v>
      </c>
    </row>
    <row r="130" spans="1:17">
      <c r="A130" s="128">
        <v>100082</v>
      </c>
      <c r="B130" s="129" t="s">
        <v>218</v>
      </c>
      <c r="C130" s="128" t="s">
        <v>137</v>
      </c>
      <c r="D130" s="128">
        <v>2005</v>
      </c>
      <c r="E130" s="128" t="s">
        <v>108</v>
      </c>
      <c r="F130" s="128" t="b">
        <v>1</v>
      </c>
      <c r="H130" s="128" t="s">
        <v>79</v>
      </c>
      <c r="I130" s="128">
        <v>5</v>
      </c>
      <c r="J130" s="128" t="b">
        <v>0</v>
      </c>
      <c r="L130" s="104">
        <v>6637034</v>
      </c>
      <c r="M130" s="128">
        <v>9999</v>
      </c>
      <c r="P130" s="101">
        <v>5</v>
      </c>
      <c r="Q130" s="101">
        <v>7</v>
      </c>
    </row>
    <row r="131" spans="1:17">
      <c r="A131" s="128">
        <v>100083</v>
      </c>
      <c r="B131" s="129" t="s">
        <v>219</v>
      </c>
      <c r="C131" s="128" t="s">
        <v>137</v>
      </c>
      <c r="D131" s="128">
        <v>2005</v>
      </c>
      <c r="E131" s="128" t="s">
        <v>108</v>
      </c>
      <c r="F131" s="128" t="b">
        <v>1</v>
      </c>
      <c r="H131" s="128" t="s">
        <v>79</v>
      </c>
      <c r="I131" s="128">
        <v>5</v>
      </c>
      <c r="J131" s="128" t="b">
        <v>0</v>
      </c>
      <c r="L131" s="104">
        <v>6637035</v>
      </c>
      <c r="M131" s="128">
        <v>9999</v>
      </c>
      <c r="P131" s="101">
        <v>5</v>
      </c>
      <c r="Q131" s="101">
        <v>7</v>
      </c>
    </row>
    <row r="132" spans="1:17">
      <c r="A132" s="128">
        <v>100084</v>
      </c>
      <c r="B132" s="129" t="s">
        <v>220</v>
      </c>
      <c r="C132" s="128" t="s">
        <v>137</v>
      </c>
      <c r="D132" s="128">
        <v>2005</v>
      </c>
      <c r="E132" s="128" t="s">
        <v>108</v>
      </c>
      <c r="F132" s="128" t="b">
        <v>1</v>
      </c>
      <c r="H132" s="128" t="s">
        <v>79</v>
      </c>
      <c r="I132" s="128">
        <v>5</v>
      </c>
      <c r="J132" s="128" t="b">
        <v>0</v>
      </c>
      <c r="L132" s="104">
        <v>6637033</v>
      </c>
      <c r="M132" s="128">
        <v>9999</v>
      </c>
      <c r="P132" s="101">
        <v>5</v>
      </c>
      <c r="Q132" s="101">
        <v>7</v>
      </c>
    </row>
    <row r="133" spans="1:17">
      <c r="A133" s="128">
        <v>100085</v>
      </c>
      <c r="B133" s="129" t="s">
        <v>221</v>
      </c>
      <c r="C133" s="128" t="s">
        <v>137</v>
      </c>
      <c r="D133" s="128">
        <v>2005</v>
      </c>
      <c r="E133" s="128" t="s">
        <v>108</v>
      </c>
      <c r="F133" s="128" t="b">
        <v>1</v>
      </c>
      <c r="H133" s="128" t="s">
        <v>79</v>
      </c>
      <c r="I133" s="128">
        <v>5</v>
      </c>
      <c r="J133" s="128" t="b">
        <v>0</v>
      </c>
      <c r="L133" s="104">
        <v>6637034</v>
      </c>
      <c r="M133" s="128">
        <v>9999</v>
      </c>
      <c r="P133" s="101">
        <v>5</v>
      </c>
      <c r="Q133" s="101">
        <v>7</v>
      </c>
    </row>
    <row r="134" spans="1:17">
      <c r="A134" s="128">
        <v>100086</v>
      </c>
      <c r="B134" s="129" t="s">
        <v>222</v>
      </c>
      <c r="C134" s="128" t="s">
        <v>137</v>
      </c>
      <c r="D134" s="128">
        <v>2005</v>
      </c>
      <c r="E134" s="128" t="s">
        <v>108</v>
      </c>
      <c r="F134" s="128" t="b">
        <v>1</v>
      </c>
      <c r="H134" s="128" t="s">
        <v>79</v>
      </c>
      <c r="I134" s="128">
        <v>5</v>
      </c>
      <c r="J134" s="128" t="b">
        <v>0</v>
      </c>
      <c r="L134" s="104">
        <v>6637035</v>
      </c>
      <c r="M134" s="128">
        <v>9999</v>
      </c>
      <c r="P134" s="101">
        <v>5</v>
      </c>
      <c r="Q134" s="101">
        <v>7</v>
      </c>
    </row>
    <row r="135" spans="1:17">
      <c r="A135" s="128">
        <v>100087</v>
      </c>
      <c r="B135" s="129" t="s">
        <v>223</v>
      </c>
      <c r="C135" s="128" t="s">
        <v>137</v>
      </c>
      <c r="D135" s="128">
        <v>2005</v>
      </c>
      <c r="E135" s="128" t="s">
        <v>108</v>
      </c>
      <c r="F135" s="128" t="b">
        <v>1</v>
      </c>
      <c r="H135" s="128" t="s">
        <v>79</v>
      </c>
      <c r="I135" s="128">
        <v>5</v>
      </c>
      <c r="J135" s="128" t="b">
        <v>0</v>
      </c>
      <c r="L135" s="104">
        <v>6637033</v>
      </c>
      <c r="M135" s="128">
        <v>9999</v>
      </c>
      <c r="P135" s="101">
        <v>5</v>
      </c>
      <c r="Q135" s="101">
        <v>7</v>
      </c>
    </row>
    <row r="136" spans="1:17">
      <c r="A136" s="128">
        <v>100088</v>
      </c>
      <c r="B136" s="129" t="s">
        <v>224</v>
      </c>
      <c r="C136" s="128" t="s">
        <v>137</v>
      </c>
      <c r="D136" s="128">
        <v>2005</v>
      </c>
      <c r="E136" s="128" t="s">
        <v>108</v>
      </c>
      <c r="F136" s="128" t="b">
        <v>1</v>
      </c>
      <c r="H136" s="128" t="s">
        <v>79</v>
      </c>
      <c r="I136" s="128">
        <v>5</v>
      </c>
      <c r="J136" s="128" t="b">
        <v>0</v>
      </c>
      <c r="L136" s="104">
        <v>6637034</v>
      </c>
      <c r="M136" s="128">
        <v>9999</v>
      </c>
      <c r="P136" s="101">
        <v>5</v>
      </c>
      <c r="Q136" s="101">
        <v>7</v>
      </c>
    </row>
    <row r="137" spans="1:17">
      <c r="A137" s="128">
        <v>100089</v>
      </c>
      <c r="B137" s="129" t="s">
        <v>225</v>
      </c>
      <c r="C137" s="128" t="s">
        <v>137</v>
      </c>
      <c r="D137" s="128">
        <v>2005</v>
      </c>
      <c r="E137" s="128" t="s">
        <v>108</v>
      </c>
      <c r="F137" s="128" t="b">
        <v>1</v>
      </c>
      <c r="H137" s="128" t="s">
        <v>79</v>
      </c>
      <c r="I137" s="128">
        <v>5</v>
      </c>
      <c r="J137" s="128" t="b">
        <v>0</v>
      </c>
      <c r="L137" s="104">
        <v>6637035</v>
      </c>
      <c r="M137" s="128">
        <v>9999</v>
      </c>
      <c r="P137" s="101">
        <v>5</v>
      </c>
      <c r="Q137" s="101">
        <v>7</v>
      </c>
    </row>
    <row r="138" spans="1:17">
      <c r="A138" s="128">
        <v>100090</v>
      </c>
      <c r="B138" s="129" t="s">
        <v>226</v>
      </c>
      <c r="C138" s="128" t="s">
        <v>137</v>
      </c>
      <c r="D138" s="128">
        <v>2005</v>
      </c>
      <c r="E138" s="128" t="s">
        <v>108</v>
      </c>
      <c r="F138" s="128" t="b">
        <v>1</v>
      </c>
      <c r="H138" s="128" t="s">
        <v>79</v>
      </c>
      <c r="I138" s="128">
        <v>5</v>
      </c>
      <c r="J138" s="128" t="b">
        <v>0</v>
      </c>
      <c r="L138" s="104">
        <v>6637033</v>
      </c>
      <c r="M138" s="128">
        <v>9999</v>
      </c>
      <c r="P138" s="101">
        <v>5</v>
      </c>
      <c r="Q138" s="101">
        <v>7</v>
      </c>
    </row>
    <row r="139" spans="1:17">
      <c r="A139" s="128">
        <v>100091</v>
      </c>
      <c r="B139" s="129" t="s">
        <v>227</v>
      </c>
      <c r="C139" s="128" t="s">
        <v>137</v>
      </c>
      <c r="D139" s="128">
        <v>2005</v>
      </c>
      <c r="E139" s="128" t="s">
        <v>108</v>
      </c>
      <c r="F139" s="128" t="b">
        <v>1</v>
      </c>
      <c r="H139" s="128" t="s">
        <v>79</v>
      </c>
      <c r="I139" s="128">
        <v>5</v>
      </c>
      <c r="J139" s="128" t="b">
        <v>0</v>
      </c>
      <c r="L139" s="104">
        <v>6637034</v>
      </c>
      <c r="M139" s="128">
        <v>9999</v>
      </c>
      <c r="P139" s="101">
        <v>5</v>
      </c>
      <c r="Q139" s="101">
        <v>7</v>
      </c>
    </row>
    <row r="140" spans="1:17">
      <c r="A140" s="128">
        <v>100092</v>
      </c>
      <c r="B140" s="129" t="s">
        <v>228</v>
      </c>
      <c r="C140" s="128" t="s">
        <v>137</v>
      </c>
      <c r="D140" s="128">
        <v>2005</v>
      </c>
      <c r="E140" s="128" t="s">
        <v>108</v>
      </c>
      <c r="F140" s="128" t="b">
        <v>1</v>
      </c>
      <c r="H140" s="128" t="s">
        <v>79</v>
      </c>
      <c r="I140" s="128">
        <v>5</v>
      </c>
      <c r="J140" s="128" t="b">
        <v>0</v>
      </c>
      <c r="L140" s="104">
        <v>6637035</v>
      </c>
      <c r="M140" s="128">
        <v>9999</v>
      </c>
      <c r="P140" s="101">
        <v>5</v>
      </c>
      <c r="Q140" s="101">
        <v>7</v>
      </c>
    </row>
    <row r="141" spans="1:17">
      <c r="A141" s="128">
        <v>100093</v>
      </c>
      <c r="B141" s="129" t="s">
        <v>229</v>
      </c>
      <c r="C141" s="128" t="s">
        <v>137</v>
      </c>
      <c r="D141" s="128">
        <v>2005</v>
      </c>
      <c r="E141" s="128" t="s">
        <v>108</v>
      </c>
      <c r="F141" s="128" t="b">
        <v>1</v>
      </c>
      <c r="H141" s="128" t="s">
        <v>79</v>
      </c>
      <c r="I141" s="128">
        <v>5</v>
      </c>
      <c r="J141" s="128" t="b">
        <v>0</v>
      </c>
      <c r="L141" s="104">
        <v>6637033</v>
      </c>
      <c r="M141" s="128">
        <v>9999</v>
      </c>
      <c r="P141" s="101">
        <v>5</v>
      </c>
      <c r="Q141" s="101">
        <v>7</v>
      </c>
    </row>
    <row r="142" spans="1:17">
      <c r="A142" s="128">
        <v>100094</v>
      </c>
      <c r="B142" s="129" t="s">
        <v>230</v>
      </c>
      <c r="C142" s="128" t="s">
        <v>137</v>
      </c>
      <c r="D142" s="128">
        <v>2005</v>
      </c>
      <c r="E142" s="128" t="s">
        <v>108</v>
      </c>
      <c r="F142" s="128" t="b">
        <v>1</v>
      </c>
      <c r="H142" s="128" t="s">
        <v>79</v>
      </c>
      <c r="I142" s="128">
        <v>5</v>
      </c>
      <c r="J142" s="128" t="b">
        <v>0</v>
      </c>
      <c r="L142" s="104">
        <v>6637034</v>
      </c>
      <c r="M142" s="128">
        <v>9999</v>
      </c>
      <c r="P142" s="101">
        <v>5</v>
      </c>
      <c r="Q142" s="101">
        <v>7</v>
      </c>
    </row>
    <row r="143" spans="1:17">
      <c r="A143" s="128">
        <v>100095</v>
      </c>
      <c r="B143" s="129" t="s">
        <v>231</v>
      </c>
      <c r="C143" s="128" t="s">
        <v>137</v>
      </c>
      <c r="D143" s="128">
        <v>2005</v>
      </c>
      <c r="E143" s="128" t="s">
        <v>108</v>
      </c>
      <c r="F143" s="128" t="b">
        <v>1</v>
      </c>
      <c r="H143" s="128" t="s">
        <v>79</v>
      </c>
      <c r="I143" s="128">
        <v>5</v>
      </c>
      <c r="J143" s="128" t="b">
        <v>0</v>
      </c>
      <c r="L143" s="104">
        <v>6637035</v>
      </c>
      <c r="M143" s="128">
        <v>9999</v>
      </c>
      <c r="P143" s="101">
        <v>5</v>
      </c>
      <c r="Q143" s="101">
        <v>7</v>
      </c>
    </row>
    <row r="144" spans="1:17">
      <c r="A144" s="128">
        <v>100096</v>
      </c>
      <c r="B144" s="129" t="s">
        <v>232</v>
      </c>
      <c r="C144" s="128" t="s">
        <v>137</v>
      </c>
      <c r="D144" s="128">
        <v>2005</v>
      </c>
      <c r="E144" s="128" t="s">
        <v>108</v>
      </c>
      <c r="F144" s="128" t="b">
        <v>1</v>
      </c>
      <c r="H144" s="128" t="s">
        <v>79</v>
      </c>
      <c r="I144" s="128">
        <v>5</v>
      </c>
      <c r="J144" s="128" t="b">
        <v>0</v>
      </c>
      <c r="L144" s="104">
        <v>6637033</v>
      </c>
      <c r="M144" s="128">
        <v>9999</v>
      </c>
      <c r="P144" s="101">
        <v>5</v>
      </c>
      <c r="Q144" s="101">
        <v>7</v>
      </c>
    </row>
    <row r="145" spans="1:17">
      <c r="A145" s="128">
        <v>100097</v>
      </c>
      <c r="B145" s="129" t="s">
        <v>233</v>
      </c>
      <c r="C145" s="128" t="s">
        <v>137</v>
      </c>
      <c r="D145" s="128">
        <v>2005</v>
      </c>
      <c r="E145" s="128" t="s">
        <v>108</v>
      </c>
      <c r="F145" s="128" t="b">
        <v>1</v>
      </c>
      <c r="H145" s="128" t="s">
        <v>79</v>
      </c>
      <c r="I145" s="128">
        <v>5</v>
      </c>
      <c r="J145" s="128" t="b">
        <v>0</v>
      </c>
      <c r="L145" s="104">
        <v>6637034</v>
      </c>
      <c r="M145" s="128">
        <v>9999</v>
      </c>
      <c r="P145" s="101">
        <v>5</v>
      </c>
      <c r="Q145" s="101">
        <v>7</v>
      </c>
    </row>
    <row r="146" spans="1:17">
      <c r="A146" s="128">
        <v>100098</v>
      </c>
      <c r="B146" s="129" t="s">
        <v>234</v>
      </c>
      <c r="C146" s="128" t="s">
        <v>137</v>
      </c>
      <c r="D146" s="128">
        <v>2005</v>
      </c>
      <c r="E146" s="128" t="s">
        <v>108</v>
      </c>
      <c r="F146" s="128" t="b">
        <v>1</v>
      </c>
      <c r="H146" s="128" t="s">
        <v>79</v>
      </c>
      <c r="I146" s="128">
        <v>5</v>
      </c>
      <c r="J146" s="128" t="b">
        <v>0</v>
      </c>
      <c r="L146" s="104">
        <v>6637035</v>
      </c>
      <c r="M146" s="128">
        <v>9999</v>
      </c>
      <c r="P146" s="101">
        <v>5</v>
      </c>
      <c r="Q146" s="101">
        <v>7</v>
      </c>
    </row>
    <row r="147" spans="1:17">
      <c r="A147" s="128">
        <v>100099</v>
      </c>
      <c r="B147" s="129" t="s">
        <v>235</v>
      </c>
      <c r="C147" s="128" t="s">
        <v>137</v>
      </c>
      <c r="D147" s="128">
        <v>2005</v>
      </c>
      <c r="E147" s="128" t="s">
        <v>108</v>
      </c>
      <c r="F147" s="128" t="b">
        <v>1</v>
      </c>
      <c r="H147" s="128" t="s">
        <v>79</v>
      </c>
      <c r="I147" s="128">
        <v>5</v>
      </c>
      <c r="J147" s="128" t="b">
        <v>0</v>
      </c>
      <c r="L147" s="104">
        <v>6637033</v>
      </c>
      <c r="M147" s="128">
        <v>9999</v>
      </c>
      <c r="P147" s="101">
        <v>5</v>
      </c>
      <c r="Q147" s="101">
        <v>7</v>
      </c>
    </row>
    <row r="148" spans="1:17">
      <c r="A148" s="128">
        <v>100100</v>
      </c>
      <c r="B148" s="129" t="s">
        <v>236</v>
      </c>
      <c r="C148" s="128" t="s">
        <v>137</v>
      </c>
      <c r="D148" s="128">
        <v>2005</v>
      </c>
      <c r="E148" s="128" t="s">
        <v>108</v>
      </c>
      <c r="F148" s="128" t="b">
        <v>1</v>
      </c>
      <c r="H148" s="128" t="s">
        <v>79</v>
      </c>
      <c r="I148" s="128">
        <v>5</v>
      </c>
      <c r="J148" s="128" t="b">
        <v>0</v>
      </c>
      <c r="L148" s="104">
        <v>6637034</v>
      </c>
      <c r="M148" s="128">
        <v>9999</v>
      </c>
      <c r="P148" s="101">
        <v>5</v>
      </c>
      <c r="Q148" s="101">
        <v>7</v>
      </c>
    </row>
    <row r="149" spans="1:17">
      <c r="A149" s="128">
        <v>100101</v>
      </c>
      <c r="B149" s="129" t="s">
        <v>237</v>
      </c>
      <c r="C149" s="128" t="s">
        <v>137</v>
      </c>
      <c r="D149" s="128">
        <v>2005</v>
      </c>
      <c r="E149" s="128" t="s">
        <v>108</v>
      </c>
      <c r="F149" s="128" t="b">
        <v>1</v>
      </c>
      <c r="H149" s="128" t="s">
        <v>79</v>
      </c>
      <c r="I149" s="128">
        <v>5</v>
      </c>
      <c r="J149" s="128" t="b">
        <v>0</v>
      </c>
      <c r="L149" s="104">
        <v>6637035</v>
      </c>
      <c r="M149" s="128">
        <v>9999</v>
      </c>
      <c r="P149" s="101">
        <v>5</v>
      </c>
      <c r="Q149" s="101">
        <v>7</v>
      </c>
    </row>
    <row r="150" spans="1:17">
      <c r="A150" s="128">
        <v>100102</v>
      </c>
      <c r="B150" s="129" t="s">
        <v>238</v>
      </c>
      <c r="C150" s="128" t="s">
        <v>137</v>
      </c>
      <c r="D150" s="128">
        <v>2005</v>
      </c>
      <c r="E150" s="128" t="s">
        <v>108</v>
      </c>
      <c r="F150" s="128" t="b">
        <v>1</v>
      </c>
      <c r="H150" s="128" t="s">
        <v>79</v>
      </c>
      <c r="I150" s="128">
        <v>5</v>
      </c>
      <c r="J150" s="128" t="b">
        <v>0</v>
      </c>
      <c r="L150" s="104">
        <v>6637033</v>
      </c>
      <c r="M150" s="128">
        <v>9999</v>
      </c>
      <c r="P150" s="101">
        <v>5</v>
      </c>
      <c r="Q150" s="101">
        <v>7</v>
      </c>
    </row>
    <row r="151" spans="1:17">
      <c r="A151" s="128">
        <v>100103</v>
      </c>
      <c r="B151" s="129" t="s">
        <v>239</v>
      </c>
      <c r="C151" s="128" t="s">
        <v>137</v>
      </c>
      <c r="D151" s="128">
        <v>2005</v>
      </c>
      <c r="E151" s="128" t="s">
        <v>108</v>
      </c>
      <c r="F151" s="128" t="b">
        <v>1</v>
      </c>
      <c r="H151" s="128" t="s">
        <v>79</v>
      </c>
      <c r="I151" s="128">
        <v>5</v>
      </c>
      <c r="J151" s="128" t="b">
        <v>0</v>
      </c>
      <c r="L151" s="104">
        <v>6637034</v>
      </c>
      <c r="M151" s="128">
        <v>9999</v>
      </c>
      <c r="P151" s="101">
        <v>5</v>
      </c>
      <c r="Q151" s="101">
        <v>7</v>
      </c>
    </row>
    <row r="152" spans="1:17">
      <c r="A152" s="128">
        <v>100104</v>
      </c>
      <c r="B152" s="129" t="s">
        <v>240</v>
      </c>
      <c r="C152" s="128" t="s">
        <v>137</v>
      </c>
      <c r="D152" s="128">
        <v>2005</v>
      </c>
      <c r="E152" s="128" t="s">
        <v>108</v>
      </c>
      <c r="F152" s="128" t="b">
        <v>1</v>
      </c>
      <c r="H152" s="128" t="s">
        <v>79</v>
      </c>
      <c r="I152" s="128">
        <v>5</v>
      </c>
      <c r="J152" s="128" t="b">
        <v>0</v>
      </c>
      <c r="L152" s="104">
        <v>6637035</v>
      </c>
      <c r="M152" s="128">
        <v>9999</v>
      </c>
      <c r="P152" s="101">
        <v>5</v>
      </c>
      <c r="Q152" s="101">
        <v>7</v>
      </c>
    </row>
    <row r="153" spans="1:17">
      <c r="A153" s="128">
        <v>100105</v>
      </c>
      <c r="B153" s="129" t="s">
        <v>241</v>
      </c>
      <c r="C153" s="128" t="s">
        <v>137</v>
      </c>
      <c r="D153" s="128">
        <v>2005</v>
      </c>
      <c r="E153" s="128" t="s">
        <v>108</v>
      </c>
      <c r="F153" s="128" t="b">
        <v>1</v>
      </c>
      <c r="H153" s="128" t="s">
        <v>79</v>
      </c>
      <c r="I153" s="128">
        <v>5</v>
      </c>
      <c r="J153" s="128" t="b">
        <v>0</v>
      </c>
      <c r="L153" s="104">
        <v>6637033</v>
      </c>
      <c r="M153" s="128">
        <v>9999</v>
      </c>
      <c r="P153" s="101">
        <v>5</v>
      </c>
      <c r="Q153" s="101">
        <v>7</v>
      </c>
    </row>
    <row r="154" spans="1:17">
      <c r="A154" s="128">
        <v>100106</v>
      </c>
      <c r="B154" s="129" t="s">
        <v>242</v>
      </c>
      <c r="C154" s="128" t="s">
        <v>137</v>
      </c>
      <c r="D154" s="128">
        <v>2005</v>
      </c>
      <c r="E154" s="128" t="s">
        <v>108</v>
      </c>
      <c r="F154" s="128" t="b">
        <v>1</v>
      </c>
      <c r="H154" s="128" t="s">
        <v>79</v>
      </c>
      <c r="I154" s="128">
        <v>5</v>
      </c>
      <c r="J154" s="128" t="b">
        <v>0</v>
      </c>
      <c r="L154" s="104">
        <v>6637034</v>
      </c>
      <c r="M154" s="128">
        <v>9999</v>
      </c>
      <c r="P154" s="101">
        <v>5</v>
      </c>
      <c r="Q154" s="101">
        <v>7</v>
      </c>
    </row>
    <row r="155" spans="1:17">
      <c r="A155" s="128">
        <v>100107</v>
      </c>
      <c r="B155" s="129" t="s">
        <v>243</v>
      </c>
      <c r="C155" s="128" t="s">
        <v>137</v>
      </c>
      <c r="D155" s="128">
        <v>2006</v>
      </c>
      <c r="E155" s="128" t="s">
        <v>108</v>
      </c>
      <c r="F155" s="128" t="b">
        <v>1</v>
      </c>
      <c r="H155" s="128" t="s">
        <v>79</v>
      </c>
      <c r="I155" s="128">
        <v>5</v>
      </c>
      <c r="J155" s="128" t="b">
        <v>0</v>
      </c>
      <c r="L155" s="104">
        <v>6637035</v>
      </c>
      <c r="M155" s="128">
        <v>9999</v>
      </c>
      <c r="P155" s="101">
        <v>5</v>
      </c>
      <c r="Q155" s="101">
        <v>7</v>
      </c>
    </row>
    <row r="156" spans="1:17">
      <c r="A156" s="128">
        <v>100108</v>
      </c>
      <c r="B156" s="129" t="s">
        <v>244</v>
      </c>
      <c r="C156" s="128" t="s">
        <v>137</v>
      </c>
      <c r="D156" s="128">
        <v>2006</v>
      </c>
      <c r="E156" s="128" t="s">
        <v>108</v>
      </c>
      <c r="F156" s="128" t="b">
        <v>1</v>
      </c>
      <c r="H156" s="128" t="s">
        <v>79</v>
      </c>
      <c r="I156" s="128">
        <v>5</v>
      </c>
      <c r="J156" s="128" t="b">
        <v>0</v>
      </c>
      <c r="L156" s="104">
        <v>6637033</v>
      </c>
      <c r="M156" s="128">
        <v>9999</v>
      </c>
      <c r="P156" s="101">
        <v>5</v>
      </c>
      <c r="Q156" s="101">
        <v>7</v>
      </c>
    </row>
    <row r="157" spans="1:17">
      <c r="A157" s="128">
        <v>100109</v>
      </c>
      <c r="B157" s="129" t="s">
        <v>245</v>
      </c>
      <c r="C157" s="128" t="s">
        <v>137</v>
      </c>
      <c r="D157" s="128">
        <v>2006</v>
      </c>
      <c r="E157" s="128" t="s">
        <v>108</v>
      </c>
      <c r="F157" s="128" t="b">
        <v>1</v>
      </c>
      <c r="H157" s="128" t="s">
        <v>79</v>
      </c>
      <c r="I157" s="128">
        <v>5</v>
      </c>
      <c r="J157" s="128" t="b">
        <v>0</v>
      </c>
      <c r="L157" s="104">
        <v>6637034</v>
      </c>
      <c r="M157" s="128">
        <v>9999</v>
      </c>
      <c r="P157" s="101">
        <v>5</v>
      </c>
      <c r="Q157" s="101">
        <v>7</v>
      </c>
    </row>
    <row r="158" spans="1:17">
      <c r="A158" s="128">
        <v>100110</v>
      </c>
      <c r="B158" s="129" t="s">
        <v>246</v>
      </c>
      <c r="C158" s="128" t="s">
        <v>137</v>
      </c>
      <c r="D158" s="128">
        <v>2006</v>
      </c>
      <c r="E158" s="128" t="s">
        <v>108</v>
      </c>
      <c r="F158" s="128" t="b">
        <v>1</v>
      </c>
      <c r="H158" s="128" t="s">
        <v>79</v>
      </c>
      <c r="I158" s="128">
        <v>5</v>
      </c>
      <c r="J158" s="128" t="b">
        <v>0</v>
      </c>
      <c r="L158" s="104">
        <v>6637035</v>
      </c>
      <c r="M158" s="128">
        <v>9999</v>
      </c>
      <c r="P158" s="101">
        <v>5</v>
      </c>
      <c r="Q158" s="101">
        <v>7</v>
      </c>
    </row>
    <row r="159" spans="1:17">
      <c r="A159" s="128">
        <v>100111</v>
      </c>
      <c r="B159" s="129" t="s">
        <v>247</v>
      </c>
      <c r="C159" s="128" t="s">
        <v>137</v>
      </c>
      <c r="D159" s="128">
        <v>2006</v>
      </c>
      <c r="E159" s="128" t="s">
        <v>108</v>
      </c>
      <c r="F159" s="128" t="b">
        <v>1</v>
      </c>
      <c r="H159" s="128" t="s">
        <v>79</v>
      </c>
      <c r="I159" s="128">
        <v>5</v>
      </c>
      <c r="J159" s="128" t="b">
        <v>0</v>
      </c>
      <c r="L159" s="104">
        <v>6637033</v>
      </c>
      <c r="M159" s="128">
        <v>9999</v>
      </c>
      <c r="P159" s="101">
        <v>5</v>
      </c>
      <c r="Q159" s="101">
        <v>7</v>
      </c>
    </row>
    <row r="160" spans="1:17">
      <c r="A160" s="128">
        <v>100112</v>
      </c>
      <c r="B160" s="129" t="s">
        <v>248</v>
      </c>
      <c r="C160" s="128" t="s">
        <v>137</v>
      </c>
      <c r="D160" s="128">
        <v>2006</v>
      </c>
      <c r="E160" s="128" t="s">
        <v>108</v>
      </c>
      <c r="F160" s="128" t="b">
        <v>1</v>
      </c>
      <c r="H160" s="128" t="s">
        <v>79</v>
      </c>
      <c r="I160" s="128">
        <v>5</v>
      </c>
      <c r="J160" s="128" t="b">
        <v>0</v>
      </c>
      <c r="L160" s="104">
        <v>6637034</v>
      </c>
      <c r="M160" s="128">
        <v>9999</v>
      </c>
      <c r="P160" s="101">
        <v>5</v>
      </c>
      <c r="Q160" s="101">
        <v>7</v>
      </c>
    </row>
    <row r="161" spans="1:17">
      <c r="A161" s="128">
        <v>100113</v>
      </c>
      <c r="B161" s="129" t="s">
        <v>249</v>
      </c>
      <c r="C161" s="128" t="s">
        <v>137</v>
      </c>
      <c r="D161" s="128">
        <v>2006</v>
      </c>
      <c r="E161" s="128" t="s">
        <v>108</v>
      </c>
      <c r="F161" s="128" t="b">
        <v>1</v>
      </c>
      <c r="H161" s="128" t="s">
        <v>79</v>
      </c>
      <c r="I161" s="128">
        <v>5</v>
      </c>
      <c r="J161" s="128" t="b">
        <v>0</v>
      </c>
      <c r="L161" s="104">
        <v>6637035</v>
      </c>
      <c r="M161" s="128">
        <v>9999</v>
      </c>
      <c r="P161" s="101">
        <v>5</v>
      </c>
      <c r="Q161" s="101">
        <v>7</v>
      </c>
    </row>
    <row r="162" spans="1:17">
      <c r="A162" s="128">
        <v>100114</v>
      </c>
      <c r="B162" s="129" t="s">
        <v>250</v>
      </c>
      <c r="C162" s="128" t="s">
        <v>137</v>
      </c>
      <c r="D162" s="128">
        <v>2006</v>
      </c>
      <c r="E162" s="128" t="s">
        <v>108</v>
      </c>
      <c r="F162" s="128" t="b">
        <v>1</v>
      </c>
      <c r="H162" s="128" t="s">
        <v>79</v>
      </c>
      <c r="I162" s="128">
        <v>5</v>
      </c>
      <c r="J162" s="128" t="b">
        <v>0</v>
      </c>
      <c r="L162" s="104">
        <v>6637033</v>
      </c>
      <c r="M162" s="128">
        <v>9999</v>
      </c>
      <c r="P162" s="101">
        <v>5</v>
      </c>
      <c r="Q162" s="101">
        <v>7</v>
      </c>
    </row>
    <row r="163" spans="1:17">
      <c r="A163" s="128">
        <v>100115</v>
      </c>
      <c r="B163" s="129" t="s">
        <v>251</v>
      </c>
      <c r="C163" s="128" t="s">
        <v>137</v>
      </c>
      <c r="D163" s="128">
        <v>2006</v>
      </c>
      <c r="E163" s="128" t="s">
        <v>108</v>
      </c>
      <c r="F163" s="128" t="b">
        <v>1</v>
      </c>
      <c r="H163" s="128" t="s">
        <v>79</v>
      </c>
      <c r="I163" s="128">
        <v>5</v>
      </c>
      <c r="J163" s="128" t="b">
        <v>0</v>
      </c>
      <c r="L163" s="104">
        <v>6637034</v>
      </c>
      <c r="M163" s="128">
        <v>9999</v>
      </c>
      <c r="P163" s="101">
        <v>5</v>
      </c>
      <c r="Q163" s="101">
        <v>7</v>
      </c>
    </row>
    <row r="164" spans="1:17">
      <c r="A164" s="128">
        <v>100116</v>
      </c>
      <c r="B164" s="129" t="s">
        <v>252</v>
      </c>
      <c r="C164" s="128" t="s">
        <v>137</v>
      </c>
      <c r="D164" s="128">
        <v>2006</v>
      </c>
      <c r="E164" s="128" t="s">
        <v>108</v>
      </c>
      <c r="F164" s="128" t="b">
        <v>1</v>
      </c>
      <c r="H164" s="128" t="s">
        <v>79</v>
      </c>
      <c r="I164" s="128">
        <v>5</v>
      </c>
      <c r="J164" s="128" t="b">
        <v>0</v>
      </c>
      <c r="L164" s="104">
        <v>6637035</v>
      </c>
      <c r="M164" s="128">
        <v>9999</v>
      </c>
      <c r="P164" s="101">
        <v>5</v>
      </c>
      <c r="Q164" s="101">
        <v>7</v>
      </c>
    </row>
    <row r="165" spans="1:17">
      <c r="A165" s="128">
        <v>100117</v>
      </c>
      <c r="B165" s="129" t="s">
        <v>253</v>
      </c>
      <c r="C165" s="128" t="s">
        <v>137</v>
      </c>
      <c r="D165" s="128">
        <v>2006</v>
      </c>
      <c r="E165" s="128" t="s">
        <v>108</v>
      </c>
      <c r="F165" s="128" t="b">
        <v>1</v>
      </c>
      <c r="H165" s="128" t="s">
        <v>79</v>
      </c>
      <c r="I165" s="128">
        <v>5</v>
      </c>
      <c r="J165" s="128" t="b">
        <v>0</v>
      </c>
      <c r="L165" s="104">
        <v>6637033</v>
      </c>
      <c r="M165" s="128">
        <v>9999</v>
      </c>
      <c r="P165" s="101">
        <v>5</v>
      </c>
      <c r="Q165" s="101">
        <v>7</v>
      </c>
    </row>
    <row r="166" spans="1:17">
      <c r="A166" s="128">
        <v>100118</v>
      </c>
      <c r="B166" s="129" t="s">
        <v>254</v>
      </c>
      <c r="C166" s="128" t="s">
        <v>137</v>
      </c>
      <c r="D166" s="128">
        <v>2006</v>
      </c>
      <c r="E166" s="128" t="s">
        <v>108</v>
      </c>
      <c r="F166" s="128" t="b">
        <v>1</v>
      </c>
      <c r="H166" s="128" t="s">
        <v>79</v>
      </c>
      <c r="I166" s="128">
        <v>5</v>
      </c>
      <c r="J166" s="128" t="b">
        <v>0</v>
      </c>
      <c r="L166" s="104">
        <v>6637034</v>
      </c>
      <c r="M166" s="128">
        <v>9999</v>
      </c>
      <c r="P166" s="101">
        <v>5</v>
      </c>
      <c r="Q166" s="101">
        <v>7</v>
      </c>
    </row>
    <row r="167" spans="1:17">
      <c r="A167" s="128">
        <v>100119</v>
      </c>
      <c r="B167" s="129" t="s">
        <v>255</v>
      </c>
      <c r="C167" s="128" t="s">
        <v>137</v>
      </c>
      <c r="D167" s="128">
        <v>2006</v>
      </c>
      <c r="E167" s="128" t="s">
        <v>108</v>
      </c>
      <c r="F167" s="128" t="b">
        <v>1</v>
      </c>
      <c r="H167" s="128" t="s">
        <v>79</v>
      </c>
      <c r="I167" s="128">
        <v>5</v>
      </c>
      <c r="J167" s="128" t="b">
        <v>0</v>
      </c>
      <c r="L167" s="104">
        <v>6637035</v>
      </c>
      <c r="M167" s="128">
        <v>9999</v>
      </c>
      <c r="P167" s="101">
        <v>5</v>
      </c>
      <c r="Q167" s="101">
        <v>7</v>
      </c>
    </row>
    <row r="168" spans="1:17">
      <c r="A168" s="128">
        <v>100120</v>
      </c>
      <c r="B168" s="129" t="s">
        <v>256</v>
      </c>
      <c r="C168" s="128" t="s">
        <v>137</v>
      </c>
      <c r="D168" s="128">
        <v>2006</v>
      </c>
      <c r="E168" s="128" t="s">
        <v>108</v>
      </c>
      <c r="F168" s="128" t="b">
        <v>1</v>
      </c>
      <c r="H168" s="128" t="s">
        <v>79</v>
      </c>
      <c r="I168" s="128">
        <v>5</v>
      </c>
      <c r="J168" s="128" t="b">
        <v>0</v>
      </c>
      <c r="L168" s="104">
        <v>6637033</v>
      </c>
      <c r="M168" s="128">
        <v>9999</v>
      </c>
      <c r="P168" s="101">
        <v>5</v>
      </c>
      <c r="Q168" s="101">
        <v>7</v>
      </c>
    </row>
    <row r="169" spans="1:17">
      <c r="A169" s="128">
        <v>100121</v>
      </c>
      <c r="B169" s="129" t="s">
        <v>257</v>
      </c>
      <c r="C169" s="128" t="s">
        <v>137</v>
      </c>
      <c r="D169" s="128">
        <v>2006</v>
      </c>
      <c r="E169" s="128" t="s">
        <v>108</v>
      </c>
      <c r="F169" s="128" t="b">
        <v>1</v>
      </c>
      <c r="H169" s="128" t="s">
        <v>79</v>
      </c>
      <c r="I169" s="128">
        <v>5</v>
      </c>
      <c r="J169" s="128" t="b">
        <v>0</v>
      </c>
      <c r="L169" s="104">
        <v>6637034</v>
      </c>
      <c r="M169" s="128">
        <v>9999</v>
      </c>
      <c r="P169" s="101">
        <v>5</v>
      </c>
      <c r="Q169" s="101">
        <v>7</v>
      </c>
    </row>
    <row r="170" spans="1:17">
      <c r="A170" s="128">
        <v>100122</v>
      </c>
      <c r="B170" s="129" t="s">
        <v>258</v>
      </c>
      <c r="C170" s="128" t="s">
        <v>137</v>
      </c>
      <c r="D170" s="128">
        <v>2006</v>
      </c>
      <c r="E170" s="128" t="s">
        <v>108</v>
      </c>
      <c r="F170" s="128" t="b">
        <v>1</v>
      </c>
      <c r="H170" s="128" t="s">
        <v>79</v>
      </c>
      <c r="I170" s="128">
        <v>5</v>
      </c>
      <c r="J170" s="128" t="b">
        <v>0</v>
      </c>
      <c r="L170" s="104">
        <v>6637035</v>
      </c>
      <c r="M170" s="128">
        <v>9999</v>
      </c>
      <c r="P170" s="101">
        <v>5</v>
      </c>
      <c r="Q170" s="101">
        <v>7</v>
      </c>
    </row>
    <row r="171" spans="1:17">
      <c r="A171" s="128">
        <v>100123</v>
      </c>
      <c r="B171" s="129" t="s">
        <v>259</v>
      </c>
      <c r="C171" s="128" t="s">
        <v>137</v>
      </c>
      <c r="D171" s="128">
        <v>2006</v>
      </c>
      <c r="E171" s="128" t="s">
        <v>108</v>
      </c>
      <c r="F171" s="128" t="b">
        <v>1</v>
      </c>
      <c r="H171" s="128" t="s">
        <v>79</v>
      </c>
      <c r="I171" s="128">
        <v>5</v>
      </c>
      <c r="J171" s="128" t="b">
        <v>0</v>
      </c>
      <c r="L171" s="104">
        <v>6637033</v>
      </c>
      <c r="M171" s="128">
        <v>9999</v>
      </c>
      <c r="P171" s="101">
        <v>5</v>
      </c>
      <c r="Q171" s="101">
        <v>7</v>
      </c>
    </row>
    <row r="172" spans="1:17">
      <c r="A172" s="128">
        <v>100124</v>
      </c>
      <c r="B172" s="129" t="s">
        <v>260</v>
      </c>
      <c r="C172" s="128" t="s">
        <v>137</v>
      </c>
      <c r="D172" s="128">
        <v>2006</v>
      </c>
      <c r="E172" s="128" t="s">
        <v>108</v>
      </c>
      <c r="F172" s="128" t="b">
        <v>1</v>
      </c>
      <c r="H172" s="128" t="s">
        <v>79</v>
      </c>
      <c r="I172" s="128">
        <v>5</v>
      </c>
      <c r="J172" s="128" t="b">
        <v>0</v>
      </c>
      <c r="L172" s="104">
        <v>6637034</v>
      </c>
      <c r="M172" s="128">
        <v>9999</v>
      </c>
      <c r="P172" s="101">
        <v>5</v>
      </c>
      <c r="Q172" s="101">
        <v>7</v>
      </c>
    </row>
    <row r="173" spans="1:17">
      <c r="A173" s="128">
        <v>100125</v>
      </c>
      <c r="B173" s="129" t="s">
        <v>261</v>
      </c>
      <c r="C173" s="128" t="s">
        <v>137</v>
      </c>
      <c r="D173" s="128">
        <v>2006</v>
      </c>
      <c r="E173" s="128" t="s">
        <v>108</v>
      </c>
      <c r="F173" s="128" t="b">
        <v>1</v>
      </c>
      <c r="H173" s="128" t="s">
        <v>79</v>
      </c>
      <c r="I173" s="128">
        <v>5</v>
      </c>
      <c r="J173" s="128" t="b">
        <v>0</v>
      </c>
      <c r="L173" s="104">
        <v>6637035</v>
      </c>
      <c r="M173" s="128">
        <v>9999</v>
      </c>
      <c r="P173" s="101">
        <v>5</v>
      </c>
      <c r="Q173" s="101">
        <v>7</v>
      </c>
    </row>
    <row r="174" spans="1:17">
      <c r="A174" s="128">
        <v>100126</v>
      </c>
      <c r="B174" s="129" t="s">
        <v>262</v>
      </c>
      <c r="C174" s="128" t="s">
        <v>137</v>
      </c>
      <c r="D174" s="128">
        <v>2006</v>
      </c>
      <c r="E174" s="128" t="s">
        <v>108</v>
      </c>
      <c r="F174" s="128" t="b">
        <v>1</v>
      </c>
      <c r="H174" s="128" t="s">
        <v>79</v>
      </c>
      <c r="I174" s="128">
        <v>5</v>
      </c>
      <c r="J174" s="128" t="b">
        <v>0</v>
      </c>
      <c r="L174" s="104">
        <v>6637033</v>
      </c>
      <c r="M174" s="128">
        <v>9999</v>
      </c>
      <c r="P174" s="101">
        <v>5</v>
      </c>
      <c r="Q174" s="101">
        <v>7</v>
      </c>
    </row>
    <row r="175" spans="1:17">
      <c r="A175" s="128">
        <v>100127</v>
      </c>
      <c r="B175" s="129" t="s">
        <v>263</v>
      </c>
      <c r="C175" s="128" t="s">
        <v>137</v>
      </c>
      <c r="D175" s="128">
        <v>2006</v>
      </c>
      <c r="E175" s="128" t="s">
        <v>108</v>
      </c>
      <c r="F175" s="128" t="b">
        <v>1</v>
      </c>
      <c r="H175" s="128" t="s">
        <v>79</v>
      </c>
      <c r="I175" s="128">
        <v>5</v>
      </c>
      <c r="J175" s="128" t="b">
        <v>0</v>
      </c>
      <c r="L175" s="104">
        <v>6637034</v>
      </c>
      <c r="M175" s="128">
        <v>9999</v>
      </c>
      <c r="P175" s="101">
        <v>5</v>
      </c>
      <c r="Q175" s="101">
        <v>7</v>
      </c>
    </row>
    <row r="176" spans="1:17">
      <c r="A176" s="128">
        <v>100128</v>
      </c>
      <c r="B176" s="129" t="s">
        <v>264</v>
      </c>
      <c r="C176" s="128" t="s">
        <v>137</v>
      </c>
      <c r="D176" s="128">
        <v>2006</v>
      </c>
      <c r="E176" s="128" t="s">
        <v>108</v>
      </c>
      <c r="F176" s="128" t="b">
        <v>1</v>
      </c>
      <c r="H176" s="128" t="s">
        <v>79</v>
      </c>
      <c r="I176" s="128">
        <v>5</v>
      </c>
      <c r="J176" s="128" t="b">
        <v>0</v>
      </c>
      <c r="L176" s="104">
        <v>6637035</v>
      </c>
      <c r="M176" s="128">
        <v>9999</v>
      </c>
      <c r="P176" s="101">
        <v>5</v>
      </c>
      <c r="Q176" s="101">
        <v>7</v>
      </c>
    </row>
    <row r="177" spans="1:17">
      <c r="A177" s="128">
        <v>100129</v>
      </c>
      <c r="B177" s="129" t="s">
        <v>265</v>
      </c>
      <c r="C177" s="128" t="s">
        <v>137</v>
      </c>
      <c r="D177" s="128">
        <v>2006</v>
      </c>
      <c r="E177" s="128" t="s">
        <v>108</v>
      </c>
      <c r="F177" s="128" t="b">
        <v>1</v>
      </c>
      <c r="H177" s="128" t="s">
        <v>79</v>
      </c>
      <c r="I177" s="128">
        <v>5</v>
      </c>
      <c r="J177" s="128" t="b">
        <v>0</v>
      </c>
      <c r="L177" s="104">
        <v>6637033</v>
      </c>
      <c r="M177" s="128">
        <v>9999</v>
      </c>
      <c r="P177" s="101">
        <v>5</v>
      </c>
      <c r="Q177" s="101">
        <v>7</v>
      </c>
    </row>
    <row r="178" spans="1:17">
      <c r="A178" s="128">
        <v>100130</v>
      </c>
      <c r="B178" s="129" t="s">
        <v>266</v>
      </c>
      <c r="C178" s="128" t="s">
        <v>137</v>
      </c>
      <c r="D178" s="128">
        <v>2006</v>
      </c>
      <c r="E178" s="128" t="s">
        <v>108</v>
      </c>
      <c r="F178" s="128" t="b">
        <v>1</v>
      </c>
      <c r="H178" s="128" t="s">
        <v>79</v>
      </c>
      <c r="I178" s="128">
        <v>5</v>
      </c>
      <c r="J178" s="128" t="b">
        <v>0</v>
      </c>
      <c r="L178" s="104">
        <v>6637034</v>
      </c>
      <c r="M178" s="128">
        <v>9999</v>
      </c>
      <c r="P178" s="101">
        <v>5</v>
      </c>
      <c r="Q178" s="101">
        <v>7</v>
      </c>
    </row>
    <row r="179" spans="1:17">
      <c r="A179" s="128">
        <v>100131</v>
      </c>
      <c r="B179" s="129" t="s">
        <v>267</v>
      </c>
      <c r="C179" s="128" t="s">
        <v>137</v>
      </c>
      <c r="D179" s="128">
        <v>2006</v>
      </c>
      <c r="E179" s="128" t="s">
        <v>108</v>
      </c>
      <c r="F179" s="128" t="b">
        <v>1</v>
      </c>
      <c r="H179" s="128" t="s">
        <v>79</v>
      </c>
      <c r="I179" s="128">
        <v>5</v>
      </c>
      <c r="J179" s="128" t="b">
        <v>0</v>
      </c>
      <c r="L179" s="104">
        <v>6637035</v>
      </c>
      <c r="M179" s="128">
        <v>9999</v>
      </c>
      <c r="P179" s="101">
        <v>5</v>
      </c>
      <c r="Q179" s="101">
        <v>7</v>
      </c>
    </row>
    <row r="180" spans="1:17">
      <c r="A180" s="128">
        <v>100132</v>
      </c>
      <c r="B180" s="129" t="s">
        <v>268</v>
      </c>
      <c r="C180" s="128" t="s">
        <v>137</v>
      </c>
      <c r="D180" s="128">
        <v>2006</v>
      </c>
      <c r="E180" s="128" t="s">
        <v>108</v>
      </c>
      <c r="F180" s="128" t="b">
        <v>1</v>
      </c>
      <c r="H180" s="128" t="s">
        <v>79</v>
      </c>
      <c r="I180" s="128">
        <v>5</v>
      </c>
      <c r="J180" s="128" t="b">
        <v>0</v>
      </c>
      <c r="L180" s="104">
        <v>6637033</v>
      </c>
      <c r="M180" s="128">
        <v>9999</v>
      </c>
      <c r="P180" s="101">
        <v>5</v>
      </c>
      <c r="Q180" s="101">
        <v>7</v>
      </c>
    </row>
    <row r="181" spans="1:17">
      <c r="A181" s="128">
        <v>100133</v>
      </c>
      <c r="B181" s="129" t="s">
        <v>269</v>
      </c>
      <c r="C181" s="128" t="s">
        <v>137</v>
      </c>
      <c r="D181" s="128">
        <v>2006</v>
      </c>
      <c r="E181" s="128" t="s">
        <v>108</v>
      </c>
      <c r="F181" s="128" t="b">
        <v>1</v>
      </c>
      <c r="H181" s="128" t="s">
        <v>79</v>
      </c>
      <c r="I181" s="128">
        <v>5</v>
      </c>
      <c r="J181" s="128" t="b">
        <v>0</v>
      </c>
      <c r="L181" s="104">
        <v>6637034</v>
      </c>
      <c r="M181" s="128">
        <v>9999</v>
      </c>
      <c r="P181" s="101">
        <v>5</v>
      </c>
      <c r="Q181" s="101">
        <v>7</v>
      </c>
    </row>
    <row r="182" spans="1:17">
      <c r="A182" s="128">
        <v>100134</v>
      </c>
      <c r="B182" s="129" t="s">
        <v>270</v>
      </c>
      <c r="C182" s="128" t="s">
        <v>137</v>
      </c>
      <c r="D182" s="128">
        <v>2006</v>
      </c>
      <c r="E182" s="128" t="s">
        <v>108</v>
      </c>
      <c r="F182" s="128" t="b">
        <v>1</v>
      </c>
      <c r="H182" s="128" t="s">
        <v>79</v>
      </c>
      <c r="I182" s="128">
        <v>5</v>
      </c>
      <c r="J182" s="128" t="b">
        <v>0</v>
      </c>
      <c r="L182" s="104">
        <v>6637035</v>
      </c>
      <c r="M182" s="128">
        <v>9999</v>
      </c>
      <c r="P182" s="101">
        <v>5</v>
      </c>
      <c r="Q182" s="101">
        <v>7</v>
      </c>
    </row>
    <row r="183" spans="1:17">
      <c r="A183" s="128">
        <v>100135</v>
      </c>
      <c r="B183" s="129" t="s">
        <v>271</v>
      </c>
      <c r="C183" s="128" t="s">
        <v>137</v>
      </c>
      <c r="D183" s="128">
        <v>2006</v>
      </c>
      <c r="E183" s="128" t="s">
        <v>108</v>
      </c>
      <c r="F183" s="128" t="b">
        <v>1</v>
      </c>
      <c r="H183" s="128" t="s">
        <v>79</v>
      </c>
      <c r="I183" s="128">
        <v>5</v>
      </c>
      <c r="J183" s="128" t="b">
        <v>0</v>
      </c>
      <c r="L183" s="104">
        <v>6637033</v>
      </c>
      <c r="M183" s="128">
        <v>9999</v>
      </c>
      <c r="P183" s="101">
        <v>5</v>
      </c>
      <c r="Q183" s="101">
        <v>7</v>
      </c>
    </row>
    <row r="184" spans="1:17">
      <c r="A184" s="128">
        <v>100136</v>
      </c>
      <c r="B184" s="129" t="s">
        <v>272</v>
      </c>
      <c r="C184" s="128" t="s">
        <v>137</v>
      </c>
      <c r="D184" s="128">
        <v>2006</v>
      </c>
      <c r="E184" s="128" t="s">
        <v>108</v>
      </c>
      <c r="F184" s="128" t="b">
        <v>1</v>
      </c>
      <c r="H184" s="128" t="s">
        <v>79</v>
      </c>
      <c r="I184" s="128">
        <v>5</v>
      </c>
      <c r="J184" s="128" t="b">
        <v>0</v>
      </c>
      <c r="L184" s="104">
        <v>6637034</v>
      </c>
      <c r="M184" s="128">
        <v>9999</v>
      </c>
      <c r="P184" s="101">
        <v>5</v>
      </c>
      <c r="Q184" s="101">
        <v>7</v>
      </c>
    </row>
    <row r="185" spans="1:17">
      <c r="A185" s="128">
        <v>100137</v>
      </c>
      <c r="B185" s="129" t="s">
        <v>273</v>
      </c>
      <c r="C185" s="128" t="s">
        <v>137</v>
      </c>
      <c r="D185" s="128">
        <v>2006</v>
      </c>
      <c r="E185" s="128" t="s">
        <v>108</v>
      </c>
      <c r="F185" s="128" t="b">
        <v>1</v>
      </c>
      <c r="H185" s="128" t="s">
        <v>79</v>
      </c>
      <c r="I185" s="128">
        <v>5</v>
      </c>
      <c r="J185" s="128" t="b">
        <v>0</v>
      </c>
      <c r="L185" s="104">
        <v>6637035</v>
      </c>
      <c r="M185" s="128">
        <v>9999</v>
      </c>
      <c r="P185" s="101">
        <v>5</v>
      </c>
      <c r="Q185" s="101">
        <v>7</v>
      </c>
    </row>
    <row r="186" spans="1:17">
      <c r="A186" s="128">
        <v>100138</v>
      </c>
      <c r="B186" s="129" t="s">
        <v>274</v>
      </c>
      <c r="C186" s="128" t="s">
        <v>137</v>
      </c>
      <c r="D186" s="128">
        <v>2006</v>
      </c>
      <c r="E186" s="128" t="s">
        <v>108</v>
      </c>
      <c r="F186" s="128" t="b">
        <v>1</v>
      </c>
      <c r="H186" s="128" t="s">
        <v>79</v>
      </c>
      <c r="I186" s="128">
        <v>5</v>
      </c>
      <c r="J186" s="128" t="b">
        <v>0</v>
      </c>
      <c r="L186" s="104">
        <v>6637033</v>
      </c>
      <c r="M186" s="128">
        <v>9999</v>
      </c>
      <c r="P186" s="101">
        <v>5</v>
      </c>
      <c r="Q186" s="101">
        <v>7</v>
      </c>
    </row>
    <row r="187" spans="1:17">
      <c r="A187" s="128">
        <v>100139</v>
      </c>
      <c r="B187" s="129" t="s">
        <v>275</v>
      </c>
      <c r="C187" s="128" t="s">
        <v>137</v>
      </c>
      <c r="D187" s="128">
        <v>2006</v>
      </c>
      <c r="E187" s="128" t="s">
        <v>108</v>
      </c>
      <c r="F187" s="128" t="b">
        <v>1</v>
      </c>
      <c r="H187" s="128" t="s">
        <v>79</v>
      </c>
      <c r="I187" s="128">
        <v>5</v>
      </c>
      <c r="J187" s="128" t="b">
        <v>0</v>
      </c>
      <c r="L187" s="104">
        <v>6637034</v>
      </c>
      <c r="M187" s="128">
        <v>9999</v>
      </c>
      <c r="P187" s="101">
        <v>5</v>
      </c>
      <c r="Q187" s="101">
        <v>7</v>
      </c>
    </row>
    <row r="188" spans="1:17">
      <c r="A188" s="128">
        <v>100140</v>
      </c>
      <c r="B188" s="129" t="s">
        <v>276</v>
      </c>
      <c r="C188" s="128" t="s">
        <v>137</v>
      </c>
      <c r="D188" s="128">
        <v>2006</v>
      </c>
      <c r="E188" s="128" t="s">
        <v>108</v>
      </c>
      <c r="F188" s="128" t="b">
        <v>1</v>
      </c>
      <c r="H188" s="128" t="s">
        <v>79</v>
      </c>
      <c r="I188" s="128">
        <v>5</v>
      </c>
      <c r="J188" s="128" t="b">
        <v>0</v>
      </c>
      <c r="L188" s="104">
        <v>6637035</v>
      </c>
      <c r="M188" s="128">
        <v>9999</v>
      </c>
      <c r="P188" s="101">
        <v>5</v>
      </c>
      <c r="Q188" s="101">
        <v>7</v>
      </c>
    </row>
    <row r="189" spans="1:17">
      <c r="A189" s="128">
        <v>100141</v>
      </c>
      <c r="B189" s="129" t="s">
        <v>277</v>
      </c>
      <c r="C189" s="128" t="s">
        <v>137</v>
      </c>
      <c r="D189" s="128">
        <v>2006</v>
      </c>
      <c r="E189" s="128" t="s">
        <v>108</v>
      </c>
      <c r="F189" s="128" t="b">
        <v>1</v>
      </c>
      <c r="H189" s="128" t="s">
        <v>79</v>
      </c>
      <c r="I189" s="128">
        <v>5</v>
      </c>
      <c r="J189" s="128" t="b">
        <v>0</v>
      </c>
      <c r="L189" s="104">
        <v>6637033</v>
      </c>
      <c r="M189" s="128">
        <v>9999</v>
      </c>
      <c r="P189" s="101">
        <v>5</v>
      </c>
      <c r="Q189" s="101">
        <v>7</v>
      </c>
    </row>
    <row r="190" spans="1:17">
      <c r="A190" s="128">
        <v>100142</v>
      </c>
      <c r="B190" s="129" t="s">
        <v>278</v>
      </c>
      <c r="C190" s="128" t="s">
        <v>137</v>
      </c>
      <c r="D190" s="128">
        <v>2006</v>
      </c>
      <c r="E190" s="128" t="s">
        <v>108</v>
      </c>
      <c r="F190" s="128" t="b">
        <v>1</v>
      </c>
      <c r="H190" s="128" t="s">
        <v>79</v>
      </c>
      <c r="I190" s="128">
        <v>5</v>
      </c>
      <c r="J190" s="128" t="b">
        <v>0</v>
      </c>
      <c r="L190" s="104">
        <v>6637034</v>
      </c>
      <c r="M190" s="128">
        <v>9999</v>
      </c>
      <c r="P190" s="101">
        <v>5</v>
      </c>
      <c r="Q190" s="101">
        <v>7</v>
      </c>
    </row>
    <row r="191" spans="1:17">
      <c r="A191" s="128">
        <v>100143</v>
      </c>
      <c r="B191" s="129" t="s">
        <v>279</v>
      </c>
      <c r="C191" s="128" t="s">
        <v>137</v>
      </c>
      <c r="D191" s="128">
        <v>2006</v>
      </c>
      <c r="E191" s="128" t="s">
        <v>108</v>
      </c>
      <c r="F191" s="128" t="b">
        <v>1</v>
      </c>
      <c r="H191" s="128" t="s">
        <v>79</v>
      </c>
      <c r="I191" s="128">
        <v>5</v>
      </c>
      <c r="J191" s="128" t="b">
        <v>0</v>
      </c>
      <c r="L191" s="104">
        <v>6637035</v>
      </c>
      <c r="M191" s="128">
        <v>9999</v>
      </c>
      <c r="P191" s="101">
        <v>5</v>
      </c>
      <c r="Q191" s="101">
        <v>7</v>
      </c>
    </row>
    <row r="192" spans="1:17">
      <c r="A192" s="128">
        <v>100144</v>
      </c>
      <c r="B192" s="129" t="s">
        <v>280</v>
      </c>
      <c r="C192" s="128" t="s">
        <v>137</v>
      </c>
      <c r="D192" s="128">
        <v>2006</v>
      </c>
      <c r="E192" s="128" t="s">
        <v>108</v>
      </c>
      <c r="F192" s="128" t="b">
        <v>1</v>
      </c>
      <c r="H192" s="128" t="s">
        <v>79</v>
      </c>
      <c r="I192" s="128">
        <v>5</v>
      </c>
      <c r="J192" s="128" t="b">
        <v>0</v>
      </c>
      <c r="L192" s="104">
        <v>6637033</v>
      </c>
      <c r="M192" s="128">
        <v>9999</v>
      </c>
      <c r="P192" s="101">
        <v>5</v>
      </c>
      <c r="Q192" s="101">
        <v>7</v>
      </c>
    </row>
    <row r="193" spans="1:17">
      <c r="A193" s="128">
        <v>100145</v>
      </c>
      <c r="B193" s="129" t="s">
        <v>281</v>
      </c>
      <c r="C193" s="128" t="s">
        <v>137</v>
      </c>
      <c r="D193" s="128">
        <v>2006</v>
      </c>
      <c r="E193" s="128" t="s">
        <v>108</v>
      </c>
      <c r="F193" s="128" t="b">
        <v>1</v>
      </c>
      <c r="H193" s="128" t="s">
        <v>79</v>
      </c>
      <c r="I193" s="128">
        <v>5</v>
      </c>
      <c r="J193" s="128" t="b">
        <v>0</v>
      </c>
      <c r="L193" s="104">
        <v>6637034</v>
      </c>
      <c r="M193" s="128">
        <v>9999</v>
      </c>
      <c r="P193" s="101">
        <v>5</v>
      </c>
      <c r="Q193" s="101">
        <v>7</v>
      </c>
    </row>
    <row r="194" spans="1:17">
      <c r="A194" s="128">
        <v>100146</v>
      </c>
      <c r="B194" s="129" t="s">
        <v>282</v>
      </c>
      <c r="C194" s="128" t="s">
        <v>137</v>
      </c>
      <c r="D194" s="128">
        <v>2006</v>
      </c>
      <c r="E194" s="128" t="s">
        <v>108</v>
      </c>
      <c r="F194" s="128" t="b">
        <v>1</v>
      </c>
      <c r="H194" s="128" t="s">
        <v>79</v>
      </c>
      <c r="I194" s="128">
        <v>5</v>
      </c>
      <c r="J194" s="128" t="b">
        <v>0</v>
      </c>
      <c r="L194" s="104">
        <v>6637035</v>
      </c>
      <c r="M194" s="128">
        <v>9999</v>
      </c>
      <c r="P194" s="101">
        <v>5</v>
      </c>
      <c r="Q194" s="101">
        <v>7</v>
      </c>
    </row>
    <row r="195" spans="1:17">
      <c r="A195" s="128">
        <v>100147</v>
      </c>
      <c r="B195" s="129" t="s">
        <v>283</v>
      </c>
      <c r="C195" s="128" t="s">
        <v>137</v>
      </c>
      <c r="D195" s="128">
        <v>2006</v>
      </c>
      <c r="E195" s="128" t="s">
        <v>108</v>
      </c>
      <c r="F195" s="128" t="b">
        <v>1</v>
      </c>
      <c r="H195" s="128" t="s">
        <v>79</v>
      </c>
      <c r="I195" s="128">
        <v>5</v>
      </c>
      <c r="J195" s="128" t="b">
        <v>0</v>
      </c>
      <c r="L195" s="104">
        <v>6637033</v>
      </c>
      <c r="M195" s="128">
        <v>9999</v>
      </c>
      <c r="P195" s="101">
        <v>5</v>
      </c>
      <c r="Q195" s="101">
        <v>7</v>
      </c>
    </row>
    <row r="196" spans="1:17">
      <c r="A196" s="128">
        <v>100148</v>
      </c>
      <c r="B196" s="129" t="s">
        <v>284</v>
      </c>
      <c r="C196" s="128" t="s">
        <v>137</v>
      </c>
      <c r="D196" s="128">
        <v>2006</v>
      </c>
      <c r="E196" s="128" t="s">
        <v>108</v>
      </c>
      <c r="F196" s="128" t="b">
        <v>1</v>
      </c>
      <c r="H196" s="128" t="s">
        <v>79</v>
      </c>
      <c r="I196" s="128">
        <v>5</v>
      </c>
      <c r="J196" s="128" t="b">
        <v>0</v>
      </c>
      <c r="L196" s="104">
        <v>6637034</v>
      </c>
      <c r="M196" s="128">
        <v>9999</v>
      </c>
      <c r="P196" s="101">
        <v>5</v>
      </c>
      <c r="Q196" s="101">
        <v>7</v>
      </c>
    </row>
    <row r="197" spans="1:17">
      <c r="A197" s="128">
        <v>100149</v>
      </c>
      <c r="B197" s="129" t="s">
        <v>285</v>
      </c>
      <c r="C197" s="128" t="s">
        <v>137</v>
      </c>
      <c r="D197" s="128">
        <v>2006</v>
      </c>
      <c r="E197" s="128" t="s">
        <v>108</v>
      </c>
      <c r="F197" s="128" t="b">
        <v>1</v>
      </c>
      <c r="H197" s="128" t="s">
        <v>79</v>
      </c>
      <c r="I197" s="128">
        <v>5</v>
      </c>
      <c r="J197" s="128" t="b">
        <v>0</v>
      </c>
      <c r="L197" s="104">
        <v>6637035</v>
      </c>
      <c r="M197" s="128">
        <v>9999</v>
      </c>
      <c r="P197" s="101">
        <v>5</v>
      </c>
      <c r="Q197" s="101">
        <v>7</v>
      </c>
    </row>
    <row r="198" spans="1:17">
      <c r="A198" s="128">
        <v>100150</v>
      </c>
      <c r="B198" s="129" t="s">
        <v>286</v>
      </c>
      <c r="C198" s="128" t="s">
        <v>137</v>
      </c>
      <c r="D198" s="128">
        <v>2006</v>
      </c>
      <c r="E198" s="128" t="s">
        <v>108</v>
      </c>
      <c r="F198" s="128" t="b">
        <v>1</v>
      </c>
      <c r="H198" s="128" t="s">
        <v>79</v>
      </c>
      <c r="I198" s="128">
        <v>5</v>
      </c>
      <c r="J198" s="128" t="b">
        <v>0</v>
      </c>
      <c r="L198" s="104">
        <v>6637033</v>
      </c>
      <c r="M198" s="128">
        <v>9999</v>
      </c>
      <c r="P198" s="101">
        <v>5</v>
      </c>
      <c r="Q198" s="101">
        <v>7</v>
      </c>
    </row>
    <row r="199" spans="1:17">
      <c r="A199" s="128">
        <v>100151</v>
      </c>
      <c r="B199" s="129" t="s">
        <v>287</v>
      </c>
      <c r="C199" s="128" t="s">
        <v>137</v>
      </c>
      <c r="D199" s="128">
        <v>2006</v>
      </c>
      <c r="E199" s="128" t="s">
        <v>108</v>
      </c>
      <c r="F199" s="128" t="b">
        <v>1</v>
      </c>
      <c r="H199" s="128" t="s">
        <v>79</v>
      </c>
      <c r="I199" s="128">
        <v>5</v>
      </c>
      <c r="J199" s="128" t="b">
        <v>0</v>
      </c>
      <c r="L199" s="104">
        <v>6637034</v>
      </c>
      <c r="M199" s="128">
        <v>9999</v>
      </c>
      <c r="P199" s="101">
        <v>5</v>
      </c>
      <c r="Q199" s="101">
        <v>7</v>
      </c>
    </row>
    <row r="200" spans="1:17">
      <c r="A200" s="128">
        <v>100152</v>
      </c>
      <c r="B200" s="129" t="s">
        <v>288</v>
      </c>
      <c r="C200" s="128" t="s">
        <v>137</v>
      </c>
      <c r="D200" s="128">
        <v>2006</v>
      </c>
      <c r="E200" s="128" t="s">
        <v>108</v>
      </c>
      <c r="F200" s="128" t="b">
        <v>1</v>
      </c>
      <c r="H200" s="128" t="s">
        <v>79</v>
      </c>
      <c r="I200" s="128">
        <v>5</v>
      </c>
      <c r="J200" s="128" t="b">
        <v>0</v>
      </c>
      <c r="L200" s="104">
        <v>6637035</v>
      </c>
      <c r="M200" s="128">
        <v>9999</v>
      </c>
      <c r="P200" s="101">
        <v>5</v>
      </c>
      <c r="Q200" s="101">
        <v>7</v>
      </c>
    </row>
    <row r="201" spans="1:17">
      <c r="A201" s="128">
        <v>100153</v>
      </c>
      <c r="B201" s="129" t="s">
        <v>289</v>
      </c>
      <c r="C201" s="128" t="s">
        <v>137</v>
      </c>
      <c r="D201" s="128">
        <v>2006</v>
      </c>
      <c r="E201" s="128" t="s">
        <v>108</v>
      </c>
      <c r="F201" s="128" t="b">
        <v>1</v>
      </c>
      <c r="H201" s="128" t="s">
        <v>79</v>
      </c>
      <c r="I201" s="128">
        <v>5</v>
      </c>
      <c r="J201" s="128" t="b">
        <v>0</v>
      </c>
      <c r="L201" s="104">
        <v>6637033</v>
      </c>
      <c r="M201" s="128">
        <v>9999</v>
      </c>
      <c r="P201" s="101">
        <v>5</v>
      </c>
      <c r="Q201" s="101">
        <v>7</v>
      </c>
    </row>
    <row r="202" spans="1:17">
      <c r="A202" s="128">
        <v>100154</v>
      </c>
      <c r="B202" s="129" t="s">
        <v>290</v>
      </c>
      <c r="C202" s="128" t="s">
        <v>137</v>
      </c>
      <c r="D202" s="128">
        <v>2006</v>
      </c>
      <c r="E202" s="128" t="s">
        <v>108</v>
      </c>
      <c r="F202" s="128" t="b">
        <v>1</v>
      </c>
      <c r="H202" s="128" t="s">
        <v>79</v>
      </c>
      <c r="I202" s="128">
        <v>5</v>
      </c>
      <c r="J202" s="128" t="b">
        <v>0</v>
      </c>
      <c r="L202" s="104">
        <v>6637034</v>
      </c>
      <c r="M202" s="128">
        <v>9999</v>
      </c>
      <c r="P202" s="101">
        <v>5</v>
      </c>
      <c r="Q202" s="101">
        <v>7</v>
      </c>
    </row>
    <row r="203" spans="1:17">
      <c r="A203" s="128">
        <v>100155</v>
      </c>
      <c r="B203" s="129" t="s">
        <v>291</v>
      </c>
      <c r="C203" s="128" t="s">
        <v>137</v>
      </c>
      <c r="D203" s="128">
        <v>2006</v>
      </c>
      <c r="E203" s="128" t="s">
        <v>108</v>
      </c>
      <c r="F203" s="128" t="b">
        <v>1</v>
      </c>
      <c r="H203" s="128" t="s">
        <v>79</v>
      </c>
      <c r="I203" s="128">
        <v>5</v>
      </c>
      <c r="J203" s="128" t="b">
        <v>0</v>
      </c>
      <c r="L203" s="104">
        <v>6637035</v>
      </c>
      <c r="M203" s="128">
        <v>9999</v>
      </c>
      <c r="P203" s="101">
        <v>5</v>
      </c>
      <c r="Q203" s="101">
        <v>7</v>
      </c>
    </row>
    <row r="204" spans="1:17">
      <c r="A204" s="128">
        <v>100156</v>
      </c>
      <c r="B204" s="129" t="s">
        <v>292</v>
      </c>
      <c r="C204" s="128" t="s">
        <v>137</v>
      </c>
      <c r="D204" s="128">
        <v>2006</v>
      </c>
      <c r="E204" s="128" t="s">
        <v>108</v>
      </c>
      <c r="F204" s="128" t="b">
        <v>1</v>
      </c>
      <c r="H204" s="128" t="s">
        <v>79</v>
      </c>
      <c r="I204" s="128">
        <v>5</v>
      </c>
      <c r="J204" s="128" t="b">
        <v>0</v>
      </c>
      <c r="L204" s="104">
        <v>6637033</v>
      </c>
      <c r="M204" s="128">
        <v>9999</v>
      </c>
      <c r="P204" s="101">
        <v>5</v>
      </c>
      <c r="Q204" s="101">
        <v>7</v>
      </c>
    </row>
    <row r="205" spans="1:17">
      <c r="A205" s="128">
        <v>100157</v>
      </c>
      <c r="B205" s="129" t="s">
        <v>293</v>
      </c>
      <c r="C205" s="128" t="s">
        <v>137</v>
      </c>
      <c r="D205" s="128">
        <v>2006</v>
      </c>
      <c r="E205" s="128" t="s">
        <v>108</v>
      </c>
      <c r="F205" s="128" t="b">
        <v>1</v>
      </c>
      <c r="H205" s="128" t="s">
        <v>79</v>
      </c>
      <c r="I205" s="128">
        <v>5</v>
      </c>
      <c r="J205" s="128" t="b">
        <v>0</v>
      </c>
      <c r="L205" s="104">
        <v>6637034</v>
      </c>
      <c r="M205" s="128">
        <v>9999</v>
      </c>
      <c r="P205" s="101">
        <v>5</v>
      </c>
      <c r="Q205" s="101">
        <v>7</v>
      </c>
    </row>
    <row r="206" spans="1:17">
      <c r="A206" s="128">
        <v>100158</v>
      </c>
      <c r="B206" s="129" t="s">
        <v>294</v>
      </c>
      <c r="C206" s="128" t="s">
        <v>137</v>
      </c>
      <c r="D206" s="128">
        <v>2006</v>
      </c>
      <c r="E206" s="128" t="s">
        <v>108</v>
      </c>
      <c r="F206" s="128" t="b">
        <v>1</v>
      </c>
      <c r="H206" s="128" t="s">
        <v>79</v>
      </c>
      <c r="I206" s="128">
        <v>5</v>
      </c>
      <c r="J206" s="128" t="b">
        <v>0</v>
      </c>
      <c r="L206" s="104">
        <v>6637035</v>
      </c>
      <c r="M206" s="128">
        <v>9999</v>
      </c>
      <c r="P206" s="101">
        <v>5</v>
      </c>
      <c r="Q206" s="101">
        <v>7</v>
      </c>
    </row>
    <row r="207" spans="1:17">
      <c r="A207" s="128">
        <v>100159</v>
      </c>
      <c r="B207" s="129" t="s">
        <v>295</v>
      </c>
      <c r="C207" s="128" t="s">
        <v>137</v>
      </c>
      <c r="D207" s="128">
        <v>2006</v>
      </c>
      <c r="E207" s="128" t="s">
        <v>108</v>
      </c>
      <c r="F207" s="128" t="b">
        <v>1</v>
      </c>
      <c r="H207" s="128" t="s">
        <v>79</v>
      </c>
      <c r="I207" s="128">
        <v>5</v>
      </c>
      <c r="J207" s="128" t="b">
        <v>0</v>
      </c>
      <c r="L207" s="104">
        <v>6637033</v>
      </c>
      <c r="M207" s="128">
        <v>9999</v>
      </c>
      <c r="P207" s="101">
        <v>5</v>
      </c>
      <c r="Q207" s="101">
        <v>7</v>
      </c>
    </row>
    <row r="208" spans="1:17">
      <c r="A208" s="128">
        <v>100160</v>
      </c>
      <c r="B208" s="129" t="s">
        <v>296</v>
      </c>
      <c r="C208" s="128" t="s">
        <v>137</v>
      </c>
      <c r="D208" s="128">
        <v>2006</v>
      </c>
      <c r="E208" s="128" t="s">
        <v>108</v>
      </c>
      <c r="F208" s="128" t="b">
        <v>1</v>
      </c>
      <c r="H208" s="128" t="s">
        <v>79</v>
      </c>
      <c r="I208" s="128">
        <v>5</v>
      </c>
      <c r="J208" s="128" t="b">
        <v>0</v>
      </c>
      <c r="L208" s="104">
        <v>6637034</v>
      </c>
      <c r="M208" s="128">
        <v>9999</v>
      </c>
      <c r="P208" s="101">
        <v>5</v>
      </c>
      <c r="Q208" s="101">
        <v>7</v>
      </c>
    </row>
    <row r="209" spans="1:17">
      <c r="A209" s="128">
        <v>100161</v>
      </c>
      <c r="B209" s="129" t="s">
        <v>297</v>
      </c>
      <c r="C209" s="128" t="s">
        <v>137</v>
      </c>
      <c r="D209" s="128">
        <v>2006</v>
      </c>
      <c r="E209" s="128" t="s">
        <v>108</v>
      </c>
      <c r="F209" s="128" t="b">
        <v>1</v>
      </c>
      <c r="H209" s="128" t="s">
        <v>79</v>
      </c>
      <c r="I209" s="128">
        <v>5</v>
      </c>
      <c r="J209" s="128" t="b">
        <v>0</v>
      </c>
      <c r="L209" s="104">
        <v>6637035</v>
      </c>
      <c r="M209" s="128">
        <v>9999</v>
      </c>
      <c r="P209" s="101">
        <v>5</v>
      </c>
      <c r="Q209" s="101">
        <v>7</v>
      </c>
    </row>
    <row r="210" spans="1:17">
      <c r="A210" s="128">
        <v>100162</v>
      </c>
      <c r="B210" s="129" t="s">
        <v>298</v>
      </c>
      <c r="C210" s="128" t="s">
        <v>137</v>
      </c>
      <c r="D210" s="128">
        <v>2006</v>
      </c>
      <c r="E210" s="128" t="s">
        <v>108</v>
      </c>
      <c r="F210" s="128" t="b">
        <v>1</v>
      </c>
      <c r="H210" s="128" t="s">
        <v>79</v>
      </c>
      <c r="I210" s="128">
        <v>5</v>
      </c>
      <c r="J210" s="128" t="b">
        <v>0</v>
      </c>
      <c r="L210" s="104">
        <v>6637033</v>
      </c>
      <c r="M210" s="128">
        <v>9999</v>
      </c>
      <c r="P210" s="101">
        <v>5</v>
      </c>
      <c r="Q210" s="101">
        <v>7</v>
      </c>
    </row>
    <row r="211" spans="1:17">
      <c r="A211" s="128">
        <v>100163</v>
      </c>
      <c r="B211" s="129" t="s">
        <v>299</v>
      </c>
      <c r="C211" s="128" t="s">
        <v>137</v>
      </c>
      <c r="D211" s="128">
        <v>2006</v>
      </c>
      <c r="E211" s="128" t="s">
        <v>108</v>
      </c>
      <c r="F211" s="128" t="b">
        <v>1</v>
      </c>
      <c r="H211" s="128" t="s">
        <v>79</v>
      </c>
      <c r="I211" s="128">
        <v>5</v>
      </c>
      <c r="J211" s="128" t="b">
        <v>0</v>
      </c>
      <c r="L211" s="104">
        <v>6637034</v>
      </c>
      <c r="M211" s="128">
        <v>9999</v>
      </c>
      <c r="P211" s="101">
        <v>5</v>
      </c>
      <c r="Q211" s="101">
        <v>7</v>
      </c>
    </row>
    <row r="212" spans="1:17">
      <c r="A212" s="128">
        <v>100164</v>
      </c>
      <c r="B212" s="129" t="s">
        <v>300</v>
      </c>
      <c r="C212" s="128" t="s">
        <v>137</v>
      </c>
      <c r="D212" s="128">
        <v>2006</v>
      </c>
      <c r="E212" s="128" t="s">
        <v>108</v>
      </c>
      <c r="F212" s="128" t="b">
        <v>1</v>
      </c>
      <c r="H212" s="128" t="s">
        <v>79</v>
      </c>
      <c r="I212" s="128">
        <v>5</v>
      </c>
      <c r="J212" s="128" t="b">
        <v>0</v>
      </c>
      <c r="L212" s="104">
        <v>6637035</v>
      </c>
      <c r="M212" s="128">
        <v>9999</v>
      </c>
      <c r="P212" s="101">
        <v>5</v>
      </c>
      <c r="Q212" s="101">
        <v>7</v>
      </c>
    </row>
    <row r="213" spans="1:17">
      <c r="A213" s="128">
        <v>100165</v>
      </c>
      <c r="B213" s="129" t="s">
        <v>301</v>
      </c>
      <c r="C213" s="128" t="s">
        <v>137</v>
      </c>
      <c r="D213" s="128">
        <v>2006</v>
      </c>
      <c r="E213" s="128" t="s">
        <v>108</v>
      </c>
      <c r="F213" s="128" t="b">
        <v>1</v>
      </c>
      <c r="H213" s="128" t="s">
        <v>79</v>
      </c>
      <c r="I213" s="128">
        <v>5</v>
      </c>
      <c r="J213" s="128" t="b">
        <v>0</v>
      </c>
      <c r="L213" s="104">
        <v>6637033</v>
      </c>
      <c r="M213" s="128">
        <v>9999</v>
      </c>
      <c r="P213" s="101">
        <v>5</v>
      </c>
      <c r="Q213" s="101">
        <v>7</v>
      </c>
    </row>
    <row r="214" spans="1:17">
      <c r="A214" s="128">
        <v>100166</v>
      </c>
      <c r="B214" s="129" t="s">
        <v>302</v>
      </c>
      <c r="C214" s="128" t="s">
        <v>137</v>
      </c>
      <c r="D214" s="128">
        <v>2006</v>
      </c>
      <c r="E214" s="128" t="s">
        <v>108</v>
      </c>
      <c r="F214" s="128" t="b">
        <v>1</v>
      </c>
      <c r="H214" s="128" t="s">
        <v>79</v>
      </c>
      <c r="I214" s="128">
        <v>5</v>
      </c>
      <c r="J214" s="128" t="b">
        <v>0</v>
      </c>
      <c r="L214" s="104">
        <v>6637034</v>
      </c>
      <c r="M214" s="128">
        <v>9999</v>
      </c>
      <c r="P214" s="101">
        <v>5</v>
      </c>
      <c r="Q214" s="101">
        <v>7</v>
      </c>
    </row>
    <row r="215" spans="1:17">
      <c r="A215" s="128">
        <v>100167</v>
      </c>
      <c r="B215" s="129" t="s">
        <v>303</v>
      </c>
      <c r="C215" s="128" t="s">
        <v>137</v>
      </c>
      <c r="D215" s="128">
        <v>2006</v>
      </c>
      <c r="E215" s="128" t="s">
        <v>108</v>
      </c>
      <c r="F215" s="128" t="b">
        <v>1</v>
      </c>
      <c r="H215" s="128" t="s">
        <v>79</v>
      </c>
      <c r="I215" s="128">
        <v>5</v>
      </c>
      <c r="J215" s="128" t="b">
        <v>0</v>
      </c>
      <c r="L215" s="104">
        <v>6637035</v>
      </c>
      <c r="M215" s="128">
        <v>9999</v>
      </c>
      <c r="P215" s="101">
        <v>5</v>
      </c>
      <c r="Q215" s="101">
        <v>7</v>
      </c>
    </row>
    <row r="216" spans="1:17">
      <c r="A216" s="128">
        <v>100168</v>
      </c>
      <c r="B216" s="129" t="s">
        <v>304</v>
      </c>
      <c r="C216" s="128" t="s">
        <v>137</v>
      </c>
      <c r="D216" s="128">
        <v>2006</v>
      </c>
      <c r="E216" s="128" t="s">
        <v>108</v>
      </c>
      <c r="F216" s="128" t="b">
        <v>1</v>
      </c>
      <c r="H216" s="128" t="s">
        <v>79</v>
      </c>
      <c r="I216" s="128">
        <v>5</v>
      </c>
      <c r="J216" s="128" t="b">
        <v>0</v>
      </c>
      <c r="L216" s="104">
        <v>6637033</v>
      </c>
      <c r="M216" s="128">
        <v>9999</v>
      </c>
      <c r="P216" s="101">
        <v>5</v>
      </c>
      <c r="Q216" s="101">
        <v>7</v>
      </c>
    </row>
    <row r="217" spans="1:17">
      <c r="A217" s="128">
        <v>100169</v>
      </c>
      <c r="B217" s="129" t="s">
        <v>305</v>
      </c>
      <c r="C217" s="128" t="s">
        <v>137</v>
      </c>
      <c r="D217" s="128">
        <v>2006</v>
      </c>
      <c r="E217" s="128" t="s">
        <v>108</v>
      </c>
      <c r="F217" s="128" t="b">
        <v>1</v>
      </c>
      <c r="H217" s="128" t="s">
        <v>79</v>
      </c>
      <c r="I217" s="128">
        <v>5</v>
      </c>
      <c r="J217" s="128" t="b">
        <v>0</v>
      </c>
      <c r="L217" s="104">
        <v>6637034</v>
      </c>
      <c r="M217" s="128">
        <v>9999</v>
      </c>
      <c r="P217" s="101">
        <v>5</v>
      </c>
      <c r="Q217" s="101">
        <v>7</v>
      </c>
    </row>
    <row r="218" spans="1:17">
      <c r="A218" s="128">
        <v>100170</v>
      </c>
      <c r="B218" s="129" t="s">
        <v>306</v>
      </c>
      <c r="C218" s="128" t="s">
        <v>137</v>
      </c>
      <c r="D218" s="128">
        <v>2006</v>
      </c>
      <c r="E218" s="128" t="s">
        <v>108</v>
      </c>
      <c r="F218" s="128" t="b">
        <v>1</v>
      </c>
      <c r="H218" s="128" t="s">
        <v>79</v>
      </c>
      <c r="I218" s="128">
        <v>5</v>
      </c>
      <c r="J218" s="128" t="b">
        <v>0</v>
      </c>
      <c r="L218" s="104">
        <v>6637035</v>
      </c>
      <c r="M218" s="128">
        <v>9999</v>
      </c>
      <c r="P218" s="101">
        <v>5</v>
      </c>
      <c r="Q218" s="101">
        <v>7</v>
      </c>
    </row>
    <row r="219" spans="1:17">
      <c r="A219" s="128">
        <v>100171</v>
      </c>
      <c r="B219" s="129" t="s">
        <v>307</v>
      </c>
      <c r="C219" s="128" t="s">
        <v>137</v>
      </c>
      <c r="D219" s="128">
        <v>2006</v>
      </c>
      <c r="E219" s="128" t="s">
        <v>108</v>
      </c>
      <c r="F219" s="128" t="b">
        <v>1</v>
      </c>
      <c r="H219" s="128" t="s">
        <v>79</v>
      </c>
      <c r="I219" s="128">
        <v>5</v>
      </c>
      <c r="J219" s="128" t="b">
        <v>0</v>
      </c>
      <c r="L219" s="104">
        <v>6637033</v>
      </c>
      <c r="M219" s="128">
        <v>9999</v>
      </c>
      <c r="P219" s="101">
        <v>5</v>
      </c>
      <c r="Q219" s="101">
        <v>7</v>
      </c>
    </row>
    <row r="220" spans="1:17">
      <c r="A220" s="128">
        <v>100172</v>
      </c>
      <c r="B220" s="129" t="s">
        <v>308</v>
      </c>
      <c r="C220" s="128" t="s">
        <v>137</v>
      </c>
      <c r="D220" s="128">
        <v>2006</v>
      </c>
      <c r="E220" s="128" t="s">
        <v>108</v>
      </c>
      <c r="F220" s="128" t="b">
        <v>1</v>
      </c>
      <c r="H220" s="128" t="s">
        <v>79</v>
      </c>
      <c r="I220" s="128">
        <v>5</v>
      </c>
      <c r="J220" s="128" t="b">
        <v>0</v>
      </c>
      <c r="L220" s="104">
        <v>6637034</v>
      </c>
      <c r="M220" s="128">
        <v>9999</v>
      </c>
      <c r="P220" s="101">
        <v>5</v>
      </c>
      <c r="Q220" s="101">
        <v>7</v>
      </c>
    </row>
    <row r="221" spans="1:17">
      <c r="A221" s="128">
        <v>100173</v>
      </c>
      <c r="B221" s="129" t="s">
        <v>309</v>
      </c>
      <c r="C221" s="128" t="s">
        <v>137</v>
      </c>
      <c r="D221" s="128">
        <v>2006</v>
      </c>
      <c r="E221" s="128" t="s">
        <v>108</v>
      </c>
      <c r="F221" s="128" t="b">
        <v>1</v>
      </c>
      <c r="H221" s="128" t="s">
        <v>79</v>
      </c>
      <c r="I221" s="128">
        <v>5</v>
      </c>
      <c r="J221" s="128" t="b">
        <v>0</v>
      </c>
      <c r="L221" s="104">
        <v>6637035</v>
      </c>
      <c r="M221" s="128">
        <v>9999</v>
      </c>
      <c r="P221" s="101">
        <v>5</v>
      </c>
      <c r="Q221" s="101">
        <v>7</v>
      </c>
    </row>
    <row r="222" spans="1:17">
      <c r="A222" s="128">
        <v>100174</v>
      </c>
      <c r="B222" s="129" t="s">
        <v>310</v>
      </c>
      <c r="C222" s="128" t="s">
        <v>137</v>
      </c>
      <c r="D222" s="128">
        <v>2006</v>
      </c>
      <c r="E222" s="128" t="s">
        <v>108</v>
      </c>
      <c r="F222" s="128" t="b">
        <v>1</v>
      </c>
      <c r="H222" s="128" t="s">
        <v>79</v>
      </c>
      <c r="I222" s="128">
        <v>5</v>
      </c>
      <c r="J222" s="128" t="b">
        <v>0</v>
      </c>
      <c r="L222" s="104">
        <v>6637033</v>
      </c>
      <c r="M222" s="128">
        <v>9999</v>
      </c>
      <c r="P222" s="101">
        <v>5</v>
      </c>
      <c r="Q222" s="101">
        <v>7</v>
      </c>
    </row>
    <row r="223" spans="1:17">
      <c r="A223" s="128">
        <v>100175</v>
      </c>
      <c r="B223" s="129" t="s">
        <v>311</v>
      </c>
      <c r="C223" s="128" t="s">
        <v>137</v>
      </c>
      <c r="D223" s="128">
        <v>2006</v>
      </c>
      <c r="E223" s="128" t="s">
        <v>108</v>
      </c>
      <c r="F223" s="128" t="b">
        <v>1</v>
      </c>
      <c r="H223" s="128" t="s">
        <v>79</v>
      </c>
      <c r="I223" s="128">
        <v>5</v>
      </c>
      <c r="J223" s="128" t="b">
        <v>0</v>
      </c>
      <c r="L223" s="104">
        <v>6637034</v>
      </c>
      <c r="M223" s="128">
        <v>9999</v>
      </c>
      <c r="P223" s="101">
        <v>5</v>
      </c>
      <c r="Q223" s="101">
        <v>7</v>
      </c>
    </row>
    <row r="224" spans="1:17">
      <c r="A224" s="128">
        <v>100176</v>
      </c>
      <c r="B224" s="129" t="s">
        <v>312</v>
      </c>
      <c r="C224" s="128" t="s">
        <v>137</v>
      </c>
      <c r="D224" s="128">
        <v>2006</v>
      </c>
      <c r="E224" s="128" t="s">
        <v>108</v>
      </c>
      <c r="F224" s="128" t="b">
        <v>1</v>
      </c>
      <c r="H224" s="128" t="s">
        <v>79</v>
      </c>
      <c r="I224" s="128">
        <v>5</v>
      </c>
      <c r="J224" s="128" t="b">
        <v>0</v>
      </c>
      <c r="L224" s="104">
        <v>6637035</v>
      </c>
      <c r="M224" s="128">
        <v>9999</v>
      </c>
      <c r="P224" s="101">
        <v>5</v>
      </c>
      <c r="Q224" s="101">
        <v>7</v>
      </c>
    </row>
    <row r="225" spans="1:17">
      <c r="A225" s="128">
        <v>100177</v>
      </c>
      <c r="B225" s="129" t="s">
        <v>313</v>
      </c>
      <c r="C225" s="128" t="s">
        <v>137</v>
      </c>
      <c r="D225" s="128">
        <v>2006</v>
      </c>
      <c r="E225" s="128" t="s">
        <v>108</v>
      </c>
      <c r="F225" s="128" t="b">
        <v>1</v>
      </c>
      <c r="H225" s="128" t="s">
        <v>79</v>
      </c>
      <c r="I225" s="128">
        <v>5</v>
      </c>
      <c r="J225" s="128" t="b">
        <v>0</v>
      </c>
      <c r="L225" s="104">
        <v>6637033</v>
      </c>
      <c r="M225" s="128">
        <v>9999</v>
      </c>
      <c r="P225" s="101">
        <v>5</v>
      </c>
      <c r="Q225" s="101">
        <v>7</v>
      </c>
    </row>
    <row r="226" spans="1:17">
      <c r="A226" s="128">
        <v>100178</v>
      </c>
      <c r="B226" s="129" t="s">
        <v>314</v>
      </c>
      <c r="C226" s="128" t="s">
        <v>137</v>
      </c>
      <c r="D226" s="128">
        <v>2006</v>
      </c>
      <c r="E226" s="128" t="s">
        <v>108</v>
      </c>
      <c r="F226" s="128" t="b">
        <v>1</v>
      </c>
      <c r="H226" s="128" t="s">
        <v>79</v>
      </c>
      <c r="I226" s="128">
        <v>5</v>
      </c>
      <c r="J226" s="128" t="b">
        <v>0</v>
      </c>
      <c r="L226" s="104">
        <v>6637034</v>
      </c>
      <c r="M226" s="128">
        <v>9999</v>
      </c>
      <c r="P226" s="101">
        <v>5</v>
      </c>
      <c r="Q226" s="101">
        <v>7</v>
      </c>
    </row>
    <row r="227" spans="1:17">
      <c r="A227" s="128">
        <v>100179</v>
      </c>
      <c r="B227" s="129" t="s">
        <v>315</v>
      </c>
      <c r="C227" s="128" t="s">
        <v>137</v>
      </c>
      <c r="D227" s="128">
        <v>2006</v>
      </c>
      <c r="E227" s="128" t="s">
        <v>108</v>
      </c>
      <c r="F227" s="128" t="b">
        <v>1</v>
      </c>
      <c r="H227" s="128" t="s">
        <v>79</v>
      </c>
      <c r="I227" s="128">
        <v>5</v>
      </c>
      <c r="J227" s="128" t="b">
        <v>0</v>
      </c>
      <c r="L227" s="104">
        <v>6637035</v>
      </c>
      <c r="M227" s="128">
        <v>9999</v>
      </c>
      <c r="P227" s="101">
        <v>5</v>
      </c>
      <c r="Q227" s="101">
        <v>7</v>
      </c>
    </row>
    <row r="228" spans="1:17">
      <c r="A228" s="128">
        <v>100180</v>
      </c>
      <c r="B228" s="129" t="s">
        <v>316</v>
      </c>
      <c r="C228" s="128" t="s">
        <v>137</v>
      </c>
      <c r="D228" s="128">
        <v>2006</v>
      </c>
      <c r="E228" s="128" t="s">
        <v>108</v>
      </c>
      <c r="F228" s="128" t="b">
        <v>1</v>
      </c>
      <c r="H228" s="128" t="s">
        <v>79</v>
      </c>
      <c r="I228" s="128">
        <v>5</v>
      </c>
      <c r="J228" s="128" t="b">
        <v>0</v>
      </c>
      <c r="L228" s="104">
        <v>6637033</v>
      </c>
      <c r="M228" s="128">
        <v>9999</v>
      </c>
      <c r="P228" s="101">
        <v>5</v>
      </c>
      <c r="Q228" s="101">
        <v>7</v>
      </c>
    </row>
    <row r="229" spans="1:17">
      <c r="A229" s="128">
        <v>100181</v>
      </c>
      <c r="B229" s="129" t="s">
        <v>317</v>
      </c>
      <c r="C229" s="128" t="s">
        <v>137</v>
      </c>
      <c r="D229" s="128">
        <v>2006</v>
      </c>
      <c r="E229" s="128" t="s">
        <v>108</v>
      </c>
      <c r="F229" s="128" t="b">
        <v>1</v>
      </c>
      <c r="H229" s="128" t="s">
        <v>79</v>
      </c>
      <c r="I229" s="128">
        <v>5</v>
      </c>
      <c r="J229" s="128" t="b">
        <v>0</v>
      </c>
      <c r="L229" s="104">
        <v>6637034</v>
      </c>
      <c r="M229" s="128">
        <v>9999</v>
      </c>
      <c r="P229" s="101">
        <v>5</v>
      </c>
      <c r="Q229" s="101">
        <v>7</v>
      </c>
    </row>
    <row r="230" spans="1:17">
      <c r="A230" s="128">
        <v>100182</v>
      </c>
      <c r="B230" s="129" t="s">
        <v>318</v>
      </c>
      <c r="C230" s="128" t="s">
        <v>137</v>
      </c>
      <c r="D230" s="128">
        <v>2006</v>
      </c>
      <c r="E230" s="128" t="s">
        <v>108</v>
      </c>
      <c r="F230" s="128" t="b">
        <v>1</v>
      </c>
      <c r="H230" s="128" t="s">
        <v>79</v>
      </c>
      <c r="I230" s="128">
        <v>5</v>
      </c>
      <c r="J230" s="128" t="b">
        <v>0</v>
      </c>
      <c r="L230" s="104">
        <v>6637035</v>
      </c>
      <c r="M230" s="128">
        <v>9999</v>
      </c>
      <c r="P230" s="101">
        <v>5</v>
      </c>
      <c r="Q230" s="101">
        <v>7</v>
      </c>
    </row>
    <row r="231" spans="1:17">
      <c r="A231" s="128">
        <v>100183</v>
      </c>
      <c r="B231" s="129" t="s">
        <v>319</v>
      </c>
      <c r="C231" s="128" t="s">
        <v>137</v>
      </c>
      <c r="D231" s="128">
        <v>2006</v>
      </c>
      <c r="E231" s="128" t="s">
        <v>108</v>
      </c>
      <c r="F231" s="128" t="b">
        <v>1</v>
      </c>
      <c r="H231" s="128" t="s">
        <v>79</v>
      </c>
      <c r="I231" s="128">
        <v>5</v>
      </c>
      <c r="J231" s="128" t="b">
        <v>0</v>
      </c>
      <c r="L231" s="104">
        <v>6637033</v>
      </c>
      <c r="M231" s="128">
        <v>9999</v>
      </c>
      <c r="P231" s="101">
        <v>5</v>
      </c>
      <c r="Q231" s="101">
        <v>7</v>
      </c>
    </row>
    <row r="232" spans="1:17">
      <c r="A232" s="128">
        <v>100184</v>
      </c>
      <c r="B232" s="129" t="s">
        <v>320</v>
      </c>
      <c r="C232" s="128" t="s">
        <v>137</v>
      </c>
      <c r="D232" s="128">
        <v>2006</v>
      </c>
      <c r="E232" s="128" t="s">
        <v>108</v>
      </c>
      <c r="F232" s="128" t="b">
        <v>1</v>
      </c>
      <c r="H232" s="128" t="s">
        <v>79</v>
      </c>
      <c r="I232" s="128">
        <v>5</v>
      </c>
      <c r="J232" s="128" t="b">
        <v>0</v>
      </c>
      <c r="L232" s="104">
        <v>6637034</v>
      </c>
      <c r="M232" s="128">
        <v>9999</v>
      </c>
      <c r="P232" s="101">
        <v>5</v>
      </c>
      <c r="Q232" s="101">
        <v>7</v>
      </c>
    </row>
    <row r="233" spans="1:17">
      <c r="A233" s="128">
        <v>100185</v>
      </c>
      <c r="B233" s="129" t="s">
        <v>321</v>
      </c>
      <c r="C233" s="128" t="s">
        <v>137</v>
      </c>
      <c r="D233" s="128">
        <v>2006</v>
      </c>
      <c r="E233" s="128" t="s">
        <v>108</v>
      </c>
      <c r="F233" s="128" t="b">
        <v>1</v>
      </c>
      <c r="H233" s="128" t="s">
        <v>79</v>
      </c>
      <c r="I233" s="128">
        <v>5</v>
      </c>
      <c r="J233" s="128" t="b">
        <v>0</v>
      </c>
      <c r="L233" s="104">
        <v>6637035</v>
      </c>
      <c r="M233" s="128">
        <v>9999</v>
      </c>
      <c r="P233" s="101">
        <v>5</v>
      </c>
      <c r="Q233" s="101">
        <v>7</v>
      </c>
    </row>
    <row r="234" spans="1:17">
      <c r="A234" s="128">
        <v>100186</v>
      </c>
      <c r="B234" s="129" t="s">
        <v>322</v>
      </c>
      <c r="C234" s="128" t="s">
        <v>137</v>
      </c>
      <c r="D234" s="128">
        <v>2006</v>
      </c>
      <c r="E234" s="128" t="s">
        <v>108</v>
      </c>
      <c r="F234" s="128" t="b">
        <v>1</v>
      </c>
      <c r="H234" s="128" t="s">
        <v>79</v>
      </c>
      <c r="I234" s="128">
        <v>5</v>
      </c>
      <c r="J234" s="128" t="b">
        <v>0</v>
      </c>
      <c r="L234" s="104">
        <v>6637033</v>
      </c>
      <c r="M234" s="128">
        <v>9999</v>
      </c>
      <c r="P234" s="101">
        <v>5</v>
      </c>
      <c r="Q234" s="101">
        <v>7</v>
      </c>
    </row>
    <row r="235" spans="1:17">
      <c r="A235" s="128">
        <v>100187</v>
      </c>
      <c r="B235" s="129" t="s">
        <v>323</v>
      </c>
      <c r="C235" s="128" t="s">
        <v>137</v>
      </c>
      <c r="D235" s="128">
        <v>2006</v>
      </c>
      <c r="E235" s="128" t="s">
        <v>108</v>
      </c>
      <c r="F235" s="128" t="b">
        <v>1</v>
      </c>
      <c r="H235" s="128" t="s">
        <v>79</v>
      </c>
      <c r="I235" s="128">
        <v>5</v>
      </c>
      <c r="J235" s="128" t="b">
        <v>0</v>
      </c>
      <c r="L235" s="104">
        <v>6637034</v>
      </c>
      <c r="M235" s="128">
        <v>9999</v>
      </c>
      <c r="P235" s="101">
        <v>5</v>
      </c>
      <c r="Q235" s="101">
        <v>7</v>
      </c>
    </row>
    <row r="236" spans="1:17">
      <c r="A236" s="128">
        <v>100188</v>
      </c>
      <c r="B236" s="129" t="s">
        <v>324</v>
      </c>
      <c r="C236" s="128" t="s">
        <v>137</v>
      </c>
      <c r="D236" s="128">
        <v>2006</v>
      </c>
      <c r="E236" s="128" t="s">
        <v>108</v>
      </c>
      <c r="F236" s="128" t="b">
        <v>1</v>
      </c>
      <c r="H236" s="128" t="s">
        <v>79</v>
      </c>
      <c r="I236" s="128">
        <v>5</v>
      </c>
      <c r="J236" s="128" t="b">
        <v>0</v>
      </c>
      <c r="L236" s="104">
        <v>6637035</v>
      </c>
      <c r="M236" s="128">
        <v>9999</v>
      </c>
      <c r="P236" s="101">
        <v>5</v>
      </c>
      <c r="Q236" s="101">
        <v>7</v>
      </c>
    </row>
    <row r="237" spans="1:17">
      <c r="A237" s="128">
        <v>100189</v>
      </c>
      <c r="B237" s="129" t="s">
        <v>325</v>
      </c>
      <c r="C237" s="128" t="s">
        <v>137</v>
      </c>
      <c r="D237" s="128">
        <v>2006</v>
      </c>
      <c r="E237" s="128" t="s">
        <v>108</v>
      </c>
      <c r="F237" s="128" t="b">
        <v>1</v>
      </c>
      <c r="H237" s="128" t="s">
        <v>79</v>
      </c>
      <c r="I237" s="128">
        <v>5</v>
      </c>
      <c r="J237" s="128" t="b">
        <v>0</v>
      </c>
      <c r="L237" s="104">
        <v>6637033</v>
      </c>
      <c r="M237" s="128">
        <v>9999</v>
      </c>
      <c r="P237" s="101">
        <v>5</v>
      </c>
      <c r="Q237" s="101">
        <v>7</v>
      </c>
    </row>
    <row r="238" spans="1:17">
      <c r="A238" s="128">
        <v>100190</v>
      </c>
      <c r="B238" s="129" t="s">
        <v>326</v>
      </c>
      <c r="C238" s="128" t="s">
        <v>137</v>
      </c>
      <c r="D238" s="128">
        <v>2006</v>
      </c>
      <c r="E238" s="128" t="s">
        <v>108</v>
      </c>
      <c r="F238" s="128" t="b">
        <v>1</v>
      </c>
      <c r="H238" s="128" t="s">
        <v>79</v>
      </c>
      <c r="I238" s="128">
        <v>5</v>
      </c>
      <c r="J238" s="128" t="b">
        <v>0</v>
      </c>
      <c r="L238" s="104">
        <v>6637034</v>
      </c>
      <c r="M238" s="128">
        <v>9999</v>
      </c>
      <c r="P238" s="101">
        <v>5</v>
      </c>
      <c r="Q238" s="101">
        <v>7</v>
      </c>
    </row>
    <row r="239" spans="1:17">
      <c r="A239" s="128">
        <v>100191</v>
      </c>
      <c r="B239" s="129" t="s">
        <v>327</v>
      </c>
      <c r="C239" s="128" t="s">
        <v>137</v>
      </c>
      <c r="D239" s="128">
        <v>2006</v>
      </c>
      <c r="E239" s="128" t="s">
        <v>108</v>
      </c>
      <c r="F239" s="128" t="b">
        <v>1</v>
      </c>
      <c r="H239" s="128" t="s">
        <v>79</v>
      </c>
      <c r="I239" s="128">
        <v>5</v>
      </c>
      <c r="J239" s="128" t="b">
        <v>0</v>
      </c>
      <c r="L239" s="104">
        <v>6637035</v>
      </c>
      <c r="M239" s="128">
        <v>9999</v>
      </c>
      <c r="P239" s="101">
        <v>5</v>
      </c>
      <c r="Q239" s="101">
        <v>7</v>
      </c>
    </row>
    <row r="240" spans="1:17">
      <c r="A240" s="128">
        <v>100192</v>
      </c>
      <c r="B240" s="129" t="s">
        <v>328</v>
      </c>
      <c r="C240" s="128" t="s">
        <v>137</v>
      </c>
      <c r="D240" s="128">
        <v>2006</v>
      </c>
      <c r="E240" s="128" t="s">
        <v>108</v>
      </c>
      <c r="F240" s="128" t="b">
        <v>1</v>
      </c>
      <c r="H240" s="128" t="s">
        <v>79</v>
      </c>
      <c r="I240" s="128">
        <v>5</v>
      </c>
      <c r="J240" s="128" t="b">
        <v>0</v>
      </c>
      <c r="L240" s="104">
        <v>6637033</v>
      </c>
      <c r="M240" s="128">
        <v>9999</v>
      </c>
      <c r="P240" s="101">
        <v>5</v>
      </c>
      <c r="Q240" s="101">
        <v>7</v>
      </c>
    </row>
    <row r="241" spans="1:17">
      <c r="A241" s="128">
        <v>100193</v>
      </c>
      <c r="B241" s="129" t="s">
        <v>329</v>
      </c>
      <c r="C241" s="128" t="s">
        <v>137</v>
      </c>
      <c r="D241" s="128">
        <v>2006</v>
      </c>
      <c r="E241" s="128" t="s">
        <v>108</v>
      </c>
      <c r="F241" s="128" t="b">
        <v>1</v>
      </c>
      <c r="H241" s="128" t="s">
        <v>79</v>
      </c>
      <c r="I241" s="128">
        <v>5</v>
      </c>
      <c r="J241" s="128" t="b">
        <v>0</v>
      </c>
      <c r="L241" s="104">
        <v>6637034</v>
      </c>
      <c r="M241" s="128">
        <v>9999</v>
      </c>
      <c r="P241" s="101">
        <v>5</v>
      </c>
      <c r="Q241" s="101">
        <v>7</v>
      </c>
    </row>
    <row r="242" spans="1:17">
      <c r="A242" s="128">
        <v>100194</v>
      </c>
      <c r="B242" s="129" t="s">
        <v>330</v>
      </c>
      <c r="C242" s="128" t="s">
        <v>137</v>
      </c>
      <c r="D242" s="128">
        <v>2006</v>
      </c>
      <c r="E242" s="128" t="s">
        <v>108</v>
      </c>
      <c r="F242" s="128" t="b">
        <v>1</v>
      </c>
      <c r="H242" s="128" t="s">
        <v>79</v>
      </c>
      <c r="I242" s="128">
        <v>5</v>
      </c>
      <c r="J242" s="128" t="b">
        <v>0</v>
      </c>
      <c r="L242" s="104">
        <v>6637035</v>
      </c>
      <c r="M242" s="128">
        <v>9999</v>
      </c>
      <c r="P242" s="101">
        <v>5</v>
      </c>
      <c r="Q242" s="101">
        <v>7</v>
      </c>
    </row>
    <row r="243" spans="1:17">
      <c r="A243" s="128">
        <v>100195</v>
      </c>
      <c r="B243" s="129" t="s">
        <v>331</v>
      </c>
      <c r="C243" s="128" t="s">
        <v>137</v>
      </c>
      <c r="D243" s="128">
        <v>2006</v>
      </c>
      <c r="E243" s="128" t="s">
        <v>108</v>
      </c>
      <c r="F243" s="128" t="b">
        <v>1</v>
      </c>
      <c r="H243" s="128" t="s">
        <v>79</v>
      </c>
      <c r="I243" s="128">
        <v>5</v>
      </c>
      <c r="J243" s="128" t="b">
        <v>0</v>
      </c>
      <c r="L243" s="104">
        <v>6637033</v>
      </c>
      <c r="M243" s="128">
        <v>9999</v>
      </c>
      <c r="P243" s="101">
        <v>5</v>
      </c>
      <c r="Q243" s="101">
        <v>7</v>
      </c>
    </row>
    <row r="244" spans="1:17">
      <c r="A244" s="128">
        <v>100196</v>
      </c>
      <c r="B244" s="129" t="s">
        <v>332</v>
      </c>
      <c r="C244" s="128" t="s">
        <v>137</v>
      </c>
      <c r="D244" s="128">
        <v>2006</v>
      </c>
      <c r="E244" s="128" t="s">
        <v>108</v>
      </c>
      <c r="F244" s="128" t="b">
        <v>1</v>
      </c>
      <c r="H244" s="128" t="s">
        <v>79</v>
      </c>
      <c r="I244" s="128">
        <v>5</v>
      </c>
      <c r="J244" s="128" t="b">
        <v>0</v>
      </c>
      <c r="L244" s="104">
        <v>6637034</v>
      </c>
      <c r="M244" s="128">
        <v>9999</v>
      </c>
      <c r="P244" s="101">
        <v>5</v>
      </c>
      <c r="Q244" s="101">
        <v>7</v>
      </c>
    </row>
    <row r="245" spans="1:17">
      <c r="A245" s="128">
        <v>100197</v>
      </c>
      <c r="B245" s="129" t="s">
        <v>333</v>
      </c>
      <c r="C245" s="128" t="s">
        <v>137</v>
      </c>
      <c r="D245" s="128">
        <v>2006</v>
      </c>
      <c r="E245" s="128" t="s">
        <v>108</v>
      </c>
      <c r="F245" s="128" t="b">
        <v>1</v>
      </c>
      <c r="H245" s="128" t="s">
        <v>79</v>
      </c>
      <c r="I245" s="128">
        <v>5</v>
      </c>
      <c r="J245" s="128" t="b">
        <v>0</v>
      </c>
      <c r="L245" s="104">
        <v>6637035</v>
      </c>
      <c r="M245" s="128">
        <v>9999</v>
      </c>
      <c r="P245" s="101">
        <v>5</v>
      </c>
      <c r="Q245" s="101">
        <v>7</v>
      </c>
    </row>
    <row r="246" spans="1:17">
      <c r="A246" s="128">
        <v>100198</v>
      </c>
      <c r="B246" s="129" t="s">
        <v>334</v>
      </c>
      <c r="C246" s="128" t="s">
        <v>137</v>
      </c>
      <c r="D246" s="128">
        <v>2006</v>
      </c>
      <c r="E246" s="128" t="s">
        <v>108</v>
      </c>
      <c r="F246" s="128" t="b">
        <v>1</v>
      </c>
      <c r="H246" s="128" t="s">
        <v>79</v>
      </c>
      <c r="I246" s="128">
        <v>5</v>
      </c>
      <c r="J246" s="128" t="b">
        <v>0</v>
      </c>
      <c r="L246" s="104">
        <v>6637033</v>
      </c>
      <c r="M246" s="128">
        <v>9999</v>
      </c>
      <c r="P246" s="101">
        <v>5</v>
      </c>
      <c r="Q246" s="101">
        <v>7</v>
      </c>
    </row>
    <row r="247" spans="1:17">
      <c r="A247" s="128">
        <v>100199</v>
      </c>
      <c r="B247" s="129" t="s">
        <v>335</v>
      </c>
      <c r="C247" s="128" t="s">
        <v>137</v>
      </c>
      <c r="D247" s="128">
        <v>2006</v>
      </c>
      <c r="E247" s="128" t="s">
        <v>108</v>
      </c>
      <c r="F247" s="128" t="b">
        <v>1</v>
      </c>
      <c r="H247" s="128" t="s">
        <v>79</v>
      </c>
      <c r="I247" s="128">
        <v>5</v>
      </c>
      <c r="J247" s="128" t="b">
        <v>0</v>
      </c>
      <c r="L247" s="104">
        <v>6637034</v>
      </c>
      <c r="M247" s="128">
        <v>9999</v>
      </c>
      <c r="P247" s="101">
        <v>5</v>
      </c>
      <c r="Q247" s="101">
        <v>7</v>
      </c>
    </row>
    <row r="248" spans="1:17">
      <c r="A248" s="128">
        <v>100200</v>
      </c>
      <c r="B248" s="129" t="s">
        <v>336</v>
      </c>
      <c r="C248" s="128" t="s">
        <v>137</v>
      </c>
      <c r="D248" s="128">
        <v>2006</v>
      </c>
      <c r="E248" s="128" t="s">
        <v>108</v>
      </c>
      <c r="F248" s="128" t="b">
        <v>1</v>
      </c>
      <c r="H248" s="128" t="s">
        <v>79</v>
      </c>
      <c r="I248" s="128">
        <v>5</v>
      </c>
      <c r="J248" s="128" t="b">
        <v>0</v>
      </c>
      <c r="L248" s="104">
        <v>6637035</v>
      </c>
      <c r="M248" s="128">
        <v>9999</v>
      </c>
      <c r="P248" s="101">
        <v>5</v>
      </c>
      <c r="Q248" s="101">
        <v>7</v>
      </c>
    </row>
    <row r="249" spans="1:17">
      <c r="A249" s="128">
        <v>100201</v>
      </c>
      <c r="B249" s="129" t="s">
        <v>337</v>
      </c>
      <c r="C249" s="128" t="s">
        <v>137</v>
      </c>
      <c r="D249" s="128">
        <v>2006</v>
      </c>
      <c r="E249" s="128" t="s">
        <v>108</v>
      </c>
      <c r="F249" s="128" t="b">
        <v>1</v>
      </c>
      <c r="H249" s="128" t="s">
        <v>79</v>
      </c>
      <c r="I249" s="128">
        <v>5</v>
      </c>
      <c r="J249" s="128" t="b">
        <v>0</v>
      </c>
      <c r="L249" s="104">
        <v>6637033</v>
      </c>
      <c r="M249" s="128">
        <v>9999</v>
      </c>
      <c r="P249" s="101">
        <v>5</v>
      </c>
      <c r="Q249" s="101">
        <v>7</v>
      </c>
    </row>
    <row r="250" spans="1:17">
      <c r="A250" s="128">
        <v>100202</v>
      </c>
      <c r="B250" s="129" t="s">
        <v>338</v>
      </c>
      <c r="C250" s="128" t="s">
        <v>137</v>
      </c>
      <c r="D250" s="128">
        <v>2006</v>
      </c>
      <c r="E250" s="128" t="s">
        <v>108</v>
      </c>
      <c r="F250" s="128" t="b">
        <v>1</v>
      </c>
      <c r="H250" s="128" t="s">
        <v>79</v>
      </c>
      <c r="I250" s="128">
        <v>5</v>
      </c>
      <c r="J250" s="128" t="b">
        <v>0</v>
      </c>
      <c r="L250" s="104">
        <v>6637034</v>
      </c>
      <c r="M250" s="128">
        <v>9999</v>
      </c>
      <c r="P250" s="101">
        <v>5</v>
      </c>
      <c r="Q250" s="101">
        <v>7</v>
      </c>
    </row>
    <row r="251" spans="1:17">
      <c r="A251" s="128">
        <v>100203</v>
      </c>
      <c r="B251" s="129" t="s">
        <v>339</v>
      </c>
      <c r="C251" s="128" t="s">
        <v>137</v>
      </c>
      <c r="D251" s="128">
        <v>2006</v>
      </c>
      <c r="E251" s="128" t="s">
        <v>108</v>
      </c>
      <c r="F251" s="128" t="b">
        <v>1</v>
      </c>
      <c r="H251" s="128" t="s">
        <v>79</v>
      </c>
      <c r="I251" s="128">
        <v>5</v>
      </c>
      <c r="J251" s="128" t="b">
        <v>0</v>
      </c>
      <c r="L251" s="104">
        <v>6637035</v>
      </c>
      <c r="M251" s="128">
        <v>9999</v>
      </c>
      <c r="P251" s="101">
        <v>5</v>
      </c>
      <c r="Q251" s="101">
        <v>7</v>
      </c>
    </row>
    <row r="252" spans="1:17">
      <c r="A252" s="128">
        <v>100204</v>
      </c>
      <c r="B252" s="129" t="s">
        <v>340</v>
      </c>
      <c r="C252" s="128" t="s">
        <v>137</v>
      </c>
      <c r="D252" s="128">
        <v>2006</v>
      </c>
      <c r="E252" s="128" t="s">
        <v>108</v>
      </c>
      <c r="F252" s="128" t="b">
        <v>1</v>
      </c>
      <c r="H252" s="128" t="s">
        <v>79</v>
      </c>
      <c r="I252" s="128">
        <v>5</v>
      </c>
      <c r="J252" s="128" t="b">
        <v>0</v>
      </c>
      <c r="L252" s="104">
        <v>6637033</v>
      </c>
      <c r="M252" s="128">
        <v>9999</v>
      </c>
      <c r="P252" s="101">
        <v>5</v>
      </c>
      <c r="Q252" s="101">
        <v>7</v>
      </c>
    </row>
    <row r="253" spans="1:17">
      <c r="A253" s="128">
        <v>100205</v>
      </c>
      <c r="B253" s="129" t="s">
        <v>341</v>
      </c>
      <c r="C253" s="128" t="s">
        <v>137</v>
      </c>
      <c r="D253" s="128">
        <v>2006</v>
      </c>
      <c r="E253" s="128" t="s">
        <v>108</v>
      </c>
      <c r="F253" s="128" t="b">
        <v>1</v>
      </c>
      <c r="H253" s="128" t="s">
        <v>79</v>
      </c>
      <c r="I253" s="128">
        <v>5</v>
      </c>
      <c r="J253" s="128" t="b">
        <v>0</v>
      </c>
      <c r="L253" s="104">
        <v>6637034</v>
      </c>
      <c r="M253" s="128">
        <v>9999</v>
      </c>
      <c r="P253" s="101">
        <v>5</v>
      </c>
      <c r="Q253" s="101">
        <v>7</v>
      </c>
    </row>
    <row r="254" spans="1:17">
      <c r="A254" s="128">
        <v>100206</v>
      </c>
      <c r="B254" s="129" t="s">
        <v>342</v>
      </c>
      <c r="C254" s="128" t="s">
        <v>137</v>
      </c>
      <c r="D254" s="128">
        <v>2006</v>
      </c>
      <c r="E254" s="128" t="s">
        <v>108</v>
      </c>
      <c r="F254" s="128" t="b">
        <v>1</v>
      </c>
      <c r="H254" s="128" t="s">
        <v>79</v>
      </c>
      <c r="I254" s="128">
        <v>5</v>
      </c>
      <c r="J254" s="128" t="b">
        <v>0</v>
      </c>
      <c r="L254" s="104">
        <v>6637035</v>
      </c>
      <c r="M254" s="128">
        <v>9999</v>
      </c>
      <c r="P254" s="101">
        <v>5</v>
      </c>
      <c r="Q254" s="101">
        <v>7</v>
      </c>
    </row>
    <row r="255" spans="1:17">
      <c r="A255" s="128">
        <v>100207</v>
      </c>
      <c r="B255" s="129" t="s">
        <v>343</v>
      </c>
      <c r="C255" s="128" t="s">
        <v>137</v>
      </c>
      <c r="D255" s="128">
        <v>2006</v>
      </c>
      <c r="E255" s="128" t="s">
        <v>108</v>
      </c>
      <c r="F255" s="128" t="b">
        <v>1</v>
      </c>
      <c r="H255" s="128" t="s">
        <v>79</v>
      </c>
      <c r="I255" s="128">
        <v>5</v>
      </c>
      <c r="J255" s="128" t="b">
        <v>0</v>
      </c>
      <c r="L255" s="104">
        <v>6637033</v>
      </c>
      <c r="M255" s="128">
        <v>9999</v>
      </c>
      <c r="P255" s="101">
        <v>5</v>
      </c>
      <c r="Q255" s="101">
        <v>7</v>
      </c>
    </row>
    <row r="256" spans="1:17">
      <c r="A256" s="128">
        <v>100208</v>
      </c>
      <c r="B256" s="129" t="s">
        <v>344</v>
      </c>
      <c r="C256" s="128" t="s">
        <v>137</v>
      </c>
      <c r="D256" s="128">
        <v>2006</v>
      </c>
      <c r="E256" s="128" t="s">
        <v>108</v>
      </c>
      <c r="F256" s="128" t="b">
        <v>1</v>
      </c>
      <c r="H256" s="128" t="s">
        <v>79</v>
      </c>
      <c r="I256" s="128">
        <v>5</v>
      </c>
      <c r="J256" s="128" t="b">
        <v>0</v>
      </c>
      <c r="L256" s="104">
        <v>6637034</v>
      </c>
      <c r="M256" s="128">
        <v>9999</v>
      </c>
      <c r="P256" s="101">
        <v>5</v>
      </c>
      <c r="Q256" s="101">
        <v>7</v>
      </c>
    </row>
    <row r="257" spans="1:17">
      <c r="A257" s="128">
        <v>100209</v>
      </c>
      <c r="B257" s="129" t="s">
        <v>345</v>
      </c>
      <c r="C257" s="128" t="s">
        <v>137</v>
      </c>
      <c r="D257" s="128">
        <v>2006</v>
      </c>
      <c r="E257" s="128" t="s">
        <v>108</v>
      </c>
      <c r="F257" s="128" t="b">
        <v>1</v>
      </c>
      <c r="H257" s="128" t="s">
        <v>79</v>
      </c>
      <c r="I257" s="128">
        <v>5</v>
      </c>
      <c r="J257" s="128" t="b">
        <v>0</v>
      </c>
      <c r="L257" s="104">
        <v>6637035</v>
      </c>
      <c r="M257" s="128">
        <v>9999</v>
      </c>
      <c r="P257" s="101">
        <v>5</v>
      </c>
      <c r="Q257" s="101">
        <v>7</v>
      </c>
    </row>
    <row r="258" spans="1:17">
      <c r="A258" s="128">
        <v>100210</v>
      </c>
      <c r="B258" s="129" t="s">
        <v>346</v>
      </c>
      <c r="C258" s="128" t="s">
        <v>137</v>
      </c>
      <c r="D258" s="128">
        <v>2006</v>
      </c>
      <c r="E258" s="128" t="s">
        <v>108</v>
      </c>
      <c r="F258" s="128" t="b">
        <v>1</v>
      </c>
      <c r="H258" s="128" t="s">
        <v>79</v>
      </c>
      <c r="I258" s="128">
        <v>5</v>
      </c>
      <c r="J258" s="128" t="b">
        <v>0</v>
      </c>
      <c r="L258" s="104">
        <v>6637033</v>
      </c>
      <c r="M258" s="128">
        <v>9999</v>
      </c>
      <c r="P258" s="101">
        <v>5</v>
      </c>
      <c r="Q258" s="101">
        <v>7</v>
      </c>
    </row>
    <row r="259" spans="1:17">
      <c r="A259" s="128">
        <v>100211</v>
      </c>
      <c r="B259" s="129" t="s">
        <v>347</v>
      </c>
      <c r="C259" s="128" t="s">
        <v>137</v>
      </c>
      <c r="D259" s="128">
        <v>2006</v>
      </c>
      <c r="E259" s="128" t="s">
        <v>108</v>
      </c>
      <c r="F259" s="128" t="b">
        <v>1</v>
      </c>
      <c r="H259" s="128" t="s">
        <v>79</v>
      </c>
      <c r="I259" s="128">
        <v>5</v>
      </c>
      <c r="J259" s="128" t="b">
        <v>0</v>
      </c>
      <c r="L259" s="104">
        <v>6637034</v>
      </c>
      <c r="M259" s="128">
        <v>9999</v>
      </c>
      <c r="P259" s="101">
        <v>5</v>
      </c>
      <c r="Q259" s="101">
        <v>7</v>
      </c>
    </row>
    <row r="260" spans="1:17">
      <c r="A260" s="128">
        <v>100212</v>
      </c>
      <c r="B260" s="129" t="s">
        <v>348</v>
      </c>
      <c r="C260" s="128" t="s">
        <v>137</v>
      </c>
      <c r="D260" s="128">
        <v>2006</v>
      </c>
      <c r="E260" s="128" t="s">
        <v>108</v>
      </c>
      <c r="F260" s="128" t="b">
        <v>1</v>
      </c>
      <c r="H260" s="128" t="s">
        <v>79</v>
      </c>
      <c r="I260" s="128">
        <v>5</v>
      </c>
      <c r="J260" s="128" t="b">
        <v>0</v>
      </c>
      <c r="L260" s="104">
        <v>6637035</v>
      </c>
      <c r="M260" s="128">
        <v>9999</v>
      </c>
      <c r="P260" s="101">
        <v>5</v>
      </c>
      <c r="Q260" s="101">
        <v>7</v>
      </c>
    </row>
    <row r="261" spans="1:17">
      <c r="A261" s="128">
        <v>100213</v>
      </c>
      <c r="B261" s="129" t="s">
        <v>349</v>
      </c>
      <c r="C261" s="128" t="s">
        <v>137</v>
      </c>
      <c r="D261" s="128">
        <v>2006</v>
      </c>
      <c r="E261" s="128" t="s">
        <v>108</v>
      </c>
      <c r="F261" s="128" t="b">
        <v>1</v>
      </c>
      <c r="H261" s="128" t="s">
        <v>79</v>
      </c>
      <c r="I261" s="128">
        <v>5</v>
      </c>
      <c r="J261" s="128" t="b">
        <v>0</v>
      </c>
      <c r="L261" s="104">
        <v>6637033</v>
      </c>
      <c r="M261" s="128">
        <v>9999</v>
      </c>
      <c r="P261" s="101">
        <v>5</v>
      </c>
      <c r="Q261" s="101">
        <v>7</v>
      </c>
    </row>
    <row r="262" spans="1:17">
      <c r="A262" s="128">
        <v>100214</v>
      </c>
      <c r="B262" s="129" t="s">
        <v>350</v>
      </c>
      <c r="C262" s="128" t="s">
        <v>137</v>
      </c>
      <c r="D262" s="128">
        <v>2006</v>
      </c>
      <c r="E262" s="128" t="s">
        <v>108</v>
      </c>
      <c r="F262" s="128" t="b">
        <v>1</v>
      </c>
      <c r="H262" s="128" t="s">
        <v>79</v>
      </c>
      <c r="I262" s="128">
        <v>5</v>
      </c>
      <c r="J262" s="128" t="b">
        <v>0</v>
      </c>
      <c r="L262" s="104">
        <v>6637034</v>
      </c>
      <c r="M262" s="128">
        <v>9999</v>
      </c>
      <c r="P262" s="101">
        <v>5</v>
      </c>
      <c r="Q262" s="101">
        <v>7</v>
      </c>
    </row>
    <row r="263" spans="1:17">
      <c r="A263" s="128">
        <v>100215</v>
      </c>
      <c r="B263" s="129" t="s">
        <v>351</v>
      </c>
      <c r="C263" s="128" t="s">
        <v>137</v>
      </c>
      <c r="D263" s="128">
        <v>2006</v>
      </c>
      <c r="E263" s="128" t="s">
        <v>108</v>
      </c>
      <c r="F263" s="128" t="b">
        <v>1</v>
      </c>
      <c r="H263" s="128" t="s">
        <v>79</v>
      </c>
      <c r="I263" s="128">
        <v>5</v>
      </c>
      <c r="J263" s="128" t="b">
        <v>0</v>
      </c>
      <c r="L263" s="104">
        <v>6637035</v>
      </c>
      <c r="M263" s="128">
        <v>9999</v>
      </c>
      <c r="P263" s="101">
        <v>5</v>
      </c>
      <c r="Q263" s="101">
        <v>7</v>
      </c>
    </row>
    <row r="264" spans="1:17">
      <c r="A264" s="128">
        <v>100216</v>
      </c>
      <c r="B264" s="129" t="s">
        <v>352</v>
      </c>
      <c r="C264" s="128" t="s">
        <v>137</v>
      </c>
      <c r="D264" s="128">
        <v>2006</v>
      </c>
      <c r="E264" s="128" t="s">
        <v>108</v>
      </c>
      <c r="F264" s="128" t="b">
        <v>1</v>
      </c>
      <c r="H264" s="128" t="s">
        <v>79</v>
      </c>
      <c r="I264" s="128">
        <v>5</v>
      </c>
      <c r="J264" s="128" t="b">
        <v>0</v>
      </c>
      <c r="L264" s="104">
        <v>6637033</v>
      </c>
      <c r="M264" s="128">
        <v>9999</v>
      </c>
      <c r="P264" s="101">
        <v>5</v>
      </c>
      <c r="Q264" s="101">
        <v>7</v>
      </c>
    </row>
    <row r="265" spans="1:17">
      <c r="A265" s="128">
        <v>100217</v>
      </c>
      <c r="B265" s="129" t="s">
        <v>353</v>
      </c>
      <c r="C265" s="128" t="s">
        <v>137</v>
      </c>
      <c r="D265" s="128">
        <v>2006</v>
      </c>
      <c r="E265" s="128" t="s">
        <v>108</v>
      </c>
      <c r="F265" s="128" t="b">
        <v>1</v>
      </c>
      <c r="H265" s="128" t="s">
        <v>79</v>
      </c>
      <c r="I265" s="128">
        <v>5</v>
      </c>
      <c r="J265" s="128" t="b">
        <v>0</v>
      </c>
      <c r="L265" s="104">
        <v>6637034</v>
      </c>
      <c r="M265" s="128">
        <v>9999</v>
      </c>
      <c r="P265" s="101">
        <v>5</v>
      </c>
      <c r="Q265" s="101">
        <v>7</v>
      </c>
    </row>
    <row r="266" spans="1:17">
      <c r="A266" s="128">
        <v>100218</v>
      </c>
      <c r="B266" s="129" t="s">
        <v>354</v>
      </c>
      <c r="C266" s="128" t="s">
        <v>137</v>
      </c>
      <c r="D266" s="128">
        <v>2006</v>
      </c>
      <c r="E266" s="128" t="s">
        <v>108</v>
      </c>
      <c r="F266" s="128" t="b">
        <v>1</v>
      </c>
      <c r="H266" s="128" t="s">
        <v>79</v>
      </c>
      <c r="I266" s="128">
        <v>5</v>
      </c>
      <c r="J266" s="128" t="b">
        <v>0</v>
      </c>
      <c r="L266" s="104">
        <v>6637035</v>
      </c>
      <c r="M266" s="128">
        <v>9999</v>
      </c>
      <c r="P266" s="101">
        <v>5</v>
      </c>
      <c r="Q266" s="101">
        <v>7</v>
      </c>
    </row>
    <row r="267" spans="1:17">
      <c r="A267" s="128">
        <v>100219</v>
      </c>
      <c r="B267" s="129" t="s">
        <v>355</v>
      </c>
      <c r="C267" s="128" t="s">
        <v>137</v>
      </c>
      <c r="D267" s="128">
        <v>2006</v>
      </c>
      <c r="E267" s="128" t="s">
        <v>108</v>
      </c>
      <c r="F267" s="128" t="b">
        <v>1</v>
      </c>
      <c r="H267" s="128" t="s">
        <v>79</v>
      </c>
      <c r="I267" s="128">
        <v>5</v>
      </c>
      <c r="J267" s="128" t="b">
        <v>0</v>
      </c>
      <c r="L267" s="104">
        <v>6637033</v>
      </c>
      <c r="M267" s="128">
        <v>9999</v>
      </c>
      <c r="P267" s="101">
        <v>5</v>
      </c>
      <c r="Q267" s="101">
        <v>7</v>
      </c>
    </row>
    <row r="268" spans="1:17">
      <c r="A268" s="128">
        <v>100220</v>
      </c>
      <c r="B268" s="129" t="s">
        <v>356</v>
      </c>
      <c r="C268" s="128" t="s">
        <v>137</v>
      </c>
      <c r="D268" s="128">
        <v>2006</v>
      </c>
      <c r="E268" s="128" t="s">
        <v>108</v>
      </c>
      <c r="F268" s="128" t="b">
        <v>1</v>
      </c>
      <c r="H268" s="128" t="s">
        <v>79</v>
      </c>
      <c r="I268" s="128">
        <v>5</v>
      </c>
      <c r="J268" s="128" t="b">
        <v>0</v>
      </c>
      <c r="L268" s="104">
        <v>6637034</v>
      </c>
      <c r="M268" s="128">
        <v>9999</v>
      </c>
      <c r="P268" s="101">
        <v>5</v>
      </c>
      <c r="Q268" s="101">
        <v>7</v>
      </c>
    </row>
    <row r="269" spans="1:17">
      <c r="A269" s="128">
        <v>100221</v>
      </c>
      <c r="B269" s="129" t="s">
        <v>357</v>
      </c>
      <c r="C269" s="128" t="s">
        <v>137</v>
      </c>
      <c r="D269" s="128">
        <v>2006</v>
      </c>
      <c r="E269" s="128" t="s">
        <v>108</v>
      </c>
      <c r="F269" s="128" t="b">
        <v>1</v>
      </c>
      <c r="H269" s="128" t="s">
        <v>79</v>
      </c>
      <c r="I269" s="128">
        <v>5</v>
      </c>
      <c r="J269" s="128" t="b">
        <v>0</v>
      </c>
      <c r="L269" s="104">
        <v>6637035</v>
      </c>
      <c r="M269" s="128">
        <v>9999</v>
      </c>
      <c r="P269" s="101">
        <v>5</v>
      </c>
      <c r="Q269" s="101">
        <v>7</v>
      </c>
    </row>
    <row r="270" spans="1:17">
      <c r="A270" s="128">
        <v>100222</v>
      </c>
      <c r="B270" s="129" t="s">
        <v>358</v>
      </c>
      <c r="C270" s="128" t="s">
        <v>137</v>
      </c>
      <c r="D270" s="128">
        <v>2006</v>
      </c>
      <c r="E270" s="128" t="s">
        <v>108</v>
      </c>
      <c r="F270" s="128" t="b">
        <v>1</v>
      </c>
      <c r="H270" s="128" t="s">
        <v>79</v>
      </c>
      <c r="I270" s="128">
        <v>5</v>
      </c>
      <c r="J270" s="128" t="b">
        <v>0</v>
      </c>
      <c r="L270" s="104">
        <v>6637033</v>
      </c>
      <c r="M270" s="128">
        <v>9999</v>
      </c>
      <c r="P270" s="101">
        <v>5</v>
      </c>
      <c r="Q270" s="101">
        <v>7</v>
      </c>
    </row>
    <row r="271" spans="1:17">
      <c r="A271" s="128">
        <v>100223</v>
      </c>
      <c r="B271" s="129" t="s">
        <v>359</v>
      </c>
      <c r="C271" s="128" t="s">
        <v>137</v>
      </c>
      <c r="D271" s="128">
        <v>2006</v>
      </c>
      <c r="E271" s="128" t="s">
        <v>108</v>
      </c>
      <c r="F271" s="128" t="b">
        <v>1</v>
      </c>
      <c r="H271" s="128" t="s">
        <v>79</v>
      </c>
      <c r="I271" s="128">
        <v>5</v>
      </c>
      <c r="J271" s="128" t="b">
        <v>0</v>
      </c>
      <c r="L271" s="104">
        <v>6637034</v>
      </c>
      <c r="M271" s="128">
        <v>9999</v>
      </c>
      <c r="P271" s="101">
        <v>5</v>
      </c>
      <c r="Q271" s="101">
        <v>7</v>
      </c>
    </row>
    <row r="272" spans="1:17">
      <c r="A272" s="128">
        <v>100224</v>
      </c>
      <c r="B272" s="129" t="s">
        <v>360</v>
      </c>
      <c r="C272" s="128" t="s">
        <v>137</v>
      </c>
      <c r="D272" s="128">
        <v>2006</v>
      </c>
      <c r="E272" s="128" t="s">
        <v>108</v>
      </c>
      <c r="F272" s="128" t="b">
        <v>1</v>
      </c>
      <c r="H272" s="128" t="s">
        <v>79</v>
      </c>
      <c r="I272" s="128">
        <v>5</v>
      </c>
      <c r="J272" s="128" t="b">
        <v>0</v>
      </c>
      <c r="L272" s="104">
        <v>6637035</v>
      </c>
      <c r="M272" s="128">
        <v>9999</v>
      </c>
      <c r="P272" s="101">
        <v>5</v>
      </c>
      <c r="Q272" s="101">
        <v>7</v>
      </c>
    </row>
    <row r="273" spans="1:17">
      <c r="A273" s="128">
        <v>100225</v>
      </c>
      <c r="B273" s="129" t="s">
        <v>361</v>
      </c>
      <c r="C273" s="128" t="s">
        <v>137</v>
      </c>
      <c r="D273" s="128">
        <v>2006</v>
      </c>
      <c r="E273" s="128" t="s">
        <v>108</v>
      </c>
      <c r="F273" s="128" t="b">
        <v>1</v>
      </c>
      <c r="H273" s="128" t="s">
        <v>79</v>
      </c>
      <c r="I273" s="128">
        <v>5</v>
      </c>
      <c r="J273" s="128" t="b">
        <v>0</v>
      </c>
      <c r="L273" s="104">
        <v>6637033</v>
      </c>
      <c r="M273" s="128">
        <v>9999</v>
      </c>
      <c r="P273" s="101">
        <v>5</v>
      </c>
      <c r="Q273" s="101">
        <v>7</v>
      </c>
    </row>
    <row r="274" spans="1:17">
      <c r="A274" s="128">
        <v>100226</v>
      </c>
      <c r="B274" s="129" t="s">
        <v>362</v>
      </c>
      <c r="C274" s="128" t="s">
        <v>137</v>
      </c>
      <c r="D274" s="128">
        <v>2006</v>
      </c>
      <c r="E274" s="128" t="s">
        <v>108</v>
      </c>
      <c r="F274" s="128" t="b">
        <v>1</v>
      </c>
      <c r="H274" s="128" t="s">
        <v>79</v>
      </c>
      <c r="I274" s="128">
        <v>5</v>
      </c>
      <c r="J274" s="128" t="b">
        <v>0</v>
      </c>
      <c r="L274" s="104">
        <v>6637034</v>
      </c>
      <c r="M274" s="128">
        <v>9999</v>
      </c>
      <c r="P274" s="101">
        <v>5</v>
      </c>
      <c r="Q274" s="101">
        <v>7</v>
      </c>
    </row>
    <row r="275" spans="1:17">
      <c r="A275" s="128">
        <v>100227</v>
      </c>
      <c r="B275" s="129" t="s">
        <v>363</v>
      </c>
      <c r="C275" s="128" t="s">
        <v>137</v>
      </c>
      <c r="D275" s="128">
        <v>2006</v>
      </c>
      <c r="E275" s="128" t="s">
        <v>108</v>
      </c>
      <c r="F275" s="128" t="b">
        <v>1</v>
      </c>
      <c r="H275" s="128" t="s">
        <v>79</v>
      </c>
      <c r="I275" s="128">
        <v>5</v>
      </c>
      <c r="J275" s="128" t="b">
        <v>0</v>
      </c>
      <c r="L275" s="104">
        <v>6637035</v>
      </c>
      <c r="M275" s="128">
        <v>9999</v>
      </c>
      <c r="P275" s="101">
        <v>5</v>
      </c>
      <c r="Q275" s="101">
        <v>7</v>
      </c>
    </row>
    <row r="276" spans="1:17">
      <c r="A276" s="128">
        <v>100228</v>
      </c>
      <c r="B276" s="129" t="s">
        <v>730</v>
      </c>
      <c r="C276" s="128" t="s">
        <v>137</v>
      </c>
      <c r="D276" s="128">
        <v>2006</v>
      </c>
      <c r="E276" s="128" t="s">
        <v>108</v>
      </c>
      <c r="F276" s="128" t="b">
        <v>1</v>
      </c>
      <c r="H276" s="128" t="s">
        <v>79</v>
      </c>
      <c r="I276" s="128">
        <v>5</v>
      </c>
      <c r="J276" s="128" t="b">
        <v>0</v>
      </c>
      <c r="L276" s="104">
        <v>6637036</v>
      </c>
      <c r="M276" s="128">
        <v>9999</v>
      </c>
      <c r="P276" s="101">
        <v>5</v>
      </c>
      <c r="Q276" s="101">
        <v>7</v>
      </c>
    </row>
    <row r="277" spans="1:17">
      <c r="A277" s="128">
        <v>100229</v>
      </c>
      <c r="B277" s="129" t="s">
        <v>731</v>
      </c>
      <c r="C277" s="128" t="s">
        <v>137</v>
      </c>
      <c r="D277" s="128">
        <v>2006</v>
      </c>
      <c r="E277" s="128" t="s">
        <v>108</v>
      </c>
      <c r="F277" s="128" t="b">
        <v>1</v>
      </c>
      <c r="H277" s="128" t="s">
        <v>79</v>
      </c>
      <c r="I277" s="128">
        <v>5</v>
      </c>
      <c r="J277" s="128" t="b">
        <v>0</v>
      </c>
      <c r="L277" s="104">
        <v>6637033</v>
      </c>
      <c r="M277" s="128">
        <v>9999</v>
      </c>
      <c r="P277" s="101">
        <v>5</v>
      </c>
      <c r="Q277" s="101">
        <v>7</v>
      </c>
    </row>
    <row r="278" spans="1:17">
      <c r="A278" s="128">
        <v>100230</v>
      </c>
      <c r="B278" s="129" t="s">
        <v>732</v>
      </c>
      <c r="C278" s="128" t="s">
        <v>137</v>
      </c>
      <c r="D278" s="128">
        <v>2006</v>
      </c>
      <c r="E278" s="128" t="s">
        <v>108</v>
      </c>
      <c r="F278" s="128" t="b">
        <v>1</v>
      </c>
      <c r="H278" s="128" t="s">
        <v>79</v>
      </c>
      <c r="I278" s="128">
        <v>5</v>
      </c>
      <c r="J278" s="128" t="b">
        <v>0</v>
      </c>
      <c r="L278" s="104">
        <v>6637034</v>
      </c>
      <c r="M278" s="128">
        <v>9999</v>
      </c>
      <c r="P278" s="101">
        <v>5</v>
      </c>
      <c r="Q278" s="101">
        <v>7</v>
      </c>
    </row>
    <row r="279" spans="1:17">
      <c r="A279" s="128">
        <v>100231</v>
      </c>
      <c r="B279" s="129" t="s">
        <v>733</v>
      </c>
      <c r="C279" s="128" t="s">
        <v>137</v>
      </c>
      <c r="D279" s="128">
        <v>2006</v>
      </c>
      <c r="E279" s="128" t="s">
        <v>108</v>
      </c>
      <c r="F279" s="128" t="b">
        <v>1</v>
      </c>
      <c r="H279" s="128" t="s">
        <v>79</v>
      </c>
      <c r="I279" s="128">
        <v>5</v>
      </c>
      <c r="J279" s="128" t="b">
        <v>0</v>
      </c>
      <c r="L279" s="104">
        <v>6637035</v>
      </c>
      <c r="M279" s="128">
        <v>9999</v>
      </c>
      <c r="P279" s="101">
        <v>5</v>
      </c>
      <c r="Q279" s="101">
        <v>7</v>
      </c>
    </row>
    <row r="280" spans="1:17">
      <c r="A280" s="128">
        <v>100232</v>
      </c>
      <c r="B280" s="129" t="s">
        <v>734</v>
      </c>
      <c r="C280" s="128" t="s">
        <v>137</v>
      </c>
      <c r="D280" s="128">
        <v>2006</v>
      </c>
      <c r="E280" s="128" t="s">
        <v>108</v>
      </c>
      <c r="F280" s="128" t="b">
        <v>1</v>
      </c>
      <c r="H280" s="128" t="s">
        <v>79</v>
      </c>
      <c r="I280" s="128">
        <v>5</v>
      </c>
      <c r="J280" s="128" t="b">
        <v>0</v>
      </c>
      <c r="L280" s="104">
        <v>6637036</v>
      </c>
      <c r="M280" s="128">
        <v>9999</v>
      </c>
      <c r="P280" s="101">
        <v>5</v>
      </c>
      <c r="Q280" s="101">
        <v>7</v>
      </c>
    </row>
    <row r="281" spans="1:17">
      <c r="A281" s="128">
        <v>100233</v>
      </c>
      <c r="B281" s="129" t="s">
        <v>735</v>
      </c>
      <c r="C281" s="128" t="s">
        <v>137</v>
      </c>
      <c r="D281" s="128">
        <v>2006</v>
      </c>
      <c r="E281" s="128" t="s">
        <v>108</v>
      </c>
      <c r="F281" s="128" t="b">
        <v>1</v>
      </c>
      <c r="H281" s="128" t="s">
        <v>79</v>
      </c>
      <c r="I281" s="128">
        <v>5</v>
      </c>
      <c r="J281" s="128" t="b">
        <v>0</v>
      </c>
      <c r="L281" s="104">
        <v>6637033</v>
      </c>
      <c r="M281" s="128">
        <v>9999</v>
      </c>
      <c r="P281" s="101">
        <v>5</v>
      </c>
      <c r="Q281" s="101">
        <v>7</v>
      </c>
    </row>
    <row r="282" spans="1:17">
      <c r="A282" s="128">
        <v>100234</v>
      </c>
      <c r="B282" s="129" t="s">
        <v>736</v>
      </c>
      <c r="C282" s="128" t="s">
        <v>137</v>
      </c>
      <c r="D282" s="128">
        <v>2006</v>
      </c>
      <c r="E282" s="128" t="s">
        <v>108</v>
      </c>
      <c r="F282" s="128" t="b">
        <v>1</v>
      </c>
      <c r="H282" s="128" t="s">
        <v>79</v>
      </c>
      <c r="I282" s="128">
        <v>5</v>
      </c>
      <c r="J282" s="128" t="b">
        <v>0</v>
      </c>
      <c r="L282" s="104">
        <v>6637034</v>
      </c>
      <c r="M282" s="128">
        <v>9999</v>
      </c>
      <c r="P282" s="101">
        <v>5</v>
      </c>
      <c r="Q282" s="101">
        <v>7</v>
      </c>
    </row>
    <row r="283" spans="1:17">
      <c r="A283" s="128">
        <v>100235</v>
      </c>
      <c r="B283" s="129" t="s">
        <v>737</v>
      </c>
      <c r="C283" s="128" t="s">
        <v>137</v>
      </c>
      <c r="D283" s="128">
        <v>2006</v>
      </c>
      <c r="E283" s="128" t="s">
        <v>108</v>
      </c>
      <c r="F283" s="128" t="b">
        <v>1</v>
      </c>
      <c r="H283" s="128" t="s">
        <v>79</v>
      </c>
      <c r="I283" s="128">
        <v>5</v>
      </c>
      <c r="J283" s="128" t="b">
        <v>0</v>
      </c>
      <c r="L283" s="104">
        <v>6637035</v>
      </c>
      <c r="M283" s="128">
        <v>9999</v>
      </c>
      <c r="P283" s="101">
        <v>5</v>
      </c>
      <c r="Q283" s="101">
        <v>7</v>
      </c>
    </row>
    <row r="284" spans="1:17">
      <c r="A284" s="128">
        <v>100236</v>
      </c>
      <c r="B284" s="129" t="s">
        <v>738</v>
      </c>
      <c r="C284" s="128" t="s">
        <v>137</v>
      </c>
      <c r="D284" s="128">
        <v>2006</v>
      </c>
      <c r="E284" s="128" t="s">
        <v>108</v>
      </c>
      <c r="F284" s="128" t="b">
        <v>1</v>
      </c>
      <c r="H284" s="128" t="s">
        <v>79</v>
      </c>
      <c r="I284" s="128">
        <v>5</v>
      </c>
      <c r="J284" s="128" t="b">
        <v>0</v>
      </c>
      <c r="L284" s="104">
        <v>6637036</v>
      </c>
      <c r="M284" s="128">
        <v>9999</v>
      </c>
      <c r="P284" s="101">
        <v>5</v>
      </c>
      <c r="Q284" s="101">
        <v>7</v>
      </c>
    </row>
    <row r="285" spans="1:17">
      <c r="A285" s="128">
        <v>100237</v>
      </c>
      <c r="B285" s="129" t="s">
        <v>739</v>
      </c>
      <c r="C285" s="128" t="s">
        <v>137</v>
      </c>
      <c r="D285" s="128">
        <v>2006</v>
      </c>
      <c r="E285" s="128" t="s">
        <v>108</v>
      </c>
      <c r="F285" s="128" t="b">
        <v>1</v>
      </c>
      <c r="H285" s="128" t="s">
        <v>79</v>
      </c>
      <c r="I285" s="128">
        <v>5</v>
      </c>
      <c r="J285" s="128" t="b">
        <v>0</v>
      </c>
      <c r="L285" s="104">
        <v>6637033</v>
      </c>
      <c r="M285" s="128">
        <v>9999</v>
      </c>
      <c r="P285" s="101">
        <v>5</v>
      </c>
      <c r="Q285" s="101">
        <v>7</v>
      </c>
    </row>
    <row r="286" spans="1:17">
      <c r="A286" s="128">
        <v>100238</v>
      </c>
      <c r="B286" s="129" t="s">
        <v>740</v>
      </c>
      <c r="C286" s="128" t="s">
        <v>137</v>
      </c>
      <c r="D286" s="128">
        <v>2006</v>
      </c>
      <c r="E286" s="128" t="s">
        <v>108</v>
      </c>
      <c r="F286" s="128" t="b">
        <v>1</v>
      </c>
      <c r="H286" s="128" t="s">
        <v>79</v>
      </c>
      <c r="I286" s="128">
        <v>5</v>
      </c>
      <c r="J286" s="128" t="b">
        <v>0</v>
      </c>
      <c r="L286" s="104">
        <v>6637034</v>
      </c>
      <c r="M286" s="128">
        <v>9999</v>
      </c>
      <c r="P286" s="101">
        <v>5</v>
      </c>
      <c r="Q286" s="101">
        <v>7</v>
      </c>
    </row>
    <row r="287" spans="1:17">
      <c r="A287" s="128">
        <v>100239</v>
      </c>
      <c r="B287" s="129" t="s">
        <v>741</v>
      </c>
      <c r="C287" s="128" t="s">
        <v>137</v>
      </c>
      <c r="D287" s="128">
        <v>2006</v>
      </c>
      <c r="E287" s="128" t="s">
        <v>108</v>
      </c>
      <c r="F287" s="128" t="b">
        <v>1</v>
      </c>
      <c r="H287" s="128" t="s">
        <v>79</v>
      </c>
      <c r="I287" s="128">
        <v>5</v>
      </c>
      <c r="J287" s="128" t="b">
        <v>0</v>
      </c>
      <c r="L287" s="104">
        <v>6637035</v>
      </c>
      <c r="M287" s="128">
        <v>9999</v>
      </c>
      <c r="P287" s="101">
        <v>5</v>
      </c>
      <c r="Q287" s="101">
        <v>7</v>
      </c>
    </row>
    <row r="288" spans="1:17">
      <c r="A288" s="128">
        <v>100240</v>
      </c>
      <c r="B288" s="129" t="s">
        <v>742</v>
      </c>
      <c r="C288" s="128" t="s">
        <v>137</v>
      </c>
      <c r="D288" s="128">
        <v>2006</v>
      </c>
      <c r="E288" s="128" t="s">
        <v>108</v>
      </c>
      <c r="F288" s="128" t="b">
        <v>1</v>
      </c>
      <c r="H288" s="128" t="s">
        <v>79</v>
      </c>
      <c r="I288" s="128">
        <v>5</v>
      </c>
      <c r="J288" s="128" t="b">
        <v>0</v>
      </c>
      <c r="L288" s="104">
        <v>6637036</v>
      </c>
      <c r="M288" s="128">
        <v>9999</v>
      </c>
      <c r="P288" s="101">
        <v>5</v>
      </c>
      <c r="Q288" s="101">
        <v>7</v>
      </c>
    </row>
    <row r="289" spans="1:17">
      <c r="A289" s="128">
        <v>100241</v>
      </c>
      <c r="B289" s="129" t="s">
        <v>743</v>
      </c>
      <c r="C289" s="128" t="s">
        <v>137</v>
      </c>
      <c r="D289" s="128">
        <v>2006</v>
      </c>
      <c r="E289" s="128" t="s">
        <v>108</v>
      </c>
      <c r="F289" s="128" t="b">
        <v>1</v>
      </c>
      <c r="H289" s="128" t="s">
        <v>79</v>
      </c>
      <c r="I289" s="128">
        <v>5</v>
      </c>
      <c r="J289" s="128" t="b">
        <v>0</v>
      </c>
      <c r="L289" s="104">
        <v>6637033</v>
      </c>
      <c r="M289" s="128">
        <v>9999</v>
      </c>
      <c r="P289" s="101">
        <v>5</v>
      </c>
      <c r="Q289" s="101">
        <v>7</v>
      </c>
    </row>
    <row r="290" spans="1:17">
      <c r="A290" s="128">
        <v>100242</v>
      </c>
      <c r="B290" s="129" t="s">
        <v>744</v>
      </c>
      <c r="C290" s="128" t="s">
        <v>137</v>
      </c>
      <c r="D290" s="128">
        <v>2006</v>
      </c>
      <c r="E290" s="128" t="s">
        <v>108</v>
      </c>
      <c r="F290" s="128" t="b">
        <v>1</v>
      </c>
      <c r="H290" s="128" t="s">
        <v>79</v>
      </c>
      <c r="I290" s="128">
        <v>5</v>
      </c>
      <c r="J290" s="128" t="b">
        <v>0</v>
      </c>
      <c r="L290" s="104">
        <v>6637034</v>
      </c>
      <c r="M290" s="128">
        <v>9999</v>
      </c>
      <c r="P290" s="101">
        <v>5</v>
      </c>
      <c r="Q290" s="101">
        <v>7</v>
      </c>
    </row>
    <row r="291" spans="1:17">
      <c r="A291" s="128">
        <v>100243</v>
      </c>
      <c r="B291" s="129" t="s">
        <v>745</v>
      </c>
      <c r="C291" s="128" t="s">
        <v>137</v>
      </c>
      <c r="D291" s="128">
        <v>2006</v>
      </c>
      <c r="E291" s="128" t="s">
        <v>108</v>
      </c>
      <c r="F291" s="128" t="b">
        <v>1</v>
      </c>
      <c r="H291" s="128" t="s">
        <v>79</v>
      </c>
      <c r="I291" s="128">
        <v>5</v>
      </c>
      <c r="J291" s="128" t="b">
        <v>0</v>
      </c>
      <c r="L291" s="104">
        <v>6637035</v>
      </c>
      <c r="M291" s="128">
        <v>9999</v>
      </c>
      <c r="P291" s="101">
        <v>5</v>
      </c>
      <c r="Q291" s="101">
        <v>7</v>
      </c>
    </row>
    <row r="292" spans="1:17">
      <c r="A292" s="128">
        <v>100244</v>
      </c>
      <c r="B292" s="129" t="s">
        <v>746</v>
      </c>
      <c r="C292" s="128" t="s">
        <v>137</v>
      </c>
      <c r="D292" s="128">
        <v>2006</v>
      </c>
      <c r="E292" s="128" t="s">
        <v>108</v>
      </c>
      <c r="F292" s="128" t="b">
        <v>1</v>
      </c>
      <c r="H292" s="128" t="s">
        <v>79</v>
      </c>
      <c r="I292" s="128">
        <v>5</v>
      </c>
      <c r="J292" s="128" t="b">
        <v>0</v>
      </c>
      <c r="L292" s="104">
        <v>6637036</v>
      </c>
      <c r="M292" s="128">
        <v>9999</v>
      </c>
      <c r="P292" s="101">
        <v>5</v>
      </c>
      <c r="Q292" s="101">
        <v>7</v>
      </c>
    </row>
    <row r="293" spans="1:17">
      <c r="A293" s="128">
        <v>100245</v>
      </c>
      <c r="B293" s="129" t="s">
        <v>747</v>
      </c>
      <c r="C293" s="128" t="s">
        <v>137</v>
      </c>
      <c r="D293" s="128">
        <v>2006</v>
      </c>
      <c r="E293" s="128" t="s">
        <v>108</v>
      </c>
      <c r="F293" s="128" t="b">
        <v>1</v>
      </c>
      <c r="H293" s="128" t="s">
        <v>79</v>
      </c>
      <c r="I293" s="128">
        <v>5</v>
      </c>
      <c r="J293" s="128" t="b">
        <v>0</v>
      </c>
      <c r="L293" s="104">
        <v>6637033</v>
      </c>
      <c r="M293" s="128">
        <v>9999</v>
      </c>
      <c r="P293" s="101">
        <v>5</v>
      </c>
      <c r="Q293" s="101">
        <v>7</v>
      </c>
    </row>
    <row r="294" spans="1:17">
      <c r="A294" s="128">
        <v>100246</v>
      </c>
      <c r="B294" s="129" t="s">
        <v>748</v>
      </c>
      <c r="C294" s="128" t="s">
        <v>137</v>
      </c>
      <c r="D294" s="128">
        <v>2006</v>
      </c>
      <c r="E294" s="128" t="s">
        <v>108</v>
      </c>
      <c r="F294" s="128" t="b">
        <v>1</v>
      </c>
      <c r="H294" s="128" t="s">
        <v>79</v>
      </c>
      <c r="I294" s="128">
        <v>5</v>
      </c>
      <c r="J294" s="128" t="b">
        <v>0</v>
      </c>
      <c r="L294" s="104">
        <v>6637034</v>
      </c>
      <c r="M294" s="128">
        <v>9999</v>
      </c>
      <c r="P294" s="101">
        <v>5</v>
      </c>
      <c r="Q294" s="101">
        <v>7</v>
      </c>
    </row>
    <row r="295" spans="1:17">
      <c r="A295" s="128">
        <v>100247</v>
      </c>
      <c r="B295" s="129" t="s">
        <v>749</v>
      </c>
      <c r="C295" s="128" t="s">
        <v>137</v>
      </c>
      <c r="D295" s="128">
        <v>2006</v>
      </c>
      <c r="E295" s="128" t="s">
        <v>108</v>
      </c>
      <c r="F295" s="128" t="b">
        <v>1</v>
      </c>
      <c r="H295" s="128" t="s">
        <v>79</v>
      </c>
      <c r="I295" s="128">
        <v>5</v>
      </c>
      <c r="J295" s="128" t="b">
        <v>0</v>
      </c>
      <c r="L295" s="104">
        <v>6637035</v>
      </c>
      <c r="M295" s="128">
        <v>9999</v>
      </c>
      <c r="P295" s="101">
        <v>5</v>
      </c>
      <c r="Q295" s="101">
        <v>7</v>
      </c>
    </row>
    <row r="296" spans="1:17">
      <c r="A296" s="128">
        <v>100248</v>
      </c>
      <c r="B296" s="129" t="s">
        <v>750</v>
      </c>
      <c r="C296" s="128" t="s">
        <v>137</v>
      </c>
      <c r="D296" s="128">
        <v>2006</v>
      </c>
      <c r="E296" s="128" t="s">
        <v>108</v>
      </c>
      <c r="F296" s="128" t="b">
        <v>1</v>
      </c>
      <c r="H296" s="128" t="s">
        <v>79</v>
      </c>
      <c r="I296" s="128">
        <v>5</v>
      </c>
      <c r="J296" s="128" t="b">
        <v>0</v>
      </c>
      <c r="L296" s="104">
        <v>6637036</v>
      </c>
      <c r="M296" s="128">
        <v>9999</v>
      </c>
      <c r="P296" s="101">
        <v>5</v>
      </c>
      <c r="Q296" s="101">
        <v>7</v>
      </c>
    </row>
    <row r="297" spans="1:17">
      <c r="A297" s="128">
        <v>100249</v>
      </c>
      <c r="B297" s="129" t="s">
        <v>751</v>
      </c>
      <c r="C297" s="128" t="s">
        <v>137</v>
      </c>
      <c r="D297" s="128">
        <v>2006</v>
      </c>
      <c r="E297" s="128" t="s">
        <v>108</v>
      </c>
      <c r="F297" s="128" t="b">
        <v>1</v>
      </c>
      <c r="H297" s="128" t="s">
        <v>79</v>
      </c>
      <c r="I297" s="128">
        <v>5</v>
      </c>
      <c r="J297" s="128" t="b">
        <v>0</v>
      </c>
      <c r="L297" s="104">
        <v>6637033</v>
      </c>
      <c r="M297" s="128">
        <v>9999</v>
      </c>
      <c r="P297" s="101">
        <v>5</v>
      </c>
      <c r="Q297" s="101">
        <v>7</v>
      </c>
    </row>
    <row r="298" spans="1:17">
      <c r="A298" s="128">
        <v>100250</v>
      </c>
      <c r="B298" s="129" t="s">
        <v>752</v>
      </c>
      <c r="C298" s="128" t="s">
        <v>137</v>
      </c>
      <c r="D298" s="128">
        <v>2006</v>
      </c>
      <c r="E298" s="128" t="s">
        <v>108</v>
      </c>
      <c r="F298" s="128" t="b">
        <v>1</v>
      </c>
      <c r="H298" s="128" t="s">
        <v>79</v>
      </c>
      <c r="I298" s="128">
        <v>5</v>
      </c>
      <c r="J298" s="128" t="b">
        <v>0</v>
      </c>
      <c r="L298" s="104">
        <v>6637034</v>
      </c>
      <c r="M298" s="128">
        <v>9999</v>
      </c>
      <c r="P298" s="101">
        <v>5</v>
      </c>
      <c r="Q298" s="101">
        <v>7</v>
      </c>
    </row>
    <row r="299" spans="1:17">
      <c r="A299" s="128">
        <v>100251</v>
      </c>
      <c r="B299" s="129" t="s">
        <v>753</v>
      </c>
      <c r="C299" s="128" t="s">
        <v>137</v>
      </c>
      <c r="D299" s="128">
        <v>2006</v>
      </c>
      <c r="E299" s="128" t="s">
        <v>108</v>
      </c>
      <c r="F299" s="128" t="b">
        <v>1</v>
      </c>
      <c r="H299" s="128" t="s">
        <v>79</v>
      </c>
      <c r="I299" s="128">
        <v>5</v>
      </c>
      <c r="J299" s="128" t="b">
        <v>0</v>
      </c>
      <c r="L299" s="104">
        <v>6637035</v>
      </c>
      <c r="M299" s="128">
        <v>9999</v>
      </c>
      <c r="P299" s="101">
        <v>5</v>
      </c>
      <c r="Q299" s="101">
        <v>7</v>
      </c>
    </row>
    <row r="300" spans="1:17">
      <c r="A300" s="128">
        <v>100252</v>
      </c>
      <c r="B300" s="129" t="s">
        <v>754</v>
      </c>
      <c r="C300" s="128" t="s">
        <v>137</v>
      </c>
      <c r="D300" s="128">
        <v>2006</v>
      </c>
      <c r="E300" s="128" t="s">
        <v>108</v>
      </c>
      <c r="F300" s="128" t="b">
        <v>1</v>
      </c>
      <c r="H300" s="128" t="s">
        <v>79</v>
      </c>
      <c r="I300" s="128">
        <v>5</v>
      </c>
      <c r="J300" s="128" t="b">
        <v>0</v>
      </c>
      <c r="L300" s="104">
        <v>6637036</v>
      </c>
      <c r="M300" s="128">
        <v>9999</v>
      </c>
      <c r="P300" s="101">
        <v>5</v>
      </c>
      <c r="Q300" s="101">
        <v>7</v>
      </c>
    </row>
    <row r="301" spans="1:17">
      <c r="A301" s="128">
        <v>100253</v>
      </c>
      <c r="B301" s="129" t="s">
        <v>755</v>
      </c>
      <c r="C301" s="128" t="s">
        <v>137</v>
      </c>
      <c r="D301" s="128">
        <v>2006</v>
      </c>
      <c r="E301" s="128" t="s">
        <v>108</v>
      </c>
      <c r="F301" s="128" t="b">
        <v>1</v>
      </c>
      <c r="H301" s="128" t="s">
        <v>79</v>
      </c>
      <c r="I301" s="128">
        <v>5</v>
      </c>
      <c r="J301" s="128" t="b">
        <v>0</v>
      </c>
      <c r="L301" s="104">
        <v>6637033</v>
      </c>
      <c r="M301" s="128">
        <v>9999</v>
      </c>
      <c r="P301" s="101">
        <v>5</v>
      </c>
      <c r="Q301" s="101">
        <v>7</v>
      </c>
    </row>
    <row r="302" spans="1:17">
      <c r="A302" s="128">
        <v>100254</v>
      </c>
      <c r="B302" s="129" t="s">
        <v>756</v>
      </c>
      <c r="C302" s="128" t="s">
        <v>137</v>
      </c>
      <c r="D302" s="128">
        <v>2006</v>
      </c>
      <c r="E302" s="128" t="s">
        <v>108</v>
      </c>
      <c r="F302" s="128" t="b">
        <v>1</v>
      </c>
      <c r="H302" s="128" t="s">
        <v>79</v>
      </c>
      <c r="I302" s="128">
        <v>5</v>
      </c>
      <c r="J302" s="128" t="b">
        <v>0</v>
      </c>
      <c r="L302" s="104">
        <v>6637034</v>
      </c>
      <c r="M302" s="128">
        <v>9999</v>
      </c>
      <c r="P302" s="101">
        <v>5</v>
      </c>
      <c r="Q302" s="101">
        <v>7</v>
      </c>
    </row>
    <row r="303" spans="1:17">
      <c r="A303" s="128">
        <v>100255</v>
      </c>
      <c r="B303" s="129" t="s">
        <v>757</v>
      </c>
      <c r="C303" s="128" t="s">
        <v>137</v>
      </c>
      <c r="D303" s="128">
        <v>2006</v>
      </c>
      <c r="E303" s="128" t="s">
        <v>108</v>
      </c>
      <c r="F303" s="128" t="b">
        <v>1</v>
      </c>
      <c r="H303" s="128" t="s">
        <v>79</v>
      </c>
      <c r="I303" s="128">
        <v>5</v>
      </c>
      <c r="J303" s="128" t="b">
        <v>0</v>
      </c>
      <c r="L303" s="104">
        <v>6637035</v>
      </c>
      <c r="M303" s="128">
        <v>9999</v>
      </c>
      <c r="P303" s="101">
        <v>5</v>
      </c>
      <c r="Q303" s="101">
        <v>7</v>
      </c>
    </row>
    <row r="304" spans="1:17">
      <c r="A304" s="128">
        <v>100256</v>
      </c>
      <c r="B304" s="129" t="s">
        <v>758</v>
      </c>
      <c r="C304" s="128" t="s">
        <v>137</v>
      </c>
      <c r="D304" s="128">
        <v>2006</v>
      </c>
      <c r="E304" s="128" t="s">
        <v>108</v>
      </c>
      <c r="F304" s="128" t="b">
        <v>1</v>
      </c>
      <c r="H304" s="128" t="s">
        <v>79</v>
      </c>
      <c r="I304" s="128">
        <v>5</v>
      </c>
      <c r="J304" s="128" t="b">
        <v>0</v>
      </c>
      <c r="L304" s="104">
        <v>6637036</v>
      </c>
      <c r="M304" s="128">
        <v>9999</v>
      </c>
      <c r="P304" s="101">
        <v>5</v>
      </c>
      <c r="Q304" s="101">
        <v>7</v>
      </c>
    </row>
    <row r="305" spans="1:17">
      <c r="A305" s="128">
        <v>100257</v>
      </c>
      <c r="B305" s="129" t="s">
        <v>759</v>
      </c>
      <c r="C305" s="128" t="s">
        <v>137</v>
      </c>
      <c r="D305" s="128">
        <v>2006</v>
      </c>
      <c r="E305" s="128" t="s">
        <v>108</v>
      </c>
      <c r="F305" s="128" t="b">
        <v>1</v>
      </c>
      <c r="H305" s="128" t="s">
        <v>79</v>
      </c>
      <c r="I305" s="128">
        <v>5</v>
      </c>
      <c r="J305" s="128" t="b">
        <v>0</v>
      </c>
      <c r="L305" s="104">
        <v>6637033</v>
      </c>
      <c r="M305" s="128">
        <v>9999</v>
      </c>
      <c r="P305" s="101">
        <v>5</v>
      </c>
      <c r="Q305" s="101">
        <v>7</v>
      </c>
    </row>
    <row r="306" spans="1:17">
      <c r="A306" s="128">
        <v>100258</v>
      </c>
      <c r="B306" s="129" t="s">
        <v>760</v>
      </c>
      <c r="C306" s="128" t="s">
        <v>137</v>
      </c>
      <c r="D306" s="128">
        <v>2006</v>
      </c>
      <c r="E306" s="128" t="s">
        <v>108</v>
      </c>
      <c r="F306" s="128" t="b">
        <v>1</v>
      </c>
      <c r="H306" s="128" t="s">
        <v>79</v>
      </c>
      <c r="I306" s="128">
        <v>5</v>
      </c>
      <c r="J306" s="128" t="b">
        <v>0</v>
      </c>
      <c r="L306" s="104">
        <v>6637034</v>
      </c>
      <c r="M306" s="128">
        <v>9999</v>
      </c>
      <c r="P306" s="101">
        <v>5</v>
      </c>
      <c r="Q306" s="101">
        <v>7</v>
      </c>
    </row>
    <row r="307" spans="1:17">
      <c r="A307" s="128">
        <v>100259</v>
      </c>
      <c r="B307" s="129" t="s">
        <v>761</v>
      </c>
      <c r="C307" s="128" t="s">
        <v>137</v>
      </c>
      <c r="D307" s="128">
        <v>2006</v>
      </c>
      <c r="E307" s="128" t="s">
        <v>108</v>
      </c>
      <c r="F307" s="128" t="b">
        <v>1</v>
      </c>
      <c r="H307" s="128" t="s">
        <v>79</v>
      </c>
      <c r="I307" s="128">
        <v>5</v>
      </c>
      <c r="J307" s="128" t="b">
        <v>0</v>
      </c>
      <c r="L307" s="104">
        <v>6637035</v>
      </c>
      <c r="M307" s="128">
        <v>9999</v>
      </c>
      <c r="P307" s="101">
        <v>5</v>
      </c>
      <c r="Q307" s="101">
        <v>7</v>
      </c>
    </row>
    <row r="308" spans="1:17">
      <c r="A308" s="128">
        <v>100260</v>
      </c>
      <c r="B308" s="129" t="s">
        <v>762</v>
      </c>
      <c r="C308" s="128" t="s">
        <v>137</v>
      </c>
      <c r="D308" s="128">
        <v>2006</v>
      </c>
      <c r="E308" s="128" t="s">
        <v>108</v>
      </c>
      <c r="F308" s="128" t="b">
        <v>1</v>
      </c>
      <c r="H308" s="128" t="s">
        <v>79</v>
      </c>
      <c r="I308" s="128">
        <v>5</v>
      </c>
      <c r="J308" s="128" t="b">
        <v>0</v>
      </c>
      <c r="L308" s="104">
        <v>6637036</v>
      </c>
      <c r="M308" s="128">
        <v>9999</v>
      </c>
      <c r="P308" s="101">
        <v>5</v>
      </c>
      <c r="Q308" s="101">
        <v>7</v>
      </c>
    </row>
    <row r="309" spans="1:17">
      <c r="A309" s="128">
        <v>100261</v>
      </c>
      <c r="B309" s="129" t="s">
        <v>763</v>
      </c>
      <c r="C309" s="128" t="s">
        <v>137</v>
      </c>
      <c r="D309" s="128">
        <v>2006</v>
      </c>
      <c r="E309" s="128" t="s">
        <v>108</v>
      </c>
      <c r="F309" s="128" t="b">
        <v>1</v>
      </c>
      <c r="H309" s="128" t="s">
        <v>79</v>
      </c>
      <c r="I309" s="128">
        <v>5</v>
      </c>
      <c r="J309" s="128" t="b">
        <v>0</v>
      </c>
      <c r="L309" s="104">
        <v>6637033</v>
      </c>
      <c r="M309" s="128">
        <v>9999</v>
      </c>
      <c r="P309" s="101">
        <v>5</v>
      </c>
      <c r="Q309" s="101">
        <v>7</v>
      </c>
    </row>
    <row r="310" spans="1:17">
      <c r="A310" s="128">
        <v>100262</v>
      </c>
      <c r="B310" s="129" t="s">
        <v>764</v>
      </c>
      <c r="C310" s="128" t="s">
        <v>137</v>
      </c>
      <c r="D310" s="128">
        <v>2006</v>
      </c>
      <c r="E310" s="128" t="s">
        <v>108</v>
      </c>
      <c r="F310" s="128" t="b">
        <v>1</v>
      </c>
      <c r="H310" s="128" t="s">
        <v>79</v>
      </c>
      <c r="I310" s="128">
        <v>5</v>
      </c>
      <c r="J310" s="128" t="b">
        <v>0</v>
      </c>
      <c r="L310" s="104">
        <v>6637034</v>
      </c>
      <c r="M310" s="128">
        <v>9999</v>
      </c>
      <c r="P310" s="101">
        <v>5</v>
      </c>
      <c r="Q310" s="101">
        <v>7</v>
      </c>
    </row>
    <row r="311" spans="1:17">
      <c r="A311" s="128">
        <v>100263</v>
      </c>
      <c r="B311" s="129" t="s">
        <v>765</v>
      </c>
      <c r="C311" s="128" t="s">
        <v>137</v>
      </c>
      <c r="D311" s="128">
        <v>2006</v>
      </c>
      <c r="E311" s="128" t="s">
        <v>108</v>
      </c>
      <c r="F311" s="128" t="b">
        <v>1</v>
      </c>
      <c r="H311" s="128" t="s">
        <v>79</v>
      </c>
      <c r="I311" s="128">
        <v>5</v>
      </c>
      <c r="J311" s="128" t="b">
        <v>0</v>
      </c>
      <c r="L311" s="104">
        <v>6637035</v>
      </c>
      <c r="M311" s="128">
        <v>9999</v>
      </c>
      <c r="P311" s="101">
        <v>5</v>
      </c>
      <c r="Q311" s="101">
        <v>7</v>
      </c>
    </row>
    <row r="312" spans="1:17">
      <c r="A312" s="128">
        <v>100264</v>
      </c>
      <c r="B312" s="129" t="s">
        <v>766</v>
      </c>
      <c r="C312" s="128" t="s">
        <v>137</v>
      </c>
      <c r="D312" s="128">
        <v>2006</v>
      </c>
      <c r="E312" s="128" t="s">
        <v>108</v>
      </c>
      <c r="F312" s="128" t="b">
        <v>1</v>
      </c>
      <c r="H312" s="128" t="s">
        <v>79</v>
      </c>
      <c r="I312" s="128">
        <v>5</v>
      </c>
      <c r="J312" s="128" t="b">
        <v>0</v>
      </c>
      <c r="L312" s="104">
        <v>6637036</v>
      </c>
      <c r="M312" s="128">
        <v>9999</v>
      </c>
      <c r="P312" s="101">
        <v>5</v>
      </c>
      <c r="Q312" s="101">
        <v>7</v>
      </c>
    </row>
    <row r="313" spans="1:17">
      <c r="A313" s="128">
        <v>100265</v>
      </c>
      <c r="B313" s="129" t="s">
        <v>767</v>
      </c>
      <c r="C313" s="128" t="s">
        <v>137</v>
      </c>
      <c r="D313" s="128">
        <v>2006</v>
      </c>
      <c r="E313" s="128" t="s">
        <v>108</v>
      </c>
      <c r="F313" s="128" t="b">
        <v>1</v>
      </c>
      <c r="H313" s="128" t="s">
        <v>79</v>
      </c>
      <c r="I313" s="128">
        <v>5</v>
      </c>
      <c r="J313" s="128" t="b">
        <v>0</v>
      </c>
      <c r="L313" s="104">
        <v>6637033</v>
      </c>
      <c r="M313" s="128">
        <v>9999</v>
      </c>
      <c r="P313" s="101">
        <v>5</v>
      </c>
      <c r="Q313" s="101">
        <v>7</v>
      </c>
    </row>
    <row r="314" spans="1:17">
      <c r="A314" s="128">
        <v>100266</v>
      </c>
      <c r="B314" s="129" t="s">
        <v>768</v>
      </c>
      <c r="C314" s="128" t="s">
        <v>137</v>
      </c>
      <c r="D314" s="128">
        <v>2006</v>
      </c>
      <c r="E314" s="128" t="s">
        <v>108</v>
      </c>
      <c r="F314" s="128" t="b">
        <v>1</v>
      </c>
      <c r="H314" s="128" t="s">
        <v>79</v>
      </c>
      <c r="I314" s="128">
        <v>5</v>
      </c>
      <c r="J314" s="128" t="b">
        <v>0</v>
      </c>
      <c r="L314" s="104">
        <v>6637034</v>
      </c>
      <c r="M314" s="128">
        <v>9999</v>
      </c>
      <c r="P314" s="101">
        <v>5</v>
      </c>
      <c r="Q314" s="101">
        <v>7</v>
      </c>
    </row>
    <row r="315" spans="1:17">
      <c r="A315" s="128">
        <v>100267</v>
      </c>
      <c r="B315" s="129" t="s">
        <v>769</v>
      </c>
      <c r="C315" s="128" t="s">
        <v>137</v>
      </c>
      <c r="D315" s="128">
        <v>2006</v>
      </c>
      <c r="E315" s="128" t="s">
        <v>108</v>
      </c>
      <c r="F315" s="128" t="b">
        <v>1</v>
      </c>
      <c r="H315" s="128" t="s">
        <v>79</v>
      </c>
      <c r="I315" s="128">
        <v>5</v>
      </c>
      <c r="J315" s="128" t="b">
        <v>0</v>
      </c>
      <c r="L315" s="104">
        <v>6637035</v>
      </c>
      <c r="M315" s="128">
        <v>9999</v>
      </c>
      <c r="P315" s="101">
        <v>5</v>
      </c>
      <c r="Q315" s="101">
        <v>7</v>
      </c>
    </row>
    <row r="316" spans="1:17">
      <c r="A316" s="128">
        <v>100268</v>
      </c>
      <c r="B316" s="129" t="s">
        <v>770</v>
      </c>
      <c r="C316" s="128" t="s">
        <v>137</v>
      </c>
      <c r="D316" s="128">
        <v>2006</v>
      </c>
      <c r="E316" s="128" t="s">
        <v>108</v>
      </c>
      <c r="F316" s="128" t="b">
        <v>1</v>
      </c>
      <c r="H316" s="128" t="s">
        <v>79</v>
      </c>
      <c r="I316" s="128">
        <v>5</v>
      </c>
      <c r="J316" s="128" t="b">
        <v>0</v>
      </c>
      <c r="L316" s="104">
        <v>6637036</v>
      </c>
      <c r="M316" s="128">
        <v>9999</v>
      </c>
      <c r="P316" s="101">
        <v>5</v>
      </c>
      <c r="Q316" s="101">
        <v>7</v>
      </c>
    </row>
    <row r="317" spans="1:17">
      <c r="A317" s="128">
        <v>100269</v>
      </c>
      <c r="B317" s="129" t="s">
        <v>771</v>
      </c>
      <c r="C317" s="128" t="s">
        <v>137</v>
      </c>
      <c r="D317" s="128">
        <v>2006</v>
      </c>
      <c r="E317" s="128" t="s">
        <v>108</v>
      </c>
      <c r="F317" s="128" t="b">
        <v>1</v>
      </c>
      <c r="H317" s="128" t="s">
        <v>79</v>
      </c>
      <c r="I317" s="128">
        <v>5</v>
      </c>
      <c r="J317" s="128" t="b">
        <v>0</v>
      </c>
      <c r="L317" s="104">
        <v>6637033</v>
      </c>
      <c r="M317" s="128">
        <v>9999</v>
      </c>
      <c r="P317" s="101">
        <v>5</v>
      </c>
      <c r="Q317" s="101">
        <v>7</v>
      </c>
    </row>
    <row r="318" spans="1:17">
      <c r="A318" s="128">
        <v>100270</v>
      </c>
      <c r="B318" s="129" t="s">
        <v>772</v>
      </c>
      <c r="C318" s="128" t="s">
        <v>137</v>
      </c>
      <c r="D318" s="128">
        <v>2006</v>
      </c>
      <c r="E318" s="128" t="s">
        <v>108</v>
      </c>
      <c r="F318" s="128" t="b">
        <v>1</v>
      </c>
      <c r="H318" s="128" t="s">
        <v>79</v>
      </c>
      <c r="I318" s="128">
        <v>5</v>
      </c>
      <c r="J318" s="128" t="b">
        <v>0</v>
      </c>
      <c r="L318" s="104">
        <v>6637034</v>
      </c>
      <c r="M318" s="128">
        <v>9999</v>
      </c>
      <c r="P318" s="101">
        <v>5</v>
      </c>
      <c r="Q318" s="101">
        <v>7</v>
      </c>
    </row>
    <row r="319" spans="1:17">
      <c r="A319" s="128">
        <v>100271</v>
      </c>
      <c r="B319" s="129" t="s">
        <v>773</v>
      </c>
      <c r="C319" s="128" t="s">
        <v>137</v>
      </c>
      <c r="D319" s="128">
        <v>2006</v>
      </c>
      <c r="E319" s="128" t="s">
        <v>108</v>
      </c>
      <c r="F319" s="128" t="b">
        <v>1</v>
      </c>
      <c r="H319" s="128" t="s">
        <v>79</v>
      </c>
      <c r="I319" s="128">
        <v>5</v>
      </c>
      <c r="J319" s="128" t="b">
        <v>0</v>
      </c>
      <c r="L319" s="104">
        <v>6637035</v>
      </c>
      <c r="M319" s="128">
        <v>9999</v>
      </c>
      <c r="P319" s="101">
        <v>5</v>
      </c>
      <c r="Q319" s="101">
        <v>7</v>
      </c>
    </row>
    <row r="320" spans="1:17">
      <c r="A320" s="128">
        <v>100272</v>
      </c>
      <c r="B320" s="129" t="s">
        <v>774</v>
      </c>
      <c r="C320" s="128" t="s">
        <v>137</v>
      </c>
      <c r="D320" s="128">
        <v>2006</v>
      </c>
      <c r="E320" s="128" t="s">
        <v>108</v>
      </c>
      <c r="F320" s="128" t="b">
        <v>1</v>
      </c>
      <c r="H320" s="128" t="s">
        <v>79</v>
      </c>
      <c r="I320" s="128">
        <v>5</v>
      </c>
      <c r="J320" s="128" t="b">
        <v>0</v>
      </c>
      <c r="L320" s="104">
        <v>6637036</v>
      </c>
      <c r="M320" s="128">
        <v>9999</v>
      </c>
      <c r="P320" s="101">
        <v>5</v>
      </c>
      <c r="Q320" s="101">
        <v>7</v>
      </c>
    </row>
    <row r="321" spans="1:17">
      <c r="A321" s="128">
        <v>100273</v>
      </c>
      <c r="B321" s="129" t="s">
        <v>775</v>
      </c>
      <c r="C321" s="128" t="s">
        <v>137</v>
      </c>
      <c r="D321" s="128">
        <v>2006</v>
      </c>
      <c r="E321" s="128" t="s">
        <v>108</v>
      </c>
      <c r="F321" s="128" t="b">
        <v>1</v>
      </c>
      <c r="H321" s="128" t="s">
        <v>79</v>
      </c>
      <c r="I321" s="128">
        <v>5</v>
      </c>
      <c r="J321" s="128" t="b">
        <v>0</v>
      </c>
      <c r="L321" s="104">
        <v>6637033</v>
      </c>
      <c r="M321" s="128">
        <v>9999</v>
      </c>
      <c r="P321" s="101">
        <v>5</v>
      </c>
      <c r="Q321" s="101">
        <v>7</v>
      </c>
    </row>
    <row r="322" spans="1:17">
      <c r="A322" s="128">
        <v>100274</v>
      </c>
      <c r="B322" s="129" t="s">
        <v>776</v>
      </c>
      <c r="C322" s="128" t="s">
        <v>137</v>
      </c>
      <c r="D322" s="128">
        <v>2006</v>
      </c>
      <c r="E322" s="128" t="s">
        <v>108</v>
      </c>
      <c r="F322" s="128" t="b">
        <v>1</v>
      </c>
      <c r="H322" s="128" t="s">
        <v>79</v>
      </c>
      <c r="I322" s="128">
        <v>5</v>
      </c>
      <c r="J322" s="128" t="b">
        <v>0</v>
      </c>
      <c r="L322" s="104">
        <v>6637034</v>
      </c>
      <c r="M322" s="128">
        <v>9999</v>
      </c>
      <c r="P322" s="101">
        <v>5</v>
      </c>
      <c r="Q322" s="101">
        <v>7</v>
      </c>
    </row>
    <row r="323" spans="1:17">
      <c r="A323" s="128">
        <v>100275</v>
      </c>
      <c r="B323" s="129" t="s">
        <v>777</v>
      </c>
      <c r="C323" s="128" t="s">
        <v>137</v>
      </c>
      <c r="D323" s="128">
        <v>2006</v>
      </c>
      <c r="E323" s="128" t="s">
        <v>108</v>
      </c>
      <c r="F323" s="128" t="b">
        <v>1</v>
      </c>
      <c r="H323" s="128" t="s">
        <v>79</v>
      </c>
      <c r="I323" s="128">
        <v>5</v>
      </c>
      <c r="J323" s="128" t="b">
        <v>0</v>
      </c>
      <c r="L323" s="104">
        <v>6637035</v>
      </c>
      <c r="M323" s="128">
        <v>9999</v>
      </c>
      <c r="P323" s="101">
        <v>5</v>
      </c>
      <c r="Q323" s="101">
        <v>7</v>
      </c>
    </row>
    <row r="324" spans="1:17">
      <c r="A324" s="128">
        <v>100276</v>
      </c>
      <c r="B324" s="129" t="s">
        <v>778</v>
      </c>
      <c r="C324" s="128" t="s">
        <v>137</v>
      </c>
      <c r="D324" s="128">
        <v>2006</v>
      </c>
      <c r="E324" s="128" t="s">
        <v>108</v>
      </c>
      <c r="F324" s="128" t="b">
        <v>1</v>
      </c>
      <c r="H324" s="128" t="s">
        <v>79</v>
      </c>
      <c r="I324" s="128">
        <v>5</v>
      </c>
      <c r="J324" s="128" t="b">
        <v>0</v>
      </c>
      <c r="L324" s="104">
        <v>6637036</v>
      </c>
      <c r="M324" s="128">
        <v>9999</v>
      </c>
      <c r="P324" s="101">
        <v>5</v>
      </c>
      <c r="Q324" s="101">
        <v>7</v>
      </c>
    </row>
    <row r="325" spans="1:17">
      <c r="A325" s="128">
        <v>100277</v>
      </c>
      <c r="B325" s="129" t="s">
        <v>779</v>
      </c>
      <c r="C325" s="128" t="s">
        <v>137</v>
      </c>
      <c r="D325" s="128">
        <v>2006</v>
      </c>
      <c r="E325" s="128" t="s">
        <v>108</v>
      </c>
      <c r="F325" s="128" t="b">
        <v>1</v>
      </c>
      <c r="H325" s="128" t="s">
        <v>79</v>
      </c>
      <c r="I325" s="128">
        <v>5</v>
      </c>
      <c r="J325" s="128" t="b">
        <v>0</v>
      </c>
      <c r="L325" s="104">
        <v>6637033</v>
      </c>
      <c r="M325" s="128">
        <v>9999</v>
      </c>
      <c r="P325" s="101">
        <v>5</v>
      </c>
      <c r="Q325" s="101">
        <v>7</v>
      </c>
    </row>
    <row r="326" spans="1:17">
      <c r="A326" s="128">
        <v>100278</v>
      </c>
      <c r="B326" s="129" t="s">
        <v>780</v>
      </c>
      <c r="C326" s="128" t="s">
        <v>137</v>
      </c>
      <c r="D326" s="128">
        <v>2006</v>
      </c>
      <c r="E326" s="128" t="s">
        <v>108</v>
      </c>
      <c r="F326" s="128" t="b">
        <v>1</v>
      </c>
      <c r="H326" s="128" t="s">
        <v>79</v>
      </c>
      <c r="I326" s="128">
        <v>5</v>
      </c>
      <c r="J326" s="128" t="b">
        <v>0</v>
      </c>
      <c r="L326" s="104">
        <v>6637034</v>
      </c>
      <c r="M326" s="128">
        <v>9999</v>
      </c>
      <c r="P326" s="101">
        <v>5</v>
      </c>
      <c r="Q326" s="101">
        <v>7</v>
      </c>
    </row>
    <row r="327" spans="1:17">
      <c r="A327" s="128">
        <v>100279</v>
      </c>
      <c r="B327" s="129" t="s">
        <v>781</v>
      </c>
      <c r="C327" s="128" t="s">
        <v>137</v>
      </c>
      <c r="D327" s="128">
        <v>2006</v>
      </c>
      <c r="E327" s="128" t="s">
        <v>108</v>
      </c>
      <c r="F327" s="128" t="b">
        <v>1</v>
      </c>
      <c r="H327" s="128" t="s">
        <v>79</v>
      </c>
      <c r="I327" s="128">
        <v>5</v>
      </c>
      <c r="J327" s="128" t="b">
        <v>0</v>
      </c>
      <c r="L327" s="104">
        <v>6637035</v>
      </c>
      <c r="M327" s="128">
        <v>9999</v>
      </c>
      <c r="P327" s="101">
        <v>5</v>
      </c>
      <c r="Q327" s="101">
        <v>7</v>
      </c>
    </row>
    <row r="328" spans="1:17">
      <c r="A328" s="128">
        <v>100280</v>
      </c>
      <c r="B328" s="129" t="s">
        <v>782</v>
      </c>
      <c r="C328" s="128" t="s">
        <v>137</v>
      </c>
      <c r="D328" s="128">
        <v>2006</v>
      </c>
      <c r="E328" s="128" t="s">
        <v>108</v>
      </c>
      <c r="F328" s="128" t="b">
        <v>1</v>
      </c>
      <c r="H328" s="128" t="s">
        <v>79</v>
      </c>
      <c r="I328" s="128">
        <v>5</v>
      </c>
      <c r="J328" s="128" t="b">
        <v>0</v>
      </c>
      <c r="L328" s="104">
        <v>6637036</v>
      </c>
      <c r="M328" s="128">
        <v>9999</v>
      </c>
      <c r="P328" s="101">
        <v>5</v>
      </c>
      <c r="Q328" s="101">
        <v>7</v>
      </c>
    </row>
    <row r="329" spans="1:17">
      <c r="A329" s="128">
        <v>100281</v>
      </c>
      <c r="B329" s="129" t="s">
        <v>783</v>
      </c>
      <c r="C329" s="128" t="s">
        <v>137</v>
      </c>
      <c r="D329" s="128">
        <v>2006</v>
      </c>
      <c r="E329" s="128" t="s">
        <v>108</v>
      </c>
      <c r="F329" s="128" t="b">
        <v>1</v>
      </c>
      <c r="H329" s="128" t="s">
        <v>79</v>
      </c>
      <c r="I329" s="128">
        <v>5</v>
      </c>
      <c r="J329" s="128" t="b">
        <v>0</v>
      </c>
      <c r="L329" s="104">
        <v>6637033</v>
      </c>
      <c r="M329" s="128">
        <v>9999</v>
      </c>
      <c r="P329" s="101">
        <v>5</v>
      </c>
      <c r="Q329" s="101">
        <v>7</v>
      </c>
    </row>
    <row r="330" spans="1:17">
      <c r="A330" s="128">
        <v>100282</v>
      </c>
      <c r="B330" s="129" t="s">
        <v>784</v>
      </c>
      <c r="C330" s="128" t="s">
        <v>137</v>
      </c>
      <c r="D330" s="128">
        <v>2006</v>
      </c>
      <c r="E330" s="128" t="s">
        <v>108</v>
      </c>
      <c r="F330" s="128" t="b">
        <v>1</v>
      </c>
      <c r="H330" s="128" t="s">
        <v>79</v>
      </c>
      <c r="I330" s="128">
        <v>5</v>
      </c>
      <c r="J330" s="128" t="b">
        <v>0</v>
      </c>
      <c r="L330" s="104">
        <v>6637034</v>
      </c>
      <c r="M330" s="128">
        <v>9999</v>
      </c>
      <c r="P330" s="101">
        <v>5</v>
      </c>
      <c r="Q330" s="101">
        <v>7</v>
      </c>
    </row>
    <row r="331" spans="1:17">
      <c r="A331" s="128">
        <v>100283</v>
      </c>
      <c r="B331" s="129" t="s">
        <v>785</v>
      </c>
      <c r="C331" s="128" t="s">
        <v>137</v>
      </c>
      <c r="D331" s="128">
        <v>2006</v>
      </c>
      <c r="E331" s="128" t="s">
        <v>108</v>
      </c>
      <c r="F331" s="128" t="b">
        <v>1</v>
      </c>
      <c r="H331" s="128" t="s">
        <v>79</v>
      </c>
      <c r="I331" s="128">
        <v>5</v>
      </c>
      <c r="J331" s="128" t="b">
        <v>0</v>
      </c>
      <c r="L331" s="104">
        <v>6637035</v>
      </c>
      <c r="M331" s="128">
        <v>9999</v>
      </c>
      <c r="P331" s="101">
        <v>5</v>
      </c>
      <c r="Q331" s="101">
        <v>7</v>
      </c>
    </row>
    <row r="332" spans="1:17">
      <c r="A332" s="128">
        <v>100284</v>
      </c>
      <c r="B332" s="129" t="s">
        <v>786</v>
      </c>
      <c r="C332" s="128" t="s">
        <v>137</v>
      </c>
      <c r="D332" s="128">
        <v>2006</v>
      </c>
      <c r="E332" s="128" t="s">
        <v>108</v>
      </c>
      <c r="F332" s="128" t="b">
        <v>1</v>
      </c>
      <c r="H332" s="128" t="s">
        <v>79</v>
      </c>
      <c r="I332" s="128">
        <v>5</v>
      </c>
      <c r="J332" s="128" t="b">
        <v>0</v>
      </c>
      <c r="L332" s="104">
        <v>6637036</v>
      </c>
      <c r="M332" s="128">
        <v>9999</v>
      </c>
      <c r="P332" s="101">
        <v>5</v>
      </c>
      <c r="Q332" s="101">
        <v>7</v>
      </c>
    </row>
    <row r="333" spans="1:17">
      <c r="A333" s="128">
        <v>100285</v>
      </c>
      <c r="B333" s="129" t="s">
        <v>787</v>
      </c>
      <c r="C333" s="128" t="s">
        <v>137</v>
      </c>
      <c r="D333" s="128">
        <v>2006</v>
      </c>
      <c r="E333" s="128" t="s">
        <v>108</v>
      </c>
      <c r="F333" s="128" t="b">
        <v>1</v>
      </c>
      <c r="H333" s="128" t="s">
        <v>79</v>
      </c>
      <c r="I333" s="128">
        <v>5</v>
      </c>
      <c r="J333" s="128" t="b">
        <v>0</v>
      </c>
      <c r="L333" s="104">
        <v>6637033</v>
      </c>
      <c r="M333" s="128">
        <v>9999</v>
      </c>
      <c r="P333" s="101">
        <v>5</v>
      </c>
      <c r="Q333" s="101">
        <v>7</v>
      </c>
    </row>
    <row r="334" spans="1:17">
      <c r="A334" s="128">
        <v>100286</v>
      </c>
      <c r="B334" s="129" t="s">
        <v>788</v>
      </c>
      <c r="C334" s="128" t="s">
        <v>137</v>
      </c>
      <c r="D334" s="128">
        <v>2006</v>
      </c>
      <c r="E334" s="128" t="s">
        <v>108</v>
      </c>
      <c r="F334" s="128" t="b">
        <v>1</v>
      </c>
      <c r="H334" s="128" t="s">
        <v>79</v>
      </c>
      <c r="I334" s="128">
        <v>5</v>
      </c>
      <c r="J334" s="128" t="b">
        <v>0</v>
      </c>
      <c r="L334" s="104">
        <v>6637034</v>
      </c>
      <c r="M334" s="128">
        <v>9999</v>
      </c>
      <c r="P334" s="101">
        <v>5</v>
      </c>
      <c r="Q334" s="101">
        <v>7</v>
      </c>
    </row>
    <row r="335" spans="1:17">
      <c r="A335" s="128">
        <v>100287</v>
      </c>
      <c r="B335" s="129" t="s">
        <v>789</v>
      </c>
      <c r="C335" s="128" t="s">
        <v>137</v>
      </c>
      <c r="D335" s="128">
        <v>2006</v>
      </c>
      <c r="E335" s="128" t="s">
        <v>108</v>
      </c>
      <c r="F335" s="128" t="b">
        <v>1</v>
      </c>
      <c r="H335" s="128" t="s">
        <v>79</v>
      </c>
      <c r="I335" s="128">
        <v>5</v>
      </c>
      <c r="J335" s="128" t="b">
        <v>0</v>
      </c>
      <c r="L335" s="104">
        <v>6637035</v>
      </c>
      <c r="M335" s="128">
        <v>9999</v>
      </c>
      <c r="P335" s="101">
        <v>5</v>
      </c>
      <c r="Q335" s="101">
        <v>7</v>
      </c>
    </row>
    <row r="336" spans="1:17">
      <c r="A336" s="128">
        <v>100288</v>
      </c>
      <c r="B336" s="129" t="s">
        <v>790</v>
      </c>
      <c r="C336" s="128" t="s">
        <v>137</v>
      </c>
      <c r="D336" s="128">
        <v>2006</v>
      </c>
      <c r="E336" s="128" t="s">
        <v>108</v>
      </c>
      <c r="F336" s="128" t="b">
        <v>1</v>
      </c>
      <c r="H336" s="128" t="s">
        <v>79</v>
      </c>
      <c r="I336" s="128">
        <v>5</v>
      </c>
      <c r="J336" s="128" t="b">
        <v>0</v>
      </c>
      <c r="L336" s="104">
        <v>6637036</v>
      </c>
      <c r="M336" s="128">
        <v>9999</v>
      </c>
      <c r="P336" s="101">
        <v>5</v>
      </c>
      <c r="Q336" s="101">
        <v>7</v>
      </c>
    </row>
    <row r="337" spans="1:17">
      <c r="A337" s="128">
        <v>100289</v>
      </c>
      <c r="B337" s="129" t="s">
        <v>791</v>
      </c>
      <c r="C337" s="128" t="s">
        <v>137</v>
      </c>
      <c r="D337" s="128">
        <v>2006</v>
      </c>
      <c r="E337" s="128" t="s">
        <v>108</v>
      </c>
      <c r="F337" s="128" t="b">
        <v>1</v>
      </c>
      <c r="H337" s="128" t="s">
        <v>79</v>
      </c>
      <c r="I337" s="128">
        <v>5</v>
      </c>
      <c r="J337" s="128" t="b">
        <v>0</v>
      </c>
      <c r="L337" s="104">
        <v>6637033</v>
      </c>
      <c r="M337" s="128">
        <v>9999</v>
      </c>
      <c r="P337" s="101">
        <v>5</v>
      </c>
      <c r="Q337" s="101">
        <v>7</v>
      </c>
    </row>
    <row r="338" spans="1:17">
      <c r="A338" s="128">
        <v>100290</v>
      </c>
      <c r="B338" s="129" t="s">
        <v>792</v>
      </c>
      <c r="C338" s="128" t="s">
        <v>137</v>
      </c>
      <c r="D338" s="128">
        <v>2006</v>
      </c>
      <c r="E338" s="128" t="s">
        <v>108</v>
      </c>
      <c r="F338" s="128" t="b">
        <v>1</v>
      </c>
      <c r="H338" s="128" t="s">
        <v>79</v>
      </c>
      <c r="I338" s="128">
        <v>5</v>
      </c>
      <c r="J338" s="128" t="b">
        <v>0</v>
      </c>
      <c r="L338" s="104">
        <v>6637034</v>
      </c>
      <c r="M338" s="128">
        <v>9999</v>
      </c>
      <c r="P338" s="101">
        <v>5</v>
      </c>
      <c r="Q338" s="101">
        <v>7</v>
      </c>
    </row>
    <row r="339" spans="1:17">
      <c r="A339" s="128">
        <v>100291</v>
      </c>
      <c r="B339" s="129" t="s">
        <v>793</v>
      </c>
      <c r="C339" s="128" t="s">
        <v>137</v>
      </c>
      <c r="D339" s="128">
        <v>2006</v>
      </c>
      <c r="E339" s="128" t="s">
        <v>108</v>
      </c>
      <c r="F339" s="128" t="b">
        <v>1</v>
      </c>
      <c r="H339" s="128" t="s">
        <v>79</v>
      </c>
      <c r="I339" s="128">
        <v>5</v>
      </c>
      <c r="J339" s="128" t="b">
        <v>0</v>
      </c>
      <c r="L339" s="104">
        <v>6637035</v>
      </c>
      <c r="M339" s="128">
        <v>9999</v>
      </c>
      <c r="P339" s="101">
        <v>5</v>
      </c>
      <c r="Q339" s="101">
        <v>7</v>
      </c>
    </row>
    <row r="340" spans="1:17">
      <c r="A340" s="128">
        <v>100292</v>
      </c>
      <c r="B340" s="129" t="s">
        <v>794</v>
      </c>
      <c r="C340" s="128" t="s">
        <v>137</v>
      </c>
      <c r="D340" s="128">
        <v>2006</v>
      </c>
      <c r="E340" s="128" t="s">
        <v>108</v>
      </c>
      <c r="F340" s="128" t="b">
        <v>1</v>
      </c>
      <c r="H340" s="128" t="s">
        <v>79</v>
      </c>
      <c r="I340" s="128">
        <v>5</v>
      </c>
      <c r="J340" s="128" t="b">
        <v>0</v>
      </c>
      <c r="L340" s="104">
        <v>6637036</v>
      </c>
      <c r="M340" s="128">
        <v>9999</v>
      </c>
      <c r="P340" s="101">
        <v>5</v>
      </c>
      <c r="Q340" s="101">
        <v>7</v>
      </c>
    </row>
    <row r="341" spans="1:17">
      <c r="A341" s="128">
        <v>100293</v>
      </c>
      <c r="B341" s="129" t="s">
        <v>795</v>
      </c>
      <c r="C341" s="128" t="s">
        <v>137</v>
      </c>
      <c r="D341" s="128">
        <v>2006</v>
      </c>
      <c r="E341" s="128" t="s">
        <v>108</v>
      </c>
      <c r="F341" s="128" t="b">
        <v>1</v>
      </c>
      <c r="H341" s="128" t="s">
        <v>79</v>
      </c>
      <c r="I341" s="128">
        <v>5</v>
      </c>
      <c r="J341" s="128" t="b">
        <v>0</v>
      </c>
      <c r="L341" s="104">
        <v>6637033</v>
      </c>
      <c r="M341" s="128">
        <v>9999</v>
      </c>
      <c r="P341" s="101">
        <v>5</v>
      </c>
      <c r="Q341" s="101">
        <v>7</v>
      </c>
    </row>
    <row r="342" spans="1:17">
      <c r="A342" s="128">
        <v>100294</v>
      </c>
      <c r="B342" s="129" t="s">
        <v>796</v>
      </c>
      <c r="C342" s="128" t="s">
        <v>137</v>
      </c>
      <c r="D342" s="128">
        <v>2006</v>
      </c>
      <c r="E342" s="128" t="s">
        <v>108</v>
      </c>
      <c r="F342" s="128" t="b">
        <v>1</v>
      </c>
      <c r="H342" s="128" t="s">
        <v>79</v>
      </c>
      <c r="I342" s="128">
        <v>5</v>
      </c>
      <c r="J342" s="128" t="b">
        <v>0</v>
      </c>
      <c r="L342" s="104">
        <v>6637034</v>
      </c>
      <c r="M342" s="128">
        <v>9999</v>
      </c>
      <c r="P342" s="101">
        <v>5</v>
      </c>
      <c r="Q342" s="101">
        <v>7</v>
      </c>
    </row>
    <row r="343" spans="1:17">
      <c r="A343" s="128">
        <v>100295</v>
      </c>
      <c r="B343" s="129" t="s">
        <v>797</v>
      </c>
      <c r="C343" s="128" t="s">
        <v>137</v>
      </c>
      <c r="D343" s="128">
        <v>2006</v>
      </c>
      <c r="E343" s="128" t="s">
        <v>108</v>
      </c>
      <c r="F343" s="128" t="b">
        <v>1</v>
      </c>
      <c r="H343" s="128" t="s">
        <v>79</v>
      </c>
      <c r="I343" s="128">
        <v>5</v>
      </c>
      <c r="J343" s="128" t="b">
        <v>0</v>
      </c>
      <c r="L343" s="104">
        <v>6637035</v>
      </c>
      <c r="M343" s="128">
        <v>9999</v>
      </c>
      <c r="P343" s="101">
        <v>5</v>
      </c>
      <c r="Q343" s="101">
        <v>7</v>
      </c>
    </row>
    <row r="344" spans="1:17">
      <c r="A344" s="128">
        <v>100296</v>
      </c>
      <c r="B344" s="129" t="s">
        <v>798</v>
      </c>
      <c r="C344" s="128" t="s">
        <v>137</v>
      </c>
      <c r="D344" s="128">
        <v>2006</v>
      </c>
      <c r="E344" s="128" t="s">
        <v>108</v>
      </c>
      <c r="F344" s="128" t="b">
        <v>1</v>
      </c>
      <c r="H344" s="128" t="s">
        <v>79</v>
      </c>
      <c r="I344" s="128">
        <v>5</v>
      </c>
      <c r="J344" s="128" t="b">
        <v>0</v>
      </c>
      <c r="L344" s="104">
        <v>6637036</v>
      </c>
      <c r="M344" s="128">
        <v>9999</v>
      </c>
      <c r="P344" s="101">
        <v>5</v>
      </c>
      <c r="Q344" s="101">
        <v>7</v>
      </c>
    </row>
    <row r="345" spans="1:17">
      <c r="A345" s="128">
        <v>100297</v>
      </c>
      <c r="B345" s="129" t="s">
        <v>799</v>
      </c>
      <c r="C345" s="128" t="s">
        <v>137</v>
      </c>
      <c r="D345" s="128">
        <v>2006</v>
      </c>
      <c r="E345" s="128" t="s">
        <v>108</v>
      </c>
      <c r="F345" s="128" t="b">
        <v>1</v>
      </c>
      <c r="H345" s="128" t="s">
        <v>79</v>
      </c>
      <c r="I345" s="128">
        <v>5</v>
      </c>
      <c r="J345" s="128" t="b">
        <v>0</v>
      </c>
      <c r="L345" s="104">
        <v>6637033</v>
      </c>
      <c r="M345" s="128">
        <v>9999</v>
      </c>
      <c r="P345" s="101">
        <v>5</v>
      </c>
      <c r="Q345" s="101">
        <v>7</v>
      </c>
    </row>
    <row r="346" spans="1:17">
      <c r="A346" s="128">
        <v>100298</v>
      </c>
      <c r="B346" s="129" t="s">
        <v>800</v>
      </c>
      <c r="C346" s="128" t="s">
        <v>137</v>
      </c>
      <c r="D346" s="128">
        <v>2006</v>
      </c>
      <c r="E346" s="128" t="s">
        <v>108</v>
      </c>
      <c r="F346" s="128" t="b">
        <v>1</v>
      </c>
      <c r="H346" s="128" t="s">
        <v>79</v>
      </c>
      <c r="I346" s="128">
        <v>5</v>
      </c>
      <c r="J346" s="128" t="b">
        <v>0</v>
      </c>
      <c r="L346" s="104">
        <v>6637034</v>
      </c>
      <c r="M346" s="128">
        <v>9999</v>
      </c>
      <c r="P346" s="101">
        <v>5</v>
      </c>
      <c r="Q346" s="101">
        <v>7</v>
      </c>
    </row>
    <row r="347" spans="1:17">
      <c r="A347" s="128">
        <v>100299</v>
      </c>
      <c r="B347" s="129" t="s">
        <v>801</v>
      </c>
      <c r="C347" s="128" t="s">
        <v>137</v>
      </c>
      <c r="D347" s="128">
        <v>2006</v>
      </c>
      <c r="E347" s="128" t="s">
        <v>108</v>
      </c>
      <c r="F347" s="128" t="b">
        <v>1</v>
      </c>
      <c r="H347" s="128" t="s">
        <v>79</v>
      </c>
      <c r="I347" s="128">
        <v>5</v>
      </c>
      <c r="J347" s="128" t="b">
        <v>0</v>
      </c>
      <c r="L347" s="104">
        <v>6637035</v>
      </c>
      <c r="M347" s="128">
        <v>9999</v>
      </c>
      <c r="P347" s="101">
        <v>5</v>
      </c>
      <c r="Q347" s="101">
        <v>7</v>
      </c>
    </row>
    <row r="348" spans="1:17">
      <c r="A348" s="128">
        <v>100300</v>
      </c>
      <c r="B348" s="129" t="s">
        <v>802</v>
      </c>
      <c r="C348" s="128" t="s">
        <v>137</v>
      </c>
      <c r="D348" s="128">
        <v>2006</v>
      </c>
      <c r="E348" s="128" t="s">
        <v>108</v>
      </c>
      <c r="F348" s="128" t="b">
        <v>1</v>
      </c>
      <c r="H348" s="128" t="s">
        <v>79</v>
      </c>
      <c r="I348" s="128">
        <v>5</v>
      </c>
      <c r="J348" s="128" t="b">
        <v>0</v>
      </c>
      <c r="L348" s="104">
        <v>6637036</v>
      </c>
      <c r="M348" s="128">
        <v>9999</v>
      </c>
      <c r="P348" s="101">
        <v>5</v>
      </c>
      <c r="Q348" s="101">
        <v>7</v>
      </c>
    </row>
    <row r="349" spans="1:17">
      <c r="A349" s="128">
        <v>100301</v>
      </c>
      <c r="B349" s="129" t="s">
        <v>803</v>
      </c>
      <c r="C349" s="128" t="s">
        <v>137</v>
      </c>
      <c r="D349" s="128">
        <v>2006</v>
      </c>
      <c r="E349" s="128" t="s">
        <v>108</v>
      </c>
      <c r="F349" s="128" t="b">
        <v>1</v>
      </c>
      <c r="H349" s="128" t="s">
        <v>79</v>
      </c>
      <c r="I349" s="128">
        <v>5</v>
      </c>
      <c r="J349" s="128" t="b">
        <v>0</v>
      </c>
      <c r="L349" s="104">
        <v>6637033</v>
      </c>
      <c r="M349" s="128">
        <v>9999</v>
      </c>
      <c r="P349" s="101">
        <v>5</v>
      </c>
      <c r="Q349" s="101">
        <v>7</v>
      </c>
    </row>
    <row r="350" spans="1:17">
      <c r="A350" s="128">
        <v>100302</v>
      </c>
      <c r="B350" s="129" t="s">
        <v>804</v>
      </c>
      <c r="C350" s="128" t="s">
        <v>137</v>
      </c>
      <c r="D350" s="128">
        <v>2006</v>
      </c>
      <c r="E350" s="128" t="s">
        <v>108</v>
      </c>
      <c r="F350" s="128" t="b">
        <v>1</v>
      </c>
      <c r="H350" s="128" t="s">
        <v>79</v>
      </c>
      <c r="I350" s="128">
        <v>5</v>
      </c>
      <c r="J350" s="128" t="b">
        <v>0</v>
      </c>
      <c r="L350" s="104">
        <v>6637034</v>
      </c>
      <c r="M350" s="128">
        <v>9999</v>
      </c>
      <c r="P350" s="101">
        <v>5</v>
      </c>
      <c r="Q350" s="101">
        <v>7</v>
      </c>
    </row>
    <row r="351" spans="1:17">
      <c r="A351" s="128">
        <v>100303</v>
      </c>
      <c r="B351" s="129" t="s">
        <v>805</v>
      </c>
      <c r="C351" s="128" t="s">
        <v>137</v>
      </c>
      <c r="D351" s="128">
        <v>2006</v>
      </c>
      <c r="E351" s="128" t="s">
        <v>108</v>
      </c>
      <c r="F351" s="128" t="b">
        <v>1</v>
      </c>
      <c r="H351" s="128" t="s">
        <v>79</v>
      </c>
      <c r="I351" s="128">
        <v>5</v>
      </c>
      <c r="J351" s="128" t="b">
        <v>0</v>
      </c>
      <c r="L351" s="104">
        <v>6637035</v>
      </c>
      <c r="M351" s="128">
        <v>9999</v>
      </c>
      <c r="P351" s="101">
        <v>5</v>
      </c>
      <c r="Q351" s="101">
        <v>7</v>
      </c>
    </row>
    <row r="352" spans="1:17">
      <c r="A352" s="128">
        <v>100304</v>
      </c>
      <c r="B352" s="129" t="s">
        <v>806</v>
      </c>
      <c r="C352" s="128" t="s">
        <v>137</v>
      </c>
      <c r="D352" s="128">
        <v>2006</v>
      </c>
      <c r="E352" s="128" t="s">
        <v>108</v>
      </c>
      <c r="F352" s="128" t="b">
        <v>1</v>
      </c>
      <c r="H352" s="128" t="s">
        <v>79</v>
      </c>
      <c r="I352" s="128">
        <v>5</v>
      </c>
      <c r="J352" s="128" t="b">
        <v>0</v>
      </c>
      <c r="L352" s="104">
        <v>6637036</v>
      </c>
      <c r="M352" s="128">
        <v>9999</v>
      </c>
      <c r="P352" s="101">
        <v>5</v>
      </c>
      <c r="Q352" s="101">
        <v>7</v>
      </c>
    </row>
    <row r="353" spans="1:17">
      <c r="A353" s="128">
        <v>100305</v>
      </c>
      <c r="B353" s="129" t="s">
        <v>807</v>
      </c>
      <c r="C353" s="128" t="s">
        <v>137</v>
      </c>
      <c r="D353" s="128">
        <v>2006</v>
      </c>
      <c r="E353" s="128" t="s">
        <v>108</v>
      </c>
      <c r="F353" s="128" t="b">
        <v>1</v>
      </c>
      <c r="H353" s="128" t="s">
        <v>79</v>
      </c>
      <c r="I353" s="128">
        <v>5</v>
      </c>
      <c r="J353" s="128" t="b">
        <v>0</v>
      </c>
      <c r="L353" s="104">
        <v>6637033</v>
      </c>
      <c r="M353" s="128">
        <v>9999</v>
      </c>
      <c r="P353" s="101">
        <v>5</v>
      </c>
      <c r="Q353" s="101">
        <v>7</v>
      </c>
    </row>
    <row r="354" spans="1:17">
      <c r="A354" s="128">
        <v>100306</v>
      </c>
      <c r="B354" s="129" t="s">
        <v>808</v>
      </c>
      <c r="C354" s="128" t="s">
        <v>137</v>
      </c>
      <c r="D354" s="128">
        <v>2006</v>
      </c>
      <c r="E354" s="128" t="s">
        <v>108</v>
      </c>
      <c r="F354" s="128" t="b">
        <v>1</v>
      </c>
      <c r="H354" s="128" t="s">
        <v>79</v>
      </c>
      <c r="I354" s="128">
        <v>5</v>
      </c>
      <c r="J354" s="128" t="b">
        <v>0</v>
      </c>
      <c r="L354" s="104">
        <v>6637034</v>
      </c>
      <c r="M354" s="128">
        <v>9999</v>
      </c>
      <c r="P354" s="101">
        <v>5</v>
      </c>
      <c r="Q354" s="101">
        <v>7</v>
      </c>
    </row>
    <row r="355" spans="1:17">
      <c r="A355" s="128">
        <v>100307</v>
      </c>
      <c r="B355" s="129" t="s">
        <v>809</v>
      </c>
      <c r="C355" s="128" t="s">
        <v>137</v>
      </c>
      <c r="D355" s="128">
        <v>2006</v>
      </c>
      <c r="E355" s="128" t="s">
        <v>108</v>
      </c>
      <c r="F355" s="128" t="b">
        <v>1</v>
      </c>
      <c r="H355" s="128" t="s">
        <v>79</v>
      </c>
      <c r="I355" s="128">
        <v>5</v>
      </c>
      <c r="J355" s="128" t="b">
        <v>0</v>
      </c>
      <c r="L355" s="104">
        <v>6637035</v>
      </c>
      <c r="M355" s="128">
        <v>9999</v>
      </c>
      <c r="P355" s="101">
        <v>5</v>
      </c>
      <c r="Q355" s="101">
        <v>7</v>
      </c>
    </row>
    <row r="356" spans="1:17">
      <c r="A356" s="128">
        <v>100308</v>
      </c>
      <c r="B356" s="129" t="s">
        <v>810</v>
      </c>
      <c r="C356" s="128" t="s">
        <v>137</v>
      </c>
      <c r="D356" s="128">
        <v>2006</v>
      </c>
      <c r="E356" s="128" t="s">
        <v>108</v>
      </c>
      <c r="F356" s="128" t="b">
        <v>1</v>
      </c>
      <c r="H356" s="128" t="s">
        <v>79</v>
      </c>
      <c r="I356" s="128">
        <v>5</v>
      </c>
      <c r="J356" s="128" t="b">
        <v>0</v>
      </c>
      <c r="L356" s="104">
        <v>6637036</v>
      </c>
      <c r="M356" s="128">
        <v>9999</v>
      </c>
      <c r="P356" s="101">
        <v>5</v>
      </c>
      <c r="Q356" s="101">
        <v>7</v>
      </c>
    </row>
    <row r="357" spans="1:17">
      <c r="A357" s="128">
        <v>100309</v>
      </c>
      <c r="B357" s="129" t="s">
        <v>811</v>
      </c>
      <c r="C357" s="128" t="s">
        <v>137</v>
      </c>
      <c r="D357" s="128">
        <v>2006</v>
      </c>
      <c r="E357" s="128" t="s">
        <v>108</v>
      </c>
      <c r="F357" s="128" t="b">
        <v>1</v>
      </c>
      <c r="H357" s="128" t="s">
        <v>79</v>
      </c>
      <c r="I357" s="128">
        <v>5</v>
      </c>
      <c r="J357" s="128" t="b">
        <v>0</v>
      </c>
      <c r="L357" s="104">
        <v>6637033</v>
      </c>
      <c r="M357" s="128">
        <v>9999</v>
      </c>
      <c r="P357" s="101">
        <v>5</v>
      </c>
      <c r="Q357" s="101">
        <v>7</v>
      </c>
    </row>
    <row r="358" spans="1:17">
      <c r="A358" s="128">
        <v>100310</v>
      </c>
      <c r="B358" s="129" t="s">
        <v>812</v>
      </c>
      <c r="C358" s="128" t="s">
        <v>137</v>
      </c>
      <c r="D358" s="128">
        <v>2006</v>
      </c>
      <c r="E358" s="128" t="s">
        <v>108</v>
      </c>
      <c r="F358" s="128" t="b">
        <v>1</v>
      </c>
      <c r="H358" s="128" t="s">
        <v>79</v>
      </c>
      <c r="I358" s="128">
        <v>5</v>
      </c>
      <c r="J358" s="128" t="b">
        <v>0</v>
      </c>
      <c r="L358" s="104">
        <v>6637034</v>
      </c>
      <c r="M358" s="128">
        <v>9999</v>
      </c>
      <c r="P358" s="101">
        <v>5</v>
      </c>
      <c r="Q358" s="101">
        <v>7</v>
      </c>
    </row>
    <row r="359" spans="1:17">
      <c r="A359" s="128">
        <v>100311</v>
      </c>
      <c r="B359" s="129" t="s">
        <v>813</v>
      </c>
      <c r="C359" s="128" t="s">
        <v>137</v>
      </c>
      <c r="D359" s="128">
        <v>2006</v>
      </c>
      <c r="E359" s="128" t="s">
        <v>108</v>
      </c>
      <c r="F359" s="128" t="b">
        <v>1</v>
      </c>
      <c r="H359" s="128" t="s">
        <v>79</v>
      </c>
      <c r="I359" s="128">
        <v>5</v>
      </c>
      <c r="J359" s="128" t="b">
        <v>0</v>
      </c>
      <c r="L359" s="104">
        <v>6637035</v>
      </c>
      <c r="M359" s="128">
        <v>9999</v>
      </c>
      <c r="P359" s="101">
        <v>5</v>
      </c>
      <c r="Q359" s="101">
        <v>7</v>
      </c>
    </row>
    <row r="360" spans="1:17">
      <c r="A360" s="128">
        <v>100312</v>
      </c>
      <c r="B360" s="129" t="s">
        <v>814</v>
      </c>
      <c r="C360" s="128" t="s">
        <v>137</v>
      </c>
      <c r="D360" s="128">
        <v>2006</v>
      </c>
      <c r="E360" s="128" t="s">
        <v>108</v>
      </c>
      <c r="F360" s="128" t="b">
        <v>1</v>
      </c>
      <c r="H360" s="128" t="s">
        <v>79</v>
      </c>
      <c r="I360" s="128">
        <v>5</v>
      </c>
      <c r="J360" s="128" t="b">
        <v>0</v>
      </c>
      <c r="L360" s="104">
        <v>6637036</v>
      </c>
      <c r="M360" s="128">
        <v>9999</v>
      </c>
      <c r="P360" s="101">
        <v>5</v>
      </c>
      <c r="Q360" s="101">
        <v>7</v>
      </c>
    </row>
    <row r="361" spans="1:17">
      <c r="A361" s="128">
        <v>100313</v>
      </c>
      <c r="B361" s="129" t="s">
        <v>815</v>
      </c>
      <c r="C361" s="128" t="s">
        <v>137</v>
      </c>
      <c r="D361" s="128">
        <v>2006</v>
      </c>
      <c r="E361" s="128" t="s">
        <v>108</v>
      </c>
      <c r="F361" s="128" t="b">
        <v>1</v>
      </c>
      <c r="H361" s="128" t="s">
        <v>79</v>
      </c>
      <c r="I361" s="128">
        <v>5</v>
      </c>
      <c r="J361" s="128" t="b">
        <v>0</v>
      </c>
      <c r="L361" s="104">
        <v>6637033</v>
      </c>
      <c r="M361" s="128">
        <v>9999</v>
      </c>
      <c r="P361" s="101">
        <v>5</v>
      </c>
      <c r="Q361" s="101">
        <v>7</v>
      </c>
    </row>
    <row r="362" spans="1:17">
      <c r="A362" s="128">
        <v>100314</v>
      </c>
      <c r="B362" s="129" t="s">
        <v>816</v>
      </c>
      <c r="C362" s="128" t="s">
        <v>137</v>
      </c>
      <c r="D362" s="128">
        <v>2006</v>
      </c>
      <c r="E362" s="128" t="s">
        <v>108</v>
      </c>
      <c r="F362" s="128" t="b">
        <v>1</v>
      </c>
      <c r="H362" s="128" t="s">
        <v>79</v>
      </c>
      <c r="I362" s="128">
        <v>5</v>
      </c>
      <c r="J362" s="128" t="b">
        <v>0</v>
      </c>
      <c r="L362" s="104">
        <v>6637034</v>
      </c>
      <c r="M362" s="128">
        <v>9999</v>
      </c>
      <c r="P362" s="101">
        <v>5</v>
      </c>
      <c r="Q362" s="101">
        <v>7</v>
      </c>
    </row>
    <row r="363" spans="1:17">
      <c r="A363" s="128">
        <v>100315</v>
      </c>
      <c r="B363" s="129" t="s">
        <v>817</v>
      </c>
      <c r="C363" s="128" t="s">
        <v>137</v>
      </c>
      <c r="D363" s="128">
        <v>2006</v>
      </c>
      <c r="E363" s="128" t="s">
        <v>108</v>
      </c>
      <c r="F363" s="128" t="b">
        <v>1</v>
      </c>
      <c r="H363" s="128" t="s">
        <v>79</v>
      </c>
      <c r="I363" s="128">
        <v>5</v>
      </c>
      <c r="J363" s="128" t="b">
        <v>0</v>
      </c>
      <c r="L363" s="104">
        <v>6637035</v>
      </c>
      <c r="M363" s="128">
        <v>9999</v>
      </c>
      <c r="P363" s="101">
        <v>5</v>
      </c>
      <c r="Q363" s="101">
        <v>7</v>
      </c>
    </row>
    <row r="364" spans="1:17">
      <c r="A364" s="128">
        <v>100316</v>
      </c>
      <c r="B364" s="129" t="s">
        <v>818</v>
      </c>
      <c r="C364" s="128" t="s">
        <v>137</v>
      </c>
      <c r="D364" s="128">
        <v>2006</v>
      </c>
      <c r="E364" s="128" t="s">
        <v>108</v>
      </c>
      <c r="F364" s="128" t="b">
        <v>1</v>
      </c>
      <c r="H364" s="128" t="s">
        <v>79</v>
      </c>
      <c r="I364" s="128">
        <v>5</v>
      </c>
      <c r="J364" s="128" t="b">
        <v>0</v>
      </c>
      <c r="L364" s="104">
        <v>6637036</v>
      </c>
      <c r="M364" s="128">
        <v>9999</v>
      </c>
      <c r="P364" s="101">
        <v>5</v>
      </c>
      <c r="Q364" s="101">
        <v>7</v>
      </c>
    </row>
    <row r="365" spans="1:17">
      <c r="A365" s="128">
        <v>100317</v>
      </c>
      <c r="B365" s="129" t="s">
        <v>819</v>
      </c>
      <c r="C365" s="128" t="s">
        <v>137</v>
      </c>
      <c r="D365" s="128">
        <v>2006</v>
      </c>
      <c r="E365" s="128" t="s">
        <v>108</v>
      </c>
      <c r="F365" s="128" t="b">
        <v>1</v>
      </c>
      <c r="H365" s="128" t="s">
        <v>79</v>
      </c>
      <c r="I365" s="128">
        <v>5</v>
      </c>
      <c r="J365" s="128" t="b">
        <v>0</v>
      </c>
      <c r="L365" s="104">
        <v>6637033</v>
      </c>
      <c r="M365" s="128">
        <v>9999</v>
      </c>
      <c r="P365" s="101">
        <v>5</v>
      </c>
      <c r="Q365" s="101">
        <v>7</v>
      </c>
    </row>
    <row r="366" spans="1:17">
      <c r="A366" s="128">
        <v>100318</v>
      </c>
      <c r="B366" s="129" t="s">
        <v>820</v>
      </c>
      <c r="C366" s="128" t="s">
        <v>137</v>
      </c>
      <c r="D366" s="128">
        <v>2006</v>
      </c>
      <c r="E366" s="128" t="s">
        <v>108</v>
      </c>
      <c r="F366" s="128" t="b">
        <v>1</v>
      </c>
      <c r="H366" s="128" t="s">
        <v>79</v>
      </c>
      <c r="I366" s="128">
        <v>5</v>
      </c>
      <c r="J366" s="128" t="b">
        <v>0</v>
      </c>
      <c r="L366" s="104">
        <v>6637034</v>
      </c>
      <c r="M366" s="128">
        <v>9999</v>
      </c>
      <c r="P366" s="101">
        <v>5</v>
      </c>
      <c r="Q366" s="101">
        <v>7</v>
      </c>
    </row>
    <row r="367" spans="1:17">
      <c r="A367" s="128">
        <v>100319</v>
      </c>
      <c r="B367" s="129" t="s">
        <v>821</v>
      </c>
      <c r="C367" s="128" t="s">
        <v>137</v>
      </c>
      <c r="D367" s="128">
        <v>2006</v>
      </c>
      <c r="E367" s="128" t="s">
        <v>108</v>
      </c>
      <c r="F367" s="128" t="b">
        <v>1</v>
      </c>
      <c r="H367" s="128" t="s">
        <v>79</v>
      </c>
      <c r="I367" s="128">
        <v>5</v>
      </c>
      <c r="J367" s="128" t="b">
        <v>0</v>
      </c>
      <c r="L367" s="104">
        <v>6637035</v>
      </c>
      <c r="M367" s="128">
        <v>9999</v>
      </c>
      <c r="P367" s="101">
        <v>5</v>
      </c>
      <c r="Q367" s="101">
        <v>7</v>
      </c>
    </row>
    <row r="368" spans="1:17">
      <c r="A368" s="128">
        <v>100320</v>
      </c>
      <c r="B368" s="129" t="s">
        <v>822</v>
      </c>
      <c r="C368" s="128" t="s">
        <v>137</v>
      </c>
      <c r="D368" s="128">
        <v>2006</v>
      </c>
      <c r="E368" s="128" t="s">
        <v>108</v>
      </c>
      <c r="F368" s="128" t="b">
        <v>1</v>
      </c>
      <c r="H368" s="128" t="s">
        <v>79</v>
      </c>
      <c r="I368" s="128">
        <v>5</v>
      </c>
      <c r="J368" s="128" t="b">
        <v>0</v>
      </c>
      <c r="L368" s="104">
        <v>6637036</v>
      </c>
      <c r="M368" s="128">
        <v>9999</v>
      </c>
      <c r="P368" s="101">
        <v>5</v>
      </c>
      <c r="Q368" s="101">
        <v>7</v>
      </c>
    </row>
    <row r="369" spans="1:17">
      <c r="A369" s="128">
        <v>100321</v>
      </c>
      <c r="B369" s="129" t="s">
        <v>823</v>
      </c>
      <c r="C369" s="128" t="s">
        <v>137</v>
      </c>
      <c r="D369" s="128">
        <v>2006</v>
      </c>
      <c r="E369" s="128" t="s">
        <v>108</v>
      </c>
      <c r="F369" s="128" t="b">
        <v>1</v>
      </c>
      <c r="H369" s="128" t="s">
        <v>79</v>
      </c>
      <c r="I369" s="128">
        <v>5</v>
      </c>
      <c r="J369" s="128" t="b">
        <v>0</v>
      </c>
      <c r="L369" s="104">
        <v>6637033</v>
      </c>
      <c r="M369" s="128">
        <v>9999</v>
      </c>
      <c r="P369" s="101">
        <v>5</v>
      </c>
      <c r="Q369" s="101">
        <v>7</v>
      </c>
    </row>
    <row r="370" spans="1:17">
      <c r="A370" s="128">
        <v>100322</v>
      </c>
      <c r="B370" s="129" t="s">
        <v>824</v>
      </c>
      <c r="C370" s="128" t="s">
        <v>137</v>
      </c>
      <c r="D370" s="128">
        <v>2006</v>
      </c>
      <c r="E370" s="128" t="s">
        <v>108</v>
      </c>
      <c r="F370" s="128" t="b">
        <v>1</v>
      </c>
      <c r="H370" s="128" t="s">
        <v>79</v>
      </c>
      <c r="I370" s="128">
        <v>5</v>
      </c>
      <c r="J370" s="128" t="b">
        <v>0</v>
      </c>
      <c r="L370" s="104">
        <v>6637034</v>
      </c>
      <c r="M370" s="128">
        <v>9999</v>
      </c>
      <c r="P370" s="101">
        <v>5</v>
      </c>
      <c r="Q370" s="101">
        <v>7</v>
      </c>
    </row>
    <row r="371" spans="1:17">
      <c r="A371" s="128">
        <v>100323</v>
      </c>
      <c r="B371" s="129" t="s">
        <v>825</v>
      </c>
      <c r="C371" s="128" t="s">
        <v>137</v>
      </c>
      <c r="D371" s="128">
        <v>2006</v>
      </c>
      <c r="E371" s="128" t="s">
        <v>108</v>
      </c>
      <c r="F371" s="128" t="b">
        <v>1</v>
      </c>
      <c r="H371" s="128" t="s">
        <v>79</v>
      </c>
      <c r="I371" s="128">
        <v>5</v>
      </c>
      <c r="J371" s="128" t="b">
        <v>0</v>
      </c>
      <c r="L371" s="104">
        <v>6637035</v>
      </c>
      <c r="M371" s="128">
        <v>9999</v>
      </c>
      <c r="P371" s="101">
        <v>5</v>
      </c>
      <c r="Q371" s="101">
        <v>7</v>
      </c>
    </row>
    <row r="372" spans="1:17">
      <c r="A372" s="128">
        <v>100324</v>
      </c>
      <c r="B372" s="129" t="s">
        <v>826</v>
      </c>
      <c r="C372" s="128" t="s">
        <v>137</v>
      </c>
      <c r="D372" s="128">
        <v>2006</v>
      </c>
      <c r="E372" s="128" t="s">
        <v>108</v>
      </c>
      <c r="F372" s="128" t="b">
        <v>1</v>
      </c>
      <c r="H372" s="128" t="s">
        <v>79</v>
      </c>
      <c r="I372" s="128">
        <v>5</v>
      </c>
      <c r="J372" s="128" t="b">
        <v>0</v>
      </c>
      <c r="L372" s="104">
        <v>6637036</v>
      </c>
      <c r="M372" s="128">
        <v>9999</v>
      </c>
      <c r="P372" s="101">
        <v>5</v>
      </c>
      <c r="Q372" s="101">
        <v>7</v>
      </c>
    </row>
    <row r="373" spans="1:17">
      <c r="A373" s="128">
        <v>100325</v>
      </c>
      <c r="B373" s="129" t="s">
        <v>827</v>
      </c>
      <c r="C373" s="128" t="s">
        <v>137</v>
      </c>
      <c r="D373" s="128">
        <v>2006</v>
      </c>
      <c r="E373" s="128" t="s">
        <v>108</v>
      </c>
      <c r="F373" s="128" t="b">
        <v>1</v>
      </c>
      <c r="H373" s="128" t="s">
        <v>79</v>
      </c>
      <c r="I373" s="128">
        <v>5</v>
      </c>
      <c r="J373" s="128" t="b">
        <v>0</v>
      </c>
      <c r="L373" s="104">
        <v>6637033</v>
      </c>
      <c r="M373" s="128">
        <v>9999</v>
      </c>
      <c r="P373" s="101">
        <v>5</v>
      </c>
      <c r="Q373" s="101">
        <v>7</v>
      </c>
    </row>
    <row r="374" spans="1:17">
      <c r="A374" s="128">
        <v>100326</v>
      </c>
      <c r="B374" s="129" t="s">
        <v>828</v>
      </c>
      <c r="C374" s="128" t="s">
        <v>137</v>
      </c>
      <c r="D374" s="128">
        <v>2006</v>
      </c>
      <c r="E374" s="128" t="s">
        <v>108</v>
      </c>
      <c r="F374" s="128" t="b">
        <v>1</v>
      </c>
      <c r="H374" s="128" t="s">
        <v>79</v>
      </c>
      <c r="I374" s="128">
        <v>5</v>
      </c>
      <c r="J374" s="128" t="b">
        <v>0</v>
      </c>
      <c r="L374" s="104">
        <v>6637034</v>
      </c>
      <c r="M374" s="128">
        <v>9999</v>
      </c>
      <c r="P374" s="101">
        <v>5</v>
      </c>
      <c r="Q374" s="101">
        <v>7</v>
      </c>
    </row>
    <row r="375" spans="1:17">
      <c r="A375" s="128">
        <v>100327</v>
      </c>
      <c r="B375" s="129" t="s">
        <v>829</v>
      </c>
      <c r="C375" s="128" t="s">
        <v>137</v>
      </c>
      <c r="D375" s="128">
        <v>2006</v>
      </c>
      <c r="E375" s="128" t="s">
        <v>108</v>
      </c>
      <c r="F375" s="128" t="b">
        <v>1</v>
      </c>
      <c r="H375" s="128" t="s">
        <v>79</v>
      </c>
      <c r="I375" s="128">
        <v>5</v>
      </c>
      <c r="J375" s="128" t="b">
        <v>0</v>
      </c>
      <c r="L375" s="104">
        <v>6637035</v>
      </c>
      <c r="M375" s="128">
        <v>9999</v>
      </c>
      <c r="P375" s="101">
        <v>5</v>
      </c>
      <c r="Q375" s="101">
        <v>7</v>
      </c>
    </row>
    <row r="376" spans="1:17" ht="16.5">
      <c r="A376" s="18">
        <v>100328</v>
      </c>
      <c r="B376" s="144" t="s">
        <v>830</v>
      </c>
      <c r="C376" s="128" t="s">
        <v>137</v>
      </c>
      <c r="D376" s="128">
        <v>2006</v>
      </c>
      <c r="E376" s="128" t="s">
        <v>108</v>
      </c>
      <c r="F376" s="128" t="b">
        <v>1</v>
      </c>
      <c r="H376" s="128" t="s">
        <v>79</v>
      </c>
      <c r="I376" s="128">
        <v>5</v>
      </c>
      <c r="J376" s="128" t="b">
        <v>0</v>
      </c>
      <c r="L376" s="104">
        <v>6637036</v>
      </c>
      <c r="M376" s="128">
        <v>9999</v>
      </c>
      <c r="P376" s="101">
        <v>5</v>
      </c>
      <c r="Q376" s="101">
        <v>7</v>
      </c>
    </row>
    <row r="377" spans="1:17" ht="16.5">
      <c r="A377" s="18">
        <v>100329</v>
      </c>
      <c r="B377" s="144" t="s">
        <v>831</v>
      </c>
      <c r="C377" s="128" t="s">
        <v>137</v>
      </c>
      <c r="D377" s="128">
        <v>2006</v>
      </c>
      <c r="E377" s="128" t="s">
        <v>108</v>
      </c>
      <c r="F377" s="128" t="b">
        <v>1</v>
      </c>
      <c r="H377" s="128" t="s">
        <v>79</v>
      </c>
      <c r="I377" s="128">
        <v>5</v>
      </c>
      <c r="J377" s="128" t="b">
        <v>0</v>
      </c>
      <c r="L377" s="104">
        <v>6637033</v>
      </c>
      <c r="M377" s="128">
        <v>9999</v>
      </c>
      <c r="P377" s="101">
        <v>5</v>
      </c>
      <c r="Q377" s="101">
        <v>7</v>
      </c>
    </row>
    <row r="378" spans="1:17" ht="16.5">
      <c r="A378" s="18">
        <v>100330</v>
      </c>
      <c r="B378" s="144" t="s">
        <v>832</v>
      </c>
      <c r="C378" s="128" t="s">
        <v>137</v>
      </c>
      <c r="D378" s="128">
        <v>2006</v>
      </c>
      <c r="E378" s="128" t="s">
        <v>108</v>
      </c>
      <c r="F378" s="128" t="b">
        <v>1</v>
      </c>
      <c r="H378" s="128" t="s">
        <v>79</v>
      </c>
      <c r="I378" s="128">
        <v>5</v>
      </c>
      <c r="J378" s="128" t="b">
        <v>0</v>
      </c>
      <c r="L378" s="104">
        <v>6637034</v>
      </c>
      <c r="M378" s="128">
        <v>9999</v>
      </c>
      <c r="P378" s="101">
        <v>5</v>
      </c>
      <c r="Q378" s="101">
        <v>7</v>
      </c>
    </row>
    <row r="379" spans="1:17" ht="16.5">
      <c r="A379" s="18">
        <v>100331</v>
      </c>
      <c r="B379" s="144" t="s">
        <v>833</v>
      </c>
      <c r="C379" s="128" t="s">
        <v>137</v>
      </c>
      <c r="D379" s="128">
        <v>2006</v>
      </c>
      <c r="E379" s="128" t="s">
        <v>108</v>
      </c>
      <c r="F379" s="128" t="b">
        <v>1</v>
      </c>
      <c r="H379" s="128" t="s">
        <v>79</v>
      </c>
      <c r="I379" s="128">
        <v>5</v>
      </c>
      <c r="J379" s="128" t="b">
        <v>0</v>
      </c>
      <c r="L379" s="104">
        <v>6637035</v>
      </c>
      <c r="M379" s="128">
        <v>9999</v>
      </c>
      <c r="P379" s="101">
        <v>5</v>
      </c>
      <c r="Q379" s="101">
        <v>7</v>
      </c>
    </row>
    <row r="380" spans="1:17" ht="16.5">
      <c r="A380" s="18">
        <v>100332</v>
      </c>
      <c r="B380" s="144" t="s">
        <v>834</v>
      </c>
      <c r="C380" s="128" t="s">
        <v>137</v>
      </c>
      <c r="D380" s="128">
        <v>2006</v>
      </c>
      <c r="E380" s="128" t="s">
        <v>108</v>
      </c>
      <c r="F380" s="128" t="b">
        <v>1</v>
      </c>
      <c r="H380" s="128" t="s">
        <v>79</v>
      </c>
      <c r="I380" s="128">
        <v>5</v>
      </c>
      <c r="J380" s="128" t="b">
        <v>0</v>
      </c>
      <c r="L380" s="104">
        <v>6637036</v>
      </c>
      <c r="M380" s="128">
        <v>9999</v>
      </c>
      <c r="P380" s="101">
        <v>5</v>
      </c>
      <c r="Q380" s="101">
        <v>7</v>
      </c>
    </row>
    <row r="381" spans="1:17" ht="16.5">
      <c r="A381" s="18">
        <v>100333</v>
      </c>
      <c r="B381" s="144" t="s">
        <v>835</v>
      </c>
      <c r="C381" s="128" t="s">
        <v>137</v>
      </c>
      <c r="D381" s="128">
        <v>2006</v>
      </c>
      <c r="E381" s="128" t="s">
        <v>108</v>
      </c>
      <c r="F381" s="128" t="b">
        <v>1</v>
      </c>
      <c r="H381" s="128" t="s">
        <v>79</v>
      </c>
      <c r="I381" s="128">
        <v>5</v>
      </c>
      <c r="J381" s="128" t="b">
        <v>0</v>
      </c>
      <c r="L381" s="104">
        <v>6637033</v>
      </c>
      <c r="M381" s="128">
        <v>9999</v>
      </c>
      <c r="P381" s="101">
        <v>5</v>
      </c>
      <c r="Q381" s="101">
        <v>7</v>
      </c>
    </row>
    <row r="382" spans="1:17" ht="16.5">
      <c r="A382" s="18">
        <v>100334</v>
      </c>
      <c r="B382" s="144" t="s">
        <v>836</v>
      </c>
      <c r="C382" s="128" t="s">
        <v>137</v>
      </c>
      <c r="D382" s="128">
        <v>2006</v>
      </c>
      <c r="E382" s="128" t="s">
        <v>108</v>
      </c>
      <c r="F382" s="128" t="b">
        <v>1</v>
      </c>
      <c r="H382" s="128" t="s">
        <v>79</v>
      </c>
      <c r="I382" s="128">
        <v>5</v>
      </c>
      <c r="J382" s="128" t="b">
        <v>0</v>
      </c>
      <c r="L382" s="104">
        <v>6637034</v>
      </c>
      <c r="M382" s="128">
        <v>9999</v>
      </c>
      <c r="P382" s="101">
        <v>5</v>
      </c>
      <c r="Q382" s="101">
        <v>7</v>
      </c>
    </row>
    <row r="383" spans="1:17" ht="16.5">
      <c r="A383" s="18">
        <v>100335</v>
      </c>
      <c r="B383" s="144" t="s">
        <v>837</v>
      </c>
      <c r="C383" s="128" t="s">
        <v>137</v>
      </c>
      <c r="D383" s="128">
        <v>2006</v>
      </c>
      <c r="E383" s="128" t="s">
        <v>108</v>
      </c>
      <c r="F383" s="128" t="b">
        <v>1</v>
      </c>
      <c r="H383" s="128" t="s">
        <v>79</v>
      </c>
      <c r="I383" s="128">
        <v>5</v>
      </c>
      <c r="J383" s="128" t="b">
        <v>0</v>
      </c>
      <c r="L383" s="104">
        <v>6637035</v>
      </c>
      <c r="M383" s="128">
        <v>9999</v>
      </c>
      <c r="P383" s="101">
        <v>5</v>
      </c>
      <c r="Q383" s="101">
        <v>7</v>
      </c>
    </row>
    <row r="384" spans="1:17" ht="16.5">
      <c r="A384" s="18">
        <v>100336</v>
      </c>
      <c r="B384" s="144" t="s">
        <v>838</v>
      </c>
      <c r="C384" s="128" t="s">
        <v>137</v>
      </c>
      <c r="D384" s="128">
        <v>2006</v>
      </c>
      <c r="E384" s="128" t="s">
        <v>108</v>
      </c>
      <c r="F384" s="128" t="b">
        <v>1</v>
      </c>
      <c r="H384" s="128" t="s">
        <v>79</v>
      </c>
      <c r="I384" s="128">
        <v>5</v>
      </c>
      <c r="J384" s="128" t="b">
        <v>0</v>
      </c>
      <c r="L384" s="104">
        <v>6637036</v>
      </c>
      <c r="M384" s="128">
        <v>9999</v>
      </c>
      <c r="P384" s="101">
        <v>5</v>
      </c>
      <c r="Q384" s="101">
        <v>7</v>
      </c>
    </row>
    <row r="385" spans="1:17" ht="16.5">
      <c r="A385" s="18">
        <v>100337</v>
      </c>
      <c r="B385" s="144" t="s">
        <v>839</v>
      </c>
      <c r="C385" s="128" t="s">
        <v>137</v>
      </c>
      <c r="D385" s="128">
        <v>2006</v>
      </c>
      <c r="E385" s="128" t="s">
        <v>108</v>
      </c>
      <c r="F385" s="128" t="b">
        <v>1</v>
      </c>
      <c r="H385" s="128" t="s">
        <v>79</v>
      </c>
      <c r="I385" s="128">
        <v>5</v>
      </c>
      <c r="J385" s="128" t="b">
        <v>0</v>
      </c>
      <c r="L385" s="104">
        <v>6637033</v>
      </c>
      <c r="M385" s="128">
        <v>9999</v>
      </c>
      <c r="P385" s="101">
        <v>5</v>
      </c>
      <c r="Q385" s="101">
        <v>7</v>
      </c>
    </row>
    <row r="386" spans="1:17" ht="16.5">
      <c r="A386" s="18">
        <v>100338</v>
      </c>
      <c r="B386" s="144" t="s">
        <v>840</v>
      </c>
      <c r="C386" s="128" t="s">
        <v>137</v>
      </c>
      <c r="D386" s="128">
        <v>2006</v>
      </c>
      <c r="E386" s="128" t="s">
        <v>108</v>
      </c>
      <c r="F386" s="128" t="b">
        <v>1</v>
      </c>
      <c r="H386" s="128" t="s">
        <v>79</v>
      </c>
      <c r="I386" s="128">
        <v>5</v>
      </c>
      <c r="J386" s="128" t="b">
        <v>0</v>
      </c>
      <c r="L386" s="104">
        <v>6637034</v>
      </c>
      <c r="M386" s="128">
        <v>9999</v>
      </c>
      <c r="P386" s="101">
        <v>5</v>
      </c>
      <c r="Q386" s="101">
        <v>7</v>
      </c>
    </row>
    <row r="387" spans="1:17" ht="16.5">
      <c r="A387" s="18">
        <v>100339</v>
      </c>
      <c r="B387" s="144" t="s">
        <v>841</v>
      </c>
      <c r="C387" s="128" t="s">
        <v>137</v>
      </c>
      <c r="D387" s="128">
        <v>2006</v>
      </c>
      <c r="E387" s="128" t="s">
        <v>108</v>
      </c>
      <c r="F387" s="128" t="b">
        <v>1</v>
      </c>
      <c r="H387" s="128" t="s">
        <v>79</v>
      </c>
      <c r="I387" s="128">
        <v>5</v>
      </c>
      <c r="J387" s="128" t="b">
        <v>0</v>
      </c>
      <c r="L387" s="104">
        <v>6637035</v>
      </c>
      <c r="M387" s="128">
        <v>9999</v>
      </c>
      <c r="P387" s="101">
        <v>5</v>
      </c>
      <c r="Q387" s="101">
        <v>7</v>
      </c>
    </row>
    <row r="388" spans="1:17" ht="16.5">
      <c r="A388" s="18">
        <v>100340</v>
      </c>
      <c r="B388" s="144" t="s">
        <v>842</v>
      </c>
      <c r="C388" s="128" t="s">
        <v>137</v>
      </c>
      <c r="D388" s="128">
        <v>2006</v>
      </c>
      <c r="E388" s="128" t="s">
        <v>108</v>
      </c>
      <c r="F388" s="128" t="b">
        <v>1</v>
      </c>
      <c r="H388" s="128" t="s">
        <v>79</v>
      </c>
      <c r="I388" s="128">
        <v>5</v>
      </c>
      <c r="J388" s="128" t="b">
        <v>0</v>
      </c>
      <c r="L388" s="104">
        <v>6637036</v>
      </c>
      <c r="M388" s="128">
        <v>9999</v>
      </c>
      <c r="P388" s="101">
        <v>5</v>
      </c>
      <c r="Q388" s="101">
        <v>7</v>
      </c>
    </row>
    <row r="389" spans="1:17" ht="16.5">
      <c r="A389" s="18">
        <v>100341</v>
      </c>
      <c r="B389" s="144" t="s">
        <v>843</v>
      </c>
      <c r="C389" s="128" t="s">
        <v>137</v>
      </c>
      <c r="D389" s="128">
        <v>2006</v>
      </c>
      <c r="E389" s="128" t="s">
        <v>108</v>
      </c>
      <c r="F389" s="128" t="b">
        <v>1</v>
      </c>
      <c r="H389" s="128" t="s">
        <v>79</v>
      </c>
      <c r="I389" s="128">
        <v>5</v>
      </c>
      <c r="J389" s="128" t="b">
        <v>0</v>
      </c>
      <c r="L389" s="104">
        <v>6637033</v>
      </c>
      <c r="M389" s="128">
        <v>9999</v>
      </c>
      <c r="P389" s="101">
        <v>5</v>
      </c>
      <c r="Q389" s="101">
        <v>7</v>
      </c>
    </row>
    <row r="390" spans="1:17" ht="16.5">
      <c r="A390" s="18">
        <v>100342</v>
      </c>
      <c r="B390" s="144" t="s">
        <v>844</v>
      </c>
      <c r="C390" s="128" t="s">
        <v>137</v>
      </c>
      <c r="D390" s="128">
        <v>2006</v>
      </c>
      <c r="E390" s="128" t="s">
        <v>108</v>
      </c>
      <c r="F390" s="128" t="b">
        <v>1</v>
      </c>
      <c r="H390" s="128" t="s">
        <v>79</v>
      </c>
      <c r="I390" s="128">
        <v>5</v>
      </c>
      <c r="J390" s="128" t="b">
        <v>0</v>
      </c>
      <c r="L390" s="104">
        <v>6637034</v>
      </c>
      <c r="M390" s="128">
        <v>9999</v>
      </c>
      <c r="P390" s="101">
        <v>5</v>
      </c>
      <c r="Q390" s="101">
        <v>7</v>
      </c>
    </row>
    <row r="391" spans="1:17" ht="16.5">
      <c r="A391" s="18">
        <v>100343</v>
      </c>
      <c r="B391" s="144" t="s">
        <v>845</v>
      </c>
      <c r="C391" s="128" t="s">
        <v>137</v>
      </c>
      <c r="D391" s="128">
        <v>2006</v>
      </c>
      <c r="E391" s="128" t="s">
        <v>108</v>
      </c>
      <c r="F391" s="128" t="b">
        <v>1</v>
      </c>
      <c r="H391" s="128" t="s">
        <v>79</v>
      </c>
      <c r="I391" s="128">
        <v>5</v>
      </c>
      <c r="J391" s="128" t="b">
        <v>0</v>
      </c>
      <c r="L391" s="104">
        <v>6637035</v>
      </c>
      <c r="M391" s="128">
        <v>9999</v>
      </c>
      <c r="P391" s="101">
        <v>5</v>
      </c>
      <c r="Q391" s="101">
        <v>7</v>
      </c>
    </row>
    <row r="392" spans="1:17" ht="16.5">
      <c r="A392" s="18">
        <v>100344</v>
      </c>
      <c r="B392" s="144" t="s">
        <v>846</v>
      </c>
      <c r="C392" s="128" t="s">
        <v>137</v>
      </c>
      <c r="D392" s="128">
        <v>2006</v>
      </c>
      <c r="E392" s="128" t="s">
        <v>108</v>
      </c>
      <c r="F392" s="128" t="b">
        <v>1</v>
      </c>
      <c r="H392" s="128" t="s">
        <v>79</v>
      </c>
      <c r="I392" s="128">
        <v>5</v>
      </c>
      <c r="J392" s="128" t="b">
        <v>0</v>
      </c>
      <c r="L392" s="104">
        <v>6637036</v>
      </c>
      <c r="M392" s="128">
        <v>9999</v>
      </c>
      <c r="P392" s="101">
        <v>5</v>
      </c>
      <c r="Q392" s="101">
        <v>7</v>
      </c>
    </row>
    <row r="393" spans="1:17" ht="16.5">
      <c r="A393" s="18">
        <v>100345</v>
      </c>
      <c r="B393" s="144" t="s">
        <v>847</v>
      </c>
      <c r="C393" s="128" t="s">
        <v>137</v>
      </c>
      <c r="D393" s="128">
        <v>2006</v>
      </c>
      <c r="E393" s="128" t="s">
        <v>108</v>
      </c>
      <c r="F393" s="128" t="b">
        <v>1</v>
      </c>
      <c r="H393" s="128" t="s">
        <v>79</v>
      </c>
      <c r="I393" s="128">
        <v>5</v>
      </c>
      <c r="J393" s="128" t="b">
        <v>0</v>
      </c>
      <c r="L393" s="104">
        <v>6637033</v>
      </c>
      <c r="M393" s="128">
        <v>9999</v>
      </c>
      <c r="P393" s="101">
        <v>5</v>
      </c>
      <c r="Q393" s="101">
        <v>7</v>
      </c>
    </row>
    <row r="394" spans="1:17" ht="16.5">
      <c r="A394" s="18">
        <v>100346</v>
      </c>
      <c r="B394" s="144" t="s">
        <v>848</v>
      </c>
      <c r="C394" s="128" t="s">
        <v>137</v>
      </c>
      <c r="D394" s="128">
        <v>2006</v>
      </c>
      <c r="E394" s="128" t="s">
        <v>108</v>
      </c>
      <c r="F394" s="128" t="b">
        <v>1</v>
      </c>
      <c r="H394" s="128" t="s">
        <v>79</v>
      </c>
      <c r="I394" s="128">
        <v>5</v>
      </c>
      <c r="J394" s="128" t="b">
        <v>0</v>
      </c>
      <c r="L394" s="104">
        <v>6637034</v>
      </c>
      <c r="M394" s="128">
        <v>9999</v>
      </c>
      <c r="P394" s="101">
        <v>5</v>
      </c>
      <c r="Q394" s="101">
        <v>7</v>
      </c>
    </row>
    <row r="395" spans="1:17" ht="16.5">
      <c r="A395" s="18">
        <v>100347</v>
      </c>
      <c r="B395" s="144" t="s">
        <v>849</v>
      </c>
      <c r="C395" s="128" t="s">
        <v>137</v>
      </c>
      <c r="D395" s="128">
        <v>2006</v>
      </c>
      <c r="E395" s="128" t="s">
        <v>108</v>
      </c>
      <c r="F395" s="128" t="b">
        <v>1</v>
      </c>
      <c r="H395" s="128" t="s">
        <v>79</v>
      </c>
      <c r="I395" s="128">
        <v>5</v>
      </c>
      <c r="J395" s="128" t="b">
        <v>0</v>
      </c>
      <c r="L395" s="104">
        <v>6637035</v>
      </c>
      <c r="M395" s="128">
        <v>9999</v>
      </c>
      <c r="P395" s="101">
        <v>5</v>
      </c>
      <c r="Q395" s="101">
        <v>7</v>
      </c>
    </row>
    <row r="396" spans="1:17" ht="16.5">
      <c r="A396" s="18">
        <v>100348</v>
      </c>
      <c r="B396" s="144" t="s">
        <v>850</v>
      </c>
      <c r="C396" s="128" t="s">
        <v>137</v>
      </c>
      <c r="D396" s="128">
        <v>2006</v>
      </c>
      <c r="E396" s="128" t="s">
        <v>108</v>
      </c>
      <c r="F396" s="128" t="b">
        <v>1</v>
      </c>
      <c r="H396" s="128" t="s">
        <v>79</v>
      </c>
      <c r="I396" s="128">
        <v>5</v>
      </c>
      <c r="J396" s="128" t="b">
        <v>0</v>
      </c>
      <c r="L396" s="104">
        <v>6637036</v>
      </c>
      <c r="M396" s="128">
        <v>9999</v>
      </c>
      <c r="P396" s="101">
        <v>5</v>
      </c>
      <c r="Q396" s="101">
        <v>7</v>
      </c>
    </row>
    <row r="397" spans="1:17" ht="16.5">
      <c r="A397" s="18">
        <v>100349</v>
      </c>
      <c r="B397" s="144" t="s">
        <v>851</v>
      </c>
      <c r="C397" s="128" t="s">
        <v>137</v>
      </c>
      <c r="D397" s="128">
        <v>2006</v>
      </c>
      <c r="E397" s="128" t="s">
        <v>108</v>
      </c>
      <c r="F397" s="128" t="b">
        <v>1</v>
      </c>
      <c r="H397" s="128" t="s">
        <v>79</v>
      </c>
      <c r="I397" s="128">
        <v>5</v>
      </c>
      <c r="J397" s="128" t="b">
        <v>0</v>
      </c>
      <c r="L397" s="104">
        <v>6637033</v>
      </c>
      <c r="M397" s="128">
        <v>9999</v>
      </c>
      <c r="P397" s="101">
        <v>5</v>
      </c>
      <c r="Q397" s="101">
        <v>7</v>
      </c>
    </row>
    <row r="398" spans="1:17" ht="16.5">
      <c r="A398" s="18">
        <v>100350</v>
      </c>
      <c r="B398" s="144" t="s">
        <v>852</v>
      </c>
      <c r="C398" s="128" t="s">
        <v>137</v>
      </c>
      <c r="D398" s="128">
        <v>2006</v>
      </c>
      <c r="E398" s="128" t="s">
        <v>108</v>
      </c>
      <c r="F398" s="128" t="b">
        <v>1</v>
      </c>
      <c r="H398" s="128" t="s">
        <v>79</v>
      </c>
      <c r="I398" s="128">
        <v>5</v>
      </c>
      <c r="J398" s="128" t="b">
        <v>0</v>
      </c>
      <c r="L398" s="104">
        <v>6637034</v>
      </c>
      <c r="M398" s="128">
        <v>9999</v>
      </c>
      <c r="P398" s="101">
        <v>5</v>
      </c>
      <c r="Q398" s="101">
        <v>7</v>
      </c>
    </row>
    <row r="399" spans="1:17" ht="16.5">
      <c r="A399" s="18">
        <v>100351</v>
      </c>
      <c r="B399" s="144" t="s">
        <v>853</v>
      </c>
      <c r="C399" s="128" t="s">
        <v>137</v>
      </c>
      <c r="D399" s="128">
        <v>2006</v>
      </c>
      <c r="E399" s="128" t="s">
        <v>108</v>
      </c>
      <c r="F399" s="128" t="b">
        <v>1</v>
      </c>
      <c r="H399" s="128" t="s">
        <v>79</v>
      </c>
      <c r="I399" s="128">
        <v>5</v>
      </c>
      <c r="J399" s="128" t="b">
        <v>0</v>
      </c>
      <c r="L399" s="104">
        <v>6637035</v>
      </c>
      <c r="M399" s="128">
        <v>9999</v>
      </c>
      <c r="P399" s="101">
        <v>5</v>
      </c>
      <c r="Q399" s="101">
        <v>7</v>
      </c>
    </row>
    <row r="400" spans="1:17" ht="16.5">
      <c r="A400" s="18">
        <v>100352</v>
      </c>
      <c r="B400" s="144" t="s">
        <v>854</v>
      </c>
      <c r="C400" s="128" t="s">
        <v>137</v>
      </c>
      <c r="D400" s="128">
        <v>2006</v>
      </c>
      <c r="E400" s="128" t="s">
        <v>108</v>
      </c>
      <c r="F400" s="128" t="b">
        <v>1</v>
      </c>
      <c r="H400" s="128" t="s">
        <v>79</v>
      </c>
      <c r="I400" s="128">
        <v>5</v>
      </c>
      <c r="J400" s="128" t="b">
        <v>0</v>
      </c>
      <c r="L400" s="104">
        <v>6637036</v>
      </c>
      <c r="M400" s="128">
        <v>9999</v>
      </c>
      <c r="P400" s="101">
        <v>5</v>
      </c>
      <c r="Q400" s="101">
        <v>7</v>
      </c>
    </row>
    <row r="401" spans="1:17" ht="16.5">
      <c r="A401" s="18">
        <v>100353</v>
      </c>
      <c r="B401" s="144" t="s">
        <v>855</v>
      </c>
      <c r="C401" s="128" t="s">
        <v>137</v>
      </c>
      <c r="D401" s="128">
        <v>2006</v>
      </c>
      <c r="E401" s="128" t="s">
        <v>108</v>
      </c>
      <c r="F401" s="128" t="b">
        <v>1</v>
      </c>
      <c r="H401" s="128" t="s">
        <v>79</v>
      </c>
      <c r="I401" s="128">
        <v>5</v>
      </c>
      <c r="J401" s="128" t="b">
        <v>0</v>
      </c>
      <c r="L401" s="104">
        <v>6637033</v>
      </c>
      <c r="M401" s="128">
        <v>9999</v>
      </c>
      <c r="P401" s="101">
        <v>5</v>
      </c>
      <c r="Q401" s="101">
        <v>7</v>
      </c>
    </row>
    <row r="402" spans="1:17" ht="16.5">
      <c r="A402" s="18">
        <v>100354</v>
      </c>
      <c r="B402" s="144" t="s">
        <v>856</v>
      </c>
      <c r="C402" s="128" t="s">
        <v>137</v>
      </c>
      <c r="D402" s="128">
        <v>2006</v>
      </c>
      <c r="E402" s="128" t="s">
        <v>108</v>
      </c>
      <c r="F402" s="128" t="b">
        <v>1</v>
      </c>
      <c r="H402" s="128" t="s">
        <v>79</v>
      </c>
      <c r="I402" s="128">
        <v>5</v>
      </c>
      <c r="J402" s="128" t="b">
        <v>0</v>
      </c>
      <c r="L402" s="104">
        <v>6637034</v>
      </c>
      <c r="M402" s="128">
        <v>9999</v>
      </c>
      <c r="P402" s="101">
        <v>5</v>
      </c>
      <c r="Q402" s="101">
        <v>7</v>
      </c>
    </row>
    <row r="403" spans="1:17" ht="16.5">
      <c r="A403" s="18">
        <v>100355</v>
      </c>
      <c r="B403" s="144" t="s">
        <v>857</v>
      </c>
      <c r="C403" s="128" t="s">
        <v>137</v>
      </c>
      <c r="D403" s="128">
        <v>2006</v>
      </c>
      <c r="E403" s="128" t="s">
        <v>108</v>
      </c>
      <c r="F403" s="128" t="b">
        <v>1</v>
      </c>
      <c r="H403" s="128" t="s">
        <v>79</v>
      </c>
      <c r="I403" s="128">
        <v>5</v>
      </c>
      <c r="J403" s="128" t="b">
        <v>0</v>
      </c>
      <c r="L403" s="104">
        <v>6637035</v>
      </c>
      <c r="M403" s="128">
        <v>9999</v>
      </c>
      <c r="P403" s="101">
        <v>5</v>
      </c>
      <c r="Q403" s="101">
        <v>7</v>
      </c>
    </row>
    <row r="404" spans="1:17" ht="16.5">
      <c r="A404" s="18">
        <v>100356</v>
      </c>
      <c r="B404" s="144" t="s">
        <v>858</v>
      </c>
      <c r="C404" s="128" t="s">
        <v>137</v>
      </c>
      <c r="D404" s="128">
        <v>2006</v>
      </c>
      <c r="E404" s="128" t="s">
        <v>108</v>
      </c>
      <c r="F404" s="128" t="b">
        <v>1</v>
      </c>
      <c r="H404" s="128" t="s">
        <v>79</v>
      </c>
      <c r="I404" s="128">
        <v>5</v>
      </c>
      <c r="J404" s="128" t="b">
        <v>0</v>
      </c>
      <c r="L404" s="104">
        <v>6637036</v>
      </c>
      <c r="M404" s="128">
        <v>9999</v>
      </c>
      <c r="P404" s="101">
        <v>5</v>
      </c>
      <c r="Q404" s="101">
        <v>7</v>
      </c>
    </row>
    <row r="405" spans="1:17" ht="16.5">
      <c r="A405" s="18">
        <v>100357</v>
      </c>
      <c r="B405" s="144" t="s">
        <v>859</v>
      </c>
      <c r="C405" s="128" t="s">
        <v>137</v>
      </c>
      <c r="D405" s="128">
        <v>2006</v>
      </c>
      <c r="E405" s="128" t="s">
        <v>108</v>
      </c>
      <c r="F405" s="128" t="b">
        <v>1</v>
      </c>
      <c r="H405" s="128" t="s">
        <v>79</v>
      </c>
      <c r="I405" s="128">
        <v>5</v>
      </c>
      <c r="J405" s="128" t="b">
        <v>0</v>
      </c>
      <c r="L405" s="104">
        <v>6637033</v>
      </c>
      <c r="M405" s="128">
        <v>9999</v>
      </c>
      <c r="P405" s="101">
        <v>5</v>
      </c>
      <c r="Q405" s="101">
        <v>7</v>
      </c>
    </row>
    <row r="406" spans="1:17" ht="16.5">
      <c r="A406" s="18">
        <v>100358</v>
      </c>
      <c r="B406" s="144" t="s">
        <v>860</v>
      </c>
      <c r="C406" s="128" t="s">
        <v>137</v>
      </c>
      <c r="D406" s="128">
        <v>2006</v>
      </c>
      <c r="E406" s="128" t="s">
        <v>108</v>
      </c>
      <c r="F406" s="128" t="b">
        <v>1</v>
      </c>
      <c r="H406" s="128" t="s">
        <v>79</v>
      </c>
      <c r="I406" s="128">
        <v>5</v>
      </c>
      <c r="J406" s="128" t="b">
        <v>0</v>
      </c>
      <c r="L406" s="104">
        <v>6637034</v>
      </c>
      <c r="M406" s="128">
        <v>9999</v>
      </c>
      <c r="P406" s="101">
        <v>5</v>
      </c>
      <c r="Q406" s="101">
        <v>7</v>
      </c>
    </row>
    <row r="407" spans="1:17" ht="16.5">
      <c r="A407" s="18">
        <v>100359</v>
      </c>
      <c r="B407" s="144" t="s">
        <v>861</v>
      </c>
      <c r="C407" s="128" t="s">
        <v>137</v>
      </c>
      <c r="D407" s="128">
        <v>2006</v>
      </c>
      <c r="E407" s="128" t="s">
        <v>108</v>
      </c>
      <c r="F407" s="128" t="b">
        <v>1</v>
      </c>
      <c r="H407" s="128" t="s">
        <v>79</v>
      </c>
      <c r="I407" s="128">
        <v>5</v>
      </c>
      <c r="J407" s="128" t="b">
        <v>0</v>
      </c>
      <c r="L407" s="104">
        <v>6637035</v>
      </c>
      <c r="M407" s="128">
        <v>9999</v>
      </c>
      <c r="P407" s="101">
        <v>5</v>
      </c>
      <c r="Q407" s="101">
        <v>7</v>
      </c>
    </row>
    <row r="408" spans="1:17" ht="16.5">
      <c r="A408" s="18">
        <v>100360</v>
      </c>
      <c r="B408" s="144" t="s">
        <v>862</v>
      </c>
      <c r="C408" s="128" t="s">
        <v>137</v>
      </c>
      <c r="D408" s="128">
        <v>2006</v>
      </c>
      <c r="E408" s="128" t="s">
        <v>108</v>
      </c>
      <c r="F408" s="128" t="b">
        <v>1</v>
      </c>
      <c r="H408" s="128" t="s">
        <v>79</v>
      </c>
      <c r="I408" s="128">
        <v>5</v>
      </c>
      <c r="J408" s="128" t="b">
        <v>0</v>
      </c>
      <c r="L408" s="104">
        <v>6637036</v>
      </c>
      <c r="M408" s="128">
        <v>9999</v>
      </c>
      <c r="P408" s="101">
        <v>5</v>
      </c>
      <c r="Q408" s="101">
        <v>7</v>
      </c>
    </row>
    <row r="409" spans="1:17" ht="16.5">
      <c r="A409" s="18">
        <v>100361</v>
      </c>
      <c r="B409" s="144" t="s">
        <v>863</v>
      </c>
      <c r="C409" s="128" t="s">
        <v>137</v>
      </c>
      <c r="D409" s="128">
        <v>2006</v>
      </c>
      <c r="E409" s="128" t="s">
        <v>108</v>
      </c>
      <c r="F409" s="128" t="b">
        <v>1</v>
      </c>
      <c r="H409" s="128" t="s">
        <v>79</v>
      </c>
      <c r="I409" s="128">
        <v>5</v>
      </c>
      <c r="J409" s="128" t="b">
        <v>0</v>
      </c>
      <c r="L409" s="104">
        <v>6637033</v>
      </c>
      <c r="M409" s="128">
        <v>9999</v>
      </c>
      <c r="P409" s="101">
        <v>5</v>
      </c>
      <c r="Q409" s="101">
        <v>7</v>
      </c>
    </row>
    <row r="410" spans="1:17" ht="16.5">
      <c r="A410" s="18">
        <v>100362</v>
      </c>
      <c r="B410" s="144" t="s">
        <v>864</v>
      </c>
      <c r="C410" s="128" t="s">
        <v>137</v>
      </c>
      <c r="D410" s="128">
        <v>2006</v>
      </c>
      <c r="E410" s="128" t="s">
        <v>108</v>
      </c>
      <c r="F410" s="128" t="b">
        <v>1</v>
      </c>
      <c r="H410" s="128" t="s">
        <v>79</v>
      </c>
      <c r="I410" s="128">
        <v>5</v>
      </c>
      <c r="J410" s="128" t="b">
        <v>0</v>
      </c>
      <c r="L410" s="104">
        <v>6637034</v>
      </c>
      <c r="M410" s="128">
        <v>9999</v>
      </c>
      <c r="P410" s="101">
        <v>5</v>
      </c>
      <c r="Q410" s="101">
        <v>7</v>
      </c>
    </row>
    <row r="411" spans="1:17" ht="16.5">
      <c r="A411" s="18">
        <v>100363</v>
      </c>
      <c r="B411" s="144" t="s">
        <v>865</v>
      </c>
      <c r="C411" s="128" t="s">
        <v>137</v>
      </c>
      <c r="D411" s="128">
        <v>2006</v>
      </c>
      <c r="E411" s="128" t="s">
        <v>108</v>
      </c>
      <c r="F411" s="128" t="b">
        <v>1</v>
      </c>
      <c r="H411" s="128" t="s">
        <v>79</v>
      </c>
      <c r="I411" s="128">
        <v>5</v>
      </c>
      <c r="J411" s="128" t="b">
        <v>0</v>
      </c>
      <c r="L411" s="104">
        <v>6637035</v>
      </c>
      <c r="M411" s="128">
        <v>9999</v>
      </c>
      <c r="P411" s="101">
        <v>5</v>
      </c>
      <c r="Q411" s="101">
        <v>7</v>
      </c>
    </row>
    <row r="412" spans="1:17" ht="16.5">
      <c r="A412" s="18">
        <v>100364</v>
      </c>
      <c r="B412" s="144" t="s">
        <v>866</v>
      </c>
      <c r="C412" s="128" t="s">
        <v>137</v>
      </c>
      <c r="D412" s="128">
        <v>2006</v>
      </c>
      <c r="E412" s="128" t="s">
        <v>108</v>
      </c>
      <c r="F412" s="128" t="b">
        <v>1</v>
      </c>
      <c r="H412" s="128" t="s">
        <v>79</v>
      </c>
      <c r="I412" s="128">
        <v>5</v>
      </c>
      <c r="J412" s="128" t="b">
        <v>0</v>
      </c>
      <c r="L412" s="104">
        <v>6637036</v>
      </c>
      <c r="M412" s="128">
        <v>9999</v>
      </c>
      <c r="P412" s="101">
        <v>5</v>
      </c>
      <c r="Q412" s="101">
        <v>7</v>
      </c>
    </row>
    <row r="413" spans="1:17" ht="16.5">
      <c r="A413" s="18">
        <v>100365</v>
      </c>
      <c r="B413" s="144" t="s">
        <v>867</v>
      </c>
      <c r="C413" s="128" t="s">
        <v>137</v>
      </c>
      <c r="D413" s="128">
        <v>2006</v>
      </c>
      <c r="E413" s="128" t="s">
        <v>108</v>
      </c>
      <c r="F413" s="128" t="b">
        <v>1</v>
      </c>
      <c r="H413" s="128" t="s">
        <v>79</v>
      </c>
      <c r="I413" s="128">
        <v>5</v>
      </c>
      <c r="J413" s="128" t="b">
        <v>0</v>
      </c>
      <c r="L413" s="104">
        <v>6637033</v>
      </c>
      <c r="M413" s="128">
        <v>9999</v>
      </c>
      <c r="P413" s="101">
        <v>5</v>
      </c>
      <c r="Q413" s="101">
        <v>7</v>
      </c>
    </row>
    <row r="414" spans="1:17" ht="16.5">
      <c r="A414" s="18">
        <v>100366</v>
      </c>
      <c r="B414" s="144" t="s">
        <v>868</v>
      </c>
      <c r="C414" s="128" t="s">
        <v>137</v>
      </c>
      <c r="D414" s="128">
        <v>2006</v>
      </c>
      <c r="E414" s="128" t="s">
        <v>108</v>
      </c>
      <c r="F414" s="128" t="b">
        <v>1</v>
      </c>
      <c r="H414" s="128" t="s">
        <v>79</v>
      </c>
      <c r="I414" s="128">
        <v>5</v>
      </c>
      <c r="J414" s="128" t="b">
        <v>0</v>
      </c>
      <c r="L414" s="104">
        <v>6637034</v>
      </c>
      <c r="M414" s="128">
        <v>9999</v>
      </c>
      <c r="P414" s="101">
        <v>5</v>
      </c>
      <c r="Q414" s="101">
        <v>7</v>
      </c>
    </row>
    <row r="415" spans="1:17" ht="16.5">
      <c r="A415" s="18">
        <v>100367</v>
      </c>
      <c r="B415" s="144" t="s">
        <v>869</v>
      </c>
      <c r="C415" s="128" t="s">
        <v>137</v>
      </c>
      <c r="D415" s="128">
        <v>2006</v>
      </c>
      <c r="E415" s="128" t="s">
        <v>108</v>
      </c>
      <c r="F415" s="128" t="b">
        <v>1</v>
      </c>
      <c r="H415" s="128" t="s">
        <v>79</v>
      </c>
      <c r="I415" s="128">
        <v>5</v>
      </c>
      <c r="J415" s="128" t="b">
        <v>0</v>
      </c>
      <c r="L415" s="104">
        <v>6637035</v>
      </c>
      <c r="M415" s="128">
        <v>9999</v>
      </c>
      <c r="P415" s="101">
        <v>5</v>
      </c>
      <c r="Q415" s="101">
        <v>7</v>
      </c>
    </row>
    <row r="416" spans="1:17" ht="16.5">
      <c r="A416" s="18">
        <v>100368</v>
      </c>
      <c r="B416" s="144" t="s">
        <v>870</v>
      </c>
      <c r="C416" s="128" t="s">
        <v>137</v>
      </c>
      <c r="D416" s="128">
        <v>2006</v>
      </c>
      <c r="E416" s="128" t="s">
        <v>108</v>
      </c>
      <c r="F416" s="128" t="b">
        <v>1</v>
      </c>
      <c r="H416" s="128" t="s">
        <v>79</v>
      </c>
      <c r="I416" s="128">
        <v>5</v>
      </c>
      <c r="J416" s="128" t="b">
        <v>0</v>
      </c>
      <c r="L416" s="104">
        <v>6637036</v>
      </c>
      <c r="M416" s="128">
        <v>9999</v>
      </c>
      <c r="P416" s="101">
        <v>5</v>
      </c>
      <c r="Q416" s="101">
        <v>7</v>
      </c>
    </row>
    <row r="417" spans="1:17" ht="16.5">
      <c r="A417" s="18">
        <v>100369</v>
      </c>
      <c r="B417" s="144" t="s">
        <v>871</v>
      </c>
      <c r="C417" s="128" t="s">
        <v>137</v>
      </c>
      <c r="D417" s="128">
        <v>2006</v>
      </c>
      <c r="E417" s="128" t="s">
        <v>108</v>
      </c>
      <c r="F417" s="128" t="b">
        <v>1</v>
      </c>
      <c r="H417" s="128" t="s">
        <v>79</v>
      </c>
      <c r="I417" s="128">
        <v>5</v>
      </c>
      <c r="J417" s="128" t="b">
        <v>0</v>
      </c>
      <c r="L417" s="104">
        <v>6637033</v>
      </c>
      <c r="M417" s="128">
        <v>9999</v>
      </c>
      <c r="P417" s="101">
        <v>5</v>
      </c>
      <c r="Q417" s="101">
        <v>7</v>
      </c>
    </row>
    <row r="418" spans="1:17" ht="16.5">
      <c r="A418" s="18">
        <v>100370</v>
      </c>
      <c r="B418" s="144" t="s">
        <v>872</v>
      </c>
      <c r="C418" s="128" t="s">
        <v>137</v>
      </c>
      <c r="D418" s="128">
        <v>2006</v>
      </c>
      <c r="E418" s="128" t="s">
        <v>108</v>
      </c>
      <c r="F418" s="128" t="b">
        <v>1</v>
      </c>
      <c r="H418" s="128" t="s">
        <v>79</v>
      </c>
      <c r="I418" s="128">
        <v>5</v>
      </c>
      <c r="J418" s="128" t="b">
        <v>0</v>
      </c>
      <c r="L418" s="104">
        <v>6637034</v>
      </c>
      <c r="M418" s="128">
        <v>9999</v>
      </c>
      <c r="P418" s="101">
        <v>5</v>
      </c>
      <c r="Q418" s="101">
        <v>7</v>
      </c>
    </row>
    <row r="419" spans="1:17" ht="16.5">
      <c r="A419" s="18">
        <v>100371</v>
      </c>
      <c r="B419" s="144" t="s">
        <v>873</v>
      </c>
      <c r="C419" s="128" t="s">
        <v>137</v>
      </c>
      <c r="D419" s="128">
        <v>2006</v>
      </c>
      <c r="E419" s="128" t="s">
        <v>108</v>
      </c>
      <c r="F419" s="128" t="b">
        <v>1</v>
      </c>
      <c r="H419" s="128" t="s">
        <v>79</v>
      </c>
      <c r="I419" s="128">
        <v>5</v>
      </c>
      <c r="J419" s="128" t="b">
        <v>0</v>
      </c>
      <c r="L419" s="104">
        <v>6637035</v>
      </c>
      <c r="M419" s="128">
        <v>9999</v>
      </c>
      <c r="P419" s="101">
        <v>5</v>
      </c>
      <c r="Q419" s="101">
        <v>7</v>
      </c>
    </row>
    <row r="420" spans="1:17" ht="16.5">
      <c r="A420" s="18">
        <v>100372</v>
      </c>
      <c r="B420" s="144" t="s">
        <v>874</v>
      </c>
      <c r="C420" s="128" t="s">
        <v>137</v>
      </c>
      <c r="D420" s="128">
        <v>2006</v>
      </c>
      <c r="E420" s="128" t="s">
        <v>108</v>
      </c>
      <c r="F420" s="128" t="b">
        <v>1</v>
      </c>
      <c r="H420" s="128" t="s">
        <v>79</v>
      </c>
      <c r="I420" s="128">
        <v>5</v>
      </c>
      <c r="J420" s="128" t="b">
        <v>0</v>
      </c>
      <c r="L420" s="104">
        <v>6637036</v>
      </c>
      <c r="M420" s="128">
        <v>9999</v>
      </c>
      <c r="P420" s="101">
        <v>5</v>
      </c>
      <c r="Q420" s="101">
        <v>7</v>
      </c>
    </row>
    <row r="421" spans="1:17" ht="16.5">
      <c r="A421" s="18">
        <v>100373</v>
      </c>
      <c r="B421" s="144" t="s">
        <v>875</v>
      </c>
      <c r="C421" s="128" t="s">
        <v>137</v>
      </c>
      <c r="D421" s="128">
        <v>2006</v>
      </c>
      <c r="E421" s="128" t="s">
        <v>108</v>
      </c>
      <c r="F421" s="128" t="b">
        <v>1</v>
      </c>
      <c r="H421" s="128" t="s">
        <v>79</v>
      </c>
      <c r="I421" s="128">
        <v>5</v>
      </c>
      <c r="J421" s="128" t="b">
        <v>0</v>
      </c>
      <c r="L421" s="104">
        <v>6637033</v>
      </c>
      <c r="M421" s="128">
        <v>9999</v>
      </c>
      <c r="P421" s="101">
        <v>5</v>
      </c>
      <c r="Q421" s="101">
        <v>7</v>
      </c>
    </row>
    <row r="422" spans="1:17" ht="16.5">
      <c r="A422" s="18">
        <v>100374</v>
      </c>
      <c r="B422" s="144" t="s">
        <v>876</v>
      </c>
      <c r="C422" s="128" t="s">
        <v>137</v>
      </c>
      <c r="D422" s="128">
        <v>2006</v>
      </c>
      <c r="E422" s="128" t="s">
        <v>108</v>
      </c>
      <c r="F422" s="128" t="b">
        <v>1</v>
      </c>
      <c r="H422" s="128" t="s">
        <v>79</v>
      </c>
      <c r="I422" s="128">
        <v>5</v>
      </c>
      <c r="J422" s="128" t="b">
        <v>0</v>
      </c>
      <c r="L422" s="104">
        <v>6637034</v>
      </c>
      <c r="M422" s="128">
        <v>9999</v>
      </c>
      <c r="P422" s="101">
        <v>5</v>
      </c>
      <c r="Q422" s="101">
        <v>7</v>
      </c>
    </row>
    <row r="423" spans="1:17" ht="16.5">
      <c r="A423" s="18">
        <v>100375</v>
      </c>
      <c r="B423" s="144" t="s">
        <v>877</v>
      </c>
      <c r="C423" s="128" t="s">
        <v>137</v>
      </c>
      <c r="D423" s="128">
        <v>2006</v>
      </c>
      <c r="E423" s="128" t="s">
        <v>108</v>
      </c>
      <c r="F423" s="128" t="b">
        <v>1</v>
      </c>
      <c r="H423" s="128" t="s">
        <v>79</v>
      </c>
      <c r="I423" s="128">
        <v>5</v>
      </c>
      <c r="J423" s="128" t="b">
        <v>0</v>
      </c>
      <c r="L423" s="104">
        <v>6637035</v>
      </c>
      <c r="M423" s="128">
        <v>9999</v>
      </c>
      <c r="P423" s="101">
        <v>5</v>
      </c>
      <c r="Q423" s="101">
        <v>7</v>
      </c>
    </row>
    <row r="424" spans="1:17" ht="16.5">
      <c r="A424" s="18">
        <v>100376</v>
      </c>
      <c r="B424" s="144" t="s">
        <v>878</v>
      </c>
      <c r="C424" s="128" t="s">
        <v>137</v>
      </c>
      <c r="D424" s="128">
        <v>2006</v>
      </c>
      <c r="E424" s="128" t="s">
        <v>108</v>
      </c>
      <c r="F424" s="128" t="b">
        <v>1</v>
      </c>
      <c r="H424" s="128" t="s">
        <v>79</v>
      </c>
      <c r="I424" s="128">
        <v>5</v>
      </c>
      <c r="J424" s="128" t="b">
        <v>0</v>
      </c>
      <c r="L424" s="104">
        <v>6637036</v>
      </c>
      <c r="M424" s="128">
        <v>9999</v>
      </c>
      <c r="P424" s="101">
        <v>5</v>
      </c>
      <c r="Q424" s="101">
        <v>7</v>
      </c>
    </row>
    <row r="425" spans="1:17" ht="16.5">
      <c r="A425" s="18">
        <v>100377</v>
      </c>
      <c r="B425" s="144" t="s">
        <v>879</v>
      </c>
      <c r="C425" s="128" t="s">
        <v>137</v>
      </c>
      <c r="D425" s="128">
        <v>2006</v>
      </c>
      <c r="E425" s="128" t="s">
        <v>108</v>
      </c>
      <c r="F425" s="128" t="b">
        <v>1</v>
      </c>
      <c r="H425" s="128" t="s">
        <v>79</v>
      </c>
      <c r="I425" s="128">
        <v>5</v>
      </c>
      <c r="J425" s="128" t="b">
        <v>0</v>
      </c>
      <c r="L425" s="104">
        <v>6637033</v>
      </c>
      <c r="M425" s="128">
        <v>9999</v>
      </c>
      <c r="P425" s="101">
        <v>5</v>
      </c>
      <c r="Q425" s="101">
        <v>7</v>
      </c>
    </row>
    <row r="426" spans="1:17" ht="16.5">
      <c r="A426" s="18">
        <v>100378</v>
      </c>
      <c r="B426" s="144" t="s">
        <v>880</v>
      </c>
      <c r="C426" s="128" t="s">
        <v>137</v>
      </c>
      <c r="D426" s="128">
        <v>2006</v>
      </c>
      <c r="E426" s="128" t="s">
        <v>108</v>
      </c>
      <c r="F426" s="128" t="b">
        <v>1</v>
      </c>
      <c r="H426" s="128" t="s">
        <v>79</v>
      </c>
      <c r="I426" s="128">
        <v>5</v>
      </c>
      <c r="J426" s="128" t="b">
        <v>0</v>
      </c>
      <c r="L426" s="104">
        <v>6637034</v>
      </c>
      <c r="M426" s="128">
        <v>9999</v>
      </c>
      <c r="P426" s="101">
        <v>5</v>
      </c>
      <c r="Q426" s="101">
        <v>7</v>
      </c>
    </row>
    <row r="427" spans="1:17" ht="16.5">
      <c r="A427" s="18">
        <v>100379</v>
      </c>
      <c r="B427" s="144" t="s">
        <v>881</v>
      </c>
      <c r="C427" s="128" t="s">
        <v>137</v>
      </c>
      <c r="D427" s="128">
        <v>2006</v>
      </c>
      <c r="E427" s="128" t="s">
        <v>108</v>
      </c>
      <c r="F427" s="128" t="b">
        <v>1</v>
      </c>
      <c r="H427" s="128" t="s">
        <v>79</v>
      </c>
      <c r="I427" s="128">
        <v>5</v>
      </c>
      <c r="J427" s="128" t="b">
        <v>0</v>
      </c>
      <c r="L427" s="104">
        <v>6637035</v>
      </c>
      <c r="M427" s="128">
        <v>9999</v>
      </c>
      <c r="P427" s="101">
        <v>5</v>
      </c>
      <c r="Q427" s="101">
        <v>7</v>
      </c>
    </row>
    <row r="428" spans="1:17" ht="16.5">
      <c r="A428" s="18">
        <v>100380</v>
      </c>
      <c r="B428" s="144" t="s">
        <v>882</v>
      </c>
      <c r="C428" s="128" t="s">
        <v>137</v>
      </c>
      <c r="D428" s="128">
        <v>2006</v>
      </c>
      <c r="E428" s="128" t="s">
        <v>108</v>
      </c>
      <c r="F428" s="128" t="b">
        <v>1</v>
      </c>
      <c r="H428" s="128" t="s">
        <v>79</v>
      </c>
      <c r="I428" s="128">
        <v>5</v>
      </c>
      <c r="J428" s="128" t="b">
        <v>0</v>
      </c>
      <c r="L428" s="104">
        <v>6637036</v>
      </c>
      <c r="M428" s="128">
        <v>9999</v>
      </c>
      <c r="P428" s="101">
        <v>5</v>
      </c>
      <c r="Q428" s="101">
        <v>7</v>
      </c>
    </row>
    <row r="429" spans="1:17" ht="16.5">
      <c r="A429" s="18">
        <v>100381</v>
      </c>
      <c r="B429" s="144" t="s">
        <v>883</v>
      </c>
      <c r="C429" s="128" t="s">
        <v>137</v>
      </c>
      <c r="D429" s="128">
        <v>2006</v>
      </c>
      <c r="E429" s="128" t="s">
        <v>108</v>
      </c>
      <c r="F429" s="128" t="b">
        <v>1</v>
      </c>
      <c r="H429" s="128" t="s">
        <v>79</v>
      </c>
      <c r="I429" s="128">
        <v>5</v>
      </c>
      <c r="J429" s="128" t="b">
        <v>0</v>
      </c>
      <c r="L429" s="104">
        <v>6637033</v>
      </c>
      <c r="M429" s="128">
        <v>9999</v>
      </c>
      <c r="P429" s="101">
        <v>5</v>
      </c>
      <c r="Q429" s="101">
        <v>7</v>
      </c>
    </row>
    <row r="430" spans="1:17" ht="16.5">
      <c r="A430" s="18">
        <v>100382</v>
      </c>
      <c r="B430" s="144" t="s">
        <v>884</v>
      </c>
      <c r="C430" s="128" t="s">
        <v>137</v>
      </c>
      <c r="D430" s="128">
        <v>2006</v>
      </c>
      <c r="E430" s="128" t="s">
        <v>108</v>
      </c>
      <c r="F430" s="128" t="b">
        <v>1</v>
      </c>
      <c r="H430" s="128" t="s">
        <v>79</v>
      </c>
      <c r="I430" s="128">
        <v>5</v>
      </c>
      <c r="J430" s="128" t="b">
        <v>0</v>
      </c>
      <c r="L430" s="104">
        <v>6637034</v>
      </c>
      <c r="M430" s="128">
        <v>9999</v>
      </c>
      <c r="P430" s="101">
        <v>5</v>
      </c>
      <c r="Q430" s="101">
        <v>7</v>
      </c>
    </row>
    <row r="431" spans="1:17" ht="16.5">
      <c r="A431" s="18">
        <v>100383</v>
      </c>
      <c r="B431" s="144" t="s">
        <v>885</v>
      </c>
      <c r="C431" s="128" t="s">
        <v>137</v>
      </c>
      <c r="D431" s="128">
        <v>2006</v>
      </c>
      <c r="E431" s="128" t="s">
        <v>108</v>
      </c>
      <c r="F431" s="128" t="b">
        <v>1</v>
      </c>
      <c r="H431" s="128" t="s">
        <v>79</v>
      </c>
      <c r="I431" s="128">
        <v>5</v>
      </c>
      <c r="J431" s="128" t="b">
        <v>0</v>
      </c>
      <c r="L431" s="104">
        <v>6637035</v>
      </c>
      <c r="M431" s="128">
        <v>9999</v>
      </c>
      <c r="P431" s="101">
        <v>5</v>
      </c>
      <c r="Q431" s="101">
        <v>7</v>
      </c>
    </row>
    <row r="432" spans="1:17" ht="16.5">
      <c r="A432" s="18">
        <v>100384</v>
      </c>
      <c r="B432" s="144" t="s">
        <v>886</v>
      </c>
      <c r="C432" s="128" t="s">
        <v>137</v>
      </c>
      <c r="D432" s="128">
        <v>2006</v>
      </c>
      <c r="E432" s="128" t="s">
        <v>108</v>
      </c>
      <c r="F432" s="128" t="b">
        <v>1</v>
      </c>
      <c r="H432" s="128" t="s">
        <v>79</v>
      </c>
      <c r="I432" s="128">
        <v>5</v>
      </c>
      <c r="J432" s="128" t="b">
        <v>0</v>
      </c>
      <c r="L432" s="104">
        <v>6637036</v>
      </c>
      <c r="M432" s="128">
        <v>9999</v>
      </c>
      <c r="P432" s="101">
        <v>5</v>
      </c>
      <c r="Q432" s="101">
        <v>7</v>
      </c>
    </row>
    <row r="433" spans="1:17" ht="16.5">
      <c r="A433" s="18">
        <v>100385</v>
      </c>
      <c r="B433" s="144" t="s">
        <v>887</v>
      </c>
      <c r="C433" s="128" t="s">
        <v>137</v>
      </c>
      <c r="D433" s="128">
        <v>2006</v>
      </c>
      <c r="E433" s="128" t="s">
        <v>108</v>
      </c>
      <c r="F433" s="128" t="b">
        <v>1</v>
      </c>
      <c r="H433" s="128" t="s">
        <v>79</v>
      </c>
      <c r="I433" s="128">
        <v>5</v>
      </c>
      <c r="J433" s="128" t="b">
        <v>0</v>
      </c>
      <c r="L433" s="104">
        <v>6637033</v>
      </c>
      <c r="M433" s="128">
        <v>9999</v>
      </c>
      <c r="P433" s="101">
        <v>5</v>
      </c>
      <c r="Q433" s="101">
        <v>7</v>
      </c>
    </row>
    <row r="434" spans="1:17" ht="16.5">
      <c r="A434" s="18">
        <v>100386</v>
      </c>
      <c r="B434" s="144" t="s">
        <v>888</v>
      </c>
      <c r="C434" s="128" t="s">
        <v>137</v>
      </c>
      <c r="D434" s="128">
        <v>2006</v>
      </c>
      <c r="E434" s="128" t="s">
        <v>108</v>
      </c>
      <c r="F434" s="128" t="b">
        <v>1</v>
      </c>
      <c r="H434" s="128" t="s">
        <v>79</v>
      </c>
      <c r="I434" s="128">
        <v>5</v>
      </c>
      <c r="J434" s="128" t="b">
        <v>0</v>
      </c>
      <c r="L434" s="104">
        <v>6637034</v>
      </c>
      <c r="M434" s="128">
        <v>9999</v>
      </c>
      <c r="P434" s="101">
        <v>5</v>
      </c>
      <c r="Q434" s="101">
        <v>7</v>
      </c>
    </row>
    <row r="435" spans="1:17" ht="16.5">
      <c r="A435" s="18">
        <v>100387</v>
      </c>
      <c r="B435" s="144" t="s">
        <v>889</v>
      </c>
      <c r="C435" s="128" t="s">
        <v>137</v>
      </c>
      <c r="D435" s="128">
        <v>2006</v>
      </c>
      <c r="E435" s="128" t="s">
        <v>108</v>
      </c>
      <c r="F435" s="128" t="b">
        <v>1</v>
      </c>
      <c r="H435" s="128" t="s">
        <v>79</v>
      </c>
      <c r="I435" s="128">
        <v>5</v>
      </c>
      <c r="J435" s="128" t="b">
        <v>0</v>
      </c>
      <c r="L435" s="104">
        <v>6637035</v>
      </c>
      <c r="M435" s="128">
        <v>9999</v>
      </c>
      <c r="P435" s="101">
        <v>5</v>
      </c>
      <c r="Q435" s="101">
        <v>7</v>
      </c>
    </row>
    <row r="436" spans="1:17" ht="16.5">
      <c r="A436" s="18">
        <v>100388</v>
      </c>
      <c r="B436" s="144" t="s">
        <v>890</v>
      </c>
      <c r="C436" s="128" t="s">
        <v>137</v>
      </c>
      <c r="D436" s="128">
        <v>2006</v>
      </c>
      <c r="E436" s="128" t="s">
        <v>108</v>
      </c>
      <c r="F436" s="128" t="b">
        <v>1</v>
      </c>
      <c r="H436" s="128" t="s">
        <v>79</v>
      </c>
      <c r="I436" s="128">
        <v>5</v>
      </c>
      <c r="J436" s="128" t="b">
        <v>0</v>
      </c>
      <c r="L436" s="104">
        <v>6637036</v>
      </c>
      <c r="M436" s="128">
        <v>9999</v>
      </c>
      <c r="P436" s="101">
        <v>5</v>
      </c>
      <c r="Q436" s="101">
        <v>7</v>
      </c>
    </row>
    <row r="437" spans="1:17" ht="16.5">
      <c r="A437" s="18">
        <v>100389</v>
      </c>
      <c r="B437" s="144" t="s">
        <v>891</v>
      </c>
      <c r="C437" s="128" t="s">
        <v>137</v>
      </c>
      <c r="D437" s="128">
        <v>2006</v>
      </c>
      <c r="E437" s="128" t="s">
        <v>108</v>
      </c>
      <c r="F437" s="128" t="b">
        <v>1</v>
      </c>
      <c r="H437" s="128" t="s">
        <v>79</v>
      </c>
      <c r="I437" s="128">
        <v>5</v>
      </c>
      <c r="J437" s="128" t="b">
        <v>0</v>
      </c>
      <c r="L437" s="104">
        <v>6637033</v>
      </c>
      <c r="M437" s="128">
        <v>9999</v>
      </c>
      <c r="P437" s="101">
        <v>5</v>
      </c>
      <c r="Q437" s="101">
        <v>7</v>
      </c>
    </row>
    <row r="438" spans="1:17" ht="16.5">
      <c r="A438" s="18">
        <v>100390</v>
      </c>
      <c r="B438" s="144" t="s">
        <v>892</v>
      </c>
      <c r="C438" s="128" t="s">
        <v>137</v>
      </c>
      <c r="D438" s="128">
        <v>2006</v>
      </c>
      <c r="E438" s="128" t="s">
        <v>108</v>
      </c>
      <c r="F438" s="128" t="b">
        <v>1</v>
      </c>
      <c r="H438" s="128" t="s">
        <v>79</v>
      </c>
      <c r="I438" s="128">
        <v>5</v>
      </c>
      <c r="J438" s="128" t="b">
        <v>0</v>
      </c>
      <c r="L438" s="104">
        <v>6637034</v>
      </c>
      <c r="M438" s="128">
        <v>9999</v>
      </c>
      <c r="P438" s="101">
        <v>5</v>
      </c>
      <c r="Q438" s="101">
        <v>7</v>
      </c>
    </row>
    <row r="439" spans="1:17" ht="16.5">
      <c r="A439" s="18">
        <v>100391</v>
      </c>
      <c r="B439" s="144" t="s">
        <v>893</v>
      </c>
      <c r="C439" s="128" t="s">
        <v>137</v>
      </c>
      <c r="D439" s="128">
        <v>2006</v>
      </c>
      <c r="E439" s="128" t="s">
        <v>108</v>
      </c>
      <c r="F439" s="128" t="b">
        <v>1</v>
      </c>
      <c r="H439" s="128" t="s">
        <v>79</v>
      </c>
      <c r="I439" s="128">
        <v>5</v>
      </c>
      <c r="J439" s="128" t="b">
        <v>0</v>
      </c>
      <c r="L439" s="104">
        <v>6637035</v>
      </c>
      <c r="M439" s="128">
        <v>9999</v>
      </c>
      <c r="P439" s="101">
        <v>5</v>
      </c>
      <c r="Q439" s="101">
        <v>7</v>
      </c>
    </row>
    <row r="440" spans="1:17" ht="16.5">
      <c r="A440" s="18">
        <v>100392</v>
      </c>
      <c r="B440" s="144" t="s">
        <v>894</v>
      </c>
      <c r="C440" s="128" t="s">
        <v>137</v>
      </c>
      <c r="D440" s="128">
        <v>2006</v>
      </c>
      <c r="E440" s="128" t="s">
        <v>108</v>
      </c>
      <c r="F440" s="128" t="b">
        <v>1</v>
      </c>
      <c r="H440" s="128" t="s">
        <v>79</v>
      </c>
      <c r="I440" s="128">
        <v>5</v>
      </c>
      <c r="J440" s="128" t="b">
        <v>0</v>
      </c>
      <c r="L440" s="104">
        <v>6637036</v>
      </c>
      <c r="M440" s="128">
        <v>9999</v>
      </c>
      <c r="P440" s="101">
        <v>5</v>
      </c>
      <c r="Q440" s="101">
        <v>7</v>
      </c>
    </row>
    <row r="441" spans="1:17" ht="16.5">
      <c r="A441" s="18">
        <v>100393</v>
      </c>
      <c r="B441" s="144" t="s">
        <v>895</v>
      </c>
      <c r="C441" s="128" t="s">
        <v>137</v>
      </c>
      <c r="D441" s="128">
        <v>2006</v>
      </c>
      <c r="E441" s="128" t="s">
        <v>108</v>
      </c>
      <c r="F441" s="128" t="b">
        <v>1</v>
      </c>
      <c r="H441" s="128" t="s">
        <v>79</v>
      </c>
      <c r="I441" s="128">
        <v>5</v>
      </c>
      <c r="J441" s="128" t="b">
        <v>0</v>
      </c>
      <c r="L441" s="104">
        <v>6637033</v>
      </c>
      <c r="M441" s="128">
        <v>9999</v>
      </c>
      <c r="P441" s="101">
        <v>5</v>
      </c>
      <c r="Q441" s="101">
        <v>7</v>
      </c>
    </row>
    <row r="442" spans="1:17" ht="16.5">
      <c r="A442" s="18">
        <v>100394</v>
      </c>
      <c r="B442" s="144" t="s">
        <v>896</v>
      </c>
      <c r="C442" s="128" t="s">
        <v>137</v>
      </c>
      <c r="D442" s="128">
        <v>2006</v>
      </c>
      <c r="E442" s="128" t="s">
        <v>108</v>
      </c>
      <c r="F442" s="128" t="b">
        <v>1</v>
      </c>
      <c r="H442" s="128" t="s">
        <v>79</v>
      </c>
      <c r="I442" s="128">
        <v>5</v>
      </c>
      <c r="J442" s="128" t="b">
        <v>0</v>
      </c>
      <c r="L442" s="104">
        <v>6637034</v>
      </c>
      <c r="M442" s="128">
        <v>9999</v>
      </c>
      <c r="P442" s="101">
        <v>5</v>
      </c>
      <c r="Q442" s="101">
        <v>7</v>
      </c>
    </row>
    <row r="443" spans="1:17" ht="16.5">
      <c r="A443" s="18">
        <v>100395</v>
      </c>
      <c r="B443" s="144" t="s">
        <v>897</v>
      </c>
      <c r="C443" s="128" t="s">
        <v>137</v>
      </c>
      <c r="D443" s="128">
        <v>2006</v>
      </c>
      <c r="E443" s="128" t="s">
        <v>108</v>
      </c>
      <c r="F443" s="128" t="b">
        <v>1</v>
      </c>
      <c r="H443" s="128" t="s">
        <v>79</v>
      </c>
      <c r="I443" s="128">
        <v>5</v>
      </c>
      <c r="J443" s="128" t="b">
        <v>0</v>
      </c>
      <c r="L443" s="104">
        <v>6637035</v>
      </c>
      <c r="M443" s="128">
        <v>9999</v>
      </c>
      <c r="P443" s="101">
        <v>5</v>
      </c>
      <c r="Q443" s="101">
        <v>7</v>
      </c>
    </row>
    <row r="444" spans="1:17" ht="16.5">
      <c r="A444" s="18">
        <v>100396</v>
      </c>
      <c r="B444" s="144" t="s">
        <v>898</v>
      </c>
      <c r="C444" s="128" t="s">
        <v>137</v>
      </c>
      <c r="D444" s="128">
        <v>2006</v>
      </c>
      <c r="E444" s="128" t="s">
        <v>108</v>
      </c>
      <c r="F444" s="128" t="b">
        <v>1</v>
      </c>
      <c r="H444" s="128" t="s">
        <v>79</v>
      </c>
      <c r="I444" s="128">
        <v>5</v>
      </c>
      <c r="J444" s="128" t="b">
        <v>0</v>
      </c>
      <c r="L444" s="104">
        <v>6637036</v>
      </c>
      <c r="M444" s="128">
        <v>9999</v>
      </c>
      <c r="P444" s="101">
        <v>5</v>
      </c>
      <c r="Q444" s="101">
        <v>7</v>
      </c>
    </row>
    <row r="445" spans="1:17" ht="16.5">
      <c r="A445" s="18">
        <v>100397</v>
      </c>
      <c r="B445" s="144" t="s">
        <v>899</v>
      </c>
      <c r="C445" s="128" t="s">
        <v>137</v>
      </c>
      <c r="D445" s="128">
        <v>2006</v>
      </c>
      <c r="E445" s="128" t="s">
        <v>108</v>
      </c>
      <c r="F445" s="128" t="b">
        <v>1</v>
      </c>
      <c r="H445" s="128" t="s">
        <v>79</v>
      </c>
      <c r="I445" s="128">
        <v>5</v>
      </c>
      <c r="J445" s="128" t="b">
        <v>0</v>
      </c>
      <c r="L445" s="104">
        <v>6637033</v>
      </c>
      <c r="M445" s="128">
        <v>9999</v>
      </c>
      <c r="P445" s="101">
        <v>5</v>
      </c>
      <c r="Q445" s="101">
        <v>7</v>
      </c>
    </row>
    <row r="446" spans="1:17" ht="16.5">
      <c r="A446" s="18">
        <v>100398</v>
      </c>
      <c r="B446" s="144" t="s">
        <v>900</v>
      </c>
      <c r="C446" s="128" t="s">
        <v>137</v>
      </c>
      <c r="D446" s="128">
        <v>2006</v>
      </c>
      <c r="E446" s="128" t="s">
        <v>108</v>
      </c>
      <c r="F446" s="128" t="b">
        <v>1</v>
      </c>
      <c r="H446" s="128" t="s">
        <v>79</v>
      </c>
      <c r="I446" s="128">
        <v>5</v>
      </c>
      <c r="J446" s="128" t="b">
        <v>0</v>
      </c>
      <c r="L446" s="104">
        <v>6637034</v>
      </c>
      <c r="M446" s="128">
        <v>9999</v>
      </c>
      <c r="P446" s="101">
        <v>5</v>
      </c>
      <c r="Q446" s="101">
        <v>7</v>
      </c>
    </row>
    <row r="447" spans="1:17" ht="16.5">
      <c r="A447" s="18">
        <v>100399</v>
      </c>
      <c r="B447" s="144" t="s">
        <v>901</v>
      </c>
      <c r="C447" s="128" t="s">
        <v>137</v>
      </c>
      <c r="D447" s="128">
        <v>2006</v>
      </c>
      <c r="E447" s="128" t="s">
        <v>108</v>
      </c>
      <c r="F447" s="128" t="b">
        <v>1</v>
      </c>
      <c r="H447" s="128" t="s">
        <v>79</v>
      </c>
      <c r="I447" s="128">
        <v>5</v>
      </c>
      <c r="J447" s="128" t="b">
        <v>0</v>
      </c>
      <c r="L447" s="104">
        <v>6637035</v>
      </c>
      <c r="M447" s="128">
        <v>9999</v>
      </c>
      <c r="P447" s="101">
        <v>5</v>
      </c>
      <c r="Q447" s="101">
        <v>7</v>
      </c>
    </row>
    <row r="448" spans="1:17" ht="16.5">
      <c r="A448" s="18">
        <v>100400</v>
      </c>
      <c r="B448" s="144" t="s">
        <v>902</v>
      </c>
      <c r="C448" s="128" t="s">
        <v>137</v>
      </c>
      <c r="D448" s="128">
        <v>2006</v>
      </c>
      <c r="E448" s="128" t="s">
        <v>108</v>
      </c>
      <c r="F448" s="128" t="b">
        <v>1</v>
      </c>
      <c r="H448" s="128" t="s">
        <v>79</v>
      </c>
      <c r="I448" s="128">
        <v>5</v>
      </c>
      <c r="J448" s="128" t="b">
        <v>0</v>
      </c>
      <c r="L448" s="104">
        <v>6637036</v>
      </c>
      <c r="M448" s="128">
        <v>9999</v>
      </c>
      <c r="P448" s="101">
        <v>5</v>
      </c>
      <c r="Q448" s="101">
        <v>7</v>
      </c>
    </row>
    <row r="449" spans="1:17" ht="16.5">
      <c r="A449" s="18">
        <v>100401</v>
      </c>
      <c r="B449" s="144" t="s">
        <v>903</v>
      </c>
      <c r="C449" s="128" t="s">
        <v>137</v>
      </c>
      <c r="D449" s="128">
        <v>2006</v>
      </c>
      <c r="E449" s="128" t="s">
        <v>108</v>
      </c>
      <c r="F449" s="128" t="b">
        <v>1</v>
      </c>
      <c r="H449" s="128" t="s">
        <v>79</v>
      </c>
      <c r="I449" s="128">
        <v>5</v>
      </c>
      <c r="J449" s="128" t="b">
        <v>0</v>
      </c>
      <c r="L449" s="104">
        <v>6637033</v>
      </c>
      <c r="M449" s="128">
        <v>9999</v>
      </c>
      <c r="P449" s="101">
        <v>5</v>
      </c>
      <c r="Q449" s="101">
        <v>7</v>
      </c>
    </row>
    <row r="450" spans="1:17" ht="16.5">
      <c r="A450" s="18">
        <v>100402</v>
      </c>
      <c r="B450" s="144" t="s">
        <v>904</v>
      </c>
      <c r="C450" s="128" t="s">
        <v>137</v>
      </c>
      <c r="D450" s="128">
        <v>2006</v>
      </c>
      <c r="E450" s="128" t="s">
        <v>108</v>
      </c>
      <c r="F450" s="128" t="b">
        <v>1</v>
      </c>
      <c r="H450" s="128" t="s">
        <v>79</v>
      </c>
      <c r="I450" s="128">
        <v>5</v>
      </c>
      <c r="J450" s="128" t="b">
        <v>0</v>
      </c>
      <c r="L450" s="104">
        <v>6637034</v>
      </c>
      <c r="M450" s="128">
        <v>9999</v>
      </c>
      <c r="P450" s="101">
        <v>5</v>
      </c>
      <c r="Q450" s="101">
        <v>7</v>
      </c>
    </row>
    <row r="451" spans="1:17" ht="16.5">
      <c r="A451" s="18">
        <v>100403</v>
      </c>
      <c r="B451" s="144" t="s">
        <v>905</v>
      </c>
      <c r="C451" s="128" t="s">
        <v>137</v>
      </c>
      <c r="D451" s="128">
        <v>2006</v>
      </c>
      <c r="E451" s="128" t="s">
        <v>108</v>
      </c>
      <c r="F451" s="128" t="b">
        <v>1</v>
      </c>
      <c r="H451" s="128" t="s">
        <v>79</v>
      </c>
      <c r="I451" s="128">
        <v>5</v>
      </c>
      <c r="J451" s="128" t="b">
        <v>0</v>
      </c>
      <c r="L451" s="104">
        <v>6637035</v>
      </c>
      <c r="M451" s="128">
        <v>9999</v>
      </c>
      <c r="P451" s="101">
        <v>5</v>
      </c>
      <c r="Q451" s="101">
        <v>7</v>
      </c>
    </row>
    <row r="452" spans="1:17" ht="16.5">
      <c r="A452" s="18">
        <v>100404</v>
      </c>
      <c r="B452" s="144" t="s">
        <v>906</v>
      </c>
      <c r="C452" s="128" t="s">
        <v>137</v>
      </c>
      <c r="D452" s="128">
        <v>2006</v>
      </c>
      <c r="E452" s="128" t="s">
        <v>108</v>
      </c>
      <c r="F452" s="128" t="b">
        <v>1</v>
      </c>
      <c r="H452" s="128" t="s">
        <v>79</v>
      </c>
      <c r="I452" s="128">
        <v>5</v>
      </c>
      <c r="J452" s="128" t="b">
        <v>0</v>
      </c>
      <c r="L452" s="104">
        <v>6637036</v>
      </c>
      <c r="M452" s="128">
        <v>9999</v>
      </c>
      <c r="P452" s="101">
        <v>5</v>
      </c>
      <c r="Q452" s="101">
        <v>7</v>
      </c>
    </row>
    <row r="453" spans="1:17" ht="16.5">
      <c r="A453" s="18">
        <v>100405</v>
      </c>
      <c r="B453" s="144" t="s">
        <v>907</v>
      </c>
      <c r="C453" s="128" t="s">
        <v>137</v>
      </c>
      <c r="D453" s="128">
        <v>2006</v>
      </c>
      <c r="E453" s="128" t="s">
        <v>108</v>
      </c>
      <c r="F453" s="128" t="b">
        <v>1</v>
      </c>
      <c r="H453" s="128" t="s">
        <v>79</v>
      </c>
      <c r="I453" s="128">
        <v>5</v>
      </c>
      <c r="J453" s="128" t="b">
        <v>0</v>
      </c>
      <c r="L453" s="104">
        <v>6637033</v>
      </c>
      <c r="M453" s="128">
        <v>9999</v>
      </c>
      <c r="P453" s="101">
        <v>5</v>
      </c>
      <c r="Q453" s="101">
        <v>7</v>
      </c>
    </row>
    <row r="454" spans="1:17" ht="16.5">
      <c r="A454" s="18">
        <v>100406</v>
      </c>
      <c r="B454" s="144" t="s">
        <v>908</v>
      </c>
      <c r="C454" s="128" t="s">
        <v>137</v>
      </c>
      <c r="D454" s="128">
        <v>2006</v>
      </c>
      <c r="E454" s="128" t="s">
        <v>108</v>
      </c>
      <c r="F454" s="128" t="b">
        <v>1</v>
      </c>
      <c r="H454" s="128" t="s">
        <v>79</v>
      </c>
      <c r="I454" s="128">
        <v>5</v>
      </c>
      <c r="J454" s="128" t="b">
        <v>0</v>
      </c>
      <c r="L454" s="104">
        <v>6637034</v>
      </c>
      <c r="M454" s="128">
        <v>9999</v>
      </c>
      <c r="P454" s="101">
        <v>5</v>
      </c>
      <c r="Q454" s="101">
        <v>7</v>
      </c>
    </row>
    <row r="455" spans="1:17" ht="16.5">
      <c r="A455" s="18">
        <v>100407</v>
      </c>
      <c r="B455" s="144" t="s">
        <v>909</v>
      </c>
      <c r="C455" s="128" t="s">
        <v>137</v>
      </c>
      <c r="D455" s="128">
        <v>2006</v>
      </c>
      <c r="E455" s="128" t="s">
        <v>108</v>
      </c>
      <c r="F455" s="128" t="b">
        <v>1</v>
      </c>
      <c r="H455" s="128" t="s">
        <v>79</v>
      </c>
      <c r="I455" s="128">
        <v>5</v>
      </c>
      <c r="J455" s="128" t="b">
        <v>0</v>
      </c>
      <c r="L455" s="104">
        <v>6637035</v>
      </c>
      <c r="M455" s="128">
        <v>9999</v>
      </c>
      <c r="P455" s="101">
        <v>5</v>
      </c>
      <c r="Q455" s="101">
        <v>7</v>
      </c>
    </row>
    <row r="456" spans="1:17" ht="16.5">
      <c r="A456" s="18">
        <v>100408</v>
      </c>
      <c r="B456" s="144" t="s">
        <v>910</v>
      </c>
      <c r="C456" s="128" t="s">
        <v>137</v>
      </c>
      <c r="D456" s="128">
        <v>2006</v>
      </c>
      <c r="E456" s="128" t="s">
        <v>108</v>
      </c>
      <c r="F456" s="128" t="b">
        <v>1</v>
      </c>
      <c r="H456" s="128" t="s">
        <v>79</v>
      </c>
      <c r="I456" s="128">
        <v>5</v>
      </c>
      <c r="J456" s="128" t="b">
        <v>0</v>
      </c>
      <c r="L456" s="104">
        <v>6637036</v>
      </c>
      <c r="M456" s="128">
        <v>9999</v>
      </c>
      <c r="P456" s="101">
        <v>5</v>
      </c>
      <c r="Q456" s="101">
        <v>7</v>
      </c>
    </row>
    <row r="457" spans="1:17" ht="16.5">
      <c r="A457" s="18">
        <v>100409</v>
      </c>
      <c r="B457" s="144" t="s">
        <v>911</v>
      </c>
      <c r="C457" s="128" t="s">
        <v>137</v>
      </c>
      <c r="D457" s="128">
        <v>2006</v>
      </c>
      <c r="E457" s="128" t="s">
        <v>108</v>
      </c>
      <c r="F457" s="128" t="b">
        <v>1</v>
      </c>
      <c r="H457" s="128" t="s">
        <v>79</v>
      </c>
      <c r="I457" s="128">
        <v>5</v>
      </c>
      <c r="J457" s="128" t="b">
        <v>0</v>
      </c>
      <c r="L457" s="104">
        <v>6637033</v>
      </c>
      <c r="M457" s="128">
        <v>9999</v>
      </c>
      <c r="P457" s="101">
        <v>5</v>
      </c>
      <c r="Q457" s="101">
        <v>7</v>
      </c>
    </row>
    <row r="458" spans="1:17" ht="16.5">
      <c r="A458" s="18">
        <v>100410</v>
      </c>
      <c r="B458" s="144" t="s">
        <v>912</v>
      </c>
      <c r="C458" s="128" t="s">
        <v>137</v>
      </c>
      <c r="D458" s="128">
        <v>2006</v>
      </c>
      <c r="E458" s="128" t="s">
        <v>108</v>
      </c>
      <c r="F458" s="128" t="b">
        <v>1</v>
      </c>
      <c r="H458" s="128" t="s">
        <v>79</v>
      </c>
      <c r="I458" s="128">
        <v>5</v>
      </c>
      <c r="J458" s="128" t="b">
        <v>0</v>
      </c>
      <c r="L458" s="104">
        <v>6637034</v>
      </c>
      <c r="M458" s="128">
        <v>9999</v>
      </c>
      <c r="P458" s="101">
        <v>5</v>
      </c>
      <c r="Q458" s="101">
        <v>7</v>
      </c>
    </row>
    <row r="459" spans="1:17" ht="16.5">
      <c r="A459" s="18">
        <v>100411</v>
      </c>
      <c r="B459" s="144" t="s">
        <v>913</v>
      </c>
      <c r="C459" s="128" t="s">
        <v>137</v>
      </c>
      <c r="D459" s="128">
        <v>2006</v>
      </c>
      <c r="E459" s="128" t="s">
        <v>108</v>
      </c>
      <c r="F459" s="128" t="b">
        <v>1</v>
      </c>
      <c r="H459" s="128" t="s">
        <v>79</v>
      </c>
      <c r="I459" s="128">
        <v>5</v>
      </c>
      <c r="J459" s="128" t="b">
        <v>0</v>
      </c>
      <c r="L459" s="104">
        <v>6637035</v>
      </c>
      <c r="M459" s="128">
        <v>9999</v>
      </c>
      <c r="P459" s="101">
        <v>5</v>
      </c>
      <c r="Q459" s="101">
        <v>7</v>
      </c>
    </row>
    <row r="460" spans="1:17" ht="16.5">
      <c r="A460" s="18">
        <v>100412</v>
      </c>
      <c r="B460" s="144" t="s">
        <v>914</v>
      </c>
      <c r="C460" s="128" t="s">
        <v>137</v>
      </c>
      <c r="D460" s="128">
        <v>2006</v>
      </c>
      <c r="E460" s="128" t="s">
        <v>108</v>
      </c>
      <c r="F460" s="128" t="b">
        <v>1</v>
      </c>
      <c r="H460" s="128" t="s">
        <v>79</v>
      </c>
      <c r="I460" s="128">
        <v>5</v>
      </c>
      <c r="J460" s="128" t="b">
        <v>0</v>
      </c>
      <c r="L460" s="104">
        <v>6637036</v>
      </c>
      <c r="M460" s="128">
        <v>9999</v>
      </c>
      <c r="P460" s="101">
        <v>5</v>
      </c>
      <c r="Q460" s="101">
        <v>7</v>
      </c>
    </row>
    <row r="461" spans="1:17" ht="16.5">
      <c r="A461" s="18">
        <v>100413</v>
      </c>
      <c r="B461" s="144" t="s">
        <v>915</v>
      </c>
      <c r="C461" s="128" t="s">
        <v>137</v>
      </c>
      <c r="D461" s="128">
        <v>2006</v>
      </c>
      <c r="E461" s="128" t="s">
        <v>108</v>
      </c>
      <c r="F461" s="128" t="b">
        <v>1</v>
      </c>
      <c r="H461" s="128" t="s">
        <v>79</v>
      </c>
      <c r="I461" s="128">
        <v>5</v>
      </c>
      <c r="J461" s="128" t="b">
        <v>0</v>
      </c>
      <c r="L461" s="104">
        <v>6637033</v>
      </c>
      <c r="M461" s="128">
        <v>9999</v>
      </c>
      <c r="P461" s="101">
        <v>5</v>
      </c>
      <c r="Q461" s="101">
        <v>7</v>
      </c>
    </row>
    <row r="462" spans="1:17" ht="16.5">
      <c r="A462" s="18">
        <v>100414</v>
      </c>
      <c r="B462" s="144" t="s">
        <v>916</v>
      </c>
      <c r="C462" s="128" t="s">
        <v>137</v>
      </c>
      <c r="D462" s="128">
        <v>2006</v>
      </c>
      <c r="E462" s="128" t="s">
        <v>108</v>
      </c>
      <c r="F462" s="128" t="b">
        <v>1</v>
      </c>
      <c r="H462" s="128" t="s">
        <v>79</v>
      </c>
      <c r="I462" s="128">
        <v>5</v>
      </c>
      <c r="J462" s="128" t="b">
        <v>0</v>
      </c>
      <c r="L462" s="104">
        <v>6637034</v>
      </c>
      <c r="M462" s="128">
        <v>9999</v>
      </c>
      <c r="P462" s="101">
        <v>5</v>
      </c>
      <c r="Q462" s="101">
        <v>7</v>
      </c>
    </row>
    <row r="463" spans="1:17" ht="16.5">
      <c r="A463" s="18">
        <v>100415</v>
      </c>
      <c r="B463" s="144" t="s">
        <v>917</v>
      </c>
      <c r="C463" s="128" t="s">
        <v>137</v>
      </c>
      <c r="D463" s="128">
        <v>2006</v>
      </c>
      <c r="E463" s="128" t="s">
        <v>108</v>
      </c>
      <c r="F463" s="128" t="b">
        <v>1</v>
      </c>
      <c r="H463" s="128" t="s">
        <v>79</v>
      </c>
      <c r="I463" s="128">
        <v>5</v>
      </c>
      <c r="J463" s="128" t="b">
        <v>0</v>
      </c>
      <c r="L463" s="104">
        <v>6637035</v>
      </c>
      <c r="M463" s="128">
        <v>9999</v>
      </c>
      <c r="P463" s="101">
        <v>5</v>
      </c>
      <c r="Q463" s="101">
        <v>7</v>
      </c>
    </row>
    <row r="464" spans="1:17" ht="16.5">
      <c r="A464" s="18">
        <v>100416</v>
      </c>
      <c r="B464" s="144" t="s">
        <v>918</v>
      </c>
      <c r="C464" s="128" t="s">
        <v>137</v>
      </c>
      <c r="D464" s="128">
        <v>2006</v>
      </c>
      <c r="E464" s="128" t="s">
        <v>108</v>
      </c>
      <c r="F464" s="128" t="b">
        <v>1</v>
      </c>
      <c r="H464" s="128" t="s">
        <v>79</v>
      </c>
      <c r="I464" s="128">
        <v>5</v>
      </c>
      <c r="J464" s="128" t="b">
        <v>0</v>
      </c>
      <c r="L464" s="104">
        <v>6637036</v>
      </c>
      <c r="M464" s="128">
        <v>9999</v>
      </c>
      <c r="P464" s="101">
        <v>5</v>
      </c>
      <c r="Q464" s="101">
        <v>7</v>
      </c>
    </row>
    <row r="465" spans="1:17" ht="16.5">
      <c r="A465" s="18">
        <v>100417</v>
      </c>
      <c r="B465" s="144" t="s">
        <v>919</v>
      </c>
      <c r="C465" s="128" t="s">
        <v>137</v>
      </c>
      <c r="D465" s="128">
        <v>2006</v>
      </c>
      <c r="E465" s="128" t="s">
        <v>108</v>
      </c>
      <c r="F465" s="128" t="b">
        <v>1</v>
      </c>
      <c r="H465" s="128" t="s">
        <v>79</v>
      </c>
      <c r="I465" s="128">
        <v>5</v>
      </c>
      <c r="J465" s="128" t="b">
        <v>0</v>
      </c>
      <c r="L465" s="104">
        <v>6637033</v>
      </c>
      <c r="M465" s="128">
        <v>9999</v>
      </c>
      <c r="P465" s="101">
        <v>5</v>
      </c>
      <c r="Q465" s="101">
        <v>7</v>
      </c>
    </row>
    <row r="466" spans="1:17" ht="16.5">
      <c r="A466" s="18">
        <v>100418</v>
      </c>
      <c r="B466" s="144" t="s">
        <v>920</v>
      </c>
      <c r="C466" s="128" t="s">
        <v>137</v>
      </c>
      <c r="D466" s="128">
        <v>2006</v>
      </c>
      <c r="E466" s="128" t="s">
        <v>108</v>
      </c>
      <c r="F466" s="128" t="b">
        <v>1</v>
      </c>
      <c r="H466" s="128" t="s">
        <v>79</v>
      </c>
      <c r="I466" s="128">
        <v>5</v>
      </c>
      <c r="J466" s="128" t="b">
        <v>0</v>
      </c>
      <c r="L466" s="104">
        <v>6637034</v>
      </c>
      <c r="M466" s="128">
        <v>9999</v>
      </c>
      <c r="P466" s="101">
        <v>5</v>
      </c>
      <c r="Q466" s="101">
        <v>7</v>
      </c>
    </row>
    <row r="467" spans="1:17" ht="16.5">
      <c r="A467" s="18">
        <v>100419</v>
      </c>
      <c r="B467" s="144" t="s">
        <v>921</v>
      </c>
      <c r="C467" s="128" t="s">
        <v>137</v>
      </c>
      <c r="D467" s="128">
        <v>2006</v>
      </c>
      <c r="E467" s="128" t="s">
        <v>108</v>
      </c>
      <c r="F467" s="128" t="b">
        <v>1</v>
      </c>
      <c r="H467" s="128" t="s">
        <v>79</v>
      </c>
      <c r="I467" s="128">
        <v>5</v>
      </c>
      <c r="J467" s="128" t="b">
        <v>0</v>
      </c>
      <c r="L467" s="104">
        <v>6637035</v>
      </c>
      <c r="M467" s="128">
        <v>9999</v>
      </c>
      <c r="P467" s="101">
        <v>5</v>
      </c>
      <c r="Q467" s="101">
        <v>7</v>
      </c>
    </row>
    <row r="468" spans="1:17" ht="16.5">
      <c r="A468" s="18">
        <v>100420</v>
      </c>
      <c r="B468" s="144" t="s">
        <v>922</v>
      </c>
      <c r="C468" s="128" t="s">
        <v>137</v>
      </c>
      <c r="D468" s="128">
        <v>2006</v>
      </c>
      <c r="E468" s="128" t="s">
        <v>108</v>
      </c>
      <c r="F468" s="128" t="b">
        <v>1</v>
      </c>
      <c r="H468" s="128" t="s">
        <v>79</v>
      </c>
      <c r="I468" s="128">
        <v>5</v>
      </c>
      <c r="J468" s="128" t="b">
        <v>0</v>
      </c>
      <c r="L468" s="104">
        <v>6637036</v>
      </c>
      <c r="M468" s="128">
        <v>9999</v>
      </c>
      <c r="P468" s="101">
        <v>5</v>
      </c>
      <c r="Q468" s="101">
        <v>7</v>
      </c>
    </row>
    <row r="469" spans="1:17" ht="16.5">
      <c r="A469" s="18">
        <v>100421</v>
      </c>
      <c r="B469" s="144" t="s">
        <v>923</v>
      </c>
      <c r="C469" s="128" t="s">
        <v>137</v>
      </c>
      <c r="D469" s="128">
        <v>2006</v>
      </c>
      <c r="E469" s="128" t="s">
        <v>108</v>
      </c>
      <c r="F469" s="128" t="b">
        <v>1</v>
      </c>
      <c r="H469" s="128" t="s">
        <v>79</v>
      </c>
      <c r="I469" s="128">
        <v>5</v>
      </c>
      <c r="J469" s="128" t="b">
        <v>0</v>
      </c>
      <c r="L469" s="104">
        <v>6637033</v>
      </c>
      <c r="M469" s="128">
        <v>9999</v>
      </c>
      <c r="P469" s="101">
        <v>5</v>
      </c>
      <c r="Q469" s="101">
        <v>7</v>
      </c>
    </row>
    <row r="470" spans="1:17" ht="16.5">
      <c r="A470" s="18">
        <v>100422</v>
      </c>
      <c r="B470" s="144" t="s">
        <v>924</v>
      </c>
      <c r="C470" s="128" t="s">
        <v>137</v>
      </c>
      <c r="D470" s="128">
        <v>2006</v>
      </c>
      <c r="E470" s="128" t="s">
        <v>108</v>
      </c>
      <c r="F470" s="128" t="b">
        <v>1</v>
      </c>
      <c r="H470" s="128" t="s">
        <v>79</v>
      </c>
      <c r="I470" s="128">
        <v>5</v>
      </c>
      <c r="J470" s="128" t="b">
        <v>0</v>
      </c>
      <c r="L470" s="104">
        <v>6637034</v>
      </c>
      <c r="M470" s="128">
        <v>9999</v>
      </c>
      <c r="P470" s="101">
        <v>5</v>
      </c>
      <c r="Q470" s="101">
        <v>7</v>
      </c>
    </row>
    <row r="471" spans="1:17" ht="16.5">
      <c r="A471" s="18">
        <v>100423</v>
      </c>
      <c r="B471" s="144" t="s">
        <v>925</v>
      </c>
      <c r="C471" s="128" t="s">
        <v>137</v>
      </c>
      <c r="D471" s="128">
        <v>2006</v>
      </c>
      <c r="E471" s="128" t="s">
        <v>108</v>
      </c>
      <c r="F471" s="128" t="b">
        <v>1</v>
      </c>
      <c r="H471" s="128" t="s">
        <v>79</v>
      </c>
      <c r="I471" s="128">
        <v>5</v>
      </c>
      <c r="J471" s="128" t="b">
        <v>0</v>
      </c>
      <c r="L471" s="104">
        <v>6637035</v>
      </c>
      <c r="M471" s="128">
        <v>9999</v>
      </c>
      <c r="P471" s="101">
        <v>5</v>
      </c>
      <c r="Q471" s="101">
        <v>7</v>
      </c>
    </row>
    <row r="472" spans="1:17" ht="16.5">
      <c r="A472" s="18">
        <v>100424</v>
      </c>
      <c r="B472" s="144" t="s">
        <v>926</v>
      </c>
      <c r="C472" s="128" t="s">
        <v>137</v>
      </c>
      <c r="D472" s="128">
        <v>2006</v>
      </c>
      <c r="E472" s="128" t="s">
        <v>108</v>
      </c>
      <c r="F472" s="128" t="b">
        <v>1</v>
      </c>
      <c r="H472" s="128" t="s">
        <v>79</v>
      </c>
      <c r="I472" s="128">
        <v>5</v>
      </c>
      <c r="J472" s="128" t="b">
        <v>0</v>
      </c>
      <c r="L472" s="104">
        <v>6637036</v>
      </c>
      <c r="M472" s="128">
        <v>9999</v>
      </c>
      <c r="P472" s="101">
        <v>5</v>
      </c>
      <c r="Q472" s="101">
        <v>7</v>
      </c>
    </row>
    <row r="473" spans="1:17" ht="16.5">
      <c r="A473" s="18">
        <v>100425</v>
      </c>
      <c r="B473" s="144" t="s">
        <v>927</v>
      </c>
      <c r="C473" s="128" t="s">
        <v>137</v>
      </c>
      <c r="D473" s="128">
        <v>2006</v>
      </c>
      <c r="E473" s="128" t="s">
        <v>108</v>
      </c>
      <c r="F473" s="128" t="b">
        <v>1</v>
      </c>
      <c r="H473" s="128" t="s">
        <v>79</v>
      </c>
      <c r="I473" s="128">
        <v>5</v>
      </c>
      <c r="J473" s="128" t="b">
        <v>0</v>
      </c>
      <c r="L473" s="104">
        <v>6637033</v>
      </c>
      <c r="M473" s="128">
        <v>9999</v>
      </c>
      <c r="P473" s="101">
        <v>5</v>
      </c>
      <c r="Q473" s="101">
        <v>7</v>
      </c>
    </row>
    <row r="474" spans="1:17" ht="16.5">
      <c r="A474" s="18">
        <v>100426</v>
      </c>
      <c r="B474" s="144" t="s">
        <v>928</v>
      </c>
      <c r="C474" s="128" t="s">
        <v>137</v>
      </c>
      <c r="D474" s="128">
        <v>2006</v>
      </c>
      <c r="E474" s="128" t="s">
        <v>108</v>
      </c>
      <c r="F474" s="128" t="b">
        <v>1</v>
      </c>
      <c r="H474" s="128" t="s">
        <v>79</v>
      </c>
      <c r="I474" s="128">
        <v>5</v>
      </c>
      <c r="J474" s="128" t="b">
        <v>0</v>
      </c>
      <c r="L474" s="104">
        <v>6637034</v>
      </c>
      <c r="M474" s="128">
        <v>9999</v>
      </c>
      <c r="P474" s="101">
        <v>5</v>
      </c>
      <c r="Q474" s="101">
        <v>7</v>
      </c>
    </row>
    <row r="475" spans="1:17" ht="16.5">
      <c r="A475" s="18">
        <v>100427</v>
      </c>
      <c r="B475" s="144" t="s">
        <v>929</v>
      </c>
      <c r="C475" s="128" t="s">
        <v>137</v>
      </c>
      <c r="D475" s="128">
        <v>2006</v>
      </c>
      <c r="E475" s="128" t="s">
        <v>108</v>
      </c>
      <c r="F475" s="128" t="b">
        <v>1</v>
      </c>
      <c r="H475" s="128" t="s">
        <v>79</v>
      </c>
      <c r="I475" s="128">
        <v>5</v>
      </c>
      <c r="J475" s="128" t="b">
        <v>0</v>
      </c>
      <c r="L475" s="104">
        <v>6637035</v>
      </c>
      <c r="M475" s="128">
        <v>9999</v>
      </c>
      <c r="P475" s="101">
        <v>5</v>
      </c>
      <c r="Q475" s="101">
        <v>7</v>
      </c>
    </row>
    <row r="476" spans="1:17" ht="16.5">
      <c r="A476" s="18">
        <v>100428</v>
      </c>
      <c r="B476" s="144" t="s">
        <v>930</v>
      </c>
      <c r="C476" s="128" t="s">
        <v>137</v>
      </c>
      <c r="D476" s="128">
        <v>2006</v>
      </c>
      <c r="E476" s="128" t="s">
        <v>108</v>
      </c>
      <c r="F476" s="128" t="b">
        <v>1</v>
      </c>
      <c r="H476" s="128" t="s">
        <v>79</v>
      </c>
      <c r="I476" s="128">
        <v>5</v>
      </c>
      <c r="J476" s="128" t="b">
        <v>0</v>
      </c>
      <c r="L476" s="104">
        <v>6637036</v>
      </c>
      <c r="M476" s="128">
        <v>9999</v>
      </c>
      <c r="P476" s="101">
        <v>5</v>
      </c>
      <c r="Q476" s="101">
        <v>7</v>
      </c>
    </row>
    <row r="477" spans="1:17" ht="16.5">
      <c r="A477" s="18">
        <v>100429</v>
      </c>
      <c r="B477" s="144" t="s">
        <v>931</v>
      </c>
      <c r="C477" s="128" t="s">
        <v>137</v>
      </c>
      <c r="D477" s="128">
        <v>2006</v>
      </c>
      <c r="E477" s="128" t="s">
        <v>108</v>
      </c>
      <c r="F477" s="128" t="b">
        <v>1</v>
      </c>
      <c r="H477" s="128" t="s">
        <v>79</v>
      </c>
      <c r="I477" s="128">
        <v>5</v>
      </c>
      <c r="J477" s="128" t="b">
        <v>0</v>
      </c>
      <c r="L477" s="104">
        <v>6637033</v>
      </c>
      <c r="M477" s="128">
        <v>9999</v>
      </c>
      <c r="P477" s="101">
        <v>5</v>
      </c>
      <c r="Q477" s="101">
        <v>7</v>
      </c>
    </row>
    <row r="478" spans="1:17" ht="16.5">
      <c r="A478" s="18">
        <v>100430</v>
      </c>
      <c r="B478" s="144" t="s">
        <v>932</v>
      </c>
      <c r="C478" s="128" t="s">
        <v>137</v>
      </c>
      <c r="D478" s="128">
        <v>2006</v>
      </c>
      <c r="E478" s="128" t="s">
        <v>108</v>
      </c>
      <c r="F478" s="128" t="b">
        <v>1</v>
      </c>
      <c r="H478" s="128" t="s">
        <v>79</v>
      </c>
      <c r="I478" s="128">
        <v>5</v>
      </c>
      <c r="J478" s="128" t="b">
        <v>0</v>
      </c>
      <c r="L478" s="104">
        <v>6637034</v>
      </c>
      <c r="M478" s="128">
        <v>9999</v>
      </c>
      <c r="P478" s="101">
        <v>5</v>
      </c>
      <c r="Q478" s="101">
        <v>7</v>
      </c>
    </row>
    <row r="479" spans="1:17" ht="16.5">
      <c r="A479" s="18">
        <v>100431</v>
      </c>
      <c r="B479" s="144" t="s">
        <v>933</v>
      </c>
      <c r="C479" s="128" t="s">
        <v>137</v>
      </c>
      <c r="D479" s="128">
        <v>2006</v>
      </c>
      <c r="E479" s="128" t="s">
        <v>108</v>
      </c>
      <c r="F479" s="128" t="b">
        <v>1</v>
      </c>
      <c r="H479" s="128" t="s">
        <v>79</v>
      </c>
      <c r="I479" s="128">
        <v>5</v>
      </c>
      <c r="J479" s="128" t="b">
        <v>0</v>
      </c>
      <c r="L479" s="104">
        <v>6637035</v>
      </c>
      <c r="M479" s="128">
        <v>9999</v>
      </c>
      <c r="P479" s="101">
        <v>5</v>
      </c>
      <c r="Q479" s="101">
        <v>7</v>
      </c>
    </row>
    <row r="480" spans="1:17" ht="16.5">
      <c r="A480" s="18">
        <v>100432</v>
      </c>
      <c r="B480" s="144" t="s">
        <v>934</v>
      </c>
      <c r="C480" s="128" t="s">
        <v>137</v>
      </c>
      <c r="D480" s="128">
        <v>2006</v>
      </c>
      <c r="E480" s="128" t="s">
        <v>108</v>
      </c>
      <c r="F480" s="128" t="b">
        <v>1</v>
      </c>
      <c r="H480" s="128" t="s">
        <v>79</v>
      </c>
      <c r="I480" s="128">
        <v>5</v>
      </c>
      <c r="J480" s="128" t="b">
        <v>0</v>
      </c>
      <c r="L480" s="104">
        <v>6637036</v>
      </c>
      <c r="M480" s="128">
        <v>9999</v>
      </c>
      <c r="P480" s="101">
        <v>5</v>
      </c>
      <c r="Q480" s="101">
        <v>7</v>
      </c>
    </row>
    <row r="481" spans="1:17" ht="16.5">
      <c r="A481" s="18">
        <v>100433</v>
      </c>
      <c r="B481" s="144" t="s">
        <v>935</v>
      </c>
      <c r="C481" s="128" t="s">
        <v>137</v>
      </c>
      <c r="D481" s="128">
        <v>2006</v>
      </c>
      <c r="E481" s="128" t="s">
        <v>108</v>
      </c>
      <c r="F481" s="128" t="b">
        <v>1</v>
      </c>
      <c r="H481" s="128" t="s">
        <v>79</v>
      </c>
      <c r="I481" s="128">
        <v>5</v>
      </c>
      <c r="J481" s="128" t="b">
        <v>0</v>
      </c>
      <c r="L481" s="104">
        <v>6637033</v>
      </c>
      <c r="M481" s="128">
        <v>9999</v>
      </c>
      <c r="P481" s="101">
        <v>5</v>
      </c>
      <c r="Q481" s="101">
        <v>7</v>
      </c>
    </row>
    <row r="482" spans="1:17" ht="16.5">
      <c r="A482" s="18">
        <v>100434</v>
      </c>
      <c r="B482" s="144" t="s">
        <v>936</v>
      </c>
      <c r="C482" s="128" t="s">
        <v>137</v>
      </c>
      <c r="D482" s="128">
        <v>2006</v>
      </c>
      <c r="E482" s="128" t="s">
        <v>108</v>
      </c>
      <c r="F482" s="128" t="b">
        <v>1</v>
      </c>
      <c r="H482" s="128" t="s">
        <v>79</v>
      </c>
      <c r="I482" s="128">
        <v>5</v>
      </c>
      <c r="J482" s="128" t="b">
        <v>0</v>
      </c>
      <c r="L482" s="104">
        <v>6637034</v>
      </c>
      <c r="M482" s="128">
        <v>9999</v>
      </c>
      <c r="P482" s="101">
        <v>5</v>
      </c>
      <c r="Q482" s="101">
        <v>7</v>
      </c>
    </row>
    <row r="483" spans="1:17" ht="16.5">
      <c r="A483" s="18">
        <v>100435</v>
      </c>
      <c r="B483" s="144" t="s">
        <v>937</v>
      </c>
      <c r="C483" s="128" t="s">
        <v>137</v>
      </c>
      <c r="D483" s="128">
        <v>2006</v>
      </c>
      <c r="E483" s="128" t="s">
        <v>108</v>
      </c>
      <c r="F483" s="128" t="b">
        <v>1</v>
      </c>
      <c r="H483" s="128" t="s">
        <v>79</v>
      </c>
      <c r="I483" s="128">
        <v>5</v>
      </c>
      <c r="J483" s="128" t="b">
        <v>0</v>
      </c>
      <c r="L483" s="104">
        <v>6637035</v>
      </c>
      <c r="M483" s="128">
        <v>9999</v>
      </c>
      <c r="P483" s="101">
        <v>5</v>
      </c>
      <c r="Q483" s="101">
        <v>7</v>
      </c>
    </row>
    <row r="484" spans="1:17" ht="16.5">
      <c r="A484" s="18">
        <v>100436</v>
      </c>
      <c r="B484" s="144" t="s">
        <v>938</v>
      </c>
      <c r="C484" s="128" t="s">
        <v>137</v>
      </c>
      <c r="D484" s="128">
        <v>2006</v>
      </c>
      <c r="E484" s="128" t="s">
        <v>108</v>
      </c>
      <c r="F484" s="128" t="b">
        <v>1</v>
      </c>
      <c r="H484" s="128" t="s">
        <v>79</v>
      </c>
      <c r="I484" s="128">
        <v>5</v>
      </c>
      <c r="J484" s="128" t="b">
        <v>0</v>
      </c>
      <c r="L484" s="104">
        <v>6637036</v>
      </c>
      <c r="M484" s="128">
        <v>9999</v>
      </c>
      <c r="P484" s="101">
        <v>5</v>
      </c>
      <c r="Q484" s="101">
        <v>7</v>
      </c>
    </row>
    <row r="485" spans="1:17" ht="16.5">
      <c r="A485" s="18">
        <v>100437</v>
      </c>
      <c r="B485" s="144" t="s">
        <v>939</v>
      </c>
      <c r="C485" s="128" t="s">
        <v>137</v>
      </c>
      <c r="D485" s="128">
        <v>2006</v>
      </c>
      <c r="E485" s="128" t="s">
        <v>108</v>
      </c>
      <c r="F485" s="128" t="b">
        <v>1</v>
      </c>
      <c r="H485" s="128" t="s">
        <v>79</v>
      </c>
      <c r="I485" s="128">
        <v>5</v>
      </c>
      <c r="J485" s="128" t="b">
        <v>0</v>
      </c>
      <c r="L485" s="104">
        <v>6637033</v>
      </c>
      <c r="M485" s="128">
        <v>9999</v>
      </c>
      <c r="P485" s="101">
        <v>5</v>
      </c>
      <c r="Q485" s="101">
        <v>7</v>
      </c>
    </row>
    <row r="486" spans="1:17" ht="16.5">
      <c r="A486" s="18">
        <v>100438</v>
      </c>
      <c r="B486" s="144" t="s">
        <v>940</v>
      </c>
      <c r="C486" s="128" t="s">
        <v>137</v>
      </c>
      <c r="D486" s="128">
        <v>2006</v>
      </c>
      <c r="E486" s="128" t="s">
        <v>108</v>
      </c>
      <c r="F486" s="128" t="b">
        <v>1</v>
      </c>
      <c r="H486" s="128" t="s">
        <v>79</v>
      </c>
      <c r="I486" s="128">
        <v>5</v>
      </c>
      <c r="J486" s="128" t="b">
        <v>0</v>
      </c>
      <c r="L486" s="104">
        <v>6637034</v>
      </c>
      <c r="M486" s="128">
        <v>9999</v>
      </c>
      <c r="P486" s="101">
        <v>5</v>
      </c>
      <c r="Q486" s="101">
        <v>7</v>
      </c>
    </row>
    <row r="487" spans="1:17" ht="16.5">
      <c r="A487" s="18">
        <v>100439</v>
      </c>
      <c r="B487" s="144" t="s">
        <v>941</v>
      </c>
      <c r="C487" s="128" t="s">
        <v>137</v>
      </c>
      <c r="D487" s="128">
        <v>2006</v>
      </c>
      <c r="E487" s="128" t="s">
        <v>108</v>
      </c>
      <c r="F487" s="128" t="b">
        <v>1</v>
      </c>
      <c r="H487" s="128" t="s">
        <v>79</v>
      </c>
      <c r="I487" s="128">
        <v>5</v>
      </c>
      <c r="J487" s="128" t="b">
        <v>0</v>
      </c>
      <c r="L487" s="104">
        <v>6637035</v>
      </c>
      <c r="M487" s="128">
        <v>9999</v>
      </c>
      <c r="P487" s="101">
        <v>5</v>
      </c>
      <c r="Q487" s="101">
        <v>7</v>
      </c>
    </row>
    <row r="488" spans="1:17" ht="16.5">
      <c r="A488" s="18">
        <v>100440</v>
      </c>
      <c r="B488" s="144" t="s">
        <v>942</v>
      </c>
      <c r="C488" s="128" t="s">
        <v>137</v>
      </c>
      <c r="D488" s="128">
        <v>2006</v>
      </c>
      <c r="E488" s="128" t="s">
        <v>108</v>
      </c>
      <c r="F488" s="128" t="b">
        <v>1</v>
      </c>
      <c r="H488" s="128" t="s">
        <v>79</v>
      </c>
      <c r="I488" s="128">
        <v>5</v>
      </c>
      <c r="J488" s="128" t="b">
        <v>0</v>
      </c>
      <c r="L488" s="104">
        <v>6637036</v>
      </c>
      <c r="M488" s="128">
        <v>9999</v>
      </c>
      <c r="P488" s="101">
        <v>5</v>
      </c>
      <c r="Q488" s="101">
        <v>7</v>
      </c>
    </row>
    <row r="489" spans="1:17" ht="16.5">
      <c r="A489" s="18">
        <v>100441</v>
      </c>
      <c r="B489" s="144" t="s">
        <v>943</v>
      </c>
      <c r="C489" s="128" t="s">
        <v>137</v>
      </c>
      <c r="D489" s="128">
        <v>2006</v>
      </c>
      <c r="E489" s="128" t="s">
        <v>108</v>
      </c>
      <c r="F489" s="128" t="b">
        <v>1</v>
      </c>
      <c r="H489" s="128" t="s">
        <v>79</v>
      </c>
      <c r="I489" s="128">
        <v>5</v>
      </c>
      <c r="J489" s="128" t="b">
        <v>0</v>
      </c>
      <c r="L489" s="104">
        <v>6637033</v>
      </c>
      <c r="M489" s="128">
        <v>9999</v>
      </c>
      <c r="P489" s="101">
        <v>5</v>
      </c>
      <c r="Q489" s="101">
        <v>7</v>
      </c>
    </row>
    <row r="490" spans="1:17" ht="16.5">
      <c r="A490" s="18">
        <v>100442</v>
      </c>
      <c r="B490" s="144" t="s">
        <v>944</v>
      </c>
      <c r="C490" s="128" t="s">
        <v>137</v>
      </c>
      <c r="D490" s="128">
        <v>2006</v>
      </c>
      <c r="E490" s="128" t="s">
        <v>108</v>
      </c>
      <c r="F490" s="128" t="b">
        <v>1</v>
      </c>
      <c r="H490" s="128" t="s">
        <v>79</v>
      </c>
      <c r="I490" s="128">
        <v>5</v>
      </c>
      <c r="J490" s="128" t="b">
        <v>0</v>
      </c>
      <c r="L490" s="104">
        <v>6637034</v>
      </c>
      <c r="M490" s="128">
        <v>9999</v>
      </c>
      <c r="P490" s="101">
        <v>5</v>
      </c>
      <c r="Q490" s="101">
        <v>7</v>
      </c>
    </row>
    <row r="491" spans="1:17" ht="16.5">
      <c r="A491" s="18">
        <v>100443</v>
      </c>
      <c r="B491" s="144" t="s">
        <v>945</v>
      </c>
      <c r="C491" s="128" t="s">
        <v>137</v>
      </c>
      <c r="D491" s="128">
        <v>2006</v>
      </c>
      <c r="E491" s="128" t="s">
        <v>108</v>
      </c>
      <c r="F491" s="128" t="b">
        <v>1</v>
      </c>
      <c r="H491" s="128" t="s">
        <v>79</v>
      </c>
      <c r="I491" s="128">
        <v>5</v>
      </c>
      <c r="J491" s="128" t="b">
        <v>0</v>
      </c>
      <c r="L491" s="104">
        <v>6637035</v>
      </c>
      <c r="M491" s="128">
        <v>9999</v>
      </c>
      <c r="P491" s="101">
        <v>5</v>
      </c>
      <c r="Q491" s="101">
        <v>7</v>
      </c>
    </row>
    <row r="492" spans="1:17" ht="16.5">
      <c r="A492" s="18">
        <v>100444</v>
      </c>
      <c r="B492" s="144" t="s">
        <v>946</v>
      </c>
      <c r="C492" s="128" t="s">
        <v>137</v>
      </c>
      <c r="D492" s="128">
        <v>2006</v>
      </c>
      <c r="E492" s="128" t="s">
        <v>108</v>
      </c>
      <c r="F492" s="128" t="b">
        <v>1</v>
      </c>
      <c r="H492" s="128" t="s">
        <v>79</v>
      </c>
      <c r="I492" s="128">
        <v>5</v>
      </c>
      <c r="J492" s="128" t="b">
        <v>0</v>
      </c>
      <c r="L492" s="104">
        <v>6637036</v>
      </c>
      <c r="M492" s="128">
        <v>9999</v>
      </c>
      <c r="P492" s="101">
        <v>5</v>
      </c>
      <c r="Q492" s="101">
        <v>7</v>
      </c>
    </row>
    <row r="493" spans="1:17" ht="16.5">
      <c r="A493" s="18">
        <v>100445</v>
      </c>
      <c r="B493" s="144" t="s">
        <v>947</v>
      </c>
      <c r="C493" s="128" t="s">
        <v>137</v>
      </c>
      <c r="D493" s="128">
        <v>2006</v>
      </c>
      <c r="E493" s="128" t="s">
        <v>108</v>
      </c>
      <c r="F493" s="128" t="b">
        <v>1</v>
      </c>
      <c r="H493" s="128" t="s">
        <v>79</v>
      </c>
      <c r="I493" s="128">
        <v>5</v>
      </c>
      <c r="J493" s="128" t="b">
        <v>0</v>
      </c>
      <c r="L493" s="104">
        <v>6637033</v>
      </c>
      <c r="M493" s="128">
        <v>9999</v>
      </c>
      <c r="P493" s="101">
        <v>5</v>
      </c>
      <c r="Q493" s="101">
        <v>7</v>
      </c>
    </row>
    <row r="494" spans="1:17" ht="16.5">
      <c r="A494" s="18">
        <v>100446</v>
      </c>
      <c r="B494" s="144" t="s">
        <v>948</v>
      </c>
      <c r="C494" s="128" t="s">
        <v>137</v>
      </c>
      <c r="D494" s="128">
        <v>2006</v>
      </c>
      <c r="E494" s="128" t="s">
        <v>108</v>
      </c>
      <c r="F494" s="128" t="b">
        <v>1</v>
      </c>
      <c r="H494" s="128" t="s">
        <v>79</v>
      </c>
      <c r="I494" s="128">
        <v>5</v>
      </c>
      <c r="J494" s="128" t="b">
        <v>0</v>
      </c>
      <c r="L494" s="104">
        <v>6637034</v>
      </c>
      <c r="M494" s="128">
        <v>9999</v>
      </c>
      <c r="P494" s="101">
        <v>5</v>
      </c>
      <c r="Q494" s="101">
        <v>7</v>
      </c>
    </row>
    <row r="495" spans="1:17" ht="16.5">
      <c r="A495" s="18">
        <v>100447</v>
      </c>
      <c r="B495" s="144" t="s">
        <v>949</v>
      </c>
      <c r="C495" s="128" t="s">
        <v>137</v>
      </c>
      <c r="D495" s="128">
        <v>2006</v>
      </c>
      <c r="E495" s="128" t="s">
        <v>108</v>
      </c>
      <c r="F495" s="128" t="b">
        <v>1</v>
      </c>
      <c r="H495" s="128" t="s">
        <v>79</v>
      </c>
      <c r="I495" s="128">
        <v>5</v>
      </c>
      <c r="J495" s="128" t="b">
        <v>0</v>
      </c>
      <c r="L495" s="104">
        <v>6637035</v>
      </c>
      <c r="M495" s="128">
        <v>9999</v>
      </c>
      <c r="P495" s="101">
        <v>5</v>
      </c>
      <c r="Q495" s="101">
        <v>7</v>
      </c>
    </row>
    <row r="496" spans="1:17" ht="16.5">
      <c r="A496" s="18">
        <v>100448</v>
      </c>
      <c r="B496" s="144" t="s">
        <v>950</v>
      </c>
      <c r="C496" s="128" t="s">
        <v>137</v>
      </c>
      <c r="D496" s="128">
        <v>2006</v>
      </c>
      <c r="E496" s="128" t="s">
        <v>108</v>
      </c>
      <c r="F496" s="128" t="b">
        <v>1</v>
      </c>
      <c r="H496" s="128" t="s">
        <v>79</v>
      </c>
      <c r="I496" s="128">
        <v>5</v>
      </c>
      <c r="J496" s="128" t="b">
        <v>0</v>
      </c>
      <c r="L496" s="104">
        <v>6637036</v>
      </c>
      <c r="M496" s="128">
        <v>9999</v>
      </c>
      <c r="P496" s="101">
        <v>5</v>
      </c>
      <c r="Q496" s="101">
        <v>7</v>
      </c>
    </row>
    <row r="497" spans="1:17" ht="16.5">
      <c r="A497" s="18">
        <v>100449</v>
      </c>
      <c r="B497" s="144" t="s">
        <v>951</v>
      </c>
      <c r="C497" s="128" t="s">
        <v>137</v>
      </c>
      <c r="D497" s="128">
        <v>2006</v>
      </c>
      <c r="E497" s="128" t="s">
        <v>108</v>
      </c>
      <c r="F497" s="128" t="b">
        <v>1</v>
      </c>
      <c r="H497" s="128" t="s">
        <v>79</v>
      </c>
      <c r="I497" s="128">
        <v>5</v>
      </c>
      <c r="J497" s="128" t="b">
        <v>0</v>
      </c>
      <c r="L497" s="104">
        <v>6637033</v>
      </c>
      <c r="M497" s="128">
        <v>9999</v>
      </c>
      <c r="P497" s="101">
        <v>5</v>
      </c>
      <c r="Q497" s="101">
        <v>7</v>
      </c>
    </row>
    <row r="498" spans="1:17" ht="16.5">
      <c r="A498" s="18">
        <v>100450</v>
      </c>
      <c r="B498" s="144" t="s">
        <v>952</v>
      </c>
      <c r="C498" s="128" t="s">
        <v>137</v>
      </c>
      <c r="D498" s="128">
        <v>2006</v>
      </c>
      <c r="E498" s="128" t="s">
        <v>108</v>
      </c>
      <c r="F498" s="128" t="b">
        <v>1</v>
      </c>
      <c r="H498" s="128" t="s">
        <v>79</v>
      </c>
      <c r="I498" s="128">
        <v>5</v>
      </c>
      <c r="J498" s="128" t="b">
        <v>0</v>
      </c>
      <c r="L498" s="104">
        <v>6637034</v>
      </c>
      <c r="M498" s="128">
        <v>9999</v>
      </c>
      <c r="P498" s="101">
        <v>5</v>
      </c>
      <c r="Q498" s="101">
        <v>7</v>
      </c>
    </row>
    <row r="499" spans="1:17" ht="16.5">
      <c r="A499" s="18">
        <v>100451</v>
      </c>
      <c r="B499" s="144" t="s">
        <v>953</v>
      </c>
      <c r="C499" s="128" t="s">
        <v>137</v>
      </c>
      <c r="D499" s="128">
        <v>2006</v>
      </c>
      <c r="E499" s="128" t="s">
        <v>108</v>
      </c>
      <c r="F499" s="128" t="b">
        <v>1</v>
      </c>
      <c r="H499" s="128" t="s">
        <v>79</v>
      </c>
      <c r="I499" s="128">
        <v>5</v>
      </c>
      <c r="J499" s="128" t="b">
        <v>0</v>
      </c>
      <c r="L499" s="104">
        <v>6637035</v>
      </c>
      <c r="M499" s="128">
        <v>9999</v>
      </c>
      <c r="P499" s="101">
        <v>5</v>
      </c>
      <c r="Q499" s="101">
        <v>7</v>
      </c>
    </row>
    <row r="500" spans="1:17" ht="16.5">
      <c r="A500" s="18">
        <v>100452</v>
      </c>
      <c r="B500" s="144" t="s">
        <v>954</v>
      </c>
      <c r="C500" s="128" t="s">
        <v>137</v>
      </c>
      <c r="D500" s="128">
        <v>2006</v>
      </c>
      <c r="E500" s="128" t="s">
        <v>108</v>
      </c>
      <c r="F500" s="128" t="b">
        <v>1</v>
      </c>
      <c r="H500" s="128" t="s">
        <v>79</v>
      </c>
      <c r="I500" s="128">
        <v>5</v>
      </c>
      <c r="J500" s="128" t="b">
        <v>0</v>
      </c>
      <c r="L500" s="104">
        <v>6637036</v>
      </c>
      <c r="M500" s="128">
        <v>9999</v>
      </c>
      <c r="P500" s="101">
        <v>5</v>
      </c>
      <c r="Q500" s="101">
        <v>7</v>
      </c>
    </row>
    <row r="501" spans="1:17" ht="16.5">
      <c r="A501" s="18">
        <v>100453</v>
      </c>
      <c r="B501" s="144" t="s">
        <v>955</v>
      </c>
      <c r="C501" s="128" t="s">
        <v>137</v>
      </c>
      <c r="D501" s="128">
        <v>2006</v>
      </c>
      <c r="E501" s="128" t="s">
        <v>108</v>
      </c>
      <c r="F501" s="128" t="b">
        <v>1</v>
      </c>
      <c r="H501" s="128" t="s">
        <v>79</v>
      </c>
      <c r="I501" s="128">
        <v>5</v>
      </c>
      <c r="J501" s="128" t="b">
        <v>0</v>
      </c>
      <c r="L501" s="104">
        <v>6637033</v>
      </c>
      <c r="M501" s="128">
        <v>9999</v>
      </c>
      <c r="P501" s="101">
        <v>5</v>
      </c>
      <c r="Q501" s="101">
        <v>7</v>
      </c>
    </row>
    <row r="502" spans="1:17" ht="16.5">
      <c r="A502" s="18">
        <v>100454</v>
      </c>
      <c r="B502" s="144" t="s">
        <v>956</v>
      </c>
      <c r="C502" s="128" t="s">
        <v>137</v>
      </c>
      <c r="D502" s="128">
        <v>2006</v>
      </c>
      <c r="E502" s="128" t="s">
        <v>108</v>
      </c>
      <c r="F502" s="128" t="b">
        <v>1</v>
      </c>
      <c r="H502" s="128" t="s">
        <v>79</v>
      </c>
      <c r="I502" s="128">
        <v>5</v>
      </c>
      <c r="J502" s="128" t="b">
        <v>0</v>
      </c>
      <c r="L502" s="104">
        <v>6637034</v>
      </c>
      <c r="M502" s="128">
        <v>9999</v>
      </c>
      <c r="P502" s="101">
        <v>5</v>
      </c>
      <c r="Q502" s="101">
        <v>7</v>
      </c>
    </row>
    <row r="503" spans="1:17" ht="16.5">
      <c r="A503" s="18">
        <v>100455</v>
      </c>
      <c r="B503" s="144" t="s">
        <v>957</v>
      </c>
      <c r="C503" s="128" t="s">
        <v>137</v>
      </c>
      <c r="D503" s="128">
        <v>2006</v>
      </c>
      <c r="E503" s="128" t="s">
        <v>108</v>
      </c>
      <c r="F503" s="128" t="b">
        <v>1</v>
      </c>
      <c r="H503" s="128" t="s">
        <v>79</v>
      </c>
      <c r="I503" s="128">
        <v>5</v>
      </c>
      <c r="J503" s="128" t="b">
        <v>0</v>
      </c>
      <c r="L503" s="104">
        <v>6637035</v>
      </c>
      <c r="M503" s="128">
        <v>9999</v>
      </c>
      <c r="P503" s="101">
        <v>5</v>
      </c>
      <c r="Q503" s="101">
        <v>7</v>
      </c>
    </row>
    <row r="504" spans="1:17" ht="16.5">
      <c r="A504" s="18">
        <v>100456</v>
      </c>
      <c r="B504" s="144" t="s">
        <v>958</v>
      </c>
      <c r="C504" s="128" t="s">
        <v>137</v>
      </c>
      <c r="D504" s="128">
        <v>2006</v>
      </c>
      <c r="E504" s="128" t="s">
        <v>108</v>
      </c>
      <c r="F504" s="128" t="b">
        <v>1</v>
      </c>
      <c r="H504" s="128" t="s">
        <v>79</v>
      </c>
      <c r="I504" s="128">
        <v>5</v>
      </c>
      <c r="J504" s="128" t="b">
        <v>0</v>
      </c>
      <c r="L504" s="104">
        <v>6637036</v>
      </c>
      <c r="M504" s="128">
        <v>9999</v>
      </c>
      <c r="P504" s="101">
        <v>5</v>
      </c>
      <c r="Q504" s="101">
        <v>7</v>
      </c>
    </row>
    <row r="505" spans="1:17" ht="16.5">
      <c r="A505" s="18">
        <v>100457</v>
      </c>
      <c r="B505" s="144" t="s">
        <v>959</v>
      </c>
      <c r="C505" s="128" t="s">
        <v>137</v>
      </c>
      <c r="D505" s="128">
        <v>2006</v>
      </c>
      <c r="E505" s="128" t="s">
        <v>108</v>
      </c>
      <c r="F505" s="128" t="b">
        <v>1</v>
      </c>
      <c r="H505" s="128" t="s">
        <v>79</v>
      </c>
      <c r="I505" s="128">
        <v>5</v>
      </c>
      <c r="J505" s="128" t="b">
        <v>0</v>
      </c>
      <c r="L505" s="104">
        <v>6637033</v>
      </c>
      <c r="M505" s="128">
        <v>9999</v>
      </c>
      <c r="P505" s="101">
        <v>5</v>
      </c>
      <c r="Q505" s="101">
        <v>7</v>
      </c>
    </row>
    <row r="506" spans="1:17" ht="16.5">
      <c r="A506" s="18">
        <v>100458</v>
      </c>
      <c r="B506" s="144" t="s">
        <v>960</v>
      </c>
      <c r="C506" s="128" t="s">
        <v>137</v>
      </c>
      <c r="D506" s="128">
        <v>2006</v>
      </c>
      <c r="E506" s="128" t="s">
        <v>108</v>
      </c>
      <c r="F506" s="128" t="b">
        <v>1</v>
      </c>
      <c r="H506" s="128" t="s">
        <v>79</v>
      </c>
      <c r="I506" s="128">
        <v>5</v>
      </c>
      <c r="J506" s="128" t="b">
        <v>0</v>
      </c>
      <c r="L506" s="104">
        <v>6637034</v>
      </c>
      <c r="M506" s="128">
        <v>9999</v>
      </c>
      <c r="P506" s="101">
        <v>5</v>
      </c>
      <c r="Q506" s="101">
        <v>7</v>
      </c>
    </row>
    <row r="507" spans="1:17" ht="16.5">
      <c r="A507" s="18">
        <v>100459</v>
      </c>
      <c r="B507" s="144" t="s">
        <v>961</v>
      </c>
      <c r="C507" s="128" t="s">
        <v>137</v>
      </c>
      <c r="D507" s="128">
        <v>2006</v>
      </c>
      <c r="E507" s="128" t="s">
        <v>108</v>
      </c>
      <c r="F507" s="128" t="b">
        <v>1</v>
      </c>
      <c r="H507" s="128" t="s">
        <v>79</v>
      </c>
      <c r="I507" s="128">
        <v>5</v>
      </c>
      <c r="J507" s="128" t="b">
        <v>0</v>
      </c>
      <c r="L507" s="104">
        <v>6637035</v>
      </c>
      <c r="M507" s="128">
        <v>9999</v>
      </c>
      <c r="P507" s="101">
        <v>5</v>
      </c>
      <c r="Q507" s="101">
        <v>7</v>
      </c>
    </row>
    <row r="508" spans="1:17" ht="16.5">
      <c r="A508" s="18">
        <v>100460</v>
      </c>
      <c r="B508" s="144" t="s">
        <v>962</v>
      </c>
      <c r="C508" s="128" t="s">
        <v>137</v>
      </c>
      <c r="D508" s="128">
        <v>2006</v>
      </c>
      <c r="E508" s="128" t="s">
        <v>108</v>
      </c>
      <c r="F508" s="128" t="b">
        <v>1</v>
      </c>
      <c r="H508" s="128" t="s">
        <v>79</v>
      </c>
      <c r="I508" s="128">
        <v>5</v>
      </c>
      <c r="J508" s="128" t="b">
        <v>0</v>
      </c>
      <c r="L508" s="104">
        <v>6637036</v>
      </c>
      <c r="M508" s="128">
        <v>9999</v>
      </c>
      <c r="P508" s="101">
        <v>5</v>
      </c>
      <c r="Q508" s="101">
        <v>7</v>
      </c>
    </row>
    <row r="509" spans="1:17" ht="16.5">
      <c r="A509" s="18">
        <v>100461</v>
      </c>
      <c r="B509" s="144" t="s">
        <v>963</v>
      </c>
      <c r="C509" s="128" t="s">
        <v>137</v>
      </c>
      <c r="D509" s="128">
        <v>2006</v>
      </c>
      <c r="E509" s="128" t="s">
        <v>108</v>
      </c>
      <c r="F509" s="128" t="b">
        <v>1</v>
      </c>
      <c r="H509" s="128" t="s">
        <v>79</v>
      </c>
      <c r="I509" s="128">
        <v>5</v>
      </c>
      <c r="J509" s="128" t="b">
        <v>0</v>
      </c>
      <c r="L509" s="104">
        <v>6637033</v>
      </c>
      <c r="M509" s="128">
        <v>9999</v>
      </c>
      <c r="P509" s="101">
        <v>5</v>
      </c>
      <c r="Q509" s="101">
        <v>7</v>
      </c>
    </row>
    <row r="510" spans="1:17" ht="16.5">
      <c r="A510" s="18">
        <v>100462</v>
      </c>
      <c r="B510" s="144" t="s">
        <v>964</v>
      </c>
      <c r="C510" s="128" t="s">
        <v>137</v>
      </c>
      <c r="D510" s="128">
        <v>2006</v>
      </c>
      <c r="E510" s="128" t="s">
        <v>108</v>
      </c>
      <c r="F510" s="128" t="b">
        <v>1</v>
      </c>
      <c r="H510" s="128" t="s">
        <v>79</v>
      </c>
      <c r="I510" s="128">
        <v>5</v>
      </c>
      <c r="J510" s="128" t="b">
        <v>0</v>
      </c>
      <c r="L510" s="104">
        <v>6637034</v>
      </c>
      <c r="M510" s="128">
        <v>9999</v>
      </c>
      <c r="P510" s="101">
        <v>5</v>
      </c>
      <c r="Q510" s="101">
        <v>7</v>
      </c>
    </row>
    <row r="511" spans="1:17" ht="16.5">
      <c r="A511" s="18">
        <v>100463</v>
      </c>
      <c r="B511" s="144" t="s">
        <v>965</v>
      </c>
      <c r="C511" s="128" t="s">
        <v>137</v>
      </c>
      <c r="D511" s="128">
        <v>2006</v>
      </c>
      <c r="E511" s="128" t="s">
        <v>108</v>
      </c>
      <c r="F511" s="128" t="b">
        <v>1</v>
      </c>
      <c r="H511" s="128" t="s">
        <v>79</v>
      </c>
      <c r="I511" s="128">
        <v>5</v>
      </c>
      <c r="J511" s="128" t="b">
        <v>0</v>
      </c>
      <c r="L511" s="104">
        <v>6637035</v>
      </c>
      <c r="M511" s="128">
        <v>9999</v>
      </c>
      <c r="P511" s="101">
        <v>5</v>
      </c>
      <c r="Q511" s="101">
        <v>7</v>
      </c>
    </row>
    <row r="512" spans="1:17" ht="16.5">
      <c r="A512" s="18">
        <v>100464</v>
      </c>
      <c r="B512" s="144" t="s">
        <v>966</v>
      </c>
      <c r="C512" s="128" t="s">
        <v>137</v>
      </c>
      <c r="D512" s="128">
        <v>2006</v>
      </c>
      <c r="E512" s="128" t="s">
        <v>108</v>
      </c>
      <c r="F512" s="128" t="b">
        <v>1</v>
      </c>
      <c r="H512" s="128" t="s">
        <v>79</v>
      </c>
      <c r="I512" s="128">
        <v>5</v>
      </c>
      <c r="J512" s="128" t="b">
        <v>0</v>
      </c>
      <c r="L512" s="104">
        <v>6637036</v>
      </c>
      <c r="M512" s="128">
        <v>9999</v>
      </c>
      <c r="P512" s="101">
        <v>5</v>
      </c>
      <c r="Q512" s="101">
        <v>7</v>
      </c>
    </row>
    <row r="513" spans="1:17" ht="16.5">
      <c r="A513" s="18">
        <v>100465</v>
      </c>
      <c r="B513" s="144" t="s">
        <v>967</v>
      </c>
      <c r="C513" s="128" t="s">
        <v>137</v>
      </c>
      <c r="D513" s="128">
        <v>2006</v>
      </c>
      <c r="E513" s="128" t="s">
        <v>108</v>
      </c>
      <c r="F513" s="128" t="b">
        <v>1</v>
      </c>
      <c r="H513" s="128" t="s">
        <v>79</v>
      </c>
      <c r="I513" s="128">
        <v>5</v>
      </c>
      <c r="J513" s="128" t="b">
        <v>0</v>
      </c>
      <c r="L513" s="104">
        <v>6637033</v>
      </c>
      <c r="M513" s="128">
        <v>9999</v>
      </c>
      <c r="P513" s="101">
        <v>5</v>
      </c>
      <c r="Q513" s="101">
        <v>7</v>
      </c>
    </row>
    <row r="514" spans="1:17" ht="16.5">
      <c r="A514" s="18">
        <v>100466</v>
      </c>
      <c r="B514" s="144" t="s">
        <v>968</v>
      </c>
      <c r="C514" s="128" t="s">
        <v>137</v>
      </c>
      <c r="D514" s="128">
        <v>2006</v>
      </c>
      <c r="E514" s="128" t="s">
        <v>108</v>
      </c>
      <c r="F514" s="128" t="b">
        <v>1</v>
      </c>
      <c r="H514" s="128" t="s">
        <v>79</v>
      </c>
      <c r="I514" s="128">
        <v>5</v>
      </c>
      <c r="J514" s="128" t="b">
        <v>0</v>
      </c>
      <c r="L514" s="104">
        <v>6637034</v>
      </c>
      <c r="M514" s="128">
        <v>9999</v>
      </c>
      <c r="P514" s="101">
        <v>5</v>
      </c>
      <c r="Q514" s="101">
        <v>7</v>
      </c>
    </row>
    <row r="515" spans="1:17" ht="16.5">
      <c r="A515" s="18">
        <v>100467</v>
      </c>
      <c r="B515" s="144" t="s">
        <v>969</v>
      </c>
      <c r="C515" s="128" t="s">
        <v>137</v>
      </c>
      <c r="D515" s="128">
        <v>2006</v>
      </c>
      <c r="E515" s="128" t="s">
        <v>108</v>
      </c>
      <c r="F515" s="128" t="b">
        <v>1</v>
      </c>
      <c r="H515" s="128" t="s">
        <v>79</v>
      </c>
      <c r="I515" s="128">
        <v>5</v>
      </c>
      <c r="J515" s="128" t="b">
        <v>0</v>
      </c>
      <c r="L515" s="104">
        <v>6637035</v>
      </c>
      <c r="M515" s="128">
        <v>9999</v>
      </c>
      <c r="P515" s="101">
        <v>5</v>
      </c>
      <c r="Q515" s="101">
        <v>7</v>
      </c>
    </row>
    <row r="516" spans="1:17" ht="16.5">
      <c r="A516" s="18">
        <v>100468</v>
      </c>
      <c r="B516" s="144" t="s">
        <v>970</v>
      </c>
      <c r="C516" s="128" t="s">
        <v>137</v>
      </c>
      <c r="D516" s="128">
        <v>2006</v>
      </c>
      <c r="E516" s="128" t="s">
        <v>108</v>
      </c>
      <c r="F516" s="128" t="b">
        <v>1</v>
      </c>
      <c r="H516" s="128" t="s">
        <v>79</v>
      </c>
      <c r="I516" s="128">
        <v>5</v>
      </c>
      <c r="J516" s="128" t="b">
        <v>0</v>
      </c>
      <c r="L516" s="104">
        <v>6637036</v>
      </c>
      <c r="M516" s="128">
        <v>9999</v>
      </c>
      <c r="P516" s="101">
        <v>5</v>
      </c>
      <c r="Q516" s="101">
        <v>7</v>
      </c>
    </row>
    <row r="517" spans="1:17" ht="16.5">
      <c r="A517" s="18">
        <v>100469</v>
      </c>
      <c r="B517" s="144" t="s">
        <v>971</v>
      </c>
      <c r="C517" s="128" t="s">
        <v>137</v>
      </c>
      <c r="D517" s="128">
        <v>2006</v>
      </c>
      <c r="E517" s="128" t="s">
        <v>108</v>
      </c>
      <c r="F517" s="128" t="b">
        <v>1</v>
      </c>
      <c r="H517" s="128" t="s">
        <v>79</v>
      </c>
      <c r="I517" s="128">
        <v>5</v>
      </c>
      <c r="J517" s="128" t="b">
        <v>0</v>
      </c>
      <c r="L517" s="104">
        <v>6637033</v>
      </c>
      <c r="M517" s="128">
        <v>9999</v>
      </c>
      <c r="P517" s="101">
        <v>5</v>
      </c>
      <c r="Q517" s="101">
        <v>7</v>
      </c>
    </row>
    <row r="518" spans="1:17" ht="16.5">
      <c r="A518" s="18">
        <v>100470</v>
      </c>
      <c r="B518" s="144" t="s">
        <v>972</v>
      </c>
      <c r="C518" s="128" t="s">
        <v>137</v>
      </c>
      <c r="D518" s="128">
        <v>2006</v>
      </c>
      <c r="E518" s="128" t="s">
        <v>108</v>
      </c>
      <c r="F518" s="128" t="b">
        <v>1</v>
      </c>
      <c r="H518" s="128" t="s">
        <v>79</v>
      </c>
      <c r="I518" s="128">
        <v>5</v>
      </c>
      <c r="J518" s="128" t="b">
        <v>0</v>
      </c>
      <c r="L518" s="104">
        <v>6637034</v>
      </c>
      <c r="M518" s="128">
        <v>9999</v>
      </c>
      <c r="P518" s="101">
        <v>5</v>
      </c>
      <c r="Q518" s="101">
        <v>7</v>
      </c>
    </row>
    <row r="519" spans="1:17" ht="16.5">
      <c r="A519" s="18">
        <v>100471</v>
      </c>
      <c r="B519" s="144" t="s">
        <v>973</v>
      </c>
      <c r="C519" s="128" t="s">
        <v>137</v>
      </c>
      <c r="D519" s="128">
        <v>2006</v>
      </c>
      <c r="E519" s="128" t="s">
        <v>108</v>
      </c>
      <c r="F519" s="128" t="b">
        <v>1</v>
      </c>
      <c r="H519" s="128" t="s">
        <v>79</v>
      </c>
      <c r="I519" s="128">
        <v>5</v>
      </c>
      <c r="J519" s="128" t="b">
        <v>0</v>
      </c>
      <c r="L519" s="104">
        <v>6637035</v>
      </c>
      <c r="M519" s="128">
        <v>9999</v>
      </c>
      <c r="P519" s="101">
        <v>5</v>
      </c>
      <c r="Q519" s="101">
        <v>7</v>
      </c>
    </row>
    <row r="520" spans="1:17" ht="16.5">
      <c r="A520" s="18">
        <v>100472</v>
      </c>
      <c r="B520" s="144" t="s">
        <v>974</v>
      </c>
      <c r="C520" s="128" t="s">
        <v>137</v>
      </c>
      <c r="D520" s="128">
        <v>2006</v>
      </c>
      <c r="E520" s="128" t="s">
        <v>108</v>
      </c>
      <c r="F520" s="128" t="b">
        <v>1</v>
      </c>
      <c r="H520" s="128" t="s">
        <v>79</v>
      </c>
      <c r="I520" s="128">
        <v>5</v>
      </c>
      <c r="J520" s="128" t="b">
        <v>0</v>
      </c>
      <c r="L520" s="104">
        <v>6637036</v>
      </c>
      <c r="M520" s="128">
        <v>9999</v>
      </c>
      <c r="P520" s="101">
        <v>5</v>
      </c>
      <c r="Q520" s="101">
        <v>7</v>
      </c>
    </row>
    <row r="521" spans="1:17" ht="16.5">
      <c r="A521" s="18">
        <v>100473</v>
      </c>
      <c r="B521" s="144" t="s">
        <v>975</v>
      </c>
      <c r="C521" s="128" t="s">
        <v>137</v>
      </c>
      <c r="D521" s="128">
        <v>2006</v>
      </c>
      <c r="E521" s="128" t="s">
        <v>108</v>
      </c>
      <c r="F521" s="128" t="b">
        <v>1</v>
      </c>
      <c r="H521" s="128" t="s">
        <v>79</v>
      </c>
      <c r="I521" s="128">
        <v>5</v>
      </c>
      <c r="J521" s="128" t="b">
        <v>0</v>
      </c>
      <c r="L521" s="104">
        <v>6637033</v>
      </c>
      <c r="M521" s="128">
        <v>9999</v>
      </c>
      <c r="P521" s="101">
        <v>5</v>
      </c>
      <c r="Q521" s="101">
        <v>7</v>
      </c>
    </row>
    <row r="522" spans="1:17" ht="16.5">
      <c r="A522" s="18">
        <v>100474</v>
      </c>
      <c r="B522" s="144" t="s">
        <v>976</v>
      </c>
      <c r="C522" s="128" t="s">
        <v>137</v>
      </c>
      <c r="D522" s="128">
        <v>2006</v>
      </c>
      <c r="E522" s="128" t="s">
        <v>108</v>
      </c>
      <c r="F522" s="128" t="b">
        <v>1</v>
      </c>
      <c r="H522" s="128" t="s">
        <v>79</v>
      </c>
      <c r="I522" s="128">
        <v>5</v>
      </c>
      <c r="J522" s="128" t="b">
        <v>0</v>
      </c>
      <c r="L522" s="104">
        <v>6637034</v>
      </c>
      <c r="M522" s="128">
        <v>9999</v>
      </c>
      <c r="P522" s="101">
        <v>5</v>
      </c>
      <c r="Q522" s="101">
        <v>7</v>
      </c>
    </row>
    <row r="523" spans="1:17" ht="16.5">
      <c r="A523" s="18">
        <v>100475</v>
      </c>
      <c r="B523" s="144" t="s">
        <v>977</v>
      </c>
      <c r="C523" s="128" t="s">
        <v>137</v>
      </c>
      <c r="D523" s="128">
        <v>2006</v>
      </c>
      <c r="E523" s="128" t="s">
        <v>108</v>
      </c>
      <c r="F523" s="128" t="b">
        <v>1</v>
      </c>
      <c r="H523" s="128" t="s">
        <v>79</v>
      </c>
      <c r="I523" s="128">
        <v>5</v>
      </c>
      <c r="J523" s="128" t="b">
        <v>0</v>
      </c>
      <c r="L523" s="104">
        <v>6637035</v>
      </c>
      <c r="M523" s="128">
        <v>9999</v>
      </c>
      <c r="P523" s="101">
        <v>5</v>
      </c>
      <c r="Q523" s="101">
        <v>7</v>
      </c>
    </row>
    <row r="524" spans="1:17" ht="16.5">
      <c r="A524" s="18">
        <v>100476</v>
      </c>
      <c r="B524" s="144" t="s">
        <v>978</v>
      </c>
      <c r="C524" s="128" t="s">
        <v>137</v>
      </c>
      <c r="D524" s="128">
        <v>2006</v>
      </c>
      <c r="E524" s="128" t="s">
        <v>108</v>
      </c>
      <c r="F524" s="128" t="b">
        <v>1</v>
      </c>
      <c r="H524" s="128" t="s">
        <v>79</v>
      </c>
      <c r="I524" s="128">
        <v>5</v>
      </c>
      <c r="J524" s="128" t="b">
        <v>0</v>
      </c>
      <c r="L524" s="104">
        <v>6637036</v>
      </c>
      <c r="M524" s="128">
        <v>9999</v>
      </c>
      <c r="P524" s="101">
        <v>5</v>
      </c>
      <c r="Q524" s="101">
        <v>7</v>
      </c>
    </row>
    <row r="525" spans="1:17" ht="16.5">
      <c r="A525" s="18">
        <v>100477</v>
      </c>
      <c r="B525" s="144" t="s">
        <v>979</v>
      </c>
      <c r="C525" s="128" t="s">
        <v>137</v>
      </c>
      <c r="D525" s="128">
        <v>2006</v>
      </c>
      <c r="E525" s="128" t="s">
        <v>108</v>
      </c>
      <c r="F525" s="128" t="b">
        <v>1</v>
      </c>
      <c r="H525" s="128" t="s">
        <v>79</v>
      </c>
      <c r="I525" s="128">
        <v>5</v>
      </c>
      <c r="J525" s="128" t="b">
        <v>0</v>
      </c>
      <c r="L525" s="104">
        <v>6637033</v>
      </c>
      <c r="M525" s="128">
        <v>9999</v>
      </c>
      <c r="P525" s="101">
        <v>5</v>
      </c>
      <c r="Q525" s="101">
        <v>7</v>
      </c>
    </row>
    <row r="526" spans="1:17" ht="16.5">
      <c r="A526" s="18">
        <v>100478</v>
      </c>
      <c r="B526" s="144" t="s">
        <v>980</v>
      </c>
      <c r="C526" s="128" t="s">
        <v>137</v>
      </c>
      <c r="D526" s="128">
        <v>2006</v>
      </c>
      <c r="E526" s="128" t="s">
        <v>108</v>
      </c>
      <c r="F526" s="128" t="b">
        <v>1</v>
      </c>
      <c r="H526" s="128" t="s">
        <v>79</v>
      </c>
      <c r="I526" s="128">
        <v>5</v>
      </c>
      <c r="J526" s="128" t="b">
        <v>0</v>
      </c>
      <c r="L526" s="104">
        <v>6637034</v>
      </c>
      <c r="M526" s="128">
        <v>9999</v>
      </c>
      <c r="P526" s="101">
        <v>5</v>
      </c>
      <c r="Q526" s="101">
        <v>7</v>
      </c>
    </row>
    <row r="527" spans="1:17" ht="16.5">
      <c r="A527" s="18">
        <v>100479</v>
      </c>
      <c r="B527" s="144" t="s">
        <v>981</v>
      </c>
      <c r="C527" s="128" t="s">
        <v>137</v>
      </c>
      <c r="D527" s="128">
        <v>2006</v>
      </c>
      <c r="E527" s="128" t="s">
        <v>108</v>
      </c>
      <c r="F527" s="128" t="b">
        <v>1</v>
      </c>
      <c r="H527" s="128" t="s">
        <v>79</v>
      </c>
      <c r="I527" s="128">
        <v>5</v>
      </c>
      <c r="J527" s="128" t="b">
        <v>0</v>
      </c>
      <c r="L527" s="104">
        <v>6637035</v>
      </c>
      <c r="M527" s="128">
        <v>9999</v>
      </c>
      <c r="P527" s="101">
        <v>5</v>
      </c>
      <c r="Q527" s="101">
        <v>7</v>
      </c>
    </row>
    <row r="528" spans="1:17" ht="16.5">
      <c r="A528" s="18">
        <v>100480</v>
      </c>
      <c r="B528" s="144" t="s">
        <v>982</v>
      </c>
      <c r="C528" s="128" t="s">
        <v>137</v>
      </c>
      <c r="D528" s="128">
        <v>2006</v>
      </c>
      <c r="E528" s="128" t="s">
        <v>108</v>
      </c>
      <c r="F528" s="128" t="b">
        <v>1</v>
      </c>
      <c r="H528" s="128" t="s">
        <v>79</v>
      </c>
      <c r="I528" s="128">
        <v>5</v>
      </c>
      <c r="J528" s="128" t="b">
        <v>0</v>
      </c>
      <c r="L528" s="104">
        <v>6637036</v>
      </c>
      <c r="M528" s="128">
        <v>9999</v>
      </c>
      <c r="P528" s="101">
        <v>5</v>
      </c>
      <c r="Q528" s="101">
        <v>7</v>
      </c>
    </row>
    <row r="529" spans="1:17" ht="16.5">
      <c r="A529" s="18">
        <v>100481</v>
      </c>
      <c r="B529" s="144" t="s">
        <v>983</v>
      </c>
      <c r="C529" s="128" t="s">
        <v>137</v>
      </c>
      <c r="D529" s="128">
        <v>2006</v>
      </c>
      <c r="E529" s="128" t="s">
        <v>108</v>
      </c>
      <c r="F529" s="128" t="b">
        <v>1</v>
      </c>
      <c r="H529" s="128" t="s">
        <v>79</v>
      </c>
      <c r="I529" s="128">
        <v>5</v>
      </c>
      <c r="J529" s="128" t="b">
        <v>0</v>
      </c>
      <c r="L529" s="104">
        <v>6637033</v>
      </c>
      <c r="M529" s="128">
        <v>9999</v>
      </c>
      <c r="P529" s="101">
        <v>5</v>
      </c>
      <c r="Q529" s="101">
        <v>7</v>
      </c>
    </row>
    <row r="530" spans="1:17" ht="16.5">
      <c r="A530" s="18">
        <v>100482</v>
      </c>
      <c r="B530" s="144" t="s">
        <v>984</v>
      </c>
      <c r="C530" s="128" t="s">
        <v>137</v>
      </c>
      <c r="D530" s="128">
        <v>2006</v>
      </c>
      <c r="E530" s="128" t="s">
        <v>108</v>
      </c>
      <c r="F530" s="128" t="b">
        <v>1</v>
      </c>
      <c r="H530" s="128" t="s">
        <v>79</v>
      </c>
      <c r="I530" s="128">
        <v>5</v>
      </c>
      <c r="J530" s="128" t="b">
        <v>0</v>
      </c>
      <c r="L530" s="104">
        <v>6637034</v>
      </c>
      <c r="M530" s="128">
        <v>9999</v>
      </c>
      <c r="P530" s="101">
        <v>5</v>
      </c>
      <c r="Q530" s="101">
        <v>7</v>
      </c>
    </row>
    <row r="531" spans="1:17" ht="16.5">
      <c r="A531" s="18">
        <v>100483</v>
      </c>
      <c r="B531" s="144" t="s">
        <v>985</v>
      </c>
      <c r="C531" s="128" t="s">
        <v>137</v>
      </c>
      <c r="D531" s="128">
        <v>2006</v>
      </c>
      <c r="E531" s="128" t="s">
        <v>108</v>
      </c>
      <c r="F531" s="128" t="b">
        <v>1</v>
      </c>
      <c r="H531" s="128" t="s">
        <v>79</v>
      </c>
      <c r="I531" s="128">
        <v>5</v>
      </c>
      <c r="J531" s="128" t="b">
        <v>0</v>
      </c>
      <c r="L531" s="104">
        <v>6637035</v>
      </c>
      <c r="M531" s="128">
        <v>9999</v>
      </c>
      <c r="P531" s="101">
        <v>5</v>
      </c>
      <c r="Q531" s="101">
        <v>7</v>
      </c>
    </row>
    <row r="532" spans="1:17" ht="16.5">
      <c r="A532" s="18">
        <v>100484</v>
      </c>
      <c r="B532" s="144" t="s">
        <v>986</v>
      </c>
      <c r="C532" s="128" t="s">
        <v>137</v>
      </c>
      <c r="D532" s="128">
        <v>2006</v>
      </c>
      <c r="E532" s="128" t="s">
        <v>108</v>
      </c>
      <c r="F532" s="128" t="b">
        <v>1</v>
      </c>
      <c r="H532" s="128" t="s">
        <v>79</v>
      </c>
      <c r="I532" s="128">
        <v>5</v>
      </c>
      <c r="J532" s="128" t="b">
        <v>0</v>
      </c>
      <c r="L532" s="104">
        <v>6637036</v>
      </c>
      <c r="M532" s="128">
        <v>9999</v>
      </c>
      <c r="P532" s="101">
        <v>5</v>
      </c>
      <c r="Q532" s="101">
        <v>7</v>
      </c>
    </row>
    <row r="533" spans="1:17" ht="16.5">
      <c r="A533" s="18">
        <v>100485</v>
      </c>
      <c r="B533" s="144" t="s">
        <v>987</v>
      </c>
      <c r="C533" s="128" t="s">
        <v>137</v>
      </c>
      <c r="D533" s="128">
        <v>2006</v>
      </c>
      <c r="E533" s="128" t="s">
        <v>108</v>
      </c>
      <c r="F533" s="128" t="b">
        <v>1</v>
      </c>
      <c r="H533" s="128" t="s">
        <v>79</v>
      </c>
      <c r="I533" s="128">
        <v>5</v>
      </c>
      <c r="J533" s="128" t="b">
        <v>0</v>
      </c>
      <c r="L533" s="104">
        <v>6637033</v>
      </c>
      <c r="M533" s="128">
        <v>9999</v>
      </c>
      <c r="P533" s="101">
        <v>5</v>
      </c>
      <c r="Q533" s="101">
        <v>7</v>
      </c>
    </row>
    <row r="534" spans="1:17" ht="16.5">
      <c r="A534" s="18">
        <v>100486</v>
      </c>
      <c r="B534" s="144" t="s">
        <v>988</v>
      </c>
      <c r="C534" s="128" t="s">
        <v>137</v>
      </c>
      <c r="D534" s="128">
        <v>2006</v>
      </c>
      <c r="E534" s="128" t="s">
        <v>108</v>
      </c>
      <c r="F534" s="128" t="b">
        <v>1</v>
      </c>
      <c r="H534" s="128" t="s">
        <v>79</v>
      </c>
      <c r="I534" s="128">
        <v>5</v>
      </c>
      <c r="J534" s="128" t="b">
        <v>0</v>
      </c>
      <c r="L534" s="104">
        <v>6637034</v>
      </c>
      <c r="M534" s="128">
        <v>9999</v>
      </c>
      <c r="P534" s="101">
        <v>5</v>
      </c>
      <c r="Q534" s="101">
        <v>7</v>
      </c>
    </row>
    <row r="535" spans="1:17" ht="16.5">
      <c r="A535" s="18">
        <v>100487</v>
      </c>
      <c r="B535" s="144" t="s">
        <v>989</v>
      </c>
      <c r="C535" s="128" t="s">
        <v>137</v>
      </c>
      <c r="D535" s="128">
        <v>2006</v>
      </c>
      <c r="E535" s="128" t="s">
        <v>108</v>
      </c>
      <c r="F535" s="128" t="b">
        <v>1</v>
      </c>
      <c r="H535" s="128" t="s">
        <v>79</v>
      </c>
      <c r="I535" s="128">
        <v>5</v>
      </c>
      <c r="J535" s="128" t="b">
        <v>0</v>
      </c>
      <c r="L535" s="104">
        <v>6637035</v>
      </c>
      <c r="M535" s="128">
        <v>9999</v>
      </c>
      <c r="P535" s="101">
        <v>5</v>
      </c>
      <c r="Q535" s="101">
        <v>7</v>
      </c>
    </row>
    <row r="536" spans="1:17" ht="16.5">
      <c r="A536" s="18">
        <v>100488</v>
      </c>
      <c r="B536" s="144" t="s">
        <v>990</v>
      </c>
      <c r="C536" s="128" t="s">
        <v>137</v>
      </c>
      <c r="D536" s="128">
        <v>2006</v>
      </c>
      <c r="E536" s="128" t="s">
        <v>108</v>
      </c>
      <c r="F536" s="128" t="b">
        <v>1</v>
      </c>
      <c r="H536" s="128" t="s">
        <v>79</v>
      </c>
      <c r="I536" s="128">
        <v>5</v>
      </c>
      <c r="J536" s="128" t="b">
        <v>0</v>
      </c>
      <c r="L536" s="104">
        <v>6637036</v>
      </c>
      <c r="M536" s="128">
        <v>9999</v>
      </c>
      <c r="P536" s="101">
        <v>5</v>
      </c>
      <c r="Q536" s="101">
        <v>7</v>
      </c>
    </row>
    <row r="537" spans="1:17" ht="16.5">
      <c r="A537" s="18">
        <v>100489</v>
      </c>
      <c r="B537" s="144" t="s">
        <v>991</v>
      </c>
      <c r="C537" s="128" t="s">
        <v>137</v>
      </c>
      <c r="D537" s="128">
        <v>2006</v>
      </c>
      <c r="E537" s="128" t="s">
        <v>108</v>
      </c>
      <c r="F537" s="128" t="b">
        <v>1</v>
      </c>
      <c r="H537" s="128" t="s">
        <v>79</v>
      </c>
      <c r="I537" s="128">
        <v>5</v>
      </c>
      <c r="J537" s="128" t="b">
        <v>0</v>
      </c>
      <c r="L537" s="104">
        <v>6637033</v>
      </c>
      <c r="M537" s="128">
        <v>9999</v>
      </c>
      <c r="P537" s="101">
        <v>5</v>
      </c>
      <c r="Q537" s="101">
        <v>7</v>
      </c>
    </row>
    <row r="538" spans="1:17" ht="16.5">
      <c r="A538" s="18">
        <v>100490</v>
      </c>
      <c r="B538" s="144" t="s">
        <v>992</v>
      </c>
      <c r="C538" s="128" t="s">
        <v>137</v>
      </c>
      <c r="D538" s="128">
        <v>2006</v>
      </c>
      <c r="E538" s="128" t="s">
        <v>108</v>
      </c>
      <c r="F538" s="128" t="b">
        <v>1</v>
      </c>
      <c r="H538" s="128" t="s">
        <v>79</v>
      </c>
      <c r="I538" s="128">
        <v>5</v>
      </c>
      <c r="J538" s="128" t="b">
        <v>0</v>
      </c>
      <c r="L538" s="104">
        <v>6637034</v>
      </c>
      <c r="M538" s="128">
        <v>9999</v>
      </c>
      <c r="P538" s="101">
        <v>5</v>
      </c>
      <c r="Q538" s="101">
        <v>7</v>
      </c>
    </row>
    <row r="539" spans="1:17" ht="16.5">
      <c r="A539" s="18">
        <v>100491</v>
      </c>
      <c r="B539" s="144" t="s">
        <v>993</v>
      </c>
      <c r="C539" s="128" t="s">
        <v>137</v>
      </c>
      <c r="D539" s="128">
        <v>2006</v>
      </c>
      <c r="E539" s="128" t="s">
        <v>108</v>
      </c>
      <c r="F539" s="128" t="b">
        <v>1</v>
      </c>
      <c r="H539" s="128" t="s">
        <v>79</v>
      </c>
      <c r="I539" s="128">
        <v>5</v>
      </c>
      <c r="J539" s="128" t="b">
        <v>0</v>
      </c>
      <c r="L539" s="104">
        <v>6637035</v>
      </c>
      <c r="M539" s="128">
        <v>9999</v>
      </c>
      <c r="P539" s="101">
        <v>5</v>
      </c>
      <c r="Q539" s="101">
        <v>7</v>
      </c>
    </row>
    <row r="540" spans="1:17" ht="16.5">
      <c r="A540" s="18">
        <v>100492</v>
      </c>
      <c r="B540" s="144" t="s">
        <v>994</v>
      </c>
      <c r="C540" s="128" t="s">
        <v>137</v>
      </c>
      <c r="D540" s="128">
        <v>2006</v>
      </c>
      <c r="E540" s="128" t="s">
        <v>108</v>
      </c>
      <c r="F540" s="128" t="b">
        <v>1</v>
      </c>
      <c r="H540" s="128" t="s">
        <v>79</v>
      </c>
      <c r="I540" s="128">
        <v>5</v>
      </c>
      <c r="J540" s="128" t="b">
        <v>0</v>
      </c>
      <c r="L540" s="104">
        <v>6637036</v>
      </c>
      <c r="M540" s="128">
        <v>9999</v>
      </c>
      <c r="P540" s="101">
        <v>5</v>
      </c>
      <c r="Q540" s="101">
        <v>7</v>
      </c>
    </row>
    <row r="541" spans="1:17" ht="16.5">
      <c r="A541" s="18">
        <v>100493</v>
      </c>
      <c r="B541" s="144" t="s">
        <v>995</v>
      </c>
      <c r="C541" s="128" t="s">
        <v>137</v>
      </c>
      <c r="D541" s="128">
        <v>2006</v>
      </c>
      <c r="E541" s="128" t="s">
        <v>108</v>
      </c>
      <c r="F541" s="128" t="b">
        <v>1</v>
      </c>
      <c r="H541" s="128" t="s">
        <v>79</v>
      </c>
      <c r="I541" s="128">
        <v>5</v>
      </c>
      <c r="J541" s="128" t="b">
        <v>0</v>
      </c>
      <c r="L541" s="104">
        <v>6637033</v>
      </c>
      <c r="M541" s="128">
        <v>9999</v>
      </c>
      <c r="P541" s="101">
        <v>5</v>
      </c>
      <c r="Q541" s="101">
        <v>7</v>
      </c>
    </row>
    <row r="542" spans="1:17" ht="16.5">
      <c r="A542" s="18">
        <v>100494</v>
      </c>
      <c r="B542" s="144" t="s">
        <v>996</v>
      </c>
      <c r="C542" s="128" t="s">
        <v>137</v>
      </c>
      <c r="D542" s="128">
        <v>2006</v>
      </c>
      <c r="E542" s="128" t="s">
        <v>108</v>
      </c>
      <c r="F542" s="128" t="b">
        <v>1</v>
      </c>
      <c r="H542" s="128" t="s">
        <v>79</v>
      </c>
      <c r="I542" s="128">
        <v>5</v>
      </c>
      <c r="J542" s="128" t="b">
        <v>0</v>
      </c>
      <c r="L542" s="104">
        <v>6637034</v>
      </c>
      <c r="M542" s="128">
        <v>9999</v>
      </c>
      <c r="P542" s="101">
        <v>5</v>
      </c>
      <c r="Q542" s="101">
        <v>7</v>
      </c>
    </row>
    <row r="543" spans="1:17" ht="16.5">
      <c r="A543" s="18">
        <v>100495</v>
      </c>
      <c r="B543" s="144" t="s">
        <v>997</v>
      </c>
      <c r="C543" s="128" t="s">
        <v>137</v>
      </c>
      <c r="D543" s="128">
        <v>2006</v>
      </c>
      <c r="E543" s="128" t="s">
        <v>108</v>
      </c>
      <c r="F543" s="128" t="b">
        <v>1</v>
      </c>
      <c r="H543" s="128" t="s">
        <v>79</v>
      </c>
      <c r="I543" s="128">
        <v>5</v>
      </c>
      <c r="J543" s="128" t="b">
        <v>0</v>
      </c>
      <c r="L543" s="104">
        <v>6637035</v>
      </c>
      <c r="M543" s="128">
        <v>9999</v>
      </c>
      <c r="P543" s="101">
        <v>5</v>
      </c>
      <c r="Q543" s="101">
        <v>7</v>
      </c>
    </row>
    <row r="544" spans="1:17" ht="16.5">
      <c r="A544" s="18">
        <v>100496</v>
      </c>
      <c r="B544" s="144" t="s">
        <v>998</v>
      </c>
      <c r="C544" s="128" t="s">
        <v>137</v>
      </c>
      <c r="D544" s="128">
        <v>2006</v>
      </c>
      <c r="E544" s="128" t="s">
        <v>108</v>
      </c>
      <c r="F544" s="128" t="b">
        <v>1</v>
      </c>
      <c r="H544" s="128" t="s">
        <v>79</v>
      </c>
      <c r="I544" s="128">
        <v>5</v>
      </c>
      <c r="J544" s="128" t="b">
        <v>0</v>
      </c>
      <c r="L544" s="104">
        <v>6637036</v>
      </c>
      <c r="M544" s="128">
        <v>9999</v>
      </c>
      <c r="P544" s="101">
        <v>5</v>
      </c>
      <c r="Q544" s="101">
        <v>7</v>
      </c>
    </row>
    <row r="545" spans="1:17" ht="16.5">
      <c r="A545" s="18">
        <v>100497</v>
      </c>
      <c r="B545" s="144" t="s">
        <v>999</v>
      </c>
      <c r="C545" s="128" t="s">
        <v>137</v>
      </c>
      <c r="D545" s="128">
        <v>2006</v>
      </c>
      <c r="E545" s="128" t="s">
        <v>108</v>
      </c>
      <c r="F545" s="128" t="b">
        <v>1</v>
      </c>
      <c r="H545" s="128" t="s">
        <v>79</v>
      </c>
      <c r="I545" s="128">
        <v>5</v>
      </c>
      <c r="J545" s="128" t="b">
        <v>0</v>
      </c>
      <c r="L545" s="104">
        <v>6637033</v>
      </c>
      <c r="M545" s="128">
        <v>9999</v>
      </c>
      <c r="P545" s="101">
        <v>5</v>
      </c>
      <c r="Q545" s="101">
        <v>7</v>
      </c>
    </row>
    <row r="546" spans="1:17" ht="16.5">
      <c r="A546" s="18">
        <v>100498</v>
      </c>
      <c r="B546" s="144" t="s">
        <v>1000</v>
      </c>
      <c r="C546" s="128" t="s">
        <v>137</v>
      </c>
      <c r="D546" s="128">
        <v>2006</v>
      </c>
      <c r="E546" s="128" t="s">
        <v>108</v>
      </c>
      <c r="F546" s="128" t="b">
        <v>1</v>
      </c>
      <c r="H546" s="128" t="s">
        <v>79</v>
      </c>
      <c r="I546" s="128">
        <v>5</v>
      </c>
      <c r="J546" s="128" t="b">
        <v>0</v>
      </c>
      <c r="L546" s="104">
        <v>6637034</v>
      </c>
      <c r="M546" s="128">
        <v>9999</v>
      </c>
      <c r="P546" s="101">
        <v>5</v>
      </c>
      <c r="Q546" s="101">
        <v>7</v>
      </c>
    </row>
    <row r="547" spans="1:17" ht="16.5">
      <c r="A547" s="18">
        <v>100499</v>
      </c>
      <c r="B547" s="144" t="s">
        <v>1001</v>
      </c>
      <c r="C547" s="128" t="s">
        <v>137</v>
      </c>
      <c r="D547" s="128">
        <v>2006</v>
      </c>
      <c r="E547" s="128" t="s">
        <v>108</v>
      </c>
      <c r="F547" s="128" t="b">
        <v>1</v>
      </c>
      <c r="H547" s="128" t="s">
        <v>79</v>
      </c>
      <c r="I547" s="128">
        <v>5</v>
      </c>
      <c r="J547" s="128" t="b">
        <v>0</v>
      </c>
      <c r="L547" s="104">
        <v>6637035</v>
      </c>
      <c r="M547" s="128">
        <v>9999</v>
      </c>
      <c r="P547" s="101">
        <v>5</v>
      </c>
      <c r="Q547" s="101">
        <v>7</v>
      </c>
    </row>
    <row r="548" spans="1:17" ht="16.5">
      <c r="A548" s="18">
        <v>100500</v>
      </c>
      <c r="B548" s="144" t="s">
        <v>1002</v>
      </c>
      <c r="C548" s="128" t="s">
        <v>137</v>
      </c>
      <c r="D548" s="128">
        <v>2006</v>
      </c>
      <c r="E548" s="128" t="s">
        <v>108</v>
      </c>
      <c r="F548" s="128" t="b">
        <v>1</v>
      </c>
      <c r="H548" s="128" t="s">
        <v>79</v>
      </c>
      <c r="I548" s="128">
        <v>5</v>
      </c>
      <c r="J548" s="128" t="b">
        <v>0</v>
      </c>
      <c r="L548" s="104">
        <v>6637036</v>
      </c>
      <c r="M548" s="128">
        <v>9999</v>
      </c>
      <c r="P548" s="101">
        <v>5</v>
      </c>
      <c r="Q548" s="101">
        <v>7</v>
      </c>
    </row>
    <row r="549" spans="1:17" ht="16.5">
      <c r="A549" s="18">
        <v>100501</v>
      </c>
      <c r="B549" s="144" t="s">
        <v>1003</v>
      </c>
      <c r="C549" s="128" t="s">
        <v>137</v>
      </c>
      <c r="D549" s="128">
        <v>2006</v>
      </c>
      <c r="E549" s="128" t="s">
        <v>108</v>
      </c>
      <c r="F549" s="128" t="b">
        <v>1</v>
      </c>
      <c r="H549" s="128" t="s">
        <v>79</v>
      </c>
      <c r="I549" s="128">
        <v>5</v>
      </c>
      <c r="J549" s="128" t="b">
        <v>0</v>
      </c>
      <c r="L549" s="104">
        <v>6637033</v>
      </c>
      <c r="M549" s="128">
        <v>9999</v>
      </c>
      <c r="P549" s="101">
        <v>5</v>
      </c>
      <c r="Q549" s="101">
        <v>7</v>
      </c>
    </row>
    <row r="550" spans="1:17" ht="16.5">
      <c r="A550" s="18">
        <v>100502</v>
      </c>
      <c r="B550" s="144" t="s">
        <v>1004</v>
      </c>
      <c r="C550" s="128" t="s">
        <v>137</v>
      </c>
      <c r="D550" s="128">
        <v>2006</v>
      </c>
      <c r="E550" s="128" t="s">
        <v>108</v>
      </c>
      <c r="F550" s="128" t="b">
        <v>1</v>
      </c>
      <c r="H550" s="128" t="s">
        <v>79</v>
      </c>
      <c r="I550" s="128">
        <v>5</v>
      </c>
      <c r="J550" s="128" t="b">
        <v>0</v>
      </c>
      <c r="L550" s="104">
        <v>6637034</v>
      </c>
      <c r="M550" s="128">
        <v>9999</v>
      </c>
      <c r="P550" s="101">
        <v>5</v>
      </c>
      <c r="Q550" s="101">
        <v>7</v>
      </c>
    </row>
    <row r="551" spans="1:17" ht="16.5">
      <c r="A551" s="18">
        <v>100503</v>
      </c>
      <c r="B551" s="144" t="s">
        <v>1005</v>
      </c>
      <c r="C551" s="128" t="s">
        <v>137</v>
      </c>
      <c r="D551" s="128">
        <v>2006</v>
      </c>
      <c r="E551" s="128" t="s">
        <v>108</v>
      </c>
      <c r="F551" s="128" t="b">
        <v>1</v>
      </c>
      <c r="H551" s="128" t="s">
        <v>79</v>
      </c>
      <c r="I551" s="128">
        <v>5</v>
      </c>
      <c r="J551" s="128" t="b">
        <v>0</v>
      </c>
      <c r="L551" s="104">
        <v>6637035</v>
      </c>
      <c r="M551" s="128">
        <v>9999</v>
      </c>
      <c r="P551" s="101">
        <v>5</v>
      </c>
      <c r="Q551" s="101">
        <v>7</v>
      </c>
    </row>
    <row r="552" spans="1:17" ht="16.5">
      <c r="A552" s="18">
        <v>100504</v>
      </c>
      <c r="B552" s="144" t="s">
        <v>1006</v>
      </c>
      <c r="C552" s="128" t="s">
        <v>137</v>
      </c>
      <c r="D552" s="128">
        <v>2006</v>
      </c>
      <c r="E552" s="128" t="s">
        <v>108</v>
      </c>
      <c r="F552" s="128" t="b">
        <v>1</v>
      </c>
      <c r="H552" s="128" t="s">
        <v>79</v>
      </c>
      <c r="I552" s="128">
        <v>5</v>
      </c>
      <c r="J552" s="128" t="b">
        <v>0</v>
      </c>
      <c r="L552" s="104">
        <v>6637036</v>
      </c>
      <c r="M552" s="128">
        <v>9999</v>
      </c>
      <c r="P552" s="101">
        <v>5</v>
      </c>
      <c r="Q552" s="101">
        <v>7</v>
      </c>
    </row>
    <row r="553" spans="1:17" ht="16.5">
      <c r="A553" s="18">
        <v>100505</v>
      </c>
      <c r="B553" s="144" t="s">
        <v>1007</v>
      </c>
      <c r="C553" s="128" t="s">
        <v>137</v>
      </c>
      <c r="D553" s="128">
        <v>2006</v>
      </c>
      <c r="E553" s="128" t="s">
        <v>108</v>
      </c>
      <c r="F553" s="128" t="b">
        <v>1</v>
      </c>
      <c r="H553" s="128" t="s">
        <v>79</v>
      </c>
      <c r="I553" s="128">
        <v>5</v>
      </c>
      <c r="J553" s="128" t="b">
        <v>0</v>
      </c>
      <c r="L553" s="104">
        <v>6637033</v>
      </c>
      <c r="M553" s="128">
        <v>9999</v>
      </c>
      <c r="P553" s="101">
        <v>5</v>
      </c>
      <c r="Q553" s="101">
        <v>7</v>
      </c>
    </row>
    <row r="554" spans="1:17" ht="16.5">
      <c r="A554" s="18">
        <v>100506</v>
      </c>
      <c r="B554" s="144" t="s">
        <v>1008</v>
      </c>
      <c r="C554" s="128" t="s">
        <v>137</v>
      </c>
      <c r="D554" s="128">
        <v>2006</v>
      </c>
      <c r="E554" s="128" t="s">
        <v>108</v>
      </c>
      <c r="F554" s="128" t="b">
        <v>1</v>
      </c>
      <c r="H554" s="128" t="s">
        <v>79</v>
      </c>
      <c r="I554" s="128">
        <v>5</v>
      </c>
      <c r="J554" s="128" t="b">
        <v>0</v>
      </c>
      <c r="L554" s="104">
        <v>6637034</v>
      </c>
      <c r="M554" s="128">
        <v>9999</v>
      </c>
      <c r="P554" s="101">
        <v>5</v>
      </c>
      <c r="Q554" s="101">
        <v>7</v>
      </c>
    </row>
    <row r="555" spans="1:17" ht="16.5">
      <c r="A555" s="18">
        <v>100507</v>
      </c>
      <c r="B555" s="144" t="s">
        <v>1009</v>
      </c>
      <c r="C555" s="128" t="s">
        <v>137</v>
      </c>
      <c r="D555" s="128">
        <v>2006</v>
      </c>
      <c r="E555" s="128" t="s">
        <v>108</v>
      </c>
      <c r="F555" s="128" t="b">
        <v>1</v>
      </c>
      <c r="H555" s="128" t="s">
        <v>79</v>
      </c>
      <c r="I555" s="128">
        <v>5</v>
      </c>
      <c r="J555" s="128" t="b">
        <v>0</v>
      </c>
      <c r="L555" s="104">
        <v>6637035</v>
      </c>
      <c r="M555" s="128">
        <v>9999</v>
      </c>
      <c r="P555" s="101">
        <v>5</v>
      </c>
      <c r="Q555" s="101">
        <v>7</v>
      </c>
    </row>
    <row r="556" spans="1:17" ht="16.5">
      <c r="A556" s="18">
        <v>100508</v>
      </c>
      <c r="B556" s="144" t="s">
        <v>1010</v>
      </c>
      <c r="C556" s="128" t="s">
        <v>137</v>
      </c>
      <c r="D556" s="128">
        <v>2006</v>
      </c>
      <c r="E556" s="128" t="s">
        <v>108</v>
      </c>
      <c r="F556" s="128" t="b">
        <v>1</v>
      </c>
      <c r="H556" s="128" t="s">
        <v>79</v>
      </c>
      <c r="I556" s="128">
        <v>5</v>
      </c>
      <c r="J556" s="128" t="b">
        <v>0</v>
      </c>
      <c r="L556" s="104">
        <v>6637036</v>
      </c>
      <c r="M556" s="128">
        <v>9999</v>
      </c>
      <c r="P556" s="101">
        <v>5</v>
      </c>
      <c r="Q556" s="101">
        <v>7</v>
      </c>
    </row>
    <row r="557" spans="1:17" ht="16.5">
      <c r="A557" s="18">
        <v>100509</v>
      </c>
      <c r="B557" s="144" t="s">
        <v>1011</v>
      </c>
      <c r="C557" s="128" t="s">
        <v>137</v>
      </c>
      <c r="D557" s="128">
        <v>2006</v>
      </c>
      <c r="E557" s="128" t="s">
        <v>108</v>
      </c>
      <c r="F557" s="128" t="b">
        <v>1</v>
      </c>
      <c r="H557" s="128" t="s">
        <v>79</v>
      </c>
      <c r="I557" s="128">
        <v>5</v>
      </c>
      <c r="J557" s="128" t="b">
        <v>0</v>
      </c>
      <c r="L557" s="104">
        <v>6637033</v>
      </c>
      <c r="M557" s="128">
        <v>9999</v>
      </c>
      <c r="P557" s="101">
        <v>5</v>
      </c>
      <c r="Q557" s="101">
        <v>7</v>
      </c>
    </row>
    <row r="558" spans="1:17" ht="16.5">
      <c r="A558" s="18">
        <v>100510</v>
      </c>
      <c r="B558" s="144" t="s">
        <v>1012</v>
      </c>
      <c r="C558" s="128" t="s">
        <v>137</v>
      </c>
      <c r="D558" s="128">
        <v>2006</v>
      </c>
      <c r="E558" s="128" t="s">
        <v>108</v>
      </c>
      <c r="F558" s="128" t="b">
        <v>1</v>
      </c>
      <c r="H558" s="128" t="s">
        <v>79</v>
      </c>
      <c r="I558" s="128">
        <v>5</v>
      </c>
      <c r="J558" s="128" t="b">
        <v>0</v>
      </c>
      <c r="L558" s="104">
        <v>6637034</v>
      </c>
      <c r="M558" s="128">
        <v>9999</v>
      </c>
      <c r="P558" s="101">
        <v>5</v>
      </c>
      <c r="Q558" s="101">
        <v>7</v>
      </c>
    </row>
    <row r="559" spans="1:17" ht="16.5">
      <c r="A559" s="18">
        <v>100511</v>
      </c>
      <c r="B559" s="144" t="s">
        <v>1013</v>
      </c>
      <c r="C559" s="128" t="s">
        <v>137</v>
      </c>
      <c r="D559" s="128">
        <v>2006</v>
      </c>
      <c r="E559" s="128" t="s">
        <v>108</v>
      </c>
      <c r="F559" s="128" t="b">
        <v>1</v>
      </c>
      <c r="H559" s="128" t="s">
        <v>79</v>
      </c>
      <c r="I559" s="128">
        <v>5</v>
      </c>
      <c r="J559" s="128" t="b">
        <v>0</v>
      </c>
      <c r="L559" s="104">
        <v>6637035</v>
      </c>
      <c r="M559" s="128">
        <v>9999</v>
      </c>
      <c r="P559" s="101">
        <v>5</v>
      </c>
      <c r="Q559" s="101">
        <v>7</v>
      </c>
    </row>
    <row r="560" spans="1:17" ht="16.5">
      <c r="A560" s="18">
        <v>100512</v>
      </c>
      <c r="B560" s="144" t="s">
        <v>1014</v>
      </c>
      <c r="C560" s="128" t="s">
        <v>137</v>
      </c>
      <c r="D560" s="128">
        <v>2006</v>
      </c>
      <c r="E560" s="128" t="s">
        <v>108</v>
      </c>
      <c r="F560" s="128" t="b">
        <v>1</v>
      </c>
      <c r="H560" s="128" t="s">
        <v>79</v>
      </c>
      <c r="I560" s="128">
        <v>5</v>
      </c>
      <c r="J560" s="128" t="b">
        <v>0</v>
      </c>
      <c r="L560" s="104">
        <v>6637036</v>
      </c>
      <c r="M560" s="128">
        <v>9999</v>
      </c>
      <c r="P560" s="101">
        <v>5</v>
      </c>
      <c r="Q560" s="101">
        <v>7</v>
      </c>
    </row>
    <row r="561" spans="1:17" ht="16.5">
      <c r="A561" s="18">
        <v>100513</v>
      </c>
      <c r="B561" s="144" t="s">
        <v>1015</v>
      </c>
      <c r="C561" s="128" t="s">
        <v>137</v>
      </c>
      <c r="D561" s="128">
        <v>2006</v>
      </c>
      <c r="E561" s="128" t="s">
        <v>108</v>
      </c>
      <c r="F561" s="128" t="b">
        <v>1</v>
      </c>
      <c r="H561" s="128" t="s">
        <v>79</v>
      </c>
      <c r="I561" s="128">
        <v>5</v>
      </c>
      <c r="J561" s="128" t="b">
        <v>0</v>
      </c>
      <c r="L561" s="104">
        <v>6637033</v>
      </c>
      <c r="M561" s="128">
        <v>9999</v>
      </c>
      <c r="P561" s="101">
        <v>5</v>
      </c>
      <c r="Q561" s="101">
        <v>7</v>
      </c>
    </row>
    <row r="562" spans="1:17" ht="16.5">
      <c r="A562" s="18">
        <v>100514</v>
      </c>
      <c r="B562" s="144" t="s">
        <v>1016</v>
      </c>
      <c r="C562" s="128" t="s">
        <v>137</v>
      </c>
      <c r="D562" s="128">
        <v>2006</v>
      </c>
      <c r="E562" s="128" t="s">
        <v>108</v>
      </c>
      <c r="F562" s="128" t="b">
        <v>1</v>
      </c>
      <c r="H562" s="128" t="s">
        <v>79</v>
      </c>
      <c r="I562" s="128">
        <v>5</v>
      </c>
      <c r="J562" s="128" t="b">
        <v>0</v>
      </c>
      <c r="L562" s="104">
        <v>6637034</v>
      </c>
      <c r="M562" s="128">
        <v>9999</v>
      </c>
      <c r="P562" s="101">
        <v>5</v>
      </c>
      <c r="Q562" s="101">
        <v>7</v>
      </c>
    </row>
    <row r="563" spans="1:17" ht="16.5">
      <c r="A563" s="18">
        <v>100515</v>
      </c>
      <c r="B563" s="144" t="s">
        <v>1017</v>
      </c>
      <c r="C563" s="128" t="s">
        <v>137</v>
      </c>
      <c r="D563" s="128">
        <v>2006</v>
      </c>
      <c r="E563" s="128" t="s">
        <v>108</v>
      </c>
      <c r="F563" s="128" t="b">
        <v>1</v>
      </c>
      <c r="H563" s="128" t="s">
        <v>79</v>
      </c>
      <c r="I563" s="128">
        <v>5</v>
      </c>
      <c r="J563" s="128" t="b">
        <v>0</v>
      </c>
      <c r="L563" s="104">
        <v>6637035</v>
      </c>
      <c r="M563" s="128">
        <v>9999</v>
      </c>
      <c r="P563" s="101">
        <v>5</v>
      </c>
      <c r="Q563" s="101">
        <v>7</v>
      </c>
    </row>
    <row r="564" spans="1:17" ht="16.5">
      <c r="A564" s="18">
        <v>100516</v>
      </c>
      <c r="B564" s="144" t="s">
        <v>1018</v>
      </c>
      <c r="C564" s="128" t="s">
        <v>137</v>
      </c>
      <c r="D564" s="128">
        <v>2006</v>
      </c>
      <c r="E564" s="128" t="s">
        <v>108</v>
      </c>
      <c r="F564" s="128" t="b">
        <v>1</v>
      </c>
      <c r="H564" s="128" t="s">
        <v>79</v>
      </c>
      <c r="I564" s="128">
        <v>5</v>
      </c>
      <c r="J564" s="128" t="b">
        <v>0</v>
      </c>
      <c r="L564" s="104">
        <v>6637036</v>
      </c>
      <c r="M564" s="128">
        <v>9999</v>
      </c>
      <c r="P564" s="101">
        <v>5</v>
      </c>
      <c r="Q564" s="101">
        <v>7</v>
      </c>
    </row>
    <row r="565" spans="1:17" ht="16.5">
      <c r="A565" s="18">
        <v>100517</v>
      </c>
      <c r="B565" s="144" t="s">
        <v>1019</v>
      </c>
      <c r="C565" s="128" t="s">
        <v>137</v>
      </c>
      <c r="D565" s="128">
        <v>2006</v>
      </c>
      <c r="E565" s="128" t="s">
        <v>108</v>
      </c>
      <c r="F565" s="128" t="b">
        <v>1</v>
      </c>
      <c r="H565" s="128" t="s">
        <v>79</v>
      </c>
      <c r="I565" s="128">
        <v>5</v>
      </c>
      <c r="J565" s="128" t="b">
        <v>0</v>
      </c>
      <c r="L565" s="104">
        <v>6637033</v>
      </c>
      <c r="M565" s="128">
        <v>9999</v>
      </c>
      <c r="P565" s="101">
        <v>5</v>
      </c>
      <c r="Q565" s="101">
        <v>7</v>
      </c>
    </row>
    <row r="566" spans="1:17" ht="16.5">
      <c r="A566" s="18">
        <v>100518</v>
      </c>
      <c r="B566" s="144" t="s">
        <v>1020</v>
      </c>
      <c r="C566" s="128" t="s">
        <v>137</v>
      </c>
      <c r="D566" s="128">
        <v>2006</v>
      </c>
      <c r="E566" s="128" t="s">
        <v>108</v>
      </c>
      <c r="F566" s="128" t="b">
        <v>1</v>
      </c>
      <c r="H566" s="128" t="s">
        <v>79</v>
      </c>
      <c r="I566" s="128">
        <v>5</v>
      </c>
      <c r="J566" s="128" t="b">
        <v>0</v>
      </c>
      <c r="L566" s="104">
        <v>6637034</v>
      </c>
      <c r="M566" s="128">
        <v>9999</v>
      </c>
      <c r="P566" s="101">
        <v>5</v>
      </c>
      <c r="Q566" s="101">
        <v>7</v>
      </c>
    </row>
    <row r="567" spans="1:17" ht="16.5">
      <c r="A567" s="18">
        <v>100519</v>
      </c>
      <c r="B567" s="144" t="s">
        <v>1021</v>
      </c>
      <c r="C567" s="128" t="s">
        <v>137</v>
      </c>
      <c r="D567" s="128">
        <v>2006</v>
      </c>
      <c r="E567" s="128" t="s">
        <v>108</v>
      </c>
      <c r="F567" s="128" t="b">
        <v>1</v>
      </c>
      <c r="H567" s="128" t="s">
        <v>79</v>
      </c>
      <c r="I567" s="128">
        <v>5</v>
      </c>
      <c r="J567" s="128" t="b">
        <v>0</v>
      </c>
      <c r="L567" s="104">
        <v>6637035</v>
      </c>
      <c r="M567" s="128">
        <v>9999</v>
      </c>
      <c r="P567" s="101">
        <v>5</v>
      </c>
      <c r="Q567" s="101">
        <v>7</v>
      </c>
    </row>
    <row r="568" spans="1:17" ht="16.5">
      <c r="A568" s="18">
        <v>100520</v>
      </c>
      <c r="B568" s="144" t="s">
        <v>1022</v>
      </c>
      <c r="C568" s="128" t="s">
        <v>137</v>
      </c>
      <c r="D568" s="128">
        <v>2006</v>
      </c>
      <c r="E568" s="128" t="s">
        <v>108</v>
      </c>
      <c r="F568" s="128" t="b">
        <v>1</v>
      </c>
      <c r="H568" s="128" t="s">
        <v>79</v>
      </c>
      <c r="I568" s="128">
        <v>5</v>
      </c>
      <c r="J568" s="128" t="b">
        <v>0</v>
      </c>
      <c r="L568" s="104">
        <v>6637036</v>
      </c>
      <c r="M568" s="128">
        <v>9999</v>
      </c>
      <c r="P568" s="101">
        <v>5</v>
      </c>
      <c r="Q568" s="101">
        <v>7</v>
      </c>
    </row>
    <row r="569" spans="1:17" ht="16.5">
      <c r="A569" s="18">
        <v>100521</v>
      </c>
      <c r="B569" s="144" t="s">
        <v>1023</v>
      </c>
      <c r="C569" s="128" t="s">
        <v>137</v>
      </c>
      <c r="D569" s="128">
        <v>2006</v>
      </c>
      <c r="E569" s="128" t="s">
        <v>108</v>
      </c>
      <c r="F569" s="128" t="b">
        <v>1</v>
      </c>
      <c r="H569" s="128" t="s">
        <v>79</v>
      </c>
      <c r="I569" s="128">
        <v>5</v>
      </c>
      <c r="J569" s="128" t="b">
        <v>0</v>
      </c>
      <c r="L569" s="104">
        <v>6637033</v>
      </c>
      <c r="M569" s="128">
        <v>9999</v>
      </c>
      <c r="P569" s="101">
        <v>5</v>
      </c>
      <c r="Q569" s="101">
        <v>7</v>
      </c>
    </row>
    <row r="570" spans="1:17" ht="16.5">
      <c r="A570" s="18">
        <v>100522</v>
      </c>
      <c r="B570" s="144" t="s">
        <v>1024</v>
      </c>
      <c r="C570" s="128" t="s">
        <v>137</v>
      </c>
      <c r="D570" s="128">
        <v>2006</v>
      </c>
      <c r="E570" s="128" t="s">
        <v>108</v>
      </c>
      <c r="F570" s="128" t="b">
        <v>1</v>
      </c>
      <c r="H570" s="128" t="s">
        <v>79</v>
      </c>
      <c r="I570" s="128">
        <v>5</v>
      </c>
      <c r="J570" s="128" t="b">
        <v>0</v>
      </c>
      <c r="L570" s="104">
        <v>6637034</v>
      </c>
      <c r="M570" s="128">
        <v>9999</v>
      </c>
      <c r="P570" s="101">
        <v>5</v>
      </c>
      <c r="Q570" s="101">
        <v>7</v>
      </c>
    </row>
    <row r="571" spans="1:17" ht="16.5">
      <c r="A571" s="18">
        <v>100523</v>
      </c>
      <c r="B571" s="144" t="s">
        <v>1025</v>
      </c>
      <c r="C571" s="128" t="s">
        <v>137</v>
      </c>
      <c r="D571" s="128">
        <v>2006</v>
      </c>
      <c r="E571" s="128" t="s">
        <v>108</v>
      </c>
      <c r="F571" s="128" t="b">
        <v>1</v>
      </c>
      <c r="H571" s="128" t="s">
        <v>79</v>
      </c>
      <c r="I571" s="128">
        <v>5</v>
      </c>
      <c r="J571" s="128" t="b">
        <v>0</v>
      </c>
      <c r="L571" s="104">
        <v>6637035</v>
      </c>
      <c r="M571" s="128">
        <v>9999</v>
      </c>
      <c r="P571" s="101">
        <v>5</v>
      </c>
      <c r="Q571" s="101">
        <v>7</v>
      </c>
    </row>
    <row r="572" spans="1:17" ht="16.5">
      <c r="A572" s="18">
        <v>100524</v>
      </c>
      <c r="B572" s="144" t="s">
        <v>1026</v>
      </c>
      <c r="C572" s="128" t="s">
        <v>137</v>
      </c>
      <c r="D572" s="128">
        <v>2006</v>
      </c>
      <c r="E572" s="128" t="s">
        <v>108</v>
      </c>
      <c r="F572" s="128" t="b">
        <v>1</v>
      </c>
      <c r="H572" s="128" t="s">
        <v>79</v>
      </c>
      <c r="I572" s="128">
        <v>5</v>
      </c>
      <c r="J572" s="128" t="b">
        <v>0</v>
      </c>
      <c r="L572" s="104">
        <v>6637036</v>
      </c>
      <c r="M572" s="128">
        <v>9999</v>
      </c>
      <c r="P572" s="101">
        <v>5</v>
      </c>
      <c r="Q572" s="101">
        <v>7</v>
      </c>
    </row>
    <row r="573" spans="1:17" ht="16.5">
      <c r="A573" s="18">
        <v>100525</v>
      </c>
      <c r="B573" s="144" t="s">
        <v>1027</v>
      </c>
      <c r="C573" s="128" t="s">
        <v>137</v>
      </c>
      <c r="D573" s="128">
        <v>2006</v>
      </c>
      <c r="E573" s="128" t="s">
        <v>108</v>
      </c>
      <c r="F573" s="128" t="b">
        <v>1</v>
      </c>
      <c r="H573" s="128" t="s">
        <v>79</v>
      </c>
      <c r="I573" s="128">
        <v>5</v>
      </c>
      <c r="J573" s="128" t="b">
        <v>0</v>
      </c>
      <c r="L573" s="104">
        <v>6637033</v>
      </c>
      <c r="M573" s="128">
        <v>9999</v>
      </c>
      <c r="P573" s="101">
        <v>5</v>
      </c>
      <c r="Q573" s="101">
        <v>7</v>
      </c>
    </row>
    <row r="574" spans="1:17" ht="16.5">
      <c r="A574" s="18">
        <v>100526</v>
      </c>
      <c r="B574" s="144" t="s">
        <v>1028</v>
      </c>
      <c r="C574" s="128" t="s">
        <v>137</v>
      </c>
      <c r="D574" s="128">
        <v>2006</v>
      </c>
      <c r="E574" s="128" t="s">
        <v>108</v>
      </c>
      <c r="F574" s="128" t="b">
        <v>1</v>
      </c>
      <c r="H574" s="128" t="s">
        <v>79</v>
      </c>
      <c r="I574" s="128">
        <v>5</v>
      </c>
      <c r="J574" s="128" t="b">
        <v>0</v>
      </c>
      <c r="L574" s="104">
        <v>6637034</v>
      </c>
      <c r="M574" s="128">
        <v>9999</v>
      </c>
      <c r="P574" s="101">
        <v>5</v>
      </c>
      <c r="Q574" s="101">
        <v>7</v>
      </c>
    </row>
    <row r="575" spans="1:17" ht="16.5">
      <c r="A575" s="18">
        <v>100527</v>
      </c>
      <c r="B575" s="144" t="s">
        <v>1029</v>
      </c>
      <c r="C575" s="128" t="s">
        <v>137</v>
      </c>
      <c r="D575" s="128">
        <v>2006</v>
      </c>
      <c r="E575" s="128" t="s">
        <v>108</v>
      </c>
      <c r="F575" s="128" t="b">
        <v>1</v>
      </c>
      <c r="H575" s="128" t="s">
        <v>79</v>
      </c>
      <c r="I575" s="128">
        <v>5</v>
      </c>
      <c r="J575" s="128" t="b">
        <v>0</v>
      </c>
      <c r="L575" s="104">
        <v>6637035</v>
      </c>
      <c r="M575" s="128">
        <v>9999</v>
      </c>
      <c r="P575" s="101">
        <v>5</v>
      </c>
      <c r="Q575" s="101">
        <v>7</v>
      </c>
    </row>
    <row r="576" spans="1:17" ht="16.5">
      <c r="A576" s="18">
        <v>100528</v>
      </c>
      <c r="B576" s="144" t="s">
        <v>1030</v>
      </c>
      <c r="C576" s="128" t="s">
        <v>137</v>
      </c>
      <c r="D576" s="128">
        <v>2006</v>
      </c>
      <c r="E576" s="128" t="s">
        <v>108</v>
      </c>
      <c r="F576" s="128" t="b">
        <v>1</v>
      </c>
      <c r="H576" s="128" t="s">
        <v>79</v>
      </c>
      <c r="I576" s="128">
        <v>5</v>
      </c>
      <c r="J576" s="128" t="b">
        <v>0</v>
      </c>
      <c r="L576" s="104">
        <v>6637036</v>
      </c>
      <c r="M576" s="128">
        <v>9999</v>
      </c>
      <c r="P576" s="101">
        <v>5</v>
      </c>
      <c r="Q576" s="101">
        <v>7</v>
      </c>
    </row>
    <row r="577" spans="1:17" ht="16.5">
      <c r="A577" s="18">
        <v>100529</v>
      </c>
      <c r="B577" s="144" t="s">
        <v>1031</v>
      </c>
      <c r="C577" s="128" t="s">
        <v>137</v>
      </c>
      <c r="D577" s="128">
        <v>2006</v>
      </c>
      <c r="E577" s="128" t="s">
        <v>108</v>
      </c>
      <c r="F577" s="128" t="b">
        <v>1</v>
      </c>
      <c r="H577" s="128" t="s">
        <v>79</v>
      </c>
      <c r="I577" s="128">
        <v>5</v>
      </c>
      <c r="J577" s="128" t="b">
        <v>0</v>
      </c>
      <c r="L577" s="104">
        <v>6637033</v>
      </c>
      <c r="M577" s="128">
        <v>9999</v>
      </c>
      <c r="P577" s="101">
        <v>5</v>
      </c>
      <c r="Q577" s="101">
        <v>7</v>
      </c>
    </row>
    <row r="578" spans="1:17" ht="16.5">
      <c r="A578" s="18">
        <v>100530</v>
      </c>
      <c r="B578" s="144" t="s">
        <v>1032</v>
      </c>
      <c r="C578" s="128" t="s">
        <v>137</v>
      </c>
      <c r="D578" s="128">
        <v>2006</v>
      </c>
      <c r="E578" s="128" t="s">
        <v>108</v>
      </c>
      <c r="F578" s="128" t="b">
        <v>1</v>
      </c>
      <c r="H578" s="128" t="s">
        <v>79</v>
      </c>
      <c r="I578" s="128">
        <v>5</v>
      </c>
      <c r="J578" s="128" t="b">
        <v>0</v>
      </c>
      <c r="L578" s="104">
        <v>6637034</v>
      </c>
      <c r="M578" s="128">
        <v>9999</v>
      </c>
      <c r="P578" s="101">
        <v>5</v>
      </c>
      <c r="Q578" s="101">
        <v>7</v>
      </c>
    </row>
    <row r="579" spans="1:17" ht="16.5">
      <c r="A579" s="18">
        <v>100531</v>
      </c>
      <c r="B579" s="144" t="s">
        <v>1033</v>
      </c>
      <c r="C579" s="128" t="s">
        <v>137</v>
      </c>
      <c r="D579" s="128">
        <v>2006</v>
      </c>
      <c r="E579" s="128" t="s">
        <v>108</v>
      </c>
      <c r="F579" s="128" t="b">
        <v>1</v>
      </c>
      <c r="H579" s="128" t="s">
        <v>79</v>
      </c>
      <c r="I579" s="128">
        <v>5</v>
      </c>
      <c r="J579" s="128" t="b">
        <v>0</v>
      </c>
      <c r="L579" s="104">
        <v>6637035</v>
      </c>
      <c r="M579" s="128">
        <v>9999</v>
      </c>
      <c r="P579" s="101">
        <v>5</v>
      </c>
      <c r="Q579" s="101">
        <v>7</v>
      </c>
    </row>
    <row r="580" spans="1:17" ht="16.5">
      <c r="A580" s="18">
        <v>100532</v>
      </c>
      <c r="B580" s="144" t="s">
        <v>1034</v>
      </c>
      <c r="C580" s="128" t="s">
        <v>137</v>
      </c>
      <c r="D580" s="128">
        <v>2006</v>
      </c>
      <c r="E580" s="128" t="s">
        <v>108</v>
      </c>
      <c r="F580" s="128" t="b">
        <v>1</v>
      </c>
      <c r="H580" s="128" t="s">
        <v>79</v>
      </c>
      <c r="I580" s="128">
        <v>5</v>
      </c>
      <c r="J580" s="128" t="b">
        <v>0</v>
      </c>
      <c r="L580" s="104">
        <v>6637036</v>
      </c>
      <c r="M580" s="128">
        <v>9999</v>
      </c>
      <c r="P580" s="101">
        <v>5</v>
      </c>
      <c r="Q580" s="101">
        <v>7</v>
      </c>
    </row>
    <row r="581" spans="1:17" ht="16.5">
      <c r="A581" s="18">
        <v>100533</v>
      </c>
      <c r="B581" s="144" t="s">
        <v>1035</v>
      </c>
      <c r="C581" s="128" t="s">
        <v>137</v>
      </c>
      <c r="D581" s="128">
        <v>2006</v>
      </c>
      <c r="E581" s="128" t="s">
        <v>108</v>
      </c>
      <c r="F581" s="128" t="b">
        <v>1</v>
      </c>
      <c r="H581" s="128" t="s">
        <v>79</v>
      </c>
      <c r="I581" s="128">
        <v>5</v>
      </c>
      <c r="J581" s="128" t="b">
        <v>0</v>
      </c>
      <c r="L581" s="104">
        <v>6637033</v>
      </c>
      <c r="M581" s="128">
        <v>9999</v>
      </c>
      <c r="P581" s="101">
        <v>5</v>
      </c>
      <c r="Q581" s="101">
        <v>7</v>
      </c>
    </row>
    <row r="582" spans="1:17" ht="16.5">
      <c r="A582" s="18">
        <v>100534</v>
      </c>
      <c r="B582" s="144" t="s">
        <v>1036</v>
      </c>
      <c r="C582" s="128" t="s">
        <v>137</v>
      </c>
      <c r="D582" s="128">
        <v>2006</v>
      </c>
      <c r="E582" s="128" t="s">
        <v>108</v>
      </c>
      <c r="F582" s="128" t="b">
        <v>1</v>
      </c>
      <c r="H582" s="128" t="s">
        <v>79</v>
      </c>
      <c r="I582" s="128">
        <v>5</v>
      </c>
      <c r="J582" s="128" t="b">
        <v>0</v>
      </c>
      <c r="L582" s="104">
        <v>6637034</v>
      </c>
      <c r="M582" s="128">
        <v>9999</v>
      </c>
      <c r="P582" s="101">
        <v>5</v>
      </c>
      <c r="Q582" s="101">
        <v>7</v>
      </c>
    </row>
    <row r="583" spans="1:17" ht="16.5">
      <c r="A583" s="18">
        <v>100535</v>
      </c>
      <c r="B583" s="144" t="s">
        <v>1037</v>
      </c>
      <c r="C583" s="128" t="s">
        <v>137</v>
      </c>
      <c r="D583" s="128">
        <v>2006</v>
      </c>
      <c r="E583" s="128" t="s">
        <v>108</v>
      </c>
      <c r="F583" s="128" t="b">
        <v>1</v>
      </c>
      <c r="H583" s="128" t="s">
        <v>79</v>
      </c>
      <c r="I583" s="128">
        <v>5</v>
      </c>
      <c r="J583" s="128" t="b">
        <v>0</v>
      </c>
      <c r="L583" s="104">
        <v>6637035</v>
      </c>
      <c r="M583" s="128">
        <v>9999</v>
      </c>
      <c r="P583" s="101">
        <v>5</v>
      </c>
      <c r="Q583" s="101">
        <v>7</v>
      </c>
    </row>
    <row r="584" spans="1:17" ht="16.5">
      <c r="A584" s="18">
        <v>100536</v>
      </c>
      <c r="B584" s="144" t="s">
        <v>1038</v>
      </c>
      <c r="C584" s="128" t="s">
        <v>137</v>
      </c>
      <c r="D584" s="128">
        <v>2006</v>
      </c>
      <c r="E584" s="128" t="s">
        <v>108</v>
      </c>
      <c r="F584" s="128" t="b">
        <v>1</v>
      </c>
      <c r="H584" s="128" t="s">
        <v>79</v>
      </c>
      <c r="I584" s="128">
        <v>5</v>
      </c>
      <c r="J584" s="128" t="b">
        <v>0</v>
      </c>
      <c r="L584" s="104">
        <v>6637036</v>
      </c>
      <c r="M584" s="128">
        <v>9999</v>
      </c>
      <c r="P584" s="101">
        <v>5</v>
      </c>
      <c r="Q584" s="101">
        <v>7</v>
      </c>
    </row>
    <row r="585" spans="1:17" ht="16.5">
      <c r="A585" s="18">
        <v>100537</v>
      </c>
      <c r="B585" s="144" t="s">
        <v>1039</v>
      </c>
      <c r="C585" s="128" t="s">
        <v>137</v>
      </c>
      <c r="D585" s="128">
        <v>2006</v>
      </c>
      <c r="E585" s="128" t="s">
        <v>108</v>
      </c>
      <c r="F585" s="128" t="b">
        <v>1</v>
      </c>
      <c r="H585" s="128" t="s">
        <v>79</v>
      </c>
      <c r="I585" s="128">
        <v>5</v>
      </c>
      <c r="J585" s="128" t="b">
        <v>0</v>
      </c>
      <c r="L585" s="104">
        <v>6637033</v>
      </c>
      <c r="M585" s="128">
        <v>9999</v>
      </c>
      <c r="P585" s="101">
        <v>5</v>
      </c>
      <c r="Q585" s="101">
        <v>7</v>
      </c>
    </row>
    <row r="586" spans="1:17" ht="16.5">
      <c r="A586" s="18">
        <v>100538</v>
      </c>
      <c r="B586" s="144" t="s">
        <v>1040</v>
      </c>
      <c r="C586" s="128" t="s">
        <v>137</v>
      </c>
      <c r="D586" s="128">
        <v>2006</v>
      </c>
      <c r="E586" s="128" t="s">
        <v>108</v>
      </c>
      <c r="F586" s="128" t="b">
        <v>1</v>
      </c>
      <c r="H586" s="128" t="s">
        <v>79</v>
      </c>
      <c r="I586" s="128">
        <v>5</v>
      </c>
      <c r="J586" s="128" t="b">
        <v>0</v>
      </c>
      <c r="L586" s="104">
        <v>6637034</v>
      </c>
      <c r="M586" s="128">
        <v>9999</v>
      </c>
      <c r="P586" s="101">
        <v>5</v>
      </c>
      <c r="Q586" s="101">
        <v>7</v>
      </c>
    </row>
    <row r="587" spans="1:17" ht="16.5">
      <c r="A587" s="18">
        <v>100539</v>
      </c>
      <c r="B587" s="144" t="s">
        <v>1041</v>
      </c>
      <c r="C587" s="128" t="s">
        <v>137</v>
      </c>
      <c r="D587" s="128">
        <v>2006</v>
      </c>
      <c r="E587" s="128" t="s">
        <v>108</v>
      </c>
      <c r="F587" s="128" t="b">
        <v>1</v>
      </c>
      <c r="H587" s="128" t="s">
        <v>79</v>
      </c>
      <c r="I587" s="128">
        <v>5</v>
      </c>
      <c r="J587" s="128" t="b">
        <v>0</v>
      </c>
      <c r="L587" s="104">
        <v>6637035</v>
      </c>
      <c r="M587" s="128">
        <v>9999</v>
      </c>
      <c r="P587" s="101">
        <v>5</v>
      </c>
      <c r="Q587" s="101">
        <v>7</v>
      </c>
    </row>
    <row r="588" spans="1:17" ht="16.5">
      <c r="A588" s="18">
        <v>100540</v>
      </c>
      <c r="B588" s="144" t="s">
        <v>1042</v>
      </c>
      <c r="C588" s="128" t="s">
        <v>137</v>
      </c>
      <c r="D588" s="128">
        <v>2006</v>
      </c>
      <c r="E588" s="128" t="s">
        <v>108</v>
      </c>
      <c r="F588" s="128" t="b">
        <v>1</v>
      </c>
      <c r="H588" s="128" t="s">
        <v>79</v>
      </c>
      <c r="I588" s="128">
        <v>5</v>
      </c>
      <c r="J588" s="128" t="b">
        <v>0</v>
      </c>
      <c r="L588" s="104">
        <v>6637036</v>
      </c>
      <c r="M588" s="128">
        <v>9999</v>
      </c>
      <c r="P588" s="101">
        <v>5</v>
      </c>
      <c r="Q588" s="101">
        <v>7</v>
      </c>
    </row>
    <row r="589" spans="1:17" ht="16.5">
      <c r="A589" s="18">
        <v>100541</v>
      </c>
      <c r="B589" s="144" t="s">
        <v>1043</v>
      </c>
      <c r="C589" s="128" t="s">
        <v>137</v>
      </c>
      <c r="D589" s="128">
        <v>2006</v>
      </c>
      <c r="E589" s="128" t="s">
        <v>108</v>
      </c>
      <c r="F589" s="128" t="b">
        <v>1</v>
      </c>
      <c r="H589" s="128" t="s">
        <v>79</v>
      </c>
      <c r="I589" s="128">
        <v>5</v>
      </c>
      <c r="J589" s="128" t="b">
        <v>0</v>
      </c>
      <c r="L589" s="104">
        <v>6637033</v>
      </c>
      <c r="M589" s="128">
        <v>9999</v>
      </c>
      <c r="P589" s="101">
        <v>5</v>
      </c>
      <c r="Q589" s="101">
        <v>7</v>
      </c>
    </row>
    <row r="590" spans="1:17" ht="16.5">
      <c r="A590" s="18">
        <v>100542</v>
      </c>
      <c r="B590" s="144" t="s">
        <v>1044</v>
      </c>
      <c r="C590" s="128" t="s">
        <v>137</v>
      </c>
      <c r="D590" s="128">
        <v>2006</v>
      </c>
      <c r="E590" s="128" t="s">
        <v>108</v>
      </c>
      <c r="F590" s="128" t="b">
        <v>1</v>
      </c>
      <c r="H590" s="128" t="s">
        <v>79</v>
      </c>
      <c r="I590" s="128">
        <v>5</v>
      </c>
      <c r="J590" s="128" t="b">
        <v>0</v>
      </c>
      <c r="L590" s="104">
        <v>6637034</v>
      </c>
      <c r="M590" s="128">
        <v>9999</v>
      </c>
      <c r="P590" s="101">
        <v>5</v>
      </c>
      <c r="Q590" s="101">
        <v>7</v>
      </c>
    </row>
    <row r="591" spans="1:17" ht="16.5">
      <c r="A591" s="18">
        <v>100543</v>
      </c>
      <c r="B591" s="144" t="s">
        <v>1045</v>
      </c>
      <c r="C591" s="128" t="s">
        <v>137</v>
      </c>
      <c r="D591" s="128">
        <v>2006</v>
      </c>
      <c r="E591" s="128" t="s">
        <v>108</v>
      </c>
      <c r="F591" s="128" t="b">
        <v>1</v>
      </c>
      <c r="H591" s="128" t="s">
        <v>79</v>
      </c>
      <c r="I591" s="128">
        <v>5</v>
      </c>
      <c r="J591" s="128" t="b">
        <v>0</v>
      </c>
      <c r="L591" s="104">
        <v>6637035</v>
      </c>
      <c r="M591" s="128">
        <v>9999</v>
      </c>
      <c r="P591" s="101">
        <v>5</v>
      </c>
      <c r="Q591" s="101">
        <v>7</v>
      </c>
    </row>
    <row r="592" spans="1:17" ht="16.5">
      <c r="A592" s="18">
        <v>100544</v>
      </c>
      <c r="B592" s="144" t="s">
        <v>1046</v>
      </c>
      <c r="C592" s="128" t="s">
        <v>137</v>
      </c>
      <c r="D592" s="128">
        <v>2006</v>
      </c>
      <c r="E592" s="128" t="s">
        <v>108</v>
      </c>
      <c r="F592" s="128" t="b">
        <v>1</v>
      </c>
      <c r="H592" s="128" t="s">
        <v>79</v>
      </c>
      <c r="I592" s="128">
        <v>5</v>
      </c>
      <c r="J592" s="128" t="b">
        <v>0</v>
      </c>
      <c r="L592" s="104">
        <v>6637036</v>
      </c>
      <c r="M592" s="128">
        <v>9999</v>
      </c>
      <c r="P592" s="101">
        <v>5</v>
      </c>
      <c r="Q592" s="101">
        <v>7</v>
      </c>
    </row>
    <row r="593" spans="1:17" ht="16.5">
      <c r="A593" s="18">
        <v>100545</v>
      </c>
      <c r="B593" s="144" t="s">
        <v>1047</v>
      </c>
      <c r="C593" s="128" t="s">
        <v>137</v>
      </c>
      <c r="D593" s="128">
        <v>2006</v>
      </c>
      <c r="E593" s="128" t="s">
        <v>108</v>
      </c>
      <c r="F593" s="128" t="b">
        <v>1</v>
      </c>
      <c r="H593" s="128" t="s">
        <v>79</v>
      </c>
      <c r="I593" s="128">
        <v>5</v>
      </c>
      <c r="J593" s="128" t="b">
        <v>0</v>
      </c>
      <c r="L593" s="104">
        <v>6637033</v>
      </c>
      <c r="M593" s="128">
        <v>9999</v>
      </c>
      <c r="P593" s="101">
        <v>5</v>
      </c>
      <c r="Q593" s="101">
        <v>7</v>
      </c>
    </row>
    <row r="594" spans="1:17" ht="16.5">
      <c r="A594" s="18">
        <v>100546</v>
      </c>
      <c r="B594" s="144" t="s">
        <v>1048</v>
      </c>
      <c r="C594" s="128" t="s">
        <v>137</v>
      </c>
      <c r="D594" s="128">
        <v>2006</v>
      </c>
      <c r="E594" s="128" t="s">
        <v>108</v>
      </c>
      <c r="F594" s="128" t="b">
        <v>1</v>
      </c>
      <c r="H594" s="128" t="s">
        <v>79</v>
      </c>
      <c r="I594" s="128">
        <v>5</v>
      </c>
      <c r="J594" s="128" t="b">
        <v>0</v>
      </c>
      <c r="L594" s="104">
        <v>6637034</v>
      </c>
      <c r="M594" s="128">
        <v>9999</v>
      </c>
      <c r="P594" s="101">
        <v>5</v>
      </c>
      <c r="Q594" s="101">
        <v>7</v>
      </c>
    </row>
    <row r="595" spans="1:17" ht="16.5">
      <c r="A595" s="18">
        <v>100547</v>
      </c>
      <c r="B595" s="144" t="s">
        <v>1049</v>
      </c>
      <c r="C595" s="128" t="s">
        <v>137</v>
      </c>
      <c r="D595" s="128">
        <v>2006</v>
      </c>
      <c r="E595" s="128" t="s">
        <v>108</v>
      </c>
      <c r="F595" s="128" t="b">
        <v>1</v>
      </c>
      <c r="H595" s="128" t="s">
        <v>79</v>
      </c>
      <c r="I595" s="128">
        <v>5</v>
      </c>
      <c r="J595" s="128" t="b">
        <v>0</v>
      </c>
      <c r="L595" s="104">
        <v>6637035</v>
      </c>
      <c r="M595" s="128">
        <v>9999</v>
      </c>
      <c r="P595" s="101">
        <v>5</v>
      </c>
      <c r="Q595" s="101">
        <v>7</v>
      </c>
    </row>
    <row r="596" spans="1:17" ht="16.5">
      <c r="A596" s="18">
        <v>100548</v>
      </c>
      <c r="B596" s="144" t="s">
        <v>1050</v>
      </c>
      <c r="C596" s="128" t="s">
        <v>137</v>
      </c>
      <c r="D596" s="128">
        <v>2006</v>
      </c>
      <c r="E596" s="128" t="s">
        <v>108</v>
      </c>
      <c r="F596" s="128" t="b">
        <v>1</v>
      </c>
      <c r="H596" s="128" t="s">
        <v>79</v>
      </c>
      <c r="I596" s="128">
        <v>5</v>
      </c>
      <c r="J596" s="128" t="b">
        <v>0</v>
      </c>
      <c r="L596" s="104">
        <v>6637036</v>
      </c>
      <c r="M596" s="128">
        <v>9999</v>
      </c>
      <c r="P596" s="101">
        <v>5</v>
      </c>
      <c r="Q596" s="101">
        <v>7</v>
      </c>
    </row>
    <row r="597" spans="1:17" ht="16.5">
      <c r="A597" s="18">
        <v>100549</v>
      </c>
      <c r="B597" s="144" t="s">
        <v>1051</v>
      </c>
      <c r="C597" s="128" t="s">
        <v>137</v>
      </c>
      <c r="D597" s="128">
        <v>2006</v>
      </c>
      <c r="E597" s="128" t="s">
        <v>108</v>
      </c>
      <c r="F597" s="128" t="b">
        <v>1</v>
      </c>
      <c r="H597" s="128" t="s">
        <v>79</v>
      </c>
      <c r="I597" s="128">
        <v>5</v>
      </c>
      <c r="J597" s="128" t="b">
        <v>0</v>
      </c>
      <c r="L597" s="104">
        <v>6637033</v>
      </c>
      <c r="M597" s="128">
        <v>9999</v>
      </c>
      <c r="P597" s="101">
        <v>5</v>
      </c>
      <c r="Q597" s="101">
        <v>7</v>
      </c>
    </row>
    <row r="598" spans="1:17" ht="16.5">
      <c r="A598" s="18">
        <v>100550</v>
      </c>
      <c r="B598" s="144" t="s">
        <v>1052</v>
      </c>
      <c r="C598" s="128" t="s">
        <v>137</v>
      </c>
      <c r="D598" s="128">
        <v>2006</v>
      </c>
      <c r="E598" s="128" t="s">
        <v>108</v>
      </c>
      <c r="F598" s="128" t="b">
        <v>1</v>
      </c>
      <c r="H598" s="128" t="s">
        <v>79</v>
      </c>
      <c r="I598" s="128">
        <v>5</v>
      </c>
      <c r="J598" s="128" t="b">
        <v>0</v>
      </c>
      <c r="L598" s="104">
        <v>6637034</v>
      </c>
      <c r="M598" s="128">
        <v>9999</v>
      </c>
      <c r="P598" s="101">
        <v>5</v>
      </c>
      <c r="Q598" s="101">
        <v>7</v>
      </c>
    </row>
    <row r="599" spans="1:17" ht="16.5">
      <c r="A599" s="18">
        <v>100551</v>
      </c>
      <c r="B599" s="144" t="s">
        <v>1053</v>
      </c>
      <c r="C599" s="128" t="s">
        <v>137</v>
      </c>
      <c r="D599" s="128">
        <v>2006</v>
      </c>
      <c r="E599" s="128" t="s">
        <v>108</v>
      </c>
      <c r="F599" s="128" t="b">
        <v>1</v>
      </c>
      <c r="H599" s="128" t="s">
        <v>79</v>
      </c>
      <c r="I599" s="128">
        <v>5</v>
      </c>
      <c r="J599" s="128" t="b">
        <v>0</v>
      </c>
      <c r="L599" s="104">
        <v>6637035</v>
      </c>
      <c r="M599" s="128">
        <v>9999</v>
      </c>
      <c r="P599" s="101">
        <v>5</v>
      </c>
      <c r="Q599" s="101">
        <v>7</v>
      </c>
    </row>
    <row r="600" spans="1:17" ht="16.5">
      <c r="A600" s="18">
        <v>100552</v>
      </c>
      <c r="B600" s="144" t="s">
        <v>1054</v>
      </c>
      <c r="C600" s="128" t="s">
        <v>137</v>
      </c>
      <c r="D600" s="128">
        <v>2006</v>
      </c>
      <c r="E600" s="128" t="s">
        <v>108</v>
      </c>
      <c r="F600" s="128" t="b">
        <v>1</v>
      </c>
      <c r="H600" s="128" t="s">
        <v>79</v>
      </c>
      <c r="I600" s="128">
        <v>5</v>
      </c>
      <c r="J600" s="128" t="b">
        <v>0</v>
      </c>
      <c r="L600" s="104">
        <v>6637036</v>
      </c>
      <c r="M600" s="128">
        <v>9999</v>
      </c>
      <c r="P600" s="101">
        <v>5</v>
      </c>
      <c r="Q600" s="101">
        <v>7</v>
      </c>
    </row>
    <row r="601" spans="1:17" ht="16.5">
      <c r="A601" s="18">
        <v>100553</v>
      </c>
      <c r="B601" s="144" t="s">
        <v>1055</v>
      </c>
      <c r="C601" s="128" t="s">
        <v>137</v>
      </c>
      <c r="D601" s="128">
        <v>2006</v>
      </c>
      <c r="E601" s="128" t="s">
        <v>108</v>
      </c>
      <c r="F601" s="128" t="b">
        <v>1</v>
      </c>
      <c r="H601" s="128" t="s">
        <v>79</v>
      </c>
      <c r="I601" s="128">
        <v>5</v>
      </c>
      <c r="J601" s="128" t="b">
        <v>0</v>
      </c>
      <c r="L601" s="104">
        <v>6637033</v>
      </c>
      <c r="M601" s="128">
        <v>9999</v>
      </c>
      <c r="P601" s="101">
        <v>5</v>
      </c>
      <c r="Q601" s="101">
        <v>7</v>
      </c>
    </row>
    <row r="602" spans="1:17" ht="16.5">
      <c r="A602" s="18">
        <v>100554</v>
      </c>
      <c r="B602" s="144" t="s">
        <v>1056</v>
      </c>
      <c r="C602" s="128" t="s">
        <v>137</v>
      </c>
      <c r="D602" s="128">
        <v>2006</v>
      </c>
      <c r="E602" s="128" t="s">
        <v>108</v>
      </c>
      <c r="F602" s="128" t="b">
        <v>1</v>
      </c>
      <c r="H602" s="128" t="s">
        <v>79</v>
      </c>
      <c r="I602" s="128">
        <v>5</v>
      </c>
      <c r="J602" s="128" t="b">
        <v>0</v>
      </c>
      <c r="L602" s="104">
        <v>6637034</v>
      </c>
      <c r="M602" s="128">
        <v>9999</v>
      </c>
      <c r="P602" s="101">
        <v>5</v>
      </c>
      <c r="Q602" s="101">
        <v>7</v>
      </c>
    </row>
    <row r="603" spans="1:17" ht="16.5">
      <c r="A603" s="18">
        <v>100555</v>
      </c>
      <c r="B603" s="144" t="s">
        <v>1057</v>
      </c>
      <c r="C603" s="128" t="s">
        <v>137</v>
      </c>
      <c r="D603" s="128">
        <v>2006</v>
      </c>
      <c r="E603" s="128" t="s">
        <v>108</v>
      </c>
      <c r="F603" s="128" t="b">
        <v>1</v>
      </c>
      <c r="H603" s="128" t="s">
        <v>79</v>
      </c>
      <c r="I603" s="128">
        <v>5</v>
      </c>
      <c r="J603" s="128" t="b">
        <v>0</v>
      </c>
      <c r="L603" s="104">
        <v>6637035</v>
      </c>
      <c r="M603" s="128">
        <v>9999</v>
      </c>
      <c r="P603" s="101">
        <v>5</v>
      </c>
      <c r="Q603" s="101">
        <v>7</v>
      </c>
    </row>
    <row r="604" spans="1:17" ht="16.5">
      <c r="A604" s="18">
        <v>100556</v>
      </c>
      <c r="B604" s="144" t="s">
        <v>1058</v>
      </c>
      <c r="C604" s="128" t="s">
        <v>137</v>
      </c>
      <c r="D604" s="128">
        <v>2006</v>
      </c>
      <c r="E604" s="128" t="s">
        <v>108</v>
      </c>
      <c r="F604" s="128" t="b">
        <v>1</v>
      </c>
      <c r="H604" s="128" t="s">
        <v>79</v>
      </c>
      <c r="I604" s="128">
        <v>5</v>
      </c>
      <c r="J604" s="128" t="b">
        <v>0</v>
      </c>
      <c r="L604" s="104">
        <v>6637036</v>
      </c>
      <c r="M604" s="128">
        <v>9999</v>
      </c>
      <c r="P604" s="101">
        <v>5</v>
      </c>
      <c r="Q604" s="101">
        <v>7</v>
      </c>
    </row>
    <row r="605" spans="1:17" ht="16.5">
      <c r="A605" s="18">
        <v>100557</v>
      </c>
      <c r="B605" s="144" t="s">
        <v>1059</v>
      </c>
      <c r="C605" s="128" t="s">
        <v>137</v>
      </c>
      <c r="D605" s="128">
        <v>2006</v>
      </c>
      <c r="E605" s="128" t="s">
        <v>108</v>
      </c>
      <c r="F605" s="128" t="b">
        <v>1</v>
      </c>
      <c r="H605" s="128" t="s">
        <v>79</v>
      </c>
      <c r="I605" s="128">
        <v>5</v>
      </c>
      <c r="J605" s="128" t="b">
        <v>0</v>
      </c>
      <c r="L605" s="104">
        <v>6637033</v>
      </c>
      <c r="M605" s="128">
        <v>9999</v>
      </c>
      <c r="P605" s="101">
        <v>5</v>
      </c>
      <c r="Q605" s="101">
        <v>7</v>
      </c>
    </row>
    <row r="606" spans="1:17" ht="16.5">
      <c r="A606" s="18">
        <v>100558</v>
      </c>
      <c r="B606" s="144" t="s">
        <v>1060</v>
      </c>
      <c r="C606" s="128" t="s">
        <v>137</v>
      </c>
      <c r="D606" s="128">
        <v>2006</v>
      </c>
      <c r="E606" s="128" t="s">
        <v>108</v>
      </c>
      <c r="F606" s="128" t="b">
        <v>1</v>
      </c>
      <c r="H606" s="128" t="s">
        <v>79</v>
      </c>
      <c r="I606" s="128">
        <v>5</v>
      </c>
      <c r="J606" s="128" t="b">
        <v>0</v>
      </c>
      <c r="L606" s="104">
        <v>6637034</v>
      </c>
      <c r="M606" s="128">
        <v>9999</v>
      </c>
      <c r="P606" s="101">
        <v>5</v>
      </c>
      <c r="Q606" s="101">
        <v>7</v>
      </c>
    </row>
    <row r="607" spans="1:17" ht="16.5">
      <c r="A607" s="18">
        <v>100559</v>
      </c>
      <c r="B607" s="144" t="s">
        <v>1061</v>
      </c>
      <c r="C607" s="128" t="s">
        <v>137</v>
      </c>
      <c r="D607" s="128">
        <v>2006</v>
      </c>
      <c r="E607" s="128" t="s">
        <v>108</v>
      </c>
      <c r="F607" s="128" t="b">
        <v>1</v>
      </c>
      <c r="H607" s="128" t="s">
        <v>79</v>
      </c>
      <c r="I607" s="128">
        <v>5</v>
      </c>
      <c r="J607" s="128" t="b">
        <v>0</v>
      </c>
      <c r="L607" s="104">
        <v>6637035</v>
      </c>
      <c r="M607" s="128">
        <v>9999</v>
      </c>
      <c r="P607" s="101">
        <v>5</v>
      </c>
      <c r="Q607" s="101">
        <v>7</v>
      </c>
    </row>
    <row r="608" spans="1:17" ht="16.5">
      <c r="A608" s="18">
        <v>100560</v>
      </c>
      <c r="B608" s="144" t="s">
        <v>1062</v>
      </c>
      <c r="C608" s="128" t="s">
        <v>137</v>
      </c>
      <c r="D608" s="128">
        <v>2006</v>
      </c>
      <c r="E608" s="128" t="s">
        <v>108</v>
      </c>
      <c r="F608" s="128" t="b">
        <v>1</v>
      </c>
      <c r="H608" s="128" t="s">
        <v>79</v>
      </c>
      <c r="I608" s="128">
        <v>5</v>
      </c>
      <c r="J608" s="128" t="b">
        <v>0</v>
      </c>
      <c r="L608" s="104">
        <v>6637036</v>
      </c>
      <c r="M608" s="128">
        <v>9999</v>
      </c>
      <c r="P608" s="101">
        <v>5</v>
      </c>
      <c r="Q608" s="101">
        <v>7</v>
      </c>
    </row>
    <row r="609" spans="1:17" ht="16.5">
      <c r="A609" s="18">
        <v>100561</v>
      </c>
      <c r="B609" s="144" t="s">
        <v>1063</v>
      </c>
      <c r="C609" s="128" t="s">
        <v>137</v>
      </c>
      <c r="D609" s="128">
        <v>2006</v>
      </c>
      <c r="E609" s="128" t="s">
        <v>108</v>
      </c>
      <c r="F609" s="128" t="b">
        <v>1</v>
      </c>
      <c r="H609" s="128" t="s">
        <v>79</v>
      </c>
      <c r="I609" s="128">
        <v>5</v>
      </c>
      <c r="J609" s="128" t="b">
        <v>0</v>
      </c>
      <c r="L609" s="104">
        <v>6637033</v>
      </c>
      <c r="M609" s="128">
        <v>9999</v>
      </c>
      <c r="P609" s="101">
        <v>5</v>
      </c>
      <c r="Q609" s="101">
        <v>7</v>
      </c>
    </row>
    <row r="610" spans="1:17" ht="16.5">
      <c r="A610" s="18">
        <v>100562</v>
      </c>
      <c r="B610" s="144" t="s">
        <v>1064</v>
      </c>
      <c r="C610" s="128" t="s">
        <v>137</v>
      </c>
      <c r="D610" s="128">
        <v>2006</v>
      </c>
      <c r="E610" s="128" t="s">
        <v>108</v>
      </c>
      <c r="F610" s="128" t="b">
        <v>1</v>
      </c>
      <c r="H610" s="128" t="s">
        <v>79</v>
      </c>
      <c r="I610" s="128">
        <v>5</v>
      </c>
      <c r="J610" s="128" t="b">
        <v>0</v>
      </c>
      <c r="L610" s="104">
        <v>6637034</v>
      </c>
      <c r="M610" s="128">
        <v>9999</v>
      </c>
      <c r="P610" s="101">
        <v>5</v>
      </c>
      <c r="Q610" s="101">
        <v>7</v>
      </c>
    </row>
    <row r="611" spans="1:17" ht="16.5">
      <c r="A611" s="18">
        <v>100563</v>
      </c>
      <c r="B611" s="144" t="s">
        <v>1065</v>
      </c>
      <c r="C611" s="128" t="s">
        <v>137</v>
      </c>
      <c r="D611" s="128">
        <v>2006</v>
      </c>
      <c r="E611" s="128" t="s">
        <v>108</v>
      </c>
      <c r="F611" s="128" t="b">
        <v>1</v>
      </c>
      <c r="H611" s="128" t="s">
        <v>79</v>
      </c>
      <c r="I611" s="128">
        <v>5</v>
      </c>
      <c r="J611" s="128" t="b">
        <v>0</v>
      </c>
      <c r="L611" s="104">
        <v>6637035</v>
      </c>
      <c r="M611" s="128">
        <v>9999</v>
      </c>
      <c r="P611" s="101">
        <v>5</v>
      </c>
      <c r="Q611" s="101">
        <v>7</v>
      </c>
    </row>
    <row r="612" spans="1:17" ht="16.5">
      <c r="A612" s="18">
        <v>100564</v>
      </c>
      <c r="B612" s="144" t="s">
        <v>1066</v>
      </c>
      <c r="C612" s="128" t="s">
        <v>137</v>
      </c>
      <c r="D612" s="128">
        <v>2006</v>
      </c>
      <c r="E612" s="128" t="s">
        <v>108</v>
      </c>
      <c r="F612" s="128" t="b">
        <v>1</v>
      </c>
      <c r="H612" s="128" t="s">
        <v>79</v>
      </c>
      <c r="I612" s="128">
        <v>5</v>
      </c>
      <c r="J612" s="128" t="b">
        <v>0</v>
      </c>
      <c r="L612" s="104">
        <v>6637036</v>
      </c>
      <c r="M612" s="128">
        <v>9999</v>
      </c>
      <c r="P612" s="101">
        <v>5</v>
      </c>
      <c r="Q612" s="101">
        <v>7</v>
      </c>
    </row>
    <row r="613" spans="1:17" ht="16.5">
      <c r="A613" s="18">
        <v>100565</v>
      </c>
      <c r="B613" s="144" t="s">
        <v>1067</v>
      </c>
      <c r="C613" s="128" t="s">
        <v>137</v>
      </c>
      <c r="D613" s="128">
        <v>2006</v>
      </c>
      <c r="E613" s="128" t="s">
        <v>108</v>
      </c>
      <c r="F613" s="128" t="b">
        <v>1</v>
      </c>
      <c r="H613" s="128" t="s">
        <v>79</v>
      </c>
      <c r="I613" s="128">
        <v>5</v>
      </c>
      <c r="J613" s="128" t="b">
        <v>0</v>
      </c>
      <c r="L613" s="104">
        <v>6637033</v>
      </c>
      <c r="M613" s="128">
        <v>9999</v>
      </c>
      <c r="P613" s="101">
        <v>5</v>
      </c>
      <c r="Q613" s="101">
        <v>7</v>
      </c>
    </row>
    <row r="614" spans="1:17" ht="16.5">
      <c r="A614" s="18">
        <v>100566</v>
      </c>
      <c r="B614" s="144" t="s">
        <v>1068</v>
      </c>
      <c r="C614" s="128" t="s">
        <v>137</v>
      </c>
      <c r="D614" s="128">
        <v>2006</v>
      </c>
      <c r="E614" s="128" t="s">
        <v>108</v>
      </c>
      <c r="F614" s="128" t="b">
        <v>1</v>
      </c>
      <c r="H614" s="128" t="s">
        <v>79</v>
      </c>
      <c r="I614" s="128">
        <v>5</v>
      </c>
      <c r="J614" s="128" t="b">
        <v>0</v>
      </c>
      <c r="L614" s="104">
        <v>6637034</v>
      </c>
      <c r="M614" s="128">
        <v>9999</v>
      </c>
      <c r="P614" s="101">
        <v>5</v>
      </c>
      <c r="Q614" s="101">
        <v>7</v>
      </c>
    </row>
    <row r="615" spans="1:17" ht="16.5">
      <c r="A615" s="18">
        <v>100567</v>
      </c>
      <c r="B615" s="144" t="s">
        <v>1069</v>
      </c>
      <c r="C615" s="128" t="s">
        <v>137</v>
      </c>
      <c r="D615" s="128">
        <v>2006</v>
      </c>
      <c r="E615" s="128" t="s">
        <v>108</v>
      </c>
      <c r="F615" s="128" t="b">
        <v>1</v>
      </c>
      <c r="H615" s="128" t="s">
        <v>79</v>
      </c>
      <c r="I615" s="128">
        <v>5</v>
      </c>
      <c r="J615" s="128" t="b">
        <v>0</v>
      </c>
      <c r="L615" s="104">
        <v>6637035</v>
      </c>
      <c r="M615" s="128">
        <v>9999</v>
      </c>
      <c r="P615" s="101">
        <v>5</v>
      </c>
      <c r="Q615" s="101">
        <v>7</v>
      </c>
    </row>
    <row r="616" spans="1:17" ht="16.5">
      <c r="A616" s="18">
        <v>100568</v>
      </c>
      <c r="B616" s="144" t="s">
        <v>1070</v>
      </c>
      <c r="C616" s="128" t="s">
        <v>137</v>
      </c>
      <c r="D616" s="128">
        <v>2006</v>
      </c>
      <c r="E616" s="128" t="s">
        <v>108</v>
      </c>
      <c r="F616" s="128" t="b">
        <v>1</v>
      </c>
      <c r="H616" s="128" t="s">
        <v>79</v>
      </c>
      <c r="I616" s="128">
        <v>5</v>
      </c>
      <c r="J616" s="128" t="b">
        <v>0</v>
      </c>
      <c r="L616" s="104">
        <v>6637036</v>
      </c>
      <c r="M616" s="128">
        <v>9999</v>
      </c>
      <c r="P616" s="101">
        <v>5</v>
      </c>
      <c r="Q616" s="101">
        <v>7</v>
      </c>
    </row>
    <row r="617" spans="1:17" ht="16.5">
      <c r="A617" s="18">
        <v>100569</v>
      </c>
      <c r="B617" s="144" t="s">
        <v>1071</v>
      </c>
      <c r="C617" s="128" t="s">
        <v>137</v>
      </c>
      <c r="D617" s="128">
        <v>2006</v>
      </c>
      <c r="E617" s="128" t="s">
        <v>108</v>
      </c>
      <c r="F617" s="128" t="b">
        <v>1</v>
      </c>
      <c r="H617" s="128" t="s">
        <v>79</v>
      </c>
      <c r="I617" s="128">
        <v>5</v>
      </c>
      <c r="J617" s="128" t="b">
        <v>0</v>
      </c>
      <c r="L617" s="104">
        <v>6637033</v>
      </c>
      <c r="M617" s="128">
        <v>9999</v>
      </c>
      <c r="P617" s="101">
        <v>5</v>
      </c>
      <c r="Q617" s="101">
        <v>7</v>
      </c>
    </row>
    <row r="618" spans="1:17" ht="16.5">
      <c r="A618" s="18">
        <v>100570</v>
      </c>
      <c r="B618" s="144" t="s">
        <v>1072</v>
      </c>
      <c r="C618" s="128" t="s">
        <v>137</v>
      </c>
      <c r="D618" s="128">
        <v>2006</v>
      </c>
      <c r="E618" s="128" t="s">
        <v>108</v>
      </c>
      <c r="F618" s="128" t="b">
        <v>1</v>
      </c>
      <c r="H618" s="128" t="s">
        <v>79</v>
      </c>
      <c r="I618" s="128">
        <v>5</v>
      </c>
      <c r="J618" s="128" t="b">
        <v>0</v>
      </c>
      <c r="L618" s="104">
        <v>6637034</v>
      </c>
      <c r="M618" s="128">
        <v>9999</v>
      </c>
      <c r="P618" s="101">
        <v>5</v>
      </c>
      <c r="Q618" s="101">
        <v>7</v>
      </c>
    </row>
    <row r="619" spans="1:17" ht="16.5">
      <c r="A619" s="18">
        <v>100571</v>
      </c>
      <c r="B619" s="144" t="s">
        <v>1073</v>
      </c>
      <c r="C619" s="128" t="s">
        <v>137</v>
      </c>
      <c r="D619" s="128">
        <v>2006</v>
      </c>
      <c r="E619" s="128" t="s">
        <v>108</v>
      </c>
      <c r="F619" s="128" t="b">
        <v>1</v>
      </c>
      <c r="H619" s="128" t="s">
        <v>79</v>
      </c>
      <c r="I619" s="128">
        <v>5</v>
      </c>
      <c r="J619" s="128" t="b">
        <v>0</v>
      </c>
      <c r="L619" s="104">
        <v>6637035</v>
      </c>
      <c r="M619" s="128">
        <v>9999</v>
      </c>
      <c r="P619" s="101">
        <v>5</v>
      </c>
      <c r="Q619" s="101">
        <v>7</v>
      </c>
    </row>
    <row r="620" spans="1:17" ht="16.5">
      <c r="A620" s="18">
        <v>100572</v>
      </c>
      <c r="B620" s="144" t="s">
        <v>1074</v>
      </c>
      <c r="C620" s="128" t="s">
        <v>137</v>
      </c>
      <c r="D620" s="128">
        <v>2006</v>
      </c>
      <c r="E620" s="128" t="s">
        <v>108</v>
      </c>
      <c r="F620" s="128" t="b">
        <v>1</v>
      </c>
      <c r="H620" s="128" t="s">
        <v>79</v>
      </c>
      <c r="I620" s="128">
        <v>5</v>
      </c>
      <c r="J620" s="128" t="b">
        <v>0</v>
      </c>
      <c r="L620" s="104">
        <v>6637036</v>
      </c>
      <c r="M620" s="128">
        <v>9999</v>
      </c>
      <c r="P620" s="101">
        <v>5</v>
      </c>
      <c r="Q620" s="101">
        <v>7</v>
      </c>
    </row>
    <row r="621" spans="1:17" ht="16.5">
      <c r="A621" s="18">
        <v>100573</v>
      </c>
      <c r="B621" s="144" t="s">
        <v>1075</v>
      </c>
      <c r="C621" s="128" t="s">
        <v>137</v>
      </c>
      <c r="D621" s="128">
        <v>2006</v>
      </c>
      <c r="E621" s="128" t="s">
        <v>108</v>
      </c>
      <c r="F621" s="128" t="b">
        <v>1</v>
      </c>
      <c r="H621" s="128" t="s">
        <v>79</v>
      </c>
      <c r="I621" s="128">
        <v>5</v>
      </c>
      <c r="J621" s="128" t="b">
        <v>0</v>
      </c>
      <c r="L621" s="104">
        <v>6637033</v>
      </c>
      <c r="M621" s="128">
        <v>9999</v>
      </c>
      <c r="P621" s="101">
        <v>5</v>
      </c>
      <c r="Q621" s="101">
        <v>7</v>
      </c>
    </row>
    <row r="622" spans="1:17" ht="16.5">
      <c r="A622" s="18">
        <v>100574</v>
      </c>
      <c r="B622" s="144" t="s">
        <v>1076</v>
      </c>
      <c r="C622" s="128" t="s">
        <v>137</v>
      </c>
      <c r="D622" s="128">
        <v>2006</v>
      </c>
      <c r="E622" s="128" t="s">
        <v>108</v>
      </c>
      <c r="F622" s="128" t="b">
        <v>1</v>
      </c>
      <c r="H622" s="128" t="s">
        <v>79</v>
      </c>
      <c r="I622" s="128">
        <v>5</v>
      </c>
      <c r="J622" s="128" t="b">
        <v>0</v>
      </c>
      <c r="L622" s="104">
        <v>6637034</v>
      </c>
      <c r="M622" s="128">
        <v>9999</v>
      </c>
      <c r="P622" s="101">
        <v>5</v>
      </c>
      <c r="Q622" s="101">
        <v>7</v>
      </c>
    </row>
    <row r="623" spans="1:17" ht="16.5">
      <c r="A623" s="18">
        <v>100575</v>
      </c>
      <c r="B623" s="144" t="s">
        <v>1077</v>
      </c>
      <c r="C623" s="128" t="s">
        <v>137</v>
      </c>
      <c r="D623" s="128">
        <v>2006</v>
      </c>
      <c r="E623" s="128" t="s">
        <v>108</v>
      </c>
      <c r="F623" s="128" t="b">
        <v>1</v>
      </c>
      <c r="H623" s="128" t="s">
        <v>79</v>
      </c>
      <c r="I623" s="128">
        <v>5</v>
      </c>
      <c r="J623" s="128" t="b">
        <v>0</v>
      </c>
      <c r="L623" s="104">
        <v>6637035</v>
      </c>
      <c r="M623" s="128">
        <v>9999</v>
      </c>
      <c r="P623" s="101">
        <v>5</v>
      </c>
      <c r="Q623" s="101">
        <v>7</v>
      </c>
    </row>
    <row r="624" spans="1:17" ht="16.5">
      <c r="A624" s="18">
        <v>100576</v>
      </c>
      <c r="B624" s="144" t="s">
        <v>1078</v>
      </c>
      <c r="C624" s="128" t="s">
        <v>137</v>
      </c>
      <c r="D624" s="128">
        <v>2006</v>
      </c>
      <c r="E624" s="128" t="s">
        <v>108</v>
      </c>
      <c r="F624" s="128" t="b">
        <v>1</v>
      </c>
      <c r="H624" s="128" t="s">
        <v>79</v>
      </c>
      <c r="I624" s="128">
        <v>5</v>
      </c>
      <c r="J624" s="128" t="b">
        <v>0</v>
      </c>
      <c r="L624" s="104">
        <v>6637036</v>
      </c>
      <c r="M624" s="128">
        <v>9999</v>
      </c>
      <c r="P624" s="101">
        <v>5</v>
      </c>
      <c r="Q624" s="101">
        <v>7</v>
      </c>
    </row>
    <row r="625" spans="1:17" ht="16.5">
      <c r="A625" s="18">
        <v>100577</v>
      </c>
      <c r="B625" s="144" t="s">
        <v>1079</v>
      </c>
      <c r="C625" s="128" t="s">
        <v>137</v>
      </c>
      <c r="D625" s="128">
        <v>2006</v>
      </c>
      <c r="E625" s="128" t="s">
        <v>108</v>
      </c>
      <c r="F625" s="128" t="b">
        <v>1</v>
      </c>
      <c r="H625" s="128" t="s">
        <v>79</v>
      </c>
      <c r="I625" s="128">
        <v>5</v>
      </c>
      <c r="J625" s="128" t="b">
        <v>0</v>
      </c>
      <c r="L625" s="104">
        <v>6637033</v>
      </c>
      <c r="M625" s="128">
        <v>9999</v>
      </c>
      <c r="P625" s="101">
        <v>5</v>
      </c>
      <c r="Q625" s="101">
        <v>7</v>
      </c>
    </row>
    <row r="626" spans="1:17" ht="16.5">
      <c r="A626" s="18">
        <v>100578</v>
      </c>
      <c r="B626" s="144" t="s">
        <v>1080</v>
      </c>
      <c r="C626" s="128" t="s">
        <v>137</v>
      </c>
      <c r="D626" s="128">
        <v>2006</v>
      </c>
      <c r="E626" s="128" t="s">
        <v>108</v>
      </c>
      <c r="F626" s="128" t="b">
        <v>1</v>
      </c>
      <c r="H626" s="128" t="s">
        <v>79</v>
      </c>
      <c r="I626" s="128">
        <v>5</v>
      </c>
      <c r="J626" s="128" t="b">
        <v>0</v>
      </c>
      <c r="L626" s="104">
        <v>6637034</v>
      </c>
      <c r="M626" s="128">
        <v>9999</v>
      </c>
      <c r="P626" s="101">
        <v>5</v>
      </c>
      <c r="Q626" s="101">
        <v>7</v>
      </c>
    </row>
    <row r="627" spans="1:17" ht="16.5">
      <c r="A627" s="18">
        <v>100579</v>
      </c>
      <c r="B627" s="144" t="s">
        <v>1081</v>
      </c>
      <c r="C627" s="128" t="s">
        <v>137</v>
      </c>
      <c r="D627" s="128">
        <v>2006</v>
      </c>
      <c r="E627" s="128" t="s">
        <v>108</v>
      </c>
      <c r="F627" s="128" t="b">
        <v>1</v>
      </c>
      <c r="H627" s="128" t="s">
        <v>79</v>
      </c>
      <c r="I627" s="128">
        <v>5</v>
      </c>
      <c r="J627" s="128" t="b">
        <v>0</v>
      </c>
      <c r="L627" s="104">
        <v>6637035</v>
      </c>
      <c r="M627" s="128">
        <v>9999</v>
      </c>
      <c r="P627" s="101">
        <v>5</v>
      </c>
      <c r="Q627" s="101">
        <v>7</v>
      </c>
    </row>
    <row r="628" spans="1:17" ht="16.5">
      <c r="A628" s="18">
        <v>100580</v>
      </c>
      <c r="B628" s="144" t="s">
        <v>1082</v>
      </c>
      <c r="C628" s="128" t="s">
        <v>137</v>
      </c>
      <c r="D628" s="128">
        <v>2006</v>
      </c>
      <c r="E628" s="128" t="s">
        <v>108</v>
      </c>
      <c r="F628" s="128" t="b">
        <v>1</v>
      </c>
      <c r="H628" s="128" t="s">
        <v>79</v>
      </c>
      <c r="I628" s="128">
        <v>5</v>
      </c>
      <c r="J628" s="128" t="b">
        <v>0</v>
      </c>
      <c r="L628" s="104">
        <v>6637036</v>
      </c>
      <c r="M628" s="128">
        <v>9999</v>
      </c>
      <c r="P628" s="101">
        <v>5</v>
      </c>
      <c r="Q628" s="101">
        <v>7</v>
      </c>
    </row>
    <row r="629" spans="1:17" ht="16.5">
      <c r="A629" s="18">
        <v>100581</v>
      </c>
      <c r="B629" s="144" t="s">
        <v>1083</v>
      </c>
      <c r="C629" s="128" t="s">
        <v>137</v>
      </c>
      <c r="D629" s="128">
        <v>2006</v>
      </c>
      <c r="E629" s="128" t="s">
        <v>108</v>
      </c>
      <c r="F629" s="128" t="b">
        <v>1</v>
      </c>
      <c r="H629" s="128" t="s">
        <v>79</v>
      </c>
      <c r="I629" s="128">
        <v>5</v>
      </c>
      <c r="J629" s="128" t="b">
        <v>0</v>
      </c>
      <c r="L629" s="104">
        <v>6637033</v>
      </c>
      <c r="M629" s="128">
        <v>9999</v>
      </c>
      <c r="P629" s="101">
        <v>5</v>
      </c>
      <c r="Q629" s="101">
        <v>7</v>
      </c>
    </row>
    <row r="630" spans="1:17" ht="16.5">
      <c r="A630" s="18">
        <v>100582</v>
      </c>
      <c r="B630" s="144" t="s">
        <v>1084</v>
      </c>
      <c r="C630" s="128" t="s">
        <v>137</v>
      </c>
      <c r="D630" s="128">
        <v>2006</v>
      </c>
      <c r="E630" s="128" t="s">
        <v>108</v>
      </c>
      <c r="F630" s="128" t="b">
        <v>1</v>
      </c>
      <c r="H630" s="128" t="s">
        <v>79</v>
      </c>
      <c r="I630" s="128">
        <v>5</v>
      </c>
      <c r="J630" s="128" t="b">
        <v>0</v>
      </c>
      <c r="L630" s="104">
        <v>6637034</v>
      </c>
      <c r="M630" s="128">
        <v>9999</v>
      </c>
      <c r="P630" s="101">
        <v>5</v>
      </c>
      <c r="Q630" s="101">
        <v>7</v>
      </c>
    </row>
    <row r="631" spans="1:17" ht="16.5">
      <c r="A631" s="18">
        <v>100583</v>
      </c>
      <c r="B631" s="144" t="s">
        <v>1085</v>
      </c>
      <c r="C631" s="128" t="s">
        <v>137</v>
      </c>
      <c r="D631" s="128">
        <v>2006</v>
      </c>
      <c r="E631" s="128" t="s">
        <v>108</v>
      </c>
      <c r="F631" s="128" t="b">
        <v>1</v>
      </c>
      <c r="H631" s="128" t="s">
        <v>79</v>
      </c>
      <c r="I631" s="128">
        <v>5</v>
      </c>
      <c r="J631" s="128" t="b">
        <v>0</v>
      </c>
      <c r="L631" s="104">
        <v>6637035</v>
      </c>
      <c r="M631" s="128">
        <v>9999</v>
      </c>
      <c r="P631" s="101">
        <v>5</v>
      </c>
      <c r="Q631" s="101">
        <v>7</v>
      </c>
    </row>
    <row r="632" spans="1:17" ht="16.5">
      <c r="A632" s="18">
        <v>100584</v>
      </c>
      <c r="B632" s="144" t="s">
        <v>1086</v>
      </c>
      <c r="C632" s="128" t="s">
        <v>137</v>
      </c>
      <c r="D632" s="128">
        <v>2006</v>
      </c>
      <c r="E632" s="128" t="s">
        <v>108</v>
      </c>
      <c r="F632" s="128" t="b">
        <v>1</v>
      </c>
      <c r="H632" s="128" t="s">
        <v>79</v>
      </c>
      <c r="I632" s="128">
        <v>5</v>
      </c>
      <c r="J632" s="128" t="b">
        <v>0</v>
      </c>
      <c r="L632" s="104">
        <v>6637036</v>
      </c>
      <c r="M632" s="128">
        <v>9999</v>
      </c>
      <c r="P632" s="101">
        <v>5</v>
      </c>
      <c r="Q632" s="101">
        <v>7</v>
      </c>
    </row>
    <row r="633" spans="1:17" ht="16.5">
      <c r="A633" s="18">
        <v>100585</v>
      </c>
      <c r="B633" s="144" t="s">
        <v>1087</v>
      </c>
      <c r="C633" s="128" t="s">
        <v>137</v>
      </c>
      <c r="D633" s="128">
        <v>2006</v>
      </c>
      <c r="E633" s="128" t="s">
        <v>108</v>
      </c>
      <c r="F633" s="128" t="b">
        <v>1</v>
      </c>
      <c r="H633" s="128" t="s">
        <v>79</v>
      </c>
      <c r="I633" s="128">
        <v>5</v>
      </c>
      <c r="J633" s="128" t="b">
        <v>0</v>
      </c>
      <c r="L633" s="104">
        <v>6637033</v>
      </c>
      <c r="M633" s="128">
        <v>9999</v>
      </c>
      <c r="P633" s="101">
        <v>5</v>
      </c>
      <c r="Q633" s="101">
        <v>7</v>
      </c>
    </row>
    <row r="634" spans="1:17" ht="16.5">
      <c r="A634" s="18">
        <v>100586</v>
      </c>
      <c r="B634" s="144" t="s">
        <v>1088</v>
      </c>
      <c r="C634" s="128" t="s">
        <v>137</v>
      </c>
      <c r="D634" s="128">
        <v>2006</v>
      </c>
      <c r="E634" s="128" t="s">
        <v>108</v>
      </c>
      <c r="F634" s="128" t="b">
        <v>1</v>
      </c>
      <c r="H634" s="128" t="s">
        <v>79</v>
      </c>
      <c r="I634" s="128">
        <v>5</v>
      </c>
      <c r="J634" s="128" t="b">
        <v>0</v>
      </c>
      <c r="L634" s="104">
        <v>6637034</v>
      </c>
      <c r="M634" s="128">
        <v>9999</v>
      </c>
      <c r="P634" s="101">
        <v>5</v>
      </c>
      <c r="Q634" s="101">
        <v>7</v>
      </c>
    </row>
    <row r="635" spans="1:17" ht="16.5">
      <c r="A635" s="18">
        <v>100587</v>
      </c>
      <c r="B635" s="144" t="s">
        <v>1089</v>
      </c>
      <c r="C635" s="128" t="s">
        <v>137</v>
      </c>
      <c r="D635" s="128">
        <v>2006</v>
      </c>
      <c r="E635" s="128" t="s">
        <v>108</v>
      </c>
      <c r="F635" s="128" t="b">
        <v>1</v>
      </c>
      <c r="H635" s="128" t="s">
        <v>79</v>
      </c>
      <c r="I635" s="128">
        <v>5</v>
      </c>
      <c r="J635" s="128" t="b">
        <v>0</v>
      </c>
      <c r="L635" s="104">
        <v>6637035</v>
      </c>
      <c r="M635" s="128">
        <v>9999</v>
      </c>
      <c r="P635" s="101">
        <v>5</v>
      </c>
      <c r="Q635" s="101">
        <v>7</v>
      </c>
    </row>
    <row r="636" spans="1:17" ht="16.5">
      <c r="A636" s="18">
        <v>100588</v>
      </c>
      <c r="B636" s="144" t="s">
        <v>1090</v>
      </c>
      <c r="C636" s="128" t="s">
        <v>137</v>
      </c>
      <c r="D636" s="128">
        <v>2006</v>
      </c>
      <c r="E636" s="128" t="s">
        <v>108</v>
      </c>
      <c r="F636" s="128" t="b">
        <v>1</v>
      </c>
      <c r="H636" s="128" t="s">
        <v>79</v>
      </c>
      <c r="I636" s="128">
        <v>5</v>
      </c>
      <c r="J636" s="128" t="b">
        <v>0</v>
      </c>
      <c r="L636" s="104">
        <v>6637036</v>
      </c>
      <c r="M636" s="128">
        <v>9999</v>
      </c>
      <c r="P636" s="101">
        <v>5</v>
      </c>
      <c r="Q636" s="101">
        <v>7</v>
      </c>
    </row>
    <row r="637" spans="1:17" ht="16.5">
      <c r="A637" s="18">
        <v>100589</v>
      </c>
      <c r="B637" s="144" t="s">
        <v>1091</v>
      </c>
      <c r="C637" s="128" t="s">
        <v>137</v>
      </c>
      <c r="D637" s="128">
        <v>2006</v>
      </c>
      <c r="E637" s="128" t="s">
        <v>108</v>
      </c>
      <c r="F637" s="128" t="b">
        <v>1</v>
      </c>
      <c r="H637" s="128" t="s">
        <v>79</v>
      </c>
      <c r="I637" s="128">
        <v>5</v>
      </c>
      <c r="J637" s="128" t="b">
        <v>0</v>
      </c>
      <c r="L637" s="104">
        <v>6637033</v>
      </c>
      <c r="M637" s="128">
        <v>9999</v>
      </c>
      <c r="P637" s="101">
        <v>5</v>
      </c>
      <c r="Q637" s="101">
        <v>7</v>
      </c>
    </row>
    <row r="638" spans="1:17" ht="16.5">
      <c r="A638" s="18">
        <v>100590</v>
      </c>
      <c r="B638" s="144" t="s">
        <v>1092</v>
      </c>
      <c r="C638" s="128" t="s">
        <v>137</v>
      </c>
      <c r="D638" s="128">
        <v>2006</v>
      </c>
      <c r="E638" s="128" t="s">
        <v>108</v>
      </c>
      <c r="F638" s="128" t="b">
        <v>1</v>
      </c>
      <c r="H638" s="128" t="s">
        <v>79</v>
      </c>
      <c r="I638" s="128">
        <v>5</v>
      </c>
      <c r="J638" s="128" t="b">
        <v>0</v>
      </c>
      <c r="L638" s="104">
        <v>6637034</v>
      </c>
      <c r="M638" s="128">
        <v>9999</v>
      </c>
      <c r="P638" s="101">
        <v>5</v>
      </c>
      <c r="Q638" s="101">
        <v>7</v>
      </c>
    </row>
    <row r="639" spans="1:17" ht="16.5">
      <c r="A639" s="18">
        <v>100591</v>
      </c>
      <c r="B639" s="144" t="s">
        <v>1093</v>
      </c>
      <c r="C639" s="128" t="s">
        <v>137</v>
      </c>
      <c r="D639" s="128">
        <v>2006</v>
      </c>
      <c r="E639" s="128" t="s">
        <v>108</v>
      </c>
      <c r="F639" s="128" t="b">
        <v>1</v>
      </c>
      <c r="H639" s="128" t="s">
        <v>79</v>
      </c>
      <c r="I639" s="128">
        <v>5</v>
      </c>
      <c r="J639" s="128" t="b">
        <v>0</v>
      </c>
      <c r="L639" s="104">
        <v>6637035</v>
      </c>
      <c r="M639" s="128">
        <v>9999</v>
      </c>
      <c r="P639" s="101">
        <v>5</v>
      </c>
      <c r="Q639" s="101">
        <v>7</v>
      </c>
    </row>
    <row r="640" spans="1:17" ht="16.5">
      <c r="A640" s="18">
        <v>100592</v>
      </c>
      <c r="B640" s="144" t="s">
        <v>1094</v>
      </c>
      <c r="C640" s="128" t="s">
        <v>137</v>
      </c>
      <c r="D640" s="128">
        <v>2006</v>
      </c>
      <c r="E640" s="128" t="s">
        <v>108</v>
      </c>
      <c r="F640" s="128" t="b">
        <v>1</v>
      </c>
      <c r="H640" s="128" t="s">
        <v>79</v>
      </c>
      <c r="I640" s="128">
        <v>5</v>
      </c>
      <c r="J640" s="128" t="b">
        <v>0</v>
      </c>
      <c r="L640" s="104">
        <v>6637036</v>
      </c>
      <c r="M640" s="128">
        <v>9999</v>
      </c>
      <c r="P640" s="101">
        <v>5</v>
      </c>
      <c r="Q640" s="101">
        <v>7</v>
      </c>
    </row>
    <row r="641" spans="1:17" ht="16.5">
      <c r="A641" s="18">
        <v>100593</v>
      </c>
      <c r="B641" s="144" t="s">
        <v>1095</v>
      </c>
      <c r="C641" s="128" t="s">
        <v>137</v>
      </c>
      <c r="D641" s="128">
        <v>2006</v>
      </c>
      <c r="E641" s="128" t="s">
        <v>108</v>
      </c>
      <c r="F641" s="128" t="b">
        <v>1</v>
      </c>
      <c r="H641" s="128" t="s">
        <v>79</v>
      </c>
      <c r="I641" s="128">
        <v>5</v>
      </c>
      <c r="J641" s="128" t="b">
        <v>0</v>
      </c>
      <c r="L641" s="104">
        <v>6637033</v>
      </c>
      <c r="M641" s="128">
        <v>9999</v>
      </c>
      <c r="P641" s="101">
        <v>5</v>
      </c>
      <c r="Q641" s="101">
        <v>7</v>
      </c>
    </row>
    <row r="642" spans="1:17" ht="16.5">
      <c r="A642" s="18">
        <v>100594</v>
      </c>
      <c r="B642" s="144" t="s">
        <v>1096</v>
      </c>
      <c r="C642" s="128" t="s">
        <v>137</v>
      </c>
      <c r="D642" s="128">
        <v>2006</v>
      </c>
      <c r="E642" s="128" t="s">
        <v>108</v>
      </c>
      <c r="F642" s="128" t="b">
        <v>1</v>
      </c>
      <c r="H642" s="128" t="s">
        <v>79</v>
      </c>
      <c r="I642" s="128">
        <v>5</v>
      </c>
      <c r="J642" s="128" t="b">
        <v>0</v>
      </c>
      <c r="L642" s="104">
        <v>6637034</v>
      </c>
      <c r="M642" s="128">
        <v>9999</v>
      </c>
      <c r="P642" s="101">
        <v>5</v>
      </c>
      <c r="Q642" s="101">
        <v>7</v>
      </c>
    </row>
    <row r="643" spans="1:17" ht="16.5">
      <c r="A643" s="18">
        <v>100595</v>
      </c>
      <c r="B643" s="144" t="s">
        <v>1097</v>
      </c>
      <c r="C643" s="128" t="s">
        <v>137</v>
      </c>
      <c r="D643" s="128">
        <v>2006</v>
      </c>
      <c r="E643" s="128" t="s">
        <v>108</v>
      </c>
      <c r="F643" s="128" t="b">
        <v>1</v>
      </c>
      <c r="H643" s="128" t="s">
        <v>79</v>
      </c>
      <c r="I643" s="128">
        <v>5</v>
      </c>
      <c r="J643" s="128" t="b">
        <v>0</v>
      </c>
      <c r="L643" s="104">
        <v>6637035</v>
      </c>
      <c r="M643" s="128">
        <v>9999</v>
      </c>
      <c r="P643" s="101">
        <v>5</v>
      </c>
      <c r="Q643" s="101">
        <v>7</v>
      </c>
    </row>
    <row r="644" spans="1:17" ht="16.5">
      <c r="A644" s="18">
        <v>100596</v>
      </c>
      <c r="B644" s="144" t="s">
        <v>1098</v>
      </c>
      <c r="C644" s="128" t="s">
        <v>137</v>
      </c>
      <c r="D644" s="128">
        <v>2006</v>
      </c>
      <c r="E644" s="128" t="s">
        <v>108</v>
      </c>
      <c r="F644" s="128" t="b">
        <v>1</v>
      </c>
      <c r="H644" s="128" t="s">
        <v>79</v>
      </c>
      <c r="I644" s="128">
        <v>5</v>
      </c>
      <c r="J644" s="128" t="b">
        <v>0</v>
      </c>
      <c r="L644" s="104">
        <v>6637036</v>
      </c>
      <c r="M644" s="128">
        <v>9999</v>
      </c>
      <c r="P644" s="101">
        <v>5</v>
      </c>
      <c r="Q644" s="101">
        <v>7</v>
      </c>
    </row>
    <row r="645" spans="1:17" ht="16.5">
      <c r="A645" s="18">
        <v>100597</v>
      </c>
      <c r="B645" s="144" t="s">
        <v>1099</v>
      </c>
      <c r="C645" s="128" t="s">
        <v>137</v>
      </c>
      <c r="D645" s="128">
        <v>2006</v>
      </c>
      <c r="E645" s="128" t="s">
        <v>108</v>
      </c>
      <c r="F645" s="128" t="b">
        <v>1</v>
      </c>
      <c r="H645" s="128" t="s">
        <v>79</v>
      </c>
      <c r="I645" s="128">
        <v>5</v>
      </c>
      <c r="J645" s="128" t="b">
        <v>0</v>
      </c>
      <c r="L645" s="104">
        <v>6637033</v>
      </c>
      <c r="M645" s="128">
        <v>9999</v>
      </c>
      <c r="P645" s="101">
        <v>5</v>
      </c>
      <c r="Q645" s="101">
        <v>7</v>
      </c>
    </row>
    <row r="646" spans="1:17" ht="16.5">
      <c r="A646" s="18">
        <v>100598</v>
      </c>
      <c r="B646" s="144" t="s">
        <v>1100</v>
      </c>
      <c r="C646" s="128" t="s">
        <v>137</v>
      </c>
      <c r="D646" s="128">
        <v>2006</v>
      </c>
      <c r="E646" s="128" t="s">
        <v>108</v>
      </c>
      <c r="F646" s="128" t="b">
        <v>1</v>
      </c>
      <c r="H646" s="128" t="s">
        <v>79</v>
      </c>
      <c r="I646" s="128">
        <v>5</v>
      </c>
      <c r="J646" s="128" t="b">
        <v>0</v>
      </c>
      <c r="L646" s="104">
        <v>6637034</v>
      </c>
      <c r="M646" s="128">
        <v>9999</v>
      </c>
      <c r="P646" s="101">
        <v>5</v>
      </c>
      <c r="Q646" s="101">
        <v>7</v>
      </c>
    </row>
    <row r="647" spans="1:17" ht="16.5">
      <c r="A647" s="18">
        <v>100599</v>
      </c>
      <c r="B647" s="144" t="s">
        <v>1101</v>
      </c>
      <c r="C647" s="128" t="s">
        <v>137</v>
      </c>
      <c r="D647" s="128">
        <v>2006</v>
      </c>
      <c r="E647" s="128" t="s">
        <v>108</v>
      </c>
      <c r="F647" s="128" t="b">
        <v>1</v>
      </c>
      <c r="H647" s="128" t="s">
        <v>79</v>
      </c>
      <c r="I647" s="128">
        <v>5</v>
      </c>
      <c r="J647" s="128" t="b">
        <v>0</v>
      </c>
      <c r="L647" s="104">
        <v>6637035</v>
      </c>
      <c r="M647" s="128">
        <v>9999</v>
      </c>
      <c r="P647" s="101">
        <v>5</v>
      </c>
      <c r="Q647" s="101">
        <v>7</v>
      </c>
    </row>
    <row r="648" spans="1:17" ht="16.5">
      <c r="A648" s="18">
        <v>100600</v>
      </c>
      <c r="B648" s="144" t="s">
        <v>1102</v>
      </c>
      <c r="C648" s="128" t="s">
        <v>137</v>
      </c>
      <c r="D648" s="128">
        <v>2006</v>
      </c>
      <c r="E648" s="128" t="s">
        <v>108</v>
      </c>
      <c r="F648" s="128" t="b">
        <v>1</v>
      </c>
      <c r="H648" s="128" t="s">
        <v>79</v>
      </c>
      <c r="I648" s="128">
        <v>5</v>
      </c>
      <c r="J648" s="128" t="b">
        <v>0</v>
      </c>
      <c r="L648" s="104">
        <v>6637036</v>
      </c>
      <c r="M648" s="128">
        <v>9999</v>
      </c>
      <c r="P648" s="101">
        <v>5</v>
      </c>
      <c r="Q648" s="101">
        <v>7</v>
      </c>
    </row>
    <row r="649" spans="1:17" ht="16.5">
      <c r="A649" s="18">
        <v>100601</v>
      </c>
      <c r="B649" s="144" t="s">
        <v>1103</v>
      </c>
      <c r="C649" s="128" t="s">
        <v>137</v>
      </c>
      <c r="D649" s="128">
        <v>2006</v>
      </c>
      <c r="E649" s="128" t="s">
        <v>108</v>
      </c>
      <c r="F649" s="128" t="b">
        <v>1</v>
      </c>
      <c r="H649" s="128" t="s">
        <v>79</v>
      </c>
      <c r="I649" s="128">
        <v>5</v>
      </c>
      <c r="J649" s="128" t="b">
        <v>0</v>
      </c>
      <c r="L649" s="104">
        <v>6637033</v>
      </c>
      <c r="M649" s="128">
        <v>9999</v>
      </c>
      <c r="P649" s="101">
        <v>5</v>
      </c>
      <c r="Q649" s="101">
        <v>7</v>
      </c>
    </row>
    <row r="650" spans="1:17" ht="16.5">
      <c r="A650" s="18">
        <v>100602</v>
      </c>
      <c r="B650" s="144" t="s">
        <v>1104</v>
      </c>
      <c r="C650" s="128" t="s">
        <v>137</v>
      </c>
      <c r="D650" s="128">
        <v>2006</v>
      </c>
      <c r="E650" s="128" t="s">
        <v>108</v>
      </c>
      <c r="F650" s="128" t="b">
        <v>1</v>
      </c>
      <c r="H650" s="128" t="s">
        <v>79</v>
      </c>
      <c r="I650" s="128">
        <v>5</v>
      </c>
      <c r="J650" s="128" t="b">
        <v>0</v>
      </c>
      <c r="L650" s="104">
        <v>6637034</v>
      </c>
      <c r="M650" s="128">
        <v>9999</v>
      </c>
      <c r="P650" s="101">
        <v>5</v>
      </c>
      <c r="Q650" s="101">
        <v>7</v>
      </c>
    </row>
    <row r="651" spans="1:17" ht="16.5">
      <c r="A651" s="18">
        <v>100603</v>
      </c>
      <c r="B651" s="144" t="s">
        <v>1105</v>
      </c>
      <c r="C651" s="128" t="s">
        <v>137</v>
      </c>
      <c r="D651" s="128">
        <v>2006</v>
      </c>
      <c r="E651" s="128" t="s">
        <v>108</v>
      </c>
      <c r="F651" s="128" t="b">
        <v>1</v>
      </c>
      <c r="H651" s="128" t="s">
        <v>79</v>
      </c>
      <c r="I651" s="128">
        <v>5</v>
      </c>
      <c r="J651" s="128" t="b">
        <v>0</v>
      </c>
      <c r="L651" s="104">
        <v>6637035</v>
      </c>
      <c r="M651" s="128">
        <v>9999</v>
      </c>
      <c r="P651" s="101">
        <v>5</v>
      </c>
      <c r="Q651" s="101">
        <v>7</v>
      </c>
    </row>
    <row r="652" spans="1:17" ht="16.5">
      <c r="A652" s="18">
        <v>100604</v>
      </c>
      <c r="B652" s="144" t="s">
        <v>1106</v>
      </c>
      <c r="C652" s="128" t="s">
        <v>137</v>
      </c>
      <c r="D652" s="128">
        <v>2006</v>
      </c>
      <c r="E652" s="128" t="s">
        <v>108</v>
      </c>
      <c r="F652" s="128" t="b">
        <v>1</v>
      </c>
      <c r="H652" s="128" t="s">
        <v>79</v>
      </c>
      <c r="I652" s="128">
        <v>5</v>
      </c>
      <c r="J652" s="128" t="b">
        <v>0</v>
      </c>
      <c r="L652" s="104">
        <v>6637036</v>
      </c>
      <c r="M652" s="128">
        <v>9999</v>
      </c>
      <c r="P652" s="101">
        <v>5</v>
      </c>
      <c r="Q652" s="101">
        <v>7</v>
      </c>
    </row>
    <row r="653" spans="1:17" ht="16.5">
      <c r="A653" s="18">
        <v>100605</v>
      </c>
      <c r="B653" s="144" t="s">
        <v>1107</v>
      </c>
      <c r="C653" s="128" t="s">
        <v>137</v>
      </c>
      <c r="D653" s="128">
        <v>2006</v>
      </c>
      <c r="E653" s="128" t="s">
        <v>108</v>
      </c>
      <c r="F653" s="128" t="b">
        <v>1</v>
      </c>
      <c r="H653" s="128" t="s">
        <v>79</v>
      </c>
      <c r="I653" s="128">
        <v>5</v>
      </c>
      <c r="J653" s="128" t="b">
        <v>0</v>
      </c>
      <c r="L653" s="104">
        <v>6637033</v>
      </c>
      <c r="M653" s="128">
        <v>9999</v>
      </c>
      <c r="P653" s="101">
        <v>5</v>
      </c>
      <c r="Q653" s="101">
        <v>7</v>
      </c>
    </row>
    <row r="654" spans="1:17" ht="16.5">
      <c r="A654" s="18">
        <v>100606</v>
      </c>
      <c r="B654" s="144" t="s">
        <v>1108</v>
      </c>
      <c r="C654" s="128" t="s">
        <v>137</v>
      </c>
      <c r="D654" s="128">
        <v>2006</v>
      </c>
      <c r="E654" s="128" t="s">
        <v>108</v>
      </c>
      <c r="F654" s="128" t="b">
        <v>1</v>
      </c>
      <c r="H654" s="128" t="s">
        <v>79</v>
      </c>
      <c r="I654" s="128">
        <v>5</v>
      </c>
      <c r="J654" s="128" t="b">
        <v>0</v>
      </c>
      <c r="L654" s="104">
        <v>6637034</v>
      </c>
      <c r="M654" s="128">
        <v>9999</v>
      </c>
      <c r="P654" s="101">
        <v>5</v>
      </c>
      <c r="Q654" s="101">
        <v>7</v>
      </c>
    </row>
    <row r="655" spans="1:17" ht="16.5">
      <c r="A655" s="18">
        <v>100607</v>
      </c>
      <c r="B655" s="144" t="s">
        <v>1109</v>
      </c>
      <c r="C655" s="128" t="s">
        <v>137</v>
      </c>
      <c r="D655" s="128">
        <v>2006</v>
      </c>
      <c r="E655" s="128" t="s">
        <v>108</v>
      </c>
      <c r="F655" s="128" t="b">
        <v>1</v>
      </c>
      <c r="H655" s="128" t="s">
        <v>79</v>
      </c>
      <c r="I655" s="128">
        <v>5</v>
      </c>
      <c r="J655" s="128" t="b">
        <v>0</v>
      </c>
      <c r="L655" s="104">
        <v>6637035</v>
      </c>
      <c r="M655" s="128">
        <v>9999</v>
      </c>
      <c r="P655" s="101">
        <v>5</v>
      </c>
      <c r="Q655" s="101">
        <v>7</v>
      </c>
    </row>
    <row r="656" spans="1:17" ht="16.5">
      <c r="A656" s="18">
        <v>100608</v>
      </c>
      <c r="B656" s="144" t="s">
        <v>1110</v>
      </c>
      <c r="C656" s="128" t="s">
        <v>137</v>
      </c>
      <c r="D656" s="128">
        <v>2006</v>
      </c>
      <c r="E656" s="128" t="s">
        <v>108</v>
      </c>
      <c r="F656" s="128" t="b">
        <v>1</v>
      </c>
      <c r="H656" s="128" t="s">
        <v>79</v>
      </c>
      <c r="I656" s="128">
        <v>5</v>
      </c>
      <c r="J656" s="128" t="b">
        <v>0</v>
      </c>
      <c r="L656" s="104">
        <v>6637036</v>
      </c>
      <c r="M656" s="128">
        <v>9999</v>
      </c>
      <c r="P656" s="101">
        <v>5</v>
      </c>
      <c r="Q656" s="101">
        <v>7</v>
      </c>
    </row>
    <row r="657" spans="1:17" ht="16.5">
      <c r="A657" s="18">
        <v>100609</v>
      </c>
      <c r="B657" s="144" t="s">
        <v>1111</v>
      </c>
      <c r="C657" s="128" t="s">
        <v>137</v>
      </c>
      <c r="D657" s="128">
        <v>2006</v>
      </c>
      <c r="E657" s="128" t="s">
        <v>108</v>
      </c>
      <c r="F657" s="128" t="b">
        <v>1</v>
      </c>
      <c r="H657" s="128" t="s">
        <v>79</v>
      </c>
      <c r="I657" s="128">
        <v>5</v>
      </c>
      <c r="J657" s="128" t="b">
        <v>0</v>
      </c>
      <c r="L657" s="104">
        <v>6637033</v>
      </c>
      <c r="M657" s="128">
        <v>9999</v>
      </c>
      <c r="P657" s="101">
        <v>5</v>
      </c>
      <c r="Q657" s="101">
        <v>7</v>
      </c>
    </row>
    <row r="658" spans="1:17" ht="16.5">
      <c r="A658" s="18">
        <v>100610</v>
      </c>
      <c r="B658" s="144" t="s">
        <v>1112</v>
      </c>
      <c r="C658" s="128" t="s">
        <v>137</v>
      </c>
      <c r="D658" s="128">
        <v>2006</v>
      </c>
      <c r="E658" s="128" t="s">
        <v>108</v>
      </c>
      <c r="F658" s="128" t="b">
        <v>1</v>
      </c>
      <c r="H658" s="128" t="s">
        <v>79</v>
      </c>
      <c r="I658" s="128">
        <v>5</v>
      </c>
      <c r="J658" s="128" t="b">
        <v>0</v>
      </c>
      <c r="L658" s="104">
        <v>6637034</v>
      </c>
      <c r="M658" s="128">
        <v>9999</v>
      </c>
      <c r="P658" s="101">
        <v>5</v>
      </c>
      <c r="Q658" s="101">
        <v>7</v>
      </c>
    </row>
    <row r="659" spans="1:17" ht="16.5">
      <c r="A659" s="18">
        <v>100611</v>
      </c>
      <c r="B659" s="144" t="s">
        <v>1113</v>
      </c>
      <c r="C659" s="128" t="s">
        <v>137</v>
      </c>
      <c r="D659" s="128">
        <v>2006</v>
      </c>
      <c r="E659" s="128" t="s">
        <v>108</v>
      </c>
      <c r="F659" s="128" t="b">
        <v>1</v>
      </c>
      <c r="H659" s="128" t="s">
        <v>79</v>
      </c>
      <c r="I659" s="128">
        <v>5</v>
      </c>
      <c r="J659" s="128" t="b">
        <v>0</v>
      </c>
      <c r="L659" s="104">
        <v>6637035</v>
      </c>
      <c r="M659" s="128">
        <v>9999</v>
      </c>
      <c r="P659" s="101">
        <v>5</v>
      </c>
      <c r="Q659" s="101">
        <v>7</v>
      </c>
    </row>
    <row r="660" spans="1:17" ht="16.5">
      <c r="A660" s="18">
        <v>100612</v>
      </c>
      <c r="B660" s="144" t="s">
        <v>1114</v>
      </c>
      <c r="C660" s="128" t="s">
        <v>137</v>
      </c>
      <c r="D660" s="128">
        <v>2006</v>
      </c>
      <c r="E660" s="128" t="s">
        <v>108</v>
      </c>
      <c r="F660" s="128" t="b">
        <v>1</v>
      </c>
      <c r="H660" s="128" t="s">
        <v>79</v>
      </c>
      <c r="I660" s="128">
        <v>5</v>
      </c>
      <c r="J660" s="128" t="b">
        <v>0</v>
      </c>
      <c r="L660" s="104">
        <v>6637036</v>
      </c>
      <c r="M660" s="128">
        <v>9999</v>
      </c>
      <c r="P660" s="101">
        <v>5</v>
      </c>
      <c r="Q660" s="101">
        <v>7</v>
      </c>
    </row>
    <row r="661" spans="1:17" ht="16.5">
      <c r="A661" s="18">
        <v>100613</v>
      </c>
      <c r="B661" s="144" t="s">
        <v>1115</v>
      </c>
      <c r="C661" s="128" t="s">
        <v>137</v>
      </c>
      <c r="D661" s="128">
        <v>2006</v>
      </c>
      <c r="E661" s="128" t="s">
        <v>108</v>
      </c>
      <c r="F661" s="128" t="b">
        <v>1</v>
      </c>
      <c r="H661" s="128" t="s">
        <v>79</v>
      </c>
      <c r="I661" s="128">
        <v>5</v>
      </c>
      <c r="J661" s="128" t="b">
        <v>0</v>
      </c>
      <c r="L661" s="104">
        <v>6637033</v>
      </c>
      <c r="M661" s="128">
        <v>9999</v>
      </c>
      <c r="P661" s="101">
        <v>5</v>
      </c>
      <c r="Q661" s="101">
        <v>7</v>
      </c>
    </row>
    <row r="662" spans="1:17" ht="16.5">
      <c r="A662" s="18">
        <v>100614</v>
      </c>
      <c r="B662" s="144" t="s">
        <v>1116</v>
      </c>
      <c r="C662" s="128" t="s">
        <v>137</v>
      </c>
      <c r="D662" s="128">
        <v>2006</v>
      </c>
      <c r="E662" s="128" t="s">
        <v>108</v>
      </c>
      <c r="F662" s="128" t="b">
        <v>1</v>
      </c>
      <c r="H662" s="128" t="s">
        <v>79</v>
      </c>
      <c r="I662" s="128">
        <v>5</v>
      </c>
      <c r="J662" s="128" t="b">
        <v>0</v>
      </c>
      <c r="L662" s="104">
        <v>6637034</v>
      </c>
      <c r="M662" s="128">
        <v>9999</v>
      </c>
      <c r="P662" s="101">
        <v>5</v>
      </c>
      <c r="Q662" s="101">
        <v>7</v>
      </c>
    </row>
    <row r="663" spans="1:17" ht="16.5">
      <c r="A663" s="18">
        <v>100615</v>
      </c>
      <c r="B663" s="144" t="s">
        <v>1117</v>
      </c>
      <c r="C663" s="128" t="s">
        <v>137</v>
      </c>
      <c r="D663" s="128">
        <v>2006</v>
      </c>
      <c r="E663" s="128" t="s">
        <v>108</v>
      </c>
      <c r="F663" s="128" t="b">
        <v>1</v>
      </c>
      <c r="H663" s="128" t="s">
        <v>79</v>
      </c>
      <c r="I663" s="128">
        <v>5</v>
      </c>
      <c r="J663" s="128" t="b">
        <v>0</v>
      </c>
      <c r="L663" s="104">
        <v>6637035</v>
      </c>
      <c r="M663" s="128">
        <v>9999</v>
      </c>
      <c r="P663" s="101">
        <v>5</v>
      </c>
      <c r="Q663" s="101">
        <v>7</v>
      </c>
    </row>
    <row r="664" spans="1:17" ht="16.5">
      <c r="A664" s="18">
        <v>100616</v>
      </c>
      <c r="B664" s="144" t="s">
        <v>1118</v>
      </c>
      <c r="C664" s="128" t="s">
        <v>137</v>
      </c>
      <c r="D664" s="128">
        <v>2006</v>
      </c>
      <c r="E664" s="128" t="s">
        <v>108</v>
      </c>
      <c r="F664" s="128" t="b">
        <v>1</v>
      </c>
      <c r="H664" s="128" t="s">
        <v>79</v>
      </c>
      <c r="I664" s="128">
        <v>5</v>
      </c>
      <c r="J664" s="128" t="b">
        <v>0</v>
      </c>
      <c r="L664" s="104">
        <v>6637036</v>
      </c>
      <c r="M664" s="128">
        <v>9999</v>
      </c>
      <c r="P664" s="101">
        <v>5</v>
      </c>
      <c r="Q664" s="101">
        <v>7</v>
      </c>
    </row>
    <row r="665" spans="1:17" ht="16.5">
      <c r="A665" s="18">
        <v>100617</v>
      </c>
      <c r="B665" s="144" t="s">
        <v>1119</v>
      </c>
      <c r="C665" s="128" t="s">
        <v>137</v>
      </c>
      <c r="D665" s="128">
        <v>2006</v>
      </c>
      <c r="E665" s="128" t="s">
        <v>108</v>
      </c>
      <c r="F665" s="128" t="b">
        <v>1</v>
      </c>
      <c r="H665" s="128" t="s">
        <v>79</v>
      </c>
      <c r="I665" s="128">
        <v>5</v>
      </c>
      <c r="J665" s="128" t="b">
        <v>0</v>
      </c>
      <c r="L665" s="104">
        <v>6637033</v>
      </c>
      <c r="M665" s="128">
        <v>9999</v>
      </c>
      <c r="P665" s="101">
        <v>5</v>
      </c>
      <c r="Q665" s="101">
        <v>7</v>
      </c>
    </row>
    <row r="666" spans="1:17" ht="16.5">
      <c r="A666" s="18">
        <v>100618</v>
      </c>
      <c r="B666" s="144" t="s">
        <v>1120</v>
      </c>
      <c r="C666" s="128" t="s">
        <v>137</v>
      </c>
      <c r="D666" s="128">
        <v>2006</v>
      </c>
      <c r="E666" s="128" t="s">
        <v>108</v>
      </c>
      <c r="F666" s="128" t="b">
        <v>1</v>
      </c>
      <c r="H666" s="128" t="s">
        <v>79</v>
      </c>
      <c r="I666" s="128">
        <v>5</v>
      </c>
      <c r="J666" s="128" t="b">
        <v>0</v>
      </c>
      <c r="L666" s="104">
        <v>6637034</v>
      </c>
      <c r="M666" s="128">
        <v>9999</v>
      </c>
      <c r="P666" s="101">
        <v>5</v>
      </c>
      <c r="Q666" s="101">
        <v>7</v>
      </c>
    </row>
    <row r="667" spans="1:17" ht="16.5">
      <c r="A667" s="18">
        <v>100619</v>
      </c>
      <c r="B667" s="144" t="s">
        <v>1121</v>
      </c>
      <c r="C667" s="128" t="s">
        <v>137</v>
      </c>
      <c r="D667" s="128">
        <v>2006</v>
      </c>
      <c r="E667" s="128" t="s">
        <v>108</v>
      </c>
      <c r="F667" s="128" t="b">
        <v>1</v>
      </c>
      <c r="H667" s="128" t="s">
        <v>79</v>
      </c>
      <c r="I667" s="128">
        <v>5</v>
      </c>
      <c r="J667" s="128" t="b">
        <v>0</v>
      </c>
      <c r="L667" s="104">
        <v>6637035</v>
      </c>
      <c r="M667" s="128">
        <v>9999</v>
      </c>
      <c r="P667" s="101">
        <v>5</v>
      </c>
      <c r="Q667" s="101">
        <v>7</v>
      </c>
    </row>
    <row r="668" spans="1:17" ht="16.5">
      <c r="A668" s="18">
        <v>100620</v>
      </c>
      <c r="B668" s="144" t="s">
        <v>1122</v>
      </c>
      <c r="C668" s="128" t="s">
        <v>137</v>
      </c>
      <c r="D668" s="128">
        <v>2006</v>
      </c>
      <c r="E668" s="128" t="s">
        <v>108</v>
      </c>
      <c r="F668" s="128" t="b">
        <v>1</v>
      </c>
      <c r="H668" s="128" t="s">
        <v>79</v>
      </c>
      <c r="I668" s="128">
        <v>5</v>
      </c>
      <c r="J668" s="128" t="b">
        <v>0</v>
      </c>
      <c r="L668" s="104">
        <v>6637036</v>
      </c>
      <c r="M668" s="128">
        <v>9999</v>
      </c>
      <c r="P668" s="101">
        <v>5</v>
      </c>
      <c r="Q668" s="101">
        <v>7</v>
      </c>
    </row>
    <row r="669" spans="1:17" ht="16.5">
      <c r="A669" s="18">
        <v>100621</v>
      </c>
      <c r="B669" s="144" t="s">
        <v>1123</v>
      </c>
      <c r="C669" s="128" t="s">
        <v>137</v>
      </c>
      <c r="D669" s="128">
        <v>2006</v>
      </c>
      <c r="E669" s="128" t="s">
        <v>108</v>
      </c>
      <c r="F669" s="128" t="b">
        <v>1</v>
      </c>
      <c r="H669" s="128" t="s">
        <v>79</v>
      </c>
      <c r="I669" s="128">
        <v>5</v>
      </c>
      <c r="J669" s="128" t="b">
        <v>0</v>
      </c>
      <c r="L669" s="104">
        <v>6637033</v>
      </c>
      <c r="M669" s="128">
        <v>9999</v>
      </c>
      <c r="P669" s="101">
        <v>5</v>
      </c>
      <c r="Q669" s="101">
        <v>7</v>
      </c>
    </row>
    <row r="670" spans="1:17" ht="16.5">
      <c r="A670" s="18">
        <v>100622</v>
      </c>
      <c r="B670" s="144" t="s">
        <v>1124</v>
      </c>
      <c r="C670" s="128" t="s">
        <v>137</v>
      </c>
      <c r="D670" s="128">
        <v>2006</v>
      </c>
      <c r="E670" s="128" t="s">
        <v>108</v>
      </c>
      <c r="F670" s="128" t="b">
        <v>1</v>
      </c>
      <c r="H670" s="128" t="s">
        <v>79</v>
      </c>
      <c r="I670" s="128">
        <v>5</v>
      </c>
      <c r="J670" s="128" t="b">
        <v>0</v>
      </c>
      <c r="L670" s="104">
        <v>6637034</v>
      </c>
      <c r="M670" s="128">
        <v>9999</v>
      </c>
      <c r="P670" s="101">
        <v>5</v>
      </c>
      <c r="Q670" s="101">
        <v>7</v>
      </c>
    </row>
    <row r="671" spans="1:17" ht="16.5">
      <c r="A671" s="18">
        <v>100623</v>
      </c>
      <c r="B671" s="144" t="s">
        <v>1125</v>
      </c>
      <c r="C671" s="128" t="s">
        <v>137</v>
      </c>
      <c r="D671" s="128">
        <v>2006</v>
      </c>
      <c r="E671" s="128" t="s">
        <v>108</v>
      </c>
      <c r="F671" s="128" t="b">
        <v>1</v>
      </c>
      <c r="H671" s="128" t="s">
        <v>79</v>
      </c>
      <c r="I671" s="128">
        <v>5</v>
      </c>
      <c r="J671" s="128" t="b">
        <v>0</v>
      </c>
      <c r="L671" s="104">
        <v>6637035</v>
      </c>
      <c r="M671" s="128">
        <v>9999</v>
      </c>
      <c r="P671" s="101">
        <v>5</v>
      </c>
      <c r="Q671" s="101">
        <v>7</v>
      </c>
    </row>
    <row r="672" spans="1:17" ht="16.5">
      <c r="A672" s="18">
        <v>100624</v>
      </c>
      <c r="B672" s="144" t="s">
        <v>1126</v>
      </c>
      <c r="C672" s="128" t="s">
        <v>137</v>
      </c>
      <c r="D672" s="128">
        <v>2006</v>
      </c>
      <c r="E672" s="128" t="s">
        <v>108</v>
      </c>
      <c r="F672" s="128" t="b">
        <v>1</v>
      </c>
      <c r="H672" s="128" t="s">
        <v>79</v>
      </c>
      <c r="I672" s="128">
        <v>5</v>
      </c>
      <c r="J672" s="128" t="b">
        <v>0</v>
      </c>
      <c r="L672" s="104">
        <v>6637036</v>
      </c>
      <c r="M672" s="128">
        <v>9999</v>
      </c>
      <c r="P672" s="101">
        <v>5</v>
      </c>
      <c r="Q672" s="101">
        <v>7</v>
      </c>
    </row>
    <row r="673" spans="1:17" ht="16.5">
      <c r="A673" s="18">
        <v>100625</v>
      </c>
      <c r="B673" s="144" t="s">
        <v>1127</v>
      </c>
      <c r="C673" s="128" t="s">
        <v>137</v>
      </c>
      <c r="D673" s="128">
        <v>2006</v>
      </c>
      <c r="E673" s="128" t="s">
        <v>108</v>
      </c>
      <c r="F673" s="128" t="b">
        <v>1</v>
      </c>
      <c r="H673" s="128" t="s">
        <v>79</v>
      </c>
      <c r="I673" s="128">
        <v>5</v>
      </c>
      <c r="J673" s="128" t="b">
        <v>0</v>
      </c>
      <c r="L673" s="104">
        <v>6637033</v>
      </c>
      <c r="M673" s="128">
        <v>9999</v>
      </c>
      <c r="P673" s="101">
        <v>5</v>
      </c>
      <c r="Q673" s="101">
        <v>7</v>
      </c>
    </row>
    <row r="674" spans="1:17" ht="16.5">
      <c r="A674" s="18">
        <v>100626</v>
      </c>
      <c r="B674" s="144" t="s">
        <v>1128</v>
      </c>
      <c r="C674" s="128" t="s">
        <v>137</v>
      </c>
      <c r="D674" s="128">
        <v>2006</v>
      </c>
      <c r="E674" s="128" t="s">
        <v>108</v>
      </c>
      <c r="F674" s="128" t="b">
        <v>1</v>
      </c>
      <c r="H674" s="128" t="s">
        <v>79</v>
      </c>
      <c r="I674" s="128">
        <v>5</v>
      </c>
      <c r="J674" s="128" t="b">
        <v>0</v>
      </c>
      <c r="L674" s="104">
        <v>6637034</v>
      </c>
      <c r="M674" s="128">
        <v>9999</v>
      </c>
      <c r="P674" s="101">
        <v>5</v>
      </c>
      <c r="Q674" s="101">
        <v>7</v>
      </c>
    </row>
    <row r="675" spans="1:17" ht="16.5">
      <c r="A675" s="18">
        <v>100627</v>
      </c>
      <c r="B675" s="144" t="s">
        <v>1129</v>
      </c>
      <c r="C675" s="128" t="s">
        <v>137</v>
      </c>
      <c r="D675" s="128">
        <v>2006</v>
      </c>
      <c r="E675" s="128" t="s">
        <v>108</v>
      </c>
      <c r="F675" s="128" t="b">
        <v>1</v>
      </c>
      <c r="H675" s="128" t="s">
        <v>79</v>
      </c>
      <c r="I675" s="128">
        <v>5</v>
      </c>
      <c r="J675" s="128" t="b">
        <v>0</v>
      </c>
      <c r="L675" s="104">
        <v>6637035</v>
      </c>
      <c r="M675" s="128">
        <v>9999</v>
      </c>
      <c r="P675" s="101">
        <v>5</v>
      </c>
      <c r="Q675" s="101">
        <v>7</v>
      </c>
    </row>
    <row r="676" spans="1:17" ht="16.5">
      <c r="A676" s="18">
        <v>100628</v>
      </c>
      <c r="B676" s="144" t="s">
        <v>1130</v>
      </c>
      <c r="C676" s="128" t="s">
        <v>137</v>
      </c>
      <c r="D676" s="128">
        <v>2006</v>
      </c>
      <c r="E676" s="128" t="s">
        <v>108</v>
      </c>
      <c r="F676" s="128" t="b">
        <v>1</v>
      </c>
      <c r="H676" s="128" t="s">
        <v>79</v>
      </c>
      <c r="I676" s="128">
        <v>5</v>
      </c>
      <c r="J676" s="128" t="b">
        <v>0</v>
      </c>
      <c r="L676" s="104">
        <v>6637036</v>
      </c>
      <c r="M676" s="128">
        <v>9999</v>
      </c>
      <c r="P676" s="101">
        <v>5</v>
      </c>
      <c r="Q676" s="101">
        <v>7</v>
      </c>
    </row>
    <row r="677" spans="1:17" ht="16.5">
      <c r="A677" s="18">
        <v>100629</v>
      </c>
      <c r="B677" s="144" t="s">
        <v>1131</v>
      </c>
      <c r="C677" s="128" t="s">
        <v>137</v>
      </c>
      <c r="D677" s="128">
        <v>2006</v>
      </c>
      <c r="E677" s="128" t="s">
        <v>108</v>
      </c>
      <c r="F677" s="128" t="b">
        <v>1</v>
      </c>
      <c r="H677" s="128" t="s">
        <v>79</v>
      </c>
      <c r="I677" s="128">
        <v>5</v>
      </c>
      <c r="J677" s="128" t="b">
        <v>0</v>
      </c>
      <c r="L677" s="104">
        <v>6637033</v>
      </c>
      <c r="M677" s="128">
        <v>9999</v>
      </c>
      <c r="P677" s="101">
        <v>5</v>
      </c>
      <c r="Q677" s="101">
        <v>7</v>
      </c>
    </row>
    <row r="678" spans="1:17" ht="16.5">
      <c r="A678" s="18">
        <v>100630</v>
      </c>
      <c r="B678" s="144" t="s">
        <v>1132</v>
      </c>
      <c r="C678" s="128" t="s">
        <v>137</v>
      </c>
      <c r="D678" s="128">
        <v>2006</v>
      </c>
      <c r="E678" s="128" t="s">
        <v>108</v>
      </c>
      <c r="F678" s="128" t="b">
        <v>1</v>
      </c>
      <c r="H678" s="128" t="s">
        <v>79</v>
      </c>
      <c r="I678" s="128">
        <v>5</v>
      </c>
      <c r="J678" s="128" t="b">
        <v>0</v>
      </c>
      <c r="L678" s="104">
        <v>6637034</v>
      </c>
      <c r="M678" s="128">
        <v>9999</v>
      </c>
      <c r="P678" s="101">
        <v>5</v>
      </c>
      <c r="Q678" s="101">
        <v>7</v>
      </c>
    </row>
    <row r="679" spans="1:17" ht="16.5">
      <c r="A679" s="18">
        <v>100631</v>
      </c>
      <c r="B679" s="144" t="s">
        <v>1133</v>
      </c>
      <c r="C679" s="128" t="s">
        <v>137</v>
      </c>
      <c r="D679" s="128">
        <v>2006</v>
      </c>
      <c r="E679" s="128" t="s">
        <v>108</v>
      </c>
      <c r="F679" s="128" t="b">
        <v>1</v>
      </c>
      <c r="H679" s="128" t="s">
        <v>79</v>
      </c>
      <c r="I679" s="128">
        <v>5</v>
      </c>
      <c r="J679" s="128" t="b">
        <v>0</v>
      </c>
      <c r="L679" s="104">
        <v>6637035</v>
      </c>
      <c r="M679" s="128">
        <v>9999</v>
      </c>
      <c r="P679" s="101">
        <v>5</v>
      </c>
      <c r="Q679" s="101">
        <v>7</v>
      </c>
    </row>
    <row r="680" spans="1:17" ht="16.5">
      <c r="A680" s="18">
        <v>100632</v>
      </c>
      <c r="B680" s="144" t="s">
        <v>1134</v>
      </c>
      <c r="C680" s="128" t="s">
        <v>137</v>
      </c>
      <c r="D680" s="128">
        <v>2006</v>
      </c>
      <c r="E680" s="128" t="s">
        <v>108</v>
      </c>
      <c r="F680" s="128" t="b">
        <v>1</v>
      </c>
      <c r="H680" s="128" t="s">
        <v>79</v>
      </c>
      <c r="I680" s="128">
        <v>5</v>
      </c>
      <c r="J680" s="128" t="b">
        <v>0</v>
      </c>
      <c r="L680" s="104">
        <v>6637036</v>
      </c>
      <c r="M680" s="128">
        <v>9999</v>
      </c>
      <c r="P680" s="101">
        <v>5</v>
      </c>
      <c r="Q680" s="101">
        <v>7</v>
      </c>
    </row>
    <row r="681" spans="1:17" ht="16.5">
      <c r="A681" s="18">
        <v>100633</v>
      </c>
      <c r="B681" s="144" t="s">
        <v>1135</v>
      </c>
      <c r="C681" s="128" t="s">
        <v>137</v>
      </c>
      <c r="D681" s="128">
        <v>2006</v>
      </c>
      <c r="E681" s="128" t="s">
        <v>108</v>
      </c>
      <c r="F681" s="128" t="b">
        <v>1</v>
      </c>
      <c r="H681" s="128" t="s">
        <v>79</v>
      </c>
      <c r="I681" s="128">
        <v>5</v>
      </c>
      <c r="J681" s="128" t="b">
        <v>0</v>
      </c>
      <c r="L681" s="104">
        <v>6637033</v>
      </c>
      <c r="M681" s="128">
        <v>9999</v>
      </c>
      <c r="P681" s="101">
        <v>5</v>
      </c>
      <c r="Q681" s="101">
        <v>7</v>
      </c>
    </row>
    <row r="682" spans="1:17" ht="16.5">
      <c r="A682" s="18">
        <v>100634</v>
      </c>
      <c r="B682" s="144" t="s">
        <v>1136</v>
      </c>
      <c r="C682" s="128" t="s">
        <v>137</v>
      </c>
      <c r="D682" s="128">
        <v>2006</v>
      </c>
      <c r="E682" s="128" t="s">
        <v>108</v>
      </c>
      <c r="F682" s="128" t="b">
        <v>1</v>
      </c>
      <c r="H682" s="128" t="s">
        <v>79</v>
      </c>
      <c r="I682" s="128">
        <v>5</v>
      </c>
      <c r="J682" s="128" t="b">
        <v>0</v>
      </c>
      <c r="L682" s="104">
        <v>6637034</v>
      </c>
      <c r="M682" s="128">
        <v>9999</v>
      </c>
      <c r="P682" s="101">
        <v>5</v>
      </c>
      <c r="Q682" s="101">
        <v>7</v>
      </c>
    </row>
    <row r="683" spans="1:17" ht="16.5">
      <c r="A683" s="18">
        <v>100635</v>
      </c>
      <c r="B683" s="144" t="s">
        <v>1137</v>
      </c>
      <c r="C683" s="128" t="s">
        <v>137</v>
      </c>
      <c r="D683" s="128">
        <v>2006</v>
      </c>
      <c r="E683" s="128" t="s">
        <v>108</v>
      </c>
      <c r="F683" s="128" t="b">
        <v>1</v>
      </c>
      <c r="H683" s="128" t="s">
        <v>79</v>
      </c>
      <c r="I683" s="128">
        <v>5</v>
      </c>
      <c r="J683" s="128" t="b">
        <v>0</v>
      </c>
      <c r="L683" s="104">
        <v>6637035</v>
      </c>
      <c r="M683" s="128">
        <v>9999</v>
      </c>
      <c r="P683" s="101">
        <v>5</v>
      </c>
      <c r="Q683" s="101">
        <v>7</v>
      </c>
    </row>
    <row r="684" spans="1:17" ht="16.5">
      <c r="A684" s="18">
        <v>100636</v>
      </c>
      <c r="B684" s="144" t="s">
        <v>1138</v>
      </c>
      <c r="C684" s="128" t="s">
        <v>137</v>
      </c>
      <c r="D684" s="128">
        <v>2006</v>
      </c>
      <c r="E684" s="128" t="s">
        <v>108</v>
      </c>
      <c r="F684" s="128" t="b">
        <v>1</v>
      </c>
      <c r="H684" s="128" t="s">
        <v>79</v>
      </c>
      <c r="I684" s="128">
        <v>5</v>
      </c>
      <c r="J684" s="128" t="b">
        <v>0</v>
      </c>
      <c r="L684" s="104">
        <v>6637036</v>
      </c>
      <c r="M684" s="128">
        <v>9999</v>
      </c>
      <c r="P684" s="101">
        <v>5</v>
      </c>
      <c r="Q684" s="101">
        <v>7</v>
      </c>
    </row>
    <row r="685" spans="1:17" ht="16.5">
      <c r="A685" s="18">
        <v>100637</v>
      </c>
      <c r="B685" s="144" t="s">
        <v>1139</v>
      </c>
      <c r="C685" s="128" t="s">
        <v>137</v>
      </c>
      <c r="D685" s="128">
        <v>2006</v>
      </c>
      <c r="E685" s="128" t="s">
        <v>108</v>
      </c>
      <c r="F685" s="128" t="b">
        <v>1</v>
      </c>
      <c r="H685" s="128" t="s">
        <v>79</v>
      </c>
      <c r="I685" s="128">
        <v>5</v>
      </c>
      <c r="J685" s="128" t="b">
        <v>0</v>
      </c>
      <c r="L685" s="104">
        <v>6637033</v>
      </c>
      <c r="M685" s="128">
        <v>9999</v>
      </c>
      <c r="P685" s="101">
        <v>5</v>
      </c>
      <c r="Q685" s="101">
        <v>7</v>
      </c>
    </row>
    <row r="686" spans="1:17" ht="16.5">
      <c r="A686" s="18">
        <v>100638</v>
      </c>
      <c r="B686" s="144" t="s">
        <v>1140</v>
      </c>
      <c r="C686" s="128" t="s">
        <v>137</v>
      </c>
      <c r="D686" s="128">
        <v>2006</v>
      </c>
      <c r="E686" s="128" t="s">
        <v>108</v>
      </c>
      <c r="F686" s="128" t="b">
        <v>1</v>
      </c>
      <c r="H686" s="128" t="s">
        <v>79</v>
      </c>
      <c r="I686" s="128">
        <v>5</v>
      </c>
      <c r="J686" s="128" t="b">
        <v>0</v>
      </c>
      <c r="L686" s="104">
        <v>6637034</v>
      </c>
      <c r="M686" s="128">
        <v>9999</v>
      </c>
      <c r="P686" s="101">
        <v>5</v>
      </c>
      <c r="Q686" s="101">
        <v>7</v>
      </c>
    </row>
    <row r="687" spans="1:17" ht="16.5">
      <c r="A687" s="18">
        <v>100639</v>
      </c>
      <c r="B687" s="144" t="s">
        <v>1141</v>
      </c>
      <c r="C687" s="128" t="s">
        <v>137</v>
      </c>
      <c r="D687" s="128">
        <v>2006</v>
      </c>
      <c r="E687" s="128" t="s">
        <v>108</v>
      </c>
      <c r="F687" s="128" t="b">
        <v>1</v>
      </c>
      <c r="H687" s="128" t="s">
        <v>79</v>
      </c>
      <c r="I687" s="128">
        <v>5</v>
      </c>
      <c r="J687" s="128" t="b">
        <v>0</v>
      </c>
      <c r="L687" s="104">
        <v>6637035</v>
      </c>
      <c r="M687" s="128">
        <v>9999</v>
      </c>
      <c r="P687" s="101">
        <v>5</v>
      </c>
      <c r="Q687" s="101">
        <v>7</v>
      </c>
    </row>
    <row r="688" spans="1:17" ht="16.5">
      <c r="A688" s="18">
        <v>100640</v>
      </c>
      <c r="B688" s="144" t="s">
        <v>1142</v>
      </c>
      <c r="C688" s="128" t="s">
        <v>137</v>
      </c>
      <c r="D688" s="128">
        <v>2006</v>
      </c>
      <c r="E688" s="128" t="s">
        <v>108</v>
      </c>
      <c r="F688" s="128" t="b">
        <v>1</v>
      </c>
      <c r="H688" s="128" t="s">
        <v>79</v>
      </c>
      <c r="I688" s="128">
        <v>5</v>
      </c>
      <c r="J688" s="128" t="b">
        <v>0</v>
      </c>
      <c r="L688" s="104">
        <v>6637036</v>
      </c>
      <c r="M688" s="128">
        <v>9999</v>
      </c>
      <c r="P688" s="101">
        <v>5</v>
      </c>
      <c r="Q688" s="101">
        <v>7</v>
      </c>
    </row>
    <row r="689" spans="1:17" ht="16.5">
      <c r="A689" s="18">
        <v>100641</v>
      </c>
      <c r="B689" s="144" t="s">
        <v>1143</v>
      </c>
      <c r="C689" s="128" t="s">
        <v>137</v>
      </c>
      <c r="D689" s="128">
        <v>2006</v>
      </c>
      <c r="E689" s="128" t="s">
        <v>108</v>
      </c>
      <c r="F689" s="128" t="b">
        <v>1</v>
      </c>
      <c r="H689" s="128" t="s">
        <v>79</v>
      </c>
      <c r="I689" s="128">
        <v>5</v>
      </c>
      <c r="J689" s="128" t="b">
        <v>0</v>
      </c>
      <c r="L689" s="104">
        <v>6637033</v>
      </c>
      <c r="M689" s="128">
        <v>9999</v>
      </c>
      <c r="P689" s="101">
        <v>5</v>
      </c>
      <c r="Q689" s="101">
        <v>7</v>
      </c>
    </row>
    <row r="690" spans="1:17" ht="16.5">
      <c r="A690" s="18">
        <v>100642</v>
      </c>
      <c r="B690" s="144" t="s">
        <v>1144</v>
      </c>
      <c r="C690" s="128" t="s">
        <v>137</v>
      </c>
      <c r="D690" s="128">
        <v>2006</v>
      </c>
      <c r="E690" s="128" t="s">
        <v>108</v>
      </c>
      <c r="F690" s="128" t="b">
        <v>1</v>
      </c>
      <c r="H690" s="128" t="s">
        <v>79</v>
      </c>
      <c r="I690" s="128">
        <v>5</v>
      </c>
      <c r="J690" s="128" t="b">
        <v>0</v>
      </c>
      <c r="L690" s="104">
        <v>6637034</v>
      </c>
      <c r="M690" s="128">
        <v>9999</v>
      </c>
      <c r="P690" s="101">
        <v>5</v>
      </c>
      <c r="Q690" s="101">
        <v>7</v>
      </c>
    </row>
    <row r="691" spans="1:17" ht="16.5">
      <c r="A691" s="18">
        <v>100643</v>
      </c>
      <c r="B691" s="144" t="s">
        <v>1145</v>
      </c>
      <c r="C691" s="128" t="s">
        <v>137</v>
      </c>
      <c r="D691" s="128">
        <v>2006</v>
      </c>
      <c r="E691" s="128" t="s">
        <v>108</v>
      </c>
      <c r="F691" s="128" t="b">
        <v>1</v>
      </c>
      <c r="H691" s="128" t="s">
        <v>79</v>
      </c>
      <c r="I691" s="128">
        <v>5</v>
      </c>
      <c r="J691" s="128" t="b">
        <v>0</v>
      </c>
      <c r="L691" s="104">
        <v>6637035</v>
      </c>
      <c r="M691" s="128">
        <v>9999</v>
      </c>
      <c r="P691" s="101">
        <v>5</v>
      </c>
      <c r="Q691" s="101">
        <v>7</v>
      </c>
    </row>
    <row r="692" spans="1:17" ht="16.5">
      <c r="A692" s="18">
        <v>100644</v>
      </c>
      <c r="B692" s="144" t="s">
        <v>1146</v>
      </c>
      <c r="C692" s="128" t="s">
        <v>137</v>
      </c>
      <c r="D692" s="128">
        <v>2006</v>
      </c>
      <c r="E692" s="128" t="s">
        <v>108</v>
      </c>
      <c r="F692" s="128" t="b">
        <v>1</v>
      </c>
      <c r="H692" s="128" t="s">
        <v>79</v>
      </c>
      <c r="I692" s="128">
        <v>5</v>
      </c>
      <c r="J692" s="128" t="b">
        <v>0</v>
      </c>
      <c r="L692" s="104">
        <v>6637036</v>
      </c>
      <c r="M692" s="128">
        <v>9999</v>
      </c>
      <c r="P692" s="101">
        <v>5</v>
      </c>
      <c r="Q692" s="101">
        <v>7</v>
      </c>
    </row>
    <row r="693" spans="1:17" ht="16.5">
      <c r="A693" s="18">
        <v>100645</v>
      </c>
      <c r="B693" s="144" t="s">
        <v>1147</v>
      </c>
      <c r="C693" s="128" t="s">
        <v>137</v>
      </c>
      <c r="D693" s="128">
        <v>2006</v>
      </c>
      <c r="E693" s="128" t="s">
        <v>108</v>
      </c>
      <c r="F693" s="128" t="b">
        <v>1</v>
      </c>
      <c r="H693" s="128" t="s">
        <v>79</v>
      </c>
      <c r="I693" s="128">
        <v>5</v>
      </c>
      <c r="J693" s="128" t="b">
        <v>0</v>
      </c>
      <c r="L693" s="104">
        <v>6637033</v>
      </c>
      <c r="M693" s="128">
        <v>9999</v>
      </c>
      <c r="P693" s="101">
        <v>5</v>
      </c>
      <c r="Q693" s="101">
        <v>7</v>
      </c>
    </row>
    <row r="694" spans="1:17" ht="16.5">
      <c r="A694" s="18">
        <v>100646</v>
      </c>
      <c r="B694" s="144" t="s">
        <v>1148</v>
      </c>
      <c r="C694" s="128" t="s">
        <v>137</v>
      </c>
      <c r="D694" s="128">
        <v>2006</v>
      </c>
      <c r="E694" s="128" t="s">
        <v>108</v>
      </c>
      <c r="F694" s="128" t="b">
        <v>1</v>
      </c>
      <c r="H694" s="128" t="s">
        <v>79</v>
      </c>
      <c r="I694" s="128">
        <v>5</v>
      </c>
      <c r="J694" s="128" t="b">
        <v>0</v>
      </c>
      <c r="L694" s="104">
        <v>6637034</v>
      </c>
      <c r="M694" s="128">
        <v>9999</v>
      </c>
      <c r="P694" s="101">
        <v>5</v>
      </c>
      <c r="Q694" s="101">
        <v>7</v>
      </c>
    </row>
    <row r="695" spans="1:17" ht="16.5">
      <c r="A695" s="18">
        <v>100647</v>
      </c>
      <c r="B695" s="144" t="s">
        <v>1149</v>
      </c>
      <c r="C695" s="128" t="s">
        <v>137</v>
      </c>
      <c r="D695" s="128">
        <v>2006</v>
      </c>
      <c r="E695" s="128" t="s">
        <v>108</v>
      </c>
      <c r="F695" s="128" t="b">
        <v>1</v>
      </c>
      <c r="H695" s="128" t="s">
        <v>79</v>
      </c>
      <c r="I695" s="128">
        <v>5</v>
      </c>
      <c r="J695" s="128" t="b">
        <v>0</v>
      </c>
      <c r="L695" s="104">
        <v>6637035</v>
      </c>
      <c r="M695" s="128">
        <v>9999</v>
      </c>
      <c r="P695" s="101">
        <v>5</v>
      </c>
      <c r="Q695" s="101">
        <v>7</v>
      </c>
    </row>
    <row r="696" spans="1:17" ht="16.5">
      <c r="A696" s="18">
        <v>100648</v>
      </c>
      <c r="B696" s="144" t="s">
        <v>1150</v>
      </c>
      <c r="C696" s="128" t="s">
        <v>137</v>
      </c>
      <c r="D696" s="128">
        <v>2006</v>
      </c>
      <c r="E696" s="128" t="s">
        <v>108</v>
      </c>
      <c r="F696" s="128" t="b">
        <v>1</v>
      </c>
      <c r="H696" s="128" t="s">
        <v>79</v>
      </c>
      <c r="I696" s="128">
        <v>5</v>
      </c>
      <c r="J696" s="128" t="b">
        <v>0</v>
      </c>
      <c r="L696" s="104">
        <v>6637036</v>
      </c>
      <c r="M696" s="128">
        <v>9999</v>
      </c>
      <c r="P696" s="101">
        <v>5</v>
      </c>
      <c r="Q696" s="101">
        <v>7</v>
      </c>
    </row>
    <row r="697" spans="1:17" ht="16.5">
      <c r="A697" s="18">
        <v>100649</v>
      </c>
      <c r="B697" s="144" t="s">
        <v>1151</v>
      </c>
      <c r="C697" s="128" t="s">
        <v>137</v>
      </c>
      <c r="D697" s="128">
        <v>2006</v>
      </c>
      <c r="E697" s="128" t="s">
        <v>108</v>
      </c>
      <c r="F697" s="128" t="b">
        <v>1</v>
      </c>
      <c r="H697" s="128" t="s">
        <v>79</v>
      </c>
      <c r="I697" s="128">
        <v>5</v>
      </c>
      <c r="J697" s="128" t="b">
        <v>0</v>
      </c>
      <c r="L697" s="104">
        <v>6637033</v>
      </c>
      <c r="M697" s="128">
        <v>9999</v>
      </c>
      <c r="P697" s="101">
        <v>5</v>
      </c>
      <c r="Q697" s="101">
        <v>7</v>
      </c>
    </row>
    <row r="698" spans="1:17" ht="16.5">
      <c r="A698" s="18">
        <v>100650</v>
      </c>
      <c r="B698" s="144" t="s">
        <v>1152</v>
      </c>
      <c r="C698" s="128" t="s">
        <v>137</v>
      </c>
      <c r="D698" s="128">
        <v>2006</v>
      </c>
      <c r="E698" s="128" t="s">
        <v>108</v>
      </c>
      <c r="F698" s="128" t="b">
        <v>1</v>
      </c>
      <c r="H698" s="128" t="s">
        <v>79</v>
      </c>
      <c r="I698" s="128">
        <v>5</v>
      </c>
      <c r="J698" s="128" t="b">
        <v>0</v>
      </c>
      <c r="L698" s="104">
        <v>6637034</v>
      </c>
      <c r="M698" s="128">
        <v>9999</v>
      </c>
      <c r="P698" s="101">
        <v>5</v>
      </c>
      <c r="Q698" s="101">
        <v>7</v>
      </c>
    </row>
    <row r="699" spans="1:17" ht="16.5">
      <c r="A699" s="18">
        <v>100651</v>
      </c>
      <c r="B699" s="144" t="s">
        <v>1153</v>
      </c>
      <c r="C699" s="128" t="s">
        <v>137</v>
      </c>
      <c r="D699" s="128">
        <v>2006</v>
      </c>
      <c r="E699" s="128" t="s">
        <v>108</v>
      </c>
      <c r="F699" s="128" t="b">
        <v>1</v>
      </c>
      <c r="H699" s="128" t="s">
        <v>79</v>
      </c>
      <c r="I699" s="128">
        <v>5</v>
      </c>
      <c r="J699" s="128" t="b">
        <v>0</v>
      </c>
      <c r="L699" s="104">
        <v>6637035</v>
      </c>
      <c r="M699" s="128">
        <v>9999</v>
      </c>
      <c r="P699" s="101">
        <v>5</v>
      </c>
      <c r="Q699" s="101">
        <v>7</v>
      </c>
    </row>
    <row r="700" spans="1:17" ht="16.5">
      <c r="A700" s="18">
        <v>100652</v>
      </c>
      <c r="B700" s="144" t="s">
        <v>1154</v>
      </c>
      <c r="C700" s="128" t="s">
        <v>137</v>
      </c>
      <c r="D700" s="128">
        <v>2006</v>
      </c>
      <c r="E700" s="128" t="s">
        <v>108</v>
      </c>
      <c r="F700" s="128" t="b">
        <v>1</v>
      </c>
      <c r="H700" s="128" t="s">
        <v>79</v>
      </c>
      <c r="I700" s="128">
        <v>5</v>
      </c>
      <c r="J700" s="128" t="b">
        <v>0</v>
      </c>
      <c r="L700" s="104">
        <v>6637036</v>
      </c>
      <c r="M700" s="128">
        <v>9999</v>
      </c>
      <c r="P700" s="101">
        <v>5</v>
      </c>
      <c r="Q700" s="101">
        <v>7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V143"/>
  <sheetViews>
    <sheetView topLeftCell="A85" zoomScale="130" zoomScaleNormal="130" workbookViewId="0">
      <selection activeCell="D94" sqref="D94"/>
    </sheetView>
  </sheetViews>
  <sheetFormatPr defaultColWidth="9" defaultRowHeight="16.5"/>
  <cols>
    <col min="1" max="1" width="21.69140625" customWidth="1"/>
    <col min="2" max="2" width="20.07421875" customWidth="1"/>
    <col min="3" max="4" width="10.07421875" customWidth="1"/>
    <col min="5" max="5" width="14.4609375" customWidth="1"/>
    <col min="6" max="6" width="23.3046875" customWidth="1"/>
  </cols>
  <sheetData>
    <row r="1" spans="1:308">
      <c r="A1" s="86" t="s">
        <v>364</v>
      </c>
      <c r="B1" s="87"/>
      <c r="C1" s="87"/>
      <c r="D1" s="87"/>
      <c r="E1" s="87"/>
      <c r="F1" s="87"/>
      <c r="G1" s="88"/>
    </row>
    <row r="2" spans="1:308">
      <c r="A2" s="89" t="s">
        <v>365</v>
      </c>
      <c r="B2" s="90" t="s">
        <v>47</v>
      </c>
      <c r="C2" s="90" t="s">
        <v>366</v>
      </c>
      <c r="D2" s="90" t="s">
        <v>367</v>
      </c>
      <c r="E2" s="90" t="s">
        <v>368</v>
      </c>
      <c r="F2" s="90" t="s">
        <v>369</v>
      </c>
    </row>
    <row r="3" spans="1:308">
      <c r="A3" s="91" t="s">
        <v>13</v>
      </c>
      <c r="B3" s="92" t="s">
        <v>370</v>
      </c>
      <c r="C3" s="92"/>
      <c r="D3" s="92"/>
      <c r="E3" s="92" t="s">
        <v>371</v>
      </c>
      <c r="F3" s="93" t="s">
        <v>372</v>
      </c>
    </row>
    <row r="4" spans="1:308" s="84" customFormat="1">
      <c r="A4" s="88">
        <v>1</v>
      </c>
      <c r="B4" s="88">
        <v>3006</v>
      </c>
      <c r="C4" s="88" t="str">
        <f>VLOOKUP(B4,探索事件!A:C,3,FALSE)</f>
        <v>白</v>
      </c>
      <c r="D4" s="88" t="str">
        <f>VLOOKUP(B4,探索事件!A:E,5,FALSE)</f>
        <v>大地图战斗</v>
      </c>
      <c r="E4" s="88">
        <v>20</v>
      </c>
      <c r="F4" s="88">
        <v>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</row>
    <row r="5" spans="1:308" s="2" customFormat="1">
      <c r="A5" s="88">
        <v>2</v>
      </c>
      <c r="B5" s="88">
        <v>1000</v>
      </c>
      <c r="C5" s="88" t="str">
        <f>VLOOKUP(B5,探索事件!A:C,3,FALSE)</f>
        <v>白</v>
      </c>
      <c r="D5" s="88" t="str">
        <f>VLOOKUP(B5,探索事件!A:E,5,FALSE)</f>
        <v>对话</v>
      </c>
      <c r="E5" s="88">
        <v>100</v>
      </c>
      <c r="F5" s="88">
        <v>1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</row>
    <row r="6" spans="1:308" s="2" customFormat="1">
      <c r="A6" s="88"/>
      <c r="B6" s="88">
        <v>4000</v>
      </c>
      <c r="C6" s="88" t="str">
        <f>VLOOKUP(B6,探索事件!A:C,3,FALSE)</f>
        <v>白</v>
      </c>
      <c r="D6" s="88" t="str">
        <f>VLOOKUP(B6,探索事件!A:E,5,FALSE)</f>
        <v>大地图探索</v>
      </c>
      <c r="E6" s="88">
        <v>100</v>
      </c>
      <c r="F6" s="88">
        <v>1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</row>
    <row r="7" spans="1:308" s="2" customFormat="1">
      <c r="A7" s="88">
        <v>3</v>
      </c>
      <c r="B7" s="88">
        <v>3002</v>
      </c>
      <c r="C7" s="88" t="str">
        <f>VLOOKUP(B7,探索事件!A:C,3,FALSE)</f>
        <v>绿</v>
      </c>
      <c r="D7" s="88" t="str">
        <f>VLOOKUP(B7,探索事件!A:E,5,FALSE)</f>
        <v>大地图战斗</v>
      </c>
      <c r="E7" s="88">
        <v>100</v>
      </c>
      <c r="F7" s="88">
        <v>1</v>
      </c>
      <c r="G7"/>
    </row>
    <row r="8" spans="1:308" s="2" customFormat="1">
      <c r="A8" s="88"/>
      <c r="B8" s="88">
        <v>4001</v>
      </c>
      <c r="C8" s="88" t="str">
        <f>VLOOKUP(B8,探索事件!A:C,3,FALSE)</f>
        <v>绿</v>
      </c>
      <c r="D8" s="88" t="str">
        <f>VLOOKUP(B8,探索事件!A:E,5,FALSE)</f>
        <v>大地图探索</v>
      </c>
      <c r="E8" s="88">
        <v>100</v>
      </c>
      <c r="F8" s="88">
        <v>1</v>
      </c>
      <c r="G8"/>
    </row>
    <row r="9" spans="1:308" s="2" customFormat="1">
      <c r="A9" s="88"/>
      <c r="B9" s="88">
        <v>4002</v>
      </c>
      <c r="C9" s="88" t="str">
        <f>VLOOKUP(B9,探索事件!A:C,3,FALSE)</f>
        <v>蓝</v>
      </c>
      <c r="D9" s="88" t="str">
        <f>VLOOKUP(B9,探索事件!A:E,5,FALSE)</f>
        <v>大地图探索</v>
      </c>
      <c r="E9" s="88">
        <v>100</v>
      </c>
      <c r="F9" s="88">
        <v>1</v>
      </c>
      <c r="G9"/>
    </row>
    <row r="10" spans="1:308" s="2" customFormat="1">
      <c r="A10" s="88">
        <v>4</v>
      </c>
      <c r="B10" s="88">
        <v>3003</v>
      </c>
      <c r="C10" s="88" t="str">
        <f>VLOOKUP(B10,探索事件!A:C,3,FALSE)</f>
        <v>蓝</v>
      </c>
      <c r="D10" s="88" t="str">
        <f>VLOOKUP(B10,探索事件!A:E,5,FALSE)</f>
        <v>大地图战斗</v>
      </c>
      <c r="E10" s="88">
        <v>100</v>
      </c>
      <c r="F10" s="88">
        <v>1</v>
      </c>
      <c r="G10"/>
    </row>
    <row r="11" spans="1:308" s="2" customFormat="1">
      <c r="A11" s="88"/>
      <c r="B11" s="88">
        <v>4001</v>
      </c>
      <c r="C11" s="88" t="str">
        <f>VLOOKUP(B11,探索事件!A:C,3,FALSE)</f>
        <v>绿</v>
      </c>
      <c r="D11" s="88" t="str">
        <f>VLOOKUP(B11,探索事件!A:E,5,FALSE)</f>
        <v>大地图探索</v>
      </c>
      <c r="E11" s="88">
        <v>100</v>
      </c>
      <c r="F11" s="88">
        <v>1</v>
      </c>
      <c r="G11"/>
    </row>
    <row r="12" spans="1:308" s="2" customFormat="1">
      <c r="A12" s="88"/>
      <c r="B12" s="88">
        <v>4002</v>
      </c>
      <c r="C12" s="88" t="str">
        <f>VLOOKUP(B12,探索事件!A:C,3,FALSE)</f>
        <v>蓝</v>
      </c>
      <c r="D12" s="88" t="str">
        <f>VLOOKUP(B12,探索事件!A:E,5,FALSE)</f>
        <v>大地图探索</v>
      </c>
      <c r="E12" s="88">
        <v>100</v>
      </c>
      <c r="F12" s="88">
        <v>1</v>
      </c>
      <c r="G12"/>
    </row>
    <row r="13" spans="1:308" s="2" customFormat="1">
      <c r="A13" s="88"/>
      <c r="B13" s="88">
        <v>2000</v>
      </c>
      <c r="C13" s="88" t="str">
        <f>VLOOKUP(B13,探索事件!A:C,3,FALSE)</f>
        <v>白</v>
      </c>
      <c r="D13" s="88" t="str">
        <f>VLOOKUP(B13,探索事件!A:E,5,FALSE)</f>
        <v>委任</v>
      </c>
      <c r="E13" s="88">
        <v>100</v>
      </c>
      <c r="F13" s="88">
        <v>1</v>
      </c>
      <c r="G13"/>
    </row>
    <row r="14" spans="1:308" s="2" customFormat="1">
      <c r="A14" s="88">
        <v>5</v>
      </c>
      <c r="B14" s="88">
        <v>3003</v>
      </c>
      <c r="C14" s="88" t="str">
        <f>VLOOKUP(B14,探索事件!A:C,3,FALSE)</f>
        <v>蓝</v>
      </c>
      <c r="D14" s="88" t="str">
        <f>VLOOKUP(B14,探索事件!A:E,5,FALSE)</f>
        <v>大地图战斗</v>
      </c>
      <c r="E14" s="88">
        <v>100</v>
      </c>
      <c r="F14" s="88">
        <v>1</v>
      </c>
      <c r="G14"/>
    </row>
    <row r="15" spans="1:308" s="2" customFormat="1">
      <c r="A15" s="88"/>
      <c r="B15" s="88">
        <v>3003</v>
      </c>
      <c r="C15" s="88" t="str">
        <f>VLOOKUP(B15,探索事件!A:C,3,FALSE)</f>
        <v>蓝</v>
      </c>
      <c r="D15" s="88" t="str">
        <f>VLOOKUP(B15,探索事件!A:E,5,FALSE)</f>
        <v>大地图战斗</v>
      </c>
      <c r="E15" s="88">
        <v>100</v>
      </c>
      <c r="F15" s="88">
        <v>1</v>
      </c>
      <c r="G15"/>
    </row>
    <row r="16" spans="1:308">
      <c r="A16" s="88"/>
      <c r="B16" s="88">
        <v>4002</v>
      </c>
      <c r="C16" s="88" t="str">
        <f>VLOOKUP(B16,探索事件!A:C,3,FALSE)</f>
        <v>蓝</v>
      </c>
      <c r="D16" s="88" t="str">
        <f>VLOOKUP(B16,探索事件!A:E,5,FALSE)</f>
        <v>大地图探索</v>
      </c>
      <c r="E16" s="88">
        <v>100</v>
      </c>
      <c r="F16" s="88">
        <v>1</v>
      </c>
      <c r="G16" s="88"/>
    </row>
    <row r="17" spans="1:7">
      <c r="A17" s="88"/>
      <c r="B17" s="88">
        <v>4002</v>
      </c>
      <c r="C17" s="88" t="str">
        <f>VLOOKUP(B17,探索事件!A:C,3,FALSE)</f>
        <v>蓝</v>
      </c>
      <c r="D17" s="88" t="str">
        <f>VLOOKUP(B17,探索事件!A:E,5,FALSE)</f>
        <v>大地图探索</v>
      </c>
      <c r="E17" s="88">
        <v>100</v>
      </c>
      <c r="F17" s="88">
        <v>1</v>
      </c>
      <c r="G17" s="88"/>
    </row>
    <row r="18" spans="1:7">
      <c r="B18" s="88">
        <v>2002</v>
      </c>
      <c r="C18" s="88" t="str">
        <f>VLOOKUP(B18,探索事件!A:C,3,FALSE)</f>
        <v>绿</v>
      </c>
      <c r="D18" s="88" t="str">
        <f>VLOOKUP(B18,探索事件!A:E,5,FALSE)</f>
        <v>委任</v>
      </c>
      <c r="E18" s="88">
        <v>100</v>
      </c>
      <c r="F18" s="88">
        <v>1</v>
      </c>
      <c r="G18" s="88"/>
    </row>
    <row r="19" spans="1:7" s="85" customFormat="1">
      <c r="A19" s="94">
        <v>6</v>
      </c>
      <c r="B19" s="94">
        <v>2004</v>
      </c>
      <c r="C19" s="94" t="str">
        <f>VLOOKUP(B19,探索事件!A:C,3,FALSE)</f>
        <v>蓝</v>
      </c>
      <c r="D19" s="94" t="str">
        <f>VLOOKUP(B19,探索事件!A:E,5,FALSE)</f>
        <v>委任</v>
      </c>
      <c r="E19" s="94">
        <v>100</v>
      </c>
      <c r="F19" s="94">
        <v>1</v>
      </c>
      <c r="G19" s="94"/>
    </row>
    <row r="20" spans="1:7" s="85" customFormat="1">
      <c r="B20" s="94">
        <v>1002</v>
      </c>
      <c r="C20" s="94" t="str">
        <f>VLOOKUP(B20,探索事件!A:C,3,FALSE)</f>
        <v>蓝</v>
      </c>
      <c r="D20" s="94" t="str">
        <f>VLOOKUP(B20,探索事件!A:E,5,FALSE)</f>
        <v>对话</v>
      </c>
      <c r="E20" s="94">
        <v>100</v>
      </c>
      <c r="F20" s="94">
        <v>1</v>
      </c>
    </row>
    <row r="21" spans="1:7" s="85" customFormat="1">
      <c r="B21" s="94">
        <v>3003</v>
      </c>
      <c r="C21" s="94" t="str">
        <f>VLOOKUP(B21,探索事件!A:C,3,FALSE)</f>
        <v>蓝</v>
      </c>
      <c r="D21" s="94" t="str">
        <f>VLOOKUP(B21,探索事件!A:E,5,FALSE)</f>
        <v>大地图战斗</v>
      </c>
      <c r="E21" s="94">
        <v>100</v>
      </c>
      <c r="F21" s="94">
        <v>1</v>
      </c>
    </row>
    <row r="22" spans="1:7" s="85" customFormat="1">
      <c r="B22" s="94">
        <v>3004</v>
      </c>
      <c r="C22" s="94" t="str">
        <f>VLOOKUP(B22,探索事件!A:C,3,FALSE)</f>
        <v>紫</v>
      </c>
      <c r="D22" s="94" t="str">
        <f>VLOOKUP(B22,探索事件!A:E,5,FALSE)</f>
        <v>大地图战斗</v>
      </c>
      <c r="E22" s="94">
        <v>100</v>
      </c>
      <c r="F22" s="94">
        <v>1</v>
      </c>
    </row>
    <row r="23" spans="1:7" s="85" customFormat="1">
      <c r="B23" s="94">
        <v>4002</v>
      </c>
      <c r="C23" s="94" t="str">
        <f>VLOOKUP(B23,探索事件!A:C,3,FALSE)</f>
        <v>蓝</v>
      </c>
      <c r="D23" s="94" t="str">
        <f>VLOOKUP(B23,探索事件!A:E,5,FALSE)</f>
        <v>大地图探索</v>
      </c>
      <c r="E23" s="94">
        <v>100</v>
      </c>
      <c r="F23" s="94">
        <v>1</v>
      </c>
    </row>
    <row r="24" spans="1:7" s="85" customFormat="1">
      <c r="B24" s="94">
        <v>4003</v>
      </c>
      <c r="C24" s="94" t="str">
        <f>VLOOKUP(B24,探索事件!A:C,3,FALSE)</f>
        <v>紫</v>
      </c>
      <c r="D24" s="94" t="str">
        <f>VLOOKUP(B24,探索事件!A:E,5,FALSE)</f>
        <v>大地图探索</v>
      </c>
      <c r="E24" s="94">
        <v>100</v>
      </c>
      <c r="F24" s="94">
        <v>1</v>
      </c>
    </row>
    <row r="25" spans="1:7">
      <c r="A25" s="88">
        <v>7</v>
      </c>
      <c r="B25" s="88">
        <v>2004</v>
      </c>
      <c r="C25" s="88" t="str">
        <f>VLOOKUP(B25,探索事件!A:C,3,FALSE)</f>
        <v>蓝</v>
      </c>
      <c r="D25" s="88" t="str">
        <f>VLOOKUP(B25,探索事件!A:E,5,FALSE)</f>
        <v>委任</v>
      </c>
      <c r="E25" s="88">
        <v>100</v>
      </c>
      <c r="F25" s="88">
        <v>1</v>
      </c>
    </row>
    <row r="26" spans="1:7">
      <c r="A26" s="88"/>
      <c r="B26" s="88">
        <v>1002</v>
      </c>
      <c r="C26" s="88" t="str">
        <f>VLOOKUP(B26,探索事件!A:C,3,FALSE)</f>
        <v>蓝</v>
      </c>
      <c r="D26" s="88" t="str">
        <f>VLOOKUP(B26,探索事件!A:E,5,FALSE)</f>
        <v>对话</v>
      </c>
      <c r="E26" s="88">
        <v>100</v>
      </c>
      <c r="F26" s="88" t="s">
        <v>373</v>
      </c>
    </row>
    <row r="27" spans="1:7">
      <c r="B27" s="88">
        <v>3003</v>
      </c>
      <c r="C27" s="88" t="str">
        <f>VLOOKUP(B27,探索事件!A:C,3,FALSE)</f>
        <v>蓝</v>
      </c>
      <c r="D27" s="88" t="str">
        <f>VLOOKUP(B27,探索事件!A:E,5,FALSE)</f>
        <v>大地图战斗</v>
      </c>
      <c r="E27" s="88">
        <v>100</v>
      </c>
      <c r="F27" s="88">
        <v>1</v>
      </c>
    </row>
    <row r="28" spans="1:7">
      <c r="A28" s="88"/>
      <c r="B28" s="88">
        <v>3003</v>
      </c>
      <c r="C28" s="88" t="str">
        <f>VLOOKUP(B28,探索事件!A:C,3,FALSE)</f>
        <v>蓝</v>
      </c>
      <c r="D28" s="88" t="str">
        <f>VLOOKUP(B28,探索事件!A:E,5,FALSE)</f>
        <v>大地图战斗</v>
      </c>
      <c r="E28" s="88">
        <v>100</v>
      </c>
      <c r="F28" s="88">
        <v>1</v>
      </c>
    </row>
    <row r="29" spans="1:7">
      <c r="A29" s="88"/>
      <c r="B29" s="88">
        <v>3004</v>
      </c>
      <c r="C29" s="88" t="str">
        <f>VLOOKUP(B29,探索事件!A:C,3,FALSE)</f>
        <v>紫</v>
      </c>
      <c r="D29" s="88" t="str">
        <f>VLOOKUP(B29,探索事件!A:E,5,FALSE)</f>
        <v>大地图战斗</v>
      </c>
      <c r="E29" s="88">
        <v>100</v>
      </c>
      <c r="F29" s="88">
        <v>1</v>
      </c>
    </row>
    <row r="30" spans="1:7">
      <c r="A30" s="88"/>
      <c r="B30" s="88">
        <v>4002</v>
      </c>
      <c r="C30" s="88" t="str">
        <f>VLOOKUP(B30,探索事件!A:C,3,FALSE)</f>
        <v>蓝</v>
      </c>
      <c r="D30" s="88" t="str">
        <f>VLOOKUP(B30,探索事件!A:E,5,FALSE)</f>
        <v>大地图探索</v>
      </c>
      <c r="E30" s="88">
        <v>100</v>
      </c>
      <c r="F30" s="88">
        <v>1</v>
      </c>
    </row>
    <row r="31" spans="1:7">
      <c r="A31" s="88"/>
      <c r="B31" s="88">
        <v>4003</v>
      </c>
      <c r="C31" s="88" t="str">
        <f>VLOOKUP(B31,探索事件!A:C,3,FALSE)</f>
        <v>紫</v>
      </c>
      <c r="D31" s="88" t="str">
        <f>VLOOKUP(B31,探索事件!A:E,5,FALSE)</f>
        <v>大地图探索</v>
      </c>
      <c r="E31" s="88">
        <v>100</v>
      </c>
      <c r="F31" s="88">
        <v>1</v>
      </c>
    </row>
    <row r="32" spans="1:7">
      <c r="A32" s="88">
        <v>8</v>
      </c>
      <c r="B32" s="88">
        <v>1002</v>
      </c>
      <c r="C32" s="88" t="str">
        <f>VLOOKUP(B32,探索事件!A:C,3,FALSE)</f>
        <v>蓝</v>
      </c>
      <c r="D32" s="88" t="str">
        <f>VLOOKUP(B32,探索事件!A:E,5,FALSE)</f>
        <v>对话</v>
      </c>
      <c r="E32" s="95">
        <v>50</v>
      </c>
      <c r="F32" s="88">
        <v>1</v>
      </c>
    </row>
    <row r="33" spans="1:6">
      <c r="B33" s="88">
        <v>1003</v>
      </c>
      <c r="C33" s="88" t="str">
        <f>VLOOKUP(B33,探索事件!A:C,3,FALSE)</f>
        <v>紫</v>
      </c>
      <c r="D33" s="88" t="str">
        <f>VLOOKUP(B33,探索事件!A:E,5,FALSE)</f>
        <v>对话</v>
      </c>
      <c r="E33" s="95">
        <v>40</v>
      </c>
      <c r="F33" s="88">
        <v>1</v>
      </c>
    </row>
    <row r="34" spans="1:6">
      <c r="B34" s="88">
        <v>1004</v>
      </c>
      <c r="C34" s="88" t="str">
        <f>VLOOKUP(B34,探索事件!A:C,3,FALSE)</f>
        <v>橙</v>
      </c>
      <c r="D34" s="88" t="str">
        <f>VLOOKUP(B34,探索事件!A:E,5,FALSE)</f>
        <v>对话</v>
      </c>
      <c r="E34" s="95">
        <v>10</v>
      </c>
      <c r="F34" s="88">
        <v>1</v>
      </c>
    </row>
    <row r="35" spans="1:6">
      <c r="B35" s="88">
        <v>2005</v>
      </c>
      <c r="C35" s="88" t="str">
        <f>VLOOKUP(B35,探索事件!A:C,3,FALSE)</f>
        <v>蓝</v>
      </c>
      <c r="D35" s="88" t="str">
        <f>VLOOKUP(B35,探索事件!A:E,5,FALSE)</f>
        <v>委任</v>
      </c>
      <c r="E35" s="95">
        <v>50</v>
      </c>
      <c r="F35" s="88">
        <v>1</v>
      </c>
    </row>
    <row r="36" spans="1:6">
      <c r="B36" s="88">
        <v>2006</v>
      </c>
      <c r="C36" s="88" t="str">
        <f>VLOOKUP(B36,探索事件!A:C,3,FALSE)</f>
        <v>紫</v>
      </c>
      <c r="D36" s="88" t="str">
        <f>VLOOKUP(B36,探索事件!A:E,5,FALSE)</f>
        <v>委任</v>
      </c>
      <c r="E36" s="95">
        <v>40</v>
      </c>
      <c r="F36" s="88">
        <v>1</v>
      </c>
    </row>
    <row r="37" spans="1:6">
      <c r="B37" s="88">
        <v>2008</v>
      </c>
      <c r="C37" s="88" t="str">
        <f>VLOOKUP(B37,探索事件!A:C,3,FALSE)</f>
        <v>橙</v>
      </c>
      <c r="D37" s="88" t="str">
        <f>VLOOKUP(B37,探索事件!A:E,5,FALSE)</f>
        <v>委任</v>
      </c>
      <c r="E37" s="95">
        <v>10</v>
      </c>
      <c r="F37" s="88">
        <v>1</v>
      </c>
    </row>
    <row r="38" spans="1:6">
      <c r="B38" s="88">
        <v>3003</v>
      </c>
      <c r="C38" s="88" t="str">
        <f>VLOOKUP(B38,探索事件!A:C,3,FALSE)</f>
        <v>蓝</v>
      </c>
      <c r="D38" s="88" t="str">
        <f>VLOOKUP(B38,探索事件!A:E,5,FALSE)</f>
        <v>大地图战斗</v>
      </c>
      <c r="E38" s="95">
        <v>150</v>
      </c>
      <c r="F38" s="88">
        <v>3</v>
      </c>
    </row>
    <row r="39" spans="1:6">
      <c r="B39" s="88">
        <v>3004</v>
      </c>
      <c r="C39" s="88" t="str">
        <f>VLOOKUP(B39,探索事件!A:C,3,FALSE)</f>
        <v>紫</v>
      </c>
      <c r="D39" s="88" t="str">
        <f>VLOOKUP(B39,探索事件!A:E,5,FALSE)</f>
        <v>大地图战斗</v>
      </c>
      <c r="E39" s="95">
        <v>120</v>
      </c>
      <c r="F39" s="88">
        <v>3</v>
      </c>
    </row>
    <row r="40" spans="1:6">
      <c r="B40" s="88">
        <v>3501</v>
      </c>
      <c r="C40" s="88" t="str">
        <f>VLOOKUP(B40,探索事件!A:C,3,FALSE)</f>
        <v>橙</v>
      </c>
      <c r="D40" s="88" t="str">
        <f>VLOOKUP(B40,探索事件!A:E,5,FALSE)</f>
        <v>大地图战斗</v>
      </c>
      <c r="E40" s="95">
        <v>30</v>
      </c>
      <c r="F40" s="88">
        <v>3</v>
      </c>
    </row>
    <row r="41" spans="1:6">
      <c r="B41" s="88">
        <v>4002</v>
      </c>
      <c r="C41" s="88" t="str">
        <f>VLOOKUP(B41,探索事件!A:C,3,FALSE)</f>
        <v>蓝</v>
      </c>
      <c r="D41" s="88" t="str">
        <f>VLOOKUP(B41,探索事件!A:E,5,FALSE)</f>
        <v>大地图探索</v>
      </c>
      <c r="E41" s="95">
        <v>150</v>
      </c>
      <c r="F41" s="88">
        <v>2</v>
      </c>
    </row>
    <row r="42" spans="1:6">
      <c r="A42" s="88"/>
      <c r="B42" s="88">
        <v>4003</v>
      </c>
      <c r="C42" s="88" t="str">
        <f>VLOOKUP(B42,探索事件!A:C,3,FALSE)</f>
        <v>紫</v>
      </c>
      <c r="D42" s="88" t="str">
        <f>VLOOKUP(B42,探索事件!A:E,5,FALSE)</f>
        <v>大地图探索</v>
      </c>
      <c r="E42" s="95">
        <v>120</v>
      </c>
      <c r="F42" s="88">
        <v>2</v>
      </c>
    </row>
    <row r="43" spans="1:6">
      <c r="B43" s="88">
        <v>4004</v>
      </c>
      <c r="C43" s="88" t="str">
        <f>VLOOKUP(B43,探索事件!A:C,3,FALSE)</f>
        <v>橙</v>
      </c>
      <c r="D43" s="88" t="str">
        <f>VLOOKUP(B43,探索事件!A:E,5,FALSE)</f>
        <v>大地图探索</v>
      </c>
      <c r="E43" s="95">
        <v>30</v>
      </c>
      <c r="F43" s="88">
        <v>2</v>
      </c>
    </row>
    <row r="44" spans="1:6">
      <c r="A44" s="88">
        <v>9</v>
      </c>
      <c r="B44" s="88">
        <v>1002</v>
      </c>
      <c r="C44" s="88" t="str">
        <f>VLOOKUP(B44,探索事件!A:C,3,FALSE)</f>
        <v>蓝</v>
      </c>
      <c r="D44" s="88" t="str">
        <f>VLOOKUP(B44,探索事件!A:E,5,FALSE)</f>
        <v>对话</v>
      </c>
      <c r="E44" s="95">
        <v>30</v>
      </c>
      <c r="F44" s="88">
        <v>1</v>
      </c>
    </row>
    <row r="45" spans="1:6">
      <c r="B45" s="88">
        <v>1003</v>
      </c>
      <c r="C45" s="88" t="str">
        <f>VLOOKUP(B45,探索事件!A:C,3,FALSE)</f>
        <v>紫</v>
      </c>
      <c r="D45" s="88" t="str">
        <f>VLOOKUP(B45,探索事件!A:E,5,FALSE)</f>
        <v>对话</v>
      </c>
      <c r="E45" s="95">
        <v>50</v>
      </c>
      <c r="F45" s="88">
        <v>1</v>
      </c>
    </row>
    <row r="46" spans="1:6">
      <c r="B46" s="88">
        <v>1004</v>
      </c>
      <c r="C46" s="88" t="str">
        <f>VLOOKUP(B46,探索事件!A:C,3,FALSE)</f>
        <v>橙</v>
      </c>
      <c r="D46" s="88" t="str">
        <f>VLOOKUP(B46,探索事件!A:E,5,FALSE)</f>
        <v>对话</v>
      </c>
      <c r="E46" s="95">
        <v>20</v>
      </c>
      <c r="F46" s="88">
        <v>1</v>
      </c>
    </row>
    <row r="47" spans="1:6">
      <c r="B47" s="88">
        <v>2005</v>
      </c>
      <c r="C47" s="88" t="str">
        <f>VLOOKUP(B47,探索事件!A:C,3,FALSE)</f>
        <v>蓝</v>
      </c>
      <c r="D47" s="88" t="str">
        <f>VLOOKUP(B47,探索事件!A:E,5,FALSE)</f>
        <v>委任</v>
      </c>
      <c r="E47" s="95">
        <v>30</v>
      </c>
      <c r="F47" s="88">
        <v>1</v>
      </c>
    </row>
    <row r="48" spans="1:6">
      <c r="B48" s="88">
        <v>2006</v>
      </c>
      <c r="C48" s="88" t="str">
        <f>VLOOKUP(B48,探索事件!A:C,3,FALSE)</f>
        <v>紫</v>
      </c>
      <c r="D48" s="88" t="str">
        <f>VLOOKUP(B48,探索事件!A:E,5,FALSE)</f>
        <v>委任</v>
      </c>
      <c r="E48" s="95">
        <v>50</v>
      </c>
      <c r="F48" s="88">
        <v>1</v>
      </c>
    </row>
    <row r="49" spans="1:6">
      <c r="B49" s="88">
        <v>2008</v>
      </c>
      <c r="C49" s="88" t="str">
        <f>VLOOKUP(B49,探索事件!A:C,3,FALSE)</f>
        <v>橙</v>
      </c>
      <c r="D49" s="88" t="str">
        <f>VLOOKUP(B49,探索事件!A:E,5,FALSE)</f>
        <v>委任</v>
      </c>
      <c r="E49" s="95">
        <v>20</v>
      </c>
      <c r="F49" s="88">
        <v>1</v>
      </c>
    </row>
    <row r="50" spans="1:6">
      <c r="B50" s="88">
        <v>3003</v>
      </c>
      <c r="C50" s="88" t="str">
        <f>VLOOKUP(B50,探索事件!A:C,3,FALSE)</f>
        <v>蓝</v>
      </c>
      <c r="D50" s="88" t="str">
        <f>VLOOKUP(B50,探索事件!A:E,5,FALSE)</f>
        <v>大地图战斗</v>
      </c>
      <c r="E50" s="95">
        <v>120</v>
      </c>
      <c r="F50" s="88">
        <v>3</v>
      </c>
    </row>
    <row r="51" spans="1:6">
      <c r="B51" s="88">
        <v>3004</v>
      </c>
      <c r="C51" s="88" t="str">
        <f>VLOOKUP(B51,探索事件!A:C,3,FALSE)</f>
        <v>紫</v>
      </c>
      <c r="D51" s="88" t="str">
        <f>VLOOKUP(B51,探索事件!A:E,5,FALSE)</f>
        <v>大地图战斗</v>
      </c>
      <c r="E51" s="95">
        <v>200</v>
      </c>
      <c r="F51" s="88">
        <v>3</v>
      </c>
    </row>
    <row r="52" spans="1:6">
      <c r="B52" s="88">
        <v>3501</v>
      </c>
      <c r="C52" s="88" t="str">
        <f>VLOOKUP(B52,探索事件!A:C,3,FALSE)</f>
        <v>橙</v>
      </c>
      <c r="D52" s="88" t="str">
        <f>VLOOKUP(B52,探索事件!A:E,5,FALSE)</f>
        <v>大地图战斗</v>
      </c>
      <c r="E52" s="95">
        <v>80</v>
      </c>
      <c r="F52" s="88">
        <v>3</v>
      </c>
    </row>
    <row r="53" spans="1:6">
      <c r="B53" s="88">
        <v>4002</v>
      </c>
      <c r="C53" s="88" t="str">
        <f>VLOOKUP(B53,探索事件!A:C,3,FALSE)</f>
        <v>蓝</v>
      </c>
      <c r="D53" s="88" t="str">
        <f>VLOOKUP(B53,探索事件!A:E,5,FALSE)</f>
        <v>大地图探索</v>
      </c>
      <c r="E53" s="95">
        <v>90</v>
      </c>
      <c r="F53" s="88">
        <v>2</v>
      </c>
    </row>
    <row r="54" spans="1:6">
      <c r="B54" s="88">
        <v>4003</v>
      </c>
      <c r="C54" s="88" t="str">
        <f>VLOOKUP(B54,探索事件!A:C,3,FALSE)</f>
        <v>紫</v>
      </c>
      <c r="D54" s="88" t="str">
        <f>VLOOKUP(B54,探索事件!A:E,5,FALSE)</f>
        <v>大地图探索</v>
      </c>
      <c r="E54" s="95">
        <v>150</v>
      </c>
      <c r="F54" s="88">
        <v>2</v>
      </c>
    </row>
    <row r="55" spans="1:6">
      <c r="B55" s="88">
        <v>4004</v>
      </c>
      <c r="C55" s="88" t="str">
        <f>VLOOKUP(B55,探索事件!A:C,3,FALSE)</f>
        <v>橙</v>
      </c>
      <c r="D55" s="88" t="str">
        <f>VLOOKUP(B55,探索事件!A:E,5,FALSE)</f>
        <v>大地图探索</v>
      </c>
      <c r="E55" s="95">
        <v>60</v>
      </c>
      <c r="F55" s="88">
        <v>2</v>
      </c>
    </row>
    <row r="56" spans="1:6">
      <c r="A56" s="88">
        <v>10</v>
      </c>
      <c r="B56" s="88">
        <v>1002</v>
      </c>
      <c r="C56" s="88" t="str">
        <f>VLOOKUP(B56,探索事件!A:C,3,FALSE)</f>
        <v>蓝</v>
      </c>
      <c r="D56" s="88" t="str">
        <f>VLOOKUP(B56,探索事件!A:E,5,FALSE)</f>
        <v>对话</v>
      </c>
      <c r="E56" s="95">
        <v>30</v>
      </c>
      <c r="F56" s="88">
        <v>1</v>
      </c>
    </row>
    <row r="57" spans="1:6">
      <c r="B57" s="88">
        <v>1003</v>
      </c>
      <c r="C57" s="88" t="str">
        <f>VLOOKUP(B57,探索事件!A:C,3,FALSE)</f>
        <v>紫</v>
      </c>
      <c r="D57" s="88" t="str">
        <f>VLOOKUP(B57,探索事件!A:E,5,FALSE)</f>
        <v>对话</v>
      </c>
      <c r="E57" s="95">
        <v>50</v>
      </c>
      <c r="F57" s="88">
        <v>1</v>
      </c>
    </row>
    <row r="58" spans="1:6">
      <c r="A58" s="88"/>
      <c r="B58" s="88">
        <v>1004</v>
      </c>
      <c r="C58" s="88" t="str">
        <f>VLOOKUP(B58,探索事件!A:C,3,FALSE)</f>
        <v>橙</v>
      </c>
      <c r="D58" s="88" t="str">
        <f>VLOOKUP(B58,探索事件!A:E,5,FALSE)</f>
        <v>对话</v>
      </c>
      <c r="E58" s="95">
        <v>20</v>
      </c>
      <c r="F58" s="88">
        <v>1</v>
      </c>
    </row>
    <row r="59" spans="1:6">
      <c r="B59" s="88">
        <v>2005</v>
      </c>
      <c r="C59" s="88" t="str">
        <f>VLOOKUP(B59,探索事件!A:C,3,FALSE)</f>
        <v>蓝</v>
      </c>
      <c r="D59" s="88" t="str">
        <f>VLOOKUP(B59,探索事件!A:E,5,FALSE)</f>
        <v>委任</v>
      </c>
      <c r="E59" s="95">
        <v>60</v>
      </c>
      <c r="F59" s="88">
        <v>2</v>
      </c>
    </row>
    <row r="60" spans="1:6">
      <c r="B60" s="88">
        <v>2006</v>
      </c>
      <c r="C60" s="88" t="str">
        <f>VLOOKUP(B60,探索事件!A:C,3,FALSE)</f>
        <v>紫</v>
      </c>
      <c r="D60" s="88" t="str">
        <f>VLOOKUP(B60,探索事件!A:E,5,FALSE)</f>
        <v>委任</v>
      </c>
      <c r="E60" s="95">
        <v>100</v>
      </c>
      <c r="F60" s="88">
        <v>2</v>
      </c>
    </row>
    <row r="61" spans="1:6">
      <c r="B61" s="88">
        <v>2008</v>
      </c>
      <c r="C61" s="88" t="str">
        <f>VLOOKUP(B61,探索事件!A:C,3,FALSE)</f>
        <v>橙</v>
      </c>
      <c r="D61" s="88" t="str">
        <f>VLOOKUP(B61,探索事件!A:E,5,FALSE)</f>
        <v>委任</v>
      </c>
      <c r="E61" s="95">
        <v>40</v>
      </c>
      <c r="F61" s="88">
        <v>2</v>
      </c>
    </row>
    <row r="62" spans="1:6">
      <c r="B62" s="88">
        <v>3003</v>
      </c>
      <c r="C62" s="88" t="str">
        <f>VLOOKUP(B62,探索事件!A:C,3,FALSE)</f>
        <v>蓝</v>
      </c>
      <c r="D62" s="88" t="str">
        <f>VLOOKUP(B62,探索事件!A:E,5,FALSE)</f>
        <v>大地图战斗</v>
      </c>
      <c r="E62" s="95">
        <v>120</v>
      </c>
      <c r="F62" s="88">
        <v>4</v>
      </c>
    </row>
    <row r="63" spans="1:6">
      <c r="B63" s="88">
        <v>3004</v>
      </c>
      <c r="C63" s="88" t="str">
        <f>VLOOKUP(B63,探索事件!A:C,3,FALSE)</f>
        <v>紫</v>
      </c>
      <c r="D63" s="88" t="str">
        <f>VLOOKUP(B63,探索事件!A:E,5,FALSE)</f>
        <v>大地图战斗</v>
      </c>
      <c r="E63" s="95">
        <v>200</v>
      </c>
      <c r="F63" s="88">
        <v>4</v>
      </c>
    </row>
    <row r="64" spans="1:6">
      <c r="B64" s="88">
        <v>3501</v>
      </c>
      <c r="C64" s="88" t="str">
        <f>VLOOKUP(B64,探索事件!A:C,3,FALSE)</f>
        <v>橙</v>
      </c>
      <c r="D64" s="88" t="str">
        <f>VLOOKUP(B64,探索事件!A:E,5,FALSE)</f>
        <v>大地图战斗</v>
      </c>
      <c r="E64" s="95">
        <v>80</v>
      </c>
      <c r="F64" s="88">
        <v>4</v>
      </c>
    </row>
    <row r="65" spans="1:6">
      <c r="B65" s="88">
        <v>4002</v>
      </c>
      <c r="C65" s="88" t="str">
        <f>VLOOKUP(B65,探索事件!A:C,3,FALSE)</f>
        <v>蓝</v>
      </c>
      <c r="D65" s="88" t="str">
        <f>VLOOKUP(B65,探索事件!A:E,5,FALSE)</f>
        <v>大地图探索</v>
      </c>
      <c r="E65" s="95">
        <v>90</v>
      </c>
      <c r="F65" s="88">
        <v>3</v>
      </c>
    </row>
    <row r="66" spans="1:6">
      <c r="B66" s="88">
        <v>4003</v>
      </c>
      <c r="C66" s="88" t="str">
        <f>VLOOKUP(B66,探索事件!A:C,3,FALSE)</f>
        <v>紫</v>
      </c>
      <c r="D66" s="88" t="str">
        <f>VLOOKUP(B66,探索事件!A:E,5,FALSE)</f>
        <v>大地图探索</v>
      </c>
      <c r="E66" s="95">
        <v>150</v>
      </c>
      <c r="F66" s="88">
        <v>3</v>
      </c>
    </row>
    <row r="67" spans="1:6">
      <c r="B67" s="88">
        <v>4004</v>
      </c>
      <c r="C67" s="88" t="str">
        <f>VLOOKUP(B67,探索事件!A:C,3,FALSE)</f>
        <v>橙</v>
      </c>
      <c r="D67" s="88" t="str">
        <f>VLOOKUP(B67,探索事件!A:E,5,FALSE)</f>
        <v>大地图探索</v>
      </c>
      <c r="E67" s="95">
        <v>60</v>
      </c>
      <c r="F67" s="88">
        <v>3</v>
      </c>
    </row>
    <row r="68" spans="1:6">
      <c r="A68" s="88">
        <v>11</v>
      </c>
      <c r="B68" s="88">
        <v>1002</v>
      </c>
      <c r="C68" s="88" t="str">
        <f>VLOOKUP(B68,探索事件!A:C,3,FALSE)</f>
        <v>蓝</v>
      </c>
      <c r="D68" s="88" t="str">
        <f>VLOOKUP(B68,探索事件!A:E,5,FALSE)</f>
        <v>对话</v>
      </c>
      <c r="E68" s="95">
        <v>10</v>
      </c>
      <c r="F68" s="88">
        <v>1</v>
      </c>
    </row>
    <row r="69" spans="1:6">
      <c r="B69" s="88">
        <v>1003</v>
      </c>
      <c r="C69" s="88" t="str">
        <f>VLOOKUP(B69,探索事件!A:C,3,FALSE)</f>
        <v>紫</v>
      </c>
      <c r="D69" s="88" t="str">
        <f>VLOOKUP(B69,探索事件!A:E,5,FALSE)</f>
        <v>对话</v>
      </c>
      <c r="E69" s="95">
        <v>60</v>
      </c>
      <c r="F69" s="88">
        <v>1</v>
      </c>
    </row>
    <row r="70" spans="1:6">
      <c r="B70" s="88">
        <v>1004</v>
      </c>
      <c r="C70" s="88" t="str">
        <f>VLOOKUP(B70,探索事件!A:C,3,FALSE)</f>
        <v>橙</v>
      </c>
      <c r="D70" s="88" t="str">
        <f>VLOOKUP(B70,探索事件!A:E,5,FALSE)</f>
        <v>对话</v>
      </c>
      <c r="E70" s="95">
        <v>30</v>
      </c>
      <c r="F70" s="88">
        <v>1</v>
      </c>
    </row>
    <row r="71" spans="1:6">
      <c r="B71" s="88">
        <v>2005</v>
      </c>
      <c r="C71" s="88" t="str">
        <f>VLOOKUP(B71,探索事件!A:C,3,FALSE)</f>
        <v>蓝</v>
      </c>
      <c r="D71" s="88" t="str">
        <f>VLOOKUP(B71,探索事件!A:E,5,FALSE)</f>
        <v>委任</v>
      </c>
      <c r="E71" s="95">
        <v>20</v>
      </c>
      <c r="F71" s="88">
        <v>2</v>
      </c>
    </row>
    <row r="72" spans="1:6">
      <c r="B72" s="88">
        <v>2006</v>
      </c>
      <c r="C72" s="88" t="str">
        <f>VLOOKUP(B72,探索事件!A:C,3,FALSE)</f>
        <v>紫</v>
      </c>
      <c r="D72" s="88" t="str">
        <f>VLOOKUP(B72,探索事件!A:E,5,FALSE)</f>
        <v>委任</v>
      </c>
      <c r="E72" s="95">
        <v>120</v>
      </c>
      <c r="F72" s="88">
        <v>2</v>
      </c>
    </row>
    <row r="73" spans="1:6">
      <c r="B73" s="88">
        <v>2008</v>
      </c>
      <c r="C73" s="88" t="str">
        <f>VLOOKUP(B73,探索事件!A:C,3,FALSE)</f>
        <v>橙</v>
      </c>
      <c r="D73" s="88" t="str">
        <f>VLOOKUP(B73,探索事件!A:E,5,FALSE)</f>
        <v>委任</v>
      </c>
      <c r="E73" s="95">
        <v>60</v>
      </c>
      <c r="F73" s="88">
        <v>2</v>
      </c>
    </row>
    <row r="74" spans="1:6">
      <c r="B74" s="88">
        <v>3003</v>
      </c>
      <c r="C74" s="88" t="str">
        <f>VLOOKUP(B74,探索事件!A:C,3,FALSE)</f>
        <v>蓝</v>
      </c>
      <c r="D74" s="88" t="str">
        <f>VLOOKUP(B74,探索事件!A:E,5,FALSE)</f>
        <v>大地图战斗</v>
      </c>
      <c r="E74" s="95">
        <v>40</v>
      </c>
      <c r="F74" s="88">
        <v>4</v>
      </c>
    </row>
    <row r="75" spans="1:6">
      <c r="B75" s="88">
        <v>3004</v>
      </c>
      <c r="C75" s="88" t="str">
        <f>VLOOKUP(B75,探索事件!A:C,3,FALSE)</f>
        <v>紫</v>
      </c>
      <c r="D75" s="88" t="str">
        <f>VLOOKUP(B75,探索事件!A:E,5,FALSE)</f>
        <v>大地图战斗</v>
      </c>
      <c r="E75" s="95">
        <v>240</v>
      </c>
      <c r="F75" s="88">
        <v>4</v>
      </c>
    </row>
    <row r="76" spans="1:6">
      <c r="A76" s="88"/>
      <c r="B76" s="88">
        <v>3501</v>
      </c>
      <c r="C76" s="88" t="str">
        <f>VLOOKUP(B76,探索事件!A:C,3,FALSE)</f>
        <v>橙</v>
      </c>
      <c r="D76" s="88" t="str">
        <f>VLOOKUP(B76,探索事件!A:E,5,FALSE)</f>
        <v>大地图战斗</v>
      </c>
      <c r="E76" s="95">
        <v>120</v>
      </c>
      <c r="F76" s="88">
        <v>4</v>
      </c>
    </row>
    <row r="77" spans="1:6">
      <c r="B77" s="88">
        <v>4002</v>
      </c>
      <c r="C77" s="88" t="str">
        <f>VLOOKUP(B77,探索事件!A:C,3,FALSE)</f>
        <v>蓝</v>
      </c>
      <c r="D77" s="88" t="str">
        <f>VLOOKUP(B77,探索事件!A:E,5,FALSE)</f>
        <v>大地图探索</v>
      </c>
      <c r="E77" s="95">
        <v>30</v>
      </c>
      <c r="F77" s="88">
        <v>3</v>
      </c>
    </row>
    <row r="78" spans="1:6">
      <c r="B78" s="88">
        <v>4003</v>
      </c>
      <c r="C78" s="88" t="str">
        <f>VLOOKUP(B78,探索事件!A:C,3,FALSE)</f>
        <v>紫</v>
      </c>
      <c r="D78" s="88" t="str">
        <f>VLOOKUP(B78,探索事件!A:E,5,FALSE)</f>
        <v>大地图探索</v>
      </c>
      <c r="E78" s="95">
        <v>180</v>
      </c>
      <c r="F78" s="88">
        <v>3</v>
      </c>
    </row>
    <row r="79" spans="1:6">
      <c r="B79" s="88">
        <v>4004</v>
      </c>
      <c r="C79" s="88" t="str">
        <f>VLOOKUP(B79,探索事件!A:C,3,FALSE)</f>
        <v>橙</v>
      </c>
      <c r="D79" s="88" t="str">
        <f>VLOOKUP(B79,探索事件!A:E,5,FALSE)</f>
        <v>大地图探索</v>
      </c>
      <c r="E79" s="95">
        <v>90</v>
      </c>
      <c r="F79" s="88">
        <v>3</v>
      </c>
    </row>
    <row r="80" spans="1:6">
      <c r="A80" s="88">
        <v>12</v>
      </c>
      <c r="B80" s="88">
        <v>1003</v>
      </c>
      <c r="C80" s="88" t="str">
        <f>VLOOKUP(B80,探索事件!A:C,3,FALSE)</f>
        <v>紫</v>
      </c>
      <c r="D80" s="88" t="str">
        <f>VLOOKUP(B80,探索事件!A:E,5,FALSE)</f>
        <v>对话</v>
      </c>
      <c r="E80" s="95">
        <v>60</v>
      </c>
      <c r="F80" s="88">
        <v>1</v>
      </c>
    </row>
    <row r="81" spans="1:10">
      <c r="B81" s="88">
        <v>1004</v>
      </c>
      <c r="C81" s="88" t="str">
        <f>VLOOKUP(B81,探索事件!A:C,3,FALSE)</f>
        <v>橙</v>
      </c>
      <c r="D81" s="88" t="str">
        <f>VLOOKUP(B81,探索事件!A:E,5,FALSE)</f>
        <v>对话</v>
      </c>
      <c r="E81" s="95">
        <v>40</v>
      </c>
      <c r="F81" s="88">
        <v>1</v>
      </c>
    </row>
    <row r="82" spans="1:10">
      <c r="B82" s="88">
        <v>2006</v>
      </c>
      <c r="C82" s="88" t="str">
        <f>VLOOKUP(B82,探索事件!A:C,3,FALSE)</f>
        <v>紫</v>
      </c>
      <c r="D82" s="88" t="str">
        <f>VLOOKUP(B82,探索事件!A:E,5,FALSE)</f>
        <v>委任</v>
      </c>
      <c r="E82" s="95">
        <v>120</v>
      </c>
      <c r="F82" s="88">
        <v>2</v>
      </c>
    </row>
    <row r="83" spans="1:10">
      <c r="B83" s="88">
        <v>2008</v>
      </c>
      <c r="C83" s="88" t="str">
        <f>VLOOKUP(B83,探索事件!A:C,3,FALSE)</f>
        <v>橙</v>
      </c>
      <c r="D83" s="88" t="str">
        <f>VLOOKUP(B83,探索事件!A:E,5,FALSE)</f>
        <v>委任</v>
      </c>
      <c r="E83" s="95">
        <v>80</v>
      </c>
      <c r="F83" s="88">
        <v>2</v>
      </c>
    </row>
    <row r="84" spans="1:10">
      <c r="B84" s="88">
        <v>3004</v>
      </c>
      <c r="C84" s="88" t="str">
        <f>VLOOKUP(B84,探索事件!A:C,3,FALSE)</f>
        <v>紫</v>
      </c>
      <c r="D84" s="88" t="str">
        <f>VLOOKUP(B84,探索事件!A:E,5,FALSE)</f>
        <v>大地图战斗</v>
      </c>
      <c r="E84" s="95">
        <v>240</v>
      </c>
      <c r="F84" s="88">
        <v>4</v>
      </c>
    </row>
    <row r="85" spans="1:10">
      <c r="B85" s="88">
        <v>3501</v>
      </c>
      <c r="C85" s="88" t="str">
        <f>VLOOKUP(B85,探索事件!A:C,3,FALSE)</f>
        <v>橙</v>
      </c>
      <c r="D85" s="88" t="str">
        <f>VLOOKUP(B85,探索事件!A:E,5,FALSE)</f>
        <v>大地图战斗</v>
      </c>
      <c r="E85" s="95">
        <v>160</v>
      </c>
      <c r="F85" s="88">
        <v>4</v>
      </c>
    </row>
    <row r="86" spans="1:10">
      <c r="B86" s="88">
        <v>4003</v>
      </c>
      <c r="C86" s="88" t="str">
        <f>VLOOKUP(B86,探索事件!A:C,3,FALSE)</f>
        <v>紫</v>
      </c>
      <c r="D86" s="88" t="str">
        <f>VLOOKUP(B86,探索事件!A:E,5,FALSE)</f>
        <v>大地图探索</v>
      </c>
      <c r="E86" s="95">
        <v>180</v>
      </c>
      <c r="F86" s="88">
        <v>3</v>
      </c>
    </row>
    <row r="87" spans="1:10">
      <c r="B87" s="88">
        <v>4004</v>
      </c>
      <c r="C87" s="88" t="str">
        <f>VLOOKUP(B87,探索事件!A:C,3,FALSE)</f>
        <v>橙</v>
      </c>
      <c r="D87" s="88" t="str">
        <f>VLOOKUP(B87,探索事件!A:E,5,FALSE)</f>
        <v>大地图探索</v>
      </c>
      <c r="E87" s="95">
        <v>120</v>
      </c>
      <c r="F87" s="88">
        <v>3</v>
      </c>
    </row>
    <row r="88" spans="1:10">
      <c r="A88" s="96">
        <v>15</v>
      </c>
      <c r="B88" s="88">
        <v>1003</v>
      </c>
      <c r="C88" s="88" t="s">
        <v>88</v>
      </c>
      <c r="D88" s="88" t="s">
        <v>78</v>
      </c>
      <c r="E88" s="95">
        <v>60</v>
      </c>
      <c r="F88" s="88">
        <v>1</v>
      </c>
      <c r="G88" s="96"/>
      <c r="H88" s="96"/>
      <c r="I88" s="96"/>
      <c r="J88" s="96"/>
    </row>
    <row r="89" spans="1:10">
      <c r="A89" s="96"/>
      <c r="B89" s="88">
        <v>1004</v>
      </c>
      <c r="C89" s="88" t="s">
        <v>91</v>
      </c>
      <c r="D89" s="88" t="s">
        <v>78</v>
      </c>
      <c r="E89" s="95">
        <v>40</v>
      </c>
      <c r="F89" s="88">
        <v>1</v>
      </c>
    </row>
    <row r="90" spans="1:10">
      <c r="A90" s="96"/>
      <c r="B90" s="88">
        <v>2006</v>
      </c>
      <c r="C90" s="88" t="s">
        <v>88</v>
      </c>
      <c r="D90" s="88" t="s">
        <v>94</v>
      </c>
      <c r="E90" s="95">
        <v>120</v>
      </c>
      <c r="F90" s="88">
        <v>2</v>
      </c>
    </row>
    <row r="91" spans="1:10">
      <c r="A91" s="96"/>
      <c r="B91" s="88">
        <v>2008</v>
      </c>
      <c r="C91" s="88" t="s">
        <v>91</v>
      </c>
      <c r="D91" s="88" t="s">
        <v>94</v>
      </c>
      <c r="E91" s="95">
        <v>80</v>
      </c>
      <c r="F91" s="88">
        <v>2</v>
      </c>
    </row>
    <row r="92" spans="1:10">
      <c r="A92" s="96"/>
      <c r="B92" s="88">
        <v>3004</v>
      </c>
      <c r="C92" s="88" t="s">
        <v>88</v>
      </c>
      <c r="D92" s="88" t="s">
        <v>108</v>
      </c>
      <c r="E92" s="95">
        <v>0</v>
      </c>
      <c r="F92" s="88">
        <v>4</v>
      </c>
    </row>
    <row r="93" spans="1:10">
      <c r="A93" s="96"/>
      <c r="B93" s="88">
        <v>3501</v>
      </c>
      <c r="C93" s="88" t="s">
        <v>91</v>
      </c>
      <c r="D93" s="88" t="s">
        <v>108</v>
      </c>
      <c r="E93" s="95">
        <v>0</v>
      </c>
      <c r="F93" s="88">
        <v>4</v>
      </c>
    </row>
    <row r="94" spans="1:10">
      <c r="A94" s="96"/>
      <c r="B94" s="88">
        <v>4003</v>
      </c>
      <c r="C94" s="88" t="s">
        <v>88</v>
      </c>
      <c r="D94" s="88" t="s">
        <v>125</v>
      </c>
      <c r="E94" s="95">
        <v>0</v>
      </c>
      <c r="F94" s="88">
        <v>3</v>
      </c>
    </row>
    <row r="95" spans="1:10">
      <c r="A95" s="96"/>
      <c r="B95" s="88">
        <v>4004</v>
      </c>
      <c r="C95" s="88" t="s">
        <v>91</v>
      </c>
      <c r="D95" s="88" t="s">
        <v>125</v>
      </c>
      <c r="E95" s="95">
        <v>0</v>
      </c>
      <c r="F95" s="88">
        <v>3</v>
      </c>
    </row>
    <row r="96" spans="1:10">
      <c r="A96" s="96"/>
      <c r="B96" s="88">
        <v>3505</v>
      </c>
      <c r="C96" s="88" t="s">
        <v>91</v>
      </c>
      <c r="D96" s="88" t="s">
        <v>108</v>
      </c>
      <c r="E96" s="95">
        <v>160</v>
      </c>
      <c r="F96" s="88">
        <v>4</v>
      </c>
    </row>
    <row r="97" spans="1:6">
      <c r="A97" s="96"/>
      <c r="B97" s="88">
        <v>4006</v>
      </c>
      <c r="C97" s="88" t="s">
        <v>91</v>
      </c>
      <c r="D97" s="88" t="s">
        <v>125</v>
      </c>
      <c r="E97" s="95">
        <v>120</v>
      </c>
      <c r="F97" s="88">
        <v>3</v>
      </c>
    </row>
    <row r="98" spans="1:6">
      <c r="A98" s="96">
        <v>16</v>
      </c>
      <c r="B98" s="88">
        <v>1003</v>
      </c>
      <c r="C98" s="88" t="s">
        <v>88</v>
      </c>
      <c r="D98" s="88" t="s">
        <v>78</v>
      </c>
      <c r="E98" s="95">
        <v>60</v>
      </c>
      <c r="F98" s="88">
        <v>1</v>
      </c>
    </row>
    <row r="99" spans="1:6">
      <c r="A99" s="96"/>
      <c r="B99" s="88">
        <v>1004</v>
      </c>
      <c r="C99" s="88" t="s">
        <v>91</v>
      </c>
      <c r="D99" s="88" t="s">
        <v>78</v>
      </c>
      <c r="E99" s="95">
        <v>40</v>
      </c>
      <c r="F99" s="88">
        <v>1</v>
      </c>
    </row>
    <row r="100" spans="1:6">
      <c r="A100" s="96"/>
      <c r="B100" s="88">
        <v>2006</v>
      </c>
      <c r="C100" s="88" t="s">
        <v>88</v>
      </c>
      <c r="D100" s="88" t="s">
        <v>94</v>
      </c>
      <c r="E100" s="95">
        <v>120</v>
      </c>
      <c r="F100" s="88">
        <v>2</v>
      </c>
    </row>
    <row r="101" spans="1:6">
      <c r="A101" s="96"/>
      <c r="B101" s="88">
        <v>2008</v>
      </c>
      <c r="C101" s="88" t="s">
        <v>91</v>
      </c>
      <c r="D101" s="88" t="s">
        <v>94</v>
      </c>
      <c r="E101" s="95">
        <v>80</v>
      </c>
      <c r="F101" s="88">
        <v>2</v>
      </c>
    </row>
    <row r="102" spans="1:6">
      <c r="A102" s="96"/>
      <c r="B102" s="88">
        <v>3004</v>
      </c>
      <c r="C102" s="88" t="s">
        <v>88</v>
      </c>
      <c r="D102" s="88" t="s">
        <v>108</v>
      </c>
      <c r="E102" s="95">
        <v>0</v>
      </c>
      <c r="F102" s="88">
        <v>4</v>
      </c>
    </row>
    <row r="103" spans="1:6">
      <c r="A103" s="96"/>
      <c r="B103" s="88">
        <v>3501</v>
      </c>
      <c r="C103" s="88" t="s">
        <v>91</v>
      </c>
      <c r="D103" s="88" t="s">
        <v>108</v>
      </c>
      <c r="E103" s="95">
        <v>0</v>
      </c>
      <c r="F103" s="88">
        <v>4</v>
      </c>
    </row>
    <row r="104" spans="1:6">
      <c r="A104" s="96"/>
      <c r="B104" s="88">
        <v>4003</v>
      </c>
      <c r="C104" s="88" t="s">
        <v>88</v>
      </c>
      <c r="D104" s="88" t="s">
        <v>125</v>
      </c>
      <c r="E104" s="95">
        <v>0</v>
      </c>
      <c r="F104" s="88">
        <v>3</v>
      </c>
    </row>
    <row r="105" spans="1:6">
      <c r="A105" s="96"/>
      <c r="B105" s="88">
        <v>4004</v>
      </c>
      <c r="C105" s="88" t="s">
        <v>91</v>
      </c>
      <c r="D105" s="88" t="s">
        <v>125</v>
      </c>
      <c r="E105" s="95">
        <v>0</v>
      </c>
      <c r="F105" s="88">
        <v>3</v>
      </c>
    </row>
    <row r="106" spans="1:6">
      <c r="A106" s="96"/>
      <c r="B106" s="88">
        <v>3506</v>
      </c>
      <c r="C106" s="88" t="s">
        <v>91</v>
      </c>
      <c r="D106" s="88" t="s">
        <v>108</v>
      </c>
      <c r="E106" s="95">
        <v>160</v>
      </c>
      <c r="F106" s="88">
        <v>4</v>
      </c>
    </row>
    <row r="107" spans="1:6">
      <c r="A107" s="96"/>
      <c r="B107" s="88">
        <v>4007</v>
      </c>
      <c r="C107" s="88" t="s">
        <v>91</v>
      </c>
      <c r="D107" s="88" t="s">
        <v>125</v>
      </c>
      <c r="E107" s="95">
        <v>120</v>
      </c>
      <c r="F107" s="88">
        <v>3</v>
      </c>
    </row>
    <row r="108" spans="1:6">
      <c r="A108" s="96">
        <v>17</v>
      </c>
      <c r="B108" s="88">
        <v>1003</v>
      </c>
      <c r="C108" s="88" t="s">
        <v>88</v>
      </c>
      <c r="D108" s="88" t="s">
        <v>78</v>
      </c>
      <c r="E108" s="95">
        <v>60</v>
      </c>
      <c r="F108" s="88">
        <v>1</v>
      </c>
    </row>
    <row r="109" spans="1:6">
      <c r="A109" s="96"/>
      <c r="B109" s="88">
        <v>1004</v>
      </c>
      <c r="C109" s="88" t="s">
        <v>91</v>
      </c>
      <c r="D109" s="88" t="s">
        <v>78</v>
      </c>
      <c r="E109" s="95">
        <v>40</v>
      </c>
      <c r="F109" s="88">
        <v>1</v>
      </c>
    </row>
    <row r="110" spans="1:6">
      <c r="A110" s="96"/>
      <c r="B110" s="88">
        <v>2006</v>
      </c>
      <c r="C110" s="88" t="s">
        <v>88</v>
      </c>
      <c r="D110" s="88" t="s">
        <v>94</v>
      </c>
      <c r="E110" s="95">
        <v>120</v>
      </c>
      <c r="F110" s="88">
        <v>2</v>
      </c>
    </row>
    <row r="111" spans="1:6">
      <c r="A111" s="96"/>
      <c r="B111" s="88">
        <v>2008</v>
      </c>
      <c r="C111" s="88" t="s">
        <v>91</v>
      </c>
      <c r="D111" s="88" t="s">
        <v>94</v>
      </c>
      <c r="E111" s="95">
        <v>80</v>
      </c>
      <c r="F111" s="88">
        <v>2</v>
      </c>
    </row>
    <row r="112" spans="1:6">
      <c r="A112" s="96"/>
      <c r="B112" s="88">
        <v>3004</v>
      </c>
      <c r="C112" s="88" t="s">
        <v>88</v>
      </c>
      <c r="D112" s="88" t="s">
        <v>108</v>
      </c>
      <c r="E112" s="95">
        <v>0</v>
      </c>
      <c r="F112" s="88">
        <v>4</v>
      </c>
    </row>
    <row r="113" spans="1:6">
      <c r="A113" s="96"/>
      <c r="B113" s="88">
        <v>3501</v>
      </c>
      <c r="C113" s="88" t="s">
        <v>91</v>
      </c>
      <c r="D113" s="88" t="s">
        <v>108</v>
      </c>
      <c r="E113" s="95">
        <v>0</v>
      </c>
      <c r="F113" s="88">
        <v>4</v>
      </c>
    </row>
    <row r="114" spans="1:6">
      <c r="A114" s="96"/>
      <c r="B114" s="88">
        <v>4003</v>
      </c>
      <c r="C114" s="88" t="s">
        <v>88</v>
      </c>
      <c r="D114" s="88" t="s">
        <v>125</v>
      </c>
      <c r="E114" s="95">
        <v>0</v>
      </c>
      <c r="F114" s="88">
        <v>3</v>
      </c>
    </row>
    <row r="115" spans="1:6">
      <c r="A115" s="96"/>
      <c r="B115" s="88">
        <v>4004</v>
      </c>
      <c r="C115" s="88" t="s">
        <v>91</v>
      </c>
      <c r="D115" s="88" t="s">
        <v>125</v>
      </c>
      <c r="E115" s="95">
        <v>0</v>
      </c>
      <c r="F115" s="88">
        <v>3</v>
      </c>
    </row>
    <row r="116" spans="1:6">
      <c r="A116" s="96"/>
      <c r="B116" s="88">
        <v>3507</v>
      </c>
      <c r="C116" s="88" t="s">
        <v>91</v>
      </c>
      <c r="D116" s="88" t="s">
        <v>108</v>
      </c>
      <c r="E116" s="95">
        <v>160</v>
      </c>
      <c r="F116" s="88">
        <v>4</v>
      </c>
    </row>
    <row r="117" spans="1:6">
      <c r="A117" s="96"/>
      <c r="B117" s="88">
        <v>4008</v>
      </c>
      <c r="C117" s="88" t="s">
        <v>91</v>
      </c>
      <c r="D117" s="88" t="s">
        <v>125</v>
      </c>
      <c r="E117" s="95">
        <v>120</v>
      </c>
      <c r="F117" s="88">
        <v>3</v>
      </c>
    </row>
    <row r="118" spans="1:6">
      <c r="A118" s="96">
        <v>18</v>
      </c>
      <c r="B118" s="88">
        <v>1003</v>
      </c>
      <c r="C118" s="88" t="s">
        <v>88</v>
      </c>
      <c r="D118" s="88" t="s">
        <v>78</v>
      </c>
      <c r="E118" s="95">
        <v>60</v>
      </c>
      <c r="F118" s="88">
        <v>1</v>
      </c>
    </row>
    <row r="119" spans="1:6">
      <c r="A119" s="96"/>
      <c r="B119" s="88">
        <v>1004</v>
      </c>
      <c r="C119" s="88" t="s">
        <v>91</v>
      </c>
      <c r="D119" s="88" t="s">
        <v>78</v>
      </c>
      <c r="E119" s="95">
        <v>40</v>
      </c>
      <c r="F119" s="88">
        <v>1</v>
      </c>
    </row>
    <row r="120" spans="1:6">
      <c r="A120" s="96"/>
      <c r="B120" s="88">
        <v>2006</v>
      </c>
      <c r="C120" s="88" t="s">
        <v>88</v>
      </c>
      <c r="D120" s="88" t="s">
        <v>94</v>
      </c>
      <c r="E120" s="95">
        <v>120</v>
      </c>
      <c r="F120" s="88">
        <v>2</v>
      </c>
    </row>
    <row r="121" spans="1:6">
      <c r="A121" s="96"/>
      <c r="B121" s="88">
        <v>2008</v>
      </c>
      <c r="C121" s="88" t="s">
        <v>91</v>
      </c>
      <c r="D121" s="88" t="s">
        <v>94</v>
      </c>
      <c r="E121" s="95">
        <v>80</v>
      </c>
      <c r="F121" s="88">
        <v>2</v>
      </c>
    </row>
    <row r="122" spans="1:6">
      <c r="A122" s="96"/>
      <c r="B122" s="88">
        <v>3004</v>
      </c>
      <c r="C122" s="88" t="s">
        <v>88</v>
      </c>
      <c r="D122" s="88" t="s">
        <v>108</v>
      </c>
      <c r="E122" s="95">
        <v>0</v>
      </c>
      <c r="F122" s="88">
        <v>4</v>
      </c>
    </row>
    <row r="123" spans="1:6">
      <c r="A123" s="96"/>
      <c r="B123" s="88">
        <v>3501</v>
      </c>
      <c r="C123" s="88" t="s">
        <v>91</v>
      </c>
      <c r="D123" s="88" t="s">
        <v>108</v>
      </c>
      <c r="E123" s="95">
        <v>0</v>
      </c>
      <c r="F123" s="88">
        <v>4</v>
      </c>
    </row>
    <row r="124" spans="1:6">
      <c r="A124" s="96"/>
      <c r="B124" s="88">
        <v>4003</v>
      </c>
      <c r="C124" s="88" t="s">
        <v>88</v>
      </c>
      <c r="D124" s="88" t="s">
        <v>125</v>
      </c>
      <c r="E124" s="95">
        <v>0</v>
      </c>
      <c r="F124" s="88">
        <v>3</v>
      </c>
    </row>
    <row r="125" spans="1:6">
      <c r="A125" s="96"/>
      <c r="B125" s="88">
        <v>4004</v>
      </c>
      <c r="C125" s="88" t="s">
        <v>91</v>
      </c>
      <c r="D125" s="88" t="s">
        <v>125</v>
      </c>
      <c r="E125" s="95">
        <v>0</v>
      </c>
      <c r="F125" s="88">
        <v>3</v>
      </c>
    </row>
    <row r="126" spans="1:6">
      <c r="A126" s="96"/>
      <c r="B126" s="88">
        <v>3508</v>
      </c>
      <c r="C126" s="88" t="s">
        <v>91</v>
      </c>
      <c r="D126" s="88" t="s">
        <v>108</v>
      </c>
      <c r="E126" s="95">
        <v>160</v>
      </c>
      <c r="F126" s="88">
        <v>4</v>
      </c>
    </row>
    <row r="127" spans="1:6">
      <c r="A127" s="96"/>
      <c r="B127" s="88">
        <v>4009</v>
      </c>
      <c r="C127" s="88" t="s">
        <v>91</v>
      </c>
      <c r="D127" s="88" t="s">
        <v>125</v>
      </c>
      <c r="E127" s="95">
        <v>120</v>
      </c>
      <c r="F127" s="88">
        <v>3</v>
      </c>
    </row>
    <row r="128" spans="1:6">
      <c r="A128" s="96">
        <v>19</v>
      </c>
      <c r="B128" s="88">
        <v>1003</v>
      </c>
      <c r="C128" s="88" t="s">
        <v>88</v>
      </c>
      <c r="D128" s="88" t="s">
        <v>78</v>
      </c>
      <c r="E128" s="95">
        <v>60</v>
      </c>
      <c r="F128" s="88">
        <v>1</v>
      </c>
    </row>
    <row r="129" spans="1:6">
      <c r="A129" s="96"/>
      <c r="B129" s="88">
        <v>1004</v>
      </c>
      <c r="C129" s="88" t="s">
        <v>91</v>
      </c>
      <c r="D129" s="88" t="s">
        <v>78</v>
      </c>
      <c r="E129" s="95">
        <v>40</v>
      </c>
      <c r="F129" s="88">
        <v>1</v>
      </c>
    </row>
    <row r="130" spans="1:6">
      <c r="A130" s="96"/>
      <c r="B130" s="88">
        <v>2006</v>
      </c>
      <c r="C130" s="88" t="s">
        <v>88</v>
      </c>
      <c r="D130" s="88" t="s">
        <v>94</v>
      </c>
      <c r="E130" s="95">
        <v>120</v>
      </c>
      <c r="F130" s="88">
        <v>2</v>
      </c>
    </row>
    <row r="131" spans="1:6">
      <c r="A131" s="96"/>
      <c r="B131" s="88">
        <v>2008</v>
      </c>
      <c r="C131" s="88" t="s">
        <v>91</v>
      </c>
      <c r="D131" s="88" t="s">
        <v>94</v>
      </c>
      <c r="E131" s="95">
        <v>80</v>
      </c>
      <c r="F131" s="88">
        <v>2</v>
      </c>
    </row>
    <row r="132" spans="1:6">
      <c r="A132" s="96"/>
      <c r="B132" s="88">
        <v>3004</v>
      </c>
      <c r="C132" s="88" t="s">
        <v>88</v>
      </c>
      <c r="D132" s="88" t="s">
        <v>108</v>
      </c>
      <c r="E132" s="95">
        <v>0</v>
      </c>
      <c r="F132" s="88">
        <v>4</v>
      </c>
    </row>
    <row r="133" spans="1:6">
      <c r="A133" s="96"/>
      <c r="B133" s="88">
        <v>3501</v>
      </c>
      <c r="C133" s="88" t="s">
        <v>91</v>
      </c>
      <c r="D133" s="88" t="s">
        <v>108</v>
      </c>
      <c r="E133" s="95">
        <v>0</v>
      </c>
      <c r="F133" s="88">
        <v>4</v>
      </c>
    </row>
    <row r="134" spans="1:6">
      <c r="A134" s="96"/>
      <c r="B134" s="88">
        <v>4003</v>
      </c>
      <c r="C134" s="88" t="s">
        <v>88</v>
      </c>
      <c r="D134" s="88" t="s">
        <v>125</v>
      </c>
      <c r="E134" s="95">
        <v>0</v>
      </c>
      <c r="F134" s="88">
        <v>3</v>
      </c>
    </row>
    <row r="135" spans="1:6">
      <c r="A135" s="96"/>
      <c r="B135" s="88">
        <v>4004</v>
      </c>
      <c r="C135" s="88" t="s">
        <v>91</v>
      </c>
      <c r="D135" s="88" t="s">
        <v>125</v>
      </c>
      <c r="E135" s="95">
        <v>0</v>
      </c>
      <c r="F135" s="88">
        <v>3</v>
      </c>
    </row>
    <row r="136" spans="1:6">
      <c r="A136" s="96"/>
      <c r="B136" s="88">
        <v>3509</v>
      </c>
      <c r="C136" s="88" t="s">
        <v>91</v>
      </c>
      <c r="D136" s="88" t="s">
        <v>108</v>
      </c>
      <c r="E136" s="95">
        <v>160</v>
      </c>
      <c r="F136" s="88">
        <v>4</v>
      </c>
    </row>
    <row r="137" spans="1:6">
      <c r="A137" s="96"/>
      <c r="B137" s="88">
        <v>4010</v>
      </c>
      <c r="C137" s="88" t="s">
        <v>91</v>
      </c>
      <c r="D137" s="88" t="s">
        <v>125</v>
      </c>
      <c r="E137" s="95">
        <v>120</v>
      </c>
      <c r="F137" s="88">
        <v>3</v>
      </c>
    </row>
    <row r="138" spans="1:6">
      <c r="A138" s="96">
        <v>20</v>
      </c>
      <c r="B138" s="88">
        <v>1004</v>
      </c>
      <c r="C138" s="88" t="str">
        <f>VLOOKUP(B138,探索事件!A:C,3,FALSE)</f>
        <v>橙</v>
      </c>
      <c r="D138" s="88" t="str">
        <f>VLOOKUP(B138,探索事件!A:E,5,FALSE)</f>
        <v>对话</v>
      </c>
      <c r="E138" s="95">
        <v>40</v>
      </c>
      <c r="F138" s="88">
        <v>1</v>
      </c>
    </row>
    <row r="139" spans="1:6">
      <c r="B139" s="88">
        <v>2008</v>
      </c>
      <c r="C139" s="88" t="str">
        <f>VLOOKUP(B139,探索事件!A:C,3,FALSE)</f>
        <v>橙</v>
      </c>
      <c r="D139" s="88" t="str">
        <f>VLOOKUP(B139,探索事件!A:E,5,FALSE)</f>
        <v>委任</v>
      </c>
      <c r="E139" s="95">
        <v>80</v>
      </c>
      <c r="F139" s="88">
        <v>1</v>
      </c>
    </row>
    <row r="140" spans="1:6">
      <c r="B140" s="88">
        <v>3501</v>
      </c>
      <c r="C140" s="88" t="str">
        <f>VLOOKUP(B140,探索事件!A:C,3,FALSE)</f>
        <v>橙</v>
      </c>
      <c r="D140" s="88" t="str">
        <f>VLOOKUP(B140,探索事件!A:E,5,FALSE)</f>
        <v>大地图战斗</v>
      </c>
      <c r="E140" s="95">
        <v>0</v>
      </c>
      <c r="F140" s="88">
        <v>4</v>
      </c>
    </row>
    <row r="141" spans="1:6">
      <c r="B141" s="88">
        <v>4004</v>
      </c>
      <c r="C141" s="88" t="str">
        <f>VLOOKUP(B141,探索事件!A:C,3,FALSE)</f>
        <v>橙</v>
      </c>
      <c r="D141" s="88" t="str">
        <f>VLOOKUP(B141,探索事件!A:E,5,FALSE)</f>
        <v>大地图探索</v>
      </c>
      <c r="E141" s="95">
        <v>0</v>
      </c>
      <c r="F141" s="88">
        <v>3</v>
      </c>
    </row>
    <row r="142" spans="1:6">
      <c r="B142" s="88">
        <v>3504</v>
      </c>
      <c r="C142" s="88" t="str">
        <f>VLOOKUP(B142,探索事件!A:C,3,FALSE)</f>
        <v>橙</v>
      </c>
      <c r="D142" s="88" t="str">
        <f>VLOOKUP(B142,探索事件!A:E,5,FALSE)</f>
        <v>大地图战斗</v>
      </c>
      <c r="E142" s="95">
        <v>160</v>
      </c>
      <c r="F142" s="88">
        <v>4</v>
      </c>
    </row>
    <row r="143" spans="1:6">
      <c r="B143" s="88">
        <v>4005</v>
      </c>
      <c r="C143" s="88" t="str">
        <f>VLOOKUP(B143,探索事件!A:C,3,FALSE)</f>
        <v>橙</v>
      </c>
      <c r="D143" s="88" t="str">
        <f>VLOOKUP(B143,探索事件!A:E,5,FALSE)</f>
        <v>大地图探索</v>
      </c>
      <c r="E143" s="95">
        <v>120</v>
      </c>
      <c r="F143" s="88">
        <v>3</v>
      </c>
    </row>
  </sheetData>
  <phoneticPr fontId="5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zoomScale="205" zoomScaleNormal="205" workbookViewId="0">
      <selection activeCell="A23" sqref="A23"/>
    </sheetView>
  </sheetViews>
  <sheetFormatPr defaultColWidth="8" defaultRowHeight="14"/>
  <cols>
    <col min="1" max="1" width="11.53515625" style="75" customWidth="1"/>
    <col min="2" max="2" width="28.53515625" style="75" customWidth="1"/>
    <col min="3" max="3" width="38.3046875" style="75" customWidth="1"/>
    <col min="4" max="4" width="18.69140625" style="75" customWidth="1"/>
    <col min="5" max="5" width="17.53515625" style="75" customWidth="1"/>
    <col min="6" max="6" width="23.53515625" style="75" customWidth="1"/>
    <col min="7" max="8" width="18.53515625" style="75" customWidth="1"/>
    <col min="9" max="9" width="19.23046875" style="75" customWidth="1"/>
    <col min="10" max="12" width="18.53515625" style="75" customWidth="1"/>
    <col min="13" max="13" width="25.3046875" style="75" customWidth="1"/>
    <col min="14" max="14" width="23.765625" style="75" customWidth="1"/>
    <col min="15" max="15" width="25.3046875" style="75" customWidth="1"/>
    <col min="16" max="16" width="16.3046875" style="75" customWidth="1"/>
    <col min="17" max="17" width="26.69140625" style="75" customWidth="1"/>
    <col min="18" max="19" width="14.4609375" style="75" customWidth="1"/>
    <col min="20" max="20" width="15.4609375" style="75" customWidth="1"/>
    <col min="21" max="21" width="20" style="75" customWidth="1"/>
    <col min="22" max="23" width="18" style="75" customWidth="1"/>
    <col min="24" max="24" width="14.53515625" style="75" customWidth="1"/>
    <col min="25" max="25" width="15.84375" style="75" customWidth="1"/>
    <col min="26" max="26" width="17.07421875" style="75" customWidth="1"/>
    <col min="27" max="27" width="16.3046875" style="75" customWidth="1"/>
    <col min="28" max="16384" width="8" style="75"/>
  </cols>
  <sheetData>
    <row r="1" spans="1:14">
      <c r="A1" s="76" t="s">
        <v>374</v>
      </c>
      <c r="B1" s="77"/>
      <c r="C1" s="77"/>
      <c r="D1" s="78"/>
    </row>
    <row r="2" spans="1:14" s="74" customFormat="1">
      <c r="A2" s="79" t="s">
        <v>375</v>
      </c>
      <c r="B2" s="79" t="s">
        <v>1</v>
      </c>
      <c r="C2" s="79" t="s">
        <v>2</v>
      </c>
      <c r="D2" s="79"/>
      <c r="E2" s="79"/>
      <c r="F2" s="79"/>
      <c r="G2" s="79"/>
      <c r="H2" s="79"/>
      <c r="I2" s="83"/>
      <c r="J2" s="79"/>
      <c r="K2" s="79"/>
      <c r="L2" s="79"/>
      <c r="M2" s="79"/>
      <c r="N2" s="79"/>
    </row>
    <row r="3" spans="1:14">
      <c r="A3" s="80" t="s">
        <v>63</v>
      </c>
      <c r="B3" s="80" t="s">
        <v>376</v>
      </c>
      <c r="C3" s="80" t="s">
        <v>377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spans="1:14">
      <c r="A4" s="82" t="s">
        <v>77</v>
      </c>
      <c r="B4" s="82" t="s">
        <v>27</v>
      </c>
      <c r="C4" s="82" t="s">
        <v>378</v>
      </c>
    </row>
    <row r="5" spans="1:14">
      <c r="A5" s="82" t="s">
        <v>82</v>
      </c>
      <c r="B5" s="82" t="s">
        <v>27</v>
      </c>
      <c r="C5" s="82" t="s">
        <v>379</v>
      </c>
    </row>
    <row r="6" spans="1:14">
      <c r="A6" s="82" t="s">
        <v>85</v>
      </c>
      <c r="B6" s="82" t="s">
        <v>27</v>
      </c>
      <c r="C6" s="82" t="s">
        <v>380</v>
      </c>
    </row>
    <row r="7" spans="1:14">
      <c r="A7" s="82" t="s">
        <v>88</v>
      </c>
      <c r="B7" s="82" t="s">
        <v>27</v>
      </c>
      <c r="C7" s="82" t="s">
        <v>381</v>
      </c>
    </row>
    <row r="8" spans="1:14">
      <c r="A8" s="82" t="s">
        <v>91</v>
      </c>
      <c r="B8" s="82" t="s">
        <v>27</v>
      </c>
      <c r="C8" s="82" t="s">
        <v>382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"/>
  <sheetViews>
    <sheetView zoomScale="130" zoomScaleNormal="130" workbookViewId="0">
      <selection activeCell="E8" sqref="E8"/>
    </sheetView>
  </sheetViews>
  <sheetFormatPr defaultColWidth="8" defaultRowHeight="14.5"/>
  <cols>
    <col min="1" max="1" width="11.53515625" style="68" customWidth="1"/>
    <col min="2" max="2" width="28.53515625" style="68" customWidth="1"/>
    <col min="3" max="3" width="28.84375" style="68" customWidth="1"/>
    <col min="4" max="4" width="24.84375" style="68" customWidth="1"/>
    <col min="5" max="5" width="42.84375" style="68" customWidth="1"/>
    <col min="6" max="6" width="36.4609375" style="68" customWidth="1"/>
    <col min="7" max="7" width="23.53515625" style="68" customWidth="1"/>
    <col min="8" max="9" width="18.53515625" style="68" customWidth="1"/>
    <col min="10" max="10" width="19.23046875" style="68" customWidth="1"/>
    <col min="11" max="13" width="18.53515625" style="68" customWidth="1"/>
    <col min="14" max="14" width="25.3046875" style="68" customWidth="1"/>
    <col min="15" max="15" width="23.765625" style="68" customWidth="1"/>
    <col min="16" max="16" width="25.3046875" style="68" customWidth="1"/>
    <col min="17" max="17" width="16.3046875" style="68" customWidth="1"/>
    <col min="18" max="18" width="26.69140625" style="68" customWidth="1"/>
    <col min="19" max="20" width="14.4609375" style="68" customWidth="1"/>
    <col min="21" max="21" width="15.4609375" style="68" customWidth="1"/>
    <col min="22" max="22" width="20" style="68" customWidth="1"/>
    <col min="23" max="24" width="18" style="68" customWidth="1"/>
    <col min="25" max="25" width="14.53515625" style="68" customWidth="1"/>
    <col min="26" max="26" width="15.84375" style="68" customWidth="1"/>
    <col min="27" max="27" width="17.07421875" style="68" customWidth="1"/>
    <col min="28" max="28" width="16.3046875" style="68" customWidth="1"/>
    <col min="29" max="16384" width="8" style="68"/>
  </cols>
  <sheetData>
    <row r="1" spans="1:15">
      <c r="A1" s="69" t="s">
        <v>383</v>
      </c>
      <c r="B1" s="70"/>
      <c r="C1" s="70"/>
      <c r="D1" s="70"/>
      <c r="E1" s="70"/>
    </row>
    <row r="2" spans="1:15" s="66" customFormat="1">
      <c r="A2" s="71" t="s">
        <v>384</v>
      </c>
      <c r="B2" s="71" t="s">
        <v>385</v>
      </c>
      <c r="C2" s="71" t="s">
        <v>386</v>
      </c>
      <c r="D2" s="71" t="s">
        <v>1</v>
      </c>
      <c r="E2" s="71" t="s">
        <v>2</v>
      </c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>
      <c r="A3" s="72" t="s">
        <v>62</v>
      </c>
      <c r="B3" s="72" t="s">
        <v>387</v>
      </c>
      <c r="C3" s="72" t="s">
        <v>388</v>
      </c>
      <c r="D3" s="72" t="s">
        <v>387</v>
      </c>
      <c r="E3" s="72" t="s">
        <v>647</v>
      </c>
      <c r="F3" s="72" t="s">
        <v>389</v>
      </c>
      <c r="G3" s="72"/>
      <c r="H3" s="72"/>
      <c r="I3" s="72"/>
      <c r="J3" s="72"/>
      <c r="K3" s="72"/>
      <c r="L3" s="72"/>
      <c r="M3" s="72"/>
      <c r="N3" s="72"/>
      <c r="O3" s="72"/>
    </row>
    <row r="4" spans="1:15" s="67" customFormat="1">
      <c r="A4" s="67">
        <v>1</v>
      </c>
      <c r="B4" s="67" t="s">
        <v>390</v>
      </c>
      <c r="C4" s="67" t="s">
        <v>391</v>
      </c>
      <c r="D4" s="67" t="s">
        <v>27</v>
      </c>
      <c r="E4" s="67" t="str">
        <f>G4&amp;H4</f>
        <v>explorationLevel{level:1}</v>
      </c>
      <c r="G4" s="67" t="s">
        <v>644</v>
      </c>
      <c r="H4" s="67" t="s">
        <v>624</v>
      </c>
    </row>
    <row r="5" spans="1:15" s="67" customFormat="1">
      <c r="A5" s="67">
        <v>2</v>
      </c>
      <c r="B5" s="67" t="s">
        <v>390</v>
      </c>
      <c r="C5" s="67" t="s">
        <v>392</v>
      </c>
      <c r="D5" s="67" t="s">
        <v>27</v>
      </c>
      <c r="E5" s="67" t="str">
        <f t="shared" ref="E5:E23" si="0">G5&amp;H5</f>
        <v>explorationLevel{level:2}</v>
      </c>
      <c r="G5" s="67" t="s">
        <v>644</v>
      </c>
      <c r="H5" s="67" t="s">
        <v>625</v>
      </c>
    </row>
    <row r="6" spans="1:15" s="67" customFormat="1">
      <c r="A6" s="67">
        <v>3</v>
      </c>
      <c r="B6" s="67" t="s">
        <v>390</v>
      </c>
      <c r="C6" s="67" t="s">
        <v>393</v>
      </c>
      <c r="D6" s="67" t="s">
        <v>27</v>
      </c>
      <c r="E6" s="67" t="str">
        <f t="shared" si="0"/>
        <v>explorationLevel{level:3}</v>
      </c>
      <c r="G6" s="67" t="s">
        <v>644</v>
      </c>
      <c r="H6" s="67" t="s">
        <v>626</v>
      </c>
    </row>
    <row r="7" spans="1:15">
      <c r="A7" s="67">
        <v>4</v>
      </c>
      <c r="B7" s="67" t="s">
        <v>390</v>
      </c>
      <c r="C7" s="73" t="s">
        <v>394</v>
      </c>
      <c r="D7" s="67" t="s">
        <v>27</v>
      </c>
      <c r="E7" s="67" t="str">
        <f t="shared" si="0"/>
        <v>explorationLevel{level:4}</v>
      </c>
      <c r="F7" s="67"/>
      <c r="G7" s="67" t="s">
        <v>644</v>
      </c>
      <c r="H7" s="67" t="s">
        <v>627</v>
      </c>
    </row>
    <row r="8" spans="1:15">
      <c r="A8" s="67">
        <v>5</v>
      </c>
      <c r="B8" s="67" t="s">
        <v>390</v>
      </c>
      <c r="C8" s="73" t="s">
        <v>395</v>
      </c>
      <c r="D8" s="67" t="s">
        <v>27</v>
      </c>
      <c r="E8" s="67" t="str">
        <f t="shared" si="0"/>
        <v>explorationLevel{level:5}</v>
      </c>
      <c r="F8" s="67"/>
      <c r="G8" s="67" t="s">
        <v>644</v>
      </c>
      <c r="H8" s="67" t="s">
        <v>628</v>
      </c>
    </row>
    <row r="9" spans="1:15">
      <c r="A9" s="67">
        <v>6</v>
      </c>
      <c r="B9" s="67" t="s">
        <v>390</v>
      </c>
      <c r="C9" s="73" t="s">
        <v>396</v>
      </c>
      <c r="D9" s="67" t="s">
        <v>27</v>
      </c>
      <c r="E9" s="67" t="str">
        <f t="shared" si="0"/>
        <v>explorationLevel{level:6}</v>
      </c>
      <c r="F9" s="67"/>
      <c r="G9" s="67" t="s">
        <v>644</v>
      </c>
      <c r="H9" s="67" t="s">
        <v>629</v>
      </c>
    </row>
    <row r="10" spans="1:15">
      <c r="A10" s="67">
        <v>7</v>
      </c>
      <c r="B10" s="67" t="s">
        <v>390</v>
      </c>
      <c r="C10" s="73" t="s">
        <v>397</v>
      </c>
      <c r="D10" s="67" t="s">
        <v>27</v>
      </c>
      <c r="E10" s="67" t="str">
        <f t="shared" si="0"/>
        <v>explorationLevel{level:7}</v>
      </c>
      <c r="F10" s="67"/>
      <c r="G10" s="67" t="s">
        <v>644</v>
      </c>
      <c r="H10" s="67" t="s">
        <v>630</v>
      </c>
    </row>
    <row r="11" spans="1:15">
      <c r="A11" s="67">
        <v>8</v>
      </c>
      <c r="B11" s="67" t="s">
        <v>390</v>
      </c>
      <c r="C11" s="73" t="s">
        <v>398</v>
      </c>
      <c r="D11" s="67" t="s">
        <v>27</v>
      </c>
      <c r="E11" s="67" t="str">
        <f t="shared" si="0"/>
        <v>explorationLevel{level:8}</v>
      </c>
      <c r="F11" s="67"/>
      <c r="G11" s="67" t="s">
        <v>644</v>
      </c>
      <c r="H11" s="67" t="s">
        <v>631</v>
      </c>
    </row>
    <row r="12" spans="1:15">
      <c r="A12" s="67">
        <v>9</v>
      </c>
      <c r="B12" s="67" t="s">
        <v>390</v>
      </c>
      <c r="C12" s="73" t="s">
        <v>399</v>
      </c>
      <c r="D12" s="67" t="s">
        <v>27</v>
      </c>
      <c r="E12" s="67" t="str">
        <f t="shared" si="0"/>
        <v>explorationLevel{level:9}</v>
      </c>
      <c r="F12" s="67"/>
      <c r="G12" s="67" t="s">
        <v>644</v>
      </c>
      <c r="H12" s="67" t="s">
        <v>632</v>
      </c>
    </row>
    <row r="13" spans="1:15">
      <c r="A13" s="67">
        <v>10</v>
      </c>
      <c r="B13" s="67" t="s">
        <v>390</v>
      </c>
      <c r="C13" s="73" t="s">
        <v>400</v>
      </c>
      <c r="D13" s="67" t="s">
        <v>27</v>
      </c>
      <c r="E13" s="67" t="str">
        <f t="shared" si="0"/>
        <v>explorationLevel{level:10}</v>
      </c>
      <c r="F13" s="67"/>
      <c r="G13" s="67" t="s">
        <v>644</v>
      </c>
      <c r="H13" s="67" t="s">
        <v>633</v>
      </c>
    </row>
    <row r="14" spans="1:15">
      <c r="A14" s="67">
        <v>11</v>
      </c>
      <c r="B14" s="67" t="s">
        <v>390</v>
      </c>
      <c r="C14" s="73" t="s">
        <v>401</v>
      </c>
      <c r="D14" s="67" t="s">
        <v>27</v>
      </c>
      <c r="E14" s="67" t="str">
        <f t="shared" si="0"/>
        <v>explorationLevel{level:11}</v>
      </c>
      <c r="F14" s="67"/>
      <c r="G14" s="67" t="s">
        <v>644</v>
      </c>
      <c r="H14" s="67" t="s">
        <v>634</v>
      </c>
    </row>
    <row r="15" spans="1:15">
      <c r="A15" s="67">
        <v>12</v>
      </c>
      <c r="B15" s="67" t="s">
        <v>390</v>
      </c>
      <c r="C15" s="73" t="s">
        <v>402</v>
      </c>
      <c r="D15" s="67" t="s">
        <v>27</v>
      </c>
      <c r="E15" s="67" t="str">
        <f t="shared" si="0"/>
        <v>explorationLevel{level:12}</v>
      </c>
      <c r="F15" s="67"/>
      <c r="G15" s="67" t="s">
        <v>644</v>
      </c>
      <c r="H15" s="67" t="s">
        <v>635</v>
      </c>
    </row>
    <row r="16" spans="1:15">
      <c r="A16" s="67">
        <v>13</v>
      </c>
      <c r="B16" s="67" t="s">
        <v>390</v>
      </c>
      <c r="C16" s="73" t="s">
        <v>403</v>
      </c>
      <c r="D16" s="67" t="s">
        <v>27</v>
      </c>
      <c r="E16" s="67" t="str">
        <f t="shared" si="0"/>
        <v>explorationLevel{level:13}</v>
      </c>
      <c r="F16" s="67"/>
      <c r="G16" s="67" t="s">
        <v>644</v>
      </c>
      <c r="H16" s="67" t="s">
        <v>636</v>
      </c>
    </row>
    <row r="17" spans="1:8">
      <c r="A17" s="67">
        <v>14</v>
      </c>
      <c r="B17" s="67" t="s">
        <v>390</v>
      </c>
      <c r="C17" s="73" t="s">
        <v>404</v>
      </c>
      <c r="D17" s="67" t="s">
        <v>27</v>
      </c>
      <c r="E17" s="67" t="str">
        <f t="shared" si="0"/>
        <v>explorationLevel{level:14}</v>
      </c>
      <c r="F17" s="67"/>
      <c r="G17" s="67" t="s">
        <v>644</v>
      </c>
      <c r="H17" s="67" t="s">
        <v>637</v>
      </c>
    </row>
    <row r="18" spans="1:8">
      <c r="A18" s="67">
        <v>15</v>
      </c>
      <c r="B18" s="67" t="s">
        <v>390</v>
      </c>
      <c r="C18" s="73" t="s">
        <v>405</v>
      </c>
      <c r="D18" s="67" t="s">
        <v>27</v>
      </c>
      <c r="E18" s="67" t="str">
        <f t="shared" si="0"/>
        <v>explorationLevel{level:15}</v>
      </c>
      <c r="F18" s="67"/>
      <c r="G18" s="67" t="s">
        <v>644</v>
      </c>
      <c r="H18" s="67" t="s">
        <v>638</v>
      </c>
    </row>
    <row r="19" spans="1:8">
      <c r="A19" s="67">
        <v>16</v>
      </c>
      <c r="B19" s="67" t="s">
        <v>390</v>
      </c>
      <c r="C19" s="73" t="s">
        <v>406</v>
      </c>
      <c r="D19" s="67" t="s">
        <v>27</v>
      </c>
      <c r="E19" s="67" t="str">
        <f t="shared" si="0"/>
        <v>explorationLevel{level:16}</v>
      </c>
      <c r="F19" s="67"/>
      <c r="G19" s="67" t="s">
        <v>644</v>
      </c>
      <c r="H19" s="67" t="s">
        <v>639</v>
      </c>
    </row>
    <row r="20" spans="1:8">
      <c r="A20" s="67">
        <v>17</v>
      </c>
      <c r="B20" s="67" t="s">
        <v>390</v>
      </c>
      <c r="C20" s="73" t="s">
        <v>407</v>
      </c>
      <c r="D20" s="67" t="s">
        <v>27</v>
      </c>
      <c r="E20" s="67" t="str">
        <f t="shared" si="0"/>
        <v>explorationLevel{level:17}</v>
      </c>
      <c r="F20" s="67"/>
      <c r="G20" s="67" t="s">
        <v>644</v>
      </c>
      <c r="H20" s="67" t="s">
        <v>640</v>
      </c>
    </row>
    <row r="21" spans="1:8">
      <c r="A21" s="67">
        <v>18</v>
      </c>
      <c r="B21" s="67" t="s">
        <v>390</v>
      </c>
      <c r="C21" s="73" t="s">
        <v>408</v>
      </c>
      <c r="D21" s="67" t="s">
        <v>27</v>
      </c>
      <c r="E21" s="67" t="str">
        <f t="shared" si="0"/>
        <v>explorationLevel{level:18}</v>
      </c>
      <c r="F21" s="67"/>
      <c r="G21" s="67" t="s">
        <v>644</v>
      </c>
      <c r="H21" s="67" t="s">
        <v>641</v>
      </c>
    </row>
    <row r="22" spans="1:8">
      <c r="A22" s="67">
        <v>19</v>
      </c>
      <c r="B22" s="67" t="s">
        <v>390</v>
      </c>
      <c r="C22" s="73" t="s">
        <v>409</v>
      </c>
      <c r="D22" s="67" t="s">
        <v>27</v>
      </c>
      <c r="E22" s="67" t="str">
        <f t="shared" si="0"/>
        <v>explorationLevel{level:19}</v>
      </c>
      <c r="F22" s="67"/>
      <c r="G22" s="67" t="s">
        <v>644</v>
      </c>
      <c r="H22" s="67" t="s">
        <v>642</v>
      </c>
    </row>
    <row r="23" spans="1:8">
      <c r="A23" s="67">
        <v>20</v>
      </c>
      <c r="B23" s="67" t="s">
        <v>390</v>
      </c>
      <c r="C23" s="73" t="s">
        <v>410</v>
      </c>
      <c r="D23" s="67" t="s">
        <v>27</v>
      </c>
      <c r="E23" s="67" t="str">
        <f t="shared" si="0"/>
        <v>explorationLevel{level:20}</v>
      </c>
      <c r="F23" s="67"/>
      <c r="G23" s="67" t="s">
        <v>644</v>
      </c>
      <c r="H23" s="67" t="s">
        <v>643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71"/>
  <sheetViews>
    <sheetView topLeftCell="A147" workbookViewId="0">
      <selection activeCell="G174" sqref="G174"/>
    </sheetView>
  </sheetViews>
  <sheetFormatPr defaultColWidth="9" defaultRowHeight="16.5"/>
  <cols>
    <col min="1" max="1" width="20.23046875" customWidth="1"/>
    <col min="5" max="5" width="35.3046875" customWidth="1"/>
    <col min="6" max="6" width="27.84375" customWidth="1"/>
    <col min="7" max="7" width="72.07421875" customWidth="1"/>
  </cols>
  <sheetData>
    <row r="1" spans="1:7">
      <c r="A1" t="s">
        <v>411</v>
      </c>
    </row>
    <row r="2" spans="1:7">
      <c r="A2" t="s">
        <v>412</v>
      </c>
      <c r="B2" t="s">
        <v>413</v>
      </c>
      <c r="C2" t="s">
        <v>414</v>
      </c>
      <c r="D2" t="s">
        <v>415</v>
      </c>
      <c r="E2" t="s">
        <v>416</v>
      </c>
      <c r="F2" t="s">
        <v>417</v>
      </c>
      <c r="G2" t="s">
        <v>418</v>
      </c>
    </row>
    <row r="3" spans="1:7">
      <c r="A3" t="s">
        <v>62</v>
      </c>
      <c r="B3" t="s">
        <v>419</v>
      </c>
      <c r="C3" t="s">
        <v>420</v>
      </c>
      <c r="D3" t="s">
        <v>421</v>
      </c>
      <c r="E3" t="s">
        <v>422</v>
      </c>
      <c r="F3" t="s">
        <v>423</v>
      </c>
      <c r="G3" t="s">
        <v>424</v>
      </c>
    </row>
    <row r="4" spans="1:7">
      <c r="A4">
        <v>11001</v>
      </c>
      <c r="B4">
        <v>3</v>
      </c>
      <c r="C4">
        <v>5400</v>
      </c>
      <c r="D4" t="s">
        <v>425</v>
      </c>
      <c r="E4" t="s">
        <v>441</v>
      </c>
      <c r="F4" t="s">
        <v>426</v>
      </c>
      <c r="G4" t="s">
        <v>427</v>
      </c>
    </row>
    <row r="5" spans="1:7">
      <c r="D5" t="s">
        <v>428</v>
      </c>
      <c r="E5" t="s">
        <v>429</v>
      </c>
      <c r="F5" t="s">
        <v>430</v>
      </c>
      <c r="G5" s="11" t="s">
        <v>603</v>
      </c>
    </row>
    <row r="6" spans="1:7">
      <c r="D6" t="s">
        <v>432</v>
      </c>
      <c r="E6" t="s">
        <v>433</v>
      </c>
      <c r="F6" t="s">
        <v>430</v>
      </c>
      <c r="G6" s="11" t="s">
        <v>602</v>
      </c>
    </row>
    <row r="7" spans="1:7">
      <c r="A7">
        <v>11002</v>
      </c>
      <c r="B7">
        <v>3</v>
      </c>
      <c r="C7">
        <v>5400</v>
      </c>
      <c r="D7" t="s">
        <v>425</v>
      </c>
      <c r="E7" t="s">
        <v>441</v>
      </c>
      <c r="F7" t="s">
        <v>426</v>
      </c>
      <c r="G7" t="s">
        <v>427</v>
      </c>
    </row>
    <row r="8" spans="1:7">
      <c r="D8" t="s">
        <v>428</v>
      </c>
      <c r="E8" t="s">
        <v>435</v>
      </c>
      <c r="F8" t="s">
        <v>430</v>
      </c>
      <c r="G8" t="s">
        <v>436</v>
      </c>
    </row>
    <row r="9" spans="1:7">
      <c r="D9" t="s">
        <v>432</v>
      </c>
      <c r="E9" t="s">
        <v>433</v>
      </c>
      <c r="F9" t="s">
        <v>430</v>
      </c>
      <c r="G9" s="11" t="s">
        <v>602</v>
      </c>
    </row>
    <row r="10" spans="1:7">
      <c r="A10">
        <v>11003</v>
      </c>
      <c r="B10">
        <v>3</v>
      </c>
      <c r="C10">
        <v>5400</v>
      </c>
      <c r="D10" t="s">
        <v>425</v>
      </c>
      <c r="E10" t="s">
        <v>441</v>
      </c>
      <c r="F10" t="s">
        <v>426</v>
      </c>
      <c r="G10" t="s">
        <v>427</v>
      </c>
    </row>
    <row r="11" spans="1:7">
      <c r="D11" t="s">
        <v>428</v>
      </c>
      <c r="E11" t="s">
        <v>437</v>
      </c>
      <c r="F11" t="s">
        <v>430</v>
      </c>
      <c r="G11" s="11" t="s">
        <v>610</v>
      </c>
    </row>
    <row r="12" spans="1:7">
      <c r="D12" t="s">
        <v>432</v>
      </c>
      <c r="E12" t="s">
        <v>433</v>
      </c>
      <c r="F12" t="s">
        <v>430</v>
      </c>
      <c r="G12" t="s">
        <v>434</v>
      </c>
    </row>
    <row r="13" spans="1:7">
      <c r="A13">
        <v>11004</v>
      </c>
      <c r="B13">
        <v>3</v>
      </c>
      <c r="C13">
        <v>5400</v>
      </c>
      <c r="D13" t="s">
        <v>425</v>
      </c>
      <c r="E13" t="s">
        <v>441</v>
      </c>
      <c r="F13" t="s">
        <v>426</v>
      </c>
      <c r="G13" t="s">
        <v>427</v>
      </c>
    </row>
    <row r="14" spans="1:7">
      <c r="D14" t="s">
        <v>428</v>
      </c>
      <c r="E14" t="s">
        <v>439</v>
      </c>
      <c r="F14" t="s">
        <v>430</v>
      </c>
      <c r="G14" s="11" t="s">
        <v>620</v>
      </c>
    </row>
    <row r="15" spans="1:7">
      <c r="D15" t="s">
        <v>432</v>
      </c>
      <c r="E15" t="s">
        <v>433</v>
      </c>
      <c r="F15" t="s">
        <v>430</v>
      </c>
      <c r="G15" t="s">
        <v>434</v>
      </c>
    </row>
    <row r="16" spans="1:7">
      <c r="A16">
        <v>11005</v>
      </c>
      <c r="B16">
        <v>3</v>
      </c>
      <c r="C16">
        <v>5400</v>
      </c>
      <c r="D16" t="s">
        <v>425</v>
      </c>
      <c r="E16" t="s">
        <v>441</v>
      </c>
      <c r="F16" t="s">
        <v>426</v>
      </c>
      <c r="G16" t="s">
        <v>427</v>
      </c>
    </row>
    <row r="17" spans="1:12">
      <c r="D17" t="s">
        <v>428</v>
      </c>
      <c r="E17" t="s">
        <v>429</v>
      </c>
      <c r="F17" t="s">
        <v>430</v>
      </c>
      <c r="G17" t="s">
        <v>431</v>
      </c>
    </row>
    <row r="18" spans="1:12">
      <c r="D18" t="s">
        <v>432</v>
      </c>
      <c r="E18" t="s">
        <v>433</v>
      </c>
      <c r="F18" t="s">
        <v>430</v>
      </c>
      <c r="G18" t="s">
        <v>434</v>
      </c>
    </row>
    <row r="19" spans="1:12">
      <c r="A19">
        <v>11006</v>
      </c>
      <c r="B19">
        <v>3</v>
      </c>
      <c r="C19">
        <v>5400</v>
      </c>
      <c r="D19" t="s">
        <v>425</v>
      </c>
      <c r="E19" t="s">
        <v>441</v>
      </c>
      <c r="F19" t="s">
        <v>426</v>
      </c>
      <c r="G19" t="s">
        <v>427</v>
      </c>
    </row>
    <row r="20" spans="1:12">
      <c r="D20" t="s">
        <v>428</v>
      </c>
      <c r="E20" t="s">
        <v>435</v>
      </c>
      <c r="F20" t="s">
        <v>430</v>
      </c>
      <c r="G20" t="s">
        <v>436</v>
      </c>
    </row>
    <row r="21" spans="1:12">
      <c r="D21" t="s">
        <v>432</v>
      </c>
      <c r="E21" t="s">
        <v>433</v>
      </c>
      <c r="F21" t="s">
        <v>430</v>
      </c>
      <c r="G21" t="s">
        <v>434</v>
      </c>
    </row>
    <row r="22" spans="1:12">
      <c r="A22">
        <v>11007</v>
      </c>
      <c r="B22">
        <v>3</v>
      </c>
      <c r="C22">
        <v>5400</v>
      </c>
      <c r="D22" t="s">
        <v>425</v>
      </c>
      <c r="E22" t="s">
        <v>441</v>
      </c>
      <c r="F22" t="s">
        <v>426</v>
      </c>
      <c r="G22" t="s">
        <v>427</v>
      </c>
    </row>
    <row r="23" spans="1:12">
      <c r="D23" t="s">
        <v>428</v>
      </c>
      <c r="E23" t="s">
        <v>437</v>
      </c>
      <c r="F23" t="s">
        <v>430</v>
      </c>
      <c r="G23" t="s">
        <v>438</v>
      </c>
    </row>
    <row r="24" spans="1:12">
      <c r="D24" t="s">
        <v>432</v>
      </c>
      <c r="E24" t="s">
        <v>433</v>
      </c>
      <c r="F24" t="s">
        <v>430</v>
      </c>
      <c r="G24" t="s">
        <v>434</v>
      </c>
    </row>
    <row r="25" spans="1:12">
      <c r="A25">
        <v>11008</v>
      </c>
      <c r="B25">
        <v>3</v>
      </c>
      <c r="C25">
        <v>5400</v>
      </c>
      <c r="D25" t="s">
        <v>425</v>
      </c>
      <c r="E25" t="s">
        <v>441</v>
      </c>
      <c r="F25" t="s">
        <v>426</v>
      </c>
      <c r="G25" t="s">
        <v>427</v>
      </c>
      <c r="L25" t="str">
        <f>_xlfn.TEXTJOIN(";",TRUE,A4:A40)</f>
        <v>11001;11002;11003;11004;11005;11006;11007;11008;11009;11010;11011;11012;11013</v>
      </c>
    </row>
    <row r="26" spans="1:12">
      <c r="D26" t="s">
        <v>428</v>
      </c>
      <c r="E26" t="s">
        <v>439</v>
      </c>
      <c r="F26" t="s">
        <v>430</v>
      </c>
      <c r="G26" t="s">
        <v>440</v>
      </c>
    </row>
    <row r="27" spans="1:12">
      <c r="D27" t="s">
        <v>432</v>
      </c>
      <c r="E27" t="s">
        <v>433</v>
      </c>
      <c r="F27" t="s">
        <v>430</v>
      </c>
      <c r="G27" t="s">
        <v>434</v>
      </c>
    </row>
    <row r="28" spans="1:12">
      <c r="A28">
        <v>11009</v>
      </c>
      <c r="B28">
        <v>3</v>
      </c>
      <c r="C28">
        <v>5400</v>
      </c>
      <c r="D28" t="s">
        <v>425</v>
      </c>
      <c r="E28" t="s">
        <v>441</v>
      </c>
      <c r="F28" t="s">
        <v>426</v>
      </c>
      <c r="G28" t="s">
        <v>427</v>
      </c>
    </row>
    <row r="29" spans="1:12">
      <c r="D29" t="s">
        <v>428</v>
      </c>
      <c r="E29" t="s">
        <v>429</v>
      </c>
      <c r="F29" t="s">
        <v>430</v>
      </c>
      <c r="G29" t="s">
        <v>431</v>
      </c>
    </row>
    <row r="30" spans="1:12">
      <c r="D30" t="s">
        <v>432</v>
      </c>
      <c r="E30" t="s">
        <v>433</v>
      </c>
      <c r="F30" t="s">
        <v>430</v>
      </c>
      <c r="G30" t="s">
        <v>434</v>
      </c>
    </row>
    <row r="31" spans="1:12">
      <c r="A31">
        <v>11010</v>
      </c>
      <c r="B31">
        <v>3</v>
      </c>
      <c r="C31">
        <v>5400</v>
      </c>
      <c r="D31" t="s">
        <v>425</v>
      </c>
      <c r="E31" t="s">
        <v>441</v>
      </c>
      <c r="F31" t="s">
        <v>426</v>
      </c>
      <c r="G31" t="s">
        <v>427</v>
      </c>
    </row>
    <row r="32" spans="1:12">
      <c r="D32" t="s">
        <v>428</v>
      </c>
      <c r="E32" t="s">
        <v>435</v>
      </c>
      <c r="F32" t="s">
        <v>430</v>
      </c>
      <c r="G32" t="s">
        <v>436</v>
      </c>
    </row>
    <row r="33" spans="1:7">
      <c r="D33" t="s">
        <v>432</v>
      </c>
      <c r="E33" t="s">
        <v>433</v>
      </c>
      <c r="F33" t="s">
        <v>430</v>
      </c>
      <c r="G33" t="s">
        <v>434</v>
      </c>
    </row>
    <row r="34" spans="1:7">
      <c r="A34">
        <v>11011</v>
      </c>
      <c r="B34">
        <v>3</v>
      </c>
      <c r="C34">
        <v>5400</v>
      </c>
      <c r="D34" t="s">
        <v>425</v>
      </c>
      <c r="E34" t="s">
        <v>441</v>
      </c>
      <c r="F34" t="s">
        <v>426</v>
      </c>
      <c r="G34" t="s">
        <v>427</v>
      </c>
    </row>
    <row r="35" spans="1:7">
      <c r="D35" t="s">
        <v>428</v>
      </c>
      <c r="E35" t="s">
        <v>437</v>
      </c>
      <c r="F35" t="s">
        <v>430</v>
      </c>
      <c r="G35" t="s">
        <v>438</v>
      </c>
    </row>
    <row r="36" spans="1:7">
      <c r="D36" t="s">
        <v>432</v>
      </c>
      <c r="E36" t="s">
        <v>433</v>
      </c>
      <c r="F36" t="s">
        <v>430</v>
      </c>
      <c r="G36" t="s">
        <v>434</v>
      </c>
    </row>
    <row r="37" spans="1:7">
      <c r="A37">
        <v>11012</v>
      </c>
      <c r="B37">
        <v>3</v>
      </c>
      <c r="C37">
        <v>5400</v>
      </c>
      <c r="D37" t="s">
        <v>425</v>
      </c>
      <c r="E37" t="s">
        <v>441</v>
      </c>
      <c r="F37" t="s">
        <v>426</v>
      </c>
      <c r="G37" t="s">
        <v>427</v>
      </c>
    </row>
    <row r="38" spans="1:7">
      <c r="D38" t="s">
        <v>428</v>
      </c>
      <c r="E38" t="s">
        <v>439</v>
      </c>
      <c r="F38" t="s">
        <v>430</v>
      </c>
      <c r="G38" t="s">
        <v>440</v>
      </c>
    </row>
    <row r="39" spans="1:7">
      <c r="D39" t="s">
        <v>432</v>
      </c>
      <c r="E39" t="s">
        <v>433</v>
      </c>
      <c r="F39" t="s">
        <v>430</v>
      </c>
      <c r="G39" t="s">
        <v>434</v>
      </c>
    </row>
    <row r="40" spans="1:7">
      <c r="A40">
        <v>11013</v>
      </c>
      <c r="B40">
        <v>3</v>
      </c>
      <c r="C40">
        <v>5400</v>
      </c>
      <c r="D40" t="s">
        <v>425</v>
      </c>
      <c r="E40" t="s">
        <v>441</v>
      </c>
      <c r="F40" t="s">
        <v>426</v>
      </c>
      <c r="G40" s="11" t="s">
        <v>617</v>
      </c>
    </row>
    <row r="41" spans="1:7">
      <c r="D41" t="s">
        <v>428</v>
      </c>
      <c r="E41" t="s">
        <v>429</v>
      </c>
      <c r="F41" t="s">
        <v>430</v>
      </c>
      <c r="G41" t="s">
        <v>431</v>
      </c>
    </row>
    <row r="42" spans="1:7">
      <c r="D42" t="s">
        <v>432</v>
      </c>
      <c r="E42" t="s">
        <v>442</v>
      </c>
      <c r="F42" t="s">
        <v>430</v>
      </c>
      <c r="G42" t="s">
        <v>443</v>
      </c>
    </row>
    <row r="43" spans="1:7">
      <c r="A43">
        <v>12001</v>
      </c>
      <c r="B43">
        <v>3</v>
      </c>
      <c r="C43">
        <v>3600</v>
      </c>
      <c r="D43" t="s">
        <v>425</v>
      </c>
      <c r="E43" s="11" t="s">
        <v>444</v>
      </c>
      <c r="F43" t="s">
        <v>430</v>
      </c>
      <c r="G43" t="s">
        <v>445</v>
      </c>
    </row>
    <row r="44" spans="1:7">
      <c r="D44" t="s">
        <v>428</v>
      </c>
      <c r="E44" t="s">
        <v>429</v>
      </c>
      <c r="F44" t="s">
        <v>430</v>
      </c>
      <c r="G44" s="11" t="s">
        <v>603</v>
      </c>
    </row>
    <row r="45" spans="1:7">
      <c r="D45" t="s">
        <v>432</v>
      </c>
      <c r="E45" t="s">
        <v>433</v>
      </c>
      <c r="F45" t="s">
        <v>430</v>
      </c>
      <c r="G45" t="s">
        <v>434</v>
      </c>
    </row>
    <row r="46" spans="1:7">
      <c r="A46">
        <v>12002</v>
      </c>
      <c r="B46">
        <v>3</v>
      </c>
      <c r="C46">
        <v>3600</v>
      </c>
      <c r="D46" t="s">
        <v>425</v>
      </c>
      <c r="E46" s="11" t="s">
        <v>444</v>
      </c>
      <c r="F46" t="s">
        <v>430</v>
      </c>
      <c r="G46" t="s">
        <v>445</v>
      </c>
    </row>
    <row r="47" spans="1:7">
      <c r="D47" t="s">
        <v>428</v>
      </c>
      <c r="E47" t="s">
        <v>435</v>
      </c>
      <c r="F47" t="s">
        <v>430</v>
      </c>
      <c r="G47" t="s">
        <v>436</v>
      </c>
    </row>
    <row r="48" spans="1:7">
      <c r="D48" t="s">
        <v>432</v>
      </c>
      <c r="E48" t="s">
        <v>433</v>
      </c>
      <c r="F48" t="s">
        <v>430</v>
      </c>
      <c r="G48" t="s">
        <v>434</v>
      </c>
    </row>
    <row r="49" spans="1:12">
      <c r="A49">
        <v>12003</v>
      </c>
      <c r="B49">
        <v>3</v>
      </c>
      <c r="C49">
        <v>3600</v>
      </c>
      <c r="D49" t="s">
        <v>425</v>
      </c>
      <c r="E49" s="11" t="s">
        <v>444</v>
      </c>
      <c r="F49" t="s">
        <v>430</v>
      </c>
      <c r="G49" t="s">
        <v>445</v>
      </c>
    </row>
    <row r="50" spans="1:12">
      <c r="D50" t="s">
        <v>428</v>
      </c>
      <c r="E50" t="s">
        <v>437</v>
      </c>
      <c r="F50" t="s">
        <v>430</v>
      </c>
      <c r="G50" t="s">
        <v>438</v>
      </c>
    </row>
    <row r="51" spans="1:12">
      <c r="D51" t="s">
        <v>432</v>
      </c>
      <c r="E51" t="s">
        <v>433</v>
      </c>
      <c r="F51" t="s">
        <v>430</v>
      </c>
      <c r="G51" t="s">
        <v>434</v>
      </c>
    </row>
    <row r="52" spans="1:12">
      <c r="A52">
        <v>12004</v>
      </c>
      <c r="B52">
        <v>3</v>
      </c>
      <c r="C52">
        <v>3600</v>
      </c>
      <c r="D52" t="s">
        <v>425</v>
      </c>
      <c r="E52" s="11" t="s">
        <v>444</v>
      </c>
      <c r="F52" t="s">
        <v>430</v>
      </c>
      <c r="G52" t="s">
        <v>445</v>
      </c>
      <c r="L52" t="str">
        <f>_xlfn.TEXTJOIN(";",TRUE,A43:A157)</f>
        <v>12001;12002;12003;12004;12005;12006;12007;12008;12009;12010;12011;12013;12014;12016;12101;12102;12103;12104;12105;12106;12107;12108;12109;12110;12111;12113;12114;12116;12201;12202;12203;12204;12205;12206;12207;12208;12209;12210;12211;12213</v>
      </c>
    </row>
    <row r="53" spans="1:12">
      <c r="D53" t="s">
        <v>428</v>
      </c>
      <c r="E53" t="s">
        <v>439</v>
      </c>
      <c r="F53" t="s">
        <v>430</v>
      </c>
      <c r="G53" t="s">
        <v>440</v>
      </c>
    </row>
    <row r="54" spans="1:12">
      <c r="D54" t="s">
        <v>432</v>
      </c>
      <c r="E54" t="s">
        <v>433</v>
      </c>
      <c r="F54" t="s">
        <v>430</v>
      </c>
      <c r="G54" t="s">
        <v>434</v>
      </c>
    </row>
    <row r="55" spans="1:12">
      <c r="A55">
        <v>12005</v>
      </c>
      <c r="B55">
        <v>3</v>
      </c>
      <c r="C55">
        <v>3600</v>
      </c>
      <c r="D55" t="s">
        <v>425</v>
      </c>
      <c r="E55" s="11" t="s">
        <v>444</v>
      </c>
      <c r="F55" t="s">
        <v>430</v>
      </c>
      <c r="G55" t="s">
        <v>445</v>
      </c>
    </row>
    <row r="56" spans="1:12">
      <c r="D56" t="s">
        <v>428</v>
      </c>
      <c r="E56" t="s">
        <v>429</v>
      </c>
      <c r="F56" t="s">
        <v>430</v>
      </c>
      <c r="G56" t="s">
        <v>431</v>
      </c>
    </row>
    <row r="57" spans="1:12">
      <c r="D57" t="s">
        <v>432</v>
      </c>
      <c r="E57" t="s">
        <v>433</v>
      </c>
      <c r="F57" t="s">
        <v>430</v>
      </c>
      <c r="G57" t="s">
        <v>434</v>
      </c>
    </row>
    <row r="58" spans="1:12">
      <c r="A58">
        <v>12006</v>
      </c>
      <c r="B58">
        <v>3</v>
      </c>
      <c r="C58">
        <v>3600</v>
      </c>
      <c r="D58" t="s">
        <v>425</v>
      </c>
      <c r="E58" s="11" t="s">
        <v>444</v>
      </c>
      <c r="F58" t="s">
        <v>430</v>
      </c>
      <c r="G58" t="s">
        <v>445</v>
      </c>
    </row>
    <row r="59" spans="1:12">
      <c r="D59" t="s">
        <v>428</v>
      </c>
      <c r="E59" t="s">
        <v>435</v>
      </c>
      <c r="F59" t="s">
        <v>430</v>
      </c>
      <c r="G59" t="s">
        <v>436</v>
      </c>
    </row>
    <row r="60" spans="1:12">
      <c r="D60" t="s">
        <v>432</v>
      </c>
      <c r="E60" t="s">
        <v>433</v>
      </c>
      <c r="F60" t="s">
        <v>430</v>
      </c>
      <c r="G60" t="s">
        <v>434</v>
      </c>
    </row>
    <row r="61" spans="1:12">
      <c r="A61">
        <v>12007</v>
      </c>
      <c r="B61">
        <v>3</v>
      </c>
      <c r="C61">
        <v>3600</v>
      </c>
      <c r="D61" t="s">
        <v>425</v>
      </c>
      <c r="E61" s="11" t="s">
        <v>444</v>
      </c>
      <c r="F61" t="s">
        <v>430</v>
      </c>
      <c r="G61" t="s">
        <v>445</v>
      </c>
    </row>
    <row r="62" spans="1:12">
      <c r="D62" t="s">
        <v>428</v>
      </c>
      <c r="E62" t="s">
        <v>437</v>
      </c>
      <c r="F62" t="s">
        <v>430</v>
      </c>
      <c r="G62" t="s">
        <v>438</v>
      </c>
    </row>
    <row r="63" spans="1:12">
      <c r="D63" t="s">
        <v>432</v>
      </c>
      <c r="E63" t="s">
        <v>433</v>
      </c>
      <c r="F63" t="s">
        <v>430</v>
      </c>
      <c r="G63" t="s">
        <v>434</v>
      </c>
    </row>
    <row r="64" spans="1:12">
      <c r="A64">
        <v>12008</v>
      </c>
      <c r="B64">
        <v>3</v>
      </c>
      <c r="C64">
        <v>3600</v>
      </c>
      <c r="D64" t="s">
        <v>425</v>
      </c>
      <c r="E64" s="11" t="s">
        <v>444</v>
      </c>
      <c r="F64" t="s">
        <v>430</v>
      </c>
      <c r="G64" t="s">
        <v>445</v>
      </c>
    </row>
    <row r="65" spans="1:7">
      <c r="D65" t="s">
        <v>428</v>
      </c>
      <c r="E65" t="s">
        <v>439</v>
      </c>
      <c r="F65" t="s">
        <v>430</v>
      </c>
      <c r="G65" t="s">
        <v>440</v>
      </c>
    </row>
    <row r="66" spans="1:7">
      <c r="D66" t="s">
        <v>432</v>
      </c>
      <c r="E66" t="s">
        <v>433</v>
      </c>
      <c r="F66" t="s">
        <v>430</v>
      </c>
      <c r="G66" t="s">
        <v>434</v>
      </c>
    </row>
    <row r="67" spans="1:7">
      <c r="A67">
        <v>12009</v>
      </c>
      <c r="B67">
        <v>3</v>
      </c>
      <c r="C67">
        <v>3600</v>
      </c>
      <c r="D67" t="s">
        <v>425</v>
      </c>
      <c r="E67" s="11" t="s">
        <v>444</v>
      </c>
      <c r="F67" t="s">
        <v>430</v>
      </c>
      <c r="G67" t="s">
        <v>445</v>
      </c>
    </row>
    <row r="68" spans="1:7">
      <c r="D68" t="s">
        <v>428</v>
      </c>
      <c r="E68" t="s">
        <v>429</v>
      </c>
      <c r="F68" t="s">
        <v>430</v>
      </c>
      <c r="G68" t="s">
        <v>431</v>
      </c>
    </row>
    <row r="69" spans="1:7">
      <c r="D69" t="s">
        <v>432</v>
      </c>
      <c r="E69" t="s">
        <v>433</v>
      </c>
      <c r="F69" t="s">
        <v>430</v>
      </c>
      <c r="G69" t="s">
        <v>434</v>
      </c>
    </row>
    <row r="70" spans="1:7">
      <c r="A70">
        <v>12010</v>
      </c>
      <c r="B70">
        <v>3</v>
      </c>
      <c r="C70">
        <v>3600</v>
      </c>
      <c r="D70" t="s">
        <v>425</v>
      </c>
      <c r="E70" s="11" t="s">
        <v>444</v>
      </c>
      <c r="F70" t="s">
        <v>430</v>
      </c>
      <c r="G70" t="s">
        <v>445</v>
      </c>
    </row>
    <row r="71" spans="1:7">
      <c r="D71" t="s">
        <v>428</v>
      </c>
      <c r="E71" t="s">
        <v>435</v>
      </c>
      <c r="F71" t="s">
        <v>430</v>
      </c>
      <c r="G71" t="s">
        <v>436</v>
      </c>
    </row>
    <row r="72" spans="1:7">
      <c r="D72" t="s">
        <v>432</v>
      </c>
      <c r="E72" t="s">
        <v>433</v>
      </c>
      <c r="F72" t="s">
        <v>430</v>
      </c>
      <c r="G72" t="s">
        <v>434</v>
      </c>
    </row>
    <row r="73" spans="1:7">
      <c r="A73">
        <v>12011</v>
      </c>
      <c r="B73">
        <v>3</v>
      </c>
      <c r="C73">
        <v>3600</v>
      </c>
      <c r="D73" t="s">
        <v>425</v>
      </c>
      <c r="E73" t="s">
        <v>444</v>
      </c>
      <c r="F73" t="s">
        <v>430</v>
      </c>
      <c r="G73" t="s">
        <v>445</v>
      </c>
    </row>
    <row r="74" spans="1:7">
      <c r="D74" t="s">
        <v>428</v>
      </c>
      <c r="E74" t="s">
        <v>437</v>
      </c>
      <c r="F74" t="s">
        <v>430</v>
      </c>
      <c r="G74" t="s">
        <v>438</v>
      </c>
    </row>
    <row r="75" spans="1:7">
      <c r="D75" t="s">
        <v>432</v>
      </c>
      <c r="E75" t="s">
        <v>433</v>
      </c>
      <c r="F75" t="s">
        <v>430</v>
      </c>
      <c r="G75" t="s">
        <v>434</v>
      </c>
    </row>
    <row r="76" spans="1:7">
      <c r="A76">
        <v>12013</v>
      </c>
      <c r="B76">
        <v>3</v>
      </c>
      <c r="C76">
        <v>3600</v>
      </c>
      <c r="D76" t="s">
        <v>425</v>
      </c>
      <c r="E76" t="s">
        <v>444</v>
      </c>
      <c r="F76" t="s">
        <v>430</v>
      </c>
      <c r="G76" t="s">
        <v>445</v>
      </c>
    </row>
    <row r="77" spans="1:7">
      <c r="D77" t="s">
        <v>428</v>
      </c>
      <c r="E77" t="s">
        <v>429</v>
      </c>
      <c r="F77" t="s">
        <v>430</v>
      </c>
      <c r="G77" t="s">
        <v>431</v>
      </c>
    </row>
    <row r="78" spans="1:7">
      <c r="D78" t="s">
        <v>432</v>
      </c>
      <c r="E78" t="s">
        <v>433</v>
      </c>
      <c r="F78" t="s">
        <v>430</v>
      </c>
      <c r="G78" t="s">
        <v>434</v>
      </c>
    </row>
    <row r="79" spans="1:7">
      <c r="A79">
        <v>12014</v>
      </c>
      <c r="B79">
        <v>3</v>
      </c>
      <c r="C79">
        <v>3600</v>
      </c>
      <c r="D79" t="s">
        <v>425</v>
      </c>
      <c r="E79" t="s">
        <v>444</v>
      </c>
      <c r="F79" t="s">
        <v>430</v>
      </c>
      <c r="G79" t="s">
        <v>445</v>
      </c>
    </row>
    <row r="80" spans="1:7">
      <c r="D80" t="s">
        <v>428</v>
      </c>
      <c r="E80" t="s">
        <v>435</v>
      </c>
      <c r="F80" t="s">
        <v>430</v>
      </c>
      <c r="G80" t="s">
        <v>436</v>
      </c>
    </row>
    <row r="81" spans="1:7">
      <c r="D81" t="s">
        <v>432</v>
      </c>
      <c r="E81" t="s">
        <v>433</v>
      </c>
      <c r="F81" t="s">
        <v>430</v>
      </c>
      <c r="G81" t="s">
        <v>434</v>
      </c>
    </row>
    <row r="82" spans="1:7">
      <c r="A82">
        <v>12016</v>
      </c>
      <c r="B82">
        <v>3</v>
      </c>
      <c r="C82">
        <v>3600</v>
      </c>
      <c r="D82" t="s">
        <v>425</v>
      </c>
      <c r="E82" t="s">
        <v>444</v>
      </c>
      <c r="F82" t="s">
        <v>430</v>
      </c>
      <c r="G82" t="s">
        <v>445</v>
      </c>
    </row>
    <row r="83" spans="1:7">
      <c r="D83" t="s">
        <v>428</v>
      </c>
      <c r="E83" t="s">
        <v>439</v>
      </c>
      <c r="F83" t="s">
        <v>430</v>
      </c>
      <c r="G83" t="s">
        <v>440</v>
      </c>
    </row>
    <row r="84" spans="1:7">
      <c r="D84" t="s">
        <v>432</v>
      </c>
      <c r="E84" t="s">
        <v>433</v>
      </c>
      <c r="F84" t="s">
        <v>430</v>
      </c>
      <c r="G84" t="s">
        <v>434</v>
      </c>
    </row>
    <row r="85" spans="1:7">
      <c r="A85">
        <v>12101</v>
      </c>
      <c r="B85">
        <v>3</v>
      </c>
      <c r="C85">
        <v>3600</v>
      </c>
      <c r="D85" t="s">
        <v>425</v>
      </c>
      <c r="E85" t="s">
        <v>444</v>
      </c>
      <c r="F85" t="s">
        <v>430</v>
      </c>
      <c r="G85" t="s">
        <v>445</v>
      </c>
    </row>
    <row r="86" spans="1:7">
      <c r="D86" t="s">
        <v>428</v>
      </c>
      <c r="E86" t="s">
        <v>429</v>
      </c>
      <c r="F86" t="s">
        <v>430</v>
      </c>
      <c r="G86" t="s">
        <v>431</v>
      </c>
    </row>
    <row r="87" spans="1:7">
      <c r="D87" t="s">
        <v>432</v>
      </c>
      <c r="E87" t="s">
        <v>433</v>
      </c>
      <c r="F87" t="s">
        <v>430</v>
      </c>
      <c r="G87" t="s">
        <v>434</v>
      </c>
    </row>
    <row r="88" spans="1:7">
      <c r="A88">
        <v>12102</v>
      </c>
      <c r="B88">
        <v>3</v>
      </c>
      <c r="C88">
        <v>3600</v>
      </c>
      <c r="D88" t="s">
        <v>425</v>
      </c>
      <c r="E88" t="s">
        <v>444</v>
      </c>
      <c r="F88" t="s">
        <v>430</v>
      </c>
      <c r="G88" t="s">
        <v>445</v>
      </c>
    </row>
    <row r="89" spans="1:7">
      <c r="D89" t="s">
        <v>428</v>
      </c>
      <c r="E89" t="s">
        <v>435</v>
      </c>
      <c r="F89" t="s">
        <v>430</v>
      </c>
      <c r="G89" t="s">
        <v>436</v>
      </c>
    </row>
    <row r="90" spans="1:7">
      <c r="D90" t="s">
        <v>432</v>
      </c>
      <c r="E90" t="s">
        <v>433</v>
      </c>
      <c r="F90" t="s">
        <v>430</v>
      </c>
      <c r="G90" t="s">
        <v>434</v>
      </c>
    </row>
    <row r="91" spans="1:7">
      <c r="A91">
        <v>12103</v>
      </c>
      <c r="B91">
        <v>3</v>
      </c>
      <c r="C91">
        <v>3600</v>
      </c>
      <c r="D91" t="s">
        <v>425</v>
      </c>
      <c r="E91" t="s">
        <v>444</v>
      </c>
      <c r="F91" t="s">
        <v>430</v>
      </c>
      <c r="G91" t="s">
        <v>445</v>
      </c>
    </row>
    <row r="92" spans="1:7">
      <c r="D92" t="s">
        <v>428</v>
      </c>
      <c r="E92" t="s">
        <v>437</v>
      </c>
      <c r="F92" t="s">
        <v>430</v>
      </c>
      <c r="G92" t="s">
        <v>438</v>
      </c>
    </row>
    <row r="93" spans="1:7">
      <c r="D93" t="s">
        <v>432</v>
      </c>
      <c r="E93" t="s">
        <v>433</v>
      </c>
      <c r="F93" t="s">
        <v>430</v>
      </c>
      <c r="G93" t="s">
        <v>434</v>
      </c>
    </row>
    <row r="94" spans="1:7">
      <c r="A94">
        <v>12104</v>
      </c>
      <c r="B94">
        <v>3</v>
      </c>
      <c r="C94">
        <v>3600</v>
      </c>
      <c r="D94" t="s">
        <v>425</v>
      </c>
      <c r="E94" t="s">
        <v>444</v>
      </c>
      <c r="F94" t="s">
        <v>430</v>
      </c>
      <c r="G94" t="s">
        <v>445</v>
      </c>
    </row>
    <row r="95" spans="1:7">
      <c r="D95" t="s">
        <v>428</v>
      </c>
      <c r="E95" t="s">
        <v>439</v>
      </c>
      <c r="F95" t="s">
        <v>430</v>
      </c>
      <c r="G95" t="s">
        <v>440</v>
      </c>
    </row>
    <row r="96" spans="1:7">
      <c r="D96" t="s">
        <v>432</v>
      </c>
      <c r="E96" t="s">
        <v>433</v>
      </c>
      <c r="F96" t="s">
        <v>430</v>
      </c>
      <c r="G96" t="s">
        <v>434</v>
      </c>
    </row>
    <row r="97" spans="1:7">
      <c r="A97">
        <v>12105</v>
      </c>
      <c r="B97">
        <v>3</v>
      </c>
      <c r="C97">
        <v>3600</v>
      </c>
      <c r="D97" t="s">
        <v>425</v>
      </c>
      <c r="E97" t="s">
        <v>444</v>
      </c>
      <c r="F97" t="s">
        <v>430</v>
      </c>
      <c r="G97" t="s">
        <v>445</v>
      </c>
    </row>
    <row r="98" spans="1:7">
      <c r="D98" t="s">
        <v>428</v>
      </c>
      <c r="E98" t="s">
        <v>429</v>
      </c>
      <c r="F98" t="s">
        <v>430</v>
      </c>
      <c r="G98" t="s">
        <v>431</v>
      </c>
    </row>
    <row r="99" spans="1:7">
      <c r="D99" t="s">
        <v>432</v>
      </c>
      <c r="E99" t="s">
        <v>433</v>
      </c>
      <c r="F99" t="s">
        <v>430</v>
      </c>
      <c r="G99" t="s">
        <v>434</v>
      </c>
    </row>
    <row r="100" spans="1:7">
      <c r="A100">
        <v>12106</v>
      </c>
      <c r="B100">
        <v>3</v>
      </c>
      <c r="C100">
        <v>3600</v>
      </c>
      <c r="D100" t="s">
        <v>425</v>
      </c>
      <c r="E100" t="s">
        <v>444</v>
      </c>
      <c r="F100" t="s">
        <v>430</v>
      </c>
      <c r="G100" t="s">
        <v>445</v>
      </c>
    </row>
    <row r="101" spans="1:7">
      <c r="D101" t="s">
        <v>428</v>
      </c>
      <c r="E101" t="s">
        <v>435</v>
      </c>
      <c r="F101" t="s">
        <v>430</v>
      </c>
      <c r="G101" t="s">
        <v>436</v>
      </c>
    </row>
    <row r="102" spans="1:7">
      <c r="D102" t="s">
        <v>432</v>
      </c>
      <c r="E102" t="s">
        <v>433</v>
      </c>
      <c r="F102" t="s">
        <v>430</v>
      </c>
      <c r="G102" t="s">
        <v>434</v>
      </c>
    </row>
    <row r="103" spans="1:7">
      <c r="A103">
        <v>12107</v>
      </c>
      <c r="B103">
        <v>3</v>
      </c>
      <c r="C103">
        <v>3600</v>
      </c>
      <c r="D103" t="s">
        <v>425</v>
      </c>
      <c r="E103" t="s">
        <v>444</v>
      </c>
      <c r="F103" t="s">
        <v>430</v>
      </c>
      <c r="G103" t="s">
        <v>445</v>
      </c>
    </row>
    <row r="104" spans="1:7">
      <c r="D104" t="s">
        <v>428</v>
      </c>
      <c r="E104" t="s">
        <v>437</v>
      </c>
      <c r="F104" t="s">
        <v>430</v>
      </c>
      <c r="G104" t="s">
        <v>438</v>
      </c>
    </row>
    <row r="105" spans="1:7">
      <c r="D105" t="s">
        <v>432</v>
      </c>
      <c r="E105" t="s">
        <v>433</v>
      </c>
      <c r="F105" t="s">
        <v>430</v>
      </c>
      <c r="G105" t="s">
        <v>434</v>
      </c>
    </row>
    <row r="106" spans="1:7">
      <c r="A106">
        <v>12108</v>
      </c>
      <c r="B106">
        <v>3</v>
      </c>
      <c r="C106">
        <v>3600</v>
      </c>
      <c r="D106" t="s">
        <v>425</v>
      </c>
      <c r="E106" t="s">
        <v>444</v>
      </c>
      <c r="F106" t="s">
        <v>430</v>
      </c>
      <c r="G106" t="s">
        <v>445</v>
      </c>
    </row>
    <row r="107" spans="1:7">
      <c r="D107" t="s">
        <v>428</v>
      </c>
      <c r="E107" t="s">
        <v>439</v>
      </c>
      <c r="F107" t="s">
        <v>430</v>
      </c>
      <c r="G107" t="s">
        <v>440</v>
      </c>
    </row>
    <row r="108" spans="1:7">
      <c r="D108" t="s">
        <v>432</v>
      </c>
      <c r="E108" t="s">
        <v>433</v>
      </c>
      <c r="F108" t="s">
        <v>430</v>
      </c>
      <c r="G108" s="11" t="s">
        <v>602</v>
      </c>
    </row>
    <row r="109" spans="1:7">
      <c r="A109">
        <v>12109</v>
      </c>
      <c r="B109">
        <v>3</v>
      </c>
      <c r="C109">
        <v>3600</v>
      </c>
      <c r="D109" t="s">
        <v>425</v>
      </c>
      <c r="E109" t="s">
        <v>444</v>
      </c>
      <c r="F109" t="s">
        <v>430</v>
      </c>
      <c r="G109" t="s">
        <v>445</v>
      </c>
    </row>
    <row r="110" spans="1:7">
      <c r="D110" t="s">
        <v>428</v>
      </c>
      <c r="E110" t="s">
        <v>429</v>
      </c>
      <c r="F110" t="s">
        <v>430</v>
      </c>
      <c r="G110" t="s">
        <v>431</v>
      </c>
    </row>
    <row r="111" spans="1:7">
      <c r="D111" t="s">
        <v>432</v>
      </c>
      <c r="E111" t="s">
        <v>433</v>
      </c>
      <c r="F111" t="s">
        <v>430</v>
      </c>
      <c r="G111" t="s">
        <v>434</v>
      </c>
    </row>
    <row r="112" spans="1:7">
      <c r="A112">
        <v>12110</v>
      </c>
      <c r="B112">
        <v>3</v>
      </c>
      <c r="C112">
        <v>3600</v>
      </c>
      <c r="D112" t="s">
        <v>425</v>
      </c>
      <c r="E112" t="s">
        <v>444</v>
      </c>
      <c r="F112" t="s">
        <v>430</v>
      </c>
      <c r="G112" t="s">
        <v>445</v>
      </c>
    </row>
    <row r="113" spans="1:7">
      <c r="D113" t="s">
        <v>428</v>
      </c>
      <c r="E113" t="s">
        <v>435</v>
      </c>
      <c r="F113" t="s">
        <v>430</v>
      </c>
      <c r="G113" t="s">
        <v>436</v>
      </c>
    </row>
    <row r="114" spans="1:7">
      <c r="D114" t="s">
        <v>432</v>
      </c>
      <c r="E114" t="s">
        <v>433</v>
      </c>
      <c r="F114" t="s">
        <v>430</v>
      </c>
      <c r="G114" s="11" t="s">
        <v>602</v>
      </c>
    </row>
    <row r="115" spans="1:7">
      <c r="A115">
        <v>12111</v>
      </c>
      <c r="B115">
        <v>3</v>
      </c>
      <c r="C115">
        <v>3600</v>
      </c>
      <c r="D115" t="s">
        <v>425</v>
      </c>
      <c r="E115" t="s">
        <v>444</v>
      </c>
      <c r="F115" t="s">
        <v>430</v>
      </c>
      <c r="G115" t="s">
        <v>445</v>
      </c>
    </row>
    <row r="116" spans="1:7">
      <c r="D116" t="s">
        <v>428</v>
      </c>
      <c r="E116" t="s">
        <v>437</v>
      </c>
      <c r="F116" t="s">
        <v>430</v>
      </c>
      <c r="G116" t="s">
        <v>438</v>
      </c>
    </row>
    <row r="117" spans="1:7">
      <c r="D117" t="s">
        <v>432</v>
      </c>
      <c r="E117" t="s">
        <v>433</v>
      </c>
      <c r="F117" t="s">
        <v>430</v>
      </c>
      <c r="G117" s="11" t="s">
        <v>602</v>
      </c>
    </row>
    <row r="118" spans="1:7">
      <c r="A118">
        <v>12113</v>
      </c>
      <c r="B118">
        <v>3</v>
      </c>
      <c r="C118">
        <v>3600</v>
      </c>
      <c r="D118" t="s">
        <v>425</v>
      </c>
      <c r="E118" t="s">
        <v>444</v>
      </c>
      <c r="F118" t="s">
        <v>430</v>
      </c>
      <c r="G118" t="s">
        <v>445</v>
      </c>
    </row>
    <row r="119" spans="1:7">
      <c r="D119" t="s">
        <v>428</v>
      </c>
      <c r="E119" t="s">
        <v>429</v>
      </c>
      <c r="F119" t="s">
        <v>430</v>
      </c>
      <c r="G119" t="s">
        <v>431</v>
      </c>
    </row>
    <row r="120" spans="1:7">
      <c r="D120" t="s">
        <v>432</v>
      </c>
      <c r="E120" t="s">
        <v>446</v>
      </c>
      <c r="F120" t="s">
        <v>430</v>
      </c>
      <c r="G120" t="s">
        <v>447</v>
      </c>
    </row>
    <row r="121" spans="1:7">
      <c r="A121">
        <v>12114</v>
      </c>
      <c r="B121">
        <v>3</v>
      </c>
      <c r="C121">
        <v>3600</v>
      </c>
      <c r="D121" t="s">
        <v>425</v>
      </c>
      <c r="E121" t="s">
        <v>444</v>
      </c>
      <c r="F121" t="s">
        <v>430</v>
      </c>
      <c r="G121" t="s">
        <v>445</v>
      </c>
    </row>
    <row r="122" spans="1:7">
      <c r="D122" t="s">
        <v>428</v>
      </c>
      <c r="E122" t="s">
        <v>435</v>
      </c>
      <c r="F122" t="s">
        <v>430</v>
      </c>
      <c r="G122" t="s">
        <v>436</v>
      </c>
    </row>
    <row r="123" spans="1:7">
      <c r="D123" t="s">
        <v>432</v>
      </c>
      <c r="E123" t="s">
        <v>446</v>
      </c>
      <c r="F123" t="s">
        <v>430</v>
      </c>
      <c r="G123" t="s">
        <v>447</v>
      </c>
    </row>
    <row r="124" spans="1:7">
      <c r="A124">
        <v>12116</v>
      </c>
      <c r="B124">
        <v>3</v>
      </c>
      <c r="C124">
        <v>3600</v>
      </c>
      <c r="D124" t="s">
        <v>425</v>
      </c>
      <c r="E124" t="s">
        <v>444</v>
      </c>
      <c r="F124" t="s">
        <v>430</v>
      </c>
      <c r="G124" t="s">
        <v>445</v>
      </c>
    </row>
    <row r="125" spans="1:7">
      <c r="D125" t="s">
        <v>428</v>
      </c>
      <c r="E125" t="s">
        <v>439</v>
      </c>
      <c r="F125" t="s">
        <v>430</v>
      </c>
      <c r="G125" t="s">
        <v>440</v>
      </c>
    </row>
    <row r="126" spans="1:7">
      <c r="D126" t="s">
        <v>432</v>
      </c>
      <c r="E126" t="s">
        <v>446</v>
      </c>
      <c r="F126" t="s">
        <v>430</v>
      </c>
      <c r="G126" s="11" t="s">
        <v>605</v>
      </c>
    </row>
    <row r="127" spans="1:7">
      <c r="A127">
        <v>12201</v>
      </c>
      <c r="B127">
        <v>3</v>
      </c>
      <c r="C127">
        <v>3600</v>
      </c>
      <c r="D127" t="s">
        <v>425</v>
      </c>
      <c r="E127" t="s">
        <v>444</v>
      </c>
      <c r="F127" t="s">
        <v>430</v>
      </c>
      <c r="G127" t="s">
        <v>445</v>
      </c>
    </row>
    <row r="128" spans="1:7">
      <c r="D128" t="s">
        <v>428</v>
      </c>
      <c r="E128" t="s">
        <v>435</v>
      </c>
      <c r="F128" t="s">
        <v>430</v>
      </c>
      <c r="G128" t="s">
        <v>436</v>
      </c>
    </row>
    <row r="129" spans="1:7">
      <c r="D129" t="s">
        <v>432</v>
      </c>
      <c r="E129" t="s">
        <v>446</v>
      </c>
      <c r="F129" t="s">
        <v>430</v>
      </c>
      <c r="G129" s="11" t="s">
        <v>605</v>
      </c>
    </row>
    <row r="130" spans="1:7">
      <c r="A130">
        <v>12202</v>
      </c>
      <c r="B130">
        <v>3</v>
      </c>
      <c r="C130">
        <v>3600</v>
      </c>
      <c r="D130" t="s">
        <v>425</v>
      </c>
      <c r="E130" t="s">
        <v>444</v>
      </c>
      <c r="F130" t="s">
        <v>430</v>
      </c>
      <c r="G130" t="s">
        <v>445</v>
      </c>
    </row>
    <row r="131" spans="1:7">
      <c r="D131" t="s">
        <v>428</v>
      </c>
      <c r="E131" t="s">
        <v>435</v>
      </c>
      <c r="F131" t="s">
        <v>430</v>
      </c>
      <c r="G131" t="s">
        <v>436</v>
      </c>
    </row>
    <row r="132" spans="1:7">
      <c r="D132" t="s">
        <v>432</v>
      </c>
      <c r="E132" t="s">
        <v>442</v>
      </c>
      <c r="F132" t="s">
        <v>430</v>
      </c>
      <c r="G132" t="s">
        <v>443</v>
      </c>
    </row>
    <row r="133" spans="1:7">
      <c r="A133">
        <v>12203</v>
      </c>
      <c r="B133">
        <v>3</v>
      </c>
      <c r="C133">
        <v>3600</v>
      </c>
      <c r="D133" t="s">
        <v>425</v>
      </c>
      <c r="E133" t="s">
        <v>444</v>
      </c>
      <c r="F133" t="s">
        <v>430</v>
      </c>
      <c r="G133" t="s">
        <v>445</v>
      </c>
    </row>
    <row r="134" spans="1:7">
      <c r="D134" t="s">
        <v>428</v>
      </c>
      <c r="E134" t="s">
        <v>437</v>
      </c>
      <c r="F134" t="s">
        <v>430</v>
      </c>
      <c r="G134" t="s">
        <v>438</v>
      </c>
    </row>
    <row r="135" spans="1:7">
      <c r="D135" t="s">
        <v>432</v>
      </c>
      <c r="E135" t="s">
        <v>442</v>
      </c>
      <c r="F135" t="s">
        <v>430</v>
      </c>
      <c r="G135" t="s">
        <v>443</v>
      </c>
    </row>
    <row r="136" spans="1:7">
      <c r="A136">
        <v>12204</v>
      </c>
      <c r="B136">
        <v>3</v>
      </c>
      <c r="C136">
        <v>3600</v>
      </c>
      <c r="D136" t="s">
        <v>425</v>
      </c>
      <c r="E136" t="s">
        <v>444</v>
      </c>
      <c r="F136" t="s">
        <v>430</v>
      </c>
      <c r="G136" t="s">
        <v>445</v>
      </c>
    </row>
    <row r="137" spans="1:7">
      <c r="D137" t="s">
        <v>428</v>
      </c>
      <c r="E137" t="s">
        <v>439</v>
      </c>
      <c r="F137" t="s">
        <v>430</v>
      </c>
      <c r="G137" t="s">
        <v>440</v>
      </c>
    </row>
    <row r="138" spans="1:7">
      <c r="D138" t="s">
        <v>432</v>
      </c>
      <c r="E138" t="s">
        <v>442</v>
      </c>
      <c r="F138" t="s">
        <v>430</v>
      </c>
      <c r="G138" t="s">
        <v>443</v>
      </c>
    </row>
    <row r="139" spans="1:7">
      <c r="A139">
        <v>12205</v>
      </c>
      <c r="B139">
        <v>3</v>
      </c>
      <c r="C139">
        <v>3600</v>
      </c>
      <c r="D139" t="s">
        <v>425</v>
      </c>
      <c r="E139" t="s">
        <v>444</v>
      </c>
      <c r="F139" t="s">
        <v>430</v>
      </c>
      <c r="G139" t="s">
        <v>445</v>
      </c>
    </row>
    <row r="140" spans="1:7">
      <c r="D140" t="s">
        <v>428</v>
      </c>
      <c r="E140" t="s">
        <v>435</v>
      </c>
      <c r="F140" t="s">
        <v>430</v>
      </c>
      <c r="G140" t="s">
        <v>436</v>
      </c>
    </row>
    <row r="141" spans="1:7">
      <c r="A141">
        <v>12206</v>
      </c>
      <c r="B141">
        <v>3</v>
      </c>
      <c r="C141">
        <v>3600</v>
      </c>
      <c r="D141" t="s">
        <v>425</v>
      </c>
      <c r="E141" t="s">
        <v>444</v>
      </c>
      <c r="F141" t="s">
        <v>430</v>
      </c>
      <c r="G141" t="s">
        <v>445</v>
      </c>
    </row>
    <row r="142" spans="1:7">
      <c r="D142" t="s">
        <v>428</v>
      </c>
      <c r="E142" t="s">
        <v>435</v>
      </c>
      <c r="F142" t="s">
        <v>430</v>
      </c>
      <c r="G142" t="s">
        <v>436</v>
      </c>
    </row>
    <row r="143" spans="1:7">
      <c r="A143">
        <v>12207</v>
      </c>
      <c r="B143">
        <v>3</v>
      </c>
      <c r="C143">
        <v>3600</v>
      </c>
      <c r="D143" t="s">
        <v>425</v>
      </c>
      <c r="E143" t="s">
        <v>444</v>
      </c>
      <c r="F143" t="s">
        <v>430</v>
      </c>
      <c r="G143" t="s">
        <v>445</v>
      </c>
    </row>
    <row r="144" spans="1:7">
      <c r="D144" t="s">
        <v>428</v>
      </c>
      <c r="E144" t="s">
        <v>437</v>
      </c>
      <c r="F144" t="s">
        <v>430</v>
      </c>
      <c r="G144" s="11" t="s">
        <v>610</v>
      </c>
    </row>
    <row r="145" spans="1:7">
      <c r="D145" t="s">
        <v>432</v>
      </c>
      <c r="E145" t="s">
        <v>442</v>
      </c>
      <c r="F145" s="11" t="s">
        <v>611</v>
      </c>
      <c r="G145" s="11" t="s">
        <v>604</v>
      </c>
    </row>
    <row r="146" spans="1:7">
      <c r="A146">
        <v>12208</v>
      </c>
      <c r="B146">
        <v>3</v>
      </c>
      <c r="C146">
        <v>3600</v>
      </c>
      <c r="D146" t="s">
        <v>425</v>
      </c>
      <c r="E146" t="s">
        <v>444</v>
      </c>
      <c r="F146" t="s">
        <v>430</v>
      </c>
      <c r="G146" t="s">
        <v>445</v>
      </c>
    </row>
    <row r="147" spans="1:7">
      <c r="D147" t="s">
        <v>428</v>
      </c>
      <c r="E147" t="s">
        <v>439</v>
      </c>
      <c r="F147" t="s">
        <v>430</v>
      </c>
      <c r="G147" t="s">
        <v>440</v>
      </c>
    </row>
    <row r="148" spans="1:7">
      <c r="A148">
        <v>12209</v>
      </c>
      <c r="B148">
        <v>3</v>
      </c>
      <c r="C148">
        <v>3600</v>
      </c>
      <c r="D148" t="s">
        <v>425</v>
      </c>
      <c r="E148" t="s">
        <v>444</v>
      </c>
      <c r="F148" t="s">
        <v>430</v>
      </c>
      <c r="G148" t="s">
        <v>445</v>
      </c>
    </row>
    <row r="149" spans="1:7">
      <c r="D149" t="s">
        <v>428</v>
      </c>
      <c r="E149" t="s">
        <v>435</v>
      </c>
      <c r="F149" t="s">
        <v>430</v>
      </c>
      <c r="G149" t="s">
        <v>436</v>
      </c>
    </row>
    <row r="150" spans="1:7">
      <c r="D150" t="s">
        <v>432</v>
      </c>
      <c r="E150" t="s">
        <v>442</v>
      </c>
      <c r="F150" t="s">
        <v>430</v>
      </c>
      <c r="G150" t="s">
        <v>443</v>
      </c>
    </row>
    <row r="151" spans="1:7">
      <c r="A151">
        <v>12210</v>
      </c>
      <c r="B151">
        <v>3</v>
      </c>
      <c r="C151">
        <v>3600</v>
      </c>
      <c r="D151" t="s">
        <v>425</v>
      </c>
      <c r="E151" t="s">
        <v>444</v>
      </c>
      <c r="F151" t="s">
        <v>430</v>
      </c>
      <c r="G151" t="s">
        <v>445</v>
      </c>
    </row>
    <row r="152" spans="1:7">
      <c r="D152" t="s">
        <v>428</v>
      </c>
      <c r="E152" t="s">
        <v>435</v>
      </c>
      <c r="F152" t="s">
        <v>430</v>
      </c>
      <c r="G152" t="s">
        <v>436</v>
      </c>
    </row>
    <row r="153" spans="1:7">
      <c r="D153" t="s">
        <v>432</v>
      </c>
      <c r="E153" t="s">
        <v>442</v>
      </c>
      <c r="F153" t="s">
        <v>430</v>
      </c>
      <c r="G153" s="11" t="s">
        <v>604</v>
      </c>
    </row>
    <row r="154" spans="1:7">
      <c r="A154">
        <v>12211</v>
      </c>
      <c r="B154">
        <v>3</v>
      </c>
      <c r="C154">
        <v>3600</v>
      </c>
      <c r="D154" t="s">
        <v>425</v>
      </c>
      <c r="E154" s="11" t="s">
        <v>444</v>
      </c>
      <c r="F154" t="s">
        <v>430</v>
      </c>
      <c r="G154" t="s">
        <v>445</v>
      </c>
    </row>
    <row r="155" spans="1:7">
      <c r="D155" t="s">
        <v>428</v>
      </c>
      <c r="E155" t="s">
        <v>437</v>
      </c>
      <c r="F155" t="s">
        <v>430</v>
      </c>
      <c r="G155" t="s">
        <v>438</v>
      </c>
    </row>
    <row r="156" spans="1:7">
      <c r="D156" t="s">
        <v>432</v>
      </c>
      <c r="E156" t="s">
        <v>433</v>
      </c>
      <c r="F156" t="s">
        <v>430</v>
      </c>
      <c r="G156" t="s">
        <v>434</v>
      </c>
    </row>
    <row r="157" spans="1:7">
      <c r="A157">
        <v>12213</v>
      </c>
      <c r="B157">
        <v>3</v>
      </c>
      <c r="C157">
        <v>3600</v>
      </c>
      <c r="D157" t="s">
        <v>425</v>
      </c>
      <c r="E157" t="s">
        <v>444</v>
      </c>
      <c r="F157" t="s">
        <v>430</v>
      </c>
      <c r="G157" t="s">
        <v>445</v>
      </c>
    </row>
    <row r="158" spans="1:7">
      <c r="D158" t="s">
        <v>428</v>
      </c>
      <c r="E158" t="s">
        <v>435</v>
      </c>
      <c r="F158" t="s">
        <v>430</v>
      </c>
      <c r="G158" t="s">
        <v>436</v>
      </c>
    </row>
    <row r="159" spans="1:7">
      <c r="D159" t="s">
        <v>432</v>
      </c>
      <c r="E159" t="s">
        <v>433</v>
      </c>
      <c r="F159" t="s">
        <v>430</v>
      </c>
      <c r="G159" t="s">
        <v>434</v>
      </c>
    </row>
    <row r="160" spans="1:7">
      <c r="A160">
        <v>12214</v>
      </c>
      <c r="B160">
        <v>3</v>
      </c>
      <c r="C160">
        <v>3600</v>
      </c>
      <c r="D160" t="s">
        <v>425</v>
      </c>
      <c r="E160" s="11" t="s">
        <v>444</v>
      </c>
      <c r="F160" t="s">
        <v>430</v>
      </c>
      <c r="G160" t="s">
        <v>445</v>
      </c>
    </row>
    <row r="161" spans="1:7">
      <c r="D161" t="s">
        <v>428</v>
      </c>
      <c r="E161" t="s">
        <v>435</v>
      </c>
      <c r="F161" t="s">
        <v>430</v>
      </c>
      <c r="G161" s="11" t="s">
        <v>619</v>
      </c>
    </row>
    <row r="162" spans="1:7">
      <c r="D162" t="s">
        <v>432</v>
      </c>
      <c r="E162" t="s">
        <v>433</v>
      </c>
      <c r="F162" t="s">
        <v>430</v>
      </c>
      <c r="G162" t="s">
        <v>434</v>
      </c>
    </row>
    <row r="163" spans="1:7">
      <c r="A163">
        <v>12216</v>
      </c>
      <c r="B163">
        <v>3</v>
      </c>
      <c r="C163">
        <v>3600</v>
      </c>
      <c r="D163" t="s">
        <v>425</v>
      </c>
      <c r="E163" s="11" t="s">
        <v>444</v>
      </c>
      <c r="F163" t="s">
        <v>430</v>
      </c>
      <c r="G163" s="11" t="s">
        <v>616</v>
      </c>
    </row>
    <row r="164" spans="1:7">
      <c r="D164" t="s">
        <v>428</v>
      </c>
      <c r="E164" t="s">
        <v>439</v>
      </c>
      <c r="F164" t="s">
        <v>430</v>
      </c>
      <c r="G164" t="s">
        <v>440</v>
      </c>
    </row>
    <row r="165" spans="1:7">
      <c r="D165" t="s">
        <v>432</v>
      </c>
      <c r="E165" t="s">
        <v>433</v>
      </c>
      <c r="F165" t="s">
        <v>430</v>
      </c>
      <c r="G165" t="s">
        <v>434</v>
      </c>
    </row>
    <row r="166" spans="1:7">
      <c r="A166">
        <v>13001</v>
      </c>
      <c r="B166">
        <v>2</v>
      </c>
      <c r="C166">
        <v>1800</v>
      </c>
      <c r="D166" t="s">
        <v>425</v>
      </c>
      <c r="E166" t="s">
        <v>615</v>
      </c>
      <c r="F166" t="s">
        <v>430</v>
      </c>
      <c r="G166" s="11" t="s">
        <v>614</v>
      </c>
    </row>
    <row r="167" spans="1:7">
      <c r="D167" t="s">
        <v>428</v>
      </c>
      <c r="E167" t="s">
        <v>429</v>
      </c>
      <c r="F167" t="s">
        <v>449</v>
      </c>
      <c r="G167" t="s">
        <v>450</v>
      </c>
    </row>
    <row r="168" spans="1:7">
      <c r="D168" t="s">
        <v>432</v>
      </c>
      <c r="E168" t="s">
        <v>433</v>
      </c>
      <c r="F168" t="s">
        <v>430</v>
      </c>
      <c r="G168" s="11" t="s">
        <v>602</v>
      </c>
    </row>
    <row r="169" spans="1:7">
      <c r="A169">
        <v>13002</v>
      </c>
      <c r="B169">
        <v>2</v>
      </c>
      <c r="C169">
        <v>1800</v>
      </c>
      <c r="D169" t="s">
        <v>425</v>
      </c>
      <c r="E169" t="s">
        <v>615</v>
      </c>
      <c r="F169" t="s">
        <v>430</v>
      </c>
      <c r="G169" t="s">
        <v>448</v>
      </c>
    </row>
    <row r="170" spans="1:7">
      <c r="D170" t="s">
        <v>428</v>
      </c>
      <c r="E170" t="s">
        <v>435</v>
      </c>
      <c r="F170" t="s">
        <v>449</v>
      </c>
      <c r="G170" t="s">
        <v>452</v>
      </c>
    </row>
    <row r="171" spans="1:7">
      <c r="D171" t="s">
        <v>432</v>
      </c>
      <c r="E171" t="s">
        <v>433</v>
      </c>
      <c r="F171" t="s">
        <v>449</v>
      </c>
      <c r="G171" s="11" t="s">
        <v>606</v>
      </c>
    </row>
    <row r="172" spans="1:7">
      <c r="A172">
        <v>13003</v>
      </c>
      <c r="B172">
        <v>2</v>
      </c>
      <c r="C172">
        <v>1800</v>
      </c>
      <c r="D172" t="s">
        <v>425</v>
      </c>
      <c r="E172" t="s">
        <v>615</v>
      </c>
      <c r="F172" t="s">
        <v>430</v>
      </c>
      <c r="G172" t="s">
        <v>448</v>
      </c>
    </row>
    <row r="173" spans="1:7">
      <c r="D173" t="s">
        <v>428</v>
      </c>
      <c r="E173" t="s">
        <v>437</v>
      </c>
      <c r="F173" t="s">
        <v>449</v>
      </c>
      <c r="G173" t="s">
        <v>453</v>
      </c>
    </row>
    <row r="174" spans="1:7">
      <c r="D174" t="s">
        <v>432</v>
      </c>
      <c r="E174" t="s">
        <v>433</v>
      </c>
      <c r="F174" t="s">
        <v>449</v>
      </c>
      <c r="G174" t="s">
        <v>451</v>
      </c>
    </row>
    <row r="175" spans="1:7">
      <c r="A175">
        <v>13004</v>
      </c>
      <c r="B175">
        <v>2</v>
      </c>
      <c r="C175">
        <v>1800</v>
      </c>
      <c r="D175" t="s">
        <v>425</v>
      </c>
      <c r="E175" t="s">
        <v>615</v>
      </c>
      <c r="F175" t="s">
        <v>430</v>
      </c>
      <c r="G175" t="s">
        <v>448</v>
      </c>
    </row>
    <row r="176" spans="1:7">
      <c r="D176" t="s">
        <v>428</v>
      </c>
      <c r="E176" t="s">
        <v>439</v>
      </c>
      <c r="F176" t="s">
        <v>449</v>
      </c>
      <c r="G176" t="s">
        <v>454</v>
      </c>
    </row>
    <row r="177" spans="1:7">
      <c r="D177" t="s">
        <v>432</v>
      </c>
      <c r="E177" t="s">
        <v>433</v>
      </c>
      <c r="F177" t="s">
        <v>449</v>
      </c>
      <c r="G177" s="11" t="s">
        <v>606</v>
      </c>
    </row>
    <row r="178" spans="1:7">
      <c r="A178">
        <v>13005</v>
      </c>
      <c r="B178">
        <v>2</v>
      </c>
      <c r="C178">
        <v>1800</v>
      </c>
      <c r="D178" t="s">
        <v>425</v>
      </c>
      <c r="E178" t="s">
        <v>615</v>
      </c>
      <c r="F178" t="s">
        <v>430</v>
      </c>
      <c r="G178" t="s">
        <v>448</v>
      </c>
    </row>
    <row r="179" spans="1:7">
      <c r="D179" t="s">
        <v>428</v>
      </c>
      <c r="E179" t="s">
        <v>439</v>
      </c>
      <c r="F179" t="s">
        <v>449</v>
      </c>
      <c r="G179" s="11" t="s">
        <v>618</v>
      </c>
    </row>
    <row r="180" spans="1:7">
      <c r="D180" t="s">
        <v>432</v>
      </c>
      <c r="E180" t="s">
        <v>433</v>
      </c>
      <c r="F180" t="s">
        <v>449</v>
      </c>
      <c r="G180" t="s">
        <v>451</v>
      </c>
    </row>
    <row r="181" spans="1:7">
      <c r="A181">
        <v>13006</v>
      </c>
      <c r="B181">
        <v>2</v>
      </c>
      <c r="C181">
        <v>1800</v>
      </c>
      <c r="D181" t="s">
        <v>425</v>
      </c>
      <c r="E181" t="s">
        <v>615</v>
      </c>
      <c r="F181" t="s">
        <v>430</v>
      </c>
      <c r="G181" t="s">
        <v>448</v>
      </c>
    </row>
    <row r="182" spans="1:7">
      <c r="D182" t="s">
        <v>428</v>
      </c>
      <c r="E182" t="s">
        <v>439</v>
      </c>
      <c r="F182" t="s">
        <v>449</v>
      </c>
      <c r="G182" s="11" t="s">
        <v>618</v>
      </c>
    </row>
    <row r="183" spans="1:7">
      <c r="D183" t="s">
        <v>432</v>
      </c>
      <c r="E183" t="s">
        <v>433</v>
      </c>
      <c r="F183" t="s">
        <v>449</v>
      </c>
      <c r="G183" t="s">
        <v>451</v>
      </c>
    </row>
    <row r="184" spans="1:7">
      <c r="A184">
        <v>13007</v>
      </c>
      <c r="B184">
        <v>2</v>
      </c>
      <c r="C184">
        <v>1800</v>
      </c>
      <c r="D184" t="s">
        <v>425</v>
      </c>
      <c r="E184" t="s">
        <v>615</v>
      </c>
      <c r="F184" t="s">
        <v>430</v>
      </c>
      <c r="G184" t="s">
        <v>448</v>
      </c>
    </row>
    <row r="185" spans="1:7">
      <c r="D185" t="s">
        <v>428</v>
      </c>
      <c r="E185" t="s">
        <v>437</v>
      </c>
      <c r="F185" t="s">
        <v>449</v>
      </c>
      <c r="G185" t="s">
        <v>453</v>
      </c>
    </row>
    <row r="186" spans="1:7">
      <c r="D186" t="s">
        <v>432</v>
      </c>
      <c r="E186" t="s">
        <v>433</v>
      </c>
      <c r="F186" t="s">
        <v>449</v>
      </c>
      <c r="G186" t="s">
        <v>451</v>
      </c>
    </row>
    <row r="187" spans="1:7">
      <c r="A187">
        <v>13008</v>
      </c>
      <c r="B187">
        <v>2</v>
      </c>
      <c r="C187">
        <v>1800</v>
      </c>
      <c r="D187" t="s">
        <v>425</v>
      </c>
      <c r="E187" t="s">
        <v>615</v>
      </c>
      <c r="F187" t="s">
        <v>430</v>
      </c>
      <c r="G187" t="s">
        <v>448</v>
      </c>
    </row>
    <row r="188" spans="1:7">
      <c r="D188" t="s">
        <v>428</v>
      </c>
      <c r="E188" t="s">
        <v>439</v>
      </c>
      <c r="F188" t="s">
        <v>449</v>
      </c>
      <c r="G188" s="11" t="s">
        <v>618</v>
      </c>
    </row>
    <row r="189" spans="1:7">
      <c r="D189" t="s">
        <v>432</v>
      </c>
      <c r="E189" t="s">
        <v>433</v>
      </c>
      <c r="F189" t="s">
        <v>449</v>
      </c>
      <c r="G189" t="s">
        <v>451</v>
      </c>
    </row>
    <row r="190" spans="1:7">
      <c r="A190">
        <v>13009</v>
      </c>
      <c r="B190">
        <v>2</v>
      </c>
      <c r="C190">
        <v>1800</v>
      </c>
      <c r="D190" t="s">
        <v>425</v>
      </c>
      <c r="E190" t="s">
        <v>615</v>
      </c>
      <c r="F190" t="s">
        <v>430</v>
      </c>
      <c r="G190" t="s">
        <v>448</v>
      </c>
    </row>
    <row r="191" spans="1:7">
      <c r="D191" t="s">
        <v>428</v>
      </c>
      <c r="E191" t="s">
        <v>429</v>
      </c>
      <c r="F191" t="s">
        <v>449</v>
      </c>
      <c r="G191" t="s">
        <v>450</v>
      </c>
    </row>
    <row r="192" spans="1:7">
      <c r="D192" t="s">
        <v>432</v>
      </c>
      <c r="E192" t="s">
        <v>433</v>
      </c>
      <c r="F192" t="s">
        <v>449</v>
      </c>
      <c r="G192" t="s">
        <v>451</v>
      </c>
    </row>
    <row r="193" spans="1:7">
      <c r="A193">
        <v>13010</v>
      </c>
      <c r="B193">
        <v>2</v>
      </c>
      <c r="C193">
        <v>1800</v>
      </c>
      <c r="D193" t="s">
        <v>425</v>
      </c>
      <c r="E193" t="s">
        <v>615</v>
      </c>
      <c r="F193" t="s">
        <v>430</v>
      </c>
      <c r="G193" t="s">
        <v>448</v>
      </c>
    </row>
    <row r="194" spans="1:7">
      <c r="D194" t="s">
        <v>428</v>
      </c>
      <c r="E194" t="s">
        <v>435</v>
      </c>
      <c r="F194" t="s">
        <v>449</v>
      </c>
      <c r="G194" s="11" t="s">
        <v>609</v>
      </c>
    </row>
    <row r="195" spans="1:7">
      <c r="D195" t="s">
        <v>432</v>
      </c>
      <c r="E195" t="s">
        <v>433</v>
      </c>
      <c r="F195" t="s">
        <v>449</v>
      </c>
      <c r="G195" t="s">
        <v>451</v>
      </c>
    </row>
    <row r="196" spans="1:7">
      <c r="A196">
        <v>13011</v>
      </c>
      <c r="B196">
        <v>2</v>
      </c>
      <c r="C196">
        <v>1800</v>
      </c>
      <c r="D196" t="s">
        <v>425</v>
      </c>
      <c r="E196" t="s">
        <v>615</v>
      </c>
      <c r="F196" t="s">
        <v>430</v>
      </c>
      <c r="G196" t="s">
        <v>448</v>
      </c>
    </row>
    <row r="197" spans="1:7">
      <c r="D197" t="s">
        <v>428</v>
      </c>
      <c r="E197" t="s">
        <v>437</v>
      </c>
      <c r="F197" t="s">
        <v>449</v>
      </c>
      <c r="G197" t="s">
        <v>453</v>
      </c>
    </row>
    <row r="198" spans="1:7">
      <c r="D198" t="s">
        <v>432</v>
      </c>
      <c r="E198" t="s">
        <v>433</v>
      </c>
      <c r="F198" t="s">
        <v>449</v>
      </c>
      <c r="G198" t="s">
        <v>451</v>
      </c>
    </row>
    <row r="199" spans="1:7">
      <c r="A199">
        <v>13012</v>
      </c>
      <c r="B199">
        <v>2</v>
      </c>
      <c r="C199">
        <v>1800</v>
      </c>
      <c r="D199" t="s">
        <v>425</v>
      </c>
      <c r="E199" t="s">
        <v>615</v>
      </c>
      <c r="F199" t="s">
        <v>430</v>
      </c>
      <c r="G199" t="s">
        <v>448</v>
      </c>
    </row>
    <row r="200" spans="1:7">
      <c r="D200" t="s">
        <v>428</v>
      </c>
      <c r="E200" t="s">
        <v>439</v>
      </c>
      <c r="F200" t="s">
        <v>449</v>
      </c>
      <c r="G200" s="11" t="s">
        <v>618</v>
      </c>
    </row>
    <row r="201" spans="1:7">
      <c r="D201" t="s">
        <v>432</v>
      </c>
      <c r="E201" t="s">
        <v>433</v>
      </c>
      <c r="F201" t="s">
        <v>449</v>
      </c>
      <c r="G201" t="s">
        <v>451</v>
      </c>
    </row>
    <row r="202" spans="1:7">
      <c r="A202">
        <v>13013</v>
      </c>
      <c r="B202">
        <v>2</v>
      </c>
      <c r="C202">
        <v>1800</v>
      </c>
      <c r="D202" t="s">
        <v>425</v>
      </c>
      <c r="E202" t="s">
        <v>615</v>
      </c>
      <c r="F202" t="s">
        <v>430</v>
      </c>
      <c r="G202" t="s">
        <v>448</v>
      </c>
    </row>
    <row r="203" spans="1:7">
      <c r="D203" t="s">
        <v>428</v>
      </c>
      <c r="E203" t="s">
        <v>439</v>
      </c>
      <c r="F203" t="s">
        <v>449</v>
      </c>
      <c r="G203" s="11" t="s">
        <v>618</v>
      </c>
    </row>
    <row r="204" spans="1:7">
      <c r="D204" t="s">
        <v>432</v>
      </c>
      <c r="E204" t="s">
        <v>433</v>
      </c>
      <c r="F204" t="s">
        <v>449</v>
      </c>
      <c r="G204" t="s">
        <v>451</v>
      </c>
    </row>
    <row r="205" spans="1:7">
      <c r="A205">
        <v>13014</v>
      </c>
      <c r="B205">
        <v>2</v>
      </c>
      <c r="C205">
        <v>1800</v>
      </c>
      <c r="D205" t="s">
        <v>425</v>
      </c>
      <c r="E205" t="s">
        <v>615</v>
      </c>
      <c r="F205" t="s">
        <v>430</v>
      </c>
      <c r="G205" t="s">
        <v>448</v>
      </c>
    </row>
    <row r="206" spans="1:7">
      <c r="D206" t="s">
        <v>428</v>
      </c>
      <c r="E206" t="s">
        <v>437</v>
      </c>
      <c r="F206" t="s">
        <v>449</v>
      </c>
      <c r="G206" t="s">
        <v>453</v>
      </c>
    </row>
    <row r="207" spans="1:7">
      <c r="D207" t="s">
        <v>432</v>
      </c>
      <c r="E207" t="s">
        <v>433</v>
      </c>
      <c r="F207" t="s">
        <v>449</v>
      </c>
      <c r="G207" t="s">
        <v>451</v>
      </c>
    </row>
    <row r="208" spans="1:7">
      <c r="A208">
        <v>13101</v>
      </c>
      <c r="B208">
        <v>2</v>
      </c>
      <c r="C208">
        <v>1800</v>
      </c>
      <c r="D208" t="s">
        <v>425</v>
      </c>
      <c r="E208" t="s">
        <v>615</v>
      </c>
      <c r="F208" t="s">
        <v>430</v>
      </c>
      <c r="G208" t="s">
        <v>448</v>
      </c>
    </row>
    <row r="209" spans="1:7">
      <c r="D209" t="s">
        <v>428</v>
      </c>
      <c r="E209" s="11" t="s">
        <v>607</v>
      </c>
      <c r="F209" t="s">
        <v>449</v>
      </c>
      <c r="G209" s="11" t="s">
        <v>608</v>
      </c>
    </row>
    <row r="210" spans="1:7">
      <c r="D210" t="s">
        <v>432</v>
      </c>
      <c r="E210" t="s">
        <v>433</v>
      </c>
      <c r="F210" t="s">
        <v>449</v>
      </c>
      <c r="G210" t="s">
        <v>451</v>
      </c>
    </row>
    <row r="211" spans="1:7">
      <c r="A211">
        <v>13102</v>
      </c>
      <c r="B211">
        <v>2</v>
      </c>
      <c r="C211">
        <v>1800</v>
      </c>
      <c r="D211" t="s">
        <v>425</v>
      </c>
      <c r="E211" t="s">
        <v>615</v>
      </c>
      <c r="F211" t="s">
        <v>430</v>
      </c>
      <c r="G211" t="s">
        <v>448</v>
      </c>
    </row>
    <row r="212" spans="1:7">
      <c r="D212" t="s">
        <v>428</v>
      </c>
      <c r="E212" t="s">
        <v>435</v>
      </c>
      <c r="F212" t="s">
        <v>449</v>
      </c>
      <c r="G212" t="s">
        <v>452</v>
      </c>
    </row>
    <row r="213" spans="1:7">
      <c r="D213" t="s">
        <v>432</v>
      </c>
      <c r="E213" t="s">
        <v>433</v>
      </c>
      <c r="F213" t="s">
        <v>449</v>
      </c>
      <c r="G213" t="s">
        <v>451</v>
      </c>
    </row>
    <row r="214" spans="1:7">
      <c r="A214">
        <v>13103</v>
      </c>
      <c r="B214">
        <v>2</v>
      </c>
      <c r="C214">
        <v>1800</v>
      </c>
      <c r="D214" t="s">
        <v>425</v>
      </c>
      <c r="E214" t="s">
        <v>615</v>
      </c>
      <c r="F214" t="s">
        <v>430</v>
      </c>
      <c r="G214" t="s">
        <v>448</v>
      </c>
    </row>
    <row r="215" spans="1:7">
      <c r="D215" t="s">
        <v>428</v>
      </c>
      <c r="E215" t="s">
        <v>437</v>
      </c>
      <c r="F215" t="s">
        <v>449</v>
      </c>
      <c r="G215" t="s">
        <v>453</v>
      </c>
    </row>
    <row r="216" spans="1:7">
      <c r="D216" t="s">
        <v>432</v>
      </c>
      <c r="E216" t="s">
        <v>433</v>
      </c>
      <c r="F216" t="s">
        <v>449</v>
      </c>
      <c r="G216" t="s">
        <v>451</v>
      </c>
    </row>
    <row r="217" spans="1:7">
      <c r="A217">
        <v>13104</v>
      </c>
      <c r="B217">
        <v>2</v>
      </c>
      <c r="C217">
        <v>1800</v>
      </c>
      <c r="D217" t="s">
        <v>425</v>
      </c>
      <c r="E217" t="s">
        <v>615</v>
      </c>
      <c r="F217" t="s">
        <v>430</v>
      </c>
      <c r="G217" t="s">
        <v>448</v>
      </c>
    </row>
    <row r="218" spans="1:7">
      <c r="D218" t="s">
        <v>428</v>
      </c>
      <c r="E218" t="s">
        <v>439</v>
      </c>
      <c r="F218" t="s">
        <v>449</v>
      </c>
      <c r="G218" s="11" t="s">
        <v>618</v>
      </c>
    </row>
    <row r="219" spans="1:7">
      <c r="D219" t="s">
        <v>432</v>
      </c>
      <c r="E219" t="s">
        <v>433</v>
      </c>
      <c r="F219" t="s">
        <v>449</v>
      </c>
      <c r="G219" t="s">
        <v>451</v>
      </c>
    </row>
    <row r="220" spans="1:7">
      <c r="A220">
        <v>13105</v>
      </c>
      <c r="B220">
        <v>2</v>
      </c>
      <c r="C220">
        <v>1800</v>
      </c>
      <c r="D220" t="s">
        <v>425</v>
      </c>
      <c r="E220" s="11" t="s">
        <v>615</v>
      </c>
      <c r="F220" t="s">
        <v>430</v>
      </c>
      <c r="G220" t="s">
        <v>448</v>
      </c>
    </row>
    <row r="221" spans="1:7">
      <c r="D221" t="s">
        <v>428</v>
      </c>
      <c r="E221" t="s">
        <v>429</v>
      </c>
      <c r="F221" t="s">
        <v>449</v>
      </c>
      <c r="G221" t="s">
        <v>450</v>
      </c>
    </row>
    <row r="222" spans="1:7">
      <c r="D222" t="s">
        <v>432</v>
      </c>
      <c r="E222" t="s">
        <v>433</v>
      </c>
      <c r="F222" t="s">
        <v>449</v>
      </c>
      <c r="G222" s="11" t="s">
        <v>606</v>
      </c>
    </row>
    <row r="223" spans="1:7">
      <c r="A223">
        <v>13106</v>
      </c>
      <c r="B223">
        <v>2</v>
      </c>
      <c r="C223">
        <v>1800</v>
      </c>
      <c r="D223" t="s">
        <v>425</v>
      </c>
      <c r="E223" s="11" t="s">
        <v>615</v>
      </c>
      <c r="F223" t="s">
        <v>430</v>
      </c>
      <c r="G223" t="s">
        <v>448</v>
      </c>
    </row>
    <row r="224" spans="1:7">
      <c r="D224" t="s">
        <v>428</v>
      </c>
      <c r="E224" t="s">
        <v>435</v>
      </c>
      <c r="F224" t="s">
        <v>449</v>
      </c>
      <c r="G224" t="s">
        <v>452</v>
      </c>
    </row>
    <row r="225" spans="1:7">
      <c r="D225" t="s">
        <v>432</v>
      </c>
      <c r="E225" t="s">
        <v>446</v>
      </c>
      <c r="F225" t="s">
        <v>449</v>
      </c>
      <c r="G225" t="s">
        <v>455</v>
      </c>
    </row>
    <row r="226" spans="1:7">
      <c r="A226">
        <v>13107</v>
      </c>
      <c r="B226">
        <v>2</v>
      </c>
      <c r="C226">
        <v>1800</v>
      </c>
      <c r="D226" t="s">
        <v>425</v>
      </c>
      <c r="E226" s="11" t="s">
        <v>615</v>
      </c>
      <c r="F226" t="s">
        <v>430</v>
      </c>
      <c r="G226" t="s">
        <v>448</v>
      </c>
    </row>
    <row r="227" spans="1:7">
      <c r="D227" t="s">
        <v>428</v>
      </c>
      <c r="E227" t="s">
        <v>437</v>
      </c>
      <c r="F227" t="s">
        <v>449</v>
      </c>
      <c r="G227" t="s">
        <v>453</v>
      </c>
    </row>
    <row r="228" spans="1:7">
      <c r="D228" t="s">
        <v>432</v>
      </c>
      <c r="E228" t="s">
        <v>446</v>
      </c>
      <c r="F228" t="s">
        <v>449</v>
      </c>
      <c r="G228" s="11" t="s">
        <v>645</v>
      </c>
    </row>
    <row r="229" spans="1:7">
      <c r="A229">
        <v>13108</v>
      </c>
      <c r="B229">
        <v>2</v>
      </c>
      <c r="C229">
        <v>1800</v>
      </c>
      <c r="D229" t="s">
        <v>425</v>
      </c>
      <c r="E229" s="11" t="s">
        <v>615</v>
      </c>
      <c r="F229" t="s">
        <v>430</v>
      </c>
      <c r="G229" t="s">
        <v>448</v>
      </c>
    </row>
    <row r="230" spans="1:7">
      <c r="D230" t="s">
        <v>428</v>
      </c>
      <c r="E230" t="s">
        <v>439</v>
      </c>
      <c r="F230" t="s">
        <v>449</v>
      </c>
      <c r="G230" s="11" t="s">
        <v>618</v>
      </c>
    </row>
    <row r="231" spans="1:7">
      <c r="D231" t="s">
        <v>432</v>
      </c>
      <c r="E231" t="s">
        <v>446</v>
      </c>
      <c r="F231" t="s">
        <v>449</v>
      </c>
      <c r="G231" t="s">
        <v>455</v>
      </c>
    </row>
    <row r="232" spans="1:7">
      <c r="A232">
        <v>13109</v>
      </c>
      <c r="B232">
        <v>2</v>
      </c>
      <c r="C232">
        <v>1800</v>
      </c>
      <c r="D232" t="s">
        <v>425</v>
      </c>
      <c r="E232" s="11" t="s">
        <v>615</v>
      </c>
      <c r="F232" t="s">
        <v>430</v>
      </c>
      <c r="G232" t="s">
        <v>448</v>
      </c>
    </row>
    <row r="233" spans="1:7">
      <c r="D233" t="s">
        <v>428</v>
      </c>
      <c r="E233" t="s">
        <v>429</v>
      </c>
      <c r="F233" t="s">
        <v>449</v>
      </c>
      <c r="G233" t="s">
        <v>450</v>
      </c>
    </row>
    <row r="234" spans="1:7">
      <c r="D234" t="s">
        <v>432</v>
      </c>
      <c r="E234" t="s">
        <v>446</v>
      </c>
      <c r="F234" t="s">
        <v>449</v>
      </c>
      <c r="G234" t="s">
        <v>455</v>
      </c>
    </row>
    <row r="235" spans="1:7">
      <c r="A235">
        <v>13110</v>
      </c>
      <c r="B235">
        <v>2</v>
      </c>
      <c r="C235">
        <v>1800</v>
      </c>
      <c r="D235" t="s">
        <v>425</v>
      </c>
      <c r="E235" s="11" t="s">
        <v>615</v>
      </c>
      <c r="F235" t="s">
        <v>430</v>
      </c>
      <c r="G235" t="s">
        <v>448</v>
      </c>
    </row>
    <row r="236" spans="1:7">
      <c r="D236" t="s">
        <v>428</v>
      </c>
      <c r="E236" t="s">
        <v>435</v>
      </c>
      <c r="F236" t="s">
        <v>449</v>
      </c>
      <c r="G236" t="s">
        <v>452</v>
      </c>
    </row>
    <row r="237" spans="1:7">
      <c r="D237" t="s">
        <v>432</v>
      </c>
      <c r="E237" t="s">
        <v>446</v>
      </c>
      <c r="F237" t="s">
        <v>449</v>
      </c>
      <c r="G237" t="s">
        <v>455</v>
      </c>
    </row>
    <row r="238" spans="1:7">
      <c r="A238">
        <v>13111</v>
      </c>
      <c r="B238">
        <v>2</v>
      </c>
      <c r="C238">
        <v>1800</v>
      </c>
      <c r="D238" t="s">
        <v>425</v>
      </c>
      <c r="E238" s="11" t="s">
        <v>615</v>
      </c>
      <c r="F238" t="s">
        <v>430</v>
      </c>
      <c r="G238" t="s">
        <v>448</v>
      </c>
    </row>
    <row r="239" spans="1:7">
      <c r="D239" t="s">
        <v>428</v>
      </c>
      <c r="E239" t="s">
        <v>437</v>
      </c>
      <c r="F239" t="s">
        <v>449</v>
      </c>
      <c r="G239" t="s">
        <v>453</v>
      </c>
    </row>
    <row r="240" spans="1:7">
      <c r="D240" t="s">
        <v>432</v>
      </c>
      <c r="E240" t="s">
        <v>446</v>
      </c>
      <c r="F240" t="s">
        <v>449</v>
      </c>
      <c r="G240" t="s">
        <v>455</v>
      </c>
    </row>
    <row r="241" spans="1:7">
      <c r="A241">
        <v>13112</v>
      </c>
      <c r="B241">
        <v>2</v>
      </c>
      <c r="C241">
        <v>1800</v>
      </c>
      <c r="D241" t="s">
        <v>425</v>
      </c>
      <c r="E241" s="11" t="s">
        <v>615</v>
      </c>
      <c r="F241" t="s">
        <v>430</v>
      </c>
      <c r="G241" t="s">
        <v>448</v>
      </c>
    </row>
    <row r="242" spans="1:7">
      <c r="D242" t="s">
        <v>428</v>
      </c>
      <c r="E242" t="s">
        <v>439</v>
      </c>
      <c r="F242" t="s">
        <v>449</v>
      </c>
      <c r="G242" t="s">
        <v>454</v>
      </c>
    </row>
    <row r="243" spans="1:7">
      <c r="D243" t="s">
        <v>432</v>
      </c>
      <c r="E243" t="s">
        <v>446</v>
      </c>
      <c r="F243" t="s">
        <v>449</v>
      </c>
      <c r="G243" s="11" t="s">
        <v>645</v>
      </c>
    </row>
    <row r="244" spans="1:7">
      <c r="A244">
        <v>13113</v>
      </c>
      <c r="B244">
        <v>2</v>
      </c>
      <c r="C244">
        <v>1800</v>
      </c>
      <c r="D244" t="s">
        <v>425</v>
      </c>
      <c r="E244" s="11" t="s">
        <v>615</v>
      </c>
      <c r="F244" t="s">
        <v>430</v>
      </c>
      <c r="G244" t="s">
        <v>448</v>
      </c>
    </row>
    <row r="245" spans="1:7">
      <c r="D245" t="s">
        <v>428</v>
      </c>
      <c r="E245" t="s">
        <v>439</v>
      </c>
      <c r="F245" t="s">
        <v>449</v>
      </c>
      <c r="G245" s="11" t="s">
        <v>618</v>
      </c>
    </row>
    <row r="246" spans="1:7">
      <c r="A246">
        <v>13114</v>
      </c>
      <c r="B246">
        <v>2</v>
      </c>
      <c r="C246">
        <v>1800</v>
      </c>
      <c r="D246" t="s">
        <v>425</v>
      </c>
      <c r="E246" s="11" t="s">
        <v>615</v>
      </c>
      <c r="F246" t="s">
        <v>430</v>
      </c>
      <c r="G246" t="s">
        <v>448</v>
      </c>
    </row>
    <row r="247" spans="1:7">
      <c r="D247" t="s">
        <v>428</v>
      </c>
      <c r="E247" t="s">
        <v>435</v>
      </c>
      <c r="F247" t="s">
        <v>449</v>
      </c>
      <c r="G247" t="s">
        <v>452</v>
      </c>
    </row>
    <row r="248" spans="1:7">
      <c r="A248">
        <v>13201</v>
      </c>
      <c r="B248">
        <v>2</v>
      </c>
      <c r="C248">
        <v>1800</v>
      </c>
      <c r="D248" t="s">
        <v>425</v>
      </c>
      <c r="E248" s="11" t="s">
        <v>615</v>
      </c>
      <c r="F248" t="s">
        <v>430</v>
      </c>
      <c r="G248" t="s">
        <v>448</v>
      </c>
    </row>
    <row r="249" spans="1:7">
      <c r="D249" t="s">
        <v>428</v>
      </c>
      <c r="E249" t="s">
        <v>435</v>
      </c>
      <c r="F249" t="s">
        <v>449</v>
      </c>
      <c r="G249" t="s">
        <v>452</v>
      </c>
    </row>
    <row r="250" spans="1:7">
      <c r="A250">
        <v>13202</v>
      </c>
      <c r="B250">
        <v>2</v>
      </c>
      <c r="C250">
        <v>1800</v>
      </c>
      <c r="D250" t="s">
        <v>425</v>
      </c>
      <c r="E250" s="11" t="s">
        <v>615</v>
      </c>
      <c r="F250" t="s">
        <v>430</v>
      </c>
      <c r="G250" t="s">
        <v>448</v>
      </c>
    </row>
    <row r="251" spans="1:7">
      <c r="D251" t="s">
        <v>428</v>
      </c>
      <c r="E251" t="s">
        <v>435</v>
      </c>
      <c r="F251" t="s">
        <v>449</v>
      </c>
      <c r="G251" t="s">
        <v>452</v>
      </c>
    </row>
    <row r="252" spans="1:7">
      <c r="A252">
        <v>13203</v>
      </c>
      <c r="B252">
        <v>2</v>
      </c>
      <c r="C252">
        <v>1800</v>
      </c>
      <c r="D252" t="s">
        <v>425</v>
      </c>
      <c r="E252" s="11" t="s">
        <v>615</v>
      </c>
      <c r="F252" t="s">
        <v>430</v>
      </c>
      <c r="G252" t="s">
        <v>448</v>
      </c>
    </row>
    <row r="253" spans="1:7">
      <c r="D253" t="s">
        <v>428</v>
      </c>
      <c r="E253" t="s">
        <v>437</v>
      </c>
      <c r="F253" t="s">
        <v>449</v>
      </c>
      <c r="G253" t="s">
        <v>453</v>
      </c>
    </row>
    <row r="254" spans="1:7">
      <c r="A254">
        <v>13204</v>
      </c>
      <c r="B254">
        <v>2</v>
      </c>
      <c r="C254">
        <v>1800</v>
      </c>
      <c r="D254" t="s">
        <v>425</v>
      </c>
      <c r="E254" s="11" t="s">
        <v>615</v>
      </c>
      <c r="F254" t="s">
        <v>430</v>
      </c>
      <c r="G254" t="s">
        <v>448</v>
      </c>
    </row>
    <row r="255" spans="1:7">
      <c r="D255" t="s">
        <v>428</v>
      </c>
      <c r="E255" t="s">
        <v>439</v>
      </c>
      <c r="F255" t="s">
        <v>449</v>
      </c>
      <c r="G255" s="11" t="s">
        <v>618</v>
      </c>
    </row>
    <row r="256" spans="1:7">
      <c r="A256">
        <v>13205</v>
      </c>
      <c r="B256">
        <v>2</v>
      </c>
      <c r="C256">
        <v>1800</v>
      </c>
      <c r="D256" t="s">
        <v>425</v>
      </c>
      <c r="E256" s="11" t="s">
        <v>615</v>
      </c>
      <c r="F256" t="s">
        <v>430</v>
      </c>
      <c r="G256" t="s">
        <v>448</v>
      </c>
    </row>
    <row r="257" spans="1:7">
      <c r="D257" t="s">
        <v>428</v>
      </c>
      <c r="E257" t="s">
        <v>439</v>
      </c>
      <c r="F257" t="s">
        <v>449</v>
      </c>
      <c r="G257" s="11" t="s">
        <v>618</v>
      </c>
    </row>
    <row r="258" spans="1:7">
      <c r="A258">
        <v>13206</v>
      </c>
      <c r="B258">
        <v>2</v>
      </c>
      <c r="C258">
        <v>1800</v>
      </c>
      <c r="D258" t="s">
        <v>425</v>
      </c>
      <c r="E258" s="11" t="s">
        <v>615</v>
      </c>
      <c r="F258" t="s">
        <v>430</v>
      </c>
      <c r="G258" t="s">
        <v>448</v>
      </c>
    </row>
    <row r="259" spans="1:7">
      <c r="D259" t="s">
        <v>428</v>
      </c>
      <c r="E259" t="s">
        <v>439</v>
      </c>
      <c r="F259" t="s">
        <v>449</v>
      </c>
      <c r="G259" s="11" t="s">
        <v>618</v>
      </c>
    </row>
    <row r="260" spans="1:7">
      <c r="A260">
        <v>13207</v>
      </c>
      <c r="B260">
        <v>2</v>
      </c>
      <c r="C260">
        <v>1800</v>
      </c>
      <c r="D260" t="s">
        <v>425</v>
      </c>
      <c r="E260" s="11" t="s">
        <v>615</v>
      </c>
      <c r="F260" t="s">
        <v>430</v>
      </c>
      <c r="G260" t="s">
        <v>448</v>
      </c>
    </row>
    <row r="261" spans="1:7">
      <c r="D261" t="s">
        <v>428</v>
      </c>
      <c r="E261" t="s">
        <v>439</v>
      </c>
      <c r="F261" t="s">
        <v>449</v>
      </c>
      <c r="G261" s="11" t="s">
        <v>618</v>
      </c>
    </row>
    <row r="262" spans="1:7">
      <c r="D262" t="s">
        <v>432</v>
      </c>
      <c r="E262" t="s">
        <v>442</v>
      </c>
      <c r="F262" t="s">
        <v>449</v>
      </c>
      <c r="G262" s="11" t="s">
        <v>646</v>
      </c>
    </row>
    <row r="263" spans="1:7">
      <c r="A263">
        <v>13208</v>
      </c>
      <c r="B263">
        <v>2</v>
      </c>
      <c r="C263">
        <v>1800</v>
      </c>
      <c r="D263" t="s">
        <v>425</v>
      </c>
      <c r="E263" s="11" t="s">
        <v>615</v>
      </c>
      <c r="F263" t="s">
        <v>430</v>
      </c>
      <c r="G263" t="s">
        <v>448</v>
      </c>
    </row>
    <row r="264" spans="1:7">
      <c r="D264" t="s">
        <v>428</v>
      </c>
      <c r="E264" t="s">
        <v>439</v>
      </c>
      <c r="F264" t="s">
        <v>449</v>
      </c>
      <c r="G264" s="11" t="s">
        <v>618</v>
      </c>
    </row>
    <row r="265" spans="1:7">
      <c r="A265">
        <v>13209</v>
      </c>
      <c r="B265">
        <v>2</v>
      </c>
      <c r="C265">
        <v>1800</v>
      </c>
      <c r="D265" t="s">
        <v>425</v>
      </c>
      <c r="E265" s="11" t="s">
        <v>615</v>
      </c>
      <c r="F265" t="s">
        <v>430</v>
      </c>
      <c r="G265" t="s">
        <v>448</v>
      </c>
    </row>
    <row r="266" spans="1:7">
      <c r="D266" t="s">
        <v>428</v>
      </c>
      <c r="E266" t="s">
        <v>435</v>
      </c>
      <c r="F266" t="s">
        <v>449</v>
      </c>
      <c r="G266" t="s">
        <v>452</v>
      </c>
    </row>
    <row r="267" spans="1:7">
      <c r="D267" t="s">
        <v>432</v>
      </c>
      <c r="E267" t="s">
        <v>442</v>
      </c>
      <c r="F267" t="s">
        <v>449</v>
      </c>
      <c r="G267" s="11" t="s">
        <v>646</v>
      </c>
    </row>
    <row r="268" spans="1:7">
      <c r="A268">
        <v>13210</v>
      </c>
      <c r="B268">
        <v>2</v>
      </c>
      <c r="C268">
        <v>1800</v>
      </c>
      <c r="D268" t="s">
        <v>425</v>
      </c>
      <c r="E268" s="11" t="s">
        <v>615</v>
      </c>
      <c r="F268" t="s">
        <v>430</v>
      </c>
      <c r="G268" t="s">
        <v>448</v>
      </c>
    </row>
    <row r="269" spans="1:7">
      <c r="D269" t="s">
        <v>428</v>
      </c>
      <c r="E269" t="s">
        <v>435</v>
      </c>
      <c r="F269" t="s">
        <v>449</v>
      </c>
      <c r="G269" t="s">
        <v>452</v>
      </c>
    </row>
    <row r="270" spans="1:7">
      <c r="A270">
        <v>13211</v>
      </c>
      <c r="B270">
        <v>2</v>
      </c>
      <c r="C270">
        <v>1800</v>
      </c>
      <c r="D270" t="s">
        <v>425</v>
      </c>
      <c r="E270" s="11" t="s">
        <v>615</v>
      </c>
      <c r="F270" t="s">
        <v>430</v>
      </c>
      <c r="G270" t="s">
        <v>448</v>
      </c>
    </row>
    <row r="271" spans="1:7">
      <c r="D271" t="s">
        <v>428</v>
      </c>
      <c r="E271" t="s">
        <v>437</v>
      </c>
      <c r="F271" t="s">
        <v>449</v>
      </c>
      <c r="G271" t="s">
        <v>453</v>
      </c>
    </row>
    <row r="272" spans="1:7">
      <c r="A272">
        <v>13212</v>
      </c>
      <c r="B272">
        <v>2</v>
      </c>
      <c r="C272">
        <v>1800</v>
      </c>
      <c r="D272" t="s">
        <v>425</v>
      </c>
      <c r="E272" s="11" t="s">
        <v>615</v>
      </c>
      <c r="F272" t="s">
        <v>430</v>
      </c>
      <c r="G272" t="s">
        <v>448</v>
      </c>
    </row>
    <row r="273" spans="1:7">
      <c r="D273" t="s">
        <v>428</v>
      </c>
      <c r="E273" t="s">
        <v>437</v>
      </c>
      <c r="F273" t="s">
        <v>449</v>
      </c>
      <c r="G273" t="s">
        <v>453</v>
      </c>
    </row>
    <row r="274" spans="1:7">
      <c r="A274">
        <v>13213</v>
      </c>
      <c r="B274">
        <v>2</v>
      </c>
      <c r="C274">
        <v>1800</v>
      </c>
      <c r="D274" t="s">
        <v>425</v>
      </c>
      <c r="E274" s="11" t="s">
        <v>615</v>
      </c>
      <c r="F274" t="s">
        <v>430</v>
      </c>
      <c r="G274" t="s">
        <v>448</v>
      </c>
    </row>
    <row r="275" spans="1:7">
      <c r="D275" t="s">
        <v>428</v>
      </c>
      <c r="E275" t="s">
        <v>439</v>
      </c>
      <c r="F275" t="s">
        <v>449</v>
      </c>
      <c r="G275" t="s">
        <v>454</v>
      </c>
    </row>
    <row r="276" spans="1:7">
      <c r="D276" t="s">
        <v>432</v>
      </c>
      <c r="E276" t="s">
        <v>433</v>
      </c>
      <c r="F276" t="s">
        <v>449</v>
      </c>
      <c r="G276" s="11" t="s">
        <v>606</v>
      </c>
    </row>
    <row r="277" spans="1:7">
      <c r="A277">
        <v>13214</v>
      </c>
      <c r="B277">
        <v>2</v>
      </c>
      <c r="C277">
        <v>1800</v>
      </c>
      <c r="D277" t="s">
        <v>425</v>
      </c>
      <c r="E277" s="11" t="s">
        <v>615</v>
      </c>
      <c r="F277" t="s">
        <v>430</v>
      </c>
      <c r="G277" s="11" t="s">
        <v>614</v>
      </c>
    </row>
    <row r="278" spans="1:7">
      <c r="D278" t="s">
        <v>428</v>
      </c>
      <c r="E278" t="s">
        <v>435</v>
      </c>
      <c r="F278" t="s">
        <v>449</v>
      </c>
      <c r="G278" t="s">
        <v>452</v>
      </c>
    </row>
    <row r="279" spans="1:7">
      <c r="A279">
        <v>14001</v>
      </c>
      <c r="B279">
        <v>2</v>
      </c>
      <c r="C279">
        <v>5400</v>
      </c>
      <c r="D279" t="s">
        <v>425</v>
      </c>
      <c r="E279" t="s">
        <v>622</v>
      </c>
      <c r="F279" t="s">
        <v>430</v>
      </c>
      <c r="G279" t="s">
        <v>456</v>
      </c>
    </row>
    <row r="280" spans="1:7">
      <c r="D280" t="s">
        <v>428</v>
      </c>
      <c r="E280" t="s">
        <v>429</v>
      </c>
      <c r="F280" t="s">
        <v>449</v>
      </c>
      <c r="G280" t="s">
        <v>450</v>
      </c>
    </row>
    <row r="281" spans="1:7">
      <c r="A281">
        <v>14002</v>
      </c>
      <c r="B281">
        <v>2</v>
      </c>
      <c r="C281">
        <v>5400</v>
      </c>
      <c r="D281" t="s">
        <v>425</v>
      </c>
      <c r="E281" t="s">
        <v>622</v>
      </c>
      <c r="F281" t="s">
        <v>430</v>
      </c>
      <c r="G281" t="s">
        <v>456</v>
      </c>
    </row>
    <row r="282" spans="1:7">
      <c r="D282" t="s">
        <v>428</v>
      </c>
      <c r="E282" t="s">
        <v>435</v>
      </c>
      <c r="F282" t="s">
        <v>449</v>
      </c>
      <c r="G282" t="s">
        <v>452</v>
      </c>
    </row>
    <row r="283" spans="1:7">
      <c r="A283">
        <v>14003</v>
      </c>
      <c r="B283">
        <v>2</v>
      </c>
      <c r="C283">
        <v>5400</v>
      </c>
      <c r="D283" t="s">
        <v>425</v>
      </c>
      <c r="E283" s="11" t="s">
        <v>622</v>
      </c>
      <c r="F283" t="s">
        <v>430</v>
      </c>
      <c r="G283" t="s">
        <v>456</v>
      </c>
    </row>
    <row r="284" spans="1:7">
      <c r="D284" t="s">
        <v>428</v>
      </c>
      <c r="E284" t="s">
        <v>437</v>
      </c>
      <c r="F284" t="s">
        <v>449</v>
      </c>
      <c r="G284" t="s">
        <v>453</v>
      </c>
    </row>
    <row r="285" spans="1:7">
      <c r="A285">
        <v>14004</v>
      </c>
      <c r="B285">
        <v>2</v>
      </c>
      <c r="C285">
        <v>5400</v>
      </c>
      <c r="D285" t="s">
        <v>425</v>
      </c>
      <c r="E285" t="s">
        <v>622</v>
      </c>
      <c r="F285" t="s">
        <v>430</v>
      </c>
      <c r="G285" t="s">
        <v>456</v>
      </c>
    </row>
    <row r="286" spans="1:7">
      <c r="D286" t="s">
        <v>428</v>
      </c>
      <c r="E286" t="s">
        <v>439</v>
      </c>
      <c r="F286" t="s">
        <v>449</v>
      </c>
      <c r="G286" t="s">
        <v>454</v>
      </c>
    </row>
    <row r="287" spans="1:7">
      <c r="A287">
        <v>14005</v>
      </c>
      <c r="B287">
        <v>2</v>
      </c>
      <c r="C287">
        <v>5400</v>
      </c>
      <c r="D287" t="s">
        <v>425</v>
      </c>
      <c r="E287" t="s">
        <v>622</v>
      </c>
      <c r="F287" t="s">
        <v>430</v>
      </c>
      <c r="G287" t="s">
        <v>456</v>
      </c>
    </row>
    <row r="288" spans="1:7">
      <c r="D288" t="s">
        <v>428</v>
      </c>
      <c r="E288" t="s">
        <v>439</v>
      </c>
      <c r="F288" t="s">
        <v>449</v>
      </c>
      <c r="G288" s="11" t="s">
        <v>618</v>
      </c>
    </row>
    <row r="289" spans="1:7">
      <c r="A289">
        <v>14006</v>
      </c>
      <c r="B289">
        <v>2</v>
      </c>
      <c r="C289">
        <v>5400</v>
      </c>
      <c r="D289" t="s">
        <v>425</v>
      </c>
      <c r="E289" t="s">
        <v>622</v>
      </c>
      <c r="F289" t="s">
        <v>430</v>
      </c>
      <c r="G289" t="s">
        <v>456</v>
      </c>
    </row>
    <row r="290" spans="1:7">
      <c r="D290" t="s">
        <v>428</v>
      </c>
      <c r="E290" t="s">
        <v>435</v>
      </c>
      <c r="F290" t="s">
        <v>449</v>
      </c>
      <c r="G290" t="s">
        <v>452</v>
      </c>
    </row>
    <row r="291" spans="1:7">
      <c r="A291">
        <v>14007</v>
      </c>
      <c r="B291">
        <v>2</v>
      </c>
      <c r="C291">
        <v>5400</v>
      </c>
      <c r="D291" t="s">
        <v>425</v>
      </c>
      <c r="E291" t="s">
        <v>622</v>
      </c>
      <c r="F291" t="s">
        <v>430</v>
      </c>
      <c r="G291" t="s">
        <v>456</v>
      </c>
    </row>
    <row r="292" spans="1:7">
      <c r="D292" t="s">
        <v>428</v>
      </c>
      <c r="E292" t="s">
        <v>437</v>
      </c>
      <c r="F292" t="s">
        <v>449</v>
      </c>
      <c r="G292" t="s">
        <v>453</v>
      </c>
    </row>
    <row r="293" spans="1:7">
      <c r="A293">
        <v>14008</v>
      </c>
      <c r="B293">
        <v>2</v>
      </c>
      <c r="C293">
        <v>5400</v>
      </c>
      <c r="D293" t="s">
        <v>425</v>
      </c>
      <c r="E293" t="s">
        <v>622</v>
      </c>
      <c r="F293" t="s">
        <v>430</v>
      </c>
      <c r="G293" t="s">
        <v>456</v>
      </c>
    </row>
    <row r="294" spans="1:7">
      <c r="D294" t="s">
        <v>428</v>
      </c>
      <c r="E294" t="s">
        <v>439</v>
      </c>
      <c r="F294" t="s">
        <v>449</v>
      </c>
      <c r="G294" t="s">
        <v>454</v>
      </c>
    </row>
    <row r="295" spans="1:7">
      <c r="A295">
        <v>14009</v>
      </c>
      <c r="B295">
        <v>2</v>
      </c>
      <c r="C295">
        <v>5400</v>
      </c>
      <c r="D295" t="s">
        <v>425</v>
      </c>
      <c r="E295" t="s">
        <v>622</v>
      </c>
      <c r="F295" t="s">
        <v>430</v>
      </c>
      <c r="G295" t="s">
        <v>456</v>
      </c>
    </row>
    <row r="296" spans="1:7">
      <c r="D296" t="s">
        <v>428</v>
      </c>
      <c r="E296" t="s">
        <v>439</v>
      </c>
      <c r="F296" t="s">
        <v>449</v>
      </c>
      <c r="G296" s="11" t="s">
        <v>618</v>
      </c>
    </row>
    <row r="297" spans="1:7">
      <c r="A297">
        <v>14010</v>
      </c>
      <c r="B297">
        <v>2</v>
      </c>
      <c r="C297">
        <v>5400</v>
      </c>
      <c r="D297" t="s">
        <v>425</v>
      </c>
      <c r="E297" s="11" t="s">
        <v>622</v>
      </c>
      <c r="F297" t="s">
        <v>430</v>
      </c>
      <c r="G297" t="s">
        <v>456</v>
      </c>
    </row>
    <row r="298" spans="1:7">
      <c r="D298" t="s">
        <v>428</v>
      </c>
      <c r="E298" t="s">
        <v>439</v>
      </c>
      <c r="F298" t="s">
        <v>449</v>
      </c>
      <c r="G298" s="11" t="s">
        <v>618</v>
      </c>
    </row>
    <row r="299" spans="1:7">
      <c r="A299">
        <v>14011</v>
      </c>
      <c r="B299">
        <v>2</v>
      </c>
      <c r="C299">
        <v>5400</v>
      </c>
      <c r="D299" t="s">
        <v>425</v>
      </c>
      <c r="E299" s="11" t="s">
        <v>622</v>
      </c>
      <c r="F299" t="s">
        <v>430</v>
      </c>
      <c r="G299" t="s">
        <v>456</v>
      </c>
    </row>
    <row r="300" spans="1:7">
      <c r="D300" t="s">
        <v>428</v>
      </c>
      <c r="E300" t="s">
        <v>437</v>
      </c>
      <c r="F300" t="s">
        <v>449</v>
      </c>
      <c r="G300" t="s">
        <v>453</v>
      </c>
    </row>
    <row r="301" spans="1:7">
      <c r="A301">
        <v>14012</v>
      </c>
      <c r="B301">
        <v>2</v>
      </c>
      <c r="C301">
        <v>5400</v>
      </c>
      <c r="D301" t="s">
        <v>425</v>
      </c>
      <c r="E301" t="s">
        <v>622</v>
      </c>
      <c r="F301" t="s">
        <v>430</v>
      </c>
      <c r="G301" t="s">
        <v>456</v>
      </c>
    </row>
    <row r="302" spans="1:7">
      <c r="D302" t="s">
        <v>428</v>
      </c>
      <c r="E302" t="s">
        <v>439</v>
      </c>
      <c r="F302" t="s">
        <v>449</v>
      </c>
      <c r="G302" s="11" t="s">
        <v>618</v>
      </c>
    </row>
    <row r="303" spans="1:7">
      <c r="A303">
        <v>14013</v>
      </c>
      <c r="B303">
        <v>2</v>
      </c>
      <c r="C303">
        <v>5400</v>
      </c>
      <c r="D303" t="s">
        <v>425</v>
      </c>
      <c r="E303" t="s">
        <v>622</v>
      </c>
      <c r="F303" t="s">
        <v>430</v>
      </c>
      <c r="G303" t="s">
        <v>456</v>
      </c>
    </row>
    <row r="304" spans="1:7">
      <c r="D304" t="s">
        <v>428</v>
      </c>
      <c r="E304" t="s">
        <v>435</v>
      </c>
      <c r="F304" t="s">
        <v>449</v>
      </c>
      <c r="G304" t="s">
        <v>452</v>
      </c>
    </row>
    <row r="305" spans="1:7">
      <c r="A305">
        <v>14014</v>
      </c>
      <c r="B305">
        <v>2</v>
      </c>
      <c r="C305">
        <v>5400</v>
      </c>
      <c r="D305" t="s">
        <v>425</v>
      </c>
      <c r="E305" t="s">
        <v>622</v>
      </c>
      <c r="F305" t="s">
        <v>430</v>
      </c>
      <c r="G305" t="s">
        <v>456</v>
      </c>
    </row>
    <row r="306" spans="1:7">
      <c r="D306" t="s">
        <v>428</v>
      </c>
      <c r="E306" t="s">
        <v>437</v>
      </c>
      <c r="F306" t="s">
        <v>449</v>
      </c>
      <c r="G306" t="s">
        <v>453</v>
      </c>
    </row>
    <row r="307" spans="1:7">
      <c r="A307">
        <v>14101</v>
      </c>
      <c r="B307">
        <v>2</v>
      </c>
      <c r="C307">
        <v>5400</v>
      </c>
      <c r="D307" t="s">
        <v>425</v>
      </c>
      <c r="E307" t="s">
        <v>622</v>
      </c>
      <c r="F307" t="s">
        <v>430</v>
      </c>
      <c r="G307" t="s">
        <v>456</v>
      </c>
    </row>
    <row r="308" spans="1:7">
      <c r="D308" t="s">
        <v>428</v>
      </c>
      <c r="E308" t="s">
        <v>439</v>
      </c>
      <c r="F308" t="s">
        <v>449</v>
      </c>
      <c r="G308" t="s">
        <v>454</v>
      </c>
    </row>
    <row r="309" spans="1:7">
      <c r="A309">
        <v>14102</v>
      </c>
      <c r="B309">
        <v>2</v>
      </c>
      <c r="C309">
        <v>5400</v>
      </c>
      <c r="D309" t="s">
        <v>425</v>
      </c>
      <c r="E309" t="s">
        <v>622</v>
      </c>
      <c r="F309" t="s">
        <v>430</v>
      </c>
      <c r="G309" t="s">
        <v>456</v>
      </c>
    </row>
    <row r="310" spans="1:7">
      <c r="D310" t="s">
        <v>428</v>
      </c>
      <c r="E310" t="s">
        <v>439</v>
      </c>
      <c r="F310" t="s">
        <v>449</v>
      </c>
      <c r="G310" s="11" t="s">
        <v>618</v>
      </c>
    </row>
    <row r="311" spans="1:7">
      <c r="A311">
        <v>14103</v>
      </c>
      <c r="B311">
        <v>2</v>
      </c>
      <c r="C311">
        <v>5400</v>
      </c>
      <c r="D311" t="s">
        <v>425</v>
      </c>
      <c r="E311" t="s">
        <v>622</v>
      </c>
      <c r="F311" t="s">
        <v>430</v>
      </c>
      <c r="G311" t="s">
        <v>456</v>
      </c>
    </row>
    <row r="312" spans="1:7">
      <c r="D312" t="s">
        <v>428</v>
      </c>
      <c r="E312" t="s">
        <v>439</v>
      </c>
      <c r="F312" t="s">
        <v>449</v>
      </c>
      <c r="G312" s="11" t="s">
        <v>618</v>
      </c>
    </row>
    <row r="313" spans="1:7">
      <c r="A313">
        <v>14104</v>
      </c>
      <c r="B313">
        <v>2</v>
      </c>
      <c r="C313">
        <v>5400</v>
      </c>
      <c r="D313" t="s">
        <v>425</v>
      </c>
      <c r="E313" t="s">
        <v>622</v>
      </c>
      <c r="F313" t="s">
        <v>430</v>
      </c>
      <c r="G313" t="s">
        <v>456</v>
      </c>
    </row>
    <row r="314" spans="1:7">
      <c r="D314" t="s">
        <v>428</v>
      </c>
      <c r="E314" t="s">
        <v>437</v>
      </c>
      <c r="F314" t="s">
        <v>449</v>
      </c>
      <c r="G314" t="s">
        <v>453</v>
      </c>
    </row>
    <row r="315" spans="1:7">
      <c r="A315">
        <v>14105</v>
      </c>
      <c r="B315">
        <v>2</v>
      </c>
      <c r="C315">
        <v>5400</v>
      </c>
      <c r="D315" t="s">
        <v>425</v>
      </c>
      <c r="E315" t="s">
        <v>622</v>
      </c>
      <c r="F315" t="s">
        <v>430</v>
      </c>
      <c r="G315" t="s">
        <v>456</v>
      </c>
    </row>
    <row r="316" spans="1:7">
      <c r="D316" t="s">
        <v>428</v>
      </c>
      <c r="E316" t="s">
        <v>439</v>
      </c>
      <c r="F316" t="s">
        <v>449</v>
      </c>
      <c r="G316" t="s">
        <v>454</v>
      </c>
    </row>
    <row r="317" spans="1:7">
      <c r="A317">
        <v>14106</v>
      </c>
      <c r="B317">
        <v>2</v>
      </c>
      <c r="C317">
        <v>5400</v>
      </c>
      <c r="D317" t="s">
        <v>425</v>
      </c>
      <c r="E317" t="s">
        <v>622</v>
      </c>
      <c r="F317" t="s">
        <v>430</v>
      </c>
      <c r="G317" t="s">
        <v>456</v>
      </c>
    </row>
    <row r="318" spans="1:7">
      <c r="D318" t="s">
        <v>428</v>
      </c>
      <c r="E318" t="s">
        <v>435</v>
      </c>
      <c r="F318" t="s">
        <v>449</v>
      </c>
      <c r="G318" t="s">
        <v>452</v>
      </c>
    </row>
    <row r="319" spans="1:7">
      <c r="A319">
        <v>14107</v>
      </c>
      <c r="B319">
        <v>2</v>
      </c>
      <c r="C319">
        <v>5400</v>
      </c>
      <c r="D319" t="s">
        <v>425</v>
      </c>
      <c r="E319" t="s">
        <v>622</v>
      </c>
      <c r="F319" t="s">
        <v>430</v>
      </c>
      <c r="G319" t="s">
        <v>456</v>
      </c>
    </row>
    <row r="320" spans="1:7">
      <c r="D320" t="s">
        <v>428</v>
      </c>
      <c r="E320" t="s">
        <v>435</v>
      </c>
      <c r="F320" t="s">
        <v>449</v>
      </c>
      <c r="G320" t="s">
        <v>452</v>
      </c>
    </row>
    <row r="321" spans="1:7">
      <c r="A321">
        <v>14108</v>
      </c>
      <c r="B321">
        <v>2</v>
      </c>
      <c r="C321">
        <v>5400</v>
      </c>
      <c r="D321" t="s">
        <v>425</v>
      </c>
      <c r="E321" t="s">
        <v>622</v>
      </c>
      <c r="F321" t="s">
        <v>430</v>
      </c>
      <c r="G321" t="s">
        <v>456</v>
      </c>
    </row>
    <row r="322" spans="1:7">
      <c r="D322" t="s">
        <v>428</v>
      </c>
      <c r="E322" t="s">
        <v>437</v>
      </c>
      <c r="F322" t="s">
        <v>449</v>
      </c>
      <c r="G322" t="s">
        <v>453</v>
      </c>
    </row>
    <row r="323" spans="1:7">
      <c r="A323">
        <v>14109</v>
      </c>
      <c r="B323">
        <v>2</v>
      </c>
      <c r="C323">
        <v>5400</v>
      </c>
      <c r="D323" t="s">
        <v>425</v>
      </c>
      <c r="E323" t="s">
        <v>622</v>
      </c>
      <c r="F323" t="s">
        <v>430</v>
      </c>
      <c r="G323" t="s">
        <v>456</v>
      </c>
    </row>
    <row r="324" spans="1:7">
      <c r="D324" t="s">
        <v>428</v>
      </c>
      <c r="E324" t="s">
        <v>439</v>
      </c>
      <c r="F324" t="s">
        <v>449</v>
      </c>
      <c r="G324" t="s">
        <v>454</v>
      </c>
    </row>
    <row r="325" spans="1:7">
      <c r="A325">
        <v>14110</v>
      </c>
      <c r="B325">
        <v>2</v>
      </c>
      <c r="C325">
        <v>5400</v>
      </c>
      <c r="D325" t="s">
        <v>425</v>
      </c>
      <c r="E325" t="s">
        <v>622</v>
      </c>
      <c r="F325" t="s">
        <v>430</v>
      </c>
      <c r="G325" t="s">
        <v>456</v>
      </c>
    </row>
    <row r="326" spans="1:7">
      <c r="D326" t="s">
        <v>428</v>
      </c>
      <c r="E326" t="s">
        <v>429</v>
      </c>
      <c r="F326" t="s">
        <v>449</v>
      </c>
      <c r="G326" t="s">
        <v>450</v>
      </c>
    </row>
    <row r="327" spans="1:7">
      <c r="A327">
        <v>14111</v>
      </c>
      <c r="B327">
        <v>2</v>
      </c>
      <c r="C327">
        <v>5400</v>
      </c>
      <c r="D327" t="s">
        <v>425</v>
      </c>
      <c r="E327" t="s">
        <v>622</v>
      </c>
      <c r="F327" t="s">
        <v>430</v>
      </c>
      <c r="G327" t="s">
        <v>456</v>
      </c>
    </row>
    <row r="328" spans="1:7">
      <c r="D328" t="s">
        <v>428</v>
      </c>
      <c r="E328" t="s">
        <v>435</v>
      </c>
      <c r="F328" t="s">
        <v>449</v>
      </c>
      <c r="G328" t="s">
        <v>452</v>
      </c>
    </row>
    <row r="329" spans="1:7">
      <c r="A329">
        <v>14112</v>
      </c>
      <c r="B329">
        <v>2</v>
      </c>
      <c r="C329">
        <v>5400</v>
      </c>
      <c r="D329" t="s">
        <v>425</v>
      </c>
      <c r="E329" t="s">
        <v>622</v>
      </c>
      <c r="F329" t="s">
        <v>430</v>
      </c>
      <c r="G329" t="s">
        <v>456</v>
      </c>
    </row>
    <row r="330" spans="1:7">
      <c r="D330" t="s">
        <v>428</v>
      </c>
      <c r="E330" t="s">
        <v>437</v>
      </c>
      <c r="F330" t="s">
        <v>449</v>
      </c>
      <c r="G330" t="s">
        <v>453</v>
      </c>
    </row>
    <row r="331" spans="1:7">
      <c r="A331">
        <v>14113</v>
      </c>
      <c r="B331">
        <v>2</v>
      </c>
      <c r="C331">
        <v>5400</v>
      </c>
      <c r="D331" t="s">
        <v>425</v>
      </c>
      <c r="E331" t="s">
        <v>622</v>
      </c>
      <c r="F331" t="s">
        <v>430</v>
      </c>
      <c r="G331" t="s">
        <v>456</v>
      </c>
    </row>
    <row r="332" spans="1:7">
      <c r="D332" t="s">
        <v>428</v>
      </c>
      <c r="E332" t="s">
        <v>439</v>
      </c>
      <c r="F332" t="s">
        <v>449</v>
      </c>
      <c r="G332" t="s">
        <v>454</v>
      </c>
    </row>
    <row r="333" spans="1:7">
      <c r="A333">
        <v>14114</v>
      </c>
      <c r="B333">
        <v>2</v>
      </c>
      <c r="C333">
        <v>5400</v>
      </c>
      <c r="D333" t="s">
        <v>425</v>
      </c>
      <c r="E333" t="s">
        <v>622</v>
      </c>
      <c r="F333" t="s">
        <v>430</v>
      </c>
      <c r="G333" t="s">
        <v>456</v>
      </c>
    </row>
    <row r="334" spans="1:7">
      <c r="D334" t="s">
        <v>428</v>
      </c>
      <c r="E334" t="s">
        <v>439</v>
      </c>
      <c r="F334" t="s">
        <v>449</v>
      </c>
      <c r="G334" s="11" t="s">
        <v>618</v>
      </c>
    </row>
    <row r="335" spans="1:7">
      <c r="A335">
        <v>14201</v>
      </c>
      <c r="B335">
        <v>2</v>
      </c>
      <c r="C335">
        <v>5400</v>
      </c>
      <c r="D335" t="s">
        <v>425</v>
      </c>
      <c r="E335" t="s">
        <v>622</v>
      </c>
      <c r="F335" t="s">
        <v>430</v>
      </c>
      <c r="G335" t="s">
        <v>456</v>
      </c>
    </row>
    <row r="336" spans="1:7">
      <c r="D336" t="s">
        <v>428</v>
      </c>
      <c r="E336" t="s">
        <v>437</v>
      </c>
      <c r="F336" t="s">
        <v>449</v>
      </c>
      <c r="G336" t="s">
        <v>453</v>
      </c>
    </row>
    <row r="337" spans="1:13">
      <c r="A337">
        <v>14202</v>
      </c>
      <c r="B337">
        <v>2</v>
      </c>
      <c r="C337">
        <v>5400</v>
      </c>
      <c r="D337" t="s">
        <v>425</v>
      </c>
      <c r="E337" t="s">
        <v>622</v>
      </c>
      <c r="F337" t="s">
        <v>430</v>
      </c>
      <c r="G337" t="s">
        <v>456</v>
      </c>
    </row>
    <row r="338" spans="1:13">
      <c r="D338" t="s">
        <v>428</v>
      </c>
      <c r="E338" t="s">
        <v>439</v>
      </c>
      <c r="F338" t="s">
        <v>449</v>
      </c>
      <c r="G338" t="s">
        <v>454</v>
      </c>
    </row>
    <row r="339" spans="1:13">
      <c r="A339">
        <v>14203</v>
      </c>
      <c r="B339">
        <v>2</v>
      </c>
      <c r="C339">
        <v>5400</v>
      </c>
      <c r="D339" t="s">
        <v>425</v>
      </c>
      <c r="E339" t="s">
        <v>622</v>
      </c>
      <c r="F339" t="s">
        <v>430</v>
      </c>
      <c r="G339" t="s">
        <v>456</v>
      </c>
    </row>
    <row r="340" spans="1:13">
      <c r="D340" t="s">
        <v>428</v>
      </c>
      <c r="E340" t="s">
        <v>439</v>
      </c>
      <c r="F340" t="s">
        <v>449</v>
      </c>
      <c r="G340" s="11" t="s">
        <v>618</v>
      </c>
    </row>
    <row r="341" spans="1:13">
      <c r="A341">
        <v>14204</v>
      </c>
      <c r="B341">
        <v>2</v>
      </c>
      <c r="C341">
        <v>5400</v>
      </c>
      <c r="D341" t="s">
        <v>425</v>
      </c>
      <c r="E341" t="s">
        <v>622</v>
      </c>
      <c r="F341" t="s">
        <v>430</v>
      </c>
      <c r="G341" t="s">
        <v>456</v>
      </c>
    </row>
    <row r="342" spans="1:13">
      <c r="D342" t="s">
        <v>428</v>
      </c>
      <c r="E342" t="s">
        <v>435</v>
      </c>
      <c r="F342" t="s">
        <v>449</v>
      </c>
      <c r="G342" t="s">
        <v>452</v>
      </c>
    </row>
    <row r="343" spans="1:13">
      <c r="A343">
        <v>14205</v>
      </c>
      <c r="B343">
        <v>2</v>
      </c>
      <c r="C343">
        <v>5400</v>
      </c>
      <c r="D343" t="s">
        <v>425</v>
      </c>
      <c r="E343" t="s">
        <v>622</v>
      </c>
      <c r="F343" t="s">
        <v>430</v>
      </c>
      <c r="G343" t="s">
        <v>456</v>
      </c>
    </row>
    <row r="344" spans="1:13">
      <c r="D344" t="s">
        <v>428</v>
      </c>
      <c r="E344" t="s">
        <v>437</v>
      </c>
      <c r="F344" t="s">
        <v>449</v>
      </c>
      <c r="G344" t="s">
        <v>453</v>
      </c>
    </row>
    <row r="345" spans="1:13">
      <c r="A345">
        <v>14206</v>
      </c>
      <c r="B345">
        <v>2</v>
      </c>
      <c r="C345">
        <v>5400</v>
      </c>
      <c r="D345" t="s">
        <v>425</v>
      </c>
      <c r="E345" s="11" t="s">
        <v>622</v>
      </c>
      <c r="F345" t="s">
        <v>430</v>
      </c>
      <c r="G345" t="s">
        <v>456</v>
      </c>
    </row>
    <row r="346" spans="1:13">
      <c r="D346" t="s">
        <v>428</v>
      </c>
      <c r="E346" t="s">
        <v>439</v>
      </c>
      <c r="F346" t="s">
        <v>449</v>
      </c>
      <c r="G346" t="s">
        <v>454</v>
      </c>
    </row>
    <row r="347" spans="1:13">
      <c r="A347">
        <v>14207</v>
      </c>
      <c r="B347">
        <v>2</v>
      </c>
      <c r="C347">
        <v>5400</v>
      </c>
      <c r="D347" t="s">
        <v>425</v>
      </c>
      <c r="E347" s="11" t="s">
        <v>622</v>
      </c>
      <c r="F347" t="s">
        <v>430</v>
      </c>
      <c r="G347" t="s">
        <v>456</v>
      </c>
    </row>
    <row r="348" spans="1:13">
      <c r="D348" t="s">
        <v>428</v>
      </c>
      <c r="E348" t="s">
        <v>429</v>
      </c>
      <c r="F348" t="s">
        <v>449</v>
      </c>
      <c r="G348" t="s">
        <v>450</v>
      </c>
      <c r="M348" t="str">
        <f>_xlfn.TEXTJOIN(";",TRUE,A279:A361)</f>
        <v>14001;14002;14003;14004;14005;14006;14007;14008;14009;14010;14011;14012;14013;14014;14101;14102;14103;14104;14105;14106;14107;14108;14109;14110;14111;14112;14113;14114;14201;14202;14203;14204;14205;14206;14207;14208;14209;14210;14211;14212;14213;14214</v>
      </c>
    </row>
    <row r="349" spans="1:13">
      <c r="A349">
        <v>14208</v>
      </c>
      <c r="B349">
        <v>2</v>
      </c>
      <c r="C349">
        <v>5400</v>
      </c>
      <c r="D349" t="s">
        <v>425</v>
      </c>
      <c r="E349" s="11" t="s">
        <v>622</v>
      </c>
      <c r="F349" t="s">
        <v>430</v>
      </c>
      <c r="G349" t="s">
        <v>456</v>
      </c>
    </row>
    <row r="350" spans="1:13">
      <c r="D350" t="s">
        <v>428</v>
      </c>
      <c r="E350" t="s">
        <v>435</v>
      </c>
      <c r="F350" t="s">
        <v>449</v>
      </c>
      <c r="G350" s="11" t="s">
        <v>609</v>
      </c>
      <c r="M350" t="str">
        <f>_xlfn.TEXTJOIN(";",TRUE,A166:A277)</f>
        <v>13001;13002;13003;13004;13005;13006;13007;13008;13009;13010;13011;13012;13013;13014;13101;13102;13103;13104;13105;13106;13107;13108;13109;13110;13111;13112;13113;13114;13201;13202;13203;13204;13205;13206;13207;13208;13209;13210;13211;13212;13213;13214</v>
      </c>
    </row>
    <row r="351" spans="1:13">
      <c r="A351">
        <v>14209</v>
      </c>
      <c r="B351">
        <v>2</v>
      </c>
      <c r="C351">
        <v>5400</v>
      </c>
      <c r="D351" t="s">
        <v>425</v>
      </c>
      <c r="E351" s="11" t="s">
        <v>622</v>
      </c>
      <c r="F351" t="s">
        <v>430</v>
      </c>
      <c r="G351" t="s">
        <v>456</v>
      </c>
    </row>
    <row r="352" spans="1:13">
      <c r="D352" t="s">
        <v>428</v>
      </c>
      <c r="E352" t="s">
        <v>437</v>
      </c>
      <c r="F352" t="s">
        <v>449</v>
      </c>
      <c r="G352" t="s">
        <v>453</v>
      </c>
    </row>
    <row r="353" spans="1:8">
      <c r="A353">
        <v>14210</v>
      </c>
      <c r="B353">
        <v>2</v>
      </c>
      <c r="C353">
        <v>5400</v>
      </c>
      <c r="D353" t="s">
        <v>425</v>
      </c>
      <c r="E353" s="11" t="s">
        <v>622</v>
      </c>
      <c r="F353" t="s">
        <v>430</v>
      </c>
      <c r="G353" t="s">
        <v>456</v>
      </c>
    </row>
    <row r="354" spans="1:8">
      <c r="D354" t="s">
        <v>428</v>
      </c>
      <c r="E354" t="s">
        <v>439</v>
      </c>
      <c r="F354" t="s">
        <v>449</v>
      </c>
      <c r="G354" t="s">
        <v>454</v>
      </c>
    </row>
    <row r="355" spans="1:8">
      <c r="A355">
        <v>14211</v>
      </c>
      <c r="B355">
        <v>2</v>
      </c>
      <c r="C355">
        <v>5400</v>
      </c>
      <c r="D355" t="s">
        <v>425</v>
      </c>
      <c r="E355" s="11" t="s">
        <v>622</v>
      </c>
      <c r="F355" t="s">
        <v>430</v>
      </c>
      <c r="G355" t="s">
        <v>456</v>
      </c>
    </row>
    <row r="356" spans="1:8">
      <c r="D356" t="s">
        <v>428</v>
      </c>
      <c r="E356" t="s">
        <v>439</v>
      </c>
      <c r="F356" t="s">
        <v>449</v>
      </c>
      <c r="G356" s="11" t="s">
        <v>618</v>
      </c>
    </row>
    <row r="357" spans="1:8">
      <c r="A357">
        <v>14212</v>
      </c>
      <c r="B357">
        <v>2</v>
      </c>
      <c r="C357">
        <v>5400</v>
      </c>
      <c r="D357" t="s">
        <v>425</v>
      </c>
      <c r="E357" s="11" t="s">
        <v>622</v>
      </c>
      <c r="F357" t="s">
        <v>430</v>
      </c>
      <c r="G357" t="s">
        <v>456</v>
      </c>
    </row>
    <row r="358" spans="1:8">
      <c r="D358" t="s">
        <v>428</v>
      </c>
      <c r="E358" t="s">
        <v>437</v>
      </c>
      <c r="F358" t="s">
        <v>449</v>
      </c>
      <c r="G358" t="s">
        <v>453</v>
      </c>
    </row>
    <row r="359" spans="1:8">
      <c r="A359">
        <v>14213</v>
      </c>
      <c r="B359">
        <v>2</v>
      </c>
      <c r="C359">
        <v>5400</v>
      </c>
      <c r="D359" t="s">
        <v>425</v>
      </c>
      <c r="E359" s="11" t="s">
        <v>622</v>
      </c>
      <c r="F359" t="s">
        <v>430</v>
      </c>
      <c r="G359" s="11" t="s">
        <v>613</v>
      </c>
    </row>
    <row r="360" spans="1:8">
      <c r="D360" t="s">
        <v>428</v>
      </c>
      <c r="E360" t="s">
        <v>435</v>
      </c>
      <c r="F360" t="s">
        <v>449</v>
      </c>
      <c r="G360" t="s">
        <v>452</v>
      </c>
    </row>
    <row r="361" spans="1:8">
      <c r="A361">
        <v>14214</v>
      </c>
      <c r="B361">
        <v>2</v>
      </c>
      <c r="C361">
        <v>5400</v>
      </c>
      <c r="D361" t="s">
        <v>425</v>
      </c>
      <c r="E361" s="11" t="s">
        <v>622</v>
      </c>
      <c r="F361" t="s">
        <v>430</v>
      </c>
      <c r="G361" s="11" t="s">
        <v>613</v>
      </c>
    </row>
    <row r="362" spans="1:8">
      <c r="D362" t="s">
        <v>428</v>
      </c>
      <c r="E362" t="s">
        <v>439</v>
      </c>
      <c r="F362" t="s">
        <v>449</v>
      </c>
      <c r="G362" s="11" t="s">
        <v>618</v>
      </c>
      <c r="H362" s="11"/>
    </row>
    <row r="363" spans="1:8">
      <c r="A363">
        <v>31001</v>
      </c>
      <c r="B363">
        <v>1</v>
      </c>
      <c r="C363">
        <v>30</v>
      </c>
      <c r="D363" t="s">
        <v>425</v>
      </c>
      <c r="E363" s="11" t="s">
        <v>621</v>
      </c>
      <c r="F363" t="s">
        <v>449</v>
      </c>
      <c r="G363" s="11" t="s">
        <v>612</v>
      </c>
    </row>
    <row r="364" spans="1:8">
      <c r="A364">
        <v>31002</v>
      </c>
      <c r="B364">
        <v>1</v>
      </c>
      <c r="C364">
        <v>30</v>
      </c>
      <c r="D364" t="s">
        <v>425</v>
      </c>
      <c r="E364" s="11" t="s">
        <v>621</v>
      </c>
      <c r="F364" t="s">
        <v>449</v>
      </c>
      <c r="G364" s="11" t="s">
        <v>612</v>
      </c>
    </row>
    <row r="365" spans="1:8">
      <c r="A365">
        <v>31003</v>
      </c>
      <c r="B365">
        <v>1</v>
      </c>
      <c r="C365">
        <v>30</v>
      </c>
      <c r="D365" t="s">
        <v>425</v>
      </c>
      <c r="E365" s="11" t="s">
        <v>621</v>
      </c>
      <c r="F365" t="s">
        <v>449</v>
      </c>
      <c r="G365" t="s">
        <v>457</v>
      </c>
    </row>
    <row r="366" spans="1:8">
      <c r="A366">
        <v>31004</v>
      </c>
      <c r="B366">
        <v>1</v>
      </c>
      <c r="C366">
        <v>30</v>
      </c>
      <c r="D366" t="s">
        <v>425</v>
      </c>
      <c r="E366" s="11" t="s">
        <v>621</v>
      </c>
      <c r="F366" t="s">
        <v>449</v>
      </c>
      <c r="G366" t="s">
        <v>457</v>
      </c>
    </row>
    <row r="367" spans="1:8">
      <c r="A367">
        <v>31005</v>
      </c>
      <c r="B367">
        <v>1</v>
      </c>
      <c r="C367">
        <v>30</v>
      </c>
      <c r="D367" t="s">
        <v>425</v>
      </c>
      <c r="E367" s="11" t="s">
        <v>621</v>
      </c>
      <c r="F367" t="s">
        <v>449</v>
      </c>
      <c r="G367" t="s">
        <v>457</v>
      </c>
    </row>
    <row r="368" spans="1:8">
      <c r="A368">
        <v>31006</v>
      </c>
      <c r="B368">
        <v>1</v>
      </c>
      <c r="C368">
        <v>30</v>
      </c>
      <c r="D368" t="s">
        <v>425</v>
      </c>
      <c r="E368" s="11" t="s">
        <v>621</v>
      </c>
      <c r="F368" t="s">
        <v>449</v>
      </c>
      <c r="G368" t="s">
        <v>457</v>
      </c>
    </row>
    <row r="369" spans="1:7">
      <c r="A369">
        <v>31007</v>
      </c>
      <c r="B369">
        <v>1</v>
      </c>
      <c r="C369">
        <v>30</v>
      </c>
      <c r="D369" t="s">
        <v>425</v>
      </c>
      <c r="E369" s="11" t="s">
        <v>621</v>
      </c>
      <c r="F369" t="s">
        <v>449</v>
      </c>
      <c r="G369" t="s">
        <v>457</v>
      </c>
    </row>
    <row r="370" spans="1:7">
      <c r="A370">
        <v>31008</v>
      </c>
      <c r="B370">
        <v>1</v>
      </c>
      <c r="C370">
        <v>30</v>
      </c>
      <c r="D370" t="s">
        <v>425</v>
      </c>
      <c r="E370" s="11" t="s">
        <v>621</v>
      </c>
      <c r="F370" t="s">
        <v>449</v>
      </c>
      <c r="G370" t="s">
        <v>457</v>
      </c>
    </row>
    <row r="371" spans="1:7">
      <c r="A371">
        <v>31009</v>
      </c>
      <c r="B371">
        <v>1</v>
      </c>
      <c r="C371">
        <v>30</v>
      </c>
      <c r="D371" t="s">
        <v>425</v>
      </c>
      <c r="E371" s="11" t="s">
        <v>621</v>
      </c>
      <c r="F371" t="s">
        <v>449</v>
      </c>
      <c r="G371" t="s">
        <v>457</v>
      </c>
    </row>
  </sheetData>
  <phoneticPr fontId="5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6"/>
  <sheetViews>
    <sheetView topLeftCell="A6" zoomScale="120" zoomScaleNormal="120" workbookViewId="0">
      <selection activeCell="H30" sqref="H30:H34"/>
    </sheetView>
  </sheetViews>
  <sheetFormatPr defaultColWidth="8.84375" defaultRowHeight="16.5"/>
  <cols>
    <col min="1" max="2" width="18.3046875" customWidth="1"/>
    <col min="3" max="3" width="9.84375" customWidth="1"/>
    <col min="4" max="4" width="8.3046875" customWidth="1"/>
    <col min="5" max="5" width="16.53515625" customWidth="1"/>
    <col min="6" max="6" width="14.765625" style="51" customWidth="1"/>
    <col min="7" max="7" width="58" customWidth="1"/>
    <col min="8" max="8" width="58.53515625" customWidth="1"/>
    <col min="9" max="9" width="58" customWidth="1"/>
    <col min="10" max="10" width="71.53515625" customWidth="1"/>
    <col min="11" max="11" width="58.84375" customWidth="1"/>
    <col min="12" max="13" width="14.23046875" customWidth="1"/>
  </cols>
  <sheetData>
    <row r="1" spans="1:13">
      <c r="A1" s="52" t="s">
        <v>458</v>
      </c>
      <c r="B1" s="52"/>
      <c r="C1" s="53"/>
      <c r="D1" s="52"/>
      <c r="E1" s="52"/>
      <c r="F1" s="54"/>
      <c r="G1" s="52"/>
      <c r="H1" s="52"/>
      <c r="I1" s="52"/>
      <c r="J1" s="52"/>
      <c r="K1" s="52"/>
      <c r="L1" s="52"/>
      <c r="M1" s="52"/>
    </row>
    <row r="2" spans="1:13" s="47" customFormat="1" ht="14.25" customHeight="1">
      <c r="A2" s="55" t="s">
        <v>64</v>
      </c>
      <c r="B2" s="56" t="s">
        <v>48</v>
      </c>
      <c r="C2" s="47" t="s">
        <v>459</v>
      </c>
      <c r="E2" s="47" t="s">
        <v>460</v>
      </c>
      <c r="F2" s="57" t="s">
        <v>461</v>
      </c>
      <c r="G2" s="47" t="s">
        <v>462</v>
      </c>
      <c r="H2" s="47" t="s">
        <v>463</v>
      </c>
      <c r="I2" s="57" t="s">
        <v>464</v>
      </c>
      <c r="J2" s="57" t="s">
        <v>465</v>
      </c>
      <c r="K2" s="47" t="s">
        <v>466</v>
      </c>
      <c r="L2" s="47" t="s">
        <v>467</v>
      </c>
      <c r="M2" s="47" t="s">
        <v>468</v>
      </c>
    </row>
    <row r="3" spans="1:13" s="48" customFormat="1" ht="16.5" customHeight="1">
      <c r="A3" s="58" t="s">
        <v>62</v>
      </c>
      <c r="B3" s="58"/>
      <c r="C3" s="58" t="s">
        <v>65</v>
      </c>
      <c r="D3" s="58" t="s">
        <v>469</v>
      </c>
      <c r="E3" s="58" t="s">
        <v>470</v>
      </c>
      <c r="F3" s="59" t="s">
        <v>471</v>
      </c>
      <c r="G3" s="58" t="s">
        <v>472</v>
      </c>
      <c r="H3" s="58" t="s">
        <v>473</v>
      </c>
      <c r="I3" s="59" t="s">
        <v>474</v>
      </c>
      <c r="J3" s="59" t="s">
        <v>475</v>
      </c>
      <c r="K3" s="58" t="s">
        <v>476</v>
      </c>
      <c r="L3" s="58" t="s">
        <v>477</v>
      </c>
      <c r="M3" s="58" t="s">
        <v>478</v>
      </c>
    </row>
    <row r="4" spans="1:13" s="49" customFormat="1" ht="16.5" customHeight="1">
      <c r="A4" s="60">
        <v>1001</v>
      </c>
      <c r="B4" s="60"/>
      <c r="C4" s="60" t="s">
        <v>125</v>
      </c>
      <c r="D4" s="60"/>
      <c r="E4" s="60" t="s">
        <v>479</v>
      </c>
      <c r="F4" s="61" t="s">
        <v>480</v>
      </c>
      <c r="G4" s="142" t="s">
        <v>677</v>
      </c>
      <c r="H4" s="142" t="s">
        <v>681</v>
      </c>
      <c r="I4" s="61" t="s">
        <v>482</v>
      </c>
      <c r="J4" s="61" t="s">
        <v>483</v>
      </c>
      <c r="K4" s="60" t="s">
        <v>484</v>
      </c>
      <c r="L4" s="60"/>
      <c r="M4" s="60"/>
    </row>
    <row r="5" spans="1:13" s="49" customFormat="1" ht="16.5" customHeight="1">
      <c r="A5" s="60">
        <v>1002</v>
      </c>
      <c r="B5" s="60"/>
      <c r="C5" s="60" t="s">
        <v>125</v>
      </c>
      <c r="D5" s="60"/>
      <c r="E5" s="60" t="s">
        <v>479</v>
      </c>
      <c r="F5" s="61" t="s">
        <v>480</v>
      </c>
      <c r="G5" s="142" t="s">
        <v>678</v>
      </c>
      <c r="H5" s="142" t="s">
        <v>682</v>
      </c>
      <c r="I5" s="61" t="s">
        <v>482</v>
      </c>
      <c r="J5" s="61" t="s">
        <v>483</v>
      </c>
      <c r="K5" s="60" t="s">
        <v>484</v>
      </c>
      <c r="L5" s="60"/>
      <c r="M5" s="60"/>
    </row>
    <row r="6" spans="1:13" s="49" customFormat="1" ht="16.5" customHeight="1">
      <c r="A6" s="60">
        <v>1003</v>
      </c>
      <c r="B6" s="60"/>
      <c r="C6" s="60" t="s">
        <v>125</v>
      </c>
      <c r="D6" s="60"/>
      <c r="E6" s="60" t="s">
        <v>479</v>
      </c>
      <c r="F6" s="61" t="s">
        <v>480</v>
      </c>
      <c r="G6" s="142" t="s">
        <v>679</v>
      </c>
      <c r="H6" s="142" t="s">
        <v>683</v>
      </c>
      <c r="I6" s="61" t="s">
        <v>486</v>
      </c>
      <c r="J6" s="61" t="s">
        <v>487</v>
      </c>
      <c r="K6" s="60" t="s">
        <v>488</v>
      </c>
      <c r="L6" s="60"/>
      <c r="M6" s="60"/>
    </row>
    <row r="7" spans="1:13" s="49" customFormat="1" ht="16.5" customHeight="1">
      <c r="A7" s="60">
        <v>1004</v>
      </c>
      <c r="B7" s="60"/>
      <c r="C7" s="60" t="s">
        <v>125</v>
      </c>
      <c r="D7" s="60"/>
      <c r="E7" s="60" t="s">
        <v>479</v>
      </c>
      <c r="F7" s="61"/>
      <c r="G7" s="142" t="s">
        <v>680</v>
      </c>
      <c r="H7" s="142" t="s">
        <v>684</v>
      </c>
      <c r="I7" s="61"/>
      <c r="J7" s="61"/>
      <c r="K7" s="60"/>
      <c r="L7" s="60"/>
      <c r="M7" s="60"/>
    </row>
    <row r="8" spans="1:13" s="50" customFormat="1" ht="16.5" customHeight="1">
      <c r="A8" s="62">
        <v>2001</v>
      </c>
      <c r="B8" s="62"/>
      <c r="C8" s="62" t="s">
        <v>108</v>
      </c>
      <c r="D8" s="62"/>
      <c r="E8" s="62" t="s">
        <v>489</v>
      </c>
      <c r="F8" s="61" t="s">
        <v>480</v>
      </c>
      <c r="G8" s="142" t="s">
        <v>657</v>
      </c>
      <c r="H8" s="142" t="s">
        <v>667</v>
      </c>
      <c r="I8" s="61" t="s">
        <v>482</v>
      </c>
      <c r="J8" s="61" t="s">
        <v>483</v>
      </c>
      <c r="K8" s="62" t="s">
        <v>484</v>
      </c>
      <c r="L8" s="62"/>
      <c r="M8" s="62"/>
    </row>
    <row r="9" spans="1:13" s="50" customFormat="1" ht="16.5" customHeight="1">
      <c r="A9" s="62">
        <v>2002</v>
      </c>
      <c r="B9" s="62"/>
      <c r="C9" s="62" t="s">
        <v>108</v>
      </c>
      <c r="D9" s="62"/>
      <c r="E9" s="62" t="s">
        <v>489</v>
      </c>
      <c r="F9" s="61" t="s">
        <v>480</v>
      </c>
      <c r="G9" s="142" t="s">
        <v>658</v>
      </c>
      <c r="H9" s="142" t="s">
        <v>668</v>
      </c>
      <c r="I9" s="61" t="s">
        <v>482</v>
      </c>
      <c r="J9" s="61" t="s">
        <v>483</v>
      </c>
      <c r="K9" s="62" t="s">
        <v>484</v>
      </c>
      <c r="L9" s="62"/>
      <c r="M9" s="62"/>
    </row>
    <row r="10" spans="1:13" s="50" customFormat="1" ht="16.5" customHeight="1">
      <c r="A10" s="62">
        <v>2003</v>
      </c>
      <c r="B10" s="62"/>
      <c r="C10" s="62" t="s">
        <v>108</v>
      </c>
      <c r="D10" s="62"/>
      <c r="E10" s="62" t="s">
        <v>489</v>
      </c>
      <c r="F10" s="61" t="s">
        <v>480</v>
      </c>
      <c r="G10" s="142" t="s">
        <v>659</v>
      </c>
      <c r="H10" s="142" t="s">
        <v>669</v>
      </c>
      <c r="I10" s="61"/>
      <c r="J10" s="61"/>
      <c r="K10" s="62"/>
      <c r="L10" s="62"/>
      <c r="M10" s="62"/>
    </row>
    <row r="11" spans="1:13" s="50" customFormat="1" ht="16.5" customHeight="1">
      <c r="A11" s="62">
        <v>2004</v>
      </c>
      <c r="B11" s="62"/>
      <c r="C11" s="62" t="s">
        <v>108</v>
      </c>
      <c r="D11" s="62"/>
      <c r="E11" s="62" t="s">
        <v>489</v>
      </c>
      <c r="F11" s="61"/>
      <c r="G11" s="142" t="s">
        <v>660</v>
      </c>
      <c r="H11" s="142" t="s">
        <v>670</v>
      </c>
      <c r="I11" s="61"/>
      <c r="J11" s="61"/>
      <c r="K11" s="62"/>
      <c r="L11" s="62"/>
      <c r="M11" s="62"/>
    </row>
    <row r="12" spans="1:13" s="50" customFormat="1" ht="16.5" customHeight="1">
      <c r="A12" s="62">
        <v>2011</v>
      </c>
      <c r="B12" s="62"/>
      <c r="C12" s="62" t="s">
        <v>108</v>
      </c>
      <c r="D12" s="62"/>
      <c r="E12" s="62" t="s">
        <v>489</v>
      </c>
      <c r="F12" s="61"/>
      <c r="G12" s="142" t="s">
        <v>661</v>
      </c>
      <c r="H12" s="142" t="s">
        <v>671</v>
      </c>
      <c r="I12" s="61"/>
      <c r="J12" s="61"/>
      <c r="K12" s="62"/>
      <c r="L12" s="62"/>
      <c r="M12" s="62"/>
    </row>
    <row r="13" spans="1:13" s="50" customFormat="1" ht="16.5" customHeight="1">
      <c r="A13" s="62">
        <v>2012</v>
      </c>
      <c r="B13" s="62"/>
      <c r="C13" s="62" t="s">
        <v>108</v>
      </c>
      <c r="D13" s="62"/>
      <c r="E13" s="62" t="s">
        <v>489</v>
      </c>
      <c r="F13" s="61"/>
      <c r="G13" s="142" t="s">
        <v>662</v>
      </c>
      <c r="H13" s="142" t="s">
        <v>672</v>
      </c>
      <c r="I13" s="61"/>
      <c r="J13" s="61"/>
      <c r="K13" s="62"/>
      <c r="L13" s="62"/>
      <c r="M13" s="62"/>
    </row>
    <row r="14" spans="1:13" s="50" customFormat="1" ht="16.5" customHeight="1">
      <c r="A14" s="62">
        <v>2007</v>
      </c>
      <c r="B14" s="62"/>
      <c r="C14" s="62" t="s">
        <v>108</v>
      </c>
      <c r="D14" s="62"/>
      <c r="E14" s="62" t="s">
        <v>489</v>
      </c>
      <c r="F14" s="61"/>
      <c r="G14" s="142" t="s">
        <v>663</v>
      </c>
      <c r="H14" s="142" t="s">
        <v>673</v>
      </c>
      <c r="I14" s="61"/>
      <c r="J14" s="61"/>
      <c r="K14" s="62"/>
      <c r="L14" s="62"/>
      <c r="M14" s="62"/>
    </row>
    <row r="15" spans="1:13" s="50" customFormat="1" ht="16.5" customHeight="1">
      <c r="A15" s="62">
        <v>2008</v>
      </c>
      <c r="B15" s="62"/>
      <c r="C15" s="62" t="s">
        <v>108</v>
      </c>
      <c r="D15" s="62"/>
      <c r="E15" s="62" t="s">
        <v>489</v>
      </c>
      <c r="F15" s="61"/>
      <c r="G15" s="142" t="s">
        <v>664</v>
      </c>
      <c r="H15" s="142" t="s">
        <v>674</v>
      </c>
      <c r="I15" s="61"/>
      <c r="J15" s="61"/>
      <c r="K15" s="62"/>
      <c r="L15" s="62"/>
      <c r="M15" s="62"/>
    </row>
    <row r="16" spans="1:13" s="50" customFormat="1" ht="16.5" customHeight="1">
      <c r="A16" s="62">
        <v>2009</v>
      </c>
      <c r="B16" s="62"/>
      <c r="C16" s="62" t="s">
        <v>108</v>
      </c>
      <c r="D16" s="62"/>
      <c r="E16" s="62" t="s">
        <v>489</v>
      </c>
      <c r="F16" s="61"/>
      <c r="G16" s="142" t="s">
        <v>665</v>
      </c>
      <c r="H16" s="142" t="s">
        <v>675</v>
      </c>
      <c r="I16" s="61"/>
      <c r="J16" s="61"/>
      <c r="K16" s="62"/>
      <c r="L16" s="62"/>
      <c r="M16" s="62"/>
    </row>
    <row r="17" spans="1:13" s="50" customFormat="1" ht="16.5" customHeight="1">
      <c r="A17" s="62">
        <v>2010</v>
      </c>
      <c r="B17" s="62"/>
      <c r="C17" s="62" t="s">
        <v>108</v>
      </c>
      <c r="D17" s="62"/>
      <c r="E17" s="62" t="s">
        <v>489</v>
      </c>
      <c r="F17" s="61"/>
      <c r="G17" s="142" t="s">
        <v>666</v>
      </c>
      <c r="H17" s="142" t="s">
        <v>676</v>
      </c>
      <c r="I17" s="61"/>
      <c r="J17" s="61"/>
      <c r="K17" s="62"/>
      <c r="L17" s="62"/>
      <c r="M17" s="62"/>
    </row>
    <row r="18" spans="1:13" s="50" customFormat="1" ht="16.5" customHeight="1">
      <c r="A18" s="62">
        <v>2005</v>
      </c>
      <c r="B18" s="62"/>
      <c r="C18" s="62" t="s">
        <v>108</v>
      </c>
      <c r="D18" s="62"/>
      <c r="E18" s="62" t="s">
        <v>489</v>
      </c>
      <c r="F18" s="61"/>
      <c r="G18" s="62" t="s">
        <v>490</v>
      </c>
      <c r="H18" s="62" t="s">
        <v>491</v>
      </c>
      <c r="I18" s="61"/>
      <c r="J18" s="61"/>
      <c r="K18" s="62"/>
      <c r="L18" s="62"/>
      <c r="M18" s="62"/>
    </row>
    <row r="19" spans="1:13" s="50" customFormat="1" ht="16.5" customHeight="1">
      <c r="A19" s="62">
        <v>2006</v>
      </c>
      <c r="B19" s="62"/>
      <c r="C19" s="62" t="s">
        <v>108</v>
      </c>
      <c r="D19" s="62"/>
      <c r="E19" s="62" t="s">
        <v>489</v>
      </c>
      <c r="F19" s="61"/>
      <c r="G19" s="62" t="s">
        <v>492</v>
      </c>
      <c r="H19" s="62" t="s">
        <v>493</v>
      </c>
      <c r="I19" s="61"/>
      <c r="J19" s="61"/>
      <c r="K19" s="62"/>
      <c r="L19" s="62"/>
      <c r="M19" s="62"/>
    </row>
    <row r="20" spans="1:13" s="49" customFormat="1" ht="16.5" customHeight="1">
      <c r="A20" s="63">
        <v>3001</v>
      </c>
      <c r="B20" s="63"/>
      <c r="C20" s="63" t="s">
        <v>94</v>
      </c>
      <c r="D20" s="63"/>
      <c r="E20" s="63" t="s">
        <v>494</v>
      </c>
      <c r="F20" s="64" t="s">
        <v>480</v>
      </c>
      <c r="G20" s="63" t="s">
        <v>655</v>
      </c>
      <c r="H20" s="63" t="s">
        <v>656</v>
      </c>
      <c r="I20" s="64" t="s">
        <v>482</v>
      </c>
      <c r="J20" s="64" t="s">
        <v>483</v>
      </c>
      <c r="K20" s="63" t="s">
        <v>484</v>
      </c>
      <c r="L20" s="63"/>
      <c r="M20" s="63"/>
    </row>
    <row r="21" spans="1:13" s="49" customFormat="1" ht="16.5" customHeight="1">
      <c r="A21" s="63">
        <v>3002</v>
      </c>
      <c r="B21" s="63"/>
      <c r="C21" s="63" t="s">
        <v>94</v>
      </c>
      <c r="D21" s="63"/>
      <c r="E21" s="63" t="s">
        <v>495</v>
      </c>
      <c r="F21" s="64" t="s">
        <v>480</v>
      </c>
      <c r="G21" s="63" t="s">
        <v>496</v>
      </c>
      <c r="H21" s="63" t="s">
        <v>497</v>
      </c>
      <c r="I21" s="64"/>
      <c r="J21" s="64"/>
      <c r="K21" s="63"/>
      <c r="L21" s="63"/>
      <c r="M21" s="63"/>
    </row>
    <row r="22" spans="1:13" s="49" customFormat="1" ht="16.5" customHeight="1">
      <c r="A22" s="63">
        <v>3003</v>
      </c>
      <c r="B22" s="63"/>
      <c r="C22" s="63" t="s">
        <v>94</v>
      </c>
      <c r="D22" s="63"/>
      <c r="E22" s="63" t="s">
        <v>494</v>
      </c>
      <c r="F22" s="64" t="s">
        <v>480</v>
      </c>
      <c r="G22" s="63" t="s">
        <v>482</v>
      </c>
      <c r="H22" s="63" t="s">
        <v>498</v>
      </c>
      <c r="I22" s="64" t="s">
        <v>482</v>
      </c>
      <c r="J22" s="64" t="s">
        <v>483</v>
      </c>
      <c r="K22" s="63" t="s">
        <v>484</v>
      </c>
      <c r="L22" s="63"/>
      <c r="M22" s="63"/>
    </row>
    <row r="23" spans="1:13" s="49" customFormat="1" ht="16.5" customHeight="1">
      <c r="A23" s="63">
        <v>3004</v>
      </c>
      <c r="B23" s="63"/>
      <c r="C23" s="63" t="s">
        <v>94</v>
      </c>
      <c r="D23" s="63"/>
      <c r="E23" s="63" t="s">
        <v>499</v>
      </c>
      <c r="F23" s="64" t="s">
        <v>480</v>
      </c>
      <c r="G23" s="63" t="s">
        <v>481</v>
      </c>
      <c r="H23" s="63" t="s">
        <v>485</v>
      </c>
      <c r="I23" s="64"/>
      <c r="J23" s="64"/>
      <c r="K23" s="63"/>
      <c r="L23" s="63"/>
      <c r="M23" s="63"/>
    </row>
    <row r="24" spans="1:13" s="49" customFormat="1" ht="16.5" customHeight="1">
      <c r="A24" s="63">
        <v>3005</v>
      </c>
      <c r="B24" s="63"/>
      <c r="C24" s="63" t="s">
        <v>94</v>
      </c>
      <c r="D24" s="63"/>
      <c r="E24" s="63" t="s">
        <v>495</v>
      </c>
      <c r="F24" s="64" t="s">
        <v>480</v>
      </c>
      <c r="G24" s="63" t="s">
        <v>500</v>
      </c>
      <c r="H24" s="63" t="s">
        <v>501</v>
      </c>
      <c r="I24" s="64"/>
      <c r="J24" s="64"/>
      <c r="K24" s="63"/>
      <c r="L24" s="63"/>
      <c r="M24" s="63"/>
    </row>
    <row r="25" spans="1:13" s="49" customFormat="1" ht="16.5" customHeight="1">
      <c r="A25" s="63">
        <v>3006</v>
      </c>
      <c r="B25" s="63"/>
      <c r="C25" s="63" t="s">
        <v>94</v>
      </c>
      <c r="D25" s="63"/>
      <c r="E25" s="63" t="s">
        <v>489</v>
      </c>
      <c r="F25" s="64" t="s">
        <v>480</v>
      </c>
      <c r="G25" s="63" t="s">
        <v>502</v>
      </c>
      <c r="H25" s="63" t="s">
        <v>503</v>
      </c>
      <c r="I25" s="64"/>
      <c r="J25" s="64"/>
      <c r="K25" s="63"/>
      <c r="L25" s="63"/>
      <c r="M25" s="63"/>
    </row>
    <row r="26" spans="1:13" s="49" customFormat="1" ht="16.5" customHeight="1">
      <c r="A26" s="63">
        <v>3007</v>
      </c>
      <c r="B26" s="63"/>
      <c r="C26" s="63" t="s">
        <v>94</v>
      </c>
      <c r="D26" s="63"/>
      <c r="E26" s="63" t="s">
        <v>499</v>
      </c>
      <c r="F26" s="64" t="s">
        <v>480</v>
      </c>
      <c r="G26" s="63" t="s">
        <v>504</v>
      </c>
      <c r="H26" s="63" t="s">
        <v>505</v>
      </c>
      <c r="I26" s="64"/>
      <c r="J26" s="64"/>
      <c r="K26" s="63"/>
      <c r="L26" s="63"/>
      <c r="M26" s="63"/>
    </row>
    <row r="27" spans="1:13" s="49" customFormat="1" ht="16.5" customHeight="1">
      <c r="A27" s="63">
        <v>3008</v>
      </c>
      <c r="B27" s="63"/>
      <c r="C27" s="63" t="s">
        <v>94</v>
      </c>
      <c r="D27" s="63"/>
      <c r="E27" s="63" t="s">
        <v>506</v>
      </c>
      <c r="F27" s="64" t="s">
        <v>480</v>
      </c>
      <c r="G27" s="63" t="s">
        <v>507</v>
      </c>
      <c r="H27" s="63" t="s">
        <v>508</v>
      </c>
      <c r="I27" s="64"/>
      <c r="J27" s="64"/>
      <c r="K27" s="63"/>
      <c r="L27" s="63"/>
      <c r="M27" s="63"/>
    </row>
    <row r="28" spans="1:13" s="49" customFormat="1" ht="16.5" customHeight="1">
      <c r="A28" s="63">
        <v>3009</v>
      </c>
      <c r="B28" s="63"/>
      <c r="C28" s="63" t="s">
        <v>94</v>
      </c>
      <c r="D28" s="63"/>
      <c r="E28" s="63" t="s">
        <v>506</v>
      </c>
      <c r="F28" s="64" t="s">
        <v>480</v>
      </c>
      <c r="G28" s="63" t="s">
        <v>509</v>
      </c>
      <c r="H28" s="63" t="s">
        <v>510</v>
      </c>
      <c r="I28" s="64"/>
      <c r="J28" s="64"/>
      <c r="K28" s="63"/>
      <c r="L28" s="63"/>
      <c r="M28" s="63"/>
    </row>
    <row r="29" spans="1:13" s="49" customFormat="1" ht="16.5" customHeight="1">
      <c r="A29" s="63">
        <v>3010</v>
      </c>
      <c r="B29" s="63"/>
      <c r="C29" s="63" t="s">
        <v>94</v>
      </c>
      <c r="D29" s="63"/>
      <c r="E29" s="63" t="s">
        <v>489</v>
      </c>
      <c r="F29" s="64" t="s">
        <v>480</v>
      </c>
      <c r="G29" s="63" t="s">
        <v>486</v>
      </c>
      <c r="H29" s="63" t="s">
        <v>511</v>
      </c>
      <c r="I29" s="64"/>
      <c r="J29" s="64"/>
      <c r="K29" s="63"/>
      <c r="L29" s="63"/>
      <c r="M29" s="63"/>
    </row>
    <row r="30" spans="1:13" s="50" customFormat="1" ht="16.5" customHeight="1">
      <c r="A30" s="65">
        <v>4001</v>
      </c>
      <c r="B30" s="65"/>
      <c r="C30" s="65" t="s">
        <v>78</v>
      </c>
      <c r="D30" s="65"/>
      <c r="E30" s="65" t="s">
        <v>494</v>
      </c>
      <c r="F30" s="64" t="s">
        <v>480</v>
      </c>
      <c r="G30" s="142" t="s">
        <v>685</v>
      </c>
      <c r="H30" s="142" t="s">
        <v>690</v>
      </c>
      <c r="I30" s="64" t="s">
        <v>482</v>
      </c>
      <c r="J30" s="64" t="s">
        <v>483</v>
      </c>
      <c r="K30" s="65" t="s">
        <v>484</v>
      </c>
      <c r="L30" s="65"/>
      <c r="M30" s="65"/>
    </row>
    <row r="31" spans="1:13" s="50" customFormat="1" ht="16.5" customHeight="1">
      <c r="A31" s="65">
        <v>4002</v>
      </c>
      <c r="B31" s="65"/>
      <c r="C31" s="65" t="s">
        <v>78</v>
      </c>
      <c r="D31" s="65"/>
      <c r="E31" s="65" t="s">
        <v>494</v>
      </c>
      <c r="F31" s="64" t="s">
        <v>480</v>
      </c>
      <c r="G31" s="142" t="s">
        <v>686</v>
      </c>
      <c r="H31" s="142" t="s">
        <v>691</v>
      </c>
      <c r="I31" s="64" t="s">
        <v>482</v>
      </c>
      <c r="J31" s="64" t="s">
        <v>483</v>
      </c>
      <c r="K31" s="65" t="s">
        <v>484</v>
      </c>
      <c r="L31" s="65"/>
      <c r="M31" s="65"/>
    </row>
    <row r="32" spans="1:13">
      <c r="A32" s="65">
        <v>4003</v>
      </c>
      <c r="C32" s="65" t="s">
        <v>78</v>
      </c>
      <c r="E32" s="65" t="s">
        <v>494</v>
      </c>
      <c r="G32" s="142" t="s">
        <v>687</v>
      </c>
      <c r="H32" s="142" t="s">
        <v>692</v>
      </c>
    </row>
    <row r="33" spans="1:11">
      <c r="A33" s="65">
        <v>4004</v>
      </c>
      <c r="C33" s="65" t="s">
        <v>78</v>
      </c>
      <c r="E33" s="65" t="s">
        <v>494</v>
      </c>
      <c r="G33" s="142" t="s">
        <v>688</v>
      </c>
      <c r="H33" s="142" t="s">
        <v>693</v>
      </c>
    </row>
    <row r="34" spans="1:11">
      <c r="A34" s="65">
        <v>4005</v>
      </c>
      <c r="C34" s="65" t="s">
        <v>78</v>
      </c>
      <c r="E34" s="65" t="s">
        <v>494</v>
      </c>
      <c r="G34" s="142" t="s">
        <v>689</v>
      </c>
      <c r="H34" s="142" t="s">
        <v>694</v>
      </c>
    </row>
    <row r="46" spans="1:11">
      <c r="K46" s="11" t="s">
        <v>373</v>
      </c>
    </row>
  </sheetData>
  <phoneticPr fontId="56" type="noConversion"/>
  <conditionalFormatting sqref="G4:G7">
    <cfRule type="duplicateValues" dxfId="11" priority="4"/>
  </conditionalFormatting>
  <conditionalFormatting sqref="G8:G17">
    <cfRule type="duplicateValues" dxfId="10" priority="6"/>
  </conditionalFormatting>
  <conditionalFormatting sqref="G30:G34">
    <cfRule type="duplicateValues" dxfId="9" priority="2"/>
  </conditionalFormatting>
  <conditionalFormatting sqref="H4:H7">
    <cfRule type="duplicateValues" dxfId="8" priority="3"/>
  </conditionalFormatting>
  <conditionalFormatting sqref="H8:H17">
    <cfRule type="duplicateValues" dxfId="7" priority="5"/>
  </conditionalFormatting>
  <conditionalFormatting sqref="H30:H34">
    <cfRule type="duplicateValues" dxfId="6" priority="1"/>
  </conditionalFormatting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8"/>
  <sheetViews>
    <sheetView zoomScale="90" zoomScaleNormal="90" workbookViewId="0">
      <selection activeCell="N30" sqref="N30"/>
    </sheetView>
  </sheetViews>
  <sheetFormatPr defaultColWidth="7.84375" defaultRowHeight="14"/>
  <cols>
    <col min="1" max="1" width="7.84375" style="28" customWidth="1"/>
    <col min="2" max="2" width="11.4609375" style="29" customWidth="1"/>
    <col min="3" max="3" width="22.53515625" style="28" customWidth="1"/>
    <col min="4" max="4" width="22.69140625" style="28" customWidth="1"/>
    <col min="5" max="5" width="22.53515625" style="28" customWidth="1"/>
    <col min="6" max="6" width="11.4609375" style="28" customWidth="1"/>
    <col min="7" max="7" width="13.765625" style="28" customWidth="1"/>
    <col min="8" max="8" width="11.4609375" style="28" customWidth="1"/>
    <col min="9" max="9" width="14.3046875" style="28" customWidth="1"/>
    <col min="10" max="10" width="13.69140625" style="28" customWidth="1"/>
    <col min="11" max="11" width="12.3046875" style="28" customWidth="1"/>
    <col min="12" max="14" width="53.3046875" style="28" customWidth="1"/>
    <col min="15" max="15" width="4.07421875" style="28" customWidth="1"/>
    <col min="16" max="16" width="11.4609375" style="28" customWidth="1"/>
    <col min="17" max="17" width="7.84375" style="28" customWidth="1"/>
    <col min="18" max="20" width="11.4609375" style="28" customWidth="1"/>
    <col min="21" max="16384" width="7.84375" style="28"/>
  </cols>
  <sheetData>
    <row r="1" spans="1:17" ht="15">
      <c r="A1" s="30" t="s">
        <v>512</v>
      </c>
    </row>
    <row r="2" spans="1:17" s="26" customFormat="1" ht="15">
      <c r="A2" s="31" t="s">
        <v>513</v>
      </c>
      <c r="B2" s="32" t="s">
        <v>514</v>
      </c>
      <c r="C2" s="31" t="s">
        <v>515</v>
      </c>
      <c r="D2" s="31" t="s">
        <v>516</v>
      </c>
      <c r="E2" s="31" t="s">
        <v>517</v>
      </c>
      <c r="F2" s="31" t="s">
        <v>518</v>
      </c>
      <c r="G2" s="31" t="s">
        <v>519</v>
      </c>
      <c r="H2" s="31" t="s">
        <v>520</v>
      </c>
      <c r="I2" s="31" t="s">
        <v>521</v>
      </c>
      <c r="J2" s="31" t="s">
        <v>522</v>
      </c>
      <c r="K2" s="31" t="s">
        <v>523</v>
      </c>
      <c r="L2" s="31" t="s">
        <v>524</v>
      </c>
      <c r="M2" s="31" t="s">
        <v>525</v>
      </c>
      <c r="N2" s="31" t="s">
        <v>526</v>
      </c>
    </row>
    <row r="3" spans="1:17" s="27" customFormat="1" ht="17.25" customHeight="1">
      <c r="A3" s="33" t="s">
        <v>62</v>
      </c>
      <c r="B3" s="34" t="s">
        <v>527</v>
      </c>
      <c r="C3" s="33" t="s">
        <v>528</v>
      </c>
      <c r="D3" s="33" t="s">
        <v>529</v>
      </c>
      <c r="E3" s="33" t="s">
        <v>530</v>
      </c>
      <c r="F3" s="33" t="s">
        <v>531</v>
      </c>
      <c r="G3" s="33" t="s">
        <v>532</v>
      </c>
      <c r="H3" s="33" t="s">
        <v>533</v>
      </c>
      <c r="I3" s="33" t="s">
        <v>534</v>
      </c>
      <c r="J3" s="33" t="s">
        <v>535</v>
      </c>
      <c r="K3" s="33" t="s">
        <v>536</v>
      </c>
      <c r="L3" s="33" t="s">
        <v>537</v>
      </c>
      <c r="M3" s="33" t="s">
        <v>538</v>
      </c>
      <c r="N3" s="33" t="s">
        <v>539</v>
      </c>
    </row>
    <row r="4" spans="1:17" ht="16.5">
      <c r="A4" s="30">
        <v>4001</v>
      </c>
      <c r="B4" s="35">
        <v>10</v>
      </c>
      <c r="C4" s="30"/>
      <c r="D4" s="30" t="s">
        <v>540</v>
      </c>
      <c r="E4" s="36"/>
      <c r="F4" s="30" t="s">
        <v>541</v>
      </c>
      <c r="G4" s="30"/>
      <c r="H4" s="30" t="s">
        <v>542</v>
      </c>
      <c r="I4" s="30"/>
      <c r="J4" s="30" t="s">
        <v>543</v>
      </c>
      <c r="K4" s="38">
        <v>2</v>
      </c>
      <c r="L4" s="142" t="s">
        <v>695</v>
      </c>
      <c r="M4" s="39" t="s">
        <v>704</v>
      </c>
      <c r="N4" s="39" t="s">
        <v>705</v>
      </c>
    </row>
    <row r="5" spans="1:17" ht="16.5">
      <c r="K5" s="40">
        <v>2</v>
      </c>
      <c r="L5" s="142" t="s">
        <v>696</v>
      </c>
      <c r="M5" s="39"/>
      <c r="N5" s="39"/>
    </row>
    <row r="6" spans="1:17" ht="16.5">
      <c r="K6" s="40">
        <v>2</v>
      </c>
      <c r="L6" s="142" t="s">
        <v>697</v>
      </c>
      <c r="M6" s="39"/>
      <c r="N6" s="39"/>
    </row>
    <row r="7" spans="1:17" ht="16.5" customHeight="1">
      <c r="K7" s="40">
        <v>2</v>
      </c>
      <c r="L7" s="142" t="s">
        <v>698</v>
      </c>
      <c r="M7" s="39"/>
      <c r="N7" s="39"/>
      <c r="P7" s="42">
        <v>101</v>
      </c>
      <c r="Q7" s="37" t="s">
        <v>544</v>
      </c>
    </row>
    <row r="8" spans="1:17" ht="16.5" customHeight="1">
      <c r="K8" s="40">
        <v>2</v>
      </c>
      <c r="L8" s="142" t="s">
        <v>699</v>
      </c>
      <c r="M8" s="39"/>
      <c r="N8" s="39"/>
      <c r="P8" s="42">
        <v>105</v>
      </c>
      <c r="Q8" s="37" t="s">
        <v>545</v>
      </c>
    </row>
    <row r="9" spans="1:17" ht="17.25" customHeight="1">
      <c r="K9" s="43"/>
      <c r="L9" s="44"/>
      <c r="M9" s="39"/>
      <c r="N9" s="39"/>
      <c r="P9" s="42">
        <v>106</v>
      </c>
      <c r="Q9" s="37" t="s">
        <v>546</v>
      </c>
    </row>
    <row r="10" spans="1:17" ht="16.5" customHeight="1" thickBot="1">
      <c r="A10" s="30">
        <v>4002</v>
      </c>
      <c r="B10" s="35">
        <v>10</v>
      </c>
      <c r="C10" s="30"/>
      <c r="D10" s="30" t="s">
        <v>540</v>
      </c>
      <c r="E10" s="37"/>
      <c r="F10" s="30" t="s">
        <v>541</v>
      </c>
      <c r="G10" s="30"/>
      <c r="H10" s="30" t="s">
        <v>542</v>
      </c>
      <c r="I10" s="30"/>
      <c r="J10" s="30" t="s">
        <v>543</v>
      </c>
      <c r="K10" s="45">
        <v>2</v>
      </c>
      <c r="L10" s="142" t="s">
        <v>700</v>
      </c>
      <c r="M10" s="39" t="s">
        <v>706</v>
      </c>
      <c r="N10" s="39" t="s">
        <v>707</v>
      </c>
      <c r="P10" s="42">
        <v>107</v>
      </c>
      <c r="Q10" s="46" t="s">
        <v>547</v>
      </c>
    </row>
    <row r="11" spans="1:17" ht="16.5" customHeight="1" thickBot="1">
      <c r="K11" s="45">
        <v>2</v>
      </c>
      <c r="L11" s="142" t="s">
        <v>701</v>
      </c>
      <c r="M11" s="39"/>
      <c r="N11" s="39"/>
      <c r="P11" s="42">
        <v>108</v>
      </c>
      <c r="Q11" s="46" t="s">
        <v>548</v>
      </c>
    </row>
    <row r="12" spans="1:17" ht="16.5" customHeight="1" thickBot="1">
      <c r="K12" s="45">
        <v>2</v>
      </c>
      <c r="L12" s="142" t="s">
        <v>702</v>
      </c>
      <c r="M12" s="39"/>
      <c r="N12" s="39"/>
      <c r="P12" s="42">
        <v>109</v>
      </c>
      <c r="Q12" s="37" t="s">
        <v>549</v>
      </c>
    </row>
    <row r="13" spans="1:17" ht="16.5" customHeight="1">
      <c r="K13" s="45">
        <v>2</v>
      </c>
      <c r="L13" s="142" t="s">
        <v>703</v>
      </c>
      <c r="M13" s="39"/>
      <c r="N13" s="39"/>
      <c r="P13" s="42">
        <v>201</v>
      </c>
      <c r="Q13" s="37" t="s">
        <v>550</v>
      </c>
    </row>
    <row r="14" spans="1:17" ht="16.5" customHeight="1" thickBot="1">
      <c r="K14" s="40"/>
      <c r="L14" s="41"/>
      <c r="M14" s="39"/>
      <c r="N14" s="39"/>
      <c r="P14" s="42">
        <v>202</v>
      </c>
      <c r="Q14" s="37" t="s">
        <v>551</v>
      </c>
    </row>
    <row r="15" spans="1:17" ht="16.5" customHeight="1" thickBot="1">
      <c r="A15" s="30">
        <v>4003</v>
      </c>
      <c r="B15" s="35">
        <v>10</v>
      </c>
      <c r="C15" s="30"/>
      <c r="D15" s="30" t="s">
        <v>540</v>
      </c>
      <c r="E15" s="37"/>
      <c r="F15" s="30" t="s">
        <v>541</v>
      </c>
      <c r="G15" s="30"/>
      <c r="H15" s="30" t="s">
        <v>542</v>
      </c>
      <c r="I15" s="30"/>
      <c r="J15" s="30" t="s">
        <v>543</v>
      </c>
      <c r="K15" s="45">
        <v>2</v>
      </c>
      <c r="L15" s="142" t="s">
        <v>708</v>
      </c>
      <c r="M15" s="39" t="s">
        <v>712</v>
      </c>
      <c r="N15" s="39" t="s">
        <v>713</v>
      </c>
      <c r="P15" s="42">
        <v>203</v>
      </c>
      <c r="Q15" s="37" t="s">
        <v>552</v>
      </c>
    </row>
    <row r="16" spans="1:17" ht="16.5" customHeight="1" thickBot="1">
      <c r="K16" s="45">
        <v>2</v>
      </c>
      <c r="L16" s="142" t="s">
        <v>709</v>
      </c>
      <c r="M16" s="39"/>
      <c r="N16" s="39"/>
      <c r="P16" s="42">
        <v>204</v>
      </c>
      <c r="Q16" s="37" t="s">
        <v>553</v>
      </c>
    </row>
    <row r="17" spans="1:17" ht="17.25" customHeight="1" thickBot="1">
      <c r="K17" s="45">
        <v>2</v>
      </c>
      <c r="L17" s="142" t="s">
        <v>710</v>
      </c>
      <c r="M17" s="39"/>
      <c r="N17" s="39"/>
      <c r="P17" s="42">
        <v>206</v>
      </c>
      <c r="Q17" s="37" t="s">
        <v>554</v>
      </c>
    </row>
    <row r="18" spans="1:17" ht="16.5">
      <c r="K18" s="45">
        <v>2</v>
      </c>
      <c r="L18" s="142" t="s">
        <v>711</v>
      </c>
      <c r="M18" s="39"/>
      <c r="N18" s="39"/>
    </row>
    <row r="19" spans="1:17" ht="14.5" thickBot="1"/>
    <row r="20" spans="1:17" ht="17" thickBot="1">
      <c r="A20" s="30">
        <v>4004</v>
      </c>
      <c r="B20" s="35">
        <v>10</v>
      </c>
      <c r="C20" s="30"/>
      <c r="D20" s="30" t="s">
        <v>540</v>
      </c>
      <c r="E20" s="37"/>
      <c r="F20" s="30" t="s">
        <v>541</v>
      </c>
      <c r="G20" s="30"/>
      <c r="H20" s="30" t="s">
        <v>542</v>
      </c>
      <c r="I20" s="30"/>
      <c r="J20" s="30" t="s">
        <v>543</v>
      </c>
      <c r="K20" s="45">
        <v>2</v>
      </c>
      <c r="L20" s="142" t="s">
        <v>714</v>
      </c>
      <c r="M20" s="39" t="s">
        <v>718</v>
      </c>
      <c r="N20" s="39" t="s">
        <v>719</v>
      </c>
    </row>
    <row r="21" spans="1:17" ht="17" thickBot="1">
      <c r="K21" s="45">
        <v>2</v>
      </c>
      <c r="L21" s="142" t="s">
        <v>715</v>
      </c>
      <c r="M21" s="39"/>
      <c r="N21" s="39"/>
    </row>
    <row r="22" spans="1:17" ht="17" thickBot="1">
      <c r="K22" s="45">
        <v>2</v>
      </c>
      <c r="L22" s="142" t="s">
        <v>716</v>
      </c>
      <c r="M22" s="39"/>
      <c r="N22" s="39"/>
    </row>
    <row r="23" spans="1:17" ht="16.5">
      <c r="K23" s="45">
        <v>2</v>
      </c>
      <c r="L23" s="142" t="s">
        <v>717</v>
      </c>
      <c r="M23" s="39"/>
      <c r="N23" s="39"/>
    </row>
    <row r="24" spans="1:17" ht="14.5" thickBot="1"/>
    <row r="25" spans="1:17" ht="17" thickBot="1">
      <c r="A25" s="30">
        <v>4005</v>
      </c>
      <c r="B25" s="35">
        <v>10</v>
      </c>
      <c r="C25" s="30"/>
      <c r="D25" s="30" t="s">
        <v>540</v>
      </c>
      <c r="E25" s="37"/>
      <c r="F25" s="30" t="s">
        <v>541</v>
      </c>
      <c r="G25" s="30"/>
      <c r="H25" s="30" t="s">
        <v>542</v>
      </c>
      <c r="I25" s="30"/>
      <c r="J25" s="30" t="s">
        <v>543</v>
      </c>
      <c r="K25" s="45">
        <v>2</v>
      </c>
      <c r="L25" s="142" t="s">
        <v>720</v>
      </c>
      <c r="M25" s="39" t="s">
        <v>724</v>
      </c>
      <c r="N25" s="39" t="s">
        <v>725</v>
      </c>
    </row>
    <row r="26" spans="1:17" ht="17" thickBot="1">
      <c r="K26" s="45">
        <v>2</v>
      </c>
      <c r="L26" s="142" t="s">
        <v>721</v>
      </c>
      <c r="M26" s="39"/>
      <c r="N26" s="39"/>
    </row>
    <row r="27" spans="1:17" ht="17" thickBot="1">
      <c r="K27" s="45">
        <v>2</v>
      </c>
      <c r="L27" s="142" t="s">
        <v>722</v>
      </c>
      <c r="M27" s="39"/>
      <c r="N27" s="39"/>
    </row>
    <row r="28" spans="1:17" ht="16.5">
      <c r="K28" s="45">
        <v>2</v>
      </c>
      <c r="L28" s="142" t="s">
        <v>723</v>
      </c>
      <c r="M28" s="39"/>
      <c r="N28" s="39"/>
    </row>
  </sheetData>
  <phoneticPr fontId="56" type="noConversion"/>
  <conditionalFormatting sqref="L4:L8">
    <cfRule type="duplicateValues" dxfId="5" priority="8"/>
  </conditionalFormatting>
  <conditionalFormatting sqref="L10:L13">
    <cfRule type="duplicateValues" dxfId="4" priority="7"/>
  </conditionalFormatting>
  <conditionalFormatting sqref="L15:L18">
    <cfRule type="duplicateValues" dxfId="3" priority="5"/>
  </conditionalFormatting>
  <conditionalFormatting sqref="L20:L23">
    <cfRule type="duplicateValues" dxfId="2" priority="3"/>
  </conditionalFormatting>
  <conditionalFormatting sqref="L25:L28">
    <cfRule type="duplicateValues" dxfId="1" priority="1"/>
  </conditionalFormatting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zoomScale="145" zoomScaleNormal="145" workbookViewId="0">
      <selection activeCell="F26" sqref="F26"/>
    </sheetView>
  </sheetViews>
  <sheetFormatPr defaultColWidth="9" defaultRowHeight="16.5"/>
  <cols>
    <col min="1" max="1" width="34.69140625" customWidth="1"/>
    <col min="2" max="2" width="35.53515625" customWidth="1"/>
    <col min="3" max="3" width="13.3046875" customWidth="1"/>
  </cols>
  <sheetData>
    <row r="1" spans="1:3" s="20" customFormat="1">
      <c r="A1" s="22" t="s">
        <v>555</v>
      </c>
      <c r="B1" s="2"/>
      <c r="C1" s="2"/>
    </row>
    <row r="2" spans="1:3" s="21" customFormat="1">
      <c r="A2" s="23" t="s">
        <v>556</v>
      </c>
      <c r="B2" s="23" t="s">
        <v>62</v>
      </c>
      <c r="C2" s="23">
        <v>1</v>
      </c>
    </row>
    <row r="3" spans="1:3" s="1" customFormat="1">
      <c r="A3" s="24" t="s">
        <v>557</v>
      </c>
      <c r="B3" s="24" t="s">
        <v>558</v>
      </c>
      <c r="C3" s="24">
        <v>12</v>
      </c>
    </row>
    <row r="4" spans="1:3" s="1" customFormat="1">
      <c r="A4" s="24" t="s">
        <v>559</v>
      </c>
      <c r="B4" s="24" t="s">
        <v>560</v>
      </c>
      <c r="C4" s="24">
        <v>8</v>
      </c>
    </row>
    <row r="5" spans="1:3">
      <c r="A5" s="25" t="s">
        <v>561</v>
      </c>
      <c r="B5" s="25" t="s">
        <v>562</v>
      </c>
      <c r="C5">
        <v>100</v>
      </c>
    </row>
    <row r="6" spans="1:3">
      <c r="A6" s="11" t="s">
        <v>563</v>
      </c>
      <c r="B6" s="11" t="s">
        <v>564</v>
      </c>
      <c r="C6">
        <v>3</v>
      </c>
    </row>
    <row r="7" spans="1:3">
      <c r="A7" s="25"/>
      <c r="B7" s="25"/>
    </row>
  </sheetData>
  <phoneticPr fontId="56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55"/>
  <sheetViews>
    <sheetView topLeftCell="A197" workbookViewId="0">
      <selection activeCell="A228" sqref="A228:XFD231"/>
    </sheetView>
  </sheetViews>
  <sheetFormatPr defaultColWidth="9" defaultRowHeight="16.5"/>
  <cols>
    <col min="1" max="1" width="46.69140625" style="11" customWidth="1"/>
    <col min="2" max="2" width="96.3046875" style="11" customWidth="1"/>
    <col min="3" max="3" width="11.3046875" style="11" customWidth="1"/>
    <col min="4" max="16384" width="9" style="11"/>
  </cols>
  <sheetData>
    <row r="1" spans="1:3">
      <c r="A1" s="12" t="s">
        <v>565</v>
      </c>
      <c r="B1" s="13"/>
    </row>
    <row r="2" spans="1:3">
      <c r="A2" s="14" t="s">
        <v>566</v>
      </c>
      <c r="B2" s="15" t="s">
        <v>567</v>
      </c>
      <c r="C2" s="15" t="s">
        <v>386</v>
      </c>
    </row>
    <row r="3" spans="1:3">
      <c r="A3" s="16" t="s">
        <v>568</v>
      </c>
      <c r="B3" s="17" t="s">
        <v>569</v>
      </c>
      <c r="C3" s="17" t="s">
        <v>570</v>
      </c>
    </row>
    <row r="4" spans="1:3">
      <c r="A4" s="18">
        <v>100001</v>
      </c>
      <c r="B4" s="18" t="s">
        <v>623</v>
      </c>
      <c r="C4" s="11">
        <v>2400101</v>
      </c>
    </row>
    <row r="5" spans="1:3">
      <c r="A5" s="18">
        <v>100002</v>
      </c>
      <c r="B5" s="18" t="s">
        <v>571</v>
      </c>
      <c r="C5" s="11">
        <v>2400202</v>
      </c>
    </row>
    <row r="6" spans="1:3">
      <c r="A6" s="18">
        <v>100003</v>
      </c>
      <c r="B6" s="18" t="s">
        <v>572</v>
      </c>
      <c r="C6" s="11">
        <v>2400303</v>
      </c>
    </row>
    <row r="7" spans="1:3">
      <c r="A7" s="18">
        <v>100004</v>
      </c>
      <c r="B7" s="18" t="s">
        <v>573</v>
      </c>
      <c r="C7" s="11">
        <v>2400404</v>
      </c>
    </row>
    <row r="8" spans="1:3">
      <c r="A8" s="18">
        <v>100005</v>
      </c>
      <c r="B8" s="18" t="s">
        <v>574</v>
      </c>
      <c r="C8" s="11">
        <v>2400501</v>
      </c>
    </row>
    <row r="9" spans="1:3">
      <c r="A9" s="18">
        <v>100006</v>
      </c>
      <c r="B9" s="19" t="s">
        <v>575</v>
      </c>
      <c r="C9" s="11">
        <v>2400502</v>
      </c>
    </row>
    <row r="10" spans="1:3">
      <c r="A10" s="18">
        <v>100007</v>
      </c>
      <c r="B10" s="19" t="s">
        <v>576</v>
      </c>
      <c r="C10" s="11">
        <v>2400603</v>
      </c>
    </row>
    <row r="11" spans="1:3">
      <c r="A11" s="18">
        <v>100008</v>
      </c>
      <c r="B11" s="141" t="str">
        <f>"explorationFinishEvent{eventId:"&amp;A9+1&amp;",count:1}"</f>
        <v>explorationFinishEvent{eventId:100007,count:1}</v>
      </c>
      <c r="C11" s="11">
        <v>2400604</v>
      </c>
    </row>
    <row r="12" spans="1:3">
      <c r="A12" s="18">
        <v>100009</v>
      </c>
      <c r="B12" s="141" t="str">
        <f>"explorationFinishEvent{eventId:"&amp;A10+1&amp;",count:1}"</f>
        <v>explorationFinishEvent{eventId:100008,count:1}</v>
      </c>
      <c r="C12" s="11">
        <v>2400701</v>
      </c>
    </row>
    <row r="13" spans="1:3">
      <c r="A13" s="18">
        <v>100010</v>
      </c>
      <c r="B13" s="141" t="str">
        <f t="shared" ref="B13:B76" si="0">"explorationFinishEvent{eventId:"&amp;A11+1&amp;",count:1}"</f>
        <v>explorationFinishEvent{eventId:100009,count:1}</v>
      </c>
      <c r="C13" s="11">
        <v>2400702</v>
      </c>
    </row>
    <row r="14" spans="1:3">
      <c r="A14" s="18">
        <v>100011</v>
      </c>
      <c r="B14" s="141" t="str">
        <f t="shared" si="0"/>
        <v>explorationFinishEvent{eventId:100010,count:1}</v>
      </c>
      <c r="C14" s="11">
        <v>2400703</v>
      </c>
    </row>
    <row r="15" spans="1:3">
      <c r="A15" s="18">
        <v>100012</v>
      </c>
      <c r="B15" s="141" t="str">
        <f t="shared" si="0"/>
        <v>explorationFinishEvent{eventId:100011,count:1}</v>
      </c>
      <c r="C15" s="11">
        <v>2400804</v>
      </c>
    </row>
    <row r="16" spans="1:3">
      <c r="A16" s="18">
        <v>100013</v>
      </c>
      <c r="B16" s="141" t="str">
        <f t="shared" si="0"/>
        <v>explorationFinishEvent{eventId:100012,count:1}</v>
      </c>
      <c r="C16" s="11">
        <v>2400801</v>
      </c>
    </row>
    <row r="17" spans="1:3">
      <c r="A17" s="18">
        <v>100014</v>
      </c>
      <c r="B17" s="141" t="str">
        <f t="shared" si="0"/>
        <v>explorationFinishEvent{eventId:100013,count:1}</v>
      </c>
      <c r="C17" s="11">
        <v>2400802</v>
      </c>
    </row>
    <row r="18" spans="1:3">
      <c r="A18" s="18">
        <v>100015</v>
      </c>
      <c r="B18" s="141" t="str">
        <f t="shared" si="0"/>
        <v>explorationFinishEvent{eventId:100014,count:1}</v>
      </c>
      <c r="C18" s="11">
        <v>2400903</v>
      </c>
    </row>
    <row r="19" spans="1:3">
      <c r="A19" s="18">
        <v>100016</v>
      </c>
      <c r="B19" s="141" t="str">
        <f t="shared" si="0"/>
        <v>explorationFinishEvent{eventId:100015,count:1}</v>
      </c>
      <c r="C19" s="11">
        <v>2400904</v>
      </c>
    </row>
    <row r="20" spans="1:3">
      <c r="A20" s="18">
        <v>100017</v>
      </c>
      <c r="B20" s="141" t="str">
        <f t="shared" si="0"/>
        <v>explorationFinishEvent{eventId:100016,count:1}</v>
      </c>
      <c r="C20" s="11">
        <v>2400901</v>
      </c>
    </row>
    <row r="21" spans="1:3">
      <c r="A21" s="18">
        <v>100018</v>
      </c>
      <c r="B21" s="141" t="str">
        <f t="shared" si="0"/>
        <v>explorationFinishEvent{eventId:100017,count:1}</v>
      </c>
      <c r="C21" s="11">
        <v>2401002</v>
      </c>
    </row>
    <row r="22" spans="1:3">
      <c r="A22" s="18">
        <v>100019</v>
      </c>
      <c r="B22" s="141" t="str">
        <f t="shared" si="0"/>
        <v>explorationFinishEvent{eventId:100018,count:1}</v>
      </c>
      <c r="C22" s="11">
        <v>2401003</v>
      </c>
    </row>
    <row r="23" spans="1:3">
      <c r="A23" s="18">
        <v>100020</v>
      </c>
      <c r="B23" s="141" t="str">
        <f t="shared" si="0"/>
        <v>explorationFinishEvent{eventId:100019,count:1}</v>
      </c>
      <c r="C23" s="11">
        <v>2401004</v>
      </c>
    </row>
    <row r="24" spans="1:3">
      <c r="A24" s="18">
        <v>100021</v>
      </c>
      <c r="B24" s="141" t="str">
        <f t="shared" si="0"/>
        <v>explorationFinishEvent{eventId:100020,count:1}</v>
      </c>
      <c r="C24" s="11">
        <v>2401101</v>
      </c>
    </row>
    <row r="25" spans="1:3">
      <c r="A25" s="18">
        <v>100022</v>
      </c>
      <c r="B25" s="141" t="str">
        <f t="shared" si="0"/>
        <v>explorationFinishEvent{eventId:100021,count:1}</v>
      </c>
      <c r="C25" s="11">
        <v>2401102</v>
      </c>
    </row>
    <row r="26" spans="1:3">
      <c r="A26" s="18">
        <v>100023</v>
      </c>
      <c r="B26" s="141" t="str">
        <f t="shared" si="0"/>
        <v>explorationFinishEvent{eventId:100022,count:1}</v>
      </c>
      <c r="C26" s="11">
        <v>2401103</v>
      </c>
    </row>
    <row r="27" spans="1:3">
      <c r="A27" s="18">
        <v>100024</v>
      </c>
      <c r="B27" s="141" t="str">
        <f t="shared" si="0"/>
        <v>explorationFinishEvent{eventId:100023,count:1}</v>
      </c>
      <c r="C27" s="11">
        <v>2401204</v>
      </c>
    </row>
    <row r="28" spans="1:3">
      <c r="A28" s="18">
        <v>100025</v>
      </c>
      <c r="B28" s="141" t="str">
        <f t="shared" si="0"/>
        <v>explorationFinishEvent{eventId:100024,count:1}</v>
      </c>
      <c r="C28" s="11">
        <v>2401201</v>
      </c>
    </row>
    <row r="29" spans="1:3">
      <c r="A29" s="18">
        <v>100026</v>
      </c>
      <c r="B29" s="141" t="str">
        <f t="shared" si="0"/>
        <v>explorationFinishEvent{eventId:100025,count:1}</v>
      </c>
      <c r="C29" s="11">
        <v>2401202</v>
      </c>
    </row>
    <row r="30" spans="1:3">
      <c r="A30" s="18">
        <v>100027</v>
      </c>
      <c r="B30" s="141" t="str">
        <f t="shared" si="0"/>
        <v>explorationFinishEvent{eventId:100026,count:1}</v>
      </c>
      <c r="C30" s="11">
        <v>2401303</v>
      </c>
    </row>
    <row r="31" spans="1:3">
      <c r="A31" s="18">
        <v>100028</v>
      </c>
      <c r="B31" s="141" t="str">
        <f t="shared" si="0"/>
        <v>explorationFinishEvent{eventId:100027,count:1}</v>
      </c>
      <c r="C31" s="11">
        <v>2401304</v>
      </c>
    </row>
    <row r="32" spans="1:3">
      <c r="A32" s="18">
        <v>100029</v>
      </c>
      <c r="B32" s="141" t="str">
        <f t="shared" si="0"/>
        <v>explorationFinishEvent{eventId:100028,count:1}</v>
      </c>
      <c r="C32" s="11">
        <v>2401301</v>
      </c>
    </row>
    <row r="33" spans="1:3">
      <c r="A33" s="18">
        <v>100030</v>
      </c>
      <c r="B33" s="141" t="str">
        <f t="shared" si="0"/>
        <v>explorationFinishEvent{eventId:100029,count:1}</v>
      </c>
      <c r="C33" s="11">
        <v>2401402</v>
      </c>
    </row>
    <row r="34" spans="1:3">
      <c r="A34" s="18">
        <v>100031</v>
      </c>
      <c r="B34" s="141" t="str">
        <f t="shared" si="0"/>
        <v>explorationFinishEvent{eventId:100030,count:1}</v>
      </c>
      <c r="C34" s="11">
        <v>2401403</v>
      </c>
    </row>
    <row r="35" spans="1:3">
      <c r="A35" s="18">
        <v>100032</v>
      </c>
      <c r="B35" s="141" t="str">
        <f t="shared" si="0"/>
        <v>explorationFinishEvent{eventId:100031,count:1}</v>
      </c>
      <c r="C35" s="11">
        <v>2401404</v>
      </c>
    </row>
    <row r="36" spans="1:3">
      <c r="A36" s="18">
        <v>100033</v>
      </c>
      <c r="B36" s="141" t="str">
        <f t="shared" si="0"/>
        <v>explorationFinishEvent{eventId:100032,count:1}</v>
      </c>
      <c r="C36" s="11">
        <v>2401501</v>
      </c>
    </row>
    <row r="37" spans="1:3">
      <c r="A37" s="18">
        <v>100034</v>
      </c>
      <c r="B37" s="141" t="str">
        <f t="shared" si="0"/>
        <v>explorationFinishEvent{eventId:100033,count:1}</v>
      </c>
      <c r="C37" s="11">
        <v>2401502</v>
      </c>
    </row>
    <row r="38" spans="1:3">
      <c r="A38" s="18">
        <v>100035</v>
      </c>
      <c r="B38" s="141" t="str">
        <f t="shared" si="0"/>
        <v>explorationFinishEvent{eventId:100034,count:1}</v>
      </c>
      <c r="C38" s="11">
        <v>2401503</v>
      </c>
    </row>
    <row r="39" spans="1:3">
      <c r="A39" s="18">
        <v>100036</v>
      </c>
      <c r="B39" s="141" t="str">
        <f t="shared" si="0"/>
        <v>explorationFinishEvent{eventId:100035,count:1}</v>
      </c>
      <c r="C39" s="11">
        <v>2401604</v>
      </c>
    </row>
    <row r="40" spans="1:3">
      <c r="A40" s="18">
        <v>100037</v>
      </c>
      <c r="B40" s="141" t="str">
        <f t="shared" si="0"/>
        <v>explorationFinishEvent{eventId:100036,count:1}</v>
      </c>
      <c r="C40" s="11">
        <v>2401601</v>
      </c>
    </row>
    <row r="41" spans="1:3">
      <c r="A41" s="18">
        <v>100038</v>
      </c>
      <c r="B41" s="141" t="str">
        <f t="shared" si="0"/>
        <v>explorationFinishEvent{eventId:100037,count:1}</v>
      </c>
      <c r="C41" s="11">
        <v>2401602</v>
      </c>
    </row>
    <row r="42" spans="1:3">
      <c r="A42" s="18">
        <v>100039</v>
      </c>
      <c r="B42" s="141" t="str">
        <f t="shared" si="0"/>
        <v>explorationFinishEvent{eventId:100038,count:1}</v>
      </c>
      <c r="C42" s="11">
        <v>2401703</v>
      </c>
    </row>
    <row r="43" spans="1:3">
      <c r="A43" s="18">
        <v>100040</v>
      </c>
      <c r="B43" s="141" t="str">
        <f t="shared" si="0"/>
        <v>explorationFinishEvent{eventId:100039,count:1}</v>
      </c>
      <c r="C43" s="11">
        <v>2401704</v>
      </c>
    </row>
    <row r="44" spans="1:3">
      <c r="A44" s="18">
        <v>100041</v>
      </c>
      <c r="B44" s="141" t="str">
        <f t="shared" si="0"/>
        <v>explorationFinishEvent{eventId:100040,count:1}</v>
      </c>
      <c r="C44" s="11">
        <v>2401701</v>
      </c>
    </row>
    <row r="45" spans="1:3">
      <c r="A45" s="18">
        <v>100042</v>
      </c>
      <c r="B45" s="141" t="str">
        <f t="shared" si="0"/>
        <v>explorationFinishEvent{eventId:100041,count:1}</v>
      </c>
      <c r="C45" s="11">
        <v>2401802</v>
      </c>
    </row>
    <row r="46" spans="1:3">
      <c r="A46" s="18">
        <v>100043</v>
      </c>
      <c r="B46" s="141" t="str">
        <f t="shared" si="0"/>
        <v>explorationFinishEvent{eventId:100042,count:1}</v>
      </c>
      <c r="C46" s="11">
        <v>2401803</v>
      </c>
    </row>
    <row r="47" spans="1:3">
      <c r="A47" s="18">
        <v>100044</v>
      </c>
      <c r="B47" s="141" t="str">
        <f t="shared" si="0"/>
        <v>explorationFinishEvent{eventId:100043,count:1}</v>
      </c>
      <c r="C47" s="11">
        <v>2401804</v>
      </c>
    </row>
    <row r="48" spans="1:3">
      <c r="A48" s="18">
        <v>100045</v>
      </c>
      <c r="B48" s="141" t="str">
        <f t="shared" si="0"/>
        <v>explorationFinishEvent{eventId:100044,count:1}</v>
      </c>
      <c r="C48" s="11">
        <v>2401901</v>
      </c>
    </row>
    <row r="49" spans="1:3">
      <c r="A49" s="18">
        <v>100046</v>
      </c>
      <c r="B49" s="141" t="str">
        <f t="shared" si="0"/>
        <v>explorationFinishEvent{eventId:100045,count:1}</v>
      </c>
      <c r="C49" s="11">
        <v>2401902</v>
      </c>
    </row>
    <row r="50" spans="1:3">
      <c r="A50" s="18">
        <v>100047</v>
      </c>
      <c r="B50" s="141" t="str">
        <f t="shared" si="0"/>
        <v>explorationFinishEvent{eventId:100046,count:1}</v>
      </c>
      <c r="C50" s="11">
        <v>2401903</v>
      </c>
    </row>
    <row r="51" spans="1:3">
      <c r="A51" s="18">
        <v>100048</v>
      </c>
      <c r="B51" s="141" t="str">
        <f t="shared" si="0"/>
        <v>explorationFinishEvent{eventId:100047,count:1}</v>
      </c>
      <c r="C51" s="11">
        <v>2402004</v>
      </c>
    </row>
    <row r="52" spans="1:3">
      <c r="A52" s="18">
        <v>100049</v>
      </c>
      <c r="B52" s="141" t="str">
        <f t="shared" si="0"/>
        <v>explorationFinishEvent{eventId:100048,count:1}</v>
      </c>
      <c r="C52" s="11">
        <v>2402001</v>
      </c>
    </row>
    <row r="53" spans="1:3">
      <c r="A53" s="18">
        <v>100050</v>
      </c>
      <c r="B53" s="141" t="str">
        <f t="shared" si="0"/>
        <v>explorationFinishEvent{eventId:100049,count:1}</v>
      </c>
      <c r="C53" s="11">
        <v>2402102</v>
      </c>
    </row>
    <row r="54" spans="1:3">
      <c r="A54" s="18">
        <v>100051</v>
      </c>
      <c r="B54" s="141" t="str">
        <f t="shared" si="0"/>
        <v>explorationFinishEvent{eventId:100050,count:1}</v>
      </c>
      <c r="C54" s="11">
        <v>2402103</v>
      </c>
    </row>
    <row r="55" spans="1:3">
      <c r="A55" s="18">
        <v>100052</v>
      </c>
      <c r="B55" s="141" t="str">
        <f t="shared" si="0"/>
        <v>explorationFinishEvent{eventId:100051,count:1}</v>
      </c>
      <c r="C55" s="11">
        <v>2402204</v>
      </c>
    </row>
    <row r="56" spans="1:3">
      <c r="A56" s="18">
        <v>100053</v>
      </c>
      <c r="B56" s="141" t="str">
        <f t="shared" si="0"/>
        <v>explorationFinishEvent{eventId:100052,count:1}</v>
      </c>
      <c r="C56" s="11">
        <v>2402201</v>
      </c>
    </row>
    <row r="57" spans="1:3">
      <c r="A57" s="18">
        <v>100054</v>
      </c>
      <c r="B57" s="141" t="str">
        <f t="shared" si="0"/>
        <v>explorationFinishEvent{eventId:100053,count:1}</v>
      </c>
      <c r="C57" s="11">
        <v>2402302</v>
      </c>
    </row>
    <row r="58" spans="1:3">
      <c r="A58" s="18">
        <v>100055</v>
      </c>
      <c r="B58" s="141" t="str">
        <f t="shared" si="0"/>
        <v>explorationFinishEvent{eventId:100054,count:1}</v>
      </c>
      <c r="C58" s="11">
        <v>2402303</v>
      </c>
    </row>
    <row r="59" spans="1:3">
      <c r="A59" s="18">
        <v>100056</v>
      </c>
      <c r="B59" s="141" t="str">
        <f t="shared" si="0"/>
        <v>explorationFinishEvent{eventId:100055,count:1}</v>
      </c>
      <c r="C59" s="11">
        <v>2402404</v>
      </c>
    </row>
    <row r="60" spans="1:3">
      <c r="A60" s="18">
        <v>100057</v>
      </c>
      <c r="B60" s="141" t="str">
        <f t="shared" si="0"/>
        <v>explorationFinishEvent{eventId:100056,count:1}</v>
      </c>
      <c r="C60" s="11">
        <v>2402401</v>
      </c>
    </row>
    <row r="61" spans="1:3">
      <c r="A61" s="18">
        <v>100058</v>
      </c>
      <c r="B61" s="141" t="str">
        <f t="shared" si="0"/>
        <v>explorationFinishEvent{eventId:100057,count:1}</v>
      </c>
      <c r="C61" s="11">
        <v>2402502</v>
      </c>
    </row>
    <row r="62" spans="1:3">
      <c r="A62" s="18">
        <v>100059</v>
      </c>
      <c r="B62" s="141" t="str">
        <f t="shared" si="0"/>
        <v>explorationFinishEvent{eventId:100058,count:1}</v>
      </c>
      <c r="C62" s="11">
        <v>2402503</v>
      </c>
    </row>
    <row r="63" spans="1:3">
      <c r="A63" s="18">
        <v>100060</v>
      </c>
      <c r="B63" s="141" t="str">
        <f t="shared" si="0"/>
        <v>explorationFinishEvent{eventId:100059,count:1}</v>
      </c>
      <c r="C63" s="11">
        <v>2402604</v>
      </c>
    </row>
    <row r="64" spans="1:3">
      <c r="A64" s="18">
        <v>100061</v>
      </c>
      <c r="B64" s="141" t="str">
        <f t="shared" si="0"/>
        <v>explorationFinishEvent{eventId:100060,count:1}</v>
      </c>
      <c r="C64" s="11">
        <v>2402601</v>
      </c>
    </row>
    <row r="65" spans="1:3">
      <c r="A65" s="18">
        <v>100062</v>
      </c>
      <c r="B65" s="141" t="str">
        <f t="shared" si="0"/>
        <v>explorationFinishEvent{eventId:100061,count:1}</v>
      </c>
      <c r="C65" s="11">
        <v>2402702</v>
      </c>
    </row>
    <row r="66" spans="1:3">
      <c r="A66" s="18">
        <v>100063</v>
      </c>
      <c r="B66" s="141" t="str">
        <f t="shared" si="0"/>
        <v>explorationFinishEvent{eventId:100062,count:1}</v>
      </c>
      <c r="C66" s="11">
        <v>2402703</v>
      </c>
    </row>
    <row r="67" spans="1:3">
      <c r="A67" s="18">
        <v>100064</v>
      </c>
      <c r="B67" s="141" t="str">
        <f t="shared" si="0"/>
        <v>explorationFinishEvent{eventId:100063,count:1}</v>
      </c>
      <c r="C67" s="11">
        <v>2402804</v>
      </c>
    </row>
    <row r="68" spans="1:3">
      <c r="A68" s="18">
        <v>100065</v>
      </c>
      <c r="B68" s="141" t="str">
        <f t="shared" si="0"/>
        <v>explorationFinishEvent{eventId:100064,count:1}</v>
      </c>
      <c r="C68" s="11">
        <v>2402801</v>
      </c>
    </row>
    <row r="69" spans="1:3">
      <c r="A69" s="18">
        <v>100066</v>
      </c>
      <c r="B69" s="141" t="str">
        <f t="shared" si="0"/>
        <v>explorationFinishEvent{eventId:100065,count:1}</v>
      </c>
      <c r="C69" s="11">
        <v>2402902</v>
      </c>
    </row>
    <row r="70" spans="1:3">
      <c r="A70" s="18">
        <v>100067</v>
      </c>
      <c r="B70" s="141" t="str">
        <f t="shared" si="0"/>
        <v>explorationFinishEvent{eventId:100066,count:1}</v>
      </c>
      <c r="C70" s="11">
        <v>2402903</v>
      </c>
    </row>
    <row r="71" spans="1:3">
      <c r="A71" s="18">
        <v>100068</v>
      </c>
      <c r="B71" s="141" t="str">
        <f t="shared" si="0"/>
        <v>explorationFinishEvent{eventId:100067,count:1}</v>
      </c>
      <c r="C71" s="11">
        <v>2403004</v>
      </c>
    </row>
    <row r="72" spans="1:3">
      <c r="A72" s="18">
        <v>100069</v>
      </c>
      <c r="B72" s="141" t="str">
        <f t="shared" si="0"/>
        <v>explorationFinishEvent{eventId:100068,count:1}</v>
      </c>
      <c r="C72" s="11">
        <v>2403001</v>
      </c>
    </row>
    <row r="73" spans="1:3">
      <c r="A73" s="18">
        <v>100070</v>
      </c>
      <c r="B73" s="141" t="str">
        <f t="shared" si="0"/>
        <v>explorationFinishEvent{eventId:100069,count:1}</v>
      </c>
      <c r="C73" s="11">
        <v>2403102</v>
      </c>
    </row>
    <row r="74" spans="1:3">
      <c r="A74" s="18">
        <v>100071</v>
      </c>
      <c r="B74" s="141" t="str">
        <f t="shared" si="0"/>
        <v>explorationFinishEvent{eventId:100070,count:1}</v>
      </c>
      <c r="C74" s="11">
        <v>2403103</v>
      </c>
    </row>
    <row r="75" spans="1:3">
      <c r="A75" s="18">
        <v>100072</v>
      </c>
      <c r="B75" s="141" t="str">
        <f t="shared" si="0"/>
        <v>explorationFinishEvent{eventId:100071,count:1}</v>
      </c>
      <c r="C75" s="11">
        <v>2403204</v>
      </c>
    </row>
    <row r="76" spans="1:3">
      <c r="A76" s="18">
        <v>100073</v>
      </c>
      <c r="B76" s="141" t="str">
        <f t="shared" si="0"/>
        <v>explorationFinishEvent{eventId:100072,count:1}</v>
      </c>
      <c r="C76" s="11">
        <v>2403201</v>
      </c>
    </row>
    <row r="77" spans="1:3">
      <c r="A77" s="18">
        <v>100074</v>
      </c>
      <c r="B77" s="141" t="str">
        <f t="shared" ref="B77:B140" si="1">"explorationFinishEvent{eventId:"&amp;A75+1&amp;",count:1}"</f>
        <v>explorationFinishEvent{eventId:100073,count:1}</v>
      </c>
      <c r="C77" s="11">
        <v>2403302</v>
      </c>
    </row>
    <row r="78" spans="1:3">
      <c r="A78" s="18">
        <v>100075</v>
      </c>
      <c r="B78" s="141" t="str">
        <f t="shared" si="1"/>
        <v>explorationFinishEvent{eventId:100074,count:1}</v>
      </c>
      <c r="C78" s="11">
        <v>2403303</v>
      </c>
    </row>
    <row r="79" spans="1:3">
      <c r="A79" s="18">
        <v>100076</v>
      </c>
      <c r="B79" s="141" t="str">
        <f t="shared" si="1"/>
        <v>explorationFinishEvent{eventId:100075,count:1}</v>
      </c>
      <c r="C79" s="11">
        <v>2403404</v>
      </c>
    </row>
    <row r="80" spans="1:3">
      <c r="A80" s="18">
        <v>100077</v>
      </c>
      <c r="B80" s="141" t="str">
        <f t="shared" si="1"/>
        <v>explorationFinishEvent{eventId:100076,count:1}</v>
      </c>
      <c r="C80" s="11">
        <v>2403401</v>
      </c>
    </row>
    <row r="81" spans="1:3">
      <c r="A81" s="18">
        <v>100078</v>
      </c>
      <c r="B81" s="141" t="str">
        <f t="shared" si="1"/>
        <v>explorationFinishEvent{eventId:100077,count:1}</v>
      </c>
      <c r="C81" s="11">
        <v>2403502</v>
      </c>
    </row>
    <row r="82" spans="1:3">
      <c r="A82" s="18">
        <v>100079</v>
      </c>
      <c r="B82" s="141" t="str">
        <f t="shared" si="1"/>
        <v>explorationFinishEvent{eventId:100078,count:1}</v>
      </c>
      <c r="C82" s="11">
        <v>2403503</v>
      </c>
    </row>
    <row r="83" spans="1:3">
      <c r="A83" s="18">
        <v>100080</v>
      </c>
      <c r="B83" s="141" t="str">
        <f t="shared" si="1"/>
        <v>explorationFinishEvent{eventId:100079,count:1}</v>
      </c>
      <c r="C83" s="11">
        <v>2403604</v>
      </c>
    </row>
    <row r="84" spans="1:3">
      <c r="A84" s="18">
        <v>100081</v>
      </c>
      <c r="B84" s="141" t="str">
        <f t="shared" si="1"/>
        <v>explorationFinishEvent{eventId:100080,count:1}</v>
      </c>
      <c r="C84" s="11">
        <v>2403601</v>
      </c>
    </row>
    <row r="85" spans="1:3">
      <c r="A85" s="18">
        <v>100082</v>
      </c>
      <c r="B85" s="141" t="str">
        <f t="shared" si="1"/>
        <v>explorationFinishEvent{eventId:100081,count:1}</v>
      </c>
      <c r="C85" s="11">
        <v>2403702</v>
      </c>
    </row>
    <row r="86" spans="1:3">
      <c r="A86" s="18">
        <v>100083</v>
      </c>
      <c r="B86" s="141" t="str">
        <f t="shared" si="1"/>
        <v>explorationFinishEvent{eventId:100082,count:1}</v>
      </c>
      <c r="C86" s="11">
        <v>2403703</v>
      </c>
    </row>
    <row r="87" spans="1:3">
      <c r="A87" s="18">
        <v>100084</v>
      </c>
      <c r="B87" s="141" t="str">
        <f t="shared" si="1"/>
        <v>explorationFinishEvent{eventId:100083,count:1}</v>
      </c>
      <c r="C87" s="11">
        <v>2403804</v>
      </c>
    </row>
    <row r="88" spans="1:3">
      <c r="A88" s="18">
        <v>100085</v>
      </c>
      <c r="B88" s="141" t="str">
        <f t="shared" si="1"/>
        <v>explorationFinishEvent{eventId:100084,count:1}</v>
      </c>
      <c r="C88" s="11">
        <v>2403801</v>
      </c>
    </row>
    <row r="89" spans="1:3">
      <c r="A89" s="18">
        <v>100086</v>
      </c>
      <c r="B89" s="141" t="str">
        <f t="shared" si="1"/>
        <v>explorationFinishEvent{eventId:100085,count:1}</v>
      </c>
      <c r="C89" s="11">
        <v>2403902</v>
      </c>
    </row>
    <row r="90" spans="1:3">
      <c r="A90" s="18">
        <v>100087</v>
      </c>
      <c r="B90" s="141" t="str">
        <f t="shared" si="1"/>
        <v>explorationFinishEvent{eventId:100086,count:1}</v>
      </c>
      <c r="C90" s="11">
        <v>2403903</v>
      </c>
    </row>
    <row r="91" spans="1:3">
      <c r="A91" s="18">
        <v>100088</v>
      </c>
      <c r="B91" s="141" t="str">
        <f t="shared" si="1"/>
        <v>explorationFinishEvent{eventId:100087,count:1}</v>
      </c>
      <c r="C91" s="11">
        <v>2404004</v>
      </c>
    </row>
    <row r="92" spans="1:3">
      <c r="A92" s="18">
        <v>100089</v>
      </c>
      <c r="B92" s="141" t="str">
        <f t="shared" si="1"/>
        <v>explorationFinishEvent{eventId:100088,count:1}</v>
      </c>
      <c r="C92" s="11">
        <v>2404001</v>
      </c>
    </row>
    <row r="93" spans="1:3">
      <c r="A93" s="18">
        <v>100090</v>
      </c>
      <c r="B93" s="141" t="str">
        <f t="shared" si="1"/>
        <v>explorationFinishEvent{eventId:100089,count:1}</v>
      </c>
      <c r="C93" s="11">
        <v>2404102</v>
      </c>
    </row>
    <row r="94" spans="1:3">
      <c r="A94" s="18">
        <v>100091</v>
      </c>
      <c r="B94" s="141" t="str">
        <f t="shared" si="1"/>
        <v>explorationFinishEvent{eventId:100090,count:1}</v>
      </c>
      <c r="C94" s="11">
        <v>2404103</v>
      </c>
    </row>
    <row r="95" spans="1:3">
      <c r="A95" s="18">
        <v>100092</v>
      </c>
      <c r="B95" s="141" t="str">
        <f t="shared" si="1"/>
        <v>explorationFinishEvent{eventId:100091,count:1}</v>
      </c>
      <c r="C95" s="11">
        <v>2404204</v>
      </c>
    </row>
    <row r="96" spans="1:3">
      <c r="A96" s="18">
        <v>100093</v>
      </c>
      <c r="B96" s="141" t="str">
        <f t="shared" si="1"/>
        <v>explorationFinishEvent{eventId:100092,count:1}</v>
      </c>
      <c r="C96" s="11">
        <v>2404201</v>
      </c>
    </row>
    <row r="97" spans="1:3">
      <c r="A97" s="18">
        <v>100094</v>
      </c>
      <c r="B97" s="141" t="str">
        <f t="shared" si="1"/>
        <v>explorationFinishEvent{eventId:100093,count:1}</v>
      </c>
      <c r="C97" s="11">
        <v>2404302</v>
      </c>
    </row>
    <row r="98" spans="1:3">
      <c r="A98" s="18">
        <v>100095</v>
      </c>
      <c r="B98" s="141" t="str">
        <f t="shared" si="1"/>
        <v>explorationFinishEvent{eventId:100094,count:1}</v>
      </c>
      <c r="C98" s="11">
        <v>2404303</v>
      </c>
    </row>
    <row r="99" spans="1:3">
      <c r="A99" s="18">
        <v>100096</v>
      </c>
      <c r="B99" s="141" t="str">
        <f t="shared" si="1"/>
        <v>explorationFinishEvent{eventId:100095,count:1}</v>
      </c>
      <c r="C99" s="11">
        <v>2404404</v>
      </c>
    </row>
    <row r="100" spans="1:3">
      <c r="A100" s="18">
        <v>100097</v>
      </c>
      <c r="B100" s="141" t="str">
        <f t="shared" si="1"/>
        <v>explorationFinishEvent{eventId:100096,count:1}</v>
      </c>
      <c r="C100" s="11">
        <v>2404401</v>
      </c>
    </row>
    <row r="101" spans="1:3">
      <c r="A101" s="18">
        <v>100098</v>
      </c>
      <c r="B101" s="141" t="str">
        <f t="shared" si="1"/>
        <v>explorationFinishEvent{eventId:100097,count:1}</v>
      </c>
      <c r="C101" s="11">
        <v>2404502</v>
      </c>
    </row>
    <row r="102" spans="1:3">
      <c r="A102" s="18">
        <v>100099</v>
      </c>
      <c r="B102" s="141" t="str">
        <f t="shared" si="1"/>
        <v>explorationFinishEvent{eventId:100098,count:1}</v>
      </c>
      <c r="C102" s="11">
        <v>2404503</v>
      </c>
    </row>
    <row r="103" spans="1:3">
      <c r="A103" s="18">
        <v>100100</v>
      </c>
      <c r="B103" s="141" t="str">
        <f t="shared" si="1"/>
        <v>explorationFinishEvent{eventId:100099,count:1}</v>
      </c>
      <c r="C103" s="11">
        <v>2404604</v>
      </c>
    </row>
    <row r="104" spans="1:3">
      <c r="A104" s="18">
        <v>100101</v>
      </c>
      <c r="B104" s="141" t="str">
        <f t="shared" si="1"/>
        <v>explorationFinishEvent{eventId:100100,count:1}</v>
      </c>
      <c r="C104" s="11">
        <v>2404601</v>
      </c>
    </row>
    <row r="105" spans="1:3">
      <c r="A105" s="18">
        <v>100102</v>
      </c>
      <c r="B105" s="141" t="str">
        <f t="shared" si="1"/>
        <v>explorationFinishEvent{eventId:100101,count:1}</v>
      </c>
      <c r="C105" s="11">
        <v>2404702</v>
      </c>
    </row>
    <row r="106" spans="1:3">
      <c r="A106" s="18">
        <v>100103</v>
      </c>
      <c r="B106" s="141" t="str">
        <f t="shared" si="1"/>
        <v>explorationFinishEvent{eventId:100102,count:1}</v>
      </c>
      <c r="C106" s="11">
        <v>2404703</v>
      </c>
    </row>
    <row r="107" spans="1:3">
      <c r="A107" s="18">
        <v>100104</v>
      </c>
      <c r="B107" s="141" t="str">
        <f t="shared" si="1"/>
        <v>explorationFinishEvent{eventId:100103,count:1}</v>
      </c>
      <c r="C107" s="11">
        <v>2404804</v>
      </c>
    </row>
    <row r="108" spans="1:3">
      <c r="A108" s="18">
        <v>100105</v>
      </c>
      <c r="B108" s="141" t="str">
        <f t="shared" si="1"/>
        <v>explorationFinishEvent{eventId:100104,count:1}</v>
      </c>
      <c r="C108" s="11">
        <v>2404801</v>
      </c>
    </row>
    <row r="109" spans="1:3">
      <c r="A109" s="18">
        <v>100106</v>
      </c>
      <c r="B109" s="141" t="str">
        <f t="shared" si="1"/>
        <v>explorationFinishEvent{eventId:100105,count:1}</v>
      </c>
      <c r="C109" s="11">
        <v>2404902</v>
      </c>
    </row>
    <row r="110" spans="1:3">
      <c r="A110" s="18">
        <v>100107</v>
      </c>
      <c r="B110" s="141" t="str">
        <f t="shared" si="1"/>
        <v>explorationFinishEvent{eventId:100106,count:1}</v>
      </c>
      <c r="C110" s="11">
        <v>2404903</v>
      </c>
    </row>
    <row r="111" spans="1:3">
      <c r="A111" s="18">
        <v>100108</v>
      </c>
      <c r="B111" s="141" t="str">
        <f t="shared" si="1"/>
        <v>explorationFinishEvent{eventId:100107,count:1}</v>
      </c>
      <c r="C111" s="11">
        <v>2405004</v>
      </c>
    </row>
    <row r="112" spans="1:3">
      <c r="A112" s="18">
        <v>100109</v>
      </c>
      <c r="B112" s="141" t="str">
        <f t="shared" si="1"/>
        <v>explorationFinishEvent{eventId:100108,count:1}</v>
      </c>
      <c r="C112" s="11">
        <v>2405001</v>
      </c>
    </row>
    <row r="113" spans="1:3">
      <c r="A113" s="18">
        <v>100110</v>
      </c>
      <c r="B113" s="141" t="str">
        <f t="shared" si="1"/>
        <v>explorationFinishEvent{eventId:100109,count:1}</v>
      </c>
      <c r="C113" s="11">
        <v>2405102</v>
      </c>
    </row>
    <row r="114" spans="1:3">
      <c r="A114" s="18">
        <v>100111</v>
      </c>
      <c r="B114" s="141" t="str">
        <f t="shared" si="1"/>
        <v>explorationFinishEvent{eventId:100110,count:1}</v>
      </c>
      <c r="C114" s="11">
        <v>2405103</v>
      </c>
    </row>
    <row r="115" spans="1:3">
      <c r="A115" s="18">
        <v>100112</v>
      </c>
      <c r="B115" s="141" t="str">
        <f t="shared" si="1"/>
        <v>explorationFinishEvent{eventId:100111,count:1}</v>
      </c>
      <c r="C115" s="11">
        <v>2405204</v>
      </c>
    </row>
    <row r="116" spans="1:3">
      <c r="A116" s="18">
        <v>100113</v>
      </c>
      <c r="B116" s="141" t="str">
        <f t="shared" si="1"/>
        <v>explorationFinishEvent{eventId:100112,count:1}</v>
      </c>
      <c r="C116" s="11">
        <v>2405201</v>
      </c>
    </row>
    <row r="117" spans="1:3">
      <c r="A117" s="18">
        <v>100114</v>
      </c>
      <c r="B117" s="141" t="str">
        <f t="shared" si="1"/>
        <v>explorationFinishEvent{eventId:100113,count:1}</v>
      </c>
      <c r="C117" s="11">
        <v>2405302</v>
      </c>
    </row>
    <row r="118" spans="1:3">
      <c r="A118" s="18">
        <v>100115</v>
      </c>
      <c r="B118" s="141" t="str">
        <f t="shared" si="1"/>
        <v>explorationFinishEvent{eventId:100114,count:1}</v>
      </c>
      <c r="C118" s="11">
        <v>2405303</v>
      </c>
    </row>
    <row r="119" spans="1:3">
      <c r="A119" s="18">
        <v>100116</v>
      </c>
      <c r="B119" s="141" t="str">
        <f t="shared" si="1"/>
        <v>explorationFinishEvent{eventId:100115,count:1}</v>
      </c>
      <c r="C119" s="11">
        <v>2405404</v>
      </c>
    </row>
    <row r="120" spans="1:3">
      <c r="A120" s="18">
        <v>100117</v>
      </c>
      <c r="B120" s="141" t="str">
        <f t="shared" si="1"/>
        <v>explorationFinishEvent{eventId:100116,count:1}</v>
      </c>
      <c r="C120" s="11">
        <v>2405401</v>
      </c>
    </row>
    <row r="121" spans="1:3">
      <c r="A121" s="18">
        <v>100118</v>
      </c>
      <c r="B121" s="141" t="str">
        <f t="shared" si="1"/>
        <v>explorationFinishEvent{eventId:100117,count:1}</v>
      </c>
      <c r="C121" s="11">
        <v>2405502</v>
      </c>
    </row>
    <row r="122" spans="1:3">
      <c r="A122" s="18">
        <v>100119</v>
      </c>
      <c r="B122" s="141" t="str">
        <f t="shared" si="1"/>
        <v>explorationFinishEvent{eventId:100118,count:1}</v>
      </c>
      <c r="C122" s="11">
        <v>2405503</v>
      </c>
    </row>
    <row r="123" spans="1:3">
      <c r="A123" s="18">
        <v>100120</v>
      </c>
      <c r="B123" s="141" t="str">
        <f t="shared" si="1"/>
        <v>explorationFinishEvent{eventId:100119,count:1}</v>
      </c>
      <c r="C123" s="11">
        <v>2405604</v>
      </c>
    </row>
    <row r="124" spans="1:3">
      <c r="A124" s="18">
        <v>100121</v>
      </c>
      <c r="B124" s="141" t="str">
        <f t="shared" si="1"/>
        <v>explorationFinishEvent{eventId:100120,count:1}</v>
      </c>
      <c r="C124" s="11">
        <v>2405601</v>
      </c>
    </row>
    <row r="125" spans="1:3">
      <c r="A125" s="18">
        <v>100122</v>
      </c>
      <c r="B125" s="141" t="str">
        <f t="shared" si="1"/>
        <v>explorationFinishEvent{eventId:100121,count:1}</v>
      </c>
      <c r="C125" s="11">
        <v>2405702</v>
      </c>
    </row>
    <row r="126" spans="1:3">
      <c r="A126" s="18">
        <v>100123</v>
      </c>
      <c r="B126" s="141" t="str">
        <f t="shared" si="1"/>
        <v>explorationFinishEvent{eventId:100122,count:1}</v>
      </c>
      <c r="C126" s="11">
        <v>2405703</v>
      </c>
    </row>
    <row r="127" spans="1:3">
      <c r="A127" s="18">
        <v>100124</v>
      </c>
      <c r="B127" s="141" t="str">
        <f t="shared" si="1"/>
        <v>explorationFinishEvent{eventId:100123,count:1}</v>
      </c>
      <c r="C127" s="11">
        <v>2405804</v>
      </c>
    </row>
    <row r="128" spans="1:3">
      <c r="A128" s="18">
        <v>100125</v>
      </c>
      <c r="B128" s="141" t="str">
        <f t="shared" si="1"/>
        <v>explorationFinishEvent{eventId:100124,count:1}</v>
      </c>
      <c r="C128" s="11">
        <v>2405801</v>
      </c>
    </row>
    <row r="129" spans="1:3">
      <c r="A129" s="18">
        <v>100126</v>
      </c>
      <c r="B129" s="141" t="str">
        <f t="shared" si="1"/>
        <v>explorationFinishEvent{eventId:100125,count:1}</v>
      </c>
      <c r="C129" s="11">
        <v>2405902</v>
      </c>
    </row>
    <row r="130" spans="1:3">
      <c r="A130" s="18">
        <v>100127</v>
      </c>
      <c r="B130" s="141" t="str">
        <f t="shared" si="1"/>
        <v>explorationFinishEvent{eventId:100126,count:1}</v>
      </c>
      <c r="C130" s="11">
        <v>2405903</v>
      </c>
    </row>
    <row r="131" spans="1:3">
      <c r="A131" s="18">
        <v>100128</v>
      </c>
      <c r="B131" s="141" t="str">
        <f t="shared" si="1"/>
        <v>explorationFinishEvent{eventId:100127,count:1}</v>
      </c>
      <c r="C131" s="11">
        <v>2406004</v>
      </c>
    </row>
    <row r="132" spans="1:3">
      <c r="A132" s="18">
        <v>100129</v>
      </c>
      <c r="B132" s="141" t="str">
        <f t="shared" si="1"/>
        <v>explorationFinishEvent{eventId:100128,count:1}</v>
      </c>
      <c r="C132" s="11">
        <v>2406001</v>
      </c>
    </row>
    <row r="133" spans="1:3">
      <c r="A133" s="18">
        <v>100130</v>
      </c>
      <c r="B133" s="141" t="str">
        <f t="shared" si="1"/>
        <v>explorationFinishEvent{eventId:100129,count:1}</v>
      </c>
      <c r="C133" s="11">
        <v>2406102</v>
      </c>
    </row>
    <row r="134" spans="1:3">
      <c r="A134" s="18">
        <v>100131</v>
      </c>
      <c r="B134" s="141" t="str">
        <f t="shared" si="1"/>
        <v>explorationFinishEvent{eventId:100130,count:1}</v>
      </c>
      <c r="C134" s="11">
        <v>2406103</v>
      </c>
    </row>
    <row r="135" spans="1:3">
      <c r="A135" s="18">
        <v>100132</v>
      </c>
      <c r="B135" s="141" t="str">
        <f t="shared" si="1"/>
        <v>explorationFinishEvent{eventId:100131,count:1}</v>
      </c>
      <c r="C135" s="11">
        <v>2406204</v>
      </c>
    </row>
    <row r="136" spans="1:3">
      <c r="A136" s="18">
        <v>100133</v>
      </c>
      <c r="B136" s="141" t="str">
        <f t="shared" si="1"/>
        <v>explorationFinishEvent{eventId:100132,count:1}</v>
      </c>
      <c r="C136" s="11">
        <v>2406201</v>
      </c>
    </row>
    <row r="137" spans="1:3">
      <c r="A137" s="18">
        <v>100134</v>
      </c>
      <c r="B137" s="141" t="str">
        <f t="shared" si="1"/>
        <v>explorationFinishEvent{eventId:100133,count:1}</v>
      </c>
      <c r="C137" s="11">
        <v>2406302</v>
      </c>
    </row>
    <row r="138" spans="1:3">
      <c r="A138" s="18">
        <v>100135</v>
      </c>
      <c r="B138" s="141" t="str">
        <f t="shared" si="1"/>
        <v>explorationFinishEvent{eventId:100134,count:1}</v>
      </c>
      <c r="C138" s="11">
        <v>2406303</v>
      </c>
    </row>
    <row r="139" spans="1:3">
      <c r="A139" s="18">
        <v>100136</v>
      </c>
      <c r="B139" s="141" t="str">
        <f t="shared" si="1"/>
        <v>explorationFinishEvent{eventId:100135,count:1}</v>
      </c>
      <c r="C139" s="11">
        <v>2406404</v>
      </c>
    </row>
    <row r="140" spans="1:3">
      <c r="A140" s="18">
        <v>100137</v>
      </c>
      <c r="B140" s="141" t="str">
        <f t="shared" si="1"/>
        <v>explorationFinishEvent{eventId:100136,count:1}</v>
      </c>
      <c r="C140" s="11">
        <v>2406401</v>
      </c>
    </row>
    <row r="141" spans="1:3">
      <c r="A141" s="18">
        <v>100138</v>
      </c>
      <c r="B141" s="141" t="str">
        <f t="shared" ref="B141:B204" si="2">"explorationFinishEvent{eventId:"&amp;A139+1&amp;",count:1}"</f>
        <v>explorationFinishEvent{eventId:100137,count:1}</v>
      </c>
      <c r="C141" s="11">
        <v>2406502</v>
      </c>
    </row>
    <row r="142" spans="1:3">
      <c r="A142" s="18">
        <v>100139</v>
      </c>
      <c r="B142" s="141" t="str">
        <f t="shared" si="2"/>
        <v>explorationFinishEvent{eventId:100138,count:1}</v>
      </c>
      <c r="C142" s="11">
        <v>2406503</v>
      </c>
    </row>
    <row r="143" spans="1:3">
      <c r="A143" s="18">
        <v>100140</v>
      </c>
      <c r="B143" s="141" t="str">
        <f t="shared" si="2"/>
        <v>explorationFinishEvent{eventId:100139,count:1}</v>
      </c>
      <c r="C143" s="11">
        <v>2406604</v>
      </c>
    </row>
    <row r="144" spans="1:3">
      <c r="A144" s="18">
        <v>100141</v>
      </c>
      <c r="B144" s="141" t="str">
        <f t="shared" si="2"/>
        <v>explorationFinishEvent{eventId:100140,count:1}</v>
      </c>
      <c r="C144" s="11">
        <v>2406601</v>
      </c>
    </row>
    <row r="145" spans="1:3">
      <c r="A145" s="18">
        <v>100142</v>
      </c>
      <c r="B145" s="141" t="str">
        <f t="shared" si="2"/>
        <v>explorationFinishEvent{eventId:100141,count:1}</v>
      </c>
      <c r="C145" s="11">
        <v>2406702</v>
      </c>
    </row>
    <row r="146" spans="1:3">
      <c r="A146" s="18">
        <v>100143</v>
      </c>
      <c r="B146" s="141" t="str">
        <f t="shared" si="2"/>
        <v>explorationFinishEvent{eventId:100142,count:1}</v>
      </c>
      <c r="C146" s="11">
        <v>2406703</v>
      </c>
    </row>
    <row r="147" spans="1:3">
      <c r="A147" s="18">
        <v>100144</v>
      </c>
      <c r="B147" s="141" t="str">
        <f t="shared" si="2"/>
        <v>explorationFinishEvent{eventId:100143,count:1}</v>
      </c>
      <c r="C147" s="11">
        <v>2406804</v>
      </c>
    </row>
    <row r="148" spans="1:3">
      <c r="A148" s="18">
        <v>100145</v>
      </c>
      <c r="B148" s="141" t="str">
        <f t="shared" si="2"/>
        <v>explorationFinishEvent{eventId:100144,count:1}</v>
      </c>
      <c r="C148" s="11">
        <v>2406801</v>
      </c>
    </row>
    <row r="149" spans="1:3">
      <c r="A149" s="18">
        <v>100146</v>
      </c>
      <c r="B149" s="141" t="str">
        <f t="shared" si="2"/>
        <v>explorationFinishEvent{eventId:100145,count:1}</v>
      </c>
      <c r="C149" s="11">
        <v>2406902</v>
      </c>
    </row>
    <row r="150" spans="1:3">
      <c r="A150" s="18">
        <v>100147</v>
      </c>
      <c r="B150" s="141" t="str">
        <f t="shared" si="2"/>
        <v>explorationFinishEvent{eventId:100146,count:1}</v>
      </c>
      <c r="C150" s="11">
        <v>2406903</v>
      </c>
    </row>
    <row r="151" spans="1:3">
      <c r="A151" s="18">
        <v>100148</v>
      </c>
      <c r="B151" s="141" t="str">
        <f t="shared" si="2"/>
        <v>explorationFinishEvent{eventId:100147,count:1}</v>
      </c>
      <c r="C151" s="11">
        <v>2407004</v>
      </c>
    </row>
    <row r="152" spans="1:3">
      <c r="A152" s="18">
        <v>100149</v>
      </c>
      <c r="B152" s="141" t="str">
        <f t="shared" si="2"/>
        <v>explorationFinishEvent{eventId:100148,count:1}</v>
      </c>
      <c r="C152" s="11">
        <v>2407001</v>
      </c>
    </row>
    <row r="153" spans="1:3">
      <c r="A153" s="18">
        <v>100150</v>
      </c>
      <c r="B153" s="141" t="str">
        <f t="shared" si="2"/>
        <v>explorationFinishEvent{eventId:100149,count:1}</v>
      </c>
      <c r="C153" s="11">
        <v>2407102</v>
      </c>
    </row>
    <row r="154" spans="1:3">
      <c r="A154" s="18">
        <v>100151</v>
      </c>
      <c r="B154" s="141" t="str">
        <f t="shared" si="2"/>
        <v>explorationFinishEvent{eventId:100150,count:1}</v>
      </c>
      <c r="C154" s="11">
        <v>2407103</v>
      </c>
    </row>
    <row r="155" spans="1:3">
      <c r="A155" s="18">
        <v>100152</v>
      </c>
      <c r="B155" s="141" t="str">
        <f t="shared" si="2"/>
        <v>explorationFinishEvent{eventId:100151,count:1}</v>
      </c>
      <c r="C155" s="11">
        <v>2407204</v>
      </c>
    </row>
    <row r="156" spans="1:3">
      <c r="A156" s="18">
        <v>100153</v>
      </c>
      <c r="B156" s="141" t="str">
        <f t="shared" si="2"/>
        <v>explorationFinishEvent{eventId:100152,count:1}</v>
      </c>
      <c r="C156" s="11">
        <v>2407201</v>
      </c>
    </row>
    <row r="157" spans="1:3">
      <c r="A157" s="18">
        <v>100154</v>
      </c>
      <c r="B157" s="141" t="str">
        <f t="shared" si="2"/>
        <v>explorationFinishEvent{eventId:100153,count:1}</v>
      </c>
      <c r="C157" s="11">
        <v>2407302</v>
      </c>
    </row>
    <row r="158" spans="1:3">
      <c r="A158" s="18">
        <v>100155</v>
      </c>
      <c r="B158" s="141" t="str">
        <f t="shared" si="2"/>
        <v>explorationFinishEvent{eventId:100154,count:1}</v>
      </c>
      <c r="C158" s="11">
        <v>2407303</v>
      </c>
    </row>
    <row r="159" spans="1:3">
      <c r="A159" s="18">
        <v>100156</v>
      </c>
      <c r="B159" s="141" t="str">
        <f t="shared" si="2"/>
        <v>explorationFinishEvent{eventId:100155,count:1}</v>
      </c>
      <c r="C159" s="11">
        <v>2407404</v>
      </c>
    </row>
    <row r="160" spans="1:3">
      <c r="A160" s="18">
        <v>100157</v>
      </c>
      <c r="B160" s="141" t="str">
        <f t="shared" si="2"/>
        <v>explorationFinishEvent{eventId:100156,count:1}</v>
      </c>
      <c r="C160" s="11">
        <v>2407401</v>
      </c>
    </row>
    <row r="161" spans="1:3">
      <c r="A161" s="18">
        <v>100158</v>
      </c>
      <c r="B161" s="141" t="str">
        <f t="shared" si="2"/>
        <v>explorationFinishEvent{eventId:100157,count:1}</v>
      </c>
      <c r="C161" s="11">
        <v>2407502</v>
      </c>
    </row>
    <row r="162" spans="1:3">
      <c r="A162" s="18">
        <v>100159</v>
      </c>
      <c r="B162" s="141" t="str">
        <f t="shared" si="2"/>
        <v>explorationFinishEvent{eventId:100158,count:1}</v>
      </c>
      <c r="C162" s="11">
        <v>2407503</v>
      </c>
    </row>
    <row r="163" spans="1:3">
      <c r="A163" s="18">
        <v>100160</v>
      </c>
      <c r="B163" s="141" t="str">
        <f t="shared" si="2"/>
        <v>explorationFinishEvent{eventId:100159,count:1}</v>
      </c>
      <c r="C163" s="11">
        <v>2407604</v>
      </c>
    </row>
    <row r="164" spans="1:3">
      <c r="A164" s="18">
        <v>100161</v>
      </c>
      <c r="B164" s="141" t="str">
        <f t="shared" si="2"/>
        <v>explorationFinishEvent{eventId:100160,count:1}</v>
      </c>
      <c r="C164" s="11">
        <v>2407601</v>
      </c>
    </row>
    <row r="165" spans="1:3">
      <c r="A165" s="18">
        <v>100162</v>
      </c>
      <c r="B165" s="141" t="str">
        <f t="shared" si="2"/>
        <v>explorationFinishEvent{eventId:100161,count:1}</v>
      </c>
      <c r="C165" s="11">
        <v>2407702</v>
      </c>
    </row>
    <row r="166" spans="1:3">
      <c r="A166" s="18">
        <v>100163</v>
      </c>
      <c r="B166" s="141" t="str">
        <f t="shared" si="2"/>
        <v>explorationFinishEvent{eventId:100162,count:1}</v>
      </c>
      <c r="C166" s="11">
        <v>2407703</v>
      </c>
    </row>
    <row r="167" spans="1:3">
      <c r="A167" s="18">
        <v>100164</v>
      </c>
      <c r="B167" s="141" t="str">
        <f t="shared" si="2"/>
        <v>explorationFinishEvent{eventId:100163,count:1}</v>
      </c>
      <c r="C167" s="11">
        <v>2407804</v>
      </c>
    </row>
    <row r="168" spans="1:3">
      <c r="A168" s="18">
        <v>100165</v>
      </c>
      <c r="B168" s="141" t="str">
        <f t="shared" si="2"/>
        <v>explorationFinishEvent{eventId:100164,count:1}</v>
      </c>
      <c r="C168" s="11">
        <v>2407801</v>
      </c>
    </row>
    <row r="169" spans="1:3">
      <c r="A169" s="18">
        <v>100166</v>
      </c>
      <c r="B169" s="141" t="str">
        <f t="shared" si="2"/>
        <v>explorationFinishEvent{eventId:100165,count:1}</v>
      </c>
      <c r="C169" s="11">
        <v>2407902</v>
      </c>
    </row>
    <row r="170" spans="1:3">
      <c r="A170" s="18">
        <v>100167</v>
      </c>
      <c r="B170" s="141" t="str">
        <f t="shared" si="2"/>
        <v>explorationFinishEvent{eventId:100166,count:1}</v>
      </c>
      <c r="C170" s="11">
        <v>2407903</v>
      </c>
    </row>
    <row r="171" spans="1:3">
      <c r="A171" s="18">
        <v>100168</v>
      </c>
      <c r="B171" s="141" t="str">
        <f t="shared" si="2"/>
        <v>explorationFinishEvent{eventId:100167,count:1}</v>
      </c>
      <c r="C171" s="11">
        <v>2408004</v>
      </c>
    </row>
    <row r="172" spans="1:3">
      <c r="A172" s="18">
        <v>100169</v>
      </c>
      <c r="B172" s="141" t="str">
        <f t="shared" si="2"/>
        <v>explorationFinishEvent{eventId:100168,count:1}</v>
      </c>
      <c r="C172" s="11">
        <v>2408001</v>
      </c>
    </row>
    <row r="173" spans="1:3">
      <c r="A173" s="18">
        <v>100170</v>
      </c>
      <c r="B173" s="141" t="str">
        <f t="shared" si="2"/>
        <v>explorationFinishEvent{eventId:100169,count:1}</v>
      </c>
      <c r="C173" s="11">
        <v>2408102</v>
      </c>
    </row>
    <row r="174" spans="1:3">
      <c r="A174" s="18">
        <v>100171</v>
      </c>
      <c r="B174" s="141" t="str">
        <f t="shared" si="2"/>
        <v>explorationFinishEvent{eventId:100170,count:1}</v>
      </c>
      <c r="C174" s="11">
        <v>2408103</v>
      </c>
    </row>
    <row r="175" spans="1:3">
      <c r="A175" s="18">
        <v>100172</v>
      </c>
      <c r="B175" s="141" t="str">
        <f t="shared" si="2"/>
        <v>explorationFinishEvent{eventId:100171,count:1}</v>
      </c>
      <c r="C175" s="11">
        <v>2408204</v>
      </c>
    </row>
    <row r="176" spans="1:3">
      <c r="A176" s="18">
        <v>100173</v>
      </c>
      <c r="B176" s="141" t="str">
        <f t="shared" si="2"/>
        <v>explorationFinishEvent{eventId:100172,count:1}</v>
      </c>
      <c r="C176" s="11">
        <v>2408201</v>
      </c>
    </row>
    <row r="177" spans="1:3">
      <c r="A177" s="18">
        <v>100174</v>
      </c>
      <c r="B177" s="141" t="str">
        <f t="shared" si="2"/>
        <v>explorationFinishEvent{eventId:100173,count:1}</v>
      </c>
      <c r="C177" s="11">
        <v>2408302</v>
      </c>
    </row>
    <row r="178" spans="1:3">
      <c r="A178" s="18">
        <v>100175</v>
      </c>
      <c r="B178" s="141" t="str">
        <f t="shared" si="2"/>
        <v>explorationFinishEvent{eventId:100174,count:1}</v>
      </c>
      <c r="C178" s="11">
        <v>2408303</v>
      </c>
    </row>
    <row r="179" spans="1:3">
      <c r="A179" s="18">
        <v>100176</v>
      </c>
      <c r="B179" s="141" t="str">
        <f t="shared" si="2"/>
        <v>explorationFinishEvent{eventId:100175,count:1}</v>
      </c>
      <c r="C179" s="11">
        <v>2408404</v>
      </c>
    </row>
    <row r="180" spans="1:3">
      <c r="A180" s="18">
        <v>100177</v>
      </c>
      <c r="B180" s="141" t="str">
        <f t="shared" si="2"/>
        <v>explorationFinishEvent{eventId:100176,count:1}</v>
      </c>
      <c r="C180" s="11">
        <v>2408401</v>
      </c>
    </row>
    <row r="181" spans="1:3">
      <c r="A181" s="18">
        <v>100178</v>
      </c>
      <c r="B181" s="141" t="str">
        <f t="shared" si="2"/>
        <v>explorationFinishEvent{eventId:100177,count:1}</v>
      </c>
      <c r="C181" s="11">
        <v>2408502</v>
      </c>
    </row>
    <row r="182" spans="1:3">
      <c r="A182" s="18">
        <v>100179</v>
      </c>
      <c r="B182" s="141" t="str">
        <f t="shared" si="2"/>
        <v>explorationFinishEvent{eventId:100178,count:1}</v>
      </c>
      <c r="C182" s="11">
        <v>2408503</v>
      </c>
    </row>
    <row r="183" spans="1:3">
      <c r="A183" s="18">
        <v>100180</v>
      </c>
      <c r="B183" s="141" t="str">
        <f t="shared" si="2"/>
        <v>explorationFinishEvent{eventId:100179,count:1}</v>
      </c>
      <c r="C183" s="11">
        <v>2408604</v>
      </c>
    </row>
    <row r="184" spans="1:3">
      <c r="A184" s="18">
        <v>100181</v>
      </c>
      <c r="B184" s="141" t="str">
        <f t="shared" si="2"/>
        <v>explorationFinishEvent{eventId:100180,count:1}</v>
      </c>
      <c r="C184" s="11">
        <v>2408601</v>
      </c>
    </row>
    <row r="185" spans="1:3">
      <c r="A185" s="18">
        <v>100182</v>
      </c>
      <c r="B185" s="141" t="str">
        <f t="shared" si="2"/>
        <v>explorationFinishEvent{eventId:100181,count:1}</v>
      </c>
      <c r="C185" s="11">
        <v>2408702</v>
      </c>
    </row>
    <row r="186" spans="1:3">
      <c r="A186" s="18">
        <v>100183</v>
      </c>
      <c r="B186" s="141" t="str">
        <f t="shared" si="2"/>
        <v>explorationFinishEvent{eventId:100182,count:1}</v>
      </c>
      <c r="C186" s="11">
        <v>2408703</v>
      </c>
    </row>
    <row r="187" spans="1:3">
      <c r="A187" s="18">
        <v>100184</v>
      </c>
      <c r="B187" s="141" t="str">
        <f t="shared" si="2"/>
        <v>explorationFinishEvent{eventId:100183,count:1}</v>
      </c>
      <c r="C187" s="11">
        <v>2408804</v>
      </c>
    </row>
    <row r="188" spans="1:3">
      <c r="A188" s="18">
        <v>100185</v>
      </c>
      <c r="B188" s="141" t="str">
        <f t="shared" si="2"/>
        <v>explorationFinishEvent{eventId:100184,count:1}</v>
      </c>
      <c r="C188" s="11">
        <v>2408801</v>
      </c>
    </row>
    <row r="189" spans="1:3">
      <c r="A189" s="18">
        <v>100186</v>
      </c>
      <c r="B189" s="141" t="str">
        <f t="shared" si="2"/>
        <v>explorationFinishEvent{eventId:100185,count:1}</v>
      </c>
      <c r="C189" s="11">
        <v>2408902</v>
      </c>
    </row>
    <row r="190" spans="1:3">
      <c r="A190" s="18">
        <v>100187</v>
      </c>
      <c r="B190" s="141" t="str">
        <f t="shared" si="2"/>
        <v>explorationFinishEvent{eventId:100186,count:1}</v>
      </c>
      <c r="C190" s="11">
        <v>2408903</v>
      </c>
    </row>
    <row r="191" spans="1:3">
      <c r="A191" s="18">
        <v>100188</v>
      </c>
      <c r="B191" s="141" t="str">
        <f t="shared" si="2"/>
        <v>explorationFinishEvent{eventId:100187,count:1}</v>
      </c>
      <c r="C191" s="11">
        <v>2409004</v>
      </c>
    </row>
    <row r="192" spans="1:3">
      <c r="A192" s="18">
        <v>100189</v>
      </c>
      <c r="B192" s="141" t="str">
        <f t="shared" si="2"/>
        <v>explorationFinishEvent{eventId:100188,count:1}</v>
      </c>
      <c r="C192" s="11">
        <v>2409001</v>
      </c>
    </row>
    <row r="193" spans="1:3">
      <c r="A193" s="18">
        <v>100190</v>
      </c>
      <c r="B193" s="141" t="str">
        <f t="shared" si="2"/>
        <v>explorationFinishEvent{eventId:100189,count:1}</v>
      </c>
      <c r="C193" s="11">
        <v>2409102</v>
      </c>
    </row>
    <row r="194" spans="1:3">
      <c r="A194" s="18">
        <v>100191</v>
      </c>
      <c r="B194" s="141" t="str">
        <f t="shared" si="2"/>
        <v>explorationFinishEvent{eventId:100190,count:1}</v>
      </c>
      <c r="C194" s="11">
        <v>2409103</v>
      </c>
    </row>
    <row r="195" spans="1:3">
      <c r="A195" s="18">
        <v>100192</v>
      </c>
      <c r="B195" s="141" t="str">
        <f t="shared" si="2"/>
        <v>explorationFinishEvent{eventId:100191,count:1}</v>
      </c>
      <c r="C195" s="11">
        <v>2409204</v>
      </c>
    </row>
    <row r="196" spans="1:3">
      <c r="A196" s="18">
        <v>100193</v>
      </c>
      <c r="B196" s="141" t="str">
        <f t="shared" si="2"/>
        <v>explorationFinishEvent{eventId:100192,count:1}</v>
      </c>
      <c r="C196" s="11">
        <v>2409201</v>
      </c>
    </row>
    <row r="197" spans="1:3">
      <c r="A197" s="18">
        <v>100194</v>
      </c>
      <c r="B197" s="141" t="str">
        <f t="shared" si="2"/>
        <v>explorationFinishEvent{eventId:100193,count:1}</v>
      </c>
      <c r="C197" s="11">
        <v>2409302</v>
      </c>
    </row>
    <row r="198" spans="1:3">
      <c r="A198" s="18">
        <v>100195</v>
      </c>
      <c r="B198" s="141" t="str">
        <f t="shared" si="2"/>
        <v>explorationFinishEvent{eventId:100194,count:1}</v>
      </c>
      <c r="C198" s="11">
        <v>2409303</v>
      </c>
    </row>
    <row r="199" spans="1:3">
      <c r="A199" s="18">
        <v>100196</v>
      </c>
      <c r="B199" s="141" t="str">
        <f t="shared" si="2"/>
        <v>explorationFinishEvent{eventId:100195,count:1}</v>
      </c>
      <c r="C199" s="11">
        <v>2409404</v>
      </c>
    </row>
    <row r="200" spans="1:3">
      <c r="A200" s="18">
        <v>100197</v>
      </c>
      <c r="B200" s="141" t="str">
        <f t="shared" si="2"/>
        <v>explorationFinishEvent{eventId:100196,count:1}</v>
      </c>
      <c r="C200" s="11">
        <v>2409401</v>
      </c>
    </row>
    <row r="201" spans="1:3">
      <c r="A201" s="18">
        <v>100198</v>
      </c>
      <c r="B201" s="141" t="str">
        <f t="shared" si="2"/>
        <v>explorationFinishEvent{eventId:100197,count:1}</v>
      </c>
      <c r="C201" s="11">
        <v>2409502</v>
      </c>
    </row>
    <row r="202" spans="1:3">
      <c r="A202" s="18">
        <v>100199</v>
      </c>
      <c r="B202" s="141" t="str">
        <f t="shared" si="2"/>
        <v>explorationFinishEvent{eventId:100198,count:1}</v>
      </c>
      <c r="C202" s="11">
        <v>2409503</v>
      </c>
    </row>
    <row r="203" spans="1:3">
      <c r="A203" s="18">
        <v>100200</v>
      </c>
      <c r="B203" s="141" t="str">
        <f t="shared" si="2"/>
        <v>explorationFinishEvent{eventId:100199,count:1}</v>
      </c>
      <c r="C203" s="11">
        <v>2409504</v>
      </c>
    </row>
    <row r="204" spans="1:3">
      <c r="A204" s="18">
        <v>100201</v>
      </c>
      <c r="B204" s="141" t="str">
        <f t="shared" si="2"/>
        <v>explorationFinishEvent{eventId:100200,count:1}</v>
      </c>
      <c r="C204" s="11">
        <v>2409601</v>
      </c>
    </row>
    <row r="205" spans="1:3">
      <c r="A205" s="18">
        <v>100202</v>
      </c>
      <c r="B205" s="141" t="str">
        <f t="shared" ref="B205:B268" si="3">"explorationFinishEvent{eventId:"&amp;A203+1&amp;",count:1}"</f>
        <v>explorationFinishEvent{eventId:100201,count:1}</v>
      </c>
      <c r="C205" s="11">
        <v>2409602</v>
      </c>
    </row>
    <row r="206" spans="1:3">
      <c r="A206" s="18">
        <v>100203</v>
      </c>
      <c r="B206" s="141" t="str">
        <f t="shared" si="3"/>
        <v>explorationFinishEvent{eventId:100202,count:1}</v>
      </c>
      <c r="C206" s="11">
        <v>2409603</v>
      </c>
    </row>
    <row r="207" spans="1:3">
      <c r="A207" s="18">
        <v>100204</v>
      </c>
      <c r="B207" s="141" t="str">
        <f t="shared" si="3"/>
        <v>explorationFinishEvent{eventId:100203,count:1}</v>
      </c>
      <c r="C207" s="11">
        <v>2409704</v>
      </c>
    </row>
    <row r="208" spans="1:3">
      <c r="A208" s="18">
        <v>100205</v>
      </c>
      <c r="B208" s="141" t="str">
        <f t="shared" si="3"/>
        <v>explorationFinishEvent{eventId:100204,count:1}</v>
      </c>
      <c r="C208" s="11">
        <v>2409701</v>
      </c>
    </row>
    <row r="209" spans="1:3">
      <c r="A209" s="18">
        <v>100206</v>
      </c>
      <c r="B209" s="141" t="str">
        <f t="shared" si="3"/>
        <v>explorationFinishEvent{eventId:100205,count:1}</v>
      </c>
      <c r="C209" s="11">
        <v>2409702</v>
      </c>
    </row>
    <row r="210" spans="1:3">
      <c r="A210" s="18">
        <v>100207</v>
      </c>
      <c r="B210" s="141" t="str">
        <f t="shared" si="3"/>
        <v>explorationFinishEvent{eventId:100206,count:1}</v>
      </c>
      <c r="C210" s="11">
        <v>2409803</v>
      </c>
    </row>
    <row r="211" spans="1:3">
      <c r="A211" s="18">
        <v>100208</v>
      </c>
      <c r="B211" s="141" t="str">
        <f t="shared" si="3"/>
        <v>explorationFinishEvent{eventId:100207,count:1}</v>
      </c>
      <c r="C211" s="11">
        <v>2409804</v>
      </c>
    </row>
    <row r="212" spans="1:3">
      <c r="A212" s="18">
        <v>100209</v>
      </c>
      <c r="B212" s="141" t="str">
        <f t="shared" si="3"/>
        <v>explorationFinishEvent{eventId:100208,count:1}</v>
      </c>
      <c r="C212" s="11">
        <v>2409801</v>
      </c>
    </row>
    <row r="213" spans="1:3">
      <c r="A213" s="18">
        <v>100210</v>
      </c>
      <c r="B213" s="141" t="str">
        <f t="shared" si="3"/>
        <v>explorationFinishEvent{eventId:100209,count:1}</v>
      </c>
      <c r="C213" s="11">
        <v>2409902</v>
      </c>
    </row>
    <row r="214" spans="1:3">
      <c r="A214" s="18">
        <v>100211</v>
      </c>
      <c r="B214" s="141" t="str">
        <f t="shared" si="3"/>
        <v>explorationFinishEvent{eventId:100210,count:1}</v>
      </c>
      <c r="C214" s="11">
        <v>2409903</v>
      </c>
    </row>
    <row r="215" spans="1:3">
      <c r="A215" s="18">
        <v>100212</v>
      </c>
      <c r="B215" s="141" t="str">
        <f t="shared" si="3"/>
        <v>explorationFinishEvent{eventId:100211,count:1}</v>
      </c>
      <c r="C215" s="11">
        <v>2409904</v>
      </c>
    </row>
    <row r="216" spans="1:3">
      <c r="A216" s="18">
        <v>100213</v>
      </c>
      <c r="B216" s="141" t="str">
        <f t="shared" si="3"/>
        <v>explorationFinishEvent{eventId:100212,count:1}</v>
      </c>
      <c r="C216" s="11">
        <v>2410001</v>
      </c>
    </row>
    <row r="217" spans="1:3">
      <c r="A217" s="18">
        <v>100214</v>
      </c>
      <c r="B217" s="141" t="str">
        <f t="shared" si="3"/>
        <v>explorationFinishEvent{eventId:100213,count:1}</v>
      </c>
      <c r="C217" s="11">
        <v>2410002</v>
      </c>
    </row>
    <row r="218" spans="1:3">
      <c r="A218" s="18">
        <v>100215</v>
      </c>
      <c r="B218" s="141" t="str">
        <f t="shared" si="3"/>
        <v>explorationFinishEvent{eventId:100214,count:1}</v>
      </c>
      <c r="C218" s="11">
        <v>2410003</v>
      </c>
    </row>
    <row r="219" spans="1:3">
      <c r="A219" s="18">
        <v>100216</v>
      </c>
      <c r="B219" s="141" t="str">
        <f t="shared" si="3"/>
        <v>explorationFinishEvent{eventId:100215,count:1}</v>
      </c>
      <c r="C219" s="11">
        <v>2410104</v>
      </c>
    </row>
    <row r="220" spans="1:3">
      <c r="A220" s="18">
        <v>100217</v>
      </c>
      <c r="B220" s="141" t="str">
        <f t="shared" si="3"/>
        <v>explorationFinishEvent{eventId:100216,count:1}</v>
      </c>
      <c r="C220" s="11">
        <v>2410101</v>
      </c>
    </row>
    <row r="221" spans="1:3">
      <c r="A221" s="18">
        <v>100218</v>
      </c>
      <c r="B221" s="141" t="str">
        <f t="shared" si="3"/>
        <v>explorationFinishEvent{eventId:100217,count:1}</v>
      </c>
      <c r="C221" s="11">
        <v>2410102</v>
      </c>
    </row>
    <row r="222" spans="1:3">
      <c r="A222" s="18">
        <v>100219</v>
      </c>
      <c r="B222" s="141" t="str">
        <f t="shared" si="3"/>
        <v>explorationFinishEvent{eventId:100218,count:1}</v>
      </c>
      <c r="C222" s="11">
        <v>2410203</v>
      </c>
    </row>
    <row r="223" spans="1:3">
      <c r="A223" s="18">
        <v>100220</v>
      </c>
      <c r="B223" s="141" t="str">
        <f t="shared" si="3"/>
        <v>explorationFinishEvent{eventId:100219,count:1}</v>
      </c>
      <c r="C223" s="11">
        <v>2410204</v>
      </c>
    </row>
    <row r="224" spans="1:3">
      <c r="A224" s="18">
        <v>100221</v>
      </c>
      <c r="B224" s="141" t="str">
        <f t="shared" si="3"/>
        <v>explorationFinishEvent{eventId:100220,count:1}</v>
      </c>
      <c r="C224" s="11">
        <v>2410201</v>
      </c>
    </row>
    <row r="225" spans="1:3">
      <c r="A225" s="18">
        <v>100222</v>
      </c>
      <c r="B225" s="141" t="str">
        <f t="shared" si="3"/>
        <v>explorationFinishEvent{eventId:100221,count:1}</v>
      </c>
      <c r="C225" s="11">
        <v>2410302</v>
      </c>
    </row>
    <row r="226" spans="1:3">
      <c r="A226" s="18">
        <v>100223</v>
      </c>
      <c r="B226" s="141" t="str">
        <f t="shared" si="3"/>
        <v>explorationFinishEvent{eventId:100222,count:1}</v>
      </c>
      <c r="C226" s="11">
        <v>2410303</v>
      </c>
    </row>
    <row r="227" spans="1:3">
      <c r="A227" s="18">
        <v>100224</v>
      </c>
      <c r="B227" s="141" t="str">
        <f t="shared" si="3"/>
        <v>explorationFinishEvent{eventId:100223,count:1}</v>
      </c>
      <c r="C227" s="11">
        <v>2410304</v>
      </c>
    </row>
    <row r="228" spans="1:3">
      <c r="A228" s="18">
        <v>100225</v>
      </c>
      <c r="B228" s="141" t="str">
        <f t="shared" si="3"/>
        <v>explorationFinishEvent{eventId:100224,count:1}</v>
      </c>
      <c r="C228" s="11">
        <v>2410401</v>
      </c>
    </row>
    <row r="229" spans="1:3">
      <c r="A229" s="18">
        <v>100226</v>
      </c>
      <c r="B229" s="141" t="str">
        <f t="shared" si="3"/>
        <v>explorationFinishEvent{eventId:100225,count:1}</v>
      </c>
      <c r="C229" s="11">
        <v>2410402</v>
      </c>
    </row>
    <row r="230" spans="1:3">
      <c r="A230" s="18">
        <v>100227</v>
      </c>
      <c r="B230" s="141" t="str">
        <f t="shared" si="3"/>
        <v>explorationFinishEvent{eventId:100226,count:1}</v>
      </c>
      <c r="C230" s="11">
        <v>2410403</v>
      </c>
    </row>
    <row r="231" spans="1:3">
      <c r="A231" s="18">
        <v>100228</v>
      </c>
      <c r="B231" s="141" t="str">
        <f t="shared" si="3"/>
        <v>explorationFinishEvent{eventId:100227,count:1}</v>
      </c>
      <c r="C231" s="143">
        <v>2410404</v>
      </c>
    </row>
    <row r="232" spans="1:3">
      <c r="A232" s="18">
        <v>100229</v>
      </c>
      <c r="B232" s="141" t="str">
        <f t="shared" si="3"/>
        <v>explorationFinishEvent{eventId:100228,count:1}</v>
      </c>
      <c r="C232" s="143">
        <v>2410501</v>
      </c>
    </row>
    <row r="233" spans="1:3">
      <c r="A233" s="18">
        <v>100230</v>
      </c>
      <c r="B233" s="141" t="str">
        <f t="shared" si="3"/>
        <v>explorationFinishEvent{eventId:100229,count:1}</v>
      </c>
      <c r="C233" s="143">
        <v>2410502</v>
      </c>
    </row>
    <row r="234" spans="1:3">
      <c r="A234" s="18">
        <v>100231</v>
      </c>
      <c r="B234" s="141" t="str">
        <f t="shared" si="3"/>
        <v>explorationFinishEvent{eventId:100230,count:1}</v>
      </c>
      <c r="C234" s="143">
        <v>2410503</v>
      </c>
    </row>
    <row r="235" spans="1:3">
      <c r="A235" s="18">
        <v>100232</v>
      </c>
      <c r="B235" s="141" t="str">
        <f t="shared" si="3"/>
        <v>explorationFinishEvent{eventId:100231,count:1}</v>
      </c>
      <c r="C235" s="143">
        <v>2410504</v>
      </c>
    </row>
    <row r="236" spans="1:3">
      <c r="A236" s="18">
        <v>100233</v>
      </c>
      <c r="B236" s="141" t="str">
        <f t="shared" si="3"/>
        <v>explorationFinishEvent{eventId:100232,count:1}</v>
      </c>
      <c r="C236" s="143">
        <v>2410601</v>
      </c>
    </row>
    <row r="237" spans="1:3">
      <c r="A237" s="18">
        <v>100234</v>
      </c>
      <c r="B237" s="141" t="str">
        <f t="shared" si="3"/>
        <v>explorationFinishEvent{eventId:100233,count:1}</v>
      </c>
      <c r="C237" s="143">
        <v>2410602</v>
      </c>
    </row>
    <row r="238" spans="1:3">
      <c r="A238" s="18">
        <v>100235</v>
      </c>
      <c r="B238" s="141" t="str">
        <f t="shared" si="3"/>
        <v>explorationFinishEvent{eventId:100234,count:1}</v>
      </c>
      <c r="C238" s="143">
        <v>2410603</v>
      </c>
    </row>
    <row r="239" spans="1:3">
      <c r="A239" s="18">
        <v>100236</v>
      </c>
      <c r="B239" s="141" t="str">
        <f t="shared" si="3"/>
        <v>explorationFinishEvent{eventId:100235,count:1}</v>
      </c>
      <c r="C239" s="143">
        <v>2410604</v>
      </c>
    </row>
    <row r="240" spans="1:3">
      <c r="A240" s="18">
        <v>100237</v>
      </c>
      <c r="B240" s="141" t="str">
        <f t="shared" si="3"/>
        <v>explorationFinishEvent{eventId:100236,count:1}</v>
      </c>
      <c r="C240" s="143">
        <v>2410701</v>
      </c>
    </row>
    <row r="241" spans="1:3">
      <c r="A241" s="18">
        <v>100238</v>
      </c>
      <c r="B241" s="141" t="str">
        <f t="shared" si="3"/>
        <v>explorationFinishEvent{eventId:100237,count:1}</v>
      </c>
      <c r="C241" s="143">
        <v>2410702</v>
      </c>
    </row>
    <row r="242" spans="1:3">
      <c r="A242" s="18">
        <v>100239</v>
      </c>
      <c r="B242" s="141" t="str">
        <f t="shared" si="3"/>
        <v>explorationFinishEvent{eventId:100238,count:1}</v>
      </c>
      <c r="C242" s="143">
        <v>2410703</v>
      </c>
    </row>
    <row r="243" spans="1:3">
      <c r="A243" s="18">
        <v>100240</v>
      </c>
      <c r="B243" s="141" t="str">
        <f t="shared" si="3"/>
        <v>explorationFinishEvent{eventId:100239,count:1}</v>
      </c>
      <c r="C243" s="143">
        <v>2410704</v>
      </c>
    </row>
    <row r="244" spans="1:3">
      <c r="A244" s="18">
        <v>100241</v>
      </c>
      <c r="B244" s="141" t="str">
        <f t="shared" si="3"/>
        <v>explorationFinishEvent{eventId:100240,count:1}</v>
      </c>
      <c r="C244" s="143">
        <v>2410801</v>
      </c>
    </row>
    <row r="245" spans="1:3">
      <c r="A245" s="18">
        <v>100242</v>
      </c>
      <c r="B245" s="141" t="str">
        <f t="shared" si="3"/>
        <v>explorationFinishEvent{eventId:100241,count:1}</v>
      </c>
      <c r="C245" s="143">
        <v>2410802</v>
      </c>
    </row>
    <row r="246" spans="1:3">
      <c r="A246" s="18">
        <v>100243</v>
      </c>
      <c r="B246" s="141" t="str">
        <f t="shared" si="3"/>
        <v>explorationFinishEvent{eventId:100242,count:1}</v>
      </c>
      <c r="C246" s="143">
        <v>2410803</v>
      </c>
    </row>
    <row r="247" spans="1:3">
      <c r="A247" s="18">
        <v>100244</v>
      </c>
      <c r="B247" s="141" t="str">
        <f t="shared" si="3"/>
        <v>explorationFinishEvent{eventId:100243,count:1}</v>
      </c>
      <c r="C247" s="143">
        <v>2410804</v>
      </c>
    </row>
    <row r="248" spans="1:3">
      <c r="A248" s="18">
        <v>100245</v>
      </c>
      <c r="B248" s="141" t="str">
        <f t="shared" si="3"/>
        <v>explorationFinishEvent{eventId:100244,count:1}</v>
      </c>
      <c r="C248" s="143">
        <v>2410901</v>
      </c>
    </row>
    <row r="249" spans="1:3">
      <c r="A249" s="18">
        <v>100246</v>
      </c>
      <c r="B249" s="141" t="str">
        <f t="shared" si="3"/>
        <v>explorationFinishEvent{eventId:100245,count:1}</v>
      </c>
      <c r="C249" s="143">
        <v>2410902</v>
      </c>
    </row>
    <row r="250" spans="1:3">
      <c r="A250" s="18">
        <v>100247</v>
      </c>
      <c r="B250" s="141" t="str">
        <f t="shared" si="3"/>
        <v>explorationFinishEvent{eventId:100246,count:1}</v>
      </c>
      <c r="C250" s="143">
        <v>2410903</v>
      </c>
    </row>
    <row r="251" spans="1:3">
      <c r="A251" s="18">
        <v>100248</v>
      </c>
      <c r="B251" s="141" t="str">
        <f t="shared" si="3"/>
        <v>explorationFinishEvent{eventId:100247,count:1}</v>
      </c>
      <c r="C251" s="143">
        <v>2410904</v>
      </c>
    </row>
    <row r="252" spans="1:3">
      <c r="A252" s="18">
        <v>100249</v>
      </c>
      <c r="B252" s="141" t="str">
        <f t="shared" si="3"/>
        <v>explorationFinishEvent{eventId:100248,count:1}</v>
      </c>
      <c r="C252" s="143">
        <v>2411001</v>
      </c>
    </row>
    <row r="253" spans="1:3">
      <c r="A253" s="18">
        <v>100250</v>
      </c>
      <c r="B253" s="141" t="str">
        <f t="shared" si="3"/>
        <v>explorationFinishEvent{eventId:100249,count:1}</v>
      </c>
      <c r="C253" s="143">
        <v>2411002</v>
      </c>
    </row>
    <row r="254" spans="1:3">
      <c r="A254" s="18">
        <v>100251</v>
      </c>
      <c r="B254" s="141" t="str">
        <f t="shared" si="3"/>
        <v>explorationFinishEvent{eventId:100250,count:1}</v>
      </c>
      <c r="C254" s="143">
        <v>2411003</v>
      </c>
    </row>
    <row r="255" spans="1:3">
      <c r="A255" s="18">
        <v>100252</v>
      </c>
      <c r="B255" s="141" t="str">
        <f t="shared" si="3"/>
        <v>explorationFinishEvent{eventId:100251,count:1}</v>
      </c>
      <c r="C255" s="143">
        <v>2411004</v>
      </c>
    </row>
    <row r="256" spans="1:3">
      <c r="A256" s="18">
        <v>100253</v>
      </c>
      <c r="B256" s="141" t="str">
        <f t="shared" si="3"/>
        <v>explorationFinishEvent{eventId:100252,count:1}</v>
      </c>
      <c r="C256" s="143">
        <v>2411101</v>
      </c>
    </row>
    <row r="257" spans="1:3">
      <c r="A257" s="18">
        <v>100254</v>
      </c>
      <c r="B257" s="141" t="str">
        <f t="shared" si="3"/>
        <v>explorationFinishEvent{eventId:100253,count:1}</v>
      </c>
      <c r="C257" s="143">
        <v>2411102</v>
      </c>
    </row>
    <row r="258" spans="1:3">
      <c r="A258" s="18">
        <v>100255</v>
      </c>
      <c r="B258" s="141" t="str">
        <f t="shared" si="3"/>
        <v>explorationFinishEvent{eventId:100254,count:1}</v>
      </c>
      <c r="C258" s="143">
        <v>2411103</v>
      </c>
    </row>
    <row r="259" spans="1:3">
      <c r="A259" s="18">
        <v>100256</v>
      </c>
      <c r="B259" s="141" t="str">
        <f t="shared" si="3"/>
        <v>explorationFinishEvent{eventId:100255,count:1}</v>
      </c>
      <c r="C259" s="143">
        <v>2411104</v>
      </c>
    </row>
    <row r="260" spans="1:3">
      <c r="A260" s="18">
        <v>100257</v>
      </c>
      <c r="B260" s="141" t="str">
        <f t="shared" si="3"/>
        <v>explorationFinishEvent{eventId:100256,count:1}</v>
      </c>
      <c r="C260" s="143">
        <v>2411201</v>
      </c>
    </row>
    <row r="261" spans="1:3">
      <c r="A261" s="18">
        <v>100258</v>
      </c>
      <c r="B261" s="141" t="str">
        <f t="shared" si="3"/>
        <v>explorationFinishEvent{eventId:100257,count:1}</v>
      </c>
      <c r="C261" s="143">
        <v>2411202</v>
      </c>
    </row>
    <row r="262" spans="1:3">
      <c r="A262" s="18">
        <v>100259</v>
      </c>
      <c r="B262" s="141" t="str">
        <f t="shared" si="3"/>
        <v>explorationFinishEvent{eventId:100258,count:1}</v>
      </c>
      <c r="C262" s="143">
        <v>2411203</v>
      </c>
    </row>
    <row r="263" spans="1:3">
      <c r="A263" s="18">
        <v>100260</v>
      </c>
      <c r="B263" s="141" t="str">
        <f t="shared" si="3"/>
        <v>explorationFinishEvent{eventId:100259,count:1}</v>
      </c>
      <c r="C263" s="143">
        <v>2411204</v>
      </c>
    </row>
    <row r="264" spans="1:3">
      <c r="A264" s="18">
        <v>100261</v>
      </c>
      <c r="B264" s="141" t="str">
        <f t="shared" si="3"/>
        <v>explorationFinishEvent{eventId:100260,count:1}</v>
      </c>
      <c r="C264" s="143">
        <v>2411301</v>
      </c>
    </row>
    <row r="265" spans="1:3">
      <c r="A265" s="18">
        <v>100262</v>
      </c>
      <c r="B265" s="141" t="str">
        <f t="shared" si="3"/>
        <v>explorationFinishEvent{eventId:100261,count:1}</v>
      </c>
      <c r="C265" s="143">
        <v>2411302</v>
      </c>
    </row>
    <row r="266" spans="1:3">
      <c r="A266" s="18">
        <v>100263</v>
      </c>
      <c r="B266" s="141" t="str">
        <f t="shared" si="3"/>
        <v>explorationFinishEvent{eventId:100262,count:1}</v>
      </c>
      <c r="C266" s="143">
        <v>2411303</v>
      </c>
    </row>
    <row r="267" spans="1:3">
      <c r="A267" s="18">
        <v>100264</v>
      </c>
      <c r="B267" s="141" t="str">
        <f t="shared" si="3"/>
        <v>explorationFinishEvent{eventId:100263,count:1}</v>
      </c>
      <c r="C267" s="143">
        <v>2411304</v>
      </c>
    </row>
    <row r="268" spans="1:3">
      <c r="A268" s="18">
        <v>100265</v>
      </c>
      <c r="B268" s="141" t="str">
        <f t="shared" si="3"/>
        <v>explorationFinishEvent{eventId:100264,count:1}</v>
      </c>
      <c r="C268" s="143">
        <v>2411401</v>
      </c>
    </row>
    <row r="269" spans="1:3">
      <c r="A269" s="18">
        <v>100266</v>
      </c>
      <c r="B269" s="141" t="str">
        <f t="shared" ref="B269:B332" si="4">"explorationFinishEvent{eventId:"&amp;A267+1&amp;",count:1}"</f>
        <v>explorationFinishEvent{eventId:100265,count:1}</v>
      </c>
      <c r="C269" s="143">
        <v>2411402</v>
      </c>
    </row>
    <row r="270" spans="1:3">
      <c r="A270" s="18">
        <v>100267</v>
      </c>
      <c r="B270" s="141" t="str">
        <f t="shared" si="4"/>
        <v>explorationFinishEvent{eventId:100266,count:1}</v>
      </c>
      <c r="C270" s="143">
        <v>2411403</v>
      </c>
    </row>
    <row r="271" spans="1:3">
      <c r="A271" s="18">
        <v>100268</v>
      </c>
      <c r="B271" s="141" t="str">
        <f t="shared" si="4"/>
        <v>explorationFinishEvent{eventId:100267,count:1}</v>
      </c>
      <c r="C271" s="143">
        <v>2411404</v>
      </c>
    </row>
    <row r="272" spans="1:3">
      <c r="A272" s="18">
        <v>100269</v>
      </c>
      <c r="B272" s="141" t="str">
        <f t="shared" si="4"/>
        <v>explorationFinishEvent{eventId:100268,count:1}</v>
      </c>
      <c r="C272" s="143">
        <v>2411501</v>
      </c>
    </row>
    <row r="273" spans="1:3">
      <c r="A273" s="18">
        <v>100270</v>
      </c>
      <c r="B273" s="141" t="str">
        <f t="shared" si="4"/>
        <v>explorationFinishEvent{eventId:100269,count:1}</v>
      </c>
      <c r="C273" s="143">
        <v>2411502</v>
      </c>
    </row>
    <row r="274" spans="1:3">
      <c r="A274" s="18">
        <v>100271</v>
      </c>
      <c r="B274" s="141" t="str">
        <f t="shared" si="4"/>
        <v>explorationFinishEvent{eventId:100270,count:1}</v>
      </c>
      <c r="C274" s="143">
        <v>2411503</v>
      </c>
    </row>
    <row r="275" spans="1:3">
      <c r="A275" s="18">
        <v>100272</v>
      </c>
      <c r="B275" s="141" t="str">
        <f t="shared" si="4"/>
        <v>explorationFinishEvent{eventId:100271,count:1}</v>
      </c>
      <c r="C275" s="143">
        <v>2411504</v>
      </c>
    </row>
    <row r="276" spans="1:3">
      <c r="A276" s="18">
        <v>100273</v>
      </c>
      <c r="B276" s="141" t="str">
        <f t="shared" si="4"/>
        <v>explorationFinishEvent{eventId:100272,count:1}</v>
      </c>
      <c r="C276" s="143">
        <v>2411601</v>
      </c>
    </row>
    <row r="277" spans="1:3">
      <c r="A277" s="18">
        <v>100274</v>
      </c>
      <c r="B277" s="141" t="str">
        <f t="shared" si="4"/>
        <v>explorationFinishEvent{eventId:100273,count:1}</v>
      </c>
      <c r="C277" s="143">
        <v>2411602</v>
      </c>
    </row>
    <row r="278" spans="1:3">
      <c r="A278" s="18">
        <v>100275</v>
      </c>
      <c r="B278" s="141" t="str">
        <f t="shared" si="4"/>
        <v>explorationFinishEvent{eventId:100274,count:1}</v>
      </c>
      <c r="C278" s="143">
        <v>2411603</v>
      </c>
    </row>
    <row r="279" spans="1:3">
      <c r="A279" s="18">
        <v>100276</v>
      </c>
      <c r="B279" s="141" t="str">
        <f t="shared" si="4"/>
        <v>explorationFinishEvent{eventId:100275,count:1}</v>
      </c>
      <c r="C279" s="143">
        <v>2411604</v>
      </c>
    </row>
    <row r="280" spans="1:3">
      <c r="A280" s="18">
        <v>100277</v>
      </c>
      <c r="B280" s="141" t="str">
        <f t="shared" si="4"/>
        <v>explorationFinishEvent{eventId:100276,count:1}</v>
      </c>
      <c r="C280" s="143">
        <v>2411701</v>
      </c>
    </row>
    <row r="281" spans="1:3">
      <c r="A281" s="18">
        <v>100278</v>
      </c>
      <c r="B281" s="141" t="str">
        <f t="shared" si="4"/>
        <v>explorationFinishEvent{eventId:100277,count:1}</v>
      </c>
      <c r="C281" s="143">
        <v>2411702</v>
      </c>
    </row>
    <row r="282" spans="1:3">
      <c r="A282" s="18">
        <v>100279</v>
      </c>
      <c r="B282" s="141" t="str">
        <f t="shared" si="4"/>
        <v>explorationFinishEvent{eventId:100278,count:1}</v>
      </c>
      <c r="C282" s="143">
        <v>2411703</v>
      </c>
    </row>
    <row r="283" spans="1:3">
      <c r="A283" s="18">
        <v>100280</v>
      </c>
      <c r="B283" s="141" t="str">
        <f t="shared" si="4"/>
        <v>explorationFinishEvent{eventId:100279,count:1}</v>
      </c>
      <c r="C283" s="143">
        <v>2411704</v>
      </c>
    </row>
    <row r="284" spans="1:3">
      <c r="A284" s="18">
        <v>100281</v>
      </c>
      <c r="B284" s="141" t="str">
        <f t="shared" si="4"/>
        <v>explorationFinishEvent{eventId:100280,count:1}</v>
      </c>
      <c r="C284" s="143">
        <v>2411801</v>
      </c>
    </row>
    <row r="285" spans="1:3">
      <c r="A285" s="18">
        <v>100282</v>
      </c>
      <c r="B285" s="141" t="str">
        <f t="shared" si="4"/>
        <v>explorationFinishEvent{eventId:100281,count:1}</v>
      </c>
      <c r="C285" s="143">
        <v>2411802</v>
      </c>
    </row>
    <row r="286" spans="1:3">
      <c r="A286" s="18">
        <v>100283</v>
      </c>
      <c r="B286" s="141" t="str">
        <f t="shared" si="4"/>
        <v>explorationFinishEvent{eventId:100282,count:1}</v>
      </c>
      <c r="C286" s="143">
        <v>2411803</v>
      </c>
    </row>
    <row r="287" spans="1:3">
      <c r="A287" s="18">
        <v>100284</v>
      </c>
      <c r="B287" s="141" t="str">
        <f t="shared" si="4"/>
        <v>explorationFinishEvent{eventId:100283,count:1}</v>
      </c>
      <c r="C287" s="143">
        <v>2411804</v>
      </c>
    </row>
    <row r="288" spans="1:3">
      <c r="A288" s="18">
        <v>100285</v>
      </c>
      <c r="B288" s="141" t="str">
        <f t="shared" si="4"/>
        <v>explorationFinishEvent{eventId:100284,count:1}</v>
      </c>
      <c r="C288" s="143">
        <v>2411901</v>
      </c>
    </row>
    <row r="289" spans="1:3">
      <c r="A289" s="18">
        <v>100286</v>
      </c>
      <c r="B289" s="141" t="str">
        <f t="shared" si="4"/>
        <v>explorationFinishEvent{eventId:100285,count:1}</v>
      </c>
      <c r="C289" s="143">
        <v>2411902</v>
      </c>
    </row>
    <row r="290" spans="1:3">
      <c r="A290" s="18">
        <v>100287</v>
      </c>
      <c r="B290" s="141" t="str">
        <f t="shared" si="4"/>
        <v>explorationFinishEvent{eventId:100286,count:1}</v>
      </c>
      <c r="C290" s="143">
        <v>2411903</v>
      </c>
    </row>
    <row r="291" spans="1:3">
      <c r="A291" s="18">
        <v>100288</v>
      </c>
      <c r="B291" s="141" t="str">
        <f t="shared" si="4"/>
        <v>explorationFinishEvent{eventId:100287,count:1}</v>
      </c>
      <c r="C291" s="143">
        <v>2411904</v>
      </c>
    </row>
    <row r="292" spans="1:3">
      <c r="A292" s="18">
        <v>100289</v>
      </c>
      <c r="B292" s="141" t="str">
        <f t="shared" si="4"/>
        <v>explorationFinishEvent{eventId:100288,count:1}</v>
      </c>
      <c r="C292" s="143">
        <v>2412001</v>
      </c>
    </row>
    <row r="293" spans="1:3">
      <c r="A293" s="18">
        <v>100290</v>
      </c>
      <c r="B293" s="141" t="str">
        <f t="shared" si="4"/>
        <v>explorationFinishEvent{eventId:100289,count:1}</v>
      </c>
      <c r="C293" s="143">
        <v>2412002</v>
      </c>
    </row>
    <row r="294" spans="1:3">
      <c r="A294" s="18">
        <v>100291</v>
      </c>
      <c r="B294" s="141" t="str">
        <f t="shared" si="4"/>
        <v>explorationFinishEvent{eventId:100290,count:1}</v>
      </c>
      <c r="C294" s="143">
        <v>2412003</v>
      </c>
    </row>
    <row r="295" spans="1:3">
      <c r="A295" s="18">
        <v>100292</v>
      </c>
      <c r="B295" s="141" t="str">
        <f t="shared" si="4"/>
        <v>explorationFinishEvent{eventId:100291,count:1}</v>
      </c>
      <c r="C295" s="143">
        <v>2412004</v>
      </c>
    </row>
    <row r="296" spans="1:3">
      <c r="A296" s="18">
        <v>100293</v>
      </c>
      <c r="B296" s="141" t="str">
        <f t="shared" si="4"/>
        <v>explorationFinishEvent{eventId:100292,count:1}</v>
      </c>
      <c r="C296" s="143">
        <v>2412101</v>
      </c>
    </row>
    <row r="297" spans="1:3">
      <c r="A297" s="18">
        <v>100294</v>
      </c>
      <c r="B297" s="141" t="str">
        <f t="shared" si="4"/>
        <v>explorationFinishEvent{eventId:100293,count:1}</v>
      </c>
      <c r="C297" s="143">
        <v>2412102</v>
      </c>
    </row>
    <row r="298" spans="1:3">
      <c r="A298" s="18">
        <v>100295</v>
      </c>
      <c r="B298" s="141" t="str">
        <f t="shared" si="4"/>
        <v>explorationFinishEvent{eventId:100294,count:1}</v>
      </c>
      <c r="C298" s="143">
        <v>2412103</v>
      </c>
    </row>
    <row r="299" spans="1:3">
      <c r="A299" s="18">
        <v>100296</v>
      </c>
      <c r="B299" s="141" t="str">
        <f t="shared" si="4"/>
        <v>explorationFinishEvent{eventId:100295,count:1}</v>
      </c>
      <c r="C299" s="143">
        <v>2412104</v>
      </c>
    </row>
    <row r="300" spans="1:3">
      <c r="A300" s="18">
        <v>100297</v>
      </c>
      <c r="B300" s="141" t="str">
        <f t="shared" si="4"/>
        <v>explorationFinishEvent{eventId:100296,count:1}</v>
      </c>
      <c r="C300" s="143">
        <v>2412201</v>
      </c>
    </row>
    <row r="301" spans="1:3">
      <c r="A301" s="18">
        <v>100298</v>
      </c>
      <c r="B301" s="141" t="str">
        <f t="shared" si="4"/>
        <v>explorationFinishEvent{eventId:100297,count:1}</v>
      </c>
      <c r="C301" s="143">
        <v>2412202</v>
      </c>
    </row>
    <row r="302" spans="1:3">
      <c r="A302" s="18">
        <v>100299</v>
      </c>
      <c r="B302" s="141" t="str">
        <f t="shared" si="4"/>
        <v>explorationFinishEvent{eventId:100298,count:1}</v>
      </c>
      <c r="C302" s="143">
        <v>2412203</v>
      </c>
    </row>
    <row r="303" spans="1:3">
      <c r="A303" s="18">
        <v>100300</v>
      </c>
      <c r="B303" s="141" t="str">
        <f t="shared" si="4"/>
        <v>explorationFinishEvent{eventId:100299,count:1}</v>
      </c>
      <c r="C303" s="143">
        <v>2412204</v>
      </c>
    </row>
    <row r="304" spans="1:3">
      <c r="A304" s="18">
        <v>100301</v>
      </c>
      <c r="B304" s="141" t="str">
        <f t="shared" si="4"/>
        <v>explorationFinishEvent{eventId:100300,count:1}</v>
      </c>
      <c r="C304" s="143">
        <v>2412301</v>
      </c>
    </row>
    <row r="305" spans="1:3">
      <c r="A305" s="18">
        <v>100302</v>
      </c>
      <c r="B305" s="141" t="str">
        <f t="shared" si="4"/>
        <v>explorationFinishEvent{eventId:100301,count:1}</v>
      </c>
      <c r="C305" s="143">
        <v>2412302</v>
      </c>
    </row>
    <row r="306" spans="1:3">
      <c r="A306" s="18">
        <v>100303</v>
      </c>
      <c r="B306" s="141" t="str">
        <f t="shared" si="4"/>
        <v>explorationFinishEvent{eventId:100302,count:1}</v>
      </c>
      <c r="C306" s="143">
        <v>2412303</v>
      </c>
    </row>
    <row r="307" spans="1:3">
      <c r="A307" s="18">
        <v>100304</v>
      </c>
      <c r="B307" s="141" t="str">
        <f t="shared" si="4"/>
        <v>explorationFinishEvent{eventId:100303,count:1}</v>
      </c>
      <c r="C307" s="143">
        <v>2412304</v>
      </c>
    </row>
    <row r="308" spans="1:3">
      <c r="A308" s="18">
        <v>100305</v>
      </c>
      <c r="B308" s="141" t="str">
        <f t="shared" si="4"/>
        <v>explorationFinishEvent{eventId:100304,count:1}</v>
      </c>
      <c r="C308" s="143">
        <v>2412401</v>
      </c>
    </row>
    <row r="309" spans="1:3">
      <c r="A309" s="18">
        <v>100306</v>
      </c>
      <c r="B309" s="141" t="str">
        <f t="shared" si="4"/>
        <v>explorationFinishEvent{eventId:100305,count:1}</v>
      </c>
      <c r="C309" s="143">
        <v>2412402</v>
      </c>
    </row>
    <row r="310" spans="1:3">
      <c r="A310" s="18">
        <v>100307</v>
      </c>
      <c r="B310" s="141" t="str">
        <f t="shared" si="4"/>
        <v>explorationFinishEvent{eventId:100306,count:1}</v>
      </c>
      <c r="C310" s="143">
        <v>2412403</v>
      </c>
    </row>
    <row r="311" spans="1:3">
      <c r="A311" s="18">
        <v>100308</v>
      </c>
      <c r="B311" s="141" t="str">
        <f t="shared" si="4"/>
        <v>explorationFinishEvent{eventId:100307,count:1}</v>
      </c>
      <c r="C311" s="143">
        <v>2412404</v>
      </c>
    </row>
    <row r="312" spans="1:3">
      <c r="A312" s="18">
        <v>100309</v>
      </c>
      <c r="B312" s="141" t="str">
        <f t="shared" si="4"/>
        <v>explorationFinishEvent{eventId:100308,count:1}</v>
      </c>
      <c r="C312" s="143">
        <v>2412501</v>
      </c>
    </row>
    <row r="313" spans="1:3">
      <c r="A313" s="18">
        <v>100310</v>
      </c>
      <c r="B313" s="141" t="str">
        <f t="shared" si="4"/>
        <v>explorationFinishEvent{eventId:100309,count:1}</v>
      </c>
      <c r="C313" s="143">
        <v>2412502</v>
      </c>
    </row>
    <row r="314" spans="1:3">
      <c r="A314" s="18">
        <v>100311</v>
      </c>
      <c r="B314" s="141" t="str">
        <f t="shared" si="4"/>
        <v>explorationFinishEvent{eventId:100310,count:1}</v>
      </c>
      <c r="C314" s="143">
        <v>2412503</v>
      </c>
    </row>
    <row r="315" spans="1:3">
      <c r="A315" s="18">
        <v>100312</v>
      </c>
      <c r="B315" s="141" t="str">
        <f t="shared" si="4"/>
        <v>explorationFinishEvent{eventId:100311,count:1}</v>
      </c>
      <c r="C315" s="143">
        <v>2412504</v>
      </c>
    </row>
    <row r="316" spans="1:3">
      <c r="A316" s="18">
        <v>100313</v>
      </c>
      <c r="B316" s="141" t="str">
        <f t="shared" si="4"/>
        <v>explorationFinishEvent{eventId:100312,count:1}</v>
      </c>
      <c r="C316" s="143">
        <v>2412601</v>
      </c>
    </row>
    <row r="317" spans="1:3">
      <c r="A317" s="18">
        <v>100314</v>
      </c>
      <c r="B317" s="141" t="str">
        <f t="shared" si="4"/>
        <v>explorationFinishEvent{eventId:100313,count:1}</v>
      </c>
      <c r="C317" s="143">
        <v>2412602</v>
      </c>
    </row>
    <row r="318" spans="1:3">
      <c r="A318" s="18">
        <v>100315</v>
      </c>
      <c r="B318" s="141" t="str">
        <f t="shared" si="4"/>
        <v>explorationFinishEvent{eventId:100314,count:1}</v>
      </c>
      <c r="C318" s="143">
        <v>2412603</v>
      </c>
    </row>
    <row r="319" spans="1:3">
      <c r="A319" s="18">
        <v>100316</v>
      </c>
      <c r="B319" s="141" t="str">
        <f t="shared" si="4"/>
        <v>explorationFinishEvent{eventId:100315,count:1}</v>
      </c>
      <c r="C319" s="143">
        <v>2412604</v>
      </c>
    </row>
    <row r="320" spans="1:3">
      <c r="A320" s="18">
        <v>100317</v>
      </c>
      <c r="B320" s="141" t="str">
        <f t="shared" si="4"/>
        <v>explorationFinishEvent{eventId:100316,count:1}</v>
      </c>
      <c r="C320" s="143">
        <v>2412701</v>
      </c>
    </row>
    <row r="321" spans="1:3">
      <c r="A321" s="18">
        <v>100318</v>
      </c>
      <c r="B321" s="141" t="str">
        <f t="shared" si="4"/>
        <v>explorationFinishEvent{eventId:100317,count:1}</v>
      </c>
      <c r="C321" s="143">
        <v>2412702</v>
      </c>
    </row>
    <row r="322" spans="1:3">
      <c r="A322" s="18">
        <v>100319</v>
      </c>
      <c r="B322" s="141" t="str">
        <f t="shared" si="4"/>
        <v>explorationFinishEvent{eventId:100318,count:1}</v>
      </c>
      <c r="C322" s="143">
        <v>2412703</v>
      </c>
    </row>
    <row r="323" spans="1:3">
      <c r="A323" s="18">
        <v>100320</v>
      </c>
      <c r="B323" s="141" t="str">
        <f t="shared" si="4"/>
        <v>explorationFinishEvent{eventId:100319,count:1}</v>
      </c>
      <c r="C323" s="143">
        <v>2412704</v>
      </c>
    </row>
    <row r="324" spans="1:3">
      <c r="A324" s="18">
        <v>100321</v>
      </c>
      <c r="B324" s="141" t="str">
        <f t="shared" si="4"/>
        <v>explorationFinishEvent{eventId:100320,count:1}</v>
      </c>
      <c r="C324" s="143">
        <v>2412801</v>
      </c>
    </row>
    <row r="325" spans="1:3">
      <c r="A325" s="18">
        <v>100322</v>
      </c>
      <c r="B325" s="141" t="str">
        <f t="shared" si="4"/>
        <v>explorationFinishEvent{eventId:100321,count:1}</v>
      </c>
      <c r="C325" s="143">
        <v>2412802</v>
      </c>
    </row>
    <row r="326" spans="1:3">
      <c r="A326" s="18">
        <v>100323</v>
      </c>
      <c r="B326" s="141" t="str">
        <f t="shared" si="4"/>
        <v>explorationFinishEvent{eventId:100322,count:1}</v>
      </c>
      <c r="C326" s="143">
        <v>2412803</v>
      </c>
    </row>
    <row r="327" spans="1:3">
      <c r="A327" s="18">
        <v>100324</v>
      </c>
      <c r="B327" s="141" t="str">
        <f t="shared" si="4"/>
        <v>explorationFinishEvent{eventId:100323,count:1}</v>
      </c>
      <c r="C327" s="143">
        <v>2412804</v>
      </c>
    </row>
    <row r="328" spans="1:3">
      <c r="A328" s="18">
        <v>100325</v>
      </c>
      <c r="B328" s="141" t="str">
        <f t="shared" si="4"/>
        <v>explorationFinishEvent{eventId:100324,count:1}</v>
      </c>
      <c r="C328" s="143">
        <v>2412901</v>
      </c>
    </row>
    <row r="329" spans="1:3">
      <c r="A329" s="18">
        <v>100326</v>
      </c>
      <c r="B329" s="141" t="str">
        <f t="shared" si="4"/>
        <v>explorationFinishEvent{eventId:100325,count:1}</v>
      </c>
      <c r="C329" s="143">
        <v>2412902</v>
      </c>
    </row>
    <row r="330" spans="1:3">
      <c r="A330" s="18">
        <v>100327</v>
      </c>
      <c r="B330" s="141" t="str">
        <f t="shared" si="4"/>
        <v>explorationFinishEvent{eventId:100326,count:1}</v>
      </c>
      <c r="C330" s="143">
        <v>2412903</v>
      </c>
    </row>
    <row r="331" spans="1:3">
      <c r="A331" s="18">
        <v>100328</v>
      </c>
      <c r="B331" s="141" t="str">
        <f t="shared" si="4"/>
        <v>explorationFinishEvent{eventId:100327,count:1}</v>
      </c>
      <c r="C331" s="143">
        <v>2412904</v>
      </c>
    </row>
    <row r="332" spans="1:3">
      <c r="A332" s="18">
        <v>100329</v>
      </c>
      <c r="B332" s="141" t="str">
        <f t="shared" si="4"/>
        <v>explorationFinishEvent{eventId:100328,count:1}</v>
      </c>
      <c r="C332" s="143">
        <v>2413001</v>
      </c>
    </row>
    <row r="333" spans="1:3">
      <c r="A333" s="18">
        <v>100330</v>
      </c>
      <c r="B333" s="141" t="str">
        <f t="shared" ref="B333:B396" si="5">"explorationFinishEvent{eventId:"&amp;A331+1&amp;",count:1}"</f>
        <v>explorationFinishEvent{eventId:100329,count:1}</v>
      </c>
      <c r="C333" s="143">
        <v>2413002</v>
      </c>
    </row>
    <row r="334" spans="1:3">
      <c r="A334" s="18">
        <v>100331</v>
      </c>
      <c r="B334" s="141" t="str">
        <f t="shared" si="5"/>
        <v>explorationFinishEvent{eventId:100330,count:1}</v>
      </c>
      <c r="C334" s="143">
        <v>2413003</v>
      </c>
    </row>
    <row r="335" spans="1:3">
      <c r="A335" s="18">
        <v>100332</v>
      </c>
      <c r="B335" s="141" t="str">
        <f t="shared" si="5"/>
        <v>explorationFinishEvent{eventId:100331,count:1}</v>
      </c>
      <c r="C335" s="143">
        <v>2413004</v>
      </c>
    </row>
    <row r="336" spans="1:3">
      <c r="A336" s="18">
        <v>100333</v>
      </c>
      <c r="B336" s="141" t="str">
        <f t="shared" si="5"/>
        <v>explorationFinishEvent{eventId:100332,count:1}</v>
      </c>
      <c r="C336" s="143">
        <v>2413101</v>
      </c>
    </row>
    <row r="337" spans="1:3">
      <c r="A337" s="18">
        <v>100334</v>
      </c>
      <c r="B337" s="141" t="str">
        <f t="shared" si="5"/>
        <v>explorationFinishEvent{eventId:100333,count:1}</v>
      </c>
      <c r="C337" s="143">
        <v>2413102</v>
      </c>
    </row>
    <row r="338" spans="1:3">
      <c r="A338" s="18">
        <v>100335</v>
      </c>
      <c r="B338" s="141" t="str">
        <f t="shared" si="5"/>
        <v>explorationFinishEvent{eventId:100334,count:1}</v>
      </c>
      <c r="C338" s="143">
        <v>2413103</v>
      </c>
    </row>
    <row r="339" spans="1:3">
      <c r="A339" s="18">
        <v>100336</v>
      </c>
      <c r="B339" s="141" t="str">
        <f t="shared" si="5"/>
        <v>explorationFinishEvent{eventId:100335,count:1}</v>
      </c>
      <c r="C339" s="143">
        <v>2413104</v>
      </c>
    </row>
    <row r="340" spans="1:3">
      <c r="A340" s="18">
        <v>100337</v>
      </c>
      <c r="B340" s="141" t="str">
        <f t="shared" si="5"/>
        <v>explorationFinishEvent{eventId:100336,count:1}</v>
      </c>
      <c r="C340" s="143">
        <v>2413201</v>
      </c>
    </row>
    <row r="341" spans="1:3">
      <c r="A341" s="18">
        <v>100338</v>
      </c>
      <c r="B341" s="141" t="str">
        <f t="shared" si="5"/>
        <v>explorationFinishEvent{eventId:100337,count:1}</v>
      </c>
      <c r="C341" s="143">
        <v>2413202</v>
      </c>
    </row>
    <row r="342" spans="1:3">
      <c r="A342" s="18">
        <v>100339</v>
      </c>
      <c r="B342" s="141" t="str">
        <f t="shared" si="5"/>
        <v>explorationFinishEvent{eventId:100338,count:1}</v>
      </c>
      <c r="C342" s="143">
        <v>2413203</v>
      </c>
    </row>
    <row r="343" spans="1:3">
      <c r="A343" s="18">
        <v>100340</v>
      </c>
      <c r="B343" s="141" t="str">
        <f t="shared" si="5"/>
        <v>explorationFinishEvent{eventId:100339,count:1}</v>
      </c>
      <c r="C343" s="143">
        <v>2413204</v>
      </c>
    </row>
    <row r="344" spans="1:3">
      <c r="A344" s="18">
        <v>100341</v>
      </c>
      <c r="B344" s="141" t="str">
        <f t="shared" si="5"/>
        <v>explorationFinishEvent{eventId:100340,count:1}</v>
      </c>
      <c r="C344" s="143">
        <v>2413301</v>
      </c>
    </row>
    <row r="345" spans="1:3">
      <c r="A345" s="18">
        <v>100342</v>
      </c>
      <c r="B345" s="141" t="str">
        <f t="shared" si="5"/>
        <v>explorationFinishEvent{eventId:100341,count:1}</v>
      </c>
      <c r="C345" s="143">
        <v>2413302</v>
      </c>
    </row>
    <row r="346" spans="1:3">
      <c r="A346" s="18">
        <v>100343</v>
      </c>
      <c r="B346" s="141" t="str">
        <f t="shared" si="5"/>
        <v>explorationFinishEvent{eventId:100342,count:1}</v>
      </c>
      <c r="C346" s="143">
        <v>2413303</v>
      </c>
    </row>
    <row r="347" spans="1:3">
      <c r="A347" s="18">
        <v>100344</v>
      </c>
      <c r="B347" s="141" t="str">
        <f t="shared" si="5"/>
        <v>explorationFinishEvent{eventId:100343,count:1}</v>
      </c>
      <c r="C347" s="143">
        <v>2413304</v>
      </c>
    </row>
    <row r="348" spans="1:3">
      <c r="A348" s="18">
        <v>100345</v>
      </c>
      <c r="B348" s="141" t="str">
        <f t="shared" si="5"/>
        <v>explorationFinishEvent{eventId:100344,count:1}</v>
      </c>
      <c r="C348" s="143">
        <v>2413401</v>
      </c>
    </row>
    <row r="349" spans="1:3">
      <c r="A349" s="18">
        <v>100346</v>
      </c>
      <c r="B349" s="141" t="str">
        <f t="shared" si="5"/>
        <v>explorationFinishEvent{eventId:100345,count:1}</v>
      </c>
      <c r="C349" s="143">
        <v>2413402</v>
      </c>
    </row>
    <row r="350" spans="1:3">
      <c r="A350" s="18">
        <v>100347</v>
      </c>
      <c r="B350" s="141" t="str">
        <f t="shared" si="5"/>
        <v>explorationFinishEvent{eventId:100346,count:1}</v>
      </c>
      <c r="C350" s="143">
        <v>2413403</v>
      </c>
    </row>
    <row r="351" spans="1:3">
      <c r="A351" s="18">
        <v>100348</v>
      </c>
      <c r="B351" s="141" t="str">
        <f t="shared" si="5"/>
        <v>explorationFinishEvent{eventId:100347,count:1}</v>
      </c>
      <c r="C351" s="143">
        <v>2413404</v>
      </c>
    </row>
    <row r="352" spans="1:3">
      <c r="A352" s="18">
        <v>100349</v>
      </c>
      <c r="B352" s="141" t="str">
        <f t="shared" si="5"/>
        <v>explorationFinishEvent{eventId:100348,count:1}</v>
      </c>
      <c r="C352" s="143">
        <v>2413501</v>
      </c>
    </row>
    <row r="353" spans="1:3">
      <c r="A353" s="18">
        <v>100350</v>
      </c>
      <c r="B353" s="141" t="str">
        <f t="shared" si="5"/>
        <v>explorationFinishEvent{eventId:100349,count:1}</v>
      </c>
      <c r="C353" s="143">
        <v>2413502</v>
      </c>
    </row>
    <row r="354" spans="1:3">
      <c r="A354" s="18">
        <v>100351</v>
      </c>
      <c r="B354" s="141" t="str">
        <f t="shared" si="5"/>
        <v>explorationFinishEvent{eventId:100350,count:1}</v>
      </c>
      <c r="C354" s="143">
        <v>2413503</v>
      </c>
    </row>
    <row r="355" spans="1:3">
      <c r="A355" s="18">
        <v>100352</v>
      </c>
      <c r="B355" s="141" t="str">
        <f t="shared" si="5"/>
        <v>explorationFinishEvent{eventId:100351,count:1}</v>
      </c>
      <c r="C355" s="143">
        <v>2413504</v>
      </c>
    </row>
    <row r="356" spans="1:3">
      <c r="A356" s="18">
        <v>100353</v>
      </c>
      <c r="B356" s="141" t="str">
        <f t="shared" si="5"/>
        <v>explorationFinishEvent{eventId:100352,count:1}</v>
      </c>
      <c r="C356" s="143">
        <v>2413601</v>
      </c>
    </row>
    <row r="357" spans="1:3">
      <c r="A357" s="18">
        <v>100354</v>
      </c>
      <c r="B357" s="141" t="str">
        <f t="shared" si="5"/>
        <v>explorationFinishEvent{eventId:100353,count:1}</v>
      </c>
      <c r="C357" s="143">
        <v>2413602</v>
      </c>
    </row>
    <row r="358" spans="1:3">
      <c r="A358" s="18">
        <v>100355</v>
      </c>
      <c r="B358" s="141" t="str">
        <f t="shared" si="5"/>
        <v>explorationFinishEvent{eventId:100354,count:1}</v>
      </c>
      <c r="C358" s="143">
        <v>2413603</v>
      </c>
    </row>
    <row r="359" spans="1:3">
      <c r="A359" s="18">
        <v>100356</v>
      </c>
      <c r="B359" s="141" t="str">
        <f t="shared" si="5"/>
        <v>explorationFinishEvent{eventId:100355,count:1}</v>
      </c>
      <c r="C359" s="143">
        <v>2413604</v>
      </c>
    </row>
    <row r="360" spans="1:3">
      <c r="A360" s="18">
        <v>100357</v>
      </c>
      <c r="B360" s="141" t="str">
        <f t="shared" si="5"/>
        <v>explorationFinishEvent{eventId:100356,count:1}</v>
      </c>
      <c r="C360" s="143">
        <v>2413701</v>
      </c>
    </row>
    <row r="361" spans="1:3">
      <c r="A361" s="18">
        <v>100358</v>
      </c>
      <c r="B361" s="141" t="str">
        <f t="shared" si="5"/>
        <v>explorationFinishEvent{eventId:100357,count:1}</v>
      </c>
      <c r="C361" s="143">
        <v>2413702</v>
      </c>
    </row>
    <row r="362" spans="1:3">
      <c r="A362" s="18">
        <v>100359</v>
      </c>
      <c r="B362" s="141" t="str">
        <f t="shared" si="5"/>
        <v>explorationFinishEvent{eventId:100358,count:1}</v>
      </c>
      <c r="C362" s="143">
        <v>2413703</v>
      </c>
    </row>
    <row r="363" spans="1:3">
      <c r="A363" s="18">
        <v>100360</v>
      </c>
      <c r="B363" s="141" t="str">
        <f t="shared" si="5"/>
        <v>explorationFinishEvent{eventId:100359,count:1}</v>
      </c>
      <c r="C363" s="143">
        <v>2413704</v>
      </c>
    </row>
    <row r="364" spans="1:3">
      <c r="A364" s="18">
        <v>100361</v>
      </c>
      <c r="B364" s="141" t="str">
        <f t="shared" si="5"/>
        <v>explorationFinishEvent{eventId:100360,count:1}</v>
      </c>
      <c r="C364" s="143">
        <v>2413801</v>
      </c>
    </row>
    <row r="365" spans="1:3">
      <c r="A365" s="18">
        <v>100362</v>
      </c>
      <c r="B365" s="141" t="str">
        <f t="shared" si="5"/>
        <v>explorationFinishEvent{eventId:100361,count:1}</v>
      </c>
      <c r="C365" s="143">
        <v>2413802</v>
      </c>
    </row>
    <row r="366" spans="1:3">
      <c r="A366" s="18">
        <v>100363</v>
      </c>
      <c r="B366" s="141" t="str">
        <f t="shared" si="5"/>
        <v>explorationFinishEvent{eventId:100362,count:1}</v>
      </c>
      <c r="C366" s="143">
        <v>2413803</v>
      </c>
    </row>
    <row r="367" spans="1:3">
      <c r="A367" s="18">
        <v>100364</v>
      </c>
      <c r="B367" s="141" t="str">
        <f t="shared" si="5"/>
        <v>explorationFinishEvent{eventId:100363,count:1}</v>
      </c>
      <c r="C367" s="143">
        <v>2413804</v>
      </c>
    </row>
    <row r="368" spans="1:3">
      <c r="A368" s="18">
        <v>100365</v>
      </c>
      <c r="B368" s="141" t="str">
        <f t="shared" si="5"/>
        <v>explorationFinishEvent{eventId:100364,count:1}</v>
      </c>
      <c r="C368" s="143">
        <v>2413901</v>
      </c>
    </row>
    <row r="369" spans="1:3">
      <c r="A369" s="18">
        <v>100366</v>
      </c>
      <c r="B369" s="141" t="str">
        <f t="shared" si="5"/>
        <v>explorationFinishEvent{eventId:100365,count:1}</v>
      </c>
      <c r="C369" s="143">
        <v>2413902</v>
      </c>
    </row>
    <row r="370" spans="1:3">
      <c r="A370" s="18">
        <v>100367</v>
      </c>
      <c r="B370" s="141" t="str">
        <f t="shared" si="5"/>
        <v>explorationFinishEvent{eventId:100366,count:1}</v>
      </c>
      <c r="C370" s="143">
        <v>2413903</v>
      </c>
    </row>
    <row r="371" spans="1:3">
      <c r="A371" s="18">
        <v>100368</v>
      </c>
      <c r="B371" s="141" t="str">
        <f t="shared" si="5"/>
        <v>explorationFinishEvent{eventId:100367,count:1}</v>
      </c>
      <c r="C371" s="143">
        <v>2413904</v>
      </c>
    </row>
    <row r="372" spans="1:3">
      <c r="A372" s="18">
        <v>100369</v>
      </c>
      <c r="B372" s="141" t="str">
        <f t="shared" si="5"/>
        <v>explorationFinishEvent{eventId:100368,count:1}</v>
      </c>
      <c r="C372" s="143">
        <v>2414001</v>
      </c>
    </row>
    <row r="373" spans="1:3">
      <c r="A373" s="18">
        <v>100370</v>
      </c>
      <c r="B373" s="141" t="str">
        <f t="shared" si="5"/>
        <v>explorationFinishEvent{eventId:100369,count:1}</v>
      </c>
      <c r="C373" s="143">
        <v>2414002</v>
      </c>
    </row>
    <row r="374" spans="1:3">
      <c r="A374" s="18">
        <v>100371</v>
      </c>
      <c r="B374" s="141" t="str">
        <f t="shared" si="5"/>
        <v>explorationFinishEvent{eventId:100370,count:1}</v>
      </c>
      <c r="C374" s="143">
        <v>2414003</v>
      </c>
    </row>
    <row r="375" spans="1:3">
      <c r="A375" s="18">
        <v>100372</v>
      </c>
      <c r="B375" s="141" t="str">
        <f t="shared" si="5"/>
        <v>explorationFinishEvent{eventId:100371,count:1}</v>
      </c>
      <c r="C375" s="143">
        <v>2414004</v>
      </c>
    </row>
    <row r="376" spans="1:3">
      <c r="A376" s="18">
        <v>100373</v>
      </c>
      <c r="B376" s="141" t="str">
        <f t="shared" si="5"/>
        <v>explorationFinishEvent{eventId:100372,count:1}</v>
      </c>
      <c r="C376" s="143">
        <v>2414101</v>
      </c>
    </row>
    <row r="377" spans="1:3">
      <c r="A377" s="18">
        <v>100374</v>
      </c>
      <c r="B377" s="141" t="str">
        <f t="shared" si="5"/>
        <v>explorationFinishEvent{eventId:100373,count:1}</v>
      </c>
      <c r="C377" s="143">
        <v>2414102</v>
      </c>
    </row>
    <row r="378" spans="1:3">
      <c r="A378" s="18">
        <v>100375</v>
      </c>
      <c r="B378" s="141" t="str">
        <f t="shared" si="5"/>
        <v>explorationFinishEvent{eventId:100374,count:1}</v>
      </c>
      <c r="C378" s="143">
        <v>2414103</v>
      </c>
    </row>
    <row r="379" spans="1:3">
      <c r="A379" s="18">
        <v>100376</v>
      </c>
      <c r="B379" s="141" t="str">
        <f t="shared" si="5"/>
        <v>explorationFinishEvent{eventId:100375,count:1}</v>
      </c>
      <c r="C379" s="143">
        <v>2414104</v>
      </c>
    </row>
    <row r="380" spans="1:3">
      <c r="A380" s="18">
        <v>100377</v>
      </c>
      <c r="B380" s="141" t="str">
        <f t="shared" si="5"/>
        <v>explorationFinishEvent{eventId:100376,count:1}</v>
      </c>
      <c r="C380" s="143">
        <v>2414201</v>
      </c>
    </row>
    <row r="381" spans="1:3">
      <c r="A381" s="18">
        <v>100378</v>
      </c>
      <c r="B381" s="141" t="str">
        <f t="shared" si="5"/>
        <v>explorationFinishEvent{eventId:100377,count:1}</v>
      </c>
      <c r="C381" s="143">
        <v>2414202</v>
      </c>
    </row>
    <row r="382" spans="1:3">
      <c r="A382" s="18">
        <v>100379</v>
      </c>
      <c r="B382" s="141" t="str">
        <f t="shared" si="5"/>
        <v>explorationFinishEvent{eventId:100378,count:1}</v>
      </c>
      <c r="C382" s="143">
        <v>2414203</v>
      </c>
    </row>
    <row r="383" spans="1:3">
      <c r="A383" s="18">
        <v>100380</v>
      </c>
      <c r="B383" s="141" t="str">
        <f t="shared" si="5"/>
        <v>explorationFinishEvent{eventId:100379,count:1}</v>
      </c>
      <c r="C383" s="143">
        <v>2414204</v>
      </c>
    </row>
    <row r="384" spans="1:3">
      <c r="A384" s="18">
        <v>100381</v>
      </c>
      <c r="B384" s="141" t="str">
        <f t="shared" si="5"/>
        <v>explorationFinishEvent{eventId:100380,count:1}</v>
      </c>
      <c r="C384" s="143">
        <v>2414301</v>
      </c>
    </row>
    <row r="385" spans="1:3">
      <c r="A385" s="18">
        <v>100382</v>
      </c>
      <c r="B385" s="141" t="str">
        <f t="shared" si="5"/>
        <v>explorationFinishEvent{eventId:100381,count:1}</v>
      </c>
      <c r="C385" s="143">
        <v>2414302</v>
      </c>
    </row>
    <row r="386" spans="1:3">
      <c r="A386" s="18">
        <v>100383</v>
      </c>
      <c r="B386" s="141" t="str">
        <f t="shared" si="5"/>
        <v>explorationFinishEvent{eventId:100382,count:1}</v>
      </c>
      <c r="C386" s="143">
        <v>2414303</v>
      </c>
    </row>
    <row r="387" spans="1:3">
      <c r="A387" s="18">
        <v>100384</v>
      </c>
      <c r="B387" s="141" t="str">
        <f t="shared" si="5"/>
        <v>explorationFinishEvent{eventId:100383,count:1}</v>
      </c>
      <c r="C387" s="143">
        <v>2414304</v>
      </c>
    </row>
    <row r="388" spans="1:3">
      <c r="A388" s="18">
        <v>100385</v>
      </c>
      <c r="B388" s="141" t="str">
        <f t="shared" si="5"/>
        <v>explorationFinishEvent{eventId:100384,count:1}</v>
      </c>
      <c r="C388" s="143">
        <v>2414401</v>
      </c>
    </row>
    <row r="389" spans="1:3">
      <c r="A389" s="18">
        <v>100386</v>
      </c>
      <c r="B389" s="141" t="str">
        <f t="shared" si="5"/>
        <v>explorationFinishEvent{eventId:100385,count:1}</v>
      </c>
      <c r="C389" s="143">
        <v>2414402</v>
      </c>
    </row>
    <row r="390" spans="1:3">
      <c r="A390" s="18">
        <v>100387</v>
      </c>
      <c r="B390" s="141" t="str">
        <f t="shared" si="5"/>
        <v>explorationFinishEvent{eventId:100386,count:1}</v>
      </c>
      <c r="C390" s="143">
        <v>2414403</v>
      </c>
    </row>
    <row r="391" spans="1:3">
      <c r="A391" s="18">
        <v>100388</v>
      </c>
      <c r="B391" s="141" t="str">
        <f t="shared" si="5"/>
        <v>explorationFinishEvent{eventId:100387,count:1}</v>
      </c>
      <c r="C391" s="143">
        <v>2414404</v>
      </c>
    </row>
    <row r="392" spans="1:3">
      <c r="A392" s="18">
        <v>100389</v>
      </c>
      <c r="B392" s="141" t="str">
        <f t="shared" si="5"/>
        <v>explorationFinishEvent{eventId:100388,count:1}</v>
      </c>
      <c r="C392" s="143">
        <v>2414501</v>
      </c>
    </row>
    <row r="393" spans="1:3">
      <c r="A393" s="18">
        <v>100390</v>
      </c>
      <c r="B393" s="141" t="str">
        <f t="shared" si="5"/>
        <v>explorationFinishEvent{eventId:100389,count:1}</v>
      </c>
      <c r="C393" s="143">
        <v>2414502</v>
      </c>
    </row>
    <row r="394" spans="1:3">
      <c r="A394" s="18">
        <v>100391</v>
      </c>
      <c r="B394" s="141" t="str">
        <f t="shared" si="5"/>
        <v>explorationFinishEvent{eventId:100390,count:1}</v>
      </c>
      <c r="C394" s="143">
        <v>2414503</v>
      </c>
    </row>
    <row r="395" spans="1:3">
      <c r="A395" s="18">
        <v>100392</v>
      </c>
      <c r="B395" s="141" t="str">
        <f t="shared" si="5"/>
        <v>explorationFinishEvent{eventId:100391,count:1}</v>
      </c>
      <c r="C395" s="143">
        <v>2414504</v>
      </c>
    </row>
    <row r="396" spans="1:3">
      <c r="A396" s="18">
        <v>100393</v>
      </c>
      <c r="B396" s="141" t="str">
        <f t="shared" si="5"/>
        <v>explorationFinishEvent{eventId:100392,count:1}</v>
      </c>
      <c r="C396" s="143">
        <v>2414601</v>
      </c>
    </row>
    <row r="397" spans="1:3">
      <c r="A397" s="18">
        <v>100394</v>
      </c>
      <c r="B397" s="141" t="str">
        <f t="shared" ref="B397:B460" si="6">"explorationFinishEvent{eventId:"&amp;A395+1&amp;",count:1}"</f>
        <v>explorationFinishEvent{eventId:100393,count:1}</v>
      </c>
      <c r="C397" s="143">
        <v>2414602</v>
      </c>
    </row>
    <row r="398" spans="1:3">
      <c r="A398" s="18">
        <v>100395</v>
      </c>
      <c r="B398" s="141" t="str">
        <f t="shared" si="6"/>
        <v>explorationFinishEvent{eventId:100394,count:1}</v>
      </c>
      <c r="C398" s="143">
        <v>2414603</v>
      </c>
    </row>
    <row r="399" spans="1:3">
      <c r="A399" s="18">
        <v>100396</v>
      </c>
      <c r="B399" s="141" t="str">
        <f t="shared" si="6"/>
        <v>explorationFinishEvent{eventId:100395,count:1}</v>
      </c>
      <c r="C399" s="143">
        <v>2414604</v>
      </c>
    </row>
    <row r="400" spans="1:3">
      <c r="A400" s="18">
        <v>100397</v>
      </c>
      <c r="B400" s="141" t="str">
        <f t="shared" si="6"/>
        <v>explorationFinishEvent{eventId:100396,count:1}</v>
      </c>
      <c r="C400" s="143">
        <v>2414701</v>
      </c>
    </row>
    <row r="401" spans="1:3">
      <c r="A401" s="18">
        <v>100398</v>
      </c>
      <c r="B401" s="141" t="str">
        <f t="shared" si="6"/>
        <v>explorationFinishEvent{eventId:100397,count:1}</v>
      </c>
      <c r="C401" s="143">
        <v>2414702</v>
      </c>
    </row>
    <row r="402" spans="1:3">
      <c r="A402" s="18">
        <v>100399</v>
      </c>
      <c r="B402" s="141" t="str">
        <f t="shared" si="6"/>
        <v>explorationFinishEvent{eventId:100398,count:1}</v>
      </c>
      <c r="C402" s="143">
        <v>2414703</v>
      </c>
    </row>
    <row r="403" spans="1:3">
      <c r="A403" s="18">
        <v>100400</v>
      </c>
      <c r="B403" s="141" t="str">
        <f t="shared" si="6"/>
        <v>explorationFinishEvent{eventId:100399,count:1}</v>
      </c>
      <c r="C403" s="143">
        <v>2414704</v>
      </c>
    </row>
    <row r="404" spans="1:3">
      <c r="A404" s="18">
        <v>100401</v>
      </c>
      <c r="B404" s="141" t="str">
        <f t="shared" si="6"/>
        <v>explorationFinishEvent{eventId:100400,count:1}</v>
      </c>
      <c r="C404" s="143">
        <v>2414801</v>
      </c>
    </row>
    <row r="405" spans="1:3">
      <c r="A405" s="18">
        <v>100402</v>
      </c>
      <c r="B405" s="141" t="str">
        <f t="shared" si="6"/>
        <v>explorationFinishEvent{eventId:100401,count:1}</v>
      </c>
      <c r="C405" s="143">
        <v>2414802</v>
      </c>
    </row>
    <row r="406" spans="1:3">
      <c r="A406" s="18">
        <v>100403</v>
      </c>
      <c r="B406" s="141" t="str">
        <f t="shared" si="6"/>
        <v>explorationFinishEvent{eventId:100402,count:1}</v>
      </c>
      <c r="C406" s="143">
        <v>2414803</v>
      </c>
    </row>
    <row r="407" spans="1:3">
      <c r="A407" s="18">
        <v>100404</v>
      </c>
      <c r="B407" s="141" t="str">
        <f t="shared" si="6"/>
        <v>explorationFinishEvent{eventId:100403,count:1}</v>
      </c>
      <c r="C407" s="143">
        <v>2414804</v>
      </c>
    </row>
    <row r="408" spans="1:3">
      <c r="A408" s="18">
        <v>100405</v>
      </c>
      <c r="B408" s="141" t="str">
        <f t="shared" si="6"/>
        <v>explorationFinishEvent{eventId:100404,count:1}</v>
      </c>
      <c r="C408" s="143">
        <v>2414901</v>
      </c>
    </row>
    <row r="409" spans="1:3">
      <c r="A409" s="18">
        <v>100406</v>
      </c>
      <c r="B409" s="141" t="str">
        <f t="shared" si="6"/>
        <v>explorationFinishEvent{eventId:100405,count:1}</v>
      </c>
      <c r="C409" s="143">
        <v>2414902</v>
      </c>
    </row>
    <row r="410" spans="1:3">
      <c r="A410" s="18">
        <v>100407</v>
      </c>
      <c r="B410" s="141" t="str">
        <f t="shared" si="6"/>
        <v>explorationFinishEvent{eventId:100406,count:1}</v>
      </c>
      <c r="C410" s="143">
        <v>2414903</v>
      </c>
    </row>
    <row r="411" spans="1:3">
      <c r="A411" s="18">
        <v>100408</v>
      </c>
      <c r="B411" s="141" t="str">
        <f t="shared" si="6"/>
        <v>explorationFinishEvent{eventId:100407,count:1}</v>
      </c>
      <c r="C411" s="143">
        <v>2414904</v>
      </c>
    </row>
    <row r="412" spans="1:3">
      <c r="A412" s="18">
        <v>100409</v>
      </c>
      <c r="B412" s="141" t="str">
        <f t="shared" si="6"/>
        <v>explorationFinishEvent{eventId:100408,count:1}</v>
      </c>
      <c r="C412" s="143">
        <v>2415001</v>
      </c>
    </row>
    <row r="413" spans="1:3">
      <c r="A413" s="18">
        <v>100410</v>
      </c>
      <c r="B413" s="141" t="str">
        <f t="shared" si="6"/>
        <v>explorationFinishEvent{eventId:100409,count:1}</v>
      </c>
      <c r="C413" s="143">
        <v>2415002</v>
      </c>
    </row>
    <row r="414" spans="1:3">
      <c r="A414" s="18">
        <v>100411</v>
      </c>
      <c r="B414" s="141" t="str">
        <f t="shared" si="6"/>
        <v>explorationFinishEvent{eventId:100410,count:1}</v>
      </c>
      <c r="C414" s="143">
        <v>2415003</v>
      </c>
    </row>
    <row r="415" spans="1:3">
      <c r="A415" s="18">
        <v>100412</v>
      </c>
      <c r="B415" s="141" t="str">
        <f t="shared" si="6"/>
        <v>explorationFinishEvent{eventId:100411,count:1}</v>
      </c>
      <c r="C415" s="143">
        <v>2415004</v>
      </c>
    </row>
    <row r="416" spans="1:3">
      <c r="A416" s="18">
        <v>100413</v>
      </c>
      <c r="B416" s="141" t="str">
        <f t="shared" si="6"/>
        <v>explorationFinishEvent{eventId:100412,count:1}</v>
      </c>
      <c r="C416" s="143">
        <v>2415101</v>
      </c>
    </row>
    <row r="417" spans="1:3">
      <c r="A417" s="18">
        <v>100414</v>
      </c>
      <c r="B417" s="141" t="str">
        <f t="shared" si="6"/>
        <v>explorationFinishEvent{eventId:100413,count:1}</v>
      </c>
      <c r="C417" s="143">
        <v>2415102</v>
      </c>
    </row>
    <row r="418" spans="1:3">
      <c r="A418" s="18">
        <v>100415</v>
      </c>
      <c r="B418" s="141" t="str">
        <f t="shared" si="6"/>
        <v>explorationFinishEvent{eventId:100414,count:1}</v>
      </c>
      <c r="C418" s="143">
        <v>2415103</v>
      </c>
    </row>
    <row r="419" spans="1:3">
      <c r="A419" s="18">
        <v>100416</v>
      </c>
      <c r="B419" s="141" t="str">
        <f t="shared" si="6"/>
        <v>explorationFinishEvent{eventId:100415,count:1}</v>
      </c>
      <c r="C419" s="143">
        <v>2415104</v>
      </c>
    </row>
    <row r="420" spans="1:3">
      <c r="A420" s="18">
        <v>100417</v>
      </c>
      <c r="B420" s="141" t="str">
        <f t="shared" si="6"/>
        <v>explorationFinishEvent{eventId:100416,count:1}</v>
      </c>
      <c r="C420" s="143">
        <v>2415201</v>
      </c>
    </row>
    <row r="421" spans="1:3">
      <c r="A421" s="18">
        <v>100418</v>
      </c>
      <c r="B421" s="141" t="str">
        <f t="shared" si="6"/>
        <v>explorationFinishEvent{eventId:100417,count:1}</v>
      </c>
      <c r="C421" s="143">
        <v>2415202</v>
      </c>
    </row>
    <row r="422" spans="1:3">
      <c r="A422" s="18">
        <v>100419</v>
      </c>
      <c r="B422" s="141" t="str">
        <f t="shared" si="6"/>
        <v>explorationFinishEvent{eventId:100418,count:1}</v>
      </c>
      <c r="C422" s="143">
        <v>2415203</v>
      </c>
    </row>
    <row r="423" spans="1:3">
      <c r="A423" s="18">
        <v>100420</v>
      </c>
      <c r="B423" s="141" t="str">
        <f t="shared" si="6"/>
        <v>explorationFinishEvent{eventId:100419,count:1}</v>
      </c>
      <c r="C423" s="143">
        <v>2415204</v>
      </c>
    </row>
    <row r="424" spans="1:3">
      <c r="A424" s="18">
        <v>100421</v>
      </c>
      <c r="B424" s="141" t="str">
        <f t="shared" si="6"/>
        <v>explorationFinishEvent{eventId:100420,count:1}</v>
      </c>
      <c r="C424" s="143">
        <v>2415301</v>
      </c>
    </row>
    <row r="425" spans="1:3">
      <c r="A425" s="18">
        <v>100422</v>
      </c>
      <c r="B425" s="141" t="str">
        <f t="shared" si="6"/>
        <v>explorationFinishEvent{eventId:100421,count:1}</v>
      </c>
      <c r="C425" s="143">
        <v>2415302</v>
      </c>
    </row>
    <row r="426" spans="1:3">
      <c r="A426" s="18">
        <v>100423</v>
      </c>
      <c r="B426" s="141" t="str">
        <f t="shared" si="6"/>
        <v>explorationFinishEvent{eventId:100422,count:1}</v>
      </c>
      <c r="C426" s="143">
        <v>2415303</v>
      </c>
    </row>
    <row r="427" spans="1:3">
      <c r="A427" s="18">
        <v>100424</v>
      </c>
      <c r="B427" s="141" t="str">
        <f t="shared" si="6"/>
        <v>explorationFinishEvent{eventId:100423,count:1}</v>
      </c>
      <c r="C427" s="143">
        <v>2415304</v>
      </c>
    </row>
    <row r="428" spans="1:3">
      <c r="A428" s="18">
        <v>100425</v>
      </c>
      <c r="B428" s="141" t="str">
        <f t="shared" si="6"/>
        <v>explorationFinishEvent{eventId:100424,count:1}</v>
      </c>
      <c r="C428" s="143">
        <v>2415401</v>
      </c>
    </row>
    <row r="429" spans="1:3">
      <c r="A429" s="18">
        <v>100426</v>
      </c>
      <c r="B429" s="141" t="str">
        <f t="shared" si="6"/>
        <v>explorationFinishEvent{eventId:100425,count:1}</v>
      </c>
      <c r="C429" s="143">
        <v>2415402</v>
      </c>
    </row>
    <row r="430" spans="1:3">
      <c r="A430" s="18">
        <v>100427</v>
      </c>
      <c r="B430" s="141" t="str">
        <f t="shared" si="6"/>
        <v>explorationFinishEvent{eventId:100426,count:1}</v>
      </c>
      <c r="C430" s="143">
        <v>2415403</v>
      </c>
    </row>
    <row r="431" spans="1:3">
      <c r="A431" s="18">
        <v>100428</v>
      </c>
      <c r="B431" s="141" t="str">
        <f t="shared" si="6"/>
        <v>explorationFinishEvent{eventId:100427,count:1}</v>
      </c>
      <c r="C431" s="143">
        <v>2415404</v>
      </c>
    </row>
    <row r="432" spans="1:3">
      <c r="A432" s="18">
        <v>100429</v>
      </c>
      <c r="B432" s="141" t="str">
        <f t="shared" si="6"/>
        <v>explorationFinishEvent{eventId:100428,count:1}</v>
      </c>
      <c r="C432" s="143">
        <v>2415501</v>
      </c>
    </row>
    <row r="433" spans="1:3">
      <c r="A433" s="18">
        <v>100430</v>
      </c>
      <c r="B433" s="141" t="str">
        <f t="shared" si="6"/>
        <v>explorationFinishEvent{eventId:100429,count:1}</v>
      </c>
      <c r="C433" s="143">
        <v>2415502</v>
      </c>
    </row>
    <row r="434" spans="1:3">
      <c r="A434" s="18">
        <v>100431</v>
      </c>
      <c r="B434" s="141" t="str">
        <f t="shared" si="6"/>
        <v>explorationFinishEvent{eventId:100430,count:1}</v>
      </c>
      <c r="C434" s="143">
        <v>2415503</v>
      </c>
    </row>
    <row r="435" spans="1:3">
      <c r="A435" s="18">
        <v>100432</v>
      </c>
      <c r="B435" s="141" t="str">
        <f t="shared" si="6"/>
        <v>explorationFinishEvent{eventId:100431,count:1}</v>
      </c>
      <c r="C435" s="143">
        <v>2415504</v>
      </c>
    </row>
    <row r="436" spans="1:3">
      <c r="A436" s="18">
        <v>100433</v>
      </c>
      <c r="B436" s="141" t="str">
        <f t="shared" si="6"/>
        <v>explorationFinishEvent{eventId:100432,count:1}</v>
      </c>
      <c r="C436" s="143">
        <v>2415601</v>
      </c>
    </row>
    <row r="437" spans="1:3">
      <c r="A437" s="18">
        <v>100434</v>
      </c>
      <c r="B437" s="141" t="str">
        <f t="shared" si="6"/>
        <v>explorationFinishEvent{eventId:100433,count:1}</v>
      </c>
      <c r="C437" s="143">
        <v>2415602</v>
      </c>
    </row>
    <row r="438" spans="1:3">
      <c r="A438" s="18">
        <v>100435</v>
      </c>
      <c r="B438" s="141" t="str">
        <f t="shared" si="6"/>
        <v>explorationFinishEvent{eventId:100434,count:1}</v>
      </c>
      <c r="C438" s="143">
        <v>2415603</v>
      </c>
    </row>
    <row r="439" spans="1:3">
      <c r="A439" s="18">
        <v>100436</v>
      </c>
      <c r="B439" s="141" t="str">
        <f t="shared" si="6"/>
        <v>explorationFinishEvent{eventId:100435,count:1}</v>
      </c>
      <c r="C439" s="143">
        <v>2415604</v>
      </c>
    </row>
    <row r="440" spans="1:3">
      <c r="A440" s="18">
        <v>100437</v>
      </c>
      <c r="B440" s="141" t="str">
        <f t="shared" si="6"/>
        <v>explorationFinishEvent{eventId:100436,count:1}</v>
      </c>
      <c r="C440" s="143">
        <v>2415701</v>
      </c>
    </row>
    <row r="441" spans="1:3">
      <c r="A441" s="18">
        <v>100438</v>
      </c>
      <c r="B441" s="141" t="str">
        <f t="shared" si="6"/>
        <v>explorationFinishEvent{eventId:100437,count:1}</v>
      </c>
      <c r="C441" s="143">
        <v>2415702</v>
      </c>
    </row>
    <row r="442" spans="1:3">
      <c r="A442" s="18">
        <v>100439</v>
      </c>
      <c r="B442" s="141" t="str">
        <f t="shared" si="6"/>
        <v>explorationFinishEvent{eventId:100438,count:1}</v>
      </c>
      <c r="C442" s="143">
        <v>2415703</v>
      </c>
    </row>
    <row r="443" spans="1:3">
      <c r="A443" s="18">
        <v>100440</v>
      </c>
      <c r="B443" s="141" t="str">
        <f t="shared" si="6"/>
        <v>explorationFinishEvent{eventId:100439,count:1}</v>
      </c>
      <c r="C443" s="143">
        <v>2415704</v>
      </c>
    </row>
    <row r="444" spans="1:3">
      <c r="A444" s="18">
        <v>100441</v>
      </c>
      <c r="B444" s="141" t="str">
        <f t="shared" si="6"/>
        <v>explorationFinishEvent{eventId:100440,count:1}</v>
      </c>
      <c r="C444" s="143">
        <v>2415801</v>
      </c>
    </row>
    <row r="445" spans="1:3">
      <c r="A445" s="18">
        <v>100442</v>
      </c>
      <c r="B445" s="141" t="str">
        <f t="shared" si="6"/>
        <v>explorationFinishEvent{eventId:100441,count:1}</v>
      </c>
      <c r="C445" s="143">
        <v>2415802</v>
      </c>
    </row>
    <row r="446" spans="1:3">
      <c r="A446" s="18">
        <v>100443</v>
      </c>
      <c r="B446" s="141" t="str">
        <f t="shared" si="6"/>
        <v>explorationFinishEvent{eventId:100442,count:1}</v>
      </c>
      <c r="C446" s="143">
        <v>2415803</v>
      </c>
    </row>
    <row r="447" spans="1:3">
      <c r="A447" s="18">
        <v>100444</v>
      </c>
      <c r="B447" s="141" t="str">
        <f t="shared" si="6"/>
        <v>explorationFinishEvent{eventId:100443,count:1}</v>
      </c>
      <c r="C447" s="143">
        <v>2415804</v>
      </c>
    </row>
    <row r="448" spans="1:3">
      <c r="A448" s="18">
        <v>100445</v>
      </c>
      <c r="B448" s="141" t="str">
        <f t="shared" si="6"/>
        <v>explorationFinishEvent{eventId:100444,count:1}</v>
      </c>
      <c r="C448" s="143">
        <v>2415901</v>
      </c>
    </row>
    <row r="449" spans="1:3">
      <c r="A449" s="18">
        <v>100446</v>
      </c>
      <c r="B449" s="141" t="str">
        <f t="shared" si="6"/>
        <v>explorationFinishEvent{eventId:100445,count:1}</v>
      </c>
      <c r="C449" s="143">
        <v>2415902</v>
      </c>
    </row>
    <row r="450" spans="1:3">
      <c r="A450" s="18">
        <v>100447</v>
      </c>
      <c r="B450" s="141" t="str">
        <f t="shared" si="6"/>
        <v>explorationFinishEvent{eventId:100446,count:1}</v>
      </c>
      <c r="C450" s="143">
        <v>2415903</v>
      </c>
    </row>
    <row r="451" spans="1:3">
      <c r="A451" s="18">
        <v>100448</v>
      </c>
      <c r="B451" s="141" t="str">
        <f t="shared" si="6"/>
        <v>explorationFinishEvent{eventId:100447,count:1}</v>
      </c>
      <c r="C451" s="143">
        <v>2415904</v>
      </c>
    </row>
    <row r="452" spans="1:3">
      <c r="A452" s="18">
        <v>100449</v>
      </c>
      <c r="B452" s="141" t="str">
        <f t="shared" si="6"/>
        <v>explorationFinishEvent{eventId:100448,count:1}</v>
      </c>
      <c r="C452" s="143">
        <v>2416001</v>
      </c>
    </row>
    <row r="453" spans="1:3">
      <c r="A453" s="18">
        <v>100450</v>
      </c>
      <c r="B453" s="141" t="str">
        <f t="shared" si="6"/>
        <v>explorationFinishEvent{eventId:100449,count:1}</v>
      </c>
      <c r="C453" s="143">
        <v>2416002</v>
      </c>
    </row>
    <row r="454" spans="1:3">
      <c r="A454" s="18">
        <v>100451</v>
      </c>
      <c r="B454" s="141" t="str">
        <f t="shared" si="6"/>
        <v>explorationFinishEvent{eventId:100450,count:1}</v>
      </c>
      <c r="C454" s="143">
        <v>2416003</v>
      </c>
    </row>
    <row r="455" spans="1:3">
      <c r="A455" s="18">
        <v>100452</v>
      </c>
      <c r="B455" s="141" t="str">
        <f t="shared" si="6"/>
        <v>explorationFinishEvent{eventId:100451,count:1}</v>
      </c>
      <c r="C455" s="143">
        <v>2416004</v>
      </c>
    </row>
    <row r="456" spans="1:3">
      <c r="A456" s="18">
        <v>100453</v>
      </c>
      <c r="B456" s="141" t="str">
        <f t="shared" si="6"/>
        <v>explorationFinishEvent{eventId:100452,count:1}</v>
      </c>
      <c r="C456" s="143">
        <v>2416101</v>
      </c>
    </row>
    <row r="457" spans="1:3">
      <c r="A457" s="18">
        <v>100454</v>
      </c>
      <c r="B457" s="141" t="str">
        <f t="shared" si="6"/>
        <v>explorationFinishEvent{eventId:100453,count:1}</v>
      </c>
      <c r="C457" s="143">
        <v>2416102</v>
      </c>
    </row>
    <row r="458" spans="1:3">
      <c r="A458" s="18">
        <v>100455</v>
      </c>
      <c r="B458" s="141" t="str">
        <f t="shared" si="6"/>
        <v>explorationFinishEvent{eventId:100454,count:1}</v>
      </c>
      <c r="C458" s="143">
        <v>2416103</v>
      </c>
    </row>
    <row r="459" spans="1:3">
      <c r="A459" s="18">
        <v>100456</v>
      </c>
      <c r="B459" s="141" t="str">
        <f t="shared" si="6"/>
        <v>explorationFinishEvent{eventId:100455,count:1}</v>
      </c>
      <c r="C459" s="143">
        <v>2416104</v>
      </c>
    </row>
    <row r="460" spans="1:3">
      <c r="A460" s="18">
        <v>100457</v>
      </c>
      <c r="B460" s="141" t="str">
        <f t="shared" si="6"/>
        <v>explorationFinishEvent{eventId:100456,count:1}</v>
      </c>
      <c r="C460" s="143">
        <v>2416201</v>
      </c>
    </row>
    <row r="461" spans="1:3">
      <c r="A461" s="18">
        <v>100458</v>
      </c>
      <c r="B461" s="141" t="str">
        <f t="shared" ref="B461:B524" si="7">"explorationFinishEvent{eventId:"&amp;A459+1&amp;",count:1}"</f>
        <v>explorationFinishEvent{eventId:100457,count:1}</v>
      </c>
      <c r="C461" s="143">
        <v>2416202</v>
      </c>
    </row>
    <row r="462" spans="1:3">
      <c r="A462" s="18">
        <v>100459</v>
      </c>
      <c r="B462" s="141" t="str">
        <f t="shared" si="7"/>
        <v>explorationFinishEvent{eventId:100458,count:1}</v>
      </c>
      <c r="C462" s="143">
        <v>2416203</v>
      </c>
    </row>
    <row r="463" spans="1:3">
      <c r="A463" s="18">
        <v>100460</v>
      </c>
      <c r="B463" s="141" t="str">
        <f t="shared" si="7"/>
        <v>explorationFinishEvent{eventId:100459,count:1}</v>
      </c>
      <c r="C463" s="143">
        <v>2416204</v>
      </c>
    </row>
    <row r="464" spans="1:3">
      <c r="A464" s="18">
        <v>100461</v>
      </c>
      <c r="B464" s="141" t="str">
        <f t="shared" si="7"/>
        <v>explorationFinishEvent{eventId:100460,count:1}</v>
      </c>
      <c r="C464" s="143">
        <v>2416301</v>
      </c>
    </row>
    <row r="465" spans="1:3">
      <c r="A465" s="18">
        <v>100462</v>
      </c>
      <c r="B465" s="141" t="str">
        <f t="shared" si="7"/>
        <v>explorationFinishEvent{eventId:100461,count:1}</v>
      </c>
      <c r="C465" s="143">
        <v>2416302</v>
      </c>
    </row>
    <row r="466" spans="1:3">
      <c r="A466" s="18">
        <v>100463</v>
      </c>
      <c r="B466" s="141" t="str">
        <f t="shared" si="7"/>
        <v>explorationFinishEvent{eventId:100462,count:1}</v>
      </c>
      <c r="C466" s="143">
        <v>2416303</v>
      </c>
    </row>
    <row r="467" spans="1:3">
      <c r="A467" s="18">
        <v>100464</v>
      </c>
      <c r="B467" s="141" t="str">
        <f t="shared" si="7"/>
        <v>explorationFinishEvent{eventId:100463,count:1}</v>
      </c>
      <c r="C467" s="143">
        <v>2416304</v>
      </c>
    </row>
    <row r="468" spans="1:3">
      <c r="A468" s="18">
        <v>100465</v>
      </c>
      <c r="B468" s="141" t="str">
        <f t="shared" si="7"/>
        <v>explorationFinishEvent{eventId:100464,count:1}</v>
      </c>
      <c r="C468" s="143">
        <v>2416401</v>
      </c>
    </row>
    <row r="469" spans="1:3">
      <c r="A469" s="18">
        <v>100466</v>
      </c>
      <c r="B469" s="141" t="str">
        <f t="shared" si="7"/>
        <v>explorationFinishEvent{eventId:100465,count:1}</v>
      </c>
      <c r="C469" s="143">
        <v>2416402</v>
      </c>
    </row>
    <row r="470" spans="1:3">
      <c r="A470" s="18">
        <v>100467</v>
      </c>
      <c r="B470" s="141" t="str">
        <f t="shared" si="7"/>
        <v>explorationFinishEvent{eventId:100466,count:1}</v>
      </c>
      <c r="C470" s="143">
        <v>2416403</v>
      </c>
    </row>
    <row r="471" spans="1:3">
      <c r="A471" s="18">
        <v>100468</v>
      </c>
      <c r="B471" s="141" t="str">
        <f t="shared" si="7"/>
        <v>explorationFinishEvent{eventId:100467,count:1}</v>
      </c>
      <c r="C471" s="143">
        <v>2416404</v>
      </c>
    </row>
    <row r="472" spans="1:3">
      <c r="A472" s="18">
        <v>100469</v>
      </c>
      <c r="B472" s="141" t="str">
        <f t="shared" si="7"/>
        <v>explorationFinishEvent{eventId:100468,count:1}</v>
      </c>
      <c r="C472" s="143">
        <v>2416501</v>
      </c>
    </row>
    <row r="473" spans="1:3">
      <c r="A473" s="18">
        <v>100470</v>
      </c>
      <c r="B473" s="141" t="str">
        <f t="shared" si="7"/>
        <v>explorationFinishEvent{eventId:100469,count:1}</v>
      </c>
      <c r="C473" s="143">
        <v>2416502</v>
      </c>
    </row>
    <row r="474" spans="1:3">
      <c r="A474" s="18">
        <v>100471</v>
      </c>
      <c r="B474" s="141" t="str">
        <f t="shared" si="7"/>
        <v>explorationFinishEvent{eventId:100470,count:1}</v>
      </c>
      <c r="C474" s="143">
        <v>2416503</v>
      </c>
    </row>
    <row r="475" spans="1:3">
      <c r="A475" s="18">
        <v>100472</v>
      </c>
      <c r="B475" s="141" t="str">
        <f t="shared" si="7"/>
        <v>explorationFinishEvent{eventId:100471,count:1}</v>
      </c>
      <c r="C475" s="143">
        <v>2416504</v>
      </c>
    </row>
    <row r="476" spans="1:3">
      <c r="A476" s="18">
        <v>100473</v>
      </c>
      <c r="B476" s="141" t="str">
        <f t="shared" si="7"/>
        <v>explorationFinishEvent{eventId:100472,count:1}</v>
      </c>
      <c r="C476" s="143">
        <v>2416601</v>
      </c>
    </row>
    <row r="477" spans="1:3">
      <c r="A477" s="18">
        <v>100474</v>
      </c>
      <c r="B477" s="141" t="str">
        <f t="shared" si="7"/>
        <v>explorationFinishEvent{eventId:100473,count:1}</v>
      </c>
      <c r="C477" s="143">
        <v>2416602</v>
      </c>
    </row>
    <row r="478" spans="1:3">
      <c r="A478" s="18">
        <v>100475</v>
      </c>
      <c r="B478" s="141" t="str">
        <f t="shared" si="7"/>
        <v>explorationFinishEvent{eventId:100474,count:1}</v>
      </c>
      <c r="C478" s="143">
        <v>2416603</v>
      </c>
    </row>
    <row r="479" spans="1:3">
      <c r="A479" s="18">
        <v>100476</v>
      </c>
      <c r="B479" s="141" t="str">
        <f t="shared" si="7"/>
        <v>explorationFinishEvent{eventId:100475,count:1}</v>
      </c>
      <c r="C479" s="143">
        <v>2416604</v>
      </c>
    </row>
    <row r="480" spans="1:3">
      <c r="A480" s="18">
        <v>100477</v>
      </c>
      <c r="B480" s="141" t="str">
        <f t="shared" si="7"/>
        <v>explorationFinishEvent{eventId:100476,count:1}</v>
      </c>
      <c r="C480" s="143">
        <v>2416701</v>
      </c>
    </row>
    <row r="481" spans="1:3">
      <c r="A481" s="18">
        <v>100478</v>
      </c>
      <c r="B481" s="141" t="str">
        <f t="shared" si="7"/>
        <v>explorationFinishEvent{eventId:100477,count:1}</v>
      </c>
      <c r="C481" s="143">
        <v>2416702</v>
      </c>
    </row>
    <row r="482" spans="1:3">
      <c r="A482" s="18">
        <v>100479</v>
      </c>
      <c r="B482" s="141" t="str">
        <f t="shared" si="7"/>
        <v>explorationFinishEvent{eventId:100478,count:1}</v>
      </c>
      <c r="C482" s="143">
        <v>2416703</v>
      </c>
    </row>
    <row r="483" spans="1:3">
      <c r="A483" s="18">
        <v>100480</v>
      </c>
      <c r="B483" s="141" t="str">
        <f t="shared" si="7"/>
        <v>explorationFinishEvent{eventId:100479,count:1}</v>
      </c>
      <c r="C483" s="143">
        <v>2416704</v>
      </c>
    </row>
    <row r="484" spans="1:3">
      <c r="A484" s="18">
        <v>100481</v>
      </c>
      <c r="B484" s="141" t="str">
        <f t="shared" si="7"/>
        <v>explorationFinishEvent{eventId:100480,count:1}</v>
      </c>
      <c r="C484" s="143">
        <v>2416801</v>
      </c>
    </row>
    <row r="485" spans="1:3">
      <c r="A485" s="18">
        <v>100482</v>
      </c>
      <c r="B485" s="141" t="str">
        <f t="shared" si="7"/>
        <v>explorationFinishEvent{eventId:100481,count:1}</v>
      </c>
      <c r="C485" s="143">
        <v>2416802</v>
      </c>
    </row>
    <row r="486" spans="1:3">
      <c r="A486" s="18">
        <v>100483</v>
      </c>
      <c r="B486" s="141" t="str">
        <f t="shared" si="7"/>
        <v>explorationFinishEvent{eventId:100482,count:1}</v>
      </c>
      <c r="C486" s="143">
        <v>2416803</v>
      </c>
    </row>
    <row r="487" spans="1:3">
      <c r="A487" s="18">
        <v>100484</v>
      </c>
      <c r="B487" s="141" t="str">
        <f t="shared" si="7"/>
        <v>explorationFinishEvent{eventId:100483,count:1}</v>
      </c>
      <c r="C487" s="143">
        <v>2416804</v>
      </c>
    </row>
    <row r="488" spans="1:3">
      <c r="A488" s="18">
        <v>100485</v>
      </c>
      <c r="B488" s="141" t="str">
        <f t="shared" si="7"/>
        <v>explorationFinishEvent{eventId:100484,count:1}</v>
      </c>
      <c r="C488" s="143">
        <v>2416901</v>
      </c>
    </row>
    <row r="489" spans="1:3">
      <c r="A489" s="18">
        <v>100486</v>
      </c>
      <c r="B489" s="141" t="str">
        <f t="shared" si="7"/>
        <v>explorationFinishEvent{eventId:100485,count:1}</v>
      </c>
      <c r="C489" s="143">
        <v>2416902</v>
      </c>
    </row>
    <row r="490" spans="1:3">
      <c r="A490" s="18">
        <v>100487</v>
      </c>
      <c r="B490" s="141" t="str">
        <f t="shared" si="7"/>
        <v>explorationFinishEvent{eventId:100486,count:1}</v>
      </c>
      <c r="C490" s="143">
        <v>2416903</v>
      </c>
    </row>
    <row r="491" spans="1:3">
      <c r="A491" s="18">
        <v>100488</v>
      </c>
      <c r="B491" s="141" t="str">
        <f t="shared" si="7"/>
        <v>explorationFinishEvent{eventId:100487,count:1}</v>
      </c>
      <c r="C491" s="143">
        <v>2416904</v>
      </c>
    </row>
    <row r="492" spans="1:3">
      <c r="A492" s="18">
        <v>100489</v>
      </c>
      <c r="B492" s="141" t="str">
        <f t="shared" si="7"/>
        <v>explorationFinishEvent{eventId:100488,count:1}</v>
      </c>
      <c r="C492" s="143">
        <v>2417001</v>
      </c>
    </row>
    <row r="493" spans="1:3">
      <c r="A493" s="18">
        <v>100490</v>
      </c>
      <c r="B493" s="141" t="str">
        <f t="shared" si="7"/>
        <v>explorationFinishEvent{eventId:100489,count:1}</v>
      </c>
      <c r="C493" s="143">
        <v>2417002</v>
      </c>
    </row>
    <row r="494" spans="1:3">
      <c r="A494" s="18">
        <v>100491</v>
      </c>
      <c r="B494" s="141" t="str">
        <f t="shared" si="7"/>
        <v>explorationFinishEvent{eventId:100490,count:1}</v>
      </c>
      <c r="C494" s="143">
        <v>2417003</v>
      </c>
    </row>
    <row r="495" spans="1:3">
      <c r="A495" s="18">
        <v>100492</v>
      </c>
      <c r="B495" s="141" t="str">
        <f t="shared" si="7"/>
        <v>explorationFinishEvent{eventId:100491,count:1}</v>
      </c>
      <c r="C495" s="143">
        <v>2417004</v>
      </c>
    </row>
    <row r="496" spans="1:3">
      <c r="A496" s="18">
        <v>100493</v>
      </c>
      <c r="B496" s="141" t="str">
        <f t="shared" si="7"/>
        <v>explorationFinishEvent{eventId:100492,count:1}</v>
      </c>
      <c r="C496" s="143">
        <v>2417101</v>
      </c>
    </row>
    <row r="497" spans="1:3">
      <c r="A497" s="18">
        <v>100494</v>
      </c>
      <c r="B497" s="141" t="str">
        <f t="shared" si="7"/>
        <v>explorationFinishEvent{eventId:100493,count:1}</v>
      </c>
      <c r="C497" s="143">
        <v>2417102</v>
      </c>
    </row>
    <row r="498" spans="1:3">
      <c r="A498" s="18">
        <v>100495</v>
      </c>
      <c r="B498" s="141" t="str">
        <f t="shared" si="7"/>
        <v>explorationFinishEvent{eventId:100494,count:1}</v>
      </c>
      <c r="C498" s="143">
        <v>2417103</v>
      </c>
    </row>
    <row r="499" spans="1:3">
      <c r="A499" s="18">
        <v>100496</v>
      </c>
      <c r="B499" s="141" t="str">
        <f t="shared" si="7"/>
        <v>explorationFinishEvent{eventId:100495,count:1}</v>
      </c>
      <c r="C499" s="143">
        <v>2417104</v>
      </c>
    </row>
    <row r="500" spans="1:3">
      <c r="A500" s="18">
        <v>100497</v>
      </c>
      <c r="B500" s="141" t="str">
        <f t="shared" si="7"/>
        <v>explorationFinishEvent{eventId:100496,count:1}</v>
      </c>
      <c r="C500" s="143">
        <v>2417201</v>
      </c>
    </row>
    <row r="501" spans="1:3">
      <c r="A501" s="18">
        <v>100498</v>
      </c>
      <c r="B501" s="141" t="str">
        <f t="shared" si="7"/>
        <v>explorationFinishEvent{eventId:100497,count:1}</v>
      </c>
      <c r="C501" s="143">
        <v>2417202</v>
      </c>
    </row>
    <row r="502" spans="1:3">
      <c r="A502" s="18">
        <v>100499</v>
      </c>
      <c r="B502" s="141" t="str">
        <f t="shared" si="7"/>
        <v>explorationFinishEvent{eventId:100498,count:1}</v>
      </c>
      <c r="C502" s="143">
        <v>2417203</v>
      </c>
    </row>
    <row r="503" spans="1:3">
      <c r="A503" s="18">
        <v>100500</v>
      </c>
      <c r="B503" s="141" t="str">
        <f t="shared" si="7"/>
        <v>explorationFinishEvent{eventId:100499,count:1}</v>
      </c>
      <c r="C503" s="143">
        <v>2417204</v>
      </c>
    </row>
    <row r="504" spans="1:3">
      <c r="A504" s="18">
        <v>100501</v>
      </c>
      <c r="B504" s="141" t="str">
        <f t="shared" si="7"/>
        <v>explorationFinishEvent{eventId:100500,count:1}</v>
      </c>
      <c r="C504" s="143">
        <v>2417301</v>
      </c>
    </row>
    <row r="505" spans="1:3">
      <c r="A505" s="18">
        <v>100502</v>
      </c>
      <c r="B505" s="141" t="str">
        <f t="shared" si="7"/>
        <v>explorationFinishEvent{eventId:100501,count:1}</v>
      </c>
      <c r="C505" s="143">
        <v>2417302</v>
      </c>
    </row>
    <row r="506" spans="1:3">
      <c r="A506" s="18">
        <v>100503</v>
      </c>
      <c r="B506" s="141" t="str">
        <f t="shared" si="7"/>
        <v>explorationFinishEvent{eventId:100502,count:1}</v>
      </c>
      <c r="C506" s="143">
        <v>2417303</v>
      </c>
    </row>
    <row r="507" spans="1:3">
      <c r="A507" s="18">
        <v>100504</v>
      </c>
      <c r="B507" s="141" t="str">
        <f t="shared" si="7"/>
        <v>explorationFinishEvent{eventId:100503,count:1}</v>
      </c>
      <c r="C507" s="143">
        <v>2417304</v>
      </c>
    </row>
    <row r="508" spans="1:3">
      <c r="A508" s="18">
        <v>100505</v>
      </c>
      <c r="B508" s="141" t="str">
        <f t="shared" si="7"/>
        <v>explorationFinishEvent{eventId:100504,count:1}</v>
      </c>
      <c r="C508" s="143">
        <v>2417401</v>
      </c>
    </row>
    <row r="509" spans="1:3">
      <c r="A509" s="18">
        <v>100506</v>
      </c>
      <c r="B509" s="141" t="str">
        <f t="shared" si="7"/>
        <v>explorationFinishEvent{eventId:100505,count:1}</v>
      </c>
      <c r="C509" s="143">
        <v>2417402</v>
      </c>
    </row>
    <row r="510" spans="1:3">
      <c r="A510" s="18">
        <v>100507</v>
      </c>
      <c r="B510" s="141" t="str">
        <f t="shared" si="7"/>
        <v>explorationFinishEvent{eventId:100506,count:1}</v>
      </c>
      <c r="C510" s="143">
        <v>2417403</v>
      </c>
    </row>
    <row r="511" spans="1:3">
      <c r="A511" s="18">
        <v>100508</v>
      </c>
      <c r="B511" s="141" t="str">
        <f t="shared" si="7"/>
        <v>explorationFinishEvent{eventId:100507,count:1}</v>
      </c>
      <c r="C511" s="143">
        <v>2417404</v>
      </c>
    </row>
    <row r="512" spans="1:3">
      <c r="A512" s="18">
        <v>100509</v>
      </c>
      <c r="B512" s="141" t="str">
        <f t="shared" si="7"/>
        <v>explorationFinishEvent{eventId:100508,count:1}</v>
      </c>
      <c r="C512" s="143">
        <v>2417501</v>
      </c>
    </row>
    <row r="513" spans="1:3">
      <c r="A513" s="18">
        <v>100510</v>
      </c>
      <c r="B513" s="141" t="str">
        <f t="shared" si="7"/>
        <v>explorationFinishEvent{eventId:100509,count:1}</v>
      </c>
      <c r="C513" s="143">
        <v>2417502</v>
      </c>
    </row>
    <row r="514" spans="1:3">
      <c r="A514" s="18">
        <v>100511</v>
      </c>
      <c r="B514" s="141" t="str">
        <f t="shared" si="7"/>
        <v>explorationFinishEvent{eventId:100510,count:1}</v>
      </c>
      <c r="C514" s="143">
        <v>2417503</v>
      </c>
    </row>
    <row r="515" spans="1:3">
      <c r="A515" s="18">
        <v>100512</v>
      </c>
      <c r="B515" s="141" t="str">
        <f t="shared" si="7"/>
        <v>explorationFinishEvent{eventId:100511,count:1}</v>
      </c>
      <c r="C515" s="143">
        <v>2417504</v>
      </c>
    </row>
    <row r="516" spans="1:3">
      <c r="A516" s="18">
        <v>100513</v>
      </c>
      <c r="B516" s="141" t="str">
        <f t="shared" si="7"/>
        <v>explorationFinishEvent{eventId:100512,count:1}</v>
      </c>
      <c r="C516" s="143">
        <v>2417601</v>
      </c>
    </row>
    <row r="517" spans="1:3">
      <c r="A517" s="18">
        <v>100514</v>
      </c>
      <c r="B517" s="141" t="str">
        <f t="shared" si="7"/>
        <v>explorationFinishEvent{eventId:100513,count:1}</v>
      </c>
      <c r="C517" s="143">
        <v>2417602</v>
      </c>
    </row>
    <row r="518" spans="1:3">
      <c r="A518" s="18">
        <v>100515</v>
      </c>
      <c r="B518" s="141" t="str">
        <f t="shared" si="7"/>
        <v>explorationFinishEvent{eventId:100514,count:1}</v>
      </c>
      <c r="C518" s="143">
        <v>2417603</v>
      </c>
    </row>
    <row r="519" spans="1:3">
      <c r="A519" s="18">
        <v>100516</v>
      </c>
      <c r="B519" s="141" t="str">
        <f t="shared" si="7"/>
        <v>explorationFinishEvent{eventId:100515,count:1}</v>
      </c>
      <c r="C519" s="143">
        <v>2417604</v>
      </c>
    </row>
    <row r="520" spans="1:3">
      <c r="A520" s="18">
        <v>100517</v>
      </c>
      <c r="B520" s="141" t="str">
        <f t="shared" si="7"/>
        <v>explorationFinishEvent{eventId:100516,count:1}</v>
      </c>
      <c r="C520" s="143">
        <v>2417701</v>
      </c>
    </row>
    <row r="521" spans="1:3">
      <c r="A521" s="18">
        <v>100518</v>
      </c>
      <c r="B521" s="141" t="str">
        <f t="shared" si="7"/>
        <v>explorationFinishEvent{eventId:100517,count:1}</v>
      </c>
      <c r="C521" s="143">
        <v>2417702</v>
      </c>
    </row>
    <row r="522" spans="1:3">
      <c r="A522" s="18">
        <v>100519</v>
      </c>
      <c r="B522" s="141" t="str">
        <f t="shared" si="7"/>
        <v>explorationFinishEvent{eventId:100518,count:1}</v>
      </c>
      <c r="C522" s="143">
        <v>2417703</v>
      </c>
    </row>
    <row r="523" spans="1:3">
      <c r="A523" s="18">
        <v>100520</v>
      </c>
      <c r="B523" s="141" t="str">
        <f t="shared" si="7"/>
        <v>explorationFinishEvent{eventId:100519,count:1}</v>
      </c>
      <c r="C523" s="143">
        <v>2417704</v>
      </c>
    </row>
    <row r="524" spans="1:3">
      <c r="A524" s="18">
        <v>100521</v>
      </c>
      <c r="B524" s="141" t="str">
        <f t="shared" si="7"/>
        <v>explorationFinishEvent{eventId:100520,count:1}</v>
      </c>
      <c r="C524" s="143">
        <v>2417801</v>
      </c>
    </row>
    <row r="525" spans="1:3">
      <c r="A525" s="18">
        <v>100522</v>
      </c>
      <c r="B525" s="141" t="str">
        <f t="shared" ref="B525:B588" si="8">"explorationFinishEvent{eventId:"&amp;A523+1&amp;",count:1}"</f>
        <v>explorationFinishEvent{eventId:100521,count:1}</v>
      </c>
      <c r="C525" s="143">
        <v>2417802</v>
      </c>
    </row>
    <row r="526" spans="1:3">
      <c r="A526" s="18">
        <v>100523</v>
      </c>
      <c r="B526" s="141" t="str">
        <f t="shared" si="8"/>
        <v>explorationFinishEvent{eventId:100522,count:1}</v>
      </c>
      <c r="C526" s="143">
        <v>2417803</v>
      </c>
    </row>
    <row r="527" spans="1:3">
      <c r="A527" s="18">
        <v>100524</v>
      </c>
      <c r="B527" s="141" t="str">
        <f t="shared" si="8"/>
        <v>explorationFinishEvent{eventId:100523,count:1}</v>
      </c>
      <c r="C527" s="143">
        <v>2417804</v>
      </c>
    </row>
    <row r="528" spans="1:3">
      <c r="A528" s="18">
        <v>100525</v>
      </c>
      <c r="B528" s="141" t="str">
        <f t="shared" si="8"/>
        <v>explorationFinishEvent{eventId:100524,count:1}</v>
      </c>
      <c r="C528" s="143">
        <v>2417901</v>
      </c>
    </row>
    <row r="529" spans="1:3">
      <c r="A529" s="18">
        <v>100526</v>
      </c>
      <c r="B529" s="141" t="str">
        <f t="shared" si="8"/>
        <v>explorationFinishEvent{eventId:100525,count:1}</v>
      </c>
      <c r="C529" s="143">
        <v>2417902</v>
      </c>
    </row>
    <row r="530" spans="1:3">
      <c r="A530" s="18">
        <v>100527</v>
      </c>
      <c r="B530" s="141" t="str">
        <f t="shared" si="8"/>
        <v>explorationFinishEvent{eventId:100526,count:1}</v>
      </c>
      <c r="C530" s="143">
        <v>2417903</v>
      </c>
    </row>
    <row r="531" spans="1:3">
      <c r="A531" s="18">
        <v>100528</v>
      </c>
      <c r="B531" s="141" t="str">
        <f t="shared" si="8"/>
        <v>explorationFinishEvent{eventId:100527,count:1}</v>
      </c>
      <c r="C531" s="143">
        <v>2417904</v>
      </c>
    </row>
    <row r="532" spans="1:3">
      <c r="A532" s="18">
        <v>100529</v>
      </c>
      <c r="B532" s="141" t="str">
        <f t="shared" si="8"/>
        <v>explorationFinishEvent{eventId:100528,count:1}</v>
      </c>
      <c r="C532" s="143">
        <v>2418001</v>
      </c>
    </row>
    <row r="533" spans="1:3">
      <c r="A533" s="18">
        <v>100530</v>
      </c>
      <c r="B533" s="141" t="str">
        <f t="shared" si="8"/>
        <v>explorationFinishEvent{eventId:100529,count:1}</v>
      </c>
      <c r="C533" s="143">
        <v>2418002</v>
      </c>
    </row>
    <row r="534" spans="1:3">
      <c r="A534" s="18">
        <v>100531</v>
      </c>
      <c r="B534" s="141" t="str">
        <f t="shared" si="8"/>
        <v>explorationFinishEvent{eventId:100530,count:1}</v>
      </c>
      <c r="C534" s="143">
        <v>2418003</v>
      </c>
    </row>
    <row r="535" spans="1:3">
      <c r="A535" s="18">
        <v>100532</v>
      </c>
      <c r="B535" s="141" t="str">
        <f t="shared" si="8"/>
        <v>explorationFinishEvent{eventId:100531,count:1}</v>
      </c>
      <c r="C535" s="143">
        <v>2418004</v>
      </c>
    </row>
    <row r="536" spans="1:3">
      <c r="A536" s="18">
        <v>100533</v>
      </c>
      <c r="B536" s="141" t="str">
        <f t="shared" si="8"/>
        <v>explorationFinishEvent{eventId:100532,count:1}</v>
      </c>
      <c r="C536" s="143">
        <v>2418101</v>
      </c>
    </row>
    <row r="537" spans="1:3">
      <c r="A537" s="18">
        <v>100534</v>
      </c>
      <c r="B537" s="141" t="str">
        <f t="shared" si="8"/>
        <v>explorationFinishEvent{eventId:100533,count:1}</v>
      </c>
      <c r="C537" s="143">
        <v>2418102</v>
      </c>
    </row>
    <row r="538" spans="1:3">
      <c r="A538" s="18">
        <v>100535</v>
      </c>
      <c r="B538" s="141" t="str">
        <f t="shared" si="8"/>
        <v>explorationFinishEvent{eventId:100534,count:1}</v>
      </c>
      <c r="C538" s="143">
        <v>2418103</v>
      </c>
    </row>
    <row r="539" spans="1:3">
      <c r="A539" s="18">
        <v>100536</v>
      </c>
      <c r="B539" s="141" t="str">
        <f t="shared" si="8"/>
        <v>explorationFinishEvent{eventId:100535,count:1}</v>
      </c>
      <c r="C539" s="143">
        <v>2418104</v>
      </c>
    </row>
    <row r="540" spans="1:3">
      <c r="A540" s="18">
        <v>100537</v>
      </c>
      <c r="B540" s="141" t="str">
        <f t="shared" si="8"/>
        <v>explorationFinishEvent{eventId:100536,count:1}</v>
      </c>
      <c r="C540" s="143">
        <v>2418201</v>
      </c>
    </row>
    <row r="541" spans="1:3">
      <c r="A541" s="18">
        <v>100538</v>
      </c>
      <c r="B541" s="141" t="str">
        <f t="shared" si="8"/>
        <v>explorationFinishEvent{eventId:100537,count:1}</v>
      </c>
      <c r="C541" s="143">
        <v>2418202</v>
      </c>
    </row>
    <row r="542" spans="1:3">
      <c r="A542" s="18">
        <v>100539</v>
      </c>
      <c r="B542" s="141" t="str">
        <f t="shared" si="8"/>
        <v>explorationFinishEvent{eventId:100538,count:1}</v>
      </c>
      <c r="C542" s="143">
        <v>2418203</v>
      </c>
    </row>
    <row r="543" spans="1:3">
      <c r="A543" s="18">
        <v>100540</v>
      </c>
      <c r="B543" s="141" t="str">
        <f t="shared" si="8"/>
        <v>explorationFinishEvent{eventId:100539,count:1}</v>
      </c>
      <c r="C543" s="143">
        <v>2418204</v>
      </c>
    </row>
    <row r="544" spans="1:3">
      <c r="A544" s="18">
        <v>100541</v>
      </c>
      <c r="B544" s="141" t="str">
        <f t="shared" si="8"/>
        <v>explorationFinishEvent{eventId:100540,count:1}</v>
      </c>
      <c r="C544" s="143">
        <v>2418301</v>
      </c>
    </row>
    <row r="545" spans="1:3">
      <c r="A545" s="18">
        <v>100542</v>
      </c>
      <c r="B545" s="141" t="str">
        <f t="shared" si="8"/>
        <v>explorationFinishEvent{eventId:100541,count:1}</v>
      </c>
      <c r="C545" s="143">
        <v>2418302</v>
      </c>
    </row>
    <row r="546" spans="1:3">
      <c r="A546" s="18">
        <v>100543</v>
      </c>
      <c r="B546" s="141" t="str">
        <f t="shared" si="8"/>
        <v>explorationFinishEvent{eventId:100542,count:1}</v>
      </c>
      <c r="C546" s="143">
        <v>2418303</v>
      </c>
    </row>
    <row r="547" spans="1:3">
      <c r="A547" s="18">
        <v>100544</v>
      </c>
      <c r="B547" s="141" t="str">
        <f t="shared" si="8"/>
        <v>explorationFinishEvent{eventId:100543,count:1}</v>
      </c>
      <c r="C547" s="143">
        <v>2418304</v>
      </c>
    </row>
    <row r="548" spans="1:3">
      <c r="A548" s="18">
        <v>100545</v>
      </c>
      <c r="B548" s="141" t="str">
        <f t="shared" si="8"/>
        <v>explorationFinishEvent{eventId:100544,count:1}</v>
      </c>
      <c r="C548" s="143">
        <v>2418401</v>
      </c>
    </row>
    <row r="549" spans="1:3">
      <c r="A549" s="18">
        <v>100546</v>
      </c>
      <c r="B549" s="141" t="str">
        <f t="shared" si="8"/>
        <v>explorationFinishEvent{eventId:100545,count:1}</v>
      </c>
      <c r="C549" s="143">
        <v>2418402</v>
      </c>
    </row>
    <row r="550" spans="1:3">
      <c r="A550" s="18">
        <v>100547</v>
      </c>
      <c r="B550" s="141" t="str">
        <f t="shared" si="8"/>
        <v>explorationFinishEvent{eventId:100546,count:1}</v>
      </c>
      <c r="C550" s="143">
        <v>2418403</v>
      </c>
    </row>
    <row r="551" spans="1:3">
      <c r="A551" s="18">
        <v>100548</v>
      </c>
      <c r="B551" s="141" t="str">
        <f t="shared" si="8"/>
        <v>explorationFinishEvent{eventId:100547,count:1}</v>
      </c>
      <c r="C551" s="143">
        <v>2418404</v>
      </c>
    </row>
    <row r="552" spans="1:3">
      <c r="A552" s="18">
        <v>100549</v>
      </c>
      <c r="B552" s="141" t="str">
        <f t="shared" si="8"/>
        <v>explorationFinishEvent{eventId:100548,count:1}</v>
      </c>
      <c r="C552" s="143">
        <v>2418501</v>
      </c>
    </row>
    <row r="553" spans="1:3">
      <c r="A553" s="18">
        <v>100550</v>
      </c>
      <c r="B553" s="141" t="str">
        <f t="shared" si="8"/>
        <v>explorationFinishEvent{eventId:100549,count:1}</v>
      </c>
      <c r="C553" s="143">
        <v>2418502</v>
      </c>
    </row>
    <row r="554" spans="1:3">
      <c r="A554" s="18">
        <v>100551</v>
      </c>
      <c r="B554" s="141" t="str">
        <f t="shared" si="8"/>
        <v>explorationFinishEvent{eventId:100550,count:1}</v>
      </c>
      <c r="C554" s="143">
        <v>2418503</v>
      </c>
    </row>
    <row r="555" spans="1:3">
      <c r="A555" s="18">
        <v>100552</v>
      </c>
      <c r="B555" s="141" t="str">
        <f t="shared" si="8"/>
        <v>explorationFinishEvent{eventId:100551,count:1}</v>
      </c>
      <c r="C555" s="143">
        <v>2418504</v>
      </c>
    </row>
    <row r="556" spans="1:3">
      <c r="A556" s="18">
        <v>100553</v>
      </c>
      <c r="B556" s="141" t="str">
        <f t="shared" si="8"/>
        <v>explorationFinishEvent{eventId:100552,count:1}</v>
      </c>
      <c r="C556" s="143">
        <v>2418601</v>
      </c>
    </row>
    <row r="557" spans="1:3">
      <c r="A557" s="18">
        <v>100554</v>
      </c>
      <c r="B557" s="141" t="str">
        <f t="shared" si="8"/>
        <v>explorationFinishEvent{eventId:100553,count:1}</v>
      </c>
      <c r="C557" s="143">
        <v>2418602</v>
      </c>
    </row>
    <row r="558" spans="1:3">
      <c r="A558" s="18">
        <v>100555</v>
      </c>
      <c r="B558" s="141" t="str">
        <f t="shared" si="8"/>
        <v>explorationFinishEvent{eventId:100554,count:1}</v>
      </c>
      <c r="C558" s="143">
        <v>2418603</v>
      </c>
    </row>
    <row r="559" spans="1:3">
      <c r="A559" s="18">
        <v>100556</v>
      </c>
      <c r="B559" s="141" t="str">
        <f t="shared" si="8"/>
        <v>explorationFinishEvent{eventId:100555,count:1}</v>
      </c>
      <c r="C559" s="143">
        <v>2418604</v>
      </c>
    </row>
    <row r="560" spans="1:3">
      <c r="A560" s="18">
        <v>100557</v>
      </c>
      <c r="B560" s="141" t="str">
        <f t="shared" si="8"/>
        <v>explorationFinishEvent{eventId:100556,count:1}</v>
      </c>
      <c r="C560" s="143">
        <v>2418701</v>
      </c>
    </row>
    <row r="561" spans="1:3">
      <c r="A561" s="18">
        <v>100558</v>
      </c>
      <c r="B561" s="141" t="str">
        <f t="shared" si="8"/>
        <v>explorationFinishEvent{eventId:100557,count:1}</v>
      </c>
      <c r="C561" s="143">
        <v>2418702</v>
      </c>
    </row>
    <row r="562" spans="1:3">
      <c r="A562" s="18">
        <v>100559</v>
      </c>
      <c r="B562" s="141" t="str">
        <f t="shared" si="8"/>
        <v>explorationFinishEvent{eventId:100558,count:1}</v>
      </c>
      <c r="C562" s="143">
        <v>2418703</v>
      </c>
    </row>
    <row r="563" spans="1:3">
      <c r="A563" s="18">
        <v>100560</v>
      </c>
      <c r="B563" s="141" t="str">
        <f t="shared" si="8"/>
        <v>explorationFinishEvent{eventId:100559,count:1}</v>
      </c>
      <c r="C563" s="143">
        <v>2418704</v>
      </c>
    </row>
    <row r="564" spans="1:3">
      <c r="A564" s="18">
        <v>100561</v>
      </c>
      <c r="B564" s="141" t="str">
        <f t="shared" si="8"/>
        <v>explorationFinishEvent{eventId:100560,count:1}</v>
      </c>
      <c r="C564" s="143">
        <v>2418801</v>
      </c>
    </row>
    <row r="565" spans="1:3">
      <c r="A565" s="18">
        <v>100562</v>
      </c>
      <c r="B565" s="141" t="str">
        <f t="shared" si="8"/>
        <v>explorationFinishEvent{eventId:100561,count:1}</v>
      </c>
      <c r="C565" s="143">
        <v>2418802</v>
      </c>
    </row>
    <row r="566" spans="1:3">
      <c r="A566" s="18">
        <v>100563</v>
      </c>
      <c r="B566" s="141" t="str">
        <f t="shared" si="8"/>
        <v>explorationFinishEvent{eventId:100562,count:1}</v>
      </c>
      <c r="C566" s="143">
        <v>2418803</v>
      </c>
    </row>
    <row r="567" spans="1:3">
      <c r="A567" s="18">
        <v>100564</v>
      </c>
      <c r="B567" s="141" t="str">
        <f t="shared" si="8"/>
        <v>explorationFinishEvent{eventId:100563,count:1}</v>
      </c>
      <c r="C567" s="143">
        <v>2418804</v>
      </c>
    </row>
    <row r="568" spans="1:3">
      <c r="A568" s="18">
        <v>100565</v>
      </c>
      <c r="B568" s="141" t="str">
        <f t="shared" si="8"/>
        <v>explorationFinishEvent{eventId:100564,count:1}</v>
      </c>
      <c r="C568" s="143">
        <v>2418901</v>
      </c>
    </row>
    <row r="569" spans="1:3">
      <c r="A569" s="18">
        <v>100566</v>
      </c>
      <c r="B569" s="141" t="str">
        <f t="shared" si="8"/>
        <v>explorationFinishEvent{eventId:100565,count:1}</v>
      </c>
      <c r="C569" s="143">
        <v>2418902</v>
      </c>
    </row>
    <row r="570" spans="1:3">
      <c r="A570" s="18">
        <v>100567</v>
      </c>
      <c r="B570" s="141" t="str">
        <f t="shared" si="8"/>
        <v>explorationFinishEvent{eventId:100566,count:1}</v>
      </c>
      <c r="C570" s="143">
        <v>2418903</v>
      </c>
    </row>
    <row r="571" spans="1:3">
      <c r="A571" s="18">
        <v>100568</v>
      </c>
      <c r="B571" s="141" t="str">
        <f t="shared" si="8"/>
        <v>explorationFinishEvent{eventId:100567,count:1}</v>
      </c>
      <c r="C571" s="143">
        <v>2418904</v>
      </c>
    </row>
    <row r="572" spans="1:3">
      <c r="A572" s="18">
        <v>100569</v>
      </c>
      <c r="B572" s="141" t="str">
        <f t="shared" si="8"/>
        <v>explorationFinishEvent{eventId:100568,count:1}</v>
      </c>
      <c r="C572" s="143">
        <v>2419001</v>
      </c>
    </row>
    <row r="573" spans="1:3">
      <c r="A573" s="18">
        <v>100570</v>
      </c>
      <c r="B573" s="141" t="str">
        <f t="shared" si="8"/>
        <v>explorationFinishEvent{eventId:100569,count:1}</v>
      </c>
      <c r="C573" s="143">
        <v>2419002</v>
      </c>
    </row>
    <row r="574" spans="1:3">
      <c r="A574" s="18">
        <v>100571</v>
      </c>
      <c r="B574" s="141" t="str">
        <f t="shared" si="8"/>
        <v>explorationFinishEvent{eventId:100570,count:1}</v>
      </c>
      <c r="C574" s="143">
        <v>2419003</v>
      </c>
    </row>
    <row r="575" spans="1:3">
      <c r="A575" s="18">
        <v>100572</v>
      </c>
      <c r="B575" s="141" t="str">
        <f t="shared" si="8"/>
        <v>explorationFinishEvent{eventId:100571,count:1}</v>
      </c>
      <c r="C575" s="143">
        <v>2419004</v>
      </c>
    </row>
    <row r="576" spans="1:3">
      <c r="A576" s="18">
        <v>100573</v>
      </c>
      <c r="B576" s="141" t="str">
        <f t="shared" si="8"/>
        <v>explorationFinishEvent{eventId:100572,count:1}</v>
      </c>
      <c r="C576" s="143">
        <v>2419101</v>
      </c>
    </row>
    <row r="577" spans="1:3">
      <c r="A577" s="18">
        <v>100574</v>
      </c>
      <c r="B577" s="141" t="str">
        <f t="shared" si="8"/>
        <v>explorationFinishEvent{eventId:100573,count:1}</v>
      </c>
      <c r="C577" s="143">
        <v>2419102</v>
      </c>
    </row>
    <row r="578" spans="1:3">
      <c r="A578" s="18">
        <v>100575</v>
      </c>
      <c r="B578" s="141" t="str">
        <f t="shared" si="8"/>
        <v>explorationFinishEvent{eventId:100574,count:1}</v>
      </c>
      <c r="C578" s="143">
        <v>2419103</v>
      </c>
    </row>
    <row r="579" spans="1:3">
      <c r="A579" s="18">
        <v>100576</v>
      </c>
      <c r="B579" s="141" t="str">
        <f t="shared" si="8"/>
        <v>explorationFinishEvent{eventId:100575,count:1}</v>
      </c>
      <c r="C579" s="143">
        <v>2419104</v>
      </c>
    </row>
    <row r="580" spans="1:3">
      <c r="A580" s="18">
        <v>100577</v>
      </c>
      <c r="B580" s="141" t="str">
        <f t="shared" si="8"/>
        <v>explorationFinishEvent{eventId:100576,count:1}</v>
      </c>
      <c r="C580" s="143">
        <v>2419201</v>
      </c>
    </row>
    <row r="581" spans="1:3">
      <c r="A581" s="18">
        <v>100578</v>
      </c>
      <c r="B581" s="141" t="str">
        <f t="shared" si="8"/>
        <v>explorationFinishEvent{eventId:100577,count:1}</v>
      </c>
      <c r="C581" s="143">
        <v>2419202</v>
      </c>
    </row>
    <row r="582" spans="1:3">
      <c r="A582" s="18">
        <v>100579</v>
      </c>
      <c r="B582" s="141" t="str">
        <f t="shared" si="8"/>
        <v>explorationFinishEvent{eventId:100578,count:1}</v>
      </c>
      <c r="C582" s="143">
        <v>2419203</v>
      </c>
    </row>
    <row r="583" spans="1:3">
      <c r="A583" s="18">
        <v>100580</v>
      </c>
      <c r="B583" s="141" t="str">
        <f t="shared" si="8"/>
        <v>explorationFinishEvent{eventId:100579,count:1}</v>
      </c>
      <c r="C583" s="143">
        <v>2419204</v>
      </c>
    </row>
    <row r="584" spans="1:3">
      <c r="A584" s="18">
        <v>100581</v>
      </c>
      <c r="B584" s="141" t="str">
        <f t="shared" si="8"/>
        <v>explorationFinishEvent{eventId:100580,count:1}</v>
      </c>
      <c r="C584" s="143">
        <v>2419301</v>
      </c>
    </row>
    <row r="585" spans="1:3">
      <c r="A585" s="18">
        <v>100582</v>
      </c>
      <c r="B585" s="141" t="str">
        <f t="shared" si="8"/>
        <v>explorationFinishEvent{eventId:100581,count:1}</v>
      </c>
      <c r="C585" s="143">
        <v>2419302</v>
      </c>
    </row>
    <row r="586" spans="1:3">
      <c r="A586" s="18">
        <v>100583</v>
      </c>
      <c r="B586" s="141" t="str">
        <f t="shared" si="8"/>
        <v>explorationFinishEvent{eventId:100582,count:1}</v>
      </c>
      <c r="C586" s="143">
        <v>2419303</v>
      </c>
    </row>
    <row r="587" spans="1:3">
      <c r="A587" s="18">
        <v>100584</v>
      </c>
      <c r="B587" s="141" t="str">
        <f t="shared" si="8"/>
        <v>explorationFinishEvent{eventId:100583,count:1}</v>
      </c>
      <c r="C587" s="143">
        <v>2419304</v>
      </c>
    </row>
    <row r="588" spans="1:3">
      <c r="A588" s="18">
        <v>100585</v>
      </c>
      <c r="B588" s="141" t="str">
        <f t="shared" si="8"/>
        <v>explorationFinishEvent{eventId:100584,count:1}</v>
      </c>
      <c r="C588" s="143">
        <v>2419401</v>
      </c>
    </row>
    <row r="589" spans="1:3">
      <c r="A589" s="18">
        <v>100586</v>
      </c>
      <c r="B589" s="141" t="str">
        <f t="shared" ref="B589:B652" si="9">"explorationFinishEvent{eventId:"&amp;A587+1&amp;",count:1}"</f>
        <v>explorationFinishEvent{eventId:100585,count:1}</v>
      </c>
      <c r="C589" s="143">
        <v>2419402</v>
      </c>
    </row>
    <row r="590" spans="1:3">
      <c r="A590" s="18">
        <v>100587</v>
      </c>
      <c r="B590" s="141" t="str">
        <f t="shared" si="9"/>
        <v>explorationFinishEvent{eventId:100586,count:1}</v>
      </c>
      <c r="C590" s="143">
        <v>2419403</v>
      </c>
    </row>
    <row r="591" spans="1:3">
      <c r="A591" s="18">
        <v>100588</v>
      </c>
      <c r="B591" s="141" t="str">
        <f t="shared" si="9"/>
        <v>explorationFinishEvent{eventId:100587,count:1}</v>
      </c>
      <c r="C591" s="143">
        <v>2419404</v>
      </c>
    </row>
    <row r="592" spans="1:3">
      <c r="A592" s="18">
        <v>100589</v>
      </c>
      <c r="B592" s="141" t="str">
        <f t="shared" si="9"/>
        <v>explorationFinishEvent{eventId:100588,count:1}</v>
      </c>
      <c r="C592" s="143">
        <v>2419501</v>
      </c>
    </row>
    <row r="593" spans="1:3">
      <c r="A593" s="18">
        <v>100590</v>
      </c>
      <c r="B593" s="141" t="str">
        <f t="shared" si="9"/>
        <v>explorationFinishEvent{eventId:100589,count:1}</v>
      </c>
      <c r="C593" s="143">
        <v>2419502</v>
      </c>
    </row>
    <row r="594" spans="1:3">
      <c r="A594" s="18">
        <v>100591</v>
      </c>
      <c r="B594" s="141" t="str">
        <f t="shared" si="9"/>
        <v>explorationFinishEvent{eventId:100590,count:1}</v>
      </c>
      <c r="C594" s="143">
        <v>2419503</v>
      </c>
    </row>
    <row r="595" spans="1:3">
      <c r="A595" s="18">
        <v>100592</v>
      </c>
      <c r="B595" s="141" t="str">
        <f t="shared" si="9"/>
        <v>explorationFinishEvent{eventId:100591,count:1}</v>
      </c>
      <c r="C595" s="143">
        <v>2419504</v>
      </c>
    </row>
    <row r="596" spans="1:3">
      <c r="A596" s="18">
        <v>100593</v>
      </c>
      <c r="B596" s="141" t="str">
        <f t="shared" si="9"/>
        <v>explorationFinishEvent{eventId:100592,count:1}</v>
      </c>
      <c r="C596" s="143">
        <v>2419601</v>
      </c>
    </row>
    <row r="597" spans="1:3">
      <c r="A597" s="18">
        <v>100594</v>
      </c>
      <c r="B597" s="141" t="str">
        <f t="shared" si="9"/>
        <v>explorationFinishEvent{eventId:100593,count:1}</v>
      </c>
      <c r="C597" s="143">
        <v>2419602</v>
      </c>
    </row>
    <row r="598" spans="1:3">
      <c r="A598" s="18">
        <v>100595</v>
      </c>
      <c r="B598" s="141" t="str">
        <f t="shared" si="9"/>
        <v>explorationFinishEvent{eventId:100594,count:1}</v>
      </c>
      <c r="C598" s="143">
        <v>2419603</v>
      </c>
    </row>
    <row r="599" spans="1:3">
      <c r="A599" s="18">
        <v>100596</v>
      </c>
      <c r="B599" s="141" t="str">
        <f t="shared" si="9"/>
        <v>explorationFinishEvent{eventId:100595,count:1}</v>
      </c>
      <c r="C599" s="143">
        <v>2419604</v>
      </c>
    </row>
    <row r="600" spans="1:3">
      <c r="A600" s="18">
        <v>100597</v>
      </c>
      <c r="B600" s="141" t="str">
        <f t="shared" si="9"/>
        <v>explorationFinishEvent{eventId:100596,count:1}</v>
      </c>
      <c r="C600" s="143">
        <v>2419701</v>
      </c>
    </row>
    <row r="601" spans="1:3">
      <c r="A601" s="18">
        <v>100598</v>
      </c>
      <c r="B601" s="141" t="str">
        <f t="shared" si="9"/>
        <v>explorationFinishEvent{eventId:100597,count:1}</v>
      </c>
      <c r="C601" s="143">
        <v>2419702</v>
      </c>
    </row>
    <row r="602" spans="1:3">
      <c r="A602" s="18">
        <v>100599</v>
      </c>
      <c r="B602" s="141" t="str">
        <f t="shared" si="9"/>
        <v>explorationFinishEvent{eventId:100598,count:1}</v>
      </c>
      <c r="C602" s="143">
        <v>2419703</v>
      </c>
    </row>
    <row r="603" spans="1:3">
      <c r="A603" s="18">
        <v>100600</v>
      </c>
      <c r="B603" s="141" t="str">
        <f t="shared" si="9"/>
        <v>explorationFinishEvent{eventId:100599,count:1}</v>
      </c>
      <c r="C603" s="143">
        <v>2419704</v>
      </c>
    </row>
    <row r="604" spans="1:3">
      <c r="A604" s="18">
        <v>100601</v>
      </c>
      <c r="B604" s="141" t="str">
        <f t="shared" si="9"/>
        <v>explorationFinishEvent{eventId:100600,count:1}</v>
      </c>
      <c r="C604" s="143">
        <v>2419801</v>
      </c>
    </row>
    <row r="605" spans="1:3">
      <c r="A605" s="18">
        <v>100602</v>
      </c>
      <c r="B605" s="141" t="str">
        <f t="shared" si="9"/>
        <v>explorationFinishEvent{eventId:100601,count:1}</v>
      </c>
      <c r="C605" s="143">
        <v>2419802</v>
      </c>
    </row>
    <row r="606" spans="1:3">
      <c r="A606" s="18">
        <v>100603</v>
      </c>
      <c r="B606" s="141" t="str">
        <f t="shared" si="9"/>
        <v>explorationFinishEvent{eventId:100602,count:1}</v>
      </c>
      <c r="C606" s="143">
        <v>2419803</v>
      </c>
    </row>
    <row r="607" spans="1:3">
      <c r="A607" s="18">
        <v>100604</v>
      </c>
      <c r="B607" s="141" t="str">
        <f t="shared" si="9"/>
        <v>explorationFinishEvent{eventId:100603,count:1}</v>
      </c>
      <c r="C607" s="143">
        <v>2419804</v>
      </c>
    </row>
    <row r="608" spans="1:3">
      <c r="A608" s="18">
        <v>100605</v>
      </c>
      <c r="B608" s="141" t="str">
        <f t="shared" si="9"/>
        <v>explorationFinishEvent{eventId:100604,count:1}</v>
      </c>
      <c r="C608" s="143">
        <v>2419901</v>
      </c>
    </row>
    <row r="609" spans="1:3">
      <c r="A609" s="18">
        <v>100606</v>
      </c>
      <c r="B609" s="141" t="str">
        <f t="shared" si="9"/>
        <v>explorationFinishEvent{eventId:100605,count:1}</v>
      </c>
      <c r="C609" s="143">
        <v>2419902</v>
      </c>
    </row>
    <row r="610" spans="1:3">
      <c r="A610" s="18">
        <v>100607</v>
      </c>
      <c r="B610" s="141" t="str">
        <f t="shared" si="9"/>
        <v>explorationFinishEvent{eventId:100606,count:1}</v>
      </c>
      <c r="C610" s="143">
        <v>2419903</v>
      </c>
    </row>
    <row r="611" spans="1:3">
      <c r="A611" s="18">
        <v>100608</v>
      </c>
      <c r="B611" s="141" t="str">
        <f t="shared" si="9"/>
        <v>explorationFinishEvent{eventId:100607,count:1}</v>
      </c>
      <c r="C611" s="143">
        <v>2419904</v>
      </c>
    </row>
    <row r="612" spans="1:3">
      <c r="A612" s="18">
        <v>100609</v>
      </c>
      <c r="B612" s="141" t="str">
        <f t="shared" si="9"/>
        <v>explorationFinishEvent{eventId:100608,count:1}</v>
      </c>
      <c r="C612" s="143">
        <v>2420001</v>
      </c>
    </row>
    <row r="613" spans="1:3">
      <c r="A613" s="18">
        <v>100610</v>
      </c>
      <c r="B613" s="141" t="str">
        <f t="shared" si="9"/>
        <v>explorationFinishEvent{eventId:100609,count:1}</v>
      </c>
      <c r="C613" s="143">
        <v>2420002</v>
      </c>
    </row>
    <row r="614" spans="1:3">
      <c r="A614" s="18">
        <v>100611</v>
      </c>
      <c r="B614" s="141" t="str">
        <f t="shared" si="9"/>
        <v>explorationFinishEvent{eventId:100610,count:1}</v>
      </c>
      <c r="C614" s="143">
        <v>2420003</v>
      </c>
    </row>
    <row r="615" spans="1:3">
      <c r="A615" s="18">
        <v>100612</v>
      </c>
      <c r="B615" s="141" t="str">
        <f t="shared" si="9"/>
        <v>explorationFinishEvent{eventId:100611,count:1}</v>
      </c>
      <c r="C615" s="143">
        <v>2420004</v>
      </c>
    </row>
    <row r="616" spans="1:3">
      <c r="A616" s="18">
        <v>100613</v>
      </c>
      <c r="B616" s="141" t="str">
        <f t="shared" si="9"/>
        <v>explorationFinishEvent{eventId:100612,count:1}</v>
      </c>
      <c r="C616" s="143">
        <v>2420101</v>
      </c>
    </row>
    <row r="617" spans="1:3">
      <c r="A617" s="18">
        <v>100614</v>
      </c>
      <c r="B617" s="141" t="str">
        <f t="shared" si="9"/>
        <v>explorationFinishEvent{eventId:100613,count:1}</v>
      </c>
      <c r="C617" s="143">
        <v>2420102</v>
      </c>
    </row>
    <row r="618" spans="1:3">
      <c r="A618" s="18">
        <v>100615</v>
      </c>
      <c r="B618" s="141" t="str">
        <f t="shared" si="9"/>
        <v>explorationFinishEvent{eventId:100614,count:1}</v>
      </c>
      <c r="C618" s="143">
        <v>2420103</v>
      </c>
    </row>
    <row r="619" spans="1:3">
      <c r="A619" s="18">
        <v>100616</v>
      </c>
      <c r="B619" s="141" t="str">
        <f t="shared" si="9"/>
        <v>explorationFinishEvent{eventId:100615,count:1}</v>
      </c>
      <c r="C619" s="143">
        <v>2420104</v>
      </c>
    </row>
    <row r="620" spans="1:3">
      <c r="A620" s="18">
        <v>100617</v>
      </c>
      <c r="B620" s="141" t="str">
        <f t="shared" si="9"/>
        <v>explorationFinishEvent{eventId:100616,count:1}</v>
      </c>
      <c r="C620" s="143">
        <v>2420201</v>
      </c>
    </row>
    <row r="621" spans="1:3">
      <c r="A621" s="18">
        <v>100618</v>
      </c>
      <c r="B621" s="141" t="str">
        <f t="shared" si="9"/>
        <v>explorationFinishEvent{eventId:100617,count:1}</v>
      </c>
      <c r="C621" s="143">
        <v>2420202</v>
      </c>
    </row>
    <row r="622" spans="1:3">
      <c r="A622" s="18">
        <v>100619</v>
      </c>
      <c r="B622" s="141" t="str">
        <f t="shared" si="9"/>
        <v>explorationFinishEvent{eventId:100618,count:1}</v>
      </c>
      <c r="C622" s="143">
        <v>2420203</v>
      </c>
    </row>
    <row r="623" spans="1:3">
      <c r="A623" s="18">
        <v>100620</v>
      </c>
      <c r="B623" s="141" t="str">
        <f t="shared" si="9"/>
        <v>explorationFinishEvent{eventId:100619,count:1}</v>
      </c>
      <c r="C623" s="143">
        <v>2420204</v>
      </c>
    </row>
    <row r="624" spans="1:3">
      <c r="A624" s="18">
        <v>100621</v>
      </c>
      <c r="B624" s="141" t="str">
        <f t="shared" si="9"/>
        <v>explorationFinishEvent{eventId:100620,count:1}</v>
      </c>
      <c r="C624" s="143">
        <v>2420301</v>
      </c>
    </row>
    <row r="625" spans="1:3">
      <c r="A625" s="18">
        <v>100622</v>
      </c>
      <c r="B625" s="141" t="str">
        <f t="shared" si="9"/>
        <v>explorationFinishEvent{eventId:100621,count:1}</v>
      </c>
      <c r="C625" s="143">
        <v>2420302</v>
      </c>
    </row>
    <row r="626" spans="1:3">
      <c r="A626" s="18">
        <v>100623</v>
      </c>
      <c r="B626" s="141" t="str">
        <f t="shared" si="9"/>
        <v>explorationFinishEvent{eventId:100622,count:1}</v>
      </c>
      <c r="C626" s="143">
        <v>2420303</v>
      </c>
    </row>
    <row r="627" spans="1:3">
      <c r="A627" s="18">
        <v>100624</v>
      </c>
      <c r="B627" s="141" t="str">
        <f t="shared" si="9"/>
        <v>explorationFinishEvent{eventId:100623,count:1}</v>
      </c>
      <c r="C627" s="143">
        <v>2420304</v>
      </c>
    </row>
    <row r="628" spans="1:3">
      <c r="A628" s="18">
        <v>100625</v>
      </c>
      <c r="B628" s="141" t="str">
        <f t="shared" si="9"/>
        <v>explorationFinishEvent{eventId:100624,count:1}</v>
      </c>
      <c r="C628" s="143">
        <v>2420401</v>
      </c>
    </row>
    <row r="629" spans="1:3">
      <c r="A629" s="18">
        <v>100626</v>
      </c>
      <c r="B629" s="141" t="str">
        <f t="shared" si="9"/>
        <v>explorationFinishEvent{eventId:100625,count:1}</v>
      </c>
      <c r="C629" s="143">
        <v>2420402</v>
      </c>
    </row>
    <row r="630" spans="1:3">
      <c r="A630" s="18">
        <v>100627</v>
      </c>
      <c r="B630" s="141" t="str">
        <f t="shared" si="9"/>
        <v>explorationFinishEvent{eventId:100626,count:1}</v>
      </c>
      <c r="C630" s="143">
        <v>2420403</v>
      </c>
    </row>
    <row r="631" spans="1:3">
      <c r="A631" s="18">
        <v>100628</v>
      </c>
      <c r="B631" s="141" t="str">
        <f t="shared" si="9"/>
        <v>explorationFinishEvent{eventId:100627,count:1}</v>
      </c>
      <c r="C631" s="143">
        <v>2420404</v>
      </c>
    </row>
    <row r="632" spans="1:3">
      <c r="A632" s="18">
        <v>100629</v>
      </c>
      <c r="B632" s="141" t="str">
        <f t="shared" si="9"/>
        <v>explorationFinishEvent{eventId:100628,count:1}</v>
      </c>
      <c r="C632" s="143">
        <v>2420501</v>
      </c>
    </row>
    <row r="633" spans="1:3">
      <c r="A633" s="18">
        <v>100630</v>
      </c>
      <c r="B633" s="141" t="str">
        <f t="shared" si="9"/>
        <v>explorationFinishEvent{eventId:100629,count:1}</v>
      </c>
      <c r="C633" s="143">
        <v>2420502</v>
      </c>
    </row>
    <row r="634" spans="1:3">
      <c r="A634" s="18">
        <v>100631</v>
      </c>
      <c r="B634" s="141" t="str">
        <f t="shared" si="9"/>
        <v>explorationFinishEvent{eventId:100630,count:1}</v>
      </c>
      <c r="C634" s="143">
        <v>2420503</v>
      </c>
    </row>
    <row r="635" spans="1:3">
      <c r="A635" s="18">
        <v>100632</v>
      </c>
      <c r="B635" s="141" t="str">
        <f t="shared" si="9"/>
        <v>explorationFinishEvent{eventId:100631,count:1}</v>
      </c>
      <c r="C635" s="143">
        <v>2420504</v>
      </c>
    </row>
    <row r="636" spans="1:3">
      <c r="A636" s="18">
        <v>100633</v>
      </c>
      <c r="B636" s="141" t="str">
        <f t="shared" si="9"/>
        <v>explorationFinishEvent{eventId:100632,count:1}</v>
      </c>
      <c r="C636" s="143">
        <v>2420601</v>
      </c>
    </row>
    <row r="637" spans="1:3">
      <c r="A637" s="18">
        <v>100634</v>
      </c>
      <c r="B637" s="141" t="str">
        <f t="shared" si="9"/>
        <v>explorationFinishEvent{eventId:100633,count:1}</v>
      </c>
      <c r="C637" s="143">
        <v>2420602</v>
      </c>
    </row>
    <row r="638" spans="1:3">
      <c r="A638" s="18">
        <v>100635</v>
      </c>
      <c r="B638" s="141" t="str">
        <f t="shared" si="9"/>
        <v>explorationFinishEvent{eventId:100634,count:1}</v>
      </c>
      <c r="C638" s="143">
        <v>2420603</v>
      </c>
    </row>
    <row r="639" spans="1:3">
      <c r="A639" s="18">
        <v>100636</v>
      </c>
      <c r="B639" s="141" t="str">
        <f t="shared" si="9"/>
        <v>explorationFinishEvent{eventId:100635,count:1}</v>
      </c>
      <c r="C639" s="143">
        <v>2420604</v>
      </c>
    </row>
    <row r="640" spans="1:3">
      <c r="A640" s="18">
        <v>100637</v>
      </c>
      <c r="B640" s="141" t="str">
        <f t="shared" si="9"/>
        <v>explorationFinishEvent{eventId:100636,count:1}</v>
      </c>
      <c r="C640" s="143">
        <v>2420701</v>
      </c>
    </row>
    <row r="641" spans="1:3">
      <c r="A641" s="18">
        <v>100638</v>
      </c>
      <c r="B641" s="141" t="str">
        <f t="shared" si="9"/>
        <v>explorationFinishEvent{eventId:100637,count:1}</v>
      </c>
      <c r="C641" s="143">
        <v>2420702</v>
      </c>
    </row>
    <row r="642" spans="1:3">
      <c r="A642" s="18">
        <v>100639</v>
      </c>
      <c r="B642" s="141" t="str">
        <f t="shared" si="9"/>
        <v>explorationFinishEvent{eventId:100638,count:1}</v>
      </c>
      <c r="C642" s="143">
        <v>2420703</v>
      </c>
    </row>
    <row r="643" spans="1:3">
      <c r="A643" s="18">
        <v>100640</v>
      </c>
      <c r="B643" s="141" t="str">
        <f t="shared" si="9"/>
        <v>explorationFinishEvent{eventId:100639,count:1}</v>
      </c>
      <c r="C643" s="143">
        <v>2420704</v>
      </c>
    </row>
    <row r="644" spans="1:3">
      <c r="A644" s="18">
        <v>100641</v>
      </c>
      <c r="B644" s="141" t="str">
        <f t="shared" si="9"/>
        <v>explorationFinishEvent{eventId:100640,count:1}</v>
      </c>
      <c r="C644" s="143">
        <v>2420801</v>
      </c>
    </row>
    <row r="645" spans="1:3">
      <c r="A645" s="18">
        <v>100642</v>
      </c>
      <c r="B645" s="141" t="str">
        <f t="shared" si="9"/>
        <v>explorationFinishEvent{eventId:100641,count:1}</v>
      </c>
      <c r="C645" s="143">
        <v>2420802</v>
      </c>
    </row>
    <row r="646" spans="1:3">
      <c r="A646" s="18">
        <v>100643</v>
      </c>
      <c r="B646" s="141" t="str">
        <f t="shared" si="9"/>
        <v>explorationFinishEvent{eventId:100642,count:1}</v>
      </c>
      <c r="C646" s="143">
        <v>2420803</v>
      </c>
    </row>
    <row r="647" spans="1:3">
      <c r="A647" s="18">
        <v>100644</v>
      </c>
      <c r="B647" s="141" t="str">
        <f t="shared" si="9"/>
        <v>explorationFinishEvent{eventId:100643,count:1}</v>
      </c>
      <c r="C647" s="143">
        <v>2420804</v>
      </c>
    </row>
    <row r="648" spans="1:3">
      <c r="A648" s="18">
        <v>100645</v>
      </c>
      <c r="B648" s="141" t="str">
        <f t="shared" si="9"/>
        <v>explorationFinishEvent{eventId:100644,count:1}</v>
      </c>
      <c r="C648" s="143">
        <v>2420901</v>
      </c>
    </row>
    <row r="649" spans="1:3">
      <c r="A649" s="18">
        <v>100646</v>
      </c>
      <c r="B649" s="141" t="str">
        <f t="shared" si="9"/>
        <v>explorationFinishEvent{eventId:100645,count:1}</v>
      </c>
      <c r="C649" s="143">
        <v>2420902</v>
      </c>
    </row>
    <row r="650" spans="1:3">
      <c r="A650" s="18">
        <v>100647</v>
      </c>
      <c r="B650" s="141" t="str">
        <f t="shared" si="9"/>
        <v>explorationFinishEvent{eventId:100646,count:1}</v>
      </c>
      <c r="C650" s="143">
        <v>2420903</v>
      </c>
    </row>
    <row r="651" spans="1:3">
      <c r="A651" s="18">
        <v>100648</v>
      </c>
      <c r="B651" s="141" t="str">
        <f t="shared" si="9"/>
        <v>explorationFinishEvent{eventId:100647,count:1}</v>
      </c>
      <c r="C651" s="143">
        <v>2420904</v>
      </c>
    </row>
    <row r="652" spans="1:3">
      <c r="A652" s="18">
        <v>100649</v>
      </c>
      <c r="B652" s="141" t="str">
        <f t="shared" si="9"/>
        <v>explorationFinishEvent{eventId:100648,count:1}</v>
      </c>
      <c r="C652" s="143">
        <v>2421001</v>
      </c>
    </row>
    <row r="653" spans="1:3">
      <c r="A653" s="18">
        <v>100650</v>
      </c>
      <c r="B653" s="141" t="str">
        <f t="shared" ref="B653:B655" si="10">"explorationFinishEvent{eventId:"&amp;A651+1&amp;",count:1}"</f>
        <v>explorationFinishEvent{eventId:100649,count:1}</v>
      </c>
      <c r="C653" s="143">
        <v>2421002</v>
      </c>
    </row>
    <row r="654" spans="1:3">
      <c r="A654" s="18">
        <v>100651</v>
      </c>
      <c r="B654" s="141" t="str">
        <f t="shared" si="10"/>
        <v>explorationFinishEvent{eventId:100650,count:1}</v>
      </c>
      <c r="C654" s="143">
        <v>2421003</v>
      </c>
    </row>
    <row r="655" spans="1:3">
      <c r="A655" s="18">
        <v>100652</v>
      </c>
      <c r="B655" s="141" t="str">
        <f t="shared" si="10"/>
        <v>explorationFinishEvent{eventId:100651,count:1}</v>
      </c>
      <c r="C655" s="143">
        <v>2421004</v>
      </c>
    </row>
  </sheetData>
  <phoneticPr fontId="56" type="noConversion"/>
  <conditionalFormatting sqref="C231:C655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7"/>
  <sheetViews>
    <sheetView showGridLines="0" topLeftCell="A13" workbookViewId="0">
      <selection activeCell="F26" sqref="F26"/>
    </sheetView>
  </sheetViews>
  <sheetFormatPr defaultColWidth="9" defaultRowHeight="16.5"/>
  <cols>
    <col min="1" max="2" width="22.23046875" style="2" customWidth="1"/>
    <col min="3" max="16384" width="9" style="2"/>
  </cols>
  <sheetData>
    <row r="1" spans="1:1" s="1" customFormat="1"/>
    <row r="6" spans="1:1">
      <c r="A6" s="3" t="s">
        <v>577</v>
      </c>
    </row>
    <row r="7" spans="1:1">
      <c r="A7" s="4" t="s">
        <v>578</v>
      </c>
    </row>
    <row r="8" spans="1:1">
      <c r="A8" s="5" t="s">
        <v>579</v>
      </c>
    </row>
    <row r="9" spans="1:1">
      <c r="A9" s="5" t="s">
        <v>580</v>
      </c>
    </row>
    <row r="10" spans="1:1">
      <c r="A10" s="5" t="s">
        <v>581</v>
      </c>
    </row>
    <row r="11" spans="1:1">
      <c r="A11" s="6" t="s">
        <v>582</v>
      </c>
    </row>
    <row r="15" spans="1:1">
      <c r="A15" s="7"/>
    </row>
    <row r="16" spans="1:1">
      <c r="A16" s="8"/>
    </row>
    <row r="17" spans="1:1">
      <c r="A17" s="8"/>
    </row>
    <row r="18" spans="1:1">
      <c r="A18" s="3" t="s">
        <v>583</v>
      </c>
    </row>
    <row r="19" spans="1:1">
      <c r="A19" s="9" t="s">
        <v>584</v>
      </c>
    </row>
    <row r="20" spans="1:1">
      <c r="A20" s="5" t="s">
        <v>585</v>
      </c>
    </row>
    <row r="21" spans="1:1">
      <c r="A21" s="5" t="s">
        <v>586</v>
      </c>
    </row>
    <row r="22" spans="1:1">
      <c r="A22" s="6" t="s">
        <v>582</v>
      </c>
    </row>
    <row r="26" spans="1:1">
      <c r="A26" s="10"/>
    </row>
    <row r="27" spans="1:1">
      <c r="A27" s="3" t="s">
        <v>587</v>
      </c>
    </row>
    <row r="28" spans="1:1">
      <c r="A28" s="4" t="s">
        <v>588</v>
      </c>
    </row>
    <row r="29" spans="1:1">
      <c r="A29" s="5" t="s">
        <v>589</v>
      </c>
    </row>
    <row r="30" spans="1:1">
      <c r="A30" s="5" t="s">
        <v>590</v>
      </c>
    </row>
    <row r="31" spans="1:1">
      <c r="A31" s="5" t="s">
        <v>591</v>
      </c>
    </row>
    <row r="32" spans="1:1">
      <c r="A32" s="5" t="s">
        <v>592</v>
      </c>
    </row>
    <row r="33" spans="1:1">
      <c r="A33" s="5" t="s">
        <v>593</v>
      </c>
    </row>
    <row r="34" spans="1:1">
      <c r="A34" s="5" t="s">
        <v>594</v>
      </c>
    </row>
    <row r="35" spans="1:1">
      <c r="A35" s="5" t="s">
        <v>595</v>
      </c>
    </row>
    <row r="36" spans="1:1">
      <c r="A36" s="6" t="s">
        <v>582</v>
      </c>
    </row>
    <row r="40" spans="1:1">
      <c r="A40" s="2" t="s">
        <v>51</v>
      </c>
    </row>
    <row r="41" spans="1:1">
      <c r="A41" s="9" t="s">
        <v>596</v>
      </c>
    </row>
    <row r="42" spans="1:1">
      <c r="A42" s="5" t="s">
        <v>597</v>
      </c>
    </row>
    <row r="43" spans="1:1">
      <c r="A43" s="5" t="s">
        <v>598</v>
      </c>
    </row>
    <row r="44" spans="1:1">
      <c r="A44" s="5" t="s">
        <v>599</v>
      </c>
    </row>
    <row r="45" spans="1:1">
      <c r="A45" s="5" t="s">
        <v>600</v>
      </c>
    </row>
    <row r="46" spans="1:1">
      <c r="A46" s="5" t="s">
        <v>601</v>
      </c>
    </row>
    <row r="47" spans="1:1">
      <c r="A47" s="6" t="s">
        <v>582</v>
      </c>
    </row>
  </sheetData>
  <phoneticPr fontId="5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探索等级</vt:lpstr>
      <vt:lpstr>探索事件</vt:lpstr>
      <vt:lpstr>等级-事件池</vt:lpstr>
      <vt:lpstr>探索品质</vt:lpstr>
      <vt:lpstr>大地图实体等级配置</vt:lpstr>
      <vt:lpstr>委任玩法</vt:lpstr>
      <vt:lpstr>文案表</vt:lpstr>
      <vt:lpstr>对话文案表</vt:lpstr>
      <vt:lpstr>杂项表</vt:lpstr>
      <vt:lpstr>特殊事件</vt:lpstr>
      <vt:lpstr>#备注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cherylxyliu(刘欣宜)</cp:lastModifiedBy>
  <dcterms:created xsi:type="dcterms:W3CDTF">2015-06-05T18:19:00Z</dcterms:created>
  <dcterms:modified xsi:type="dcterms:W3CDTF">2025-04-17T06:24:23Z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78D67418C9D34D249F1F6DA40C6BAC60_12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